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_Models\EU-TIMES\SuppXLS\"/>
    </mc:Choice>
  </mc:AlternateContent>
  <xr:revisionPtr revIDLastSave="0" documentId="8_{EEDA20C7-F8E1-4CCA-B8A9-3712CA3490CC}" xr6:coauthVersionLast="45" xr6:coauthVersionMax="45" xr10:uidLastSave="{00000000-0000-0000-0000-000000000000}"/>
  <bookViews>
    <workbookView xWindow="3720" yWindow="570" windowWidth="25080" windowHeight="15030" activeTab="5"/>
  </bookViews>
  <sheets>
    <sheet name="Notes" sheetId="8" r:id="rId1"/>
    <sheet name="ActivateGrid" sheetId="1" r:id="rId2"/>
    <sheet name="TechParams" sheetId="4" r:id="rId3"/>
    <sheet name="TechParams orig" sheetId="9" r:id="rId4"/>
    <sheet name="GridParams" sheetId="2" r:id="rId5"/>
    <sheet name="GenMAP" sheetId="5" r:id="rId6"/>
  </sheets>
  <externalReferences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H154" i="4"/>
  <c r="H155" i="4"/>
  <c r="I155" i="4"/>
  <c r="H180" i="4"/>
  <c r="K180" i="4"/>
  <c r="J181" i="4"/>
  <c r="K181" i="4"/>
  <c r="J158" i="4"/>
  <c r="K158" i="4"/>
  <c r="L158" i="4"/>
  <c r="L159" i="4"/>
  <c r="M159" i="4"/>
  <c r="N183" i="4"/>
  <c r="L184" i="4"/>
  <c r="M184" i="4"/>
  <c r="N160" i="4"/>
  <c r="H161" i="4"/>
  <c r="M161" i="4"/>
  <c r="N185" i="4"/>
  <c r="N162" i="4"/>
  <c r="H163" i="4"/>
  <c r="I163" i="4"/>
  <c r="H188" i="4"/>
  <c r="I188" i="4"/>
  <c r="J189" i="4"/>
  <c r="K189" i="4"/>
  <c r="J166" i="4"/>
  <c r="K166" i="4"/>
  <c r="L190" i="4"/>
  <c r="M166" i="4"/>
  <c r="L167" i="4"/>
  <c r="M167" i="4"/>
  <c r="L192" i="4"/>
  <c r="M192" i="4"/>
  <c r="N193" i="4"/>
  <c r="N170" i="4"/>
  <c r="H171" i="4"/>
  <c r="I171" i="4"/>
  <c r="H196" i="4"/>
  <c r="I196" i="4"/>
  <c r="I197" i="4"/>
  <c r="J197" i="4"/>
  <c r="K197" i="4"/>
  <c r="J174" i="4"/>
  <c r="K174" i="4"/>
  <c r="L198" i="4"/>
  <c r="K175" i="4"/>
  <c r="L175" i="4"/>
  <c r="M175" i="4"/>
  <c r="N199" i="4"/>
  <c r="L200" i="4"/>
  <c r="M200" i="4"/>
  <c r="N186" i="4"/>
  <c r="K187" i="4"/>
  <c r="K194" i="4"/>
  <c r="R199" i="9"/>
  <c r="P197" i="9"/>
  <c r="S194" i="9"/>
  <c r="R193" i="9"/>
  <c r="R176" i="9"/>
  <c r="Q176" i="9"/>
  <c r="P176" i="9"/>
  <c r="Q175" i="9"/>
  <c r="O175" i="9"/>
  <c r="I173" i="9"/>
  <c r="H173" i="9"/>
  <c r="T172" i="9"/>
  <c r="S171" i="9"/>
  <c r="N170" i="9"/>
  <c r="J150" i="9"/>
  <c r="N107" i="9" s="1"/>
  <c r="N186" i="9" s="1"/>
  <c r="I150" i="9"/>
  <c r="H150" i="9"/>
  <c r="G150" i="9"/>
  <c r="F150" i="9"/>
  <c r="J149" i="9"/>
  <c r="I149" i="9"/>
  <c r="H149" i="9"/>
  <c r="G149" i="9"/>
  <c r="F149" i="9"/>
  <c r="J148" i="9"/>
  <c r="I148" i="9"/>
  <c r="P109" i="9" s="1"/>
  <c r="P188" i="9" s="1"/>
  <c r="H148" i="9"/>
  <c r="G148" i="9"/>
  <c r="F148" i="9"/>
  <c r="J147" i="9"/>
  <c r="I147" i="9"/>
  <c r="L118" i="9" s="1"/>
  <c r="L197" i="9" s="1"/>
  <c r="H147" i="9"/>
  <c r="G147" i="9"/>
  <c r="F147" i="9"/>
  <c r="J146" i="9"/>
  <c r="I146" i="9"/>
  <c r="H146" i="9"/>
  <c r="G146" i="9"/>
  <c r="F146" i="9"/>
  <c r="J145" i="9"/>
  <c r="I145" i="9"/>
  <c r="H145" i="9"/>
  <c r="G145" i="9"/>
  <c r="F145" i="9"/>
  <c r="J144" i="9"/>
  <c r="I144" i="9"/>
  <c r="H144" i="9"/>
  <c r="G144" i="9"/>
  <c r="F144" i="9"/>
  <c r="J143" i="9"/>
  <c r="I143" i="9"/>
  <c r="H143" i="9"/>
  <c r="G143" i="9"/>
  <c r="F143" i="9"/>
  <c r="J142" i="9"/>
  <c r="I142" i="9"/>
  <c r="H142" i="9"/>
  <c r="G142" i="9"/>
  <c r="F142" i="9"/>
  <c r="J141" i="9"/>
  <c r="I141" i="9"/>
  <c r="H141" i="9"/>
  <c r="G141" i="9"/>
  <c r="F141" i="9"/>
  <c r="J140" i="9"/>
  <c r="I140" i="9"/>
  <c r="H140" i="9"/>
  <c r="G140" i="9"/>
  <c r="F140" i="9"/>
  <c r="J139" i="9"/>
  <c r="I139" i="9"/>
  <c r="J117" i="9"/>
  <c r="H139" i="9"/>
  <c r="G139" i="9"/>
  <c r="F139" i="9"/>
  <c r="J138" i="9"/>
  <c r="I138" i="9"/>
  <c r="H138" i="9"/>
  <c r="G138" i="9"/>
  <c r="F138" i="9"/>
  <c r="J137" i="9"/>
  <c r="I137" i="9"/>
  <c r="H137" i="9"/>
  <c r="G137" i="9"/>
  <c r="F137" i="9"/>
  <c r="J136" i="9"/>
  <c r="I136" i="9"/>
  <c r="H136" i="9"/>
  <c r="G136" i="9"/>
  <c r="F136" i="9"/>
  <c r="J135" i="9"/>
  <c r="I135" i="9"/>
  <c r="H135" i="9"/>
  <c r="I103" i="9" s="1"/>
  <c r="I182" i="9" s="1"/>
  <c r="G135" i="9"/>
  <c r="F135" i="9"/>
  <c r="J134" i="9"/>
  <c r="I134" i="9"/>
  <c r="H134" i="9"/>
  <c r="G134" i="9"/>
  <c r="F134" i="9"/>
  <c r="J133" i="9"/>
  <c r="I133" i="9"/>
  <c r="H133" i="9"/>
  <c r="G133" i="9"/>
  <c r="F133" i="9"/>
  <c r="J132" i="9"/>
  <c r="H121" i="9" s="1"/>
  <c r="H200" i="9" s="1"/>
  <c r="I132" i="9"/>
  <c r="H132" i="9"/>
  <c r="G132" i="9"/>
  <c r="F132" i="9"/>
  <c r="J131" i="9"/>
  <c r="I131" i="9"/>
  <c r="H131" i="9"/>
  <c r="H119" i="9" s="1"/>
  <c r="H198" i="9" s="1"/>
  <c r="G131" i="9"/>
  <c r="F131" i="9"/>
  <c r="J130" i="9"/>
  <c r="I130" i="9"/>
  <c r="K115" i="9" s="1"/>
  <c r="K194" i="9" s="1"/>
  <c r="H130" i="9"/>
  <c r="G130" i="9"/>
  <c r="F130" i="9"/>
  <c r="J129" i="9"/>
  <c r="I129" i="9"/>
  <c r="H129" i="9"/>
  <c r="G129" i="9"/>
  <c r="F129" i="9"/>
  <c r="J128" i="9"/>
  <c r="I128" i="9"/>
  <c r="H128" i="9"/>
  <c r="G128" i="9"/>
  <c r="F128" i="9"/>
  <c r="K120" i="9"/>
  <c r="O110" i="9"/>
  <c r="K108" i="9"/>
  <c r="N105" i="9"/>
  <c r="M100" i="9"/>
  <c r="J94" i="9"/>
  <c r="N82" i="9"/>
  <c r="J75" i="9"/>
  <c r="S74" i="9"/>
  <c r="R74" i="9"/>
  <c r="P74" i="9"/>
  <c r="O74" i="9"/>
  <c r="T71" i="9"/>
  <c r="P70" i="9"/>
  <c r="O70" i="9"/>
  <c r="N69" i="9"/>
  <c r="M69" i="9"/>
  <c r="S67" i="9"/>
  <c r="Q67" i="9"/>
  <c r="I67" i="9"/>
  <c r="Q66" i="9"/>
  <c r="P66" i="9"/>
  <c r="T59" i="9"/>
  <c r="I59" i="9"/>
  <c r="Q58" i="9"/>
  <c r="M56" i="9"/>
  <c r="Q55" i="9"/>
  <c r="L55" i="9"/>
  <c r="K55" i="9"/>
  <c r="O54" i="9"/>
  <c r="V52" i="9"/>
  <c r="V75" i="9" s="1"/>
  <c r="V121" i="9" s="1"/>
  <c r="U52" i="9"/>
  <c r="T52" i="9"/>
  <c r="T200" i="9"/>
  <c r="S52" i="9"/>
  <c r="R52" i="9"/>
  <c r="R200" i="9"/>
  <c r="Q52" i="9"/>
  <c r="Q200" i="9" s="1"/>
  <c r="P52" i="9"/>
  <c r="P200" i="9" s="1"/>
  <c r="O52" i="9"/>
  <c r="N52" i="9"/>
  <c r="N75" i="9"/>
  <c r="M52" i="9"/>
  <c r="M75" i="9"/>
  <c r="L52" i="9"/>
  <c r="L75" i="9" s="1"/>
  <c r="K52" i="9"/>
  <c r="J52" i="9"/>
  <c r="J200" i="9"/>
  <c r="I52" i="9"/>
  <c r="I200" i="9" s="1"/>
  <c r="I75" i="9"/>
  <c r="H52" i="9"/>
  <c r="H75" i="9" s="1"/>
  <c r="V51" i="9"/>
  <c r="V74" i="9"/>
  <c r="V120" i="9"/>
  <c r="U51" i="9"/>
  <c r="T51" i="9"/>
  <c r="T199" i="9" s="1"/>
  <c r="S51" i="9"/>
  <c r="S175" i="9" s="1"/>
  <c r="R51" i="9"/>
  <c r="R175" i="9"/>
  <c r="Q51" i="9"/>
  <c r="P51" i="9"/>
  <c r="O51" i="9"/>
  <c r="O199" i="9" s="1"/>
  <c r="N51" i="9"/>
  <c r="M51" i="9"/>
  <c r="M175" i="9" s="1"/>
  <c r="L51" i="9"/>
  <c r="K51" i="9"/>
  <c r="J51" i="9"/>
  <c r="J175" i="9" s="1"/>
  <c r="I51" i="9"/>
  <c r="I199" i="9" s="1"/>
  <c r="H51" i="9"/>
  <c r="H74" i="9" s="1"/>
  <c r="V50" i="9"/>
  <c r="V73" i="9" s="1"/>
  <c r="V119" i="9" s="1"/>
  <c r="U50" i="9"/>
  <c r="T50" i="9"/>
  <c r="S50" i="9"/>
  <c r="S198" i="9" s="1"/>
  <c r="R50" i="9"/>
  <c r="Q50" i="9"/>
  <c r="Q198" i="9" s="1"/>
  <c r="Q174" i="9"/>
  <c r="P50" i="9"/>
  <c r="P73" i="9" s="1"/>
  <c r="O50" i="9"/>
  <c r="O73" i="9" s="1"/>
  <c r="O174" i="9"/>
  <c r="N50" i="9"/>
  <c r="N198" i="9" s="1"/>
  <c r="M50" i="9"/>
  <c r="L50" i="9"/>
  <c r="K50" i="9"/>
  <c r="K174" i="9"/>
  <c r="J50" i="9"/>
  <c r="J174" i="9" s="1"/>
  <c r="I50" i="9"/>
  <c r="I174" i="9" s="1"/>
  <c r="H50" i="9"/>
  <c r="H73" i="9" s="1"/>
  <c r="H174" i="9"/>
  <c r="V49" i="9"/>
  <c r="V72" i="9" s="1"/>
  <c r="V118" i="9" s="1"/>
  <c r="U49" i="9"/>
  <c r="T49" i="9"/>
  <c r="S49" i="9"/>
  <c r="S72" i="9" s="1"/>
  <c r="R49" i="9"/>
  <c r="Q49" i="9"/>
  <c r="P49" i="9"/>
  <c r="P173" i="9"/>
  <c r="O49" i="9"/>
  <c r="O197" i="9" s="1"/>
  <c r="N49" i="9"/>
  <c r="N72" i="9" s="1"/>
  <c r="N173" i="9"/>
  <c r="M49" i="9"/>
  <c r="M72" i="9" s="1"/>
  <c r="M173" i="9"/>
  <c r="L49" i="9"/>
  <c r="L173" i="9" s="1"/>
  <c r="K49" i="9"/>
  <c r="K197" i="9"/>
  <c r="J49" i="9"/>
  <c r="I49" i="9"/>
  <c r="H49" i="9"/>
  <c r="H197" i="9" s="1"/>
  <c r="V48" i="9"/>
  <c r="V94" i="9"/>
  <c r="U48" i="9"/>
  <c r="T48" i="9"/>
  <c r="T196" i="9"/>
  <c r="S48" i="9"/>
  <c r="S71" i="9" s="1"/>
  <c r="R48" i="9"/>
  <c r="Q48" i="9"/>
  <c r="Q71" i="9" s="1"/>
  <c r="P48" i="9"/>
  <c r="O48" i="9"/>
  <c r="O71" i="9"/>
  <c r="N48" i="9"/>
  <c r="N196" i="9" s="1"/>
  <c r="M48" i="9"/>
  <c r="M172" i="9" s="1"/>
  <c r="L48" i="9"/>
  <c r="L71" i="9" s="1"/>
  <c r="L196" i="9"/>
  <c r="K48" i="9"/>
  <c r="K71" i="9" s="1"/>
  <c r="J48" i="9"/>
  <c r="J71" i="9"/>
  <c r="I48" i="9"/>
  <c r="I196" i="9" s="1"/>
  <c r="I172" i="9"/>
  <c r="H48" i="9"/>
  <c r="V47" i="9"/>
  <c r="V93" i="9"/>
  <c r="U47" i="9"/>
  <c r="T47" i="9"/>
  <c r="S47" i="9"/>
  <c r="S195" i="9" s="1"/>
  <c r="R47" i="9"/>
  <c r="R195" i="9" s="1"/>
  <c r="Q47" i="9"/>
  <c r="Q195" i="9"/>
  <c r="P47" i="9"/>
  <c r="O47" i="9"/>
  <c r="N47" i="9"/>
  <c r="N171" i="9" s="1"/>
  <c r="M47" i="9"/>
  <c r="M195" i="9"/>
  <c r="L47" i="9"/>
  <c r="L195" i="9" s="1"/>
  <c r="K47" i="9"/>
  <c r="K195" i="9"/>
  <c r="J47" i="9"/>
  <c r="J171" i="9" s="1"/>
  <c r="I47" i="9"/>
  <c r="H47" i="9"/>
  <c r="H171" i="9"/>
  <c r="V46" i="9"/>
  <c r="V92" i="9" s="1"/>
  <c r="U46" i="9"/>
  <c r="T46" i="9"/>
  <c r="T194" i="9" s="1"/>
  <c r="T170" i="9"/>
  <c r="S46" i="9"/>
  <c r="S170" i="9"/>
  <c r="R46" i="9"/>
  <c r="Q46" i="9"/>
  <c r="P46" i="9"/>
  <c r="P194" i="9"/>
  <c r="O46" i="9"/>
  <c r="O194" i="9" s="1"/>
  <c r="N46" i="9"/>
  <c r="N194" i="9" s="1"/>
  <c r="M46" i="9"/>
  <c r="M170" i="9"/>
  <c r="L46" i="9"/>
  <c r="K46" i="9"/>
  <c r="K170" i="9"/>
  <c r="J46" i="9"/>
  <c r="I46" i="9"/>
  <c r="H46" i="9"/>
  <c r="H69" i="9"/>
  <c r="V45" i="9"/>
  <c r="V91" i="9" s="1"/>
  <c r="U45" i="9"/>
  <c r="T45" i="9"/>
  <c r="T169" i="9" s="1"/>
  <c r="S45" i="9"/>
  <c r="R45" i="9"/>
  <c r="R169" i="9"/>
  <c r="Q45" i="9"/>
  <c r="Q193" i="9" s="1"/>
  <c r="P45" i="9"/>
  <c r="P193" i="9" s="1"/>
  <c r="O45" i="9"/>
  <c r="N45" i="9"/>
  <c r="N68" i="9"/>
  <c r="M45" i="9"/>
  <c r="M193" i="9"/>
  <c r="L45" i="9"/>
  <c r="L68" i="9" s="1"/>
  <c r="K45" i="9"/>
  <c r="K68" i="9" s="1"/>
  <c r="K193" i="9"/>
  <c r="J45" i="9"/>
  <c r="J169" i="9" s="1"/>
  <c r="I45" i="9"/>
  <c r="H45" i="9"/>
  <c r="V44" i="9"/>
  <c r="U44" i="9"/>
  <c r="T44" i="9"/>
  <c r="T67" i="9" s="1"/>
  <c r="S44" i="9"/>
  <c r="R44" i="9"/>
  <c r="Q44" i="9"/>
  <c r="Q168" i="9" s="1"/>
  <c r="P44" i="9"/>
  <c r="O44" i="9"/>
  <c r="N44" i="9"/>
  <c r="N192" i="9" s="1"/>
  <c r="M44" i="9"/>
  <c r="M192" i="9" s="1"/>
  <c r="L44" i="9"/>
  <c r="L168" i="9" s="1"/>
  <c r="L192" i="9"/>
  <c r="K44" i="9"/>
  <c r="K67" i="9"/>
  <c r="J44" i="9"/>
  <c r="J168" i="9" s="1"/>
  <c r="I44" i="9"/>
  <c r="I168" i="9" s="1"/>
  <c r="I192" i="9"/>
  <c r="H44" i="9"/>
  <c r="H168" i="9" s="1"/>
  <c r="V43" i="9"/>
  <c r="V66" i="9"/>
  <c r="V112" i="9" s="1"/>
  <c r="U43" i="9"/>
  <c r="T43" i="9"/>
  <c r="S43" i="9"/>
  <c r="R43" i="9"/>
  <c r="R66" i="9" s="1"/>
  <c r="Q43" i="9"/>
  <c r="P43" i="9"/>
  <c r="O43" i="9"/>
  <c r="O66" i="9" s="1"/>
  <c r="N43" i="9"/>
  <c r="N191" i="9"/>
  <c r="M43" i="9"/>
  <c r="L43" i="9"/>
  <c r="L191" i="9" s="1"/>
  <c r="K43" i="9"/>
  <c r="K191" i="9" s="1"/>
  <c r="J43" i="9"/>
  <c r="J191" i="9" s="1"/>
  <c r="J167" i="9"/>
  <c r="I43" i="9"/>
  <c r="I191" i="9"/>
  <c r="H43" i="9"/>
  <c r="V42" i="9"/>
  <c r="V65" i="9" s="1"/>
  <c r="V111" i="9" s="1"/>
  <c r="U42" i="9"/>
  <c r="T42" i="9"/>
  <c r="S42" i="9"/>
  <c r="S166" i="9"/>
  <c r="R42" i="9"/>
  <c r="R166" i="9" s="1"/>
  <c r="Q42" i="9"/>
  <c r="P42" i="9"/>
  <c r="P65" i="9" s="1"/>
  <c r="O42" i="9"/>
  <c r="O65" i="9" s="1"/>
  <c r="N42" i="9"/>
  <c r="M42" i="9"/>
  <c r="M190" i="9" s="1"/>
  <c r="L42" i="9"/>
  <c r="K42" i="9"/>
  <c r="J42" i="9"/>
  <c r="I42" i="9"/>
  <c r="H42" i="9"/>
  <c r="H166" i="9" s="1"/>
  <c r="V41" i="9"/>
  <c r="V87" i="9" s="1"/>
  <c r="U41" i="9"/>
  <c r="T41" i="9"/>
  <c r="T165" i="9"/>
  <c r="S41" i="9"/>
  <c r="S189" i="9"/>
  <c r="R41" i="9"/>
  <c r="Q41" i="9"/>
  <c r="Q165" i="9" s="1"/>
  <c r="P41" i="9"/>
  <c r="P165" i="9" s="1"/>
  <c r="O41" i="9"/>
  <c r="O165" i="9" s="1"/>
  <c r="O64" i="9"/>
  <c r="N41" i="9"/>
  <c r="N64" i="9" s="1"/>
  <c r="M41" i="9"/>
  <c r="M64" i="9" s="1"/>
  <c r="L41" i="9"/>
  <c r="K41" i="9"/>
  <c r="J41" i="9"/>
  <c r="I41" i="9"/>
  <c r="H41" i="9"/>
  <c r="H189" i="9" s="1"/>
  <c r="V40" i="9"/>
  <c r="U40" i="9"/>
  <c r="T40" i="9"/>
  <c r="S40" i="9"/>
  <c r="S164" i="9"/>
  <c r="R40" i="9"/>
  <c r="R164" i="9"/>
  <c r="Q40" i="9"/>
  <c r="Q188" i="9" s="1"/>
  <c r="P40" i="9"/>
  <c r="P63" i="9"/>
  <c r="O40" i="9"/>
  <c r="N40" i="9"/>
  <c r="M40" i="9"/>
  <c r="M164" i="9" s="1"/>
  <c r="L40" i="9"/>
  <c r="L63" i="9" s="1"/>
  <c r="L188" i="9"/>
  <c r="K40" i="9"/>
  <c r="K63" i="9" s="1"/>
  <c r="J40" i="9"/>
  <c r="I40" i="9"/>
  <c r="I63" i="9"/>
  <c r="H40" i="9"/>
  <c r="V39" i="9"/>
  <c r="V62" i="9"/>
  <c r="V108" i="9"/>
  <c r="U39" i="9"/>
  <c r="T39" i="9"/>
  <c r="S39" i="9"/>
  <c r="R39" i="9"/>
  <c r="R163" i="9"/>
  <c r="Q39" i="9"/>
  <c r="Q62" i="9" s="1"/>
  <c r="P39" i="9"/>
  <c r="P62" i="9" s="1"/>
  <c r="O39" i="9"/>
  <c r="O62" i="9" s="1"/>
  <c r="O163" i="9"/>
  <c r="N39" i="9"/>
  <c r="N187" i="9"/>
  <c r="M39" i="9"/>
  <c r="M163" i="9" s="1"/>
  <c r="L39" i="9"/>
  <c r="K39" i="9"/>
  <c r="K62" i="9" s="1"/>
  <c r="J39" i="9"/>
  <c r="J187" i="9"/>
  <c r="I39" i="9"/>
  <c r="I187" i="9" s="1"/>
  <c r="H39" i="9"/>
  <c r="V38" i="9"/>
  <c r="V61" i="9"/>
  <c r="V107" i="9"/>
  <c r="U38" i="9"/>
  <c r="T38" i="9"/>
  <c r="S38" i="9"/>
  <c r="S186" i="9" s="1"/>
  <c r="R38" i="9"/>
  <c r="Q38" i="9"/>
  <c r="P38" i="9"/>
  <c r="O38" i="9"/>
  <c r="O186" i="9" s="1"/>
  <c r="N38" i="9"/>
  <c r="N61" i="9" s="1"/>
  <c r="M38" i="9"/>
  <c r="M186" i="9" s="1"/>
  <c r="M162" i="9"/>
  <c r="L38" i="9"/>
  <c r="L186" i="9" s="1"/>
  <c r="K38" i="9"/>
  <c r="K186" i="9" s="1"/>
  <c r="J38" i="9"/>
  <c r="I38" i="9"/>
  <c r="H38" i="9"/>
  <c r="H186" i="9"/>
  <c r="V37" i="9"/>
  <c r="V60" i="9" s="1"/>
  <c r="V106" i="9" s="1"/>
  <c r="U37" i="9"/>
  <c r="T37" i="9"/>
  <c r="T185" i="9" s="1"/>
  <c r="S37" i="9"/>
  <c r="S185" i="9" s="1"/>
  <c r="R37" i="9"/>
  <c r="Q37" i="9"/>
  <c r="P37" i="9"/>
  <c r="O37" i="9"/>
  <c r="N37" i="9"/>
  <c r="N60" i="9" s="1"/>
  <c r="M37" i="9"/>
  <c r="M60" i="9"/>
  <c r="L37" i="9"/>
  <c r="L60" i="9" s="1"/>
  <c r="L161" i="9"/>
  <c r="K37" i="9"/>
  <c r="K60" i="9" s="1"/>
  <c r="J37" i="9"/>
  <c r="I37" i="9"/>
  <c r="H37" i="9"/>
  <c r="H185" i="9"/>
  <c r="V36" i="9"/>
  <c r="U36" i="9"/>
  <c r="T36" i="9"/>
  <c r="T160" i="9" s="1"/>
  <c r="S36" i="9"/>
  <c r="S59" i="9" s="1"/>
  <c r="R36" i="9"/>
  <c r="R160" i="9" s="1"/>
  <c r="Q36" i="9"/>
  <c r="Q160" i="9" s="1"/>
  <c r="P36" i="9"/>
  <c r="P160" i="9" s="1"/>
  <c r="O36" i="9"/>
  <c r="N36" i="9"/>
  <c r="N59" i="9"/>
  <c r="M36" i="9"/>
  <c r="M184" i="9" s="1"/>
  <c r="L36" i="9"/>
  <c r="L59" i="9" s="1"/>
  <c r="K36" i="9"/>
  <c r="K59" i="9"/>
  <c r="J36" i="9"/>
  <c r="J59" i="9" s="1"/>
  <c r="I36" i="9"/>
  <c r="I160" i="9" s="1"/>
  <c r="H36" i="9"/>
  <c r="V35" i="9"/>
  <c r="U35" i="9"/>
  <c r="T35" i="9"/>
  <c r="T183" i="9" s="1"/>
  <c r="S35" i="9"/>
  <c r="S183" i="9" s="1"/>
  <c r="R35" i="9"/>
  <c r="R183" i="9" s="1"/>
  <c r="R159" i="9"/>
  <c r="Q35" i="9"/>
  <c r="Q183" i="9"/>
  <c r="P35" i="9"/>
  <c r="O35" i="9"/>
  <c r="O183" i="9" s="1"/>
  <c r="N35" i="9"/>
  <c r="M35" i="9"/>
  <c r="M159" i="9" s="1"/>
  <c r="L35" i="9"/>
  <c r="K35" i="9"/>
  <c r="J35" i="9"/>
  <c r="I35" i="9"/>
  <c r="H35" i="9"/>
  <c r="H159" i="9" s="1"/>
  <c r="V34" i="9"/>
  <c r="V80" i="9" s="1"/>
  <c r="U34" i="9"/>
  <c r="T34" i="9"/>
  <c r="S34" i="9"/>
  <c r="R34" i="9"/>
  <c r="Q34" i="9"/>
  <c r="P34" i="9"/>
  <c r="P57" i="9" s="1"/>
  <c r="P158" i="9"/>
  <c r="O34" i="9"/>
  <c r="O57" i="9" s="1"/>
  <c r="O158" i="9"/>
  <c r="N34" i="9"/>
  <c r="N182" i="9" s="1"/>
  <c r="M34" i="9"/>
  <c r="L34" i="9"/>
  <c r="L158" i="9"/>
  <c r="K34" i="9"/>
  <c r="K158" i="9" s="1"/>
  <c r="J34" i="9"/>
  <c r="J158" i="9" s="1"/>
  <c r="I34" i="9"/>
  <c r="H34" i="9"/>
  <c r="H57" i="9" s="1"/>
  <c r="V33" i="9"/>
  <c r="V79" i="9"/>
  <c r="U33" i="9"/>
  <c r="T33" i="9"/>
  <c r="T157" i="9" s="1"/>
  <c r="S33" i="9"/>
  <c r="R33" i="9"/>
  <c r="Q33" i="9"/>
  <c r="Q157" i="9" s="1"/>
  <c r="P33" i="9"/>
  <c r="P181" i="9" s="1"/>
  <c r="O33" i="9"/>
  <c r="N33" i="9"/>
  <c r="N181" i="9" s="1"/>
  <c r="M33" i="9"/>
  <c r="M181" i="9" s="1"/>
  <c r="L33" i="9"/>
  <c r="L181" i="9" s="1"/>
  <c r="L157" i="9"/>
  <c r="K33" i="9"/>
  <c r="K181" i="9"/>
  <c r="J33" i="9"/>
  <c r="J181" i="9" s="1"/>
  <c r="I33" i="9"/>
  <c r="H33" i="9"/>
  <c r="V32" i="9"/>
  <c r="U32" i="9"/>
  <c r="T32" i="9"/>
  <c r="T180" i="9" s="1"/>
  <c r="S32" i="9"/>
  <c r="S55" i="9" s="1"/>
  <c r="R32" i="9"/>
  <c r="Q32" i="9"/>
  <c r="P32" i="9"/>
  <c r="O32" i="9"/>
  <c r="N32" i="9"/>
  <c r="M32" i="9"/>
  <c r="L32" i="9"/>
  <c r="K32" i="9"/>
  <c r="K156" i="9"/>
  <c r="J32" i="9"/>
  <c r="J156" i="9" s="1"/>
  <c r="I32" i="9"/>
  <c r="I156" i="9"/>
  <c r="H32" i="9"/>
  <c r="H156" i="9" s="1"/>
  <c r="V31" i="9"/>
  <c r="V54" i="9" s="1"/>
  <c r="V100" i="9" s="1"/>
  <c r="U31" i="9"/>
  <c r="T31" i="9"/>
  <c r="S31" i="9"/>
  <c r="S155" i="9"/>
  <c r="R31" i="9"/>
  <c r="R179" i="9"/>
  <c r="Q31" i="9"/>
  <c r="Q179" i="9" s="1"/>
  <c r="P31" i="9"/>
  <c r="P54" i="9" s="1"/>
  <c r="O31" i="9"/>
  <c r="N31" i="9"/>
  <c r="M31" i="9"/>
  <c r="L31" i="9"/>
  <c r="K31" i="9"/>
  <c r="J31" i="9"/>
  <c r="J155" i="9"/>
  <c r="I31" i="9"/>
  <c r="H31" i="9"/>
  <c r="H179" i="9" s="1"/>
  <c r="H155" i="9"/>
  <c r="V30" i="9"/>
  <c r="V76" i="9" s="1"/>
  <c r="V53" i="9"/>
  <c r="V99" i="9" s="1"/>
  <c r="U30" i="9"/>
  <c r="T30" i="9"/>
  <c r="T178" i="9" s="1"/>
  <c r="S30" i="9"/>
  <c r="S178" i="9" s="1"/>
  <c r="R30" i="9"/>
  <c r="Q30" i="9"/>
  <c r="P30" i="9"/>
  <c r="P53" i="9" s="1"/>
  <c r="O30" i="9"/>
  <c r="O178" i="9" s="1"/>
  <c r="N30" i="9"/>
  <c r="N53" i="9" s="1"/>
  <c r="N178" i="9"/>
  <c r="M30" i="9"/>
  <c r="M53" i="9" s="1"/>
  <c r="L30" i="9"/>
  <c r="K30" i="9"/>
  <c r="J30" i="9"/>
  <c r="I30" i="9"/>
  <c r="H30" i="9"/>
  <c r="H53" i="9" s="1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V9" i="9"/>
  <c r="U9" i="9"/>
  <c r="T9" i="9"/>
  <c r="S9" i="9"/>
  <c r="R9" i="9"/>
  <c r="Q9" i="9"/>
  <c r="P9" i="9"/>
  <c r="O9" i="9"/>
  <c r="N9" i="9"/>
  <c r="M9" i="9"/>
  <c r="L9" i="9"/>
  <c r="K9" i="9"/>
  <c r="J9" i="9"/>
  <c r="H9" i="9"/>
  <c r="V8" i="9"/>
  <c r="U8" i="9"/>
  <c r="T8" i="9"/>
  <c r="S8" i="9"/>
  <c r="R8" i="9"/>
  <c r="Q8" i="9"/>
  <c r="P8" i="9"/>
  <c r="O8" i="9"/>
  <c r="N8" i="9"/>
  <c r="M8" i="9"/>
  <c r="L8" i="9"/>
  <c r="K8" i="9"/>
  <c r="J8" i="9"/>
  <c r="H8" i="9"/>
  <c r="V7" i="9"/>
  <c r="U7" i="9"/>
  <c r="T7" i="9"/>
  <c r="S7" i="9"/>
  <c r="R7" i="9"/>
  <c r="Q7" i="9"/>
  <c r="P7" i="9"/>
  <c r="O7" i="9"/>
  <c r="N7" i="9"/>
  <c r="M7" i="9"/>
  <c r="L7" i="9"/>
  <c r="J7" i="9"/>
  <c r="I7" i="9"/>
  <c r="H7" i="9"/>
  <c r="V6" i="9"/>
  <c r="U6" i="9"/>
  <c r="T6" i="9"/>
  <c r="S6" i="9"/>
  <c r="R6" i="9"/>
  <c r="P6" i="9"/>
  <c r="O6" i="9"/>
  <c r="N6" i="9"/>
  <c r="M6" i="9"/>
  <c r="L6" i="9"/>
  <c r="K6" i="9"/>
  <c r="J6" i="9"/>
  <c r="I6" i="9"/>
  <c r="H6" i="9"/>
  <c r="I158" i="4"/>
  <c r="J155" i="4"/>
  <c r="K155" i="4"/>
  <c r="L155" i="4"/>
  <c r="M155" i="4"/>
  <c r="N155" i="4"/>
  <c r="S155" i="4"/>
  <c r="H156" i="4"/>
  <c r="L156" i="4"/>
  <c r="M156" i="4"/>
  <c r="N156" i="4"/>
  <c r="H157" i="4"/>
  <c r="I157" i="4"/>
  <c r="J157" i="4"/>
  <c r="M157" i="4"/>
  <c r="N157" i="4"/>
  <c r="P157" i="4"/>
  <c r="R157" i="4"/>
  <c r="H158" i="4"/>
  <c r="N158" i="4"/>
  <c r="O158" i="4"/>
  <c r="H159" i="4"/>
  <c r="I159" i="4"/>
  <c r="J159" i="4"/>
  <c r="H160" i="4"/>
  <c r="I160" i="4"/>
  <c r="J160" i="4"/>
  <c r="K160" i="4"/>
  <c r="I161" i="4"/>
  <c r="J161" i="4"/>
  <c r="K161" i="4"/>
  <c r="L161" i="4"/>
  <c r="O161" i="4"/>
  <c r="P161" i="4"/>
  <c r="H162" i="4"/>
  <c r="I162" i="4"/>
  <c r="J162" i="4"/>
  <c r="K162" i="4"/>
  <c r="L162" i="4"/>
  <c r="M162" i="4"/>
  <c r="Q162" i="4"/>
  <c r="R162" i="4"/>
  <c r="S162" i="4"/>
  <c r="K163" i="4"/>
  <c r="L163" i="4"/>
  <c r="M163" i="4"/>
  <c r="N163" i="4"/>
  <c r="S163" i="4"/>
  <c r="T163" i="4"/>
  <c r="H164" i="4"/>
  <c r="I164" i="4"/>
  <c r="L164" i="4"/>
  <c r="M164" i="4"/>
  <c r="N164" i="4"/>
  <c r="P164" i="4"/>
  <c r="Q164" i="4"/>
  <c r="H165" i="4"/>
  <c r="I165" i="4"/>
  <c r="M165" i="4"/>
  <c r="N165" i="4"/>
  <c r="Q165" i="4"/>
  <c r="S165" i="4"/>
  <c r="T165" i="4"/>
  <c r="H166" i="4"/>
  <c r="I166" i="4"/>
  <c r="N166" i="4"/>
  <c r="O166" i="4"/>
  <c r="T166" i="4"/>
  <c r="H167" i="4"/>
  <c r="I167" i="4"/>
  <c r="J167" i="4"/>
  <c r="O167" i="4"/>
  <c r="P167" i="4"/>
  <c r="Q167" i="4"/>
  <c r="R167" i="4"/>
  <c r="H168" i="4"/>
  <c r="I168" i="4"/>
  <c r="J168" i="4"/>
  <c r="K168" i="4"/>
  <c r="L168" i="4"/>
  <c r="R168" i="4"/>
  <c r="S168" i="4"/>
  <c r="T168" i="4"/>
  <c r="I169" i="4"/>
  <c r="J169" i="4"/>
  <c r="K169" i="4"/>
  <c r="L169" i="4"/>
  <c r="M169" i="4"/>
  <c r="N169" i="4"/>
  <c r="O169" i="4"/>
  <c r="J170" i="4"/>
  <c r="K170" i="4"/>
  <c r="L170" i="4"/>
  <c r="M170" i="4"/>
  <c r="P170" i="4"/>
  <c r="Q170" i="4"/>
  <c r="K171" i="4"/>
  <c r="L171" i="4"/>
  <c r="M171" i="4"/>
  <c r="N171" i="4"/>
  <c r="S171" i="4"/>
  <c r="L172" i="4"/>
  <c r="M172" i="4"/>
  <c r="N172" i="4"/>
  <c r="O172" i="4"/>
  <c r="P172" i="4"/>
  <c r="H173" i="4"/>
  <c r="M173" i="4"/>
  <c r="N173" i="4"/>
  <c r="Q173" i="4"/>
  <c r="T173" i="4"/>
  <c r="H174" i="4"/>
  <c r="I174" i="4"/>
  <c r="L174" i="4"/>
  <c r="M174" i="4"/>
  <c r="N174" i="4"/>
  <c r="O174" i="4"/>
  <c r="H175" i="4"/>
  <c r="I175" i="4"/>
  <c r="J175" i="4"/>
  <c r="O175" i="4"/>
  <c r="P175" i="4"/>
  <c r="H176" i="4"/>
  <c r="I176" i="4"/>
  <c r="J176" i="4"/>
  <c r="K176" i="4"/>
  <c r="L176" i="4"/>
  <c r="M176" i="4"/>
  <c r="R176" i="4"/>
  <c r="J154" i="4"/>
  <c r="K154" i="4"/>
  <c r="L154" i="4"/>
  <c r="M154" i="4"/>
  <c r="N154" i="4"/>
  <c r="Q154" i="4"/>
  <c r="K179" i="4"/>
  <c r="L179" i="4"/>
  <c r="N179" i="4"/>
  <c r="Q179" i="4"/>
  <c r="R179" i="4"/>
  <c r="S179" i="4"/>
  <c r="L180" i="4"/>
  <c r="M180" i="4"/>
  <c r="N180" i="4"/>
  <c r="T180" i="4"/>
  <c r="H181" i="4"/>
  <c r="I181" i="4"/>
  <c r="M181" i="4"/>
  <c r="N181" i="4"/>
  <c r="H182" i="4"/>
  <c r="J182" i="4"/>
  <c r="K182" i="4"/>
  <c r="L182" i="4"/>
  <c r="N182" i="4"/>
  <c r="S182" i="4"/>
  <c r="H183" i="4"/>
  <c r="I183" i="4"/>
  <c r="J183" i="4"/>
  <c r="O183" i="4"/>
  <c r="T183" i="4"/>
  <c r="H184" i="4"/>
  <c r="I184" i="4"/>
  <c r="J184" i="4"/>
  <c r="K184" i="4"/>
  <c r="R184" i="4"/>
  <c r="I185" i="4"/>
  <c r="J185" i="4"/>
  <c r="K185" i="4"/>
  <c r="L185" i="4"/>
  <c r="M185" i="4"/>
  <c r="S185" i="4"/>
  <c r="T185" i="4"/>
  <c r="J186" i="4"/>
  <c r="K186" i="4"/>
  <c r="L186" i="4"/>
  <c r="M186" i="4"/>
  <c r="H187" i="4"/>
  <c r="I187" i="4"/>
  <c r="J187" i="4"/>
  <c r="L187" i="4"/>
  <c r="M187" i="4"/>
  <c r="N187" i="4"/>
  <c r="Q187" i="4"/>
  <c r="R187" i="4"/>
  <c r="S187" i="4"/>
  <c r="L188" i="4"/>
  <c r="M188" i="4"/>
  <c r="N188" i="4"/>
  <c r="S188" i="4"/>
  <c r="T188" i="4"/>
  <c r="H189" i="4"/>
  <c r="I189" i="4"/>
  <c r="M189" i="4"/>
  <c r="N189" i="4"/>
  <c r="P189" i="4"/>
  <c r="Q189" i="4"/>
  <c r="H190" i="4"/>
  <c r="I190" i="4"/>
  <c r="J190" i="4"/>
  <c r="N190" i="4"/>
  <c r="R190" i="4"/>
  <c r="S190" i="4"/>
  <c r="T190" i="4"/>
  <c r="H191" i="4"/>
  <c r="I191" i="4"/>
  <c r="J191" i="4"/>
  <c r="O191" i="4"/>
  <c r="T191" i="4"/>
  <c r="H192" i="4"/>
  <c r="I192" i="4"/>
  <c r="J192" i="4"/>
  <c r="K192" i="4"/>
  <c r="O192" i="4"/>
  <c r="P192" i="4"/>
  <c r="Q192" i="4"/>
  <c r="R192" i="4"/>
  <c r="I193" i="4"/>
  <c r="J193" i="4"/>
  <c r="K193" i="4"/>
  <c r="L193" i="4"/>
  <c r="M193" i="4"/>
  <c r="R193" i="4"/>
  <c r="S193" i="4"/>
  <c r="H194" i="4"/>
  <c r="J194" i="4"/>
  <c r="L194" i="4"/>
  <c r="M194" i="4"/>
  <c r="N194" i="4"/>
  <c r="P194" i="4"/>
  <c r="H195" i="4"/>
  <c r="I195" i="4"/>
  <c r="K195" i="4"/>
  <c r="L195" i="4"/>
  <c r="M195" i="4"/>
  <c r="N195" i="4"/>
  <c r="P195" i="4"/>
  <c r="Q195" i="4"/>
  <c r="R195" i="4"/>
  <c r="L196" i="4"/>
  <c r="M196" i="4"/>
  <c r="N196" i="4"/>
  <c r="S196" i="4"/>
  <c r="T196" i="4"/>
  <c r="H197" i="4"/>
  <c r="M197" i="4"/>
  <c r="N197" i="4"/>
  <c r="P197" i="4"/>
  <c r="Q197" i="4"/>
  <c r="I198" i="4"/>
  <c r="J198" i="4"/>
  <c r="N198" i="4"/>
  <c r="R198" i="4"/>
  <c r="S198" i="4"/>
  <c r="T198" i="4"/>
  <c r="H199" i="4"/>
  <c r="I199" i="4"/>
  <c r="J199" i="4"/>
  <c r="O199" i="4"/>
  <c r="T199" i="4"/>
  <c r="I200" i="4"/>
  <c r="J200" i="4"/>
  <c r="K200" i="4"/>
  <c r="Q200" i="4"/>
  <c r="R200" i="4"/>
  <c r="J178" i="4"/>
  <c r="K178" i="4"/>
  <c r="L178" i="4"/>
  <c r="M178" i="4"/>
  <c r="N178" i="4"/>
  <c r="T178" i="4"/>
  <c r="H178" i="4"/>
  <c r="F66" i="2"/>
  <c r="F67" i="2"/>
  <c r="F68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52" i="2"/>
  <c r="V52" i="2" s="1"/>
  <c r="U52" i="2"/>
  <c r="J150" i="4"/>
  <c r="I150" i="4"/>
  <c r="H150" i="4"/>
  <c r="G150" i="4"/>
  <c r="F150" i="4"/>
  <c r="J149" i="4"/>
  <c r="I149" i="4"/>
  <c r="H149" i="4"/>
  <c r="G149" i="4"/>
  <c r="F149" i="4"/>
  <c r="J148" i="4"/>
  <c r="I148" i="4"/>
  <c r="P188" i="4"/>
  <c r="H148" i="4"/>
  <c r="G148" i="4"/>
  <c r="F148" i="4"/>
  <c r="J147" i="4"/>
  <c r="I147" i="4"/>
  <c r="H147" i="4"/>
  <c r="G147" i="4"/>
  <c r="F147" i="4"/>
  <c r="J146" i="4"/>
  <c r="I146" i="4"/>
  <c r="K199" i="4"/>
  <c r="H146" i="4"/>
  <c r="G146" i="4"/>
  <c r="F146" i="4"/>
  <c r="J145" i="4"/>
  <c r="I145" i="4"/>
  <c r="H145" i="4"/>
  <c r="M179" i="4"/>
  <c r="G145" i="4"/>
  <c r="F145" i="4"/>
  <c r="J144" i="4"/>
  <c r="I144" i="4"/>
  <c r="H144" i="4"/>
  <c r="G144" i="4"/>
  <c r="F144" i="4"/>
  <c r="J143" i="4"/>
  <c r="I143" i="4"/>
  <c r="H143" i="4"/>
  <c r="G143" i="4"/>
  <c r="F143" i="4"/>
  <c r="J142" i="4"/>
  <c r="I142" i="4"/>
  <c r="H142" i="4"/>
  <c r="G142" i="4"/>
  <c r="F142" i="4"/>
  <c r="J141" i="4"/>
  <c r="I141" i="4"/>
  <c r="H141" i="4"/>
  <c r="G141" i="4"/>
  <c r="F141" i="4"/>
  <c r="J140" i="4"/>
  <c r="I140" i="4"/>
  <c r="H140" i="4"/>
  <c r="G140" i="4"/>
  <c r="F140" i="4"/>
  <c r="J139" i="4"/>
  <c r="I139" i="4"/>
  <c r="H139" i="4"/>
  <c r="G139" i="4"/>
  <c r="F139" i="4"/>
  <c r="J138" i="4"/>
  <c r="I138" i="4"/>
  <c r="H138" i="4"/>
  <c r="G138" i="4"/>
  <c r="F138" i="4"/>
  <c r="J137" i="4"/>
  <c r="I137" i="4"/>
  <c r="H137" i="4"/>
  <c r="G137" i="4"/>
  <c r="F137" i="4"/>
  <c r="J136" i="4"/>
  <c r="I136" i="4"/>
  <c r="H136" i="4"/>
  <c r="G136" i="4"/>
  <c r="F136" i="4"/>
  <c r="J135" i="4"/>
  <c r="I135" i="4"/>
  <c r="H135" i="4"/>
  <c r="I182" i="4"/>
  <c r="G135" i="4"/>
  <c r="F135" i="4"/>
  <c r="J134" i="4"/>
  <c r="I134" i="4"/>
  <c r="H134" i="4"/>
  <c r="G134" i="4"/>
  <c r="F134" i="4"/>
  <c r="J133" i="4"/>
  <c r="I133" i="4"/>
  <c r="H133" i="4"/>
  <c r="G133" i="4"/>
  <c r="F133" i="4"/>
  <c r="J132" i="4"/>
  <c r="H200" i="4"/>
  <c r="I132" i="4"/>
  <c r="H132" i="4"/>
  <c r="G132" i="4"/>
  <c r="F132" i="4"/>
  <c r="J131" i="4"/>
  <c r="I131" i="4"/>
  <c r="H131" i="4"/>
  <c r="H198" i="4"/>
  <c r="G131" i="4"/>
  <c r="F131" i="4"/>
  <c r="J130" i="4"/>
  <c r="I130" i="4"/>
  <c r="H130" i="4"/>
  <c r="G130" i="4"/>
  <c r="F130" i="4"/>
  <c r="J129" i="4"/>
  <c r="I129" i="4"/>
  <c r="H129" i="4"/>
  <c r="G129" i="4"/>
  <c r="F129" i="4"/>
  <c r="J128" i="4"/>
  <c r="I128" i="4"/>
  <c r="H128" i="4"/>
  <c r="G128" i="4"/>
  <c r="F128" i="4"/>
  <c r="C31" i="5"/>
  <c r="C32" i="5"/>
  <c r="C33" i="5"/>
  <c r="C34" i="5" s="1"/>
  <c r="C35" i="5" s="1"/>
  <c r="C36" i="5" s="1"/>
  <c r="C37" i="5" s="1"/>
  <c r="C38" i="5" s="1"/>
  <c r="C39" i="5" s="1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H52" i="4"/>
  <c r="T200" i="4"/>
  <c r="S200" i="4"/>
  <c r="Q176" i="4"/>
  <c r="P176" i="4"/>
  <c r="O176" i="4"/>
  <c r="H51" i="4"/>
  <c r="T175" i="4"/>
  <c r="S175" i="4"/>
  <c r="R199" i="4"/>
  <c r="P199" i="4"/>
  <c r="H50" i="4"/>
  <c r="T174" i="4"/>
  <c r="R174" i="4"/>
  <c r="Q174" i="4"/>
  <c r="H49" i="4"/>
  <c r="T197" i="4"/>
  <c r="S197" i="4"/>
  <c r="P173" i="4"/>
  <c r="O173" i="4"/>
  <c r="H48" i="4"/>
  <c r="S172" i="4"/>
  <c r="Q196" i="4"/>
  <c r="P196" i="4"/>
  <c r="O196" i="4"/>
  <c r="H47" i="4"/>
  <c r="T195" i="4"/>
  <c r="R171" i="4"/>
  <c r="Q171" i="4"/>
  <c r="P171" i="4"/>
  <c r="H46" i="4"/>
  <c r="T170" i="4"/>
  <c r="S194" i="4"/>
  <c r="R194" i="4"/>
  <c r="Q194" i="4"/>
  <c r="O170" i="4"/>
  <c r="H45" i="4"/>
  <c r="S169" i="4"/>
  <c r="R169" i="4"/>
  <c r="O193" i="4"/>
  <c r="H44" i="4"/>
  <c r="T192" i="4"/>
  <c r="S192" i="4"/>
  <c r="Q168" i="4"/>
  <c r="P168" i="4"/>
  <c r="O168" i="4"/>
  <c r="H43" i="4"/>
  <c r="T167" i="4"/>
  <c r="S167" i="4"/>
  <c r="R191" i="4"/>
  <c r="P191" i="4"/>
  <c r="H42" i="4"/>
  <c r="R166" i="4"/>
  <c r="Q166" i="4"/>
  <c r="H41" i="4"/>
  <c r="T189" i="4"/>
  <c r="S189" i="4"/>
  <c r="P165" i="4"/>
  <c r="O165" i="4"/>
  <c r="H40" i="4"/>
  <c r="Q188" i="4"/>
  <c r="O164" i="4"/>
  <c r="H39" i="4"/>
  <c r="T187" i="4"/>
  <c r="R163" i="4"/>
  <c r="Q163" i="4"/>
  <c r="P163" i="4"/>
  <c r="H38" i="4"/>
  <c r="S186" i="4"/>
  <c r="R186" i="4"/>
  <c r="P162" i="4"/>
  <c r="O162" i="4"/>
  <c r="H37" i="4"/>
  <c r="T161" i="4"/>
  <c r="S161" i="4"/>
  <c r="R161" i="4"/>
  <c r="P185" i="4"/>
  <c r="O185" i="4"/>
  <c r="H36" i="4"/>
  <c r="T184" i="4"/>
  <c r="S184" i="4"/>
  <c r="R160" i="4"/>
  <c r="Q160" i="4"/>
  <c r="P160" i="4"/>
  <c r="O160" i="4"/>
  <c r="H35" i="4"/>
  <c r="T159" i="4"/>
  <c r="R183" i="4"/>
  <c r="Q183" i="4"/>
  <c r="P183" i="4"/>
  <c r="O159" i="4"/>
  <c r="H34" i="4"/>
  <c r="S158" i="4"/>
  <c r="R158" i="4"/>
  <c r="Q158" i="4"/>
  <c r="O182" i="4"/>
  <c r="H33" i="4"/>
  <c r="S181" i="4"/>
  <c r="R181" i="4"/>
  <c r="Q181" i="4"/>
  <c r="P181" i="4"/>
  <c r="O157" i="4"/>
  <c r="H32" i="4"/>
  <c r="T156" i="4"/>
  <c r="S156" i="4"/>
  <c r="P180" i="4"/>
  <c r="O180" i="4"/>
  <c r="H31" i="4"/>
  <c r="T179" i="4"/>
  <c r="R155" i="4"/>
  <c r="Q155" i="4"/>
  <c r="P155" i="4"/>
  <c r="H30" i="4"/>
  <c r="T154" i="4"/>
  <c r="S154" i="4"/>
  <c r="Q178" i="4"/>
  <c r="P178" i="4"/>
  <c r="O178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I52" i="4"/>
  <c r="I98" i="4"/>
  <c r="I75" i="4"/>
  <c r="I121" i="4"/>
  <c r="I51" i="4"/>
  <c r="I74" i="4"/>
  <c r="I120" i="4" s="1"/>
  <c r="I50" i="4"/>
  <c r="I96" i="4" s="1"/>
  <c r="I73" i="4"/>
  <c r="I119" i="4" s="1"/>
  <c r="I49" i="4"/>
  <c r="I72" i="4" s="1"/>
  <c r="I118" i="4" s="1"/>
  <c r="I48" i="4"/>
  <c r="I94" i="4" s="1"/>
  <c r="I71" i="4"/>
  <c r="I117" i="4" s="1"/>
  <c r="I47" i="4"/>
  <c r="I93" i="4"/>
  <c r="I46" i="4"/>
  <c r="I69" i="4"/>
  <c r="I115" i="4" s="1"/>
  <c r="I45" i="4"/>
  <c r="I91" i="4" s="1"/>
  <c r="I68" i="4"/>
  <c r="I114" i="4"/>
  <c r="I44" i="4"/>
  <c r="I90" i="4" s="1"/>
  <c r="I43" i="4"/>
  <c r="I89" i="4" s="1"/>
  <c r="I42" i="4"/>
  <c r="I88" i="4" s="1"/>
  <c r="I65" i="4"/>
  <c r="I111" i="4" s="1"/>
  <c r="I41" i="4"/>
  <c r="I64" i="4" s="1"/>
  <c r="I110" i="4" s="1"/>
  <c r="I40" i="4"/>
  <c r="I86" i="4" s="1"/>
  <c r="I63" i="4"/>
  <c r="I109" i="4"/>
  <c r="I39" i="4"/>
  <c r="I85" i="4"/>
  <c r="I38" i="4"/>
  <c r="I61" i="4"/>
  <c r="I107" i="4"/>
  <c r="I37" i="4"/>
  <c r="I83" i="4" s="1"/>
  <c r="I36" i="4"/>
  <c r="I59" i="4"/>
  <c r="I105" i="4" s="1"/>
  <c r="I35" i="4"/>
  <c r="I58" i="4" s="1"/>
  <c r="I104" i="4" s="1"/>
  <c r="I81" i="4"/>
  <c r="I34" i="4"/>
  <c r="I57" i="4" s="1"/>
  <c r="I103" i="4" s="1"/>
  <c r="I33" i="4"/>
  <c r="I79" i="4" s="1"/>
  <c r="I56" i="4"/>
  <c r="I102" i="4" s="1"/>
  <c r="I32" i="4"/>
  <c r="I78" i="4" s="1"/>
  <c r="I31" i="4"/>
  <c r="I54" i="4"/>
  <c r="I100" i="4" s="1"/>
  <c r="I30" i="4"/>
  <c r="I53" i="4" s="1"/>
  <c r="I99" i="4" s="1"/>
  <c r="I28" i="4"/>
  <c r="W41" i="1"/>
  <c r="X41" i="1" s="1"/>
  <c r="I27" i="4"/>
  <c r="W40" i="1" s="1"/>
  <c r="X40" i="1" s="1"/>
  <c r="I26" i="4"/>
  <c r="W39" i="1"/>
  <c r="X39" i="1" s="1"/>
  <c r="I25" i="4"/>
  <c r="W38" i="1"/>
  <c r="X38" i="1"/>
  <c r="I24" i="4"/>
  <c r="W37" i="1" s="1"/>
  <c r="X37" i="1" s="1"/>
  <c r="I23" i="4"/>
  <c r="W36" i="1"/>
  <c r="X36" i="1" s="1"/>
  <c r="I22" i="4"/>
  <c r="W35" i="1" s="1"/>
  <c r="X35" i="1" s="1"/>
  <c r="I21" i="4"/>
  <c r="W34" i="1" s="1"/>
  <c r="X34" i="1" s="1"/>
  <c r="I20" i="4"/>
  <c r="W33" i="1"/>
  <c r="X33" i="1"/>
  <c r="I19" i="4"/>
  <c r="W32" i="1"/>
  <c r="X32" i="1" s="1"/>
  <c r="I18" i="4"/>
  <c r="W31" i="1" s="1"/>
  <c r="X31" i="1" s="1"/>
  <c r="I17" i="4"/>
  <c r="W30" i="1" s="1"/>
  <c r="X30" i="1" s="1"/>
  <c r="I16" i="4"/>
  <c r="W29" i="1"/>
  <c r="X29" i="1"/>
  <c r="I15" i="4"/>
  <c r="W28" i="1" s="1"/>
  <c r="X28" i="1" s="1"/>
  <c r="I14" i="4"/>
  <c r="W27" i="1"/>
  <c r="X27" i="1"/>
  <c r="I13" i="4"/>
  <c r="W26" i="1"/>
  <c r="X26" i="1"/>
  <c r="I12" i="4"/>
  <c r="W25" i="1" s="1"/>
  <c r="X25" i="1" s="1"/>
  <c r="I11" i="4"/>
  <c r="W24" i="1"/>
  <c r="X24" i="1"/>
  <c r="I10" i="4"/>
  <c r="W23" i="1"/>
  <c r="X23" i="1" s="1"/>
  <c r="I9" i="4"/>
  <c r="W22" i="1"/>
  <c r="X22" i="1" s="1"/>
  <c r="I8" i="4"/>
  <c r="W21" i="1" s="1"/>
  <c r="X21" i="1" s="1"/>
  <c r="I7" i="4"/>
  <c r="W20" i="1"/>
  <c r="X20" i="1"/>
  <c r="I6" i="4"/>
  <c r="W19" i="1"/>
  <c r="X19" i="1" s="1"/>
  <c r="I84" i="4"/>
  <c r="I92" i="4"/>
  <c r="I95" i="4"/>
  <c r="I82" i="4"/>
  <c r="I77" i="4"/>
  <c r="I62" i="4"/>
  <c r="I108" i="4"/>
  <c r="I70" i="4"/>
  <c r="I116" i="4"/>
  <c r="R154" i="4"/>
  <c r="R178" i="4"/>
  <c r="R189" i="4"/>
  <c r="T169" i="4"/>
  <c r="K172" i="4"/>
  <c r="N167" i="4"/>
  <c r="I186" i="4"/>
  <c r="R165" i="4"/>
  <c r="S157" i="4"/>
  <c r="J164" i="4"/>
  <c r="J188" i="4"/>
  <c r="R156" i="4"/>
  <c r="R180" i="4"/>
  <c r="H186" i="4"/>
  <c r="I179" i="4"/>
  <c r="N184" i="4"/>
  <c r="I156" i="4"/>
  <c r="I180" i="4"/>
  <c r="T157" i="4"/>
  <c r="T181" i="4"/>
  <c r="S159" i="4"/>
  <c r="S183" i="4"/>
  <c r="T162" i="4"/>
  <c r="T186" i="4"/>
  <c r="Q169" i="4"/>
  <c r="Q193" i="4"/>
  <c r="J172" i="4"/>
  <c r="S178" i="4"/>
  <c r="P200" i="4"/>
  <c r="O194" i="4"/>
  <c r="N191" i="4"/>
  <c r="P187" i="4"/>
  <c r="P186" i="4"/>
  <c r="T182" i="4"/>
  <c r="H179" i="4"/>
  <c r="K173" i="4"/>
  <c r="M168" i="4"/>
  <c r="T160" i="4"/>
  <c r="T158" i="4"/>
  <c r="Q157" i="4"/>
  <c r="P156" i="4"/>
  <c r="K167" i="4"/>
  <c r="K191" i="4"/>
  <c r="K159" i="4"/>
  <c r="K183" i="4"/>
  <c r="M198" i="4"/>
  <c r="I194" i="4"/>
  <c r="L189" i="4"/>
  <c r="H185" i="4"/>
  <c r="L157" i="4"/>
  <c r="L181" i="4"/>
  <c r="I178" i="4"/>
  <c r="P193" i="4"/>
  <c r="Q191" i="4"/>
  <c r="O200" i="4"/>
  <c r="M191" i="4"/>
  <c r="Q184" i="4"/>
  <c r="L166" i="4"/>
  <c r="Q186" i="4"/>
  <c r="J196" i="4"/>
  <c r="L197" i="4"/>
  <c r="L199" i="4"/>
  <c r="L191" i="4"/>
  <c r="O189" i="4"/>
  <c r="R185" i="4"/>
  <c r="P184" i="4"/>
  <c r="R182" i="4"/>
  <c r="S180" i="4"/>
  <c r="P179" i="4"/>
  <c r="P154" i="4"/>
  <c r="T176" i="4"/>
  <c r="S173" i="4"/>
  <c r="I173" i="4"/>
  <c r="I172" i="4"/>
  <c r="S170" i="4"/>
  <c r="I170" i="4"/>
  <c r="L165" i="4"/>
  <c r="Q159" i="4"/>
  <c r="Q156" i="4"/>
  <c r="Q180" i="4"/>
  <c r="P158" i="4"/>
  <c r="P182" i="4"/>
  <c r="N175" i="4"/>
  <c r="J171" i="4"/>
  <c r="M190" i="4"/>
  <c r="J163" i="4"/>
  <c r="M182" i="4"/>
  <c r="T155" i="4"/>
  <c r="L173" i="4"/>
  <c r="R172" i="4"/>
  <c r="R196" i="4"/>
  <c r="M199" i="4"/>
  <c r="O197" i="4"/>
  <c r="Q190" i="4"/>
  <c r="I154" i="4"/>
  <c r="N161" i="4"/>
  <c r="S160" i="4"/>
  <c r="R159" i="4"/>
  <c r="O156" i="4"/>
  <c r="O163" i="4"/>
  <c r="O187" i="4"/>
  <c r="R164" i="4"/>
  <c r="R188" i="4"/>
  <c r="R197" i="4"/>
  <c r="P174" i="4"/>
  <c r="P198" i="4"/>
  <c r="K196" i="4"/>
  <c r="O184" i="4"/>
  <c r="M183" i="4"/>
  <c r="Q182" i="4"/>
  <c r="O154" i="4"/>
  <c r="S176" i="4"/>
  <c r="R175" i="4"/>
  <c r="R173" i="4"/>
  <c r="H172" i="4"/>
  <c r="R170" i="4"/>
  <c r="H170" i="4"/>
  <c r="K165" i="4"/>
  <c r="M160" i="4"/>
  <c r="P159" i="4"/>
  <c r="M158" i="4"/>
  <c r="P166" i="4"/>
  <c r="P190" i="4"/>
  <c r="H193" i="4"/>
  <c r="K164" i="4"/>
  <c r="N159" i="4"/>
  <c r="K156" i="4"/>
  <c r="Q161" i="4"/>
  <c r="Q185" i="4"/>
  <c r="O188" i="4"/>
  <c r="T193" i="4"/>
  <c r="J179" i="4"/>
  <c r="N176" i="4"/>
  <c r="N200" i="4"/>
  <c r="N168" i="4"/>
  <c r="N192" i="4"/>
  <c r="J156" i="4"/>
  <c r="J180" i="4"/>
  <c r="Q199" i="4"/>
  <c r="I97" i="4"/>
  <c r="O171" i="4"/>
  <c r="O195" i="4"/>
  <c r="Q198" i="4"/>
  <c r="O186" i="4"/>
  <c r="J173" i="4"/>
  <c r="O155" i="4"/>
  <c r="O179" i="4"/>
  <c r="S164" i="4"/>
  <c r="K198" i="4"/>
  <c r="S195" i="4"/>
  <c r="J195" i="4"/>
  <c r="K190" i="4"/>
  <c r="K188" i="4"/>
  <c r="L183" i="4"/>
  <c r="O181" i="4"/>
  <c r="Q175" i="4"/>
  <c r="Q172" i="4"/>
  <c r="T171" i="4"/>
  <c r="P169" i="4"/>
  <c r="H169" i="4"/>
  <c r="J165" i="4"/>
  <c r="L160" i="4"/>
  <c r="K157" i="4"/>
  <c r="S199" i="4"/>
  <c r="T194" i="4"/>
  <c r="S191" i="4"/>
  <c r="S174" i="4"/>
  <c r="S166" i="4"/>
  <c r="O198" i="4"/>
  <c r="O190" i="4"/>
  <c r="T172" i="4"/>
  <c r="T164" i="4"/>
  <c r="J164" i="9"/>
  <c r="J188" i="9"/>
  <c r="T190" i="9"/>
  <c r="T65" i="9"/>
  <c r="R172" i="9"/>
  <c r="R196" i="9"/>
  <c r="Q155" i="9"/>
  <c r="M182" i="9"/>
  <c r="M158" i="9"/>
  <c r="V81" i="9"/>
  <c r="V58" i="9"/>
  <c r="V104" i="9"/>
  <c r="I186" i="9"/>
  <c r="I162" i="9"/>
  <c r="I61" i="9"/>
  <c r="M166" i="9"/>
  <c r="O168" i="9"/>
  <c r="O67" i="9"/>
  <c r="T173" i="9"/>
  <c r="T197" i="9"/>
  <c r="J54" i="9"/>
  <c r="J62" i="9"/>
  <c r="I161" i="9"/>
  <c r="I60" i="9"/>
  <c r="J186" i="9"/>
  <c r="J61" i="9"/>
  <c r="R186" i="9"/>
  <c r="R162" i="9"/>
  <c r="R61" i="9"/>
  <c r="S187" i="9"/>
  <c r="S163" i="9"/>
  <c r="S62" i="9"/>
  <c r="T188" i="9"/>
  <c r="T164" i="9"/>
  <c r="P192" i="9"/>
  <c r="P67" i="9"/>
  <c r="P168" i="9"/>
  <c r="J194" i="9"/>
  <c r="J170" i="9"/>
  <c r="J69" i="9"/>
  <c r="S64" i="9"/>
  <c r="P170" i="9"/>
  <c r="K154" i="9"/>
  <c r="K53" i="9"/>
  <c r="K178" i="9"/>
  <c r="L179" i="9"/>
  <c r="L155" i="9"/>
  <c r="L54" i="9"/>
  <c r="M156" i="9"/>
  <c r="M55" i="9"/>
  <c r="H183" i="9"/>
  <c r="J161" i="9"/>
  <c r="J60" i="9"/>
  <c r="T187" i="9"/>
  <c r="T163" i="9"/>
  <c r="T62" i="9"/>
  <c r="N158" i="9"/>
  <c r="I184" i="9"/>
  <c r="L154" i="9"/>
  <c r="L53" i="9"/>
  <c r="L178" i="9"/>
  <c r="T154" i="9"/>
  <c r="T53" i="9"/>
  <c r="M155" i="9"/>
  <c r="M54" i="9"/>
  <c r="N180" i="9"/>
  <c r="N156" i="9"/>
  <c r="N55" i="9"/>
  <c r="V78" i="9"/>
  <c r="V55" i="9"/>
  <c r="V101" i="9" s="1"/>
  <c r="O181" i="9"/>
  <c r="O157" i="9"/>
  <c r="O56" i="9"/>
  <c r="H158" i="9"/>
  <c r="H182" i="9"/>
  <c r="I183" i="9"/>
  <c r="I159" i="9"/>
  <c r="J184" i="9"/>
  <c r="J160" i="9"/>
  <c r="K185" i="9"/>
  <c r="K161" i="9"/>
  <c r="L162" i="9"/>
  <c r="L61" i="9"/>
  <c r="T162" i="9"/>
  <c r="T61" i="9"/>
  <c r="T186" i="9"/>
  <c r="M187" i="9"/>
  <c r="M62" i="9"/>
  <c r="N188" i="9"/>
  <c r="N63" i="9"/>
  <c r="V86" i="9"/>
  <c r="V63" i="9"/>
  <c r="V109" i="9" s="1"/>
  <c r="P166" i="9"/>
  <c r="P190" i="9"/>
  <c r="Q191" i="9"/>
  <c r="Q167" i="9"/>
  <c r="R192" i="9"/>
  <c r="R168" i="9"/>
  <c r="S193" i="9"/>
  <c r="S169" i="9"/>
  <c r="L170" i="9"/>
  <c r="L69" i="9"/>
  <c r="L194" i="9"/>
  <c r="O53" i="9"/>
  <c r="Q54" i="9"/>
  <c r="V56" i="9"/>
  <c r="V102" i="9"/>
  <c r="I58" i="9"/>
  <c r="O61" i="9"/>
  <c r="S63" i="9"/>
  <c r="V64" i="9"/>
  <c r="V110" i="9"/>
  <c r="I66" i="9"/>
  <c r="M68" i="9"/>
  <c r="O69" i="9"/>
  <c r="Q70" i="9"/>
  <c r="V84" i="9"/>
  <c r="N154" i="9"/>
  <c r="T156" i="9"/>
  <c r="S161" i="9"/>
  <c r="L164" i="9"/>
  <c r="K169" i="9"/>
  <c r="Q171" i="9"/>
  <c r="I180" i="9"/>
  <c r="O182" i="9"/>
  <c r="T189" i="9"/>
  <c r="S181" i="9"/>
  <c r="S157" i="9"/>
  <c r="V82" i="9"/>
  <c r="V59" i="9"/>
  <c r="V105" i="9" s="1"/>
  <c r="P186" i="9"/>
  <c r="P162" i="9"/>
  <c r="Q187" i="9"/>
  <c r="Q163" i="9"/>
  <c r="K189" i="9"/>
  <c r="K165" i="9"/>
  <c r="M191" i="9"/>
  <c r="M66" i="9"/>
  <c r="M167" i="9"/>
  <c r="O193" i="9"/>
  <c r="O68" i="9"/>
  <c r="T198" i="9"/>
  <c r="T73" i="9"/>
  <c r="T174" i="9"/>
  <c r="I62" i="9"/>
  <c r="N183" i="9"/>
  <c r="N58" i="9"/>
  <c r="K164" i="9"/>
  <c r="K188" i="9"/>
  <c r="P169" i="9"/>
  <c r="P68" i="9"/>
  <c r="Q194" i="9"/>
  <c r="Q170" i="9"/>
  <c r="Q69" i="9"/>
  <c r="N199" i="9"/>
  <c r="N74" i="9"/>
  <c r="H61" i="9"/>
  <c r="V97" i="9"/>
  <c r="J178" i="9"/>
  <c r="J154" i="9"/>
  <c r="J53" i="9"/>
  <c r="K179" i="9"/>
  <c r="K155" i="9"/>
  <c r="K54" i="9"/>
  <c r="L180" i="9"/>
  <c r="L156" i="9"/>
  <c r="S154" i="9"/>
  <c r="S53" i="9"/>
  <c r="H58" i="9"/>
  <c r="M154" i="9"/>
  <c r="M178" i="9"/>
  <c r="N155" i="9"/>
  <c r="N54" i="9"/>
  <c r="N179" i="9"/>
  <c r="O180" i="9"/>
  <c r="O156" i="9"/>
  <c r="O55" i="9"/>
  <c r="H181" i="9"/>
  <c r="H56" i="9"/>
  <c r="P157" i="9"/>
  <c r="P56" i="9"/>
  <c r="I158" i="9"/>
  <c r="I57" i="9"/>
  <c r="Q158" i="9"/>
  <c r="Q57" i="9"/>
  <c r="J159" i="9"/>
  <c r="J183" i="9"/>
  <c r="K184" i="9"/>
  <c r="K160" i="9"/>
  <c r="S184" i="9"/>
  <c r="S160" i="9"/>
  <c r="N163" i="9"/>
  <c r="N62" i="9"/>
  <c r="O188" i="9"/>
  <c r="O164" i="9"/>
  <c r="O63" i="9"/>
  <c r="H165" i="9"/>
  <c r="H64" i="9"/>
  <c r="P189" i="9"/>
  <c r="P64" i="9"/>
  <c r="I166" i="9"/>
  <c r="I65" i="9"/>
  <c r="Q166" i="9"/>
  <c r="Q190" i="9"/>
  <c r="Q65" i="9"/>
  <c r="R167" i="9"/>
  <c r="R191" i="9"/>
  <c r="K192" i="9"/>
  <c r="K168" i="9"/>
  <c r="R54" i="9"/>
  <c r="T55" i="9"/>
  <c r="J58" i="9"/>
  <c r="P61" i="9"/>
  <c r="R62" i="9"/>
  <c r="T63" i="9"/>
  <c r="H65" i="9"/>
  <c r="J66" i="9"/>
  <c r="L67" i="9"/>
  <c r="P69" i="9"/>
  <c r="R70" i="9"/>
  <c r="V85" i="9"/>
  <c r="N184" i="9"/>
  <c r="O154" i="9"/>
  <c r="H157" i="9"/>
  <c r="N159" i="9"/>
  <c r="T161" i="9"/>
  <c r="R171" i="9"/>
  <c r="J180" i="9"/>
  <c r="P182" i="9"/>
  <c r="I185" i="9"/>
  <c r="O187" i="9"/>
  <c r="H190" i="9"/>
  <c r="S199" i="9"/>
  <c r="I179" i="9"/>
  <c r="I155" i="9"/>
  <c r="R156" i="9"/>
  <c r="R180" i="9"/>
  <c r="T182" i="9"/>
  <c r="T57" i="9"/>
  <c r="T158" i="9"/>
  <c r="V90" i="9"/>
  <c r="V67" i="9"/>
  <c r="V113" i="9" s="1"/>
  <c r="H194" i="9"/>
  <c r="H170" i="9"/>
  <c r="I195" i="9"/>
  <c r="I171" i="9"/>
  <c r="L198" i="9"/>
  <c r="L73" i="9"/>
  <c r="N176" i="9"/>
  <c r="N200" i="9"/>
  <c r="I54" i="9"/>
  <c r="T181" i="9"/>
  <c r="O160" i="9"/>
  <c r="O184" i="9"/>
  <c r="O59" i="9"/>
  <c r="L165" i="9"/>
  <c r="L189" i="9"/>
  <c r="H169" i="9"/>
  <c r="H68" i="9"/>
  <c r="H193" i="9"/>
  <c r="M198" i="9"/>
  <c r="M174" i="9"/>
  <c r="O176" i="9"/>
  <c r="O200" i="9"/>
  <c r="O75" i="9"/>
  <c r="R155" i="9"/>
  <c r="R188" i="9"/>
  <c r="J196" i="9"/>
  <c r="R178" i="9"/>
  <c r="R53" i="9"/>
  <c r="S179" i="9"/>
  <c r="S54" i="9"/>
  <c r="P184" i="9"/>
  <c r="P59" i="9"/>
  <c r="M165" i="9"/>
  <c r="M189" i="9"/>
  <c r="N190" i="9"/>
  <c r="N166" i="9"/>
  <c r="H192" i="9"/>
  <c r="H67" i="9"/>
  <c r="Q169" i="9"/>
  <c r="Q68" i="9"/>
  <c r="S56" i="9"/>
  <c r="V57" i="9"/>
  <c r="V103" i="9" s="1"/>
  <c r="K163" i="9"/>
  <c r="K196" i="9"/>
  <c r="K162" i="9"/>
  <c r="K61" i="9"/>
  <c r="L187" i="9"/>
  <c r="L163" i="9"/>
  <c r="L62" i="9"/>
  <c r="N165" i="9"/>
  <c r="N189" i="9"/>
  <c r="T64" i="9"/>
  <c r="J179" i="9"/>
  <c r="O155" i="9"/>
  <c r="O179" i="9"/>
  <c r="H180" i="9"/>
  <c r="H55" i="9"/>
  <c r="P180" i="9"/>
  <c r="P156" i="9"/>
  <c r="P55" i="9"/>
  <c r="I181" i="9"/>
  <c r="I56" i="9"/>
  <c r="J182" i="9"/>
  <c r="J57" i="9"/>
  <c r="R182" i="9"/>
  <c r="R57" i="9"/>
  <c r="R158" i="9"/>
  <c r="K159" i="9"/>
  <c r="K183" i="9"/>
  <c r="K58" i="9"/>
  <c r="S159" i="9"/>
  <c r="S58" i="9"/>
  <c r="L184" i="9"/>
  <c r="L160" i="9"/>
  <c r="M185" i="9"/>
  <c r="M161" i="9"/>
  <c r="H188" i="9"/>
  <c r="H164" i="9"/>
  <c r="H63" i="9"/>
  <c r="I189" i="9"/>
  <c r="I165" i="9"/>
  <c r="I64" i="9"/>
  <c r="Q189" i="9"/>
  <c r="Q64" i="9"/>
  <c r="J190" i="9"/>
  <c r="J65" i="9"/>
  <c r="J166" i="9"/>
  <c r="R190" i="9"/>
  <c r="R65" i="9"/>
  <c r="K66" i="9"/>
  <c r="S167" i="9"/>
  <c r="S191" i="9"/>
  <c r="S66" i="9"/>
  <c r="T192" i="9"/>
  <c r="T168" i="9"/>
  <c r="O171" i="9"/>
  <c r="O195" i="9"/>
  <c r="H196" i="9"/>
  <c r="H71" i="9"/>
  <c r="P196" i="9"/>
  <c r="P172" i="9"/>
  <c r="P71" i="9"/>
  <c r="I197" i="9"/>
  <c r="I72" i="9"/>
  <c r="Q197" i="9"/>
  <c r="Q173" i="9"/>
  <c r="Q72" i="9"/>
  <c r="J198" i="9"/>
  <c r="J73" i="9"/>
  <c r="R198" i="9"/>
  <c r="R73" i="9"/>
  <c r="R174" i="9"/>
  <c r="K175" i="9"/>
  <c r="K74" i="9"/>
  <c r="L200" i="9"/>
  <c r="L176" i="9"/>
  <c r="I55" i="9"/>
  <c r="K56" i="9"/>
  <c r="M57" i="9"/>
  <c r="O58" i="9"/>
  <c r="Q59" i="9"/>
  <c r="S60" i="9"/>
  <c r="K64" i="9"/>
  <c r="M65" i="9"/>
  <c r="S68" i="9"/>
  <c r="V69" i="9"/>
  <c r="V115" i="9"/>
  <c r="I71" i="9"/>
  <c r="K72" i="9"/>
  <c r="M73" i="9"/>
  <c r="T75" i="9"/>
  <c r="V89" i="9"/>
  <c r="K199" i="9"/>
  <c r="I157" i="9"/>
  <c r="O159" i="9"/>
  <c r="H162" i="9"/>
  <c r="N164" i="9"/>
  <c r="T166" i="9"/>
  <c r="M169" i="9"/>
  <c r="L174" i="9"/>
  <c r="K180" i="9"/>
  <c r="Q182" i="9"/>
  <c r="J185" i="9"/>
  <c r="P187" i="9"/>
  <c r="I190" i="9"/>
  <c r="O192" i="9"/>
  <c r="H195" i="9"/>
  <c r="L182" i="9"/>
  <c r="L57" i="9"/>
  <c r="O185" i="9"/>
  <c r="O161" i="9"/>
  <c r="O60" i="9"/>
  <c r="L190" i="9"/>
  <c r="L65" i="9"/>
  <c r="L166" i="9"/>
  <c r="N168" i="9"/>
  <c r="N67" i="9"/>
  <c r="S197" i="9"/>
  <c r="S173" i="9"/>
  <c r="M199" i="9"/>
  <c r="M74" i="9"/>
  <c r="I70" i="9"/>
  <c r="I163" i="9"/>
  <c r="I178" i="9"/>
  <c r="I154" i="9"/>
  <c r="I53" i="9"/>
  <c r="Q178" i="9"/>
  <c r="Q154" i="9"/>
  <c r="Q53" i="9"/>
  <c r="S156" i="9"/>
  <c r="S180" i="9"/>
  <c r="H161" i="9"/>
  <c r="H60" i="9"/>
  <c r="P161" i="9"/>
  <c r="P60" i="9"/>
  <c r="P185" i="9"/>
  <c r="Q186" i="9"/>
  <c r="Q162" i="9"/>
  <c r="Q61" i="9"/>
  <c r="N66" i="9"/>
  <c r="N167" i="9"/>
  <c r="I194" i="9"/>
  <c r="I170" i="9"/>
  <c r="I69" i="9"/>
  <c r="S172" i="9"/>
  <c r="S196" i="9"/>
  <c r="J70" i="9"/>
  <c r="J163" i="9"/>
  <c r="N175" i="9"/>
  <c r="H184" i="9"/>
  <c r="H59" i="9"/>
  <c r="H160" i="9"/>
  <c r="Q161" i="9"/>
  <c r="Q60" i="9"/>
  <c r="Q185" i="9"/>
  <c r="O191" i="9"/>
  <c r="O167" i="9"/>
  <c r="I169" i="9"/>
  <c r="I68" i="9"/>
  <c r="I193" i="9"/>
  <c r="R194" i="9"/>
  <c r="R69" i="9"/>
  <c r="V98" i="9"/>
  <c r="S188" i="9"/>
  <c r="T179" i="9"/>
  <c r="T155" i="9"/>
  <c r="T54" i="9"/>
  <c r="P183" i="9"/>
  <c r="P159" i="9"/>
  <c r="R161" i="9"/>
  <c r="R60" i="9"/>
  <c r="R185" i="9"/>
  <c r="S162" i="9"/>
  <c r="S61" i="9"/>
  <c r="M188" i="9"/>
  <c r="M63" i="9"/>
  <c r="O166" i="9"/>
  <c r="O190" i="9"/>
  <c r="H191" i="9"/>
  <c r="H167" i="9"/>
  <c r="R55" i="9"/>
  <c r="T56" i="9"/>
  <c r="R63" i="9"/>
  <c r="H66" i="9"/>
  <c r="R71" i="9"/>
  <c r="T72" i="9"/>
  <c r="S165" i="9"/>
  <c r="R170" i="9"/>
  <c r="K173" i="9"/>
  <c r="P155" i="9"/>
  <c r="P179" i="9"/>
  <c r="Q156" i="9"/>
  <c r="Q180" i="9"/>
  <c r="J157" i="9"/>
  <c r="J56" i="9"/>
  <c r="R181" i="9"/>
  <c r="R157" i="9"/>
  <c r="R56" i="9"/>
  <c r="K182" i="9"/>
  <c r="K57" i="9"/>
  <c r="S57" i="9"/>
  <c r="S158" i="9"/>
  <c r="L159" i="9"/>
  <c r="L183" i="9"/>
  <c r="L58" i="9"/>
  <c r="T159" i="9"/>
  <c r="T58" i="9"/>
  <c r="M160" i="9"/>
  <c r="M59" i="9"/>
  <c r="N185" i="9"/>
  <c r="N161" i="9"/>
  <c r="H163" i="9"/>
  <c r="H187" i="9"/>
  <c r="I164" i="9"/>
  <c r="I188" i="9"/>
  <c r="J189" i="9"/>
  <c r="J165" i="9"/>
  <c r="J64" i="9"/>
  <c r="R189" i="9"/>
  <c r="R165" i="9"/>
  <c r="R64" i="9"/>
  <c r="K65" i="9"/>
  <c r="K166" i="9"/>
  <c r="S190" i="9"/>
  <c r="S65" i="9"/>
  <c r="L167" i="9"/>
  <c r="L66" i="9"/>
  <c r="T167" i="9"/>
  <c r="T191" i="9"/>
  <c r="T66" i="9"/>
  <c r="M168" i="9"/>
  <c r="M67" i="9"/>
  <c r="N193" i="9"/>
  <c r="N169" i="9"/>
  <c r="P171" i="9"/>
  <c r="P195" i="9"/>
  <c r="Q172" i="9"/>
  <c r="Q196" i="9"/>
  <c r="J197" i="9"/>
  <c r="J173" i="9"/>
  <c r="J72" i="9"/>
  <c r="R197" i="9"/>
  <c r="R173" i="9"/>
  <c r="R72" i="9"/>
  <c r="K198" i="9"/>
  <c r="K73" i="9"/>
  <c r="S73" i="9"/>
  <c r="S174" i="9"/>
  <c r="L175" i="9"/>
  <c r="L199" i="9"/>
  <c r="L74" i="9"/>
  <c r="T175" i="9"/>
  <c r="T74" i="9"/>
  <c r="M176" i="9"/>
  <c r="M200" i="9"/>
  <c r="H54" i="9"/>
  <c r="J55" i="9"/>
  <c r="L56" i="9"/>
  <c r="N57" i="9"/>
  <c r="P58" i="9"/>
  <c r="R59" i="9"/>
  <c r="T60" i="9"/>
  <c r="H62" i="9"/>
  <c r="J63" i="9"/>
  <c r="L64" i="9"/>
  <c r="N65" i="9"/>
  <c r="R67" i="9"/>
  <c r="H70" i="9"/>
  <c r="L72" i="9"/>
  <c r="J172" i="9"/>
  <c r="K187" i="9"/>
  <c r="R154" i="9"/>
  <c r="K157" i="9"/>
  <c r="Q159" i="9"/>
  <c r="J162" i="9"/>
  <c r="P164" i="9"/>
  <c r="I167" i="9"/>
  <c r="O169" i="9"/>
  <c r="H172" i="9"/>
  <c r="T176" i="9"/>
  <c r="M180" i="9"/>
  <c r="S182" i="9"/>
  <c r="L185" i="9"/>
  <c r="R187" i="9"/>
  <c r="K190" i="9"/>
  <c r="J195" i="9"/>
  <c r="K70" i="9"/>
  <c r="S70" i="9"/>
  <c r="M71" i="9"/>
  <c r="V71" i="9"/>
  <c r="V117" i="9"/>
  <c r="O72" i="9"/>
  <c r="I73" i="9"/>
  <c r="Q73" i="9"/>
  <c r="L172" i="9"/>
  <c r="O173" i="9"/>
  <c r="H176" i="9"/>
  <c r="N195" i="9"/>
  <c r="J199" i="9"/>
  <c r="P191" i="9"/>
  <c r="P167" i="9"/>
  <c r="T195" i="9"/>
  <c r="T171" i="9"/>
  <c r="H199" i="9"/>
  <c r="H175" i="9"/>
  <c r="P199" i="9"/>
  <c r="P175" i="9"/>
  <c r="T70" i="9"/>
  <c r="N71" i="9"/>
  <c r="H72" i="9"/>
  <c r="P72" i="9"/>
  <c r="P75" i="9"/>
  <c r="M179" i="9"/>
  <c r="I176" i="9"/>
  <c r="Q199" i="9"/>
  <c r="Q74" i="9"/>
  <c r="K69" i="9"/>
  <c r="S69" i="9"/>
  <c r="M70" i="9"/>
  <c r="V70" i="9"/>
  <c r="V116" i="9"/>
  <c r="Q75" i="9"/>
  <c r="N160" i="9"/>
  <c r="K171" i="9"/>
  <c r="N172" i="9"/>
  <c r="J176" i="9"/>
  <c r="J193" i="9"/>
  <c r="M194" i="9"/>
  <c r="I198" i="9"/>
  <c r="S192" i="9"/>
  <c r="S168" i="9"/>
  <c r="O196" i="9"/>
  <c r="O172" i="9"/>
  <c r="K75" i="9"/>
  <c r="K200" i="9"/>
  <c r="K176" i="9"/>
  <c r="S75" i="9"/>
  <c r="S200" i="9"/>
  <c r="S176" i="9"/>
  <c r="J68" i="9"/>
  <c r="R68" i="9"/>
  <c r="T69" i="9"/>
  <c r="N70" i="9"/>
  <c r="R75" i="9"/>
  <c r="O189" i="9"/>
  <c r="M171" i="9"/>
  <c r="I175" i="9"/>
  <c r="I6" i="1" l="1"/>
  <c r="I11" i="1" s="1"/>
  <c r="I12" i="1" s="1"/>
  <c r="F6" i="5"/>
  <c r="I76" i="4"/>
  <c r="I74" i="9"/>
  <c r="L169" i="9"/>
  <c r="Q192" i="9"/>
  <c r="J74" i="9"/>
  <c r="I87" i="4"/>
  <c r="O170" i="9"/>
  <c r="Q164" i="9"/>
  <c r="L193" i="9"/>
  <c r="P174" i="9"/>
  <c r="J67" i="9"/>
  <c r="T193" i="9"/>
  <c r="I55" i="4"/>
  <c r="I101" i="4" s="1"/>
  <c r="N56" i="9"/>
  <c r="N174" i="9"/>
  <c r="M196" i="9"/>
  <c r="P154" i="9"/>
  <c r="I66" i="4"/>
  <c r="I112" i="4" s="1"/>
  <c r="K172" i="9"/>
  <c r="V77" i="9"/>
  <c r="M197" i="9"/>
  <c r="M157" i="9"/>
  <c r="Q184" i="9"/>
  <c r="P163" i="9"/>
  <c r="J192" i="9"/>
  <c r="R58" i="9"/>
  <c r="T68" i="9"/>
  <c r="N197" i="9"/>
  <c r="V83" i="9"/>
  <c r="L70" i="9"/>
  <c r="I80" i="4"/>
  <c r="I67" i="4"/>
  <c r="I113" i="4" s="1"/>
  <c r="N157" i="9"/>
  <c r="R184" i="9"/>
  <c r="V68" i="9"/>
  <c r="V114" i="9" s="1"/>
  <c r="O198" i="9"/>
  <c r="V96" i="9"/>
  <c r="P198" i="9"/>
  <c r="P178" i="9"/>
  <c r="T184" i="9"/>
  <c r="N162" i="9"/>
  <c r="V88" i="9"/>
  <c r="Q56" i="9"/>
  <c r="M58" i="9"/>
  <c r="O162" i="9"/>
  <c r="V95" i="9"/>
  <c r="M61" i="9"/>
  <c r="L171" i="9"/>
  <c r="Q181" i="9"/>
  <c r="H154" i="9"/>
  <c r="M183" i="9"/>
  <c r="H178" i="9"/>
  <c r="K167" i="9"/>
  <c r="I60" i="4"/>
  <c r="I106" i="4" s="1"/>
  <c r="Q63" i="9"/>
  <c r="N73" i="9"/>
</calcChain>
</file>

<file path=xl/comments1.xml><?xml version="1.0" encoding="utf-8"?>
<comments xmlns="http://schemas.openxmlformats.org/spreadsheetml/2006/main">
  <authors>
    <author>Antti Lehtilä</author>
  </authors>
  <commentList>
    <comment ref="A20" authorId="0" shapeId="0">
      <text>
        <r>
          <rPr>
            <b/>
            <sz val="9"/>
            <color indexed="81"/>
            <rFont val="Tahoma"/>
            <family val="2"/>
          </rPr>
          <t>Antti Lehtilä:</t>
        </r>
        <r>
          <rPr>
            <sz val="9"/>
            <color indexed="81"/>
            <rFont val="Tahoma"/>
            <family val="2"/>
          </rPr>
          <t xml:space="preserve">
Remove dummy imports for Grid nodes</t>
        </r>
      </text>
    </comment>
  </commentList>
</comments>
</file>

<file path=xl/comments2.xml><?xml version="1.0" encoding="utf-8"?>
<comments xmlns="http://schemas.openxmlformats.org/spreadsheetml/2006/main">
  <authors>
    <author>George</author>
  </authors>
  <commentList>
    <comment ref="A53" authorId="0" shapeId="0">
      <text>
        <r>
          <rPr>
            <b/>
            <sz val="9"/>
            <color indexed="81"/>
            <rFont val="Tahoma"/>
            <family val="2"/>
            <charset val="161"/>
          </rPr>
          <t>George:</t>
        </r>
        <r>
          <rPr>
            <sz val="9"/>
            <color indexed="81"/>
            <rFont val="Tahoma"/>
            <family val="2"/>
            <charset val="161"/>
          </rPr>
          <t xml:space="preserve">
Do this here iin order to avoid the NCAP_BND creation on both sides!!</t>
        </r>
      </text>
    </comment>
  </commentList>
</comments>
</file>

<file path=xl/comments3.xml><?xml version="1.0" encoding="utf-8"?>
<comments xmlns="http://schemas.openxmlformats.org/spreadsheetml/2006/main">
  <authors>
    <author>George</author>
  </authors>
  <commentList>
    <comment ref="A53" authorId="0" shapeId="0">
      <text>
        <r>
          <rPr>
            <b/>
            <sz val="9"/>
            <color indexed="81"/>
            <rFont val="Tahoma"/>
            <family val="2"/>
            <charset val="161"/>
          </rPr>
          <t>George:</t>
        </r>
        <r>
          <rPr>
            <sz val="9"/>
            <color indexed="81"/>
            <rFont val="Tahoma"/>
            <family val="2"/>
            <charset val="161"/>
          </rPr>
          <t xml:space="preserve">
Do this here iin order to avoid the NCAP_BND creation on both sides!!</t>
        </r>
      </text>
    </comment>
  </commentList>
</comments>
</file>

<file path=xl/comments4.xml><?xml version="1.0" encoding="utf-8"?>
<comments xmlns="http://schemas.openxmlformats.org/spreadsheetml/2006/main">
  <authors>
    <author>Amit Kanudia</author>
    <author>Antti Lehtilä</author>
    <author>Giannis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161"/>
          </rPr>
          <t>Amit Kanudia:</t>
        </r>
        <r>
          <rPr>
            <sz val="9"/>
            <color indexed="81"/>
            <rFont val="Tahoma"/>
            <family val="2"/>
            <charset val="161"/>
          </rPr>
          <t xml:space="preserve">
10/15/2012
these are unit types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</rPr>
          <t>Antti Lehtilä:</t>
        </r>
        <r>
          <rPr>
            <sz val="9"/>
            <color indexed="81"/>
            <rFont val="Tahoma"/>
            <family val="2"/>
          </rPr>
          <t xml:space="preserve">
Define the mapping between electricity generation technologies and "unit types".</t>
        </r>
      </text>
    </comment>
    <comment ref="C8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LIGNITIS
</t>
        </r>
      </text>
    </comment>
    <comment ref="C9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Natural Gas Open Cycle</t>
        </r>
      </text>
    </comment>
    <comment ref="C10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Natural Gas Combined Cycle</t>
        </r>
      </text>
    </comment>
    <comment ref="C11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Small Hydro</t>
        </r>
      </text>
    </comment>
    <comment ref="C12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Hydro</t>
        </r>
      </text>
    </comment>
    <comment ref="C13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Heavy Fuel Oil</t>
        </r>
      </text>
    </comment>
    <comment ref="C14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Photovoltaic</t>
        </r>
      </text>
    </comment>
    <comment ref="C16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wind</t>
        </r>
      </text>
    </comment>
    <comment ref="C17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Biomass</t>
        </r>
      </text>
    </comment>
    <comment ref="C19" authorId="2" shapeId="0">
      <text>
        <r>
          <rPr>
            <b/>
            <sz val="9"/>
            <color indexed="81"/>
            <rFont val="Tahoma"/>
            <family val="2"/>
            <charset val="161"/>
          </rPr>
          <t>Giannis:</t>
        </r>
        <r>
          <rPr>
            <sz val="9"/>
            <color indexed="81"/>
            <rFont val="Tahoma"/>
            <family val="2"/>
            <charset val="161"/>
          </rPr>
          <t xml:space="preserve">
Symparagwgi</t>
        </r>
      </text>
    </comment>
  </commentList>
</comments>
</file>

<file path=xl/sharedStrings.xml><?xml version="1.0" encoding="utf-8"?>
<sst xmlns="http://schemas.openxmlformats.org/spreadsheetml/2006/main" count="2355" uniqueCount="222">
  <si>
    <t>Other_Indexes</t>
  </si>
  <si>
    <t>AllRegions</t>
  </si>
  <si>
    <t>~TFM_INS</t>
  </si>
  <si>
    <t>TimeSlice</t>
  </si>
  <si>
    <t>LimType</t>
  </si>
  <si>
    <t>Attribute</t>
  </si>
  <si>
    <t>Year</t>
  </si>
  <si>
    <t>Pset_Set</t>
  </si>
  <si>
    <t>Pset_PN</t>
  </si>
  <si>
    <t>Pset_CI</t>
  </si>
  <si>
    <t>Pset_CO</t>
  </si>
  <si>
    <t>Cset_Set</t>
  </si>
  <si>
    <t>Cset_CN</t>
  </si>
  <si>
    <t>Cset_CD</t>
  </si>
  <si>
    <t>ANNUAL</t>
  </si>
  <si>
    <t>PRC_FOFF</t>
  </si>
  <si>
    <t>BOH-EOH</t>
  </si>
  <si>
    <t>*NRGZ</t>
  </si>
  <si>
    <t>PRC_RESID</t>
  </si>
  <si>
    <t>IRE</t>
  </si>
  <si>
    <t>NCAP_BND</t>
  </si>
  <si>
    <t>Note</t>
  </si>
  <si>
    <t>PRC_REACT</t>
  </si>
  <si>
    <t>GR_GENLEV</t>
  </si>
  <si>
    <t>GR_GENMAP</t>
  </si>
  <si>
    <t>GR_GENFR</t>
  </si>
  <si>
    <t>GN1</t>
  </si>
  <si>
    <t>GN2</t>
  </si>
  <si>
    <t>GN3</t>
  </si>
  <si>
    <t>GR_ENDFR</t>
  </si>
  <si>
    <t>NCAP_COST</t>
  </si>
  <si>
    <t>NCAP_AF</t>
  </si>
  <si>
    <t>PRC_CAPACT</t>
  </si>
  <si>
    <t>UP</t>
  </si>
  <si>
    <t>NCAP_TLIFE</t>
  </si>
  <si>
    <t>GI*N*N*</t>
  </si>
  <si>
    <t>REACTANCE for each Grid Line</t>
  </si>
  <si>
    <t>INDELC</t>
  </si>
  <si>
    <t xml:space="preserve"> </t>
  </si>
  <si>
    <t>GN*</t>
  </si>
  <si>
    <t>Activate the Grid Options</t>
  </si>
  <si>
    <t>Availability - espilon Parameter Annual Values</t>
  </si>
  <si>
    <t>Define the GENLEV for each generated electricity commodity</t>
  </si>
  <si>
    <t>Assign Power plants to Unit Types that will be used for the distribution of production to Grid Nodes</t>
  </si>
  <si>
    <t>Base Year Technical Parameters for the Grid Lines</t>
  </si>
  <si>
    <t>Grid Parameters that can change with time during the time horizon of the solution.</t>
  </si>
  <si>
    <t>~TFM_UPD</t>
  </si>
  <si>
    <t>CAP_BND</t>
  </si>
  <si>
    <t>Define Cap to Act for Grid lines</t>
  </si>
  <si>
    <t>Define New Lines Life time</t>
  </si>
  <si>
    <t>G*N*N*</t>
  </si>
  <si>
    <t>Existing Lines Capacity (GW)</t>
  </si>
  <si>
    <t>IMPEXP</t>
  </si>
  <si>
    <t>COA</t>
  </si>
  <si>
    <t>LIGN</t>
  </si>
  <si>
    <t>NGOC</t>
  </si>
  <si>
    <t>NGCC</t>
  </si>
  <si>
    <t>HFO</t>
  </si>
  <si>
    <t>PV</t>
  </si>
  <si>
    <t>COMELC</t>
  </si>
  <si>
    <t>RSDELC</t>
  </si>
  <si>
    <t>TRAELC</t>
  </si>
  <si>
    <t>Pset_PD</t>
  </si>
  <si>
    <t>EUHYDRUN*</t>
  </si>
  <si>
    <t>CSP</t>
  </si>
  <si>
    <t>SMHYDRO</t>
  </si>
  <si>
    <t>HYDRO</t>
  </si>
  <si>
    <t>WIND</t>
  </si>
  <si>
    <t>BIO</t>
  </si>
  <si>
    <t>GEO</t>
  </si>
  <si>
    <t>SUPELC</t>
  </si>
  <si>
    <t>CHPE</t>
  </si>
  <si>
    <t>INDELC,COMELC,RSDELC,AGRELC,SUPELC</t>
  </si>
  <si>
    <t>Define New Capacity Cost per lines (Euro/kW)</t>
  </si>
  <si>
    <t>No New lines investments in BY</t>
  </si>
  <si>
    <t>De-Activate THOSE Interconnections in the exisitng model that are REPLACED by the grid</t>
  </si>
  <si>
    <t>AT</t>
  </si>
  <si>
    <t>BE</t>
  </si>
  <si>
    <t>CH</t>
  </si>
  <si>
    <t>DE</t>
  </si>
  <si>
    <t>FR</t>
  </si>
  <si>
    <t>NL</t>
  </si>
  <si>
    <t>PL</t>
  </si>
  <si>
    <t>SI</t>
  </si>
  <si>
    <t>SK</t>
  </si>
  <si>
    <t>CZ</t>
  </si>
  <si>
    <t>IT</t>
  </si>
  <si>
    <t>HU</t>
  </si>
  <si>
    <t>To replace this Interconnection in TIMES</t>
  </si>
  <si>
    <t>Electricity Grid line</t>
  </si>
  <si>
    <t>Please Check if this is correct or country names are the other way around in the names of TB_ELCHIG!</t>
  </si>
  <si>
    <t>EU*BGS*,EE*biomass*,PU*BGS*,PU*DEM*,PU*MUN*,PU*SLU*,PU*WOO*</t>
  </si>
  <si>
    <t>EU*COH*,EE*coal*,PU*COH*</t>
  </si>
  <si>
    <t>EU*COL*,EE*lignite*,PU*COL*</t>
  </si>
  <si>
    <t>EUCSPSOL*,EE*CSP*</t>
  </si>
  <si>
    <t>EU*GEO*,EE*geo*</t>
  </si>
  <si>
    <t>LU</t>
  </si>
  <si>
    <t>EU*OIL*,EU*HFO*,EE*HFO*,EE*LFO*,PU*OIL*</t>
  </si>
  <si>
    <t>EUPV*,EE*PV*</t>
  </si>
  <si>
    <t>EUWIN*,EE*WIND*</t>
  </si>
  <si>
    <t>PSET_CI</t>
  </si>
  <si>
    <t>ELCGAS</t>
  </si>
  <si>
    <t>ELCCOH</t>
  </si>
  <si>
    <t>ELCCOL</t>
  </si>
  <si>
    <t>Previously</t>
  </si>
  <si>
    <t>NUC</t>
  </si>
  <si>
    <t>ELCWOO,ELCBGS,ELCMUN,ELCSLU,ELCDGS</t>
  </si>
  <si>
    <t>ELCHFO,ELCOIL,ELCDST</t>
  </si>
  <si>
    <t>ELCGAS,ELCRFG</t>
  </si>
  <si>
    <t>*</t>
  </si>
  <si>
    <t>ELCSOL</t>
  </si>
  <si>
    <t>E*CSP*</t>
  </si>
  <si>
    <t>ELCGEO</t>
  </si>
  <si>
    <t>ELCNUC*</t>
  </si>
  <si>
    <t>2005,2050</t>
  </si>
  <si>
    <t>2005</t>
  </si>
  <si>
    <t/>
  </si>
  <si>
    <t>0</t>
  </si>
  <si>
    <t>3</t>
  </si>
  <si>
    <t>EUHYD*,EUHYDRUN*</t>
  </si>
  <si>
    <t>EU*GAS*,PUIC*GAS*,EUCC*GAS*,EE*naturalgas_OCGT,EE*naturalgas_thermal</t>
  </si>
  <si>
    <t>EUCC*GAS*,PU*GAS*,CHP*GAS*,EAUTGAS*,PUIC*GAS*,CHPOGAS*,CHPSGAS*,EE*naturalgas_CCGT</t>
  </si>
  <si>
    <t>CHP*,CHP*GAS*,CHPO*,CHPS*</t>
  </si>
  <si>
    <t>*,-E*CSP*</t>
  </si>
  <si>
    <t>FX</t>
  </si>
  <si>
    <t>*,-H*,-EUCCCOHGAS00,-EUCCDGSGAS00,-EUCCGASOIL00,-EUGTCOLOIL00,-EUGTGASOIL00,-EUICGASOIL00,-EUSTBGSGAS00,-EUSTCOHCOL00,-EUSTCOHDGS00,-EUSTCOHGAS00,-EUSTCOHGASOIL00,-EUSTCOHGASWOO00,-EUSTCOHOIL00,-EUSTCOLGASOIL00,-EUSTCOLOIL00,-EUSTDGSGAS00,-EUSTDGSGASOIL00,-EUSTDGSOIL00,-EUSTGASMUN00,-EUSTGASOIL00,-EUSTMUNOIL00,-PUBPCOHCOL00,-PUBPCOHCOLOIL00,-PUBPCOHGAS00,-PUBPCOHGASOIL00,-PUBPCOHMUN00,-PUBPCOHOIL00,-PUBPCOHSLU00,-PUBPCOHWOO00,-PUBPCOLOIL00,-PUBPCOLWOO00,-PUBPDGSGASOIL00,-PUBPDGSOIL00,-PUBPGASOIL00,-PUBPGASWOO00,-PUBPOILWOO00,-PUBPWOO00,-PUCCDGSGAS00,-PUCCGASOIL00,-PUGTDGSGAS00,-PUGTGASOIL00,-PUICBGSGAS00,-PUICDGSGAS00,-PUICDGSGASOIL00,-PUICDGSOIL00,-PUICGASOIL00,-PUPOCOHDGS00,-PUPOCOHGAS00,-PUPOCOHGASOIL00,-PUPOCOHMUN00,-PUPOCOHOIL00,-PUPOCOHWOO00,-PUPOGASMUN00,-PUPOGASOIL00,-PUPOGASWOO00,-PUPOOILWOO00</t>
  </si>
  <si>
    <t>*,-EUCC*GAS*,-EE*naturalgas_CCGT,-H*,-DUM*,-EUCCCOHGAS00,-EUCCDGSGAS00,-EUCCGASOIL00,-EUGTCOLOIL00,-EUGTGASOIL00,-EUICGASOIL00,-EUSTBGSGAS00,-EUSTCOHCOL00,-EUSTCOHDGS00,-EUSTCOHGAS00,-EUSTCOHGASOIL00,-EUSTCOHGASWOO00,-EUSTCOHOIL00,-EUSTCOLGASOIL00,-EUSTCOLOIL00,-EUSTDGSGAS00,-EUSTDGSGASOIL00,-EUSTDGSOIL00,-EUSTGASMUN00,-EUSTGASOIL00,-EUSTMUNOIL00,-PUBPCOHCOL00,-PUBPCOHCOLOIL00,-PUBPCOHGAS00,-PUBPCOHGASOIL00,-PUBPCOHMUN00,-PUBPCOHOIL00,-PUBPCOHSLU00,-PUBPCOHWOO00,-PUBPCOLOIL00,-PUBPCOLWOO00,-PUBPDGSGASOIL00,-PUBPDGSOIL00,-PUBPGASOIL00,-PUBPGASWOO00,-PUBPOILWOO00,-PUBPWOO00,-PUCCDGSGAS00,-PUCCGASOIL00,-PUGTDGSGAS00,-PUGTGASOIL00,-PUICBGSGAS00,-PUICDGSGAS00,-PUICDGSGASOIL00,-PUICDGSOIL00,-PUICGASOIL00,-PUPOCOHDGS00,-PUPOCOHGAS00,-PUPOCOHGASOIL00,-PUPOCOHMUN00,-PUPOCOHOIL00,-PUPOCOHWOO00,-PUPOGASMUN00,-PUPOGASOIL00,-PUPOGASWOO00,-PUPOOILWOO00</t>
  </si>
  <si>
    <t>EUCC*GAS*,EE*naturalgas_CCGT,-EUCCCOHGAS00,-EUCCDGSGAS00,-EUCCGASOIL00,-EUGTCOLOIL00,-EUGTGASOIL00,-EUICGASOIL00,-EUSTBGSGAS00,-EUSTCOHCOL00,-EUSTCOHDGS00,-EUSTCOHGAS00,-EUSTCOHGASOIL00,-EUSTCOHGASWOO00,-EUSTCOHOIL00,-EUSTCOLGASOIL00,-EUSTCOLOIL00,-EUSTDGSGAS00,-EUSTDGSGASOIL00,-EUSTDGSOIL00,-EUSTGASMUN00,-EUSTGASOIL00,-EUSTMUNOIL00,-PUBPCOHCOL00,-PUBPCOHCOLOIL00,-PUBPCOHGAS00,-PUBPCOHGASOIL00,-PUBPCOHMUN00,-PUBPCOHOIL00,-PUBPCOHSLU00,-PUBPCOHWOO00,-PUBPCOLOIL00,-PUBPCOLWOO00,-PUBPDGSGASOIL00,-PUBPDGSOIL00,-PUBPGASOIL00,-PUBPGASWOO00,-PUBPOILWOO00,-PUBPWOO00,-PUCCDGSGAS00,-PUCCGASOIL00,-PUGTDGSGAS00,-PUGTGASOIL00,-PUICBGSGAS00,-PUICDGSGAS00,-PUICDGSGASOIL00,-PUICDGSOIL00,-PUICGASOIL00,-PUPOCOHDGS00,-PUPOCOHGAS00,-PUPOCOHGASOIL00,-PUPOCOHMUN00,-PUPOCOHOIL00,-PUPOCOHWOO00,-PUPOGASMUN00,-PUPOGASOIL00,-PUPOGASWOO00,-PUPOOILWOO00</t>
  </si>
  <si>
    <t>MULTI</t>
  </si>
  <si>
    <t>EUCCCOHGAS00,EUCCDGSGAS00,EUCCGASOIL00,EUGTCOLOIL00,EUGTGASOIL00,EUICGASOIL00,EUSTBGSGAS00,EUSTCOHCOL00,EUSTCOHDGS00,EUSTCOHGAS00,EUSTCOHGASOIL00,EUSTCOHGASWOO00,EUSTCOHOIL00,EUSTCOLGASOIL00,EUSTCOLOIL00,EUSTDGSGAS00,EUSTDGSGASOIL00,EUSTDGSOIL00,EUSTGASMUN00,EUSTGASOIL00,EUSTMUNOIL00,PUBPCOHCOL00,PUBPCOHCOLOIL00,PUBPCOHGAS00,PUBPCOHGASOIL00,PUBPCOHMUN00,PUBPCOHOIL00,PUBPCOHSLU00,PUBPCOHWOO00,PUBPCOLOIL00,PUBPCOLWOO00,PUBPDGSGASOIL00,PUBPDGSOIL00,PUBPGASOIL00,PUBPGASWOO00,PUBPOILWOO00,PUBPWOO00,PUCCDGSGAS00,PUCCGASOIL00,PUGTDGSGAS00,PUGTGASOIL00,PUICBGSGAS00,PUICDGSGAS00,PUICDGSGASOIL00,PUICDGSOIL00,PUICGASOIL00,PUPOCOHDGS00,PUPOCOHGAS00,PUPOCOHGASOIL00,PUPOCOHMUN00,PUPOCOHOIL00,PUPOCOHWOO00,PUPOGASMUN00,PUPOGASOIL00,PUPOGASWOO00,PUPOOILWOO00</t>
  </si>
  <si>
    <t>*,-TU_ELCNUC_*</t>
  </si>
  <si>
    <t>2005,2010,2015,2020,2025</t>
  </si>
  <si>
    <t>EXPELC-HR</t>
  </si>
  <si>
    <t>EXPELC-RS</t>
  </si>
  <si>
    <t>EXPELC-UA</t>
  </si>
  <si>
    <t>IMPELC-HR</t>
  </si>
  <si>
    <t>IMPELC-RS</t>
  </si>
  <si>
    <t>IMPELC-UA</t>
  </si>
  <si>
    <t>IMPELC-BY</t>
  </si>
  <si>
    <t>EXPELC-HR,EXPELC-RS,EXPELC-HR,EXPELC-UA,IMPELC-HR,IMPELC-RS,IMPELC-UA,IMPELC-BY,IMPELC-UA,IMPELC-HR</t>
  </si>
  <si>
    <t>Make sure this is alphabetically</t>
  </si>
  <si>
    <t>TB_ELCHIG_AT_CH_01</t>
  </si>
  <si>
    <t>TB_ELCHIG_AT_CZ_01</t>
  </si>
  <si>
    <t>TB_ELCHIG_AT_DE_01</t>
  </si>
  <si>
    <t>TB_ELCHIG_AT_HU_01</t>
  </si>
  <si>
    <t>TB_ELCHIG_AT_IT_01</t>
  </si>
  <si>
    <t>TB_ELCHIG_AT_SI_01</t>
  </si>
  <si>
    <t>TB_ELCHIG_BE_FR_01</t>
  </si>
  <si>
    <t>TB_ELCHIG_BE_LU_01</t>
  </si>
  <si>
    <t>TB_ELCHIG_BE_NL_01</t>
  </si>
  <si>
    <t>UK</t>
  </si>
  <si>
    <t>BG</t>
  </si>
  <si>
    <t>GR</t>
  </si>
  <si>
    <t>RO</t>
  </si>
  <si>
    <t>TB_ELCHIG_CH_DE_01</t>
  </si>
  <si>
    <t>TB_ELCHIG_CH_FR_01</t>
  </si>
  <si>
    <t>TB_ELCHIG_CH_IT_01</t>
  </si>
  <si>
    <t>TB_ELCHIG_CZ_DE_01</t>
  </si>
  <si>
    <t>TB_ELCHIG_CZ_PL_01</t>
  </si>
  <si>
    <t>TB_ELCHIG_CZ_SK_01</t>
  </si>
  <si>
    <t>DK</t>
  </si>
  <si>
    <t>TB_ELCHIG_DE_FR_01</t>
  </si>
  <si>
    <t>TB_ELCHIG_DE_LU_01</t>
  </si>
  <si>
    <t>TB_ELCHIG_DE_NL_01</t>
  </si>
  <si>
    <t>NO</t>
  </si>
  <si>
    <t>TB_ELCHIG_DE_PL_01</t>
  </si>
  <si>
    <t>SE</t>
  </si>
  <si>
    <t>EE</t>
  </si>
  <si>
    <t>FI</t>
  </si>
  <si>
    <t>LV</t>
  </si>
  <si>
    <t>ES</t>
  </si>
  <si>
    <t>PT</t>
  </si>
  <si>
    <t>IE</t>
  </si>
  <si>
    <t>TB_ELCHIG_FR_IT_01</t>
  </si>
  <si>
    <t>TB_ELCHIG_HU_SK_01</t>
  </si>
  <si>
    <t>IS</t>
  </si>
  <si>
    <t>MT</t>
  </si>
  <si>
    <t>TB_ELCHIG_IT_SI_01</t>
  </si>
  <si>
    <t>LT</t>
  </si>
  <si>
    <t>TB_ELCHIG_PL_SK_01</t>
  </si>
  <si>
    <t>Process\Region</t>
  </si>
  <si>
    <t>2015,2025</t>
  </si>
  <si>
    <t>STG</t>
  </si>
  <si>
    <t>EUHYD*,-EUHYDRUN*,-EUHYDPSOUT*</t>
  </si>
  <si>
    <t>EUHYDPSOUT*,EST*</t>
  </si>
  <si>
    <t>ELCHIG</t>
  </si>
  <si>
    <t>PSET_CO</t>
  </si>
  <si>
    <t>CHP*, EAUT*, BRF2*,EUSTIISGAS*</t>
  </si>
  <si>
    <t>GI-DE-N1-LU-N1</t>
  </si>
  <si>
    <t>GI-NL-N1-DE-N1</t>
  </si>
  <si>
    <t>GI-NL-N1-BE-N1</t>
  </si>
  <si>
    <t>GI-FR-N1-BE-N1</t>
  </si>
  <si>
    <t>GI-BE-N1-LU-N1</t>
  </si>
  <si>
    <t>GI-FR-N1-DE-N1</t>
  </si>
  <si>
    <t>GI-PL-N1-CZ-N1</t>
  </si>
  <si>
    <t>GI-SK-N1-CZ-N1</t>
  </si>
  <si>
    <t>GI-PL-N1-SK-N1</t>
  </si>
  <si>
    <t>GI-DE-N1-CZ-N1</t>
  </si>
  <si>
    <t>GI-SK-N1-HU-N1</t>
  </si>
  <si>
    <t>GI-SI-N1-AT-N1</t>
  </si>
  <si>
    <t>GI-CH-N1-DE-N1</t>
  </si>
  <si>
    <t>GI-IT-N1-SI-N1</t>
  </si>
  <si>
    <t>GI-FR-N1-CH-N1</t>
  </si>
  <si>
    <t>GI-AT-N1-CZ-N1</t>
  </si>
  <si>
    <t>GI-DE-N1-AT-N1</t>
  </si>
  <si>
    <t>GI-CH-N1-AT-N1</t>
  </si>
  <si>
    <t>GI-CH-N1-IT-N1</t>
  </si>
  <si>
    <t>GI-FR-N1-IT-N1</t>
  </si>
  <si>
    <t>GI-AT-N1-HU-N1</t>
  </si>
  <si>
    <t>GI-DE-N1-PL-N1</t>
  </si>
  <si>
    <t>GI-AT-N1-IT-N1</t>
  </si>
  <si>
    <t>ActivateGrid</t>
  </si>
  <si>
    <t>B4</t>
  </si>
  <si>
    <t>Changed to TFM_INS instead of UP</t>
  </si>
  <si>
    <t>Date</t>
  </si>
  <si>
    <t>Sheet</t>
  </si>
  <si>
    <t>Cell</t>
  </si>
  <si>
    <t>Comment</t>
  </si>
  <si>
    <t>DEACTIVATED</t>
  </si>
  <si>
    <t>Deleted NCAP_AF interpollation rule 3 for year 0</t>
  </si>
  <si>
    <t>Row 37</t>
  </si>
  <si>
    <t>ELCWIN,ELCTID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</si>
</sst>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1" formatCode="_(* #,##0_);_(* \(#,##0\);_(* &quot;-&quot;_);_(@_)"/>
    <numFmt numFmtId="43" formatCode="_(* #,##0.00_);_(* \(#,##0.00\);_(* &quot;-&quot;??_);_(@_)"/>
    <numFmt numFmtId="170" formatCode="_(&quot;$&quot;* #,##0.00_);_(&quot;$&quot;* \(#,##0.00\);_(&quot;$&quot;* &quot;-&quot;??_);_(@_)"/>
    <numFmt numFmtId="171" formatCode="_(* #,##0.00_);_(* \(#,##0.00\);_(* &quot;-&quot;??_);_(@_)"/>
    <numFmt numFmtId="179" formatCode="_-* #,##0.00_-;\-* #,##0.00_-;_-* &quot;-&quot;??_-;_-@_-"/>
    <numFmt numFmtId="186" formatCode="_-* #,##0.00\ &quot;€&quot;_-;\-* #,##0.00\ &quot;€&quot;_-;_-* &quot;-&quot;??\ &quot;€&quot;_-;_-@_-"/>
    <numFmt numFmtId="187" formatCode="_-* #,##0.00\ _€_-;\-* #,##0.00\ _€_-;_-* &quot;-&quot;??\ _€_-;_-@_-"/>
    <numFmt numFmtId="188" formatCode="0.000"/>
    <numFmt numFmtId="189" formatCode="0.0000"/>
    <numFmt numFmtId="191" formatCode="_-[$€-2]* #,##0.00_-;\-[$€-2]* #,##0.00_-;_-[$€-2]* &quot;-&quot;??_-"/>
    <numFmt numFmtId="196" formatCode="_-* #,##0.000_-;\-* #,##0.000_-;_-* &quot;&quot;???_-;_-@_-"/>
    <numFmt numFmtId="203" formatCode="0.0"/>
    <numFmt numFmtId="204" formatCode="_([$€]* #,##0.00_);_([$€]* \(#,##0.00\);_([$€]* &quot;-&quot;??_);_(@_)"/>
    <numFmt numFmtId="205" formatCode="0.0%"/>
    <numFmt numFmtId="206" formatCode="\(##\);\(##\)"/>
    <numFmt numFmtId="207" formatCode="#,##0.0"/>
    <numFmt numFmtId="208" formatCode="_-[$€-2]\ * #,##0.00_-;\-[$€-2]\ * #,##0.00_-;_-[$€-2]\ * &quot;-&quot;??_-"/>
    <numFmt numFmtId="209" formatCode="#,##0;\-\ #,##0;_-\ &quot;- &quot;"/>
    <numFmt numFmtId="215" formatCode="#,##0.0000"/>
    <numFmt numFmtId="216" formatCode="_ &quot;kr&quot;\ * #,##0_ ;_ &quot;kr&quot;\ * \-#,##0_ ;_ &quot;kr&quot;\ * &quot;-&quot;_ ;_ @_ "/>
    <numFmt numFmtId="217" formatCode="_ &quot;kr&quot;\ * #,##0.00_ ;_ &quot;kr&quot;\ * \-#,##0.00_ ;_ &quot;kr&quot;\ * &quot;-&quot;??_ ;_ @_ "/>
    <numFmt numFmtId="218" formatCode="_-[$€]* #,##0.00_-;\-[$€]* #,##0.00_-;_-[$€]* &quot;-&quot;??_-;_-@_-"/>
    <numFmt numFmtId="219" formatCode="_([$€-2]* #,##0.00_);_([$€-2]* \(#,##0.00\);_([$€-2]* &quot;-&quot;??_)"/>
  </numFmts>
  <fonts count="9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  <charset val="161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  <charset val="161"/>
    </font>
    <font>
      <b/>
      <sz val="10"/>
      <color indexed="12"/>
      <name val="Arial"/>
      <family val="2"/>
    </font>
    <font>
      <sz val="8"/>
      <name val="Arial"/>
      <family val="2"/>
      <charset val="16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0"/>
      <name val="Arial"/>
      <family val="2"/>
      <charset val="16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ourier"/>
      <family val="3"/>
    </font>
    <font>
      <b/>
      <sz val="10"/>
      <name val="Arial"/>
      <family val="2"/>
      <charset val="161"/>
    </font>
    <font>
      <b/>
      <sz val="12"/>
      <name val="Arial"/>
      <family val="2"/>
      <charset val="161"/>
    </font>
    <font>
      <b/>
      <sz val="12"/>
      <name val="Arial"/>
      <family val="2"/>
    </font>
    <font>
      <sz val="8"/>
      <color indexed="9"/>
      <name val="Arial"/>
      <family val="2"/>
      <charset val="161"/>
    </font>
    <font>
      <sz val="8"/>
      <color indexed="9"/>
      <name val="Arial"/>
      <family val="2"/>
    </font>
    <font>
      <b/>
      <sz val="8"/>
      <name val="Arial"/>
      <family val="2"/>
      <charset val="161"/>
    </font>
    <font>
      <b/>
      <sz val="8"/>
      <name val="Arial"/>
      <family val="2"/>
    </font>
    <font>
      <b/>
      <sz val="10"/>
      <name val="Arial"/>
      <family val="2"/>
      <charset val="161"/>
    </font>
    <font>
      <sz val="10"/>
      <name val="Calibri"/>
      <family val="2"/>
      <charset val="161"/>
    </font>
    <font>
      <sz val="8"/>
      <name val="Arial"/>
      <family val="2"/>
      <charset val="161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indexed="60"/>
      <name val="Calibri"/>
      <family val="2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u/>
      <sz val="12"/>
      <color indexed="20"/>
      <name val="宋体"/>
      <charset val="134"/>
    </font>
    <font>
      <sz val="10"/>
      <color indexed="56"/>
      <name val="Arial"/>
      <family val="2"/>
    </font>
    <font>
      <i/>
      <sz val="8"/>
      <color indexed="38"/>
      <name val="Arial"/>
      <family val="2"/>
    </font>
    <font>
      <b/>
      <sz val="12"/>
      <name val="Times New Roman"/>
      <family val="1"/>
    </font>
    <font>
      <b/>
      <vertAlign val="superscript"/>
      <sz val="12"/>
      <color indexed="54"/>
      <name val="Arial"/>
      <family val="2"/>
    </font>
    <font>
      <sz val="9"/>
      <name val="Verdana"/>
      <family val="2"/>
    </font>
    <font>
      <i/>
      <sz val="9"/>
      <color indexed="60"/>
      <name val="Verdana"/>
      <family val="2"/>
    </font>
    <font>
      <b/>
      <sz val="9"/>
      <name val="Verdana"/>
      <family val="2"/>
    </font>
    <font>
      <b/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2"/>
      <color indexed="8"/>
      <name val="Times New Roman"/>
      <family val="1"/>
    </font>
    <font>
      <sz val="11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60"/>
      <name val="Calibri"/>
      <family val="2"/>
      <charset val="161"/>
    </font>
    <font>
      <sz val="10"/>
      <name val="Helvetica"/>
    </font>
    <font>
      <i/>
      <sz val="8"/>
      <color indexed="38"/>
      <name val="Arial"/>
      <family val="2"/>
    </font>
    <font>
      <sz val="10"/>
      <name val="Arial Cyr"/>
      <charset val="204"/>
    </font>
    <font>
      <b/>
      <sz val="12"/>
      <color indexed="8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u/>
      <sz val="10"/>
      <color indexed="12"/>
      <name val="Times New Roman"/>
      <family val="1"/>
    </font>
    <font>
      <u/>
      <sz val="12"/>
      <color indexed="20"/>
      <name val="??"/>
      <charset val="134"/>
    </font>
    <font>
      <sz val="10"/>
      <color indexed="8"/>
      <name val="MS Sans Serif"/>
      <family val="2"/>
    </font>
    <font>
      <sz val="10"/>
      <name val="Myriad Pro"/>
    </font>
    <font>
      <sz val="10"/>
      <name val="Arial"/>
      <family val="2"/>
    </font>
    <font>
      <sz val="10"/>
      <name val="Arial"/>
      <family val="2"/>
    </font>
    <font>
      <sz val="10"/>
      <name val="Arial"/>
      <charset val="161"/>
    </font>
    <font>
      <sz val="11"/>
      <color indexed="8"/>
      <name val="Calibri"/>
      <family val="2"/>
    </font>
    <font>
      <sz val="10"/>
      <color indexed="10"/>
      <name val="Arial"/>
      <family val="2"/>
      <charset val="161"/>
    </font>
    <font>
      <sz val="12"/>
      <color indexed="8"/>
      <name val="Times New Roman"/>
      <family val="1"/>
    </font>
    <font>
      <b/>
      <sz val="11"/>
      <color indexed="20"/>
      <name val="Calibri"/>
      <family val="2"/>
      <charset val="161"/>
    </font>
    <font>
      <sz val="10"/>
      <color indexed="30"/>
      <name val="Arial"/>
      <family val="2"/>
    </font>
    <font>
      <sz val="10"/>
      <name val="Arial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6100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3"/>
      <charset val="128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9"/>
        <bgColor indexed="64"/>
      </patternFill>
    </fill>
    <fill>
      <patternFill patternType="solid">
        <f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mediumGray">
        <fgColor indexed="9"/>
        <bgColor indexed="31"/>
      </patternFill>
    </fill>
    <fill>
      <patternFill patternType="mediumGray">
        <fgColor indexed="9"/>
        <bgColor indexed="44"/>
      </patternFill>
    </fill>
    <fill>
      <patternFill patternType="solid">
        <fgColor indexed="57"/>
        <bgColor indexed="9"/>
      </patternFill>
    </fill>
    <fill>
      <patternFill patternType="mediumGray">
        <fgColor indexed="9"/>
        <bgColor indexed="29"/>
      </patternFill>
    </fill>
    <fill>
      <patternFill patternType="mediumGray">
        <fgColor indexed="22"/>
        <bgColor indexed="31"/>
      </patternFill>
    </fill>
    <fill>
      <patternFill patternType="mediumGray">
        <fgColor indexed="22"/>
        <bgColor indexed="4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52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269">
    <xf numFmtId="0" fontId="0" fillId="0" borderId="0"/>
    <xf numFmtId="0" fontId="71" fillId="0" borderId="0" applyNumberFormat="0" applyFill="0" applyBorder="0" applyAlignment="0" applyProtection="0">
      <alignment vertical="center"/>
    </xf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84" fillId="4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49" fontId="46" fillId="0" borderId="1" applyNumberFormat="0" applyFont="0" applyFill="0" applyBorder="0" applyProtection="0">
      <alignment horizontal="left" vertical="center" indent="2"/>
    </xf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4" fillId="0" borderId="0" applyNumberFormat="0" applyFont="0" applyFill="0" applyBorder="0" applyProtection="0">
      <alignment horizontal="left" vertical="center" indent="5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3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47" fillId="20" borderId="0" applyBorder="0" applyAlignment="0"/>
    <xf numFmtId="0" fontId="46" fillId="20" borderId="0" applyBorder="0">
      <alignment horizontal="right" vertical="center"/>
    </xf>
    <xf numFmtId="0" fontId="46" fillId="21" borderId="0" applyBorder="0">
      <alignment horizontal="right" vertical="center"/>
    </xf>
    <xf numFmtId="0" fontId="46" fillId="21" borderId="0" applyBorder="0">
      <alignment horizontal="right" vertical="center"/>
    </xf>
    <xf numFmtId="0" fontId="45" fillId="21" borderId="1">
      <alignment horizontal="right" vertical="center"/>
    </xf>
    <xf numFmtId="0" fontId="59" fillId="21" borderId="1">
      <alignment horizontal="right" vertical="center"/>
    </xf>
    <xf numFmtId="0" fontId="45" fillId="22" borderId="1">
      <alignment horizontal="right" vertical="center"/>
    </xf>
    <xf numFmtId="0" fontId="45" fillId="22" borderId="1">
      <alignment horizontal="right" vertical="center"/>
    </xf>
    <xf numFmtId="0" fontId="45" fillId="22" borderId="2">
      <alignment horizontal="right" vertical="center"/>
    </xf>
    <xf numFmtId="0" fontId="45" fillId="22" borderId="3">
      <alignment horizontal="right" vertical="center"/>
    </xf>
    <xf numFmtId="0" fontId="45" fillId="22" borderId="4">
      <alignment horizontal="right" vertical="center"/>
    </xf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24" fillId="23" borderId="5" applyNumberFormat="0" applyAlignment="0" applyProtection="0"/>
    <xf numFmtId="0" fontId="85" fillId="48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85" fillId="48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5" fillId="23" borderId="6" applyNumberFormat="0" applyAlignment="0" applyProtection="0"/>
    <xf numFmtId="4" fontId="47" fillId="0" borderId="7" applyFill="0" applyBorder="0" applyProtection="0">
      <alignment horizontal="right" vertical="center"/>
    </xf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5" fillId="23" borderId="6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0" fontId="16" fillId="24" borderId="8" applyNumberFormat="0" applyAlignment="0" applyProtection="0"/>
    <xf numFmtId="49" fontId="4" fillId="20" borderId="9">
      <alignment vertical="top" wrapText="1"/>
    </xf>
    <xf numFmtId="187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87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77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1" fontId="4" fillId="0" borderId="0" applyFont="0" applyFill="0" applyBorder="0" applyAlignment="0" applyProtection="0"/>
    <xf numFmtId="179" fontId="2" fillId="0" borderId="0" applyFont="0" applyFill="0" applyBorder="0" applyAlignment="0" applyProtection="0"/>
    <xf numFmtId="187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0" fontId="45" fillId="0" borderId="0" applyNumberFormat="0">
      <alignment horizontal="right"/>
    </xf>
    <xf numFmtId="170" fontId="4" fillId="0" borderId="0" applyFont="0" applyFill="0" applyBorder="0" applyAlignment="0" applyProtection="0"/>
    <xf numFmtId="0" fontId="46" fillId="22" borderId="10">
      <alignment horizontal="left" vertical="center" wrapText="1" indent="2"/>
    </xf>
    <xf numFmtId="0" fontId="46" fillId="0" borderId="10">
      <alignment horizontal="left" vertical="center" wrapText="1" indent="2"/>
    </xf>
    <xf numFmtId="0" fontId="46" fillId="21" borderId="3">
      <alignment horizontal="left" vertical="center"/>
    </xf>
    <xf numFmtId="0" fontId="45" fillId="0" borderId="11">
      <alignment horizontal="left" vertical="top" wrapText="1"/>
    </xf>
    <xf numFmtId="3" fontId="49" fillId="0" borderId="9">
      <alignment horizontal="right" vertical="top"/>
    </xf>
    <xf numFmtId="0" fontId="22" fillId="7" borderId="6" applyNumberFormat="0" applyAlignment="0" applyProtection="0"/>
    <xf numFmtId="0" fontId="66" fillId="0" borderId="12"/>
    <xf numFmtId="0" fontId="3" fillId="25" borderId="1">
      <alignment horizontal="centerContinuous" vertical="top" wrapText="1"/>
    </xf>
    <xf numFmtId="0" fontId="50" fillId="0" borderId="0">
      <alignment vertical="top" wrapText="1"/>
    </xf>
    <xf numFmtId="0" fontId="26" fillId="0" borderId="13" applyNumberFormat="0" applyFill="0" applyAlignment="0" applyProtection="0"/>
    <xf numFmtId="0" fontId="17" fillId="0" borderId="0" applyNumberFormat="0" applyFill="0" applyBorder="0" applyAlignment="0" applyProtection="0"/>
    <xf numFmtId="0" fontId="42" fillId="0" borderId="0">
      <alignment vertical="top"/>
    </xf>
    <xf numFmtId="191" fontId="2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191" fontId="2" fillId="0" borderId="0" applyFont="0" applyFill="0" applyBorder="0" applyAlignment="0" applyProtection="0"/>
    <xf numFmtId="208" fontId="4" fillId="0" borderId="0" applyFont="0" applyFill="0" applyBorder="0" applyAlignment="0" applyProtection="0"/>
    <xf numFmtId="219" fontId="4" fillId="0" borderId="0" applyFont="0" applyFill="0" applyBorder="0" applyAlignment="0" applyProtection="0"/>
    <xf numFmtId="219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19" fontId="4" fillId="0" borderId="0" applyFont="0" applyFill="0" applyBorder="0" applyAlignment="0" applyProtection="0"/>
    <xf numFmtId="186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4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4" fontId="4" fillId="0" borderId="0" applyFont="0" applyFill="0" applyBorder="0" applyAlignment="0" applyProtection="0"/>
    <xf numFmtId="219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04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4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186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191" fontId="2" fillId="0" borderId="0" applyFont="0" applyFill="0" applyBorder="0" applyAlignment="0" applyProtection="0"/>
    <xf numFmtId="21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4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1" fontId="2" fillId="0" borderId="0" applyFont="0" applyFill="0" applyBorder="0" applyAlignment="0" applyProtection="0"/>
    <xf numFmtId="11" fontId="4" fillId="0" borderId="0" applyFont="0" applyFill="0" applyBorder="0" applyAlignment="0" applyProtection="0"/>
    <xf numFmtId="11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87" fillId="49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86" fillId="49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88" fillId="50" borderId="32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0" fontId="22" fillId="7" borderId="6" applyNumberFormat="0" applyAlignment="0" applyProtection="0"/>
    <xf numFmtId="4" fontId="46" fillId="0" borderId="0" applyBorder="0">
      <alignment horizontal="right" vertical="center"/>
    </xf>
    <xf numFmtId="0" fontId="46" fillId="0" borderId="1">
      <alignment horizontal="right" vertical="center"/>
    </xf>
    <xf numFmtId="1" fontId="67" fillId="21" borderId="0" applyBorder="0">
      <alignment horizontal="right" vertical="center"/>
    </xf>
    <xf numFmtId="0" fontId="51" fillId="0" borderId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63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89" fillId="51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4" fillId="0" borderId="0"/>
    <xf numFmtId="0" fontId="8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84" fillId="0" borderId="0"/>
    <xf numFmtId="0" fontId="4" fillId="0" borderId="0"/>
    <xf numFmtId="0" fontId="8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1" fillId="0" borderId="0"/>
    <xf numFmtId="0" fontId="4" fillId="0" borderId="0"/>
    <xf numFmtId="0" fontId="62" fillId="0" borderId="0"/>
    <xf numFmtId="0" fontId="60" fillId="0" borderId="0"/>
    <xf numFmtId="0" fontId="60" fillId="0" borderId="0"/>
    <xf numFmtId="0" fontId="4" fillId="0" borderId="0"/>
    <xf numFmtId="0" fontId="1" fillId="0" borderId="0"/>
    <xf numFmtId="0" fontId="4" fillId="0" borderId="0"/>
    <xf numFmtId="0" fontId="4" fillId="0" borderId="0">
      <alignment vertical="top"/>
    </xf>
    <xf numFmtId="0" fontId="4" fillId="0" borderId="0"/>
    <xf numFmtId="0" fontId="84" fillId="0" borderId="0"/>
    <xf numFmtId="0" fontId="4" fillId="0" borderId="0"/>
    <xf numFmtId="0" fontId="8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84" fillId="0" borderId="0"/>
    <xf numFmtId="0" fontId="4" fillId="0" borderId="0"/>
    <xf numFmtId="0" fontId="84" fillId="0" borderId="0"/>
    <xf numFmtId="0" fontId="8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84" fillId="0" borderId="0"/>
    <xf numFmtId="0" fontId="74" fillId="0" borderId="0"/>
    <xf numFmtId="0" fontId="4" fillId="0" borderId="0"/>
    <xf numFmtId="0" fontId="4" fillId="0" borderId="0"/>
    <xf numFmtId="0" fontId="82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8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8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4" fillId="0" borderId="0"/>
    <xf numFmtId="0" fontId="4" fillId="0" borderId="0"/>
    <xf numFmtId="0" fontId="69" fillId="0" borderId="0"/>
    <xf numFmtId="0" fontId="1" fillId="0" borderId="0"/>
    <xf numFmtId="0" fontId="69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0" fillId="0" borderId="0"/>
    <xf numFmtId="0" fontId="6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0" fillId="0" borderId="0"/>
    <xf numFmtId="0" fontId="6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1" fillId="0" borderId="0"/>
    <xf numFmtId="0" fontId="4" fillId="0" borderId="0"/>
    <xf numFmtId="0" fontId="84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61" fillId="0" borderId="0"/>
    <xf numFmtId="0" fontId="6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84" fillId="0" borderId="0"/>
    <xf numFmtId="0" fontId="4" fillId="0" borderId="0"/>
    <xf numFmtId="0" fontId="1" fillId="0" borderId="0"/>
    <xf numFmtId="0" fontId="90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0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0" fillId="0" borderId="0"/>
    <xf numFmtId="0" fontId="60" fillId="0" borderId="0"/>
    <xf numFmtId="0" fontId="60" fillId="0" borderId="0"/>
    <xf numFmtId="0" fontId="4" fillId="0" borderId="0"/>
    <xf numFmtId="0" fontId="84" fillId="0" borderId="0"/>
    <xf numFmtId="0" fontId="4" fillId="0" borderId="0"/>
    <xf numFmtId="0" fontId="1" fillId="0" borderId="0"/>
    <xf numFmtId="0" fontId="84" fillId="0" borderId="0"/>
    <xf numFmtId="0" fontId="1" fillId="0" borderId="0"/>
    <xf numFmtId="0" fontId="4" fillId="0" borderId="0"/>
    <xf numFmtId="0" fontId="1" fillId="0" borderId="0"/>
    <xf numFmtId="0" fontId="4" fillId="0" borderId="0"/>
    <xf numFmtId="0" fontId="84" fillId="0" borderId="0"/>
    <xf numFmtId="0" fontId="73" fillId="0" borderId="0"/>
    <xf numFmtId="0" fontId="84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84" fillId="0" borderId="0"/>
    <xf numFmtId="0" fontId="4" fillId="0" borderId="0"/>
    <xf numFmtId="0" fontId="84" fillId="0" borderId="0"/>
    <xf numFmtId="0" fontId="4" fillId="0" borderId="0"/>
    <xf numFmtId="0" fontId="4" fillId="0" borderId="0"/>
    <xf numFmtId="0" fontId="84" fillId="0" borderId="0"/>
    <xf numFmtId="0" fontId="1" fillId="0" borderId="0"/>
    <xf numFmtId="0" fontId="60" fillId="0" borderId="0"/>
    <xf numFmtId="0" fontId="1" fillId="0" borderId="0"/>
    <xf numFmtId="0" fontId="4" fillId="0" borderId="0"/>
    <xf numFmtId="0" fontId="84" fillId="0" borderId="0"/>
    <xf numFmtId="0" fontId="1" fillId="0" borderId="0"/>
    <xf numFmtId="0" fontId="1" fillId="0" borderId="0"/>
    <xf numFmtId="0" fontId="84" fillId="0" borderId="0"/>
    <xf numFmtId="0" fontId="4" fillId="0" borderId="0"/>
    <xf numFmtId="0" fontId="84" fillId="0" borderId="0"/>
    <xf numFmtId="0" fontId="1" fillId="0" borderId="0"/>
    <xf numFmtId="0" fontId="84" fillId="0" borderId="0"/>
    <xf numFmtId="0" fontId="4" fillId="0" borderId="0"/>
    <xf numFmtId="0" fontId="1" fillId="0" borderId="0"/>
    <xf numFmtId="0" fontId="1" fillId="0" borderId="0"/>
    <xf numFmtId="0" fontId="84" fillId="0" borderId="0"/>
    <xf numFmtId="0" fontId="4" fillId="0" borderId="0"/>
    <xf numFmtId="0" fontId="84" fillId="0" borderId="0"/>
    <xf numFmtId="0" fontId="8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/>
    <xf numFmtId="0" fontId="1" fillId="0" borderId="0"/>
    <xf numFmtId="0" fontId="4" fillId="0" borderId="0"/>
    <xf numFmtId="0" fontId="1" fillId="0" borderId="0"/>
    <xf numFmtId="0" fontId="75" fillId="0" borderId="0"/>
    <xf numFmtId="0" fontId="4" fillId="0" borderId="0"/>
    <xf numFmtId="0" fontId="4" fillId="0" borderId="0"/>
    <xf numFmtId="0" fontId="76" fillId="0" borderId="0"/>
    <xf numFmtId="0" fontId="7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9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84" fillId="0" borderId="0"/>
    <xf numFmtId="0" fontId="4" fillId="0" borderId="0"/>
    <xf numFmtId="0" fontId="4" fillId="0" borderId="0"/>
    <xf numFmtId="0" fontId="1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4" fillId="0" borderId="0"/>
    <xf numFmtId="0" fontId="8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4" fontId="46" fillId="0" borderId="1" applyFill="0" applyBorder="0" applyProtection="0">
      <alignment horizontal="right" vertical="center"/>
    </xf>
    <xf numFmtId="0" fontId="47" fillId="0" borderId="0" applyNumberFormat="0" applyFill="0" applyBorder="0" applyProtection="0">
      <alignment horizontal="left" vertical="center"/>
    </xf>
    <xf numFmtId="0" fontId="46" fillId="0" borderId="1" applyNumberFormat="0" applyFill="0" applyAlignment="0" applyProtection="0"/>
    <xf numFmtId="0" fontId="4" fillId="27" borderId="0" applyNumberFormat="0" applyFont="0" applyBorder="0" applyAlignment="0" applyProtection="0"/>
    <xf numFmtId="0" fontId="28" fillId="0" borderId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4" fillId="28" borderId="18" applyNumberFormat="0" applyFont="0" applyAlignment="0" applyProtection="0"/>
    <xf numFmtId="0" fontId="1" fillId="28" borderId="18" applyNumberFormat="0" applyFont="0" applyAlignment="0" applyProtection="0"/>
    <xf numFmtId="0" fontId="4" fillId="28" borderId="18" applyNumberFormat="0" applyFont="0" applyAlignment="0" applyProtection="0"/>
    <xf numFmtId="0" fontId="2" fillId="28" borderId="18" applyNumberFormat="0" applyFont="0" applyAlignment="0" applyProtection="0"/>
    <xf numFmtId="0" fontId="4" fillId="28" borderId="18" applyNumberFormat="0" applyFont="0" applyAlignment="0" applyProtection="0"/>
    <xf numFmtId="0" fontId="2" fillId="28" borderId="18" applyNumberFormat="0" applyFont="0" applyAlignment="0" applyProtection="0"/>
    <xf numFmtId="206" fontId="52" fillId="0" borderId="0">
      <alignment horizontal="right"/>
    </xf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0" fontId="24" fillId="23" borderId="5" applyNumberFormat="0" applyAlignment="0" applyProtection="0"/>
    <xf numFmtId="215" fontId="46" fillId="29" borderId="1" applyNumberFormat="0" applyFont="0" applyBorder="0" applyAlignment="0" applyProtection="0">
      <alignment horizontal="right" vertical="center"/>
    </xf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43" fontId="64" fillId="0" borderId="0" applyFont="0" applyFill="0" applyBorder="0" applyAlignment="0" applyProtection="0"/>
    <xf numFmtId="41" fontId="64" fillId="0" borderId="0" applyFont="0" applyFill="0" applyBorder="0" applyAlignment="0" applyProtection="0"/>
    <xf numFmtId="216" fontId="64" fillId="0" borderId="0" applyFont="0" applyFill="0" applyBorder="0" applyAlignment="0" applyProtection="0"/>
    <xf numFmtId="0" fontId="14" fillId="3" borderId="0" applyNumberFormat="0" applyBorder="0" applyAlignment="0" applyProtection="0"/>
    <xf numFmtId="0" fontId="46" fillId="27" borderId="1"/>
    <xf numFmtId="0" fontId="50" fillId="0" borderId="0">
      <alignment vertical="top" wrapText="1"/>
    </xf>
    <xf numFmtId="0" fontId="65" fillId="0" borderId="0">
      <alignment vertical="top" wrapText="1"/>
    </xf>
    <xf numFmtId="0" fontId="50" fillId="0" borderId="0">
      <alignment vertical="top" wrapText="1"/>
    </xf>
    <xf numFmtId="0" fontId="72" fillId="0" borderId="0"/>
    <xf numFmtId="0" fontId="4" fillId="0" borderId="0"/>
    <xf numFmtId="0" fontId="4" fillId="0" borderId="0"/>
    <xf numFmtId="0" fontId="4" fillId="0" borderId="0"/>
    <xf numFmtId="0" fontId="42" fillId="0" borderId="0">
      <alignment vertical="top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0" fontId="4" fillId="0" borderId="1" applyNumberFormat="0" applyFill="0" applyProtection="0">
      <alignment horizontal="right"/>
    </xf>
    <xf numFmtId="49" fontId="2" fillId="0" borderId="1" applyFill="0" applyProtection="0">
      <alignment horizontal="right"/>
    </xf>
    <xf numFmtId="0" fontId="4" fillId="0" borderId="1" applyNumberFormat="0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49" fontId="2" fillId="0" borderId="1" applyFill="0" applyProtection="0">
      <alignment horizontal="right"/>
    </xf>
    <xf numFmtId="49" fontId="4" fillId="0" borderId="1" applyFill="0" applyProtection="0">
      <alignment horizontal="right"/>
    </xf>
    <xf numFmtId="49" fontId="2" fillId="0" borderId="1" applyFill="0" applyProtection="0">
      <alignment horizontal="right"/>
    </xf>
    <xf numFmtId="0" fontId="29" fillId="30" borderId="1" applyNumberFormat="0" applyProtection="0">
      <alignment horizontal="right"/>
    </xf>
    <xf numFmtId="0" fontId="3" fillId="30" borderId="1" applyNumberFormat="0" applyProtection="0">
      <alignment horizontal="right"/>
    </xf>
    <xf numFmtId="0" fontId="30" fillId="30" borderId="0" applyNumberFormat="0" applyBorder="0" applyProtection="0">
      <alignment horizontal="left"/>
    </xf>
    <xf numFmtId="0" fontId="31" fillId="30" borderId="0" applyNumberFormat="0" applyBorder="0" applyProtection="0">
      <alignment horizontal="left"/>
    </xf>
    <xf numFmtId="0" fontId="29" fillId="30" borderId="1" applyNumberFormat="0" applyProtection="0">
      <alignment horizontal="left"/>
    </xf>
    <xf numFmtId="0" fontId="3" fillId="30" borderId="1" applyNumberFormat="0" applyProtection="0">
      <alignment horizontal="left"/>
    </xf>
    <xf numFmtId="0" fontId="2" fillId="0" borderId="1" applyNumberFormat="0" applyFill="0" applyProtection="0">
      <alignment horizontal="right"/>
    </xf>
    <xf numFmtId="0" fontId="4" fillId="0" borderId="1" applyNumberFormat="0" applyFill="0" applyProtection="0">
      <alignment horizontal="right"/>
    </xf>
    <xf numFmtId="0" fontId="2" fillId="0" borderId="1" applyNumberFormat="0" applyFill="0" applyProtection="0">
      <alignment horizontal="right"/>
    </xf>
    <xf numFmtId="0" fontId="32" fillId="31" borderId="0" applyNumberFormat="0" applyBorder="0" applyProtection="0">
      <alignment horizontal="left"/>
    </xf>
    <xf numFmtId="0" fontId="33" fillId="31" borderId="0" applyNumberFormat="0" applyBorder="0" applyProtection="0">
      <alignment horizontal="left"/>
    </xf>
    <xf numFmtId="0" fontId="34" fillId="32" borderId="0" applyNumberFormat="0" applyBorder="0" applyProtection="0">
      <alignment horizontal="left"/>
    </xf>
    <xf numFmtId="0" fontId="35" fillId="32" borderId="0" applyNumberFormat="0" applyBorder="0" applyProtection="0">
      <alignment horizontal="left"/>
    </xf>
    <xf numFmtId="207" fontId="53" fillId="33" borderId="19">
      <alignment vertical="center"/>
    </xf>
    <xf numFmtId="205" fontId="54" fillId="33" borderId="19">
      <alignment vertical="center"/>
    </xf>
    <xf numFmtId="207" fontId="55" fillId="34" borderId="19">
      <alignment vertical="center"/>
    </xf>
    <xf numFmtId="0" fontId="4" fillId="35" borderId="20" applyBorder="0">
      <alignment horizontal="left" vertical="center"/>
    </xf>
    <xf numFmtId="49" fontId="4" fillId="36" borderId="1">
      <alignment vertical="center" wrapText="1"/>
    </xf>
    <xf numFmtId="0" fontId="4" fillId="37" borderId="21">
      <alignment horizontal="left" vertical="center" wrapText="1"/>
    </xf>
    <xf numFmtId="0" fontId="56" fillId="38" borderId="1">
      <alignment horizontal="left" vertical="center" wrapText="1"/>
    </xf>
    <xf numFmtId="0" fontId="4" fillId="39" borderId="1">
      <alignment horizontal="left" vertical="center" wrapText="1"/>
    </xf>
    <xf numFmtId="0" fontId="4" fillId="40" borderId="1">
      <alignment horizontal="left" vertical="center" wrapText="1"/>
    </xf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6" fillId="0" borderId="13" applyNumberFormat="0" applyFill="0" applyAlignment="0" applyProtection="0"/>
    <xf numFmtId="0" fontId="25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1" fillId="0" borderId="0" applyNumberFormat="0" applyFill="0" applyBorder="0" applyAlignment="0" applyProtection="0"/>
    <xf numFmtId="217" fontId="64" fillId="0" borderId="0" applyFont="0" applyFill="0" applyBorder="0" applyAlignment="0" applyProtection="0"/>
    <xf numFmtId="0" fontId="23" fillId="0" borderId="17" applyNumberFormat="0" applyFill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24" borderId="8" applyNumberFormat="0" applyAlignment="0" applyProtection="0"/>
    <xf numFmtId="0" fontId="70" fillId="0" borderId="0" applyNumberFormat="0" applyFill="0" applyBorder="0" applyAlignment="0" applyProtection="0"/>
    <xf numFmtId="0" fontId="46" fillId="0" borderId="0"/>
    <xf numFmtId="0" fontId="48" fillId="0" borderId="0" applyNumberFormat="0" applyFill="0" applyBorder="0" applyAlignment="0" applyProtection="0">
      <alignment vertical="center"/>
    </xf>
  </cellStyleXfs>
  <cellXfs count="108">
    <xf numFmtId="0" fontId="0" fillId="0" borderId="0" xfId="0"/>
    <xf numFmtId="0" fontId="3" fillId="41" borderId="0" xfId="0" applyFont="1" applyFill="1"/>
    <xf numFmtId="0" fontId="3" fillId="42" borderId="22" xfId="0" applyFont="1" applyFill="1" applyBorder="1"/>
    <xf numFmtId="0" fontId="4" fillId="42" borderId="22" xfId="0" applyFont="1" applyFill="1" applyBorder="1"/>
    <xf numFmtId="0" fontId="0" fillId="0" borderId="0" xfId="0" applyAlignment="1">
      <alignment horizontal="center"/>
    </xf>
    <xf numFmtId="0" fontId="6" fillId="0" borderId="0" xfId="0" applyFont="1"/>
    <xf numFmtId="0" fontId="3" fillId="42" borderId="22" xfId="0" applyFont="1" applyFill="1" applyBorder="1" applyAlignment="1">
      <alignment horizontal="center"/>
    </xf>
    <xf numFmtId="0" fontId="4" fillId="0" borderId="0" xfId="0" applyFont="1"/>
    <xf numFmtId="0" fontId="3" fillId="41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Fill="1"/>
    <xf numFmtId="0" fontId="3" fillId="41" borderId="22" xfId="0" applyFont="1" applyFill="1" applyBorder="1"/>
    <xf numFmtId="188" fontId="0" fillId="0" borderId="0" xfId="0" applyNumberFormat="1"/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left"/>
    </xf>
    <xf numFmtId="0" fontId="0" fillId="43" borderId="0" xfId="0" applyFill="1"/>
    <xf numFmtId="2" fontId="0" fillId="21" borderId="0" xfId="0" applyNumberFormat="1" applyFill="1"/>
    <xf numFmtId="2" fontId="0" fillId="21" borderId="0" xfId="0" applyNumberFormat="1" applyFill="1" applyAlignment="1">
      <alignment horizontal="center"/>
    </xf>
    <xf numFmtId="0" fontId="5" fillId="0" borderId="0" xfId="0" applyFont="1" applyFill="1"/>
    <xf numFmtId="188" fontId="0" fillId="42" borderId="0" xfId="0" applyNumberFormat="1" applyFill="1" applyAlignment="1">
      <alignment horizontal="center"/>
    </xf>
    <xf numFmtId="0" fontId="3" fillId="41" borderId="22" xfId="0" applyFont="1" applyFill="1" applyBorder="1" applyAlignment="1">
      <alignment horizontal="center"/>
    </xf>
    <xf numFmtId="3" fontId="5" fillId="0" borderId="0" xfId="0" quotePrefix="1" applyNumberFormat="1" applyFont="1" applyFill="1" applyAlignment="1">
      <alignment horizontal="center"/>
    </xf>
    <xf numFmtId="188" fontId="0" fillId="0" borderId="0" xfId="0" applyNumberFormat="1" applyAlignment="1">
      <alignment horizontal="center"/>
    </xf>
    <xf numFmtId="0" fontId="5" fillId="0" borderId="0" xfId="0" quotePrefix="1" applyFont="1" applyFill="1"/>
    <xf numFmtId="0" fontId="0" fillId="44" borderId="0" xfId="0" applyFill="1"/>
    <xf numFmtId="0" fontId="0" fillId="44" borderId="0" xfId="0" applyFill="1" applyBorder="1"/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5" fillId="0" borderId="0" xfId="0" applyFont="1" applyBorder="1" applyAlignment="1">
      <alignment horizontal="center"/>
    </xf>
    <xf numFmtId="18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0" fontId="12" fillId="0" borderId="0" xfId="0" applyFont="1" applyBorder="1" applyAlignment="1">
      <alignment horizontal="center"/>
    </xf>
    <xf numFmtId="188" fontId="0" fillId="0" borderId="0" xfId="2365" applyNumberFormat="1" applyFont="1" applyFill="1" applyBorder="1" applyAlignment="1">
      <alignment horizontal="center"/>
    </xf>
    <xf numFmtId="0" fontId="0" fillId="44" borderId="0" xfId="0" applyFill="1" applyAlignment="1">
      <alignment horizontal="center"/>
    </xf>
    <xf numFmtId="0" fontId="0" fillId="42" borderId="23" xfId="0" applyFill="1" applyBorder="1"/>
    <xf numFmtId="0" fontId="4" fillId="42" borderId="23" xfId="0" applyFont="1" applyFill="1" applyBorder="1"/>
    <xf numFmtId="0" fontId="0" fillId="42" borderId="23" xfId="0" applyFill="1" applyBorder="1" applyAlignment="1">
      <alignment horizontal="center"/>
    </xf>
    <xf numFmtId="0" fontId="4" fillId="42" borderId="23" xfId="0" applyFont="1" applyFill="1" applyBorder="1" applyAlignment="1">
      <alignment horizontal="center"/>
    </xf>
    <xf numFmtId="0" fontId="0" fillId="45" borderId="24" xfId="0" applyFill="1" applyBorder="1"/>
    <xf numFmtId="0" fontId="0" fillId="45" borderId="24" xfId="0" applyFill="1" applyBorder="1" applyAlignment="1">
      <alignment horizontal="center"/>
    </xf>
    <xf numFmtId="0" fontId="4" fillId="45" borderId="24" xfId="0" applyFont="1" applyFill="1" applyBorder="1" applyAlignment="1">
      <alignment horizontal="center"/>
    </xf>
    <xf numFmtId="2" fontId="0" fillId="21" borderId="24" xfId="0" applyNumberFormat="1" applyFill="1" applyBorder="1" applyAlignment="1">
      <alignment horizontal="center"/>
    </xf>
    <xf numFmtId="0" fontId="0" fillId="44" borderId="24" xfId="0" applyFill="1" applyBorder="1" applyAlignment="1">
      <alignment horizontal="center"/>
    </xf>
    <xf numFmtId="0" fontId="0" fillId="0" borderId="24" xfId="0" applyBorder="1"/>
    <xf numFmtId="0" fontId="0" fillId="0" borderId="24" xfId="0" applyFill="1" applyBorder="1" applyAlignment="1">
      <alignment horizontal="center"/>
    </xf>
    <xf numFmtId="0" fontId="0" fillId="46" borderId="24" xfId="0" applyFill="1" applyBorder="1"/>
    <xf numFmtId="0" fontId="0" fillId="46" borderId="24" xfId="0" applyFill="1" applyBorder="1" applyAlignment="1">
      <alignment horizontal="center"/>
    </xf>
    <xf numFmtId="0" fontId="0" fillId="0" borderId="24" xfId="0" applyFill="1" applyBorder="1"/>
    <xf numFmtId="0" fontId="36" fillId="45" borderId="0" xfId="0" applyFont="1" applyFill="1"/>
    <xf numFmtId="0" fontId="0" fillId="45" borderId="0" xfId="0" applyFill="1"/>
    <xf numFmtId="0" fontId="4" fillId="45" borderId="0" xfId="0" applyFont="1" applyFill="1"/>
    <xf numFmtId="2" fontId="0" fillId="45" borderId="0" xfId="0" applyNumberFormat="1" applyFill="1" applyAlignment="1">
      <alignment horizontal="center"/>
    </xf>
    <xf numFmtId="2" fontId="0" fillId="45" borderId="24" xfId="0" applyNumberForma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0" xfId="0" quotePrefix="1" applyFont="1" applyFill="1" applyAlignment="1">
      <alignment horizontal="center"/>
    </xf>
    <xf numFmtId="188" fontId="37" fillId="0" borderId="0" xfId="0" applyNumberFormat="1" applyFont="1" applyFill="1" applyBorder="1" applyAlignment="1">
      <alignment horizontal="center"/>
    </xf>
    <xf numFmtId="3" fontId="5" fillId="0" borderId="24" xfId="0" quotePrefix="1" applyNumberFormat="1" applyFont="1" applyFill="1" applyBorder="1" applyAlignment="1">
      <alignment horizontal="center"/>
    </xf>
    <xf numFmtId="188" fontId="0" fillId="42" borderId="24" xfId="0" applyNumberFormat="1" applyFill="1" applyBorder="1" applyAlignment="1">
      <alignment horizontal="center"/>
    </xf>
    <xf numFmtId="0" fontId="0" fillId="44" borderId="24" xfId="0" applyFill="1" applyBorder="1"/>
    <xf numFmtId="188" fontId="37" fillId="0" borderId="24" xfId="0" applyNumberFormat="1" applyFont="1" applyFill="1" applyBorder="1" applyAlignment="1">
      <alignment horizontal="center"/>
    </xf>
    <xf numFmtId="0" fontId="36" fillId="45" borderId="24" xfId="0" applyFont="1" applyFill="1" applyBorder="1"/>
    <xf numFmtId="0" fontId="2" fillId="0" borderId="0" xfId="0" applyFont="1"/>
    <xf numFmtId="0" fontId="6" fillId="44" borderId="25" xfId="0" applyFont="1" applyFill="1" applyBorder="1" applyAlignment="1">
      <alignment horizontal="left"/>
    </xf>
    <xf numFmtId="0" fontId="4" fillId="0" borderId="24" xfId="0" quotePrefix="1" applyFont="1" applyFill="1" applyBorder="1" applyAlignment="1">
      <alignment horizontal="center"/>
    </xf>
    <xf numFmtId="2" fontId="0" fillId="21" borderId="24" xfId="0" applyNumberFormat="1" applyFill="1" applyBorder="1"/>
    <xf numFmtId="0" fontId="12" fillId="0" borderId="0" xfId="0" applyFont="1" applyBorder="1"/>
    <xf numFmtId="196" fontId="0" fillId="0" borderId="0" xfId="0" applyNumberFormat="1" applyFill="1"/>
    <xf numFmtId="196" fontId="0" fillId="0" borderId="0" xfId="0" applyNumberFormat="1" applyFill="1" applyAlignment="1">
      <alignment horizontal="center"/>
    </xf>
    <xf numFmtId="0" fontId="4" fillId="46" borderId="24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78" fillId="0" borderId="0" xfId="0" applyFont="1"/>
    <xf numFmtId="0" fontId="0" fillId="0" borderId="27" xfId="0" applyBorder="1"/>
    <xf numFmtId="0" fontId="0" fillId="0" borderId="28" xfId="0" applyBorder="1"/>
    <xf numFmtId="0" fontId="2" fillId="0" borderId="25" xfId="0" applyFont="1" applyBorder="1"/>
    <xf numFmtId="0" fontId="2" fillId="0" borderId="29" xfId="0" applyFont="1" applyBorder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Alignment="1">
      <alignment horizontal="left" vertical="center"/>
    </xf>
    <xf numFmtId="0" fontId="42" fillId="44" borderId="0" xfId="0" applyFont="1" applyFill="1"/>
    <xf numFmtId="0" fontId="0" fillId="0" borderId="0" xfId="0" applyAlignment="1">
      <alignment horizontal="left"/>
    </xf>
    <xf numFmtId="0" fontId="42" fillId="0" borderId="0" xfId="0" applyFont="1" applyFill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left"/>
    </xf>
    <xf numFmtId="0" fontId="0" fillId="45" borderId="0" xfId="0" applyFill="1" applyAlignment="1">
      <alignment horizontal="center"/>
    </xf>
    <xf numFmtId="0" fontId="79" fillId="0" borderId="0" xfId="0" applyFont="1" applyAlignment="1">
      <alignment vertical="center" wrapText="1"/>
    </xf>
    <xf numFmtId="3" fontId="0" fillId="43" borderId="0" xfId="0" quotePrefix="1" applyNumberFormat="1" applyFill="1"/>
    <xf numFmtId="2" fontId="0" fillId="0" borderId="0" xfId="0" applyNumberFormat="1"/>
    <xf numFmtId="2" fontId="0" fillId="44" borderId="0" xfId="0" applyNumberFormat="1" applyFill="1"/>
    <xf numFmtId="2" fontId="0" fillId="44" borderId="24" xfId="0" applyNumberFormat="1" applyFill="1" applyBorder="1"/>
    <xf numFmtId="0" fontId="58" fillId="0" borderId="0" xfId="0" applyFont="1"/>
    <xf numFmtId="2" fontId="0" fillId="25" borderId="0" xfId="0" applyNumberFormat="1" applyFill="1"/>
    <xf numFmtId="0" fontId="80" fillId="48" borderId="0" xfId="1074" applyFont="1" applyAlignment="1">
      <alignment horizontal="left" vertical="center" wrapText="1"/>
    </xf>
    <xf numFmtId="2" fontId="0" fillId="46" borderId="0" xfId="0" applyNumberFormat="1" applyFill="1"/>
    <xf numFmtId="2" fontId="81" fillId="46" borderId="0" xfId="0" applyNumberFormat="1" applyFont="1" applyFill="1"/>
    <xf numFmtId="188" fontId="81" fillId="46" borderId="0" xfId="0" applyNumberFormat="1" applyFont="1" applyFill="1"/>
    <xf numFmtId="15" fontId="0" fillId="0" borderId="0" xfId="0" applyNumberFormat="1"/>
    <xf numFmtId="0" fontId="3" fillId="0" borderId="0" xfId="0" applyFont="1"/>
    <xf numFmtId="0" fontId="83" fillId="0" borderId="0" xfId="0" applyFont="1"/>
    <xf numFmtId="203" fontId="0" fillId="45" borderId="0" xfId="0" applyNumberFormat="1" applyFill="1" applyAlignment="1">
      <alignment horizontal="right"/>
    </xf>
    <xf numFmtId="188" fontId="0" fillId="45" borderId="0" xfId="0" applyNumberFormat="1" applyFill="1" applyAlignment="1">
      <alignment horizontal="right"/>
    </xf>
  </cellXfs>
  <cellStyles count="3269">
    <cellStyle name="???????" xfId="1"/>
    <cellStyle name="20% - Accent1 10" xfId="2"/>
    <cellStyle name="20% - Accent1 11" xfId="3"/>
    <cellStyle name="20% - Accent1 12" xfId="4"/>
    <cellStyle name="20% - Accent1 13" xfId="5"/>
    <cellStyle name="20% - Accent1 14" xfId="6"/>
    <cellStyle name="20% - Accent1 15" xfId="7"/>
    <cellStyle name="20% - Accent1 16" xfId="8"/>
    <cellStyle name="20% - Accent1 17" xfId="9"/>
    <cellStyle name="20% - Accent1 18" xfId="10"/>
    <cellStyle name="20% - Accent1 19" xfId="11"/>
    <cellStyle name="20% - Accent1 2" xfId="12"/>
    <cellStyle name="20% - Accent1 20" xfId="13"/>
    <cellStyle name="20% - Accent1 21" xfId="14"/>
    <cellStyle name="20% - Accent1 22" xfId="15"/>
    <cellStyle name="20% - Accent1 23" xfId="16"/>
    <cellStyle name="20% - Accent1 24" xfId="17"/>
    <cellStyle name="20% - Accent1 25" xfId="18"/>
    <cellStyle name="20% - Accent1 26" xfId="19"/>
    <cellStyle name="20% - Accent1 27" xfId="20"/>
    <cellStyle name="20% - Accent1 28" xfId="21"/>
    <cellStyle name="20% - Accent1 29" xfId="22"/>
    <cellStyle name="20% - Accent1 3" xfId="23"/>
    <cellStyle name="20% - Accent1 3 2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39" xfId="34"/>
    <cellStyle name="20% - Accent1 4" xfId="35"/>
    <cellStyle name="20% - Accent1 40" xfId="36"/>
    <cellStyle name="20% - Accent1 41" xfId="37"/>
    <cellStyle name="20% - Accent1 42" xfId="38"/>
    <cellStyle name="20% - Accent1 43" xfId="39"/>
    <cellStyle name="20% - Accent1 5" xfId="40"/>
    <cellStyle name="20% - Accent1 6" xfId="41"/>
    <cellStyle name="20% - Accent1 7" xfId="42"/>
    <cellStyle name="20% - Accent1 8" xfId="43"/>
    <cellStyle name="20% - Accent1 9" xfId="44"/>
    <cellStyle name="20% - Accent2 10" xfId="45"/>
    <cellStyle name="20% - Accent2 11" xfId="46"/>
    <cellStyle name="20% - Accent2 12" xfId="47"/>
    <cellStyle name="20% - Accent2 13" xfId="48"/>
    <cellStyle name="20% - Accent2 14" xfId="49"/>
    <cellStyle name="20% - Accent2 15" xfId="50"/>
    <cellStyle name="20% - Accent2 16" xfId="51"/>
    <cellStyle name="20% - Accent2 17" xfId="52"/>
    <cellStyle name="20% - Accent2 18" xfId="53"/>
    <cellStyle name="20% - Accent2 19" xfId="54"/>
    <cellStyle name="20% - Accent2 2" xfId="55"/>
    <cellStyle name="20% - Accent2 20" xfId="56"/>
    <cellStyle name="20% - Accent2 21" xfId="57"/>
    <cellStyle name="20% - Accent2 22" xfId="58"/>
    <cellStyle name="20% - Accent2 23" xfId="59"/>
    <cellStyle name="20% - Accent2 24" xfId="60"/>
    <cellStyle name="20% - Accent2 25" xfId="61"/>
    <cellStyle name="20% - Accent2 26" xfId="62"/>
    <cellStyle name="20% - Accent2 27" xfId="63"/>
    <cellStyle name="20% - Accent2 28" xfId="64"/>
    <cellStyle name="20% - Accent2 29" xfId="65"/>
    <cellStyle name="20% - Accent2 3" xfId="66"/>
    <cellStyle name="20% - Accent2 3 2" xfId="67"/>
    <cellStyle name="20% - Accent2 30" xfId="68"/>
    <cellStyle name="20% - Accent2 31" xfId="69"/>
    <cellStyle name="20% - Accent2 32" xfId="70"/>
    <cellStyle name="20% - Accent2 33" xfId="71"/>
    <cellStyle name="20% - Accent2 34" xfId="72"/>
    <cellStyle name="20% - Accent2 35" xfId="73"/>
    <cellStyle name="20% - Accent2 36" xfId="74"/>
    <cellStyle name="20% - Accent2 37" xfId="75"/>
    <cellStyle name="20% - Accent2 38" xfId="76"/>
    <cellStyle name="20% - Accent2 39" xfId="77"/>
    <cellStyle name="20% - Accent2 4" xfId="78"/>
    <cellStyle name="20% - Accent2 40" xfId="79"/>
    <cellStyle name="20% - Accent2 41" xfId="80"/>
    <cellStyle name="20% - Accent2 42" xfId="81"/>
    <cellStyle name="20% - Accent2 43" xfId="82"/>
    <cellStyle name="20% - Accent2 5" xfId="83"/>
    <cellStyle name="20% - Accent2 6" xfId="84"/>
    <cellStyle name="20% - Accent2 7" xfId="85"/>
    <cellStyle name="20% - Accent2 8" xfId="86"/>
    <cellStyle name="20% - Accent2 9" xfId="87"/>
    <cellStyle name="20% - Accent3 10" xfId="88"/>
    <cellStyle name="20% - Accent3 11" xfId="89"/>
    <cellStyle name="20% - Accent3 12" xfId="90"/>
    <cellStyle name="20% - Accent3 13" xfId="91"/>
    <cellStyle name="20% - Accent3 14" xfId="92"/>
    <cellStyle name="20% - Accent3 15" xfId="93"/>
    <cellStyle name="20% - Accent3 16" xfId="94"/>
    <cellStyle name="20% - Accent3 17" xfId="95"/>
    <cellStyle name="20% - Accent3 18" xfId="96"/>
    <cellStyle name="20% - Accent3 19" xfId="97"/>
    <cellStyle name="20% - Accent3 2" xfId="98"/>
    <cellStyle name="20% - Accent3 20" xfId="99"/>
    <cellStyle name="20% - Accent3 21" xfId="100"/>
    <cellStyle name="20% - Accent3 22" xfId="101"/>
    <cellStyle name="20% - Accent3 23" xfId="102"/>
    <cellStyle name="20% - Accent3 24" xfId="103"/>
    <cellStyle name="20% - Accent3 25" xfId="104"/>
    <cellStyle name="20% - Accent3 26" xfId="105"/>
    <cellStyle name="20% - Accent3 27" xfId="106"/>
    <cellStyle name="20% - Accent3 28" xfId="107"/>
    <cellStyle name="20% - Accent3 29" xfId="108"/>
    <cellStyle name="20% - Accent3 3" xfId="109"/>
    <cellStyle name="20% - Accent3 3 2" xfId="110"/>
    <cellStyle name="20% - Accent3 30" xfId="111"/>
    <cellStyle name="20% - Accent3 31" xfId="112"/>
    <cellStyle name="20% - Accent3 32" xfId="113"/>
    <cellStyle name="20% - Accent3 33" xfId="114"/>
    <cellStyle name="20% - Accent3 34" xfId="115"/>
    <cellStyle name="20% - Accent3 35" xfId="116"/>
    <cellStyle name="20% - Accent3 36" xfId="117"/>
    <cellStyle name="20% - Accent3 37" xfId="118"/>
    <cellStyle name="20% - Accent3 38" xfId="119"/>
    <cellStyle name="20% - Accent3 39" xfId="120"/>
    <cellStyle name="20% - Accent3 4" xfId="121"/>
    <cellStyle name="20% - Accent3 40" xfId="122"/>
    <cellStyle name="20% - Accent3 41" xfId="123"/>
    <cellStyle name="20% - Accent3 42" xfId="124"/>
    <cellStyle name="20% - Accent3 43" xfId="125"/>
    <cellStyle name="20% - Accent3 5" xfId="126"/>
    <cellStyle name="20% - Accent3 6" xfId="127"/>
    <cellStyle name="20% - Accent3 7" xfId="128"/>
    <cellStyle name="20% - Accent3 8" xfId="129"/>
    <cellStyle name="20% - Accent3 9" xfId="130"/>
    <cellStyle name="20% - Accent4 10" xfId="131"/>
    <cellStyle name="20% - Accent4 11" xfId="132"/>
    <cellStyle name="20% - Accent4 12" xfId="133"/>
    <cellStyle name="20% - Accent4 13" xfId="134"/>
    <cellStyle name="20% - Accent4 14" xfId="135"/>
    <cellStyle name="20% - Accent4 15" xfId="136"/>
    <cellStyle name="20% - Accent4 16" xfId="137"/>
    <cellStyle name="20% - Accent4 17" xfId="138"/>
    <cellStyle name="20% - Accent4 18" xfId="139"/>
    <cellStyle name="20% - Accent4 19" xfId="140"/>
    <cellStyle name="20% - Accent4 2" xfId="141"/>
    <cellStyle name="20% - Accent4 20" xfId="142"/>
    <cellStyle name="20% - Accent4 21" xfId="143"/>
    <cellStyle name="20% - Accent4 22" xfId="144"/>
    <cellStyle name="20% - Accent4 23" xfId="145"/>
    <cellStyle name="20% - Accent4 24" xfId="146"/>
    <cellStyle name="20% - Accent4 25" xfId="147"/>
    <cellStyle name="20% - Accent4 26" xfId="148"/>
    <cellStyle name="20% - Accent4 27" xfId="149"/>
    <cellStyle name="20% - Accent4 28" xfId="150"/>
    <cellStyle name="20% - Accent4 29" xfId="151"/>
    <cellStyle name="20% - Accent4 3" xfId="152"/>
    <cellStyle name="20% - Accent4 3 2" xfId="153"/>
    <cellStyle name="20% - Accent4 30" xfId="154"/>
    <cellStyle name="20% - Accent4 31" xfId="155"/>
    <cellStyle name="20% - Accent4 32" xfId="156"/>
    <cellStyle name="20% - Accent4 33" xfId="157"/>
    <cellStyle name="20% - Accent4 34" xfId="158"/>
    <cellStyle name="20% - Accent4 35" xfId="159"/>
    <cellStyle name="20% - Accent4 36" xfId="160"/>
    <cellStyle name="20% - Accent4 37" xfId="161"/>
    <cellStyle name="20% - Accent4 38" xfId="162"/>
    <cellStyle name="20% - Accent4 39" xfId="163"/>
    <cellStyle name="20% - Accent4 4" xfId="164"/>
    <cellStyle name="20% - Accent4 40" xfId="165"/>
    <cellStyle name="20% - Accent4 41" xfId="166"/>
    <cellStyle name="20% - Accent4 42" xfId="167"/>
    <cellStyle name="20% - Accent4 43" xfId="168"/>
    <cellStyle name="20% - Accent4 5" xfId="169"/>
    <cellStyle name="20% - Accent4 6" xfId="170"/>
    <cellStyle name="20% - Accent4 7" xfId="171"/>
    <cellStyle name="20% - Accent4 8" xfId="172"/>
    <cellStyle name="20% - Accent4 9" xfId="173"/>
    <cellStyle name="20% - Accent5 10" xfId="174"/>
    <cellStyle name="20% - Accent5 11" xfId="175"/>
    <cellStyle name="20% - Accent5 12" xfId="176"/>
    <cellStyle name="20% - Accent5 13" xfId="177"/>
    <cellStyle name="20% - Accent5 14" xfId="178"/>
    <cellStyle name="20% - Accent5 15" xfId="179"/>
    <cellStyle name="20% - Accent5 16" xfId="180"/>
    <cellStyle name="20% - Accent5 17" xfId="181"/>
    <cellStyle name="20% - Accent5 18" xfId="182"/>
    <cellStyle name="20% - Accent5 19" xfId="183"/>
    <cellStyle name="20% - Accent5 2" xfId="184"/>
    <cellStyle name="20% - Accent5 20" xfId="185"/>
    <cellStyle name="20% - Accent5 21" xfId="186"/>
    <cellStyle name="20% - Accent5 22" xfId="187"/>
    <cellStyle name="20% - Accent5 23" xfId="188"/>
    <cellStyle name="20% - Accent5 24" xfId="189"/>
    <cellStyle name="20% - Accent5 25" xfId="190"/>
    <cellStyle name="20% - Accent5 26" xfId="191"/>
    <cellStyle name="20% - Accent5 27" xfId="192"/>
    <cellStyle name="20% - Accent5 28" xfId="193"/>
    <cellStyle name="20% - Accent5 29" xfId="194"/>
    <cellStyle name="20% - Accent5 3" xfId="195"/>
    <cellStyle name="20% - Accent5 3 2" xfId="196"/>
    <cellStyle name="20% - Accent5 30" xfId="197"/>
    <cellStyle name="20% - Accent5 31" xfId="198"/>
    <cellStyle name="20% - Accent5 32" xfId="199"/>
    <cellStyle name="20% - Accent5 33" xfId="200"/>
    <cellStyle name="20% - Accent5 34" xfId="201"/>
    <cellStyle name="20% - Accent5 35" xfId="202"/>
    <cellStyle name="20% - Accent5 36" xfId="203"/>
    <cellStyle name="20% - Accent5 37" xfId="204"/>
    <cellStyle name="20% - Accent5 38" xfId="205"/>
    <cellStyle name="20% - Accent5 39" xfId="206"/>
    <cellStyle name="20% - Accent5 4" xfId="207"/>
    <cellStyle name="20% - Accent5 40" xfId="208"/>
    <cellStyle name="20% - Accent5 41" xfId="209"/>
    <cellStyle name="20% - Accent5 42" xfId="210"/>
    <cellStyle name="20% - Accent5 43" xfId="211"/>
    <cellStyle name="20% - Accent5 5" xfId="212"/>
    <cellStyle name="20% - Accent5 6" xfId="213"/>
    <cellStyle name="20% - Accent5 7" xfId="214"/>
    <cellStyle name="20% - Accent5 8" xfId="215"/>
    <cellStyle name="20% - Accent5 9" xfId="216"/>
    <cellStyle name="20% - Accent6 10" xfId="217"/>
    <cellStyle name="20% - Accent6 11" xfId="218"/>
    <cellStyle name="20% - Accent6 12" xfId="219"/>
    <cellStyle name="20% - Accent6 13" xfId="220"/>
    <cellStyle name="20% - Accent6 14" xfId="221"/>
    <cellStyle name="20% - Accent6 15" xfId="222"/>
    <cellStyle name="20% - Accent6 16" xfId="223"/>
    <cellStyle name="20% - Accent6 17" xfId="224"/>
    <cellStyle name="20% - Accent6 18" xfId="225"/>
    <cellStyle name="20% - Accent6 19" xfId="226"/>
    <cellStyle name="20% - Accent6 2" xfId="227"/>
    <cellStyle name="20% - Accent6 20" xfId="228"/>
    <cellStyle name="20% - Accent6 21" xfId="229"/>
    <cellStyle name="20% - Accent6 22" xfId="230"/>
    <cellStyle name="20% - Accent6 23" xfId="231"/>
    <cellStyle name="20% - Accent6 24" xfId="232"/>
    <cellStyle name="20% - Accent6 25" xfId="233"/>
    <cellStyle name="20% - Accent6 26" xfId="234"/>
    <cellStyle name="20% - Accent6 27" xfId="235"/>
    <cellStyle name="20% - Accent6 28" xfId="236"/>
    <cellStyle name="20% - Accent6 29" xfId="237"/>
    <cellStyle name="20% - Accent6 3" xfId="238"/>
    <cellStyle name="20% - Accent6 3 2" xfId="239"/>
    <cellStyle name="20% - Accent6 30" xfId="240"/>
    <cellStyle name="20% - Accent6 31" xfId="241"/>
    <cellStyle name="20% - Accent6 32" xfId="242"/>
    <cellStyle name="20% - Accent6 33" xfId="243"/>
    <cellStyle name="20% - Accent6 34" xfId="244"/>
    <cellStyle name="20% - Accent6 35" xfId="245"/>
    <cellStyle name="20% - Accent6 36" xfId="246"/>
    <cellStyle name="20% - Accent6 37" xfId="247"/>
    <cellStyle name="20% - Accent6 38" xfId="248"/>
    <cellStyle name="20% - Accent6 39" xfId="249"/>
    <cellStyle name="20% - Accent6 4" xfId="250"/>
    <cellStyle name="20% - Accent6 40" xfId="251"/>
    <cellStyle name="20% - Accent6 41" xfId="252"/>
    <cellStyle name="20% - Accent6 42" xfId="253"/>
    <cellStyle name="20% - Accent6 43" xfId="254"/>
    <cellStyle name="20% - Accent6 44" xfId="255"/>
    <cellStyle name="20% - Accent6 5" xfId="256"/>
    <cellStyle name="20% - Accent6 6" xfId="257"/>
    <cellStyle name="20% - Accent6 7" xfId="258"/>
    <cellStyle name="20% - Accent6 8" xfId="259"/>
    <cellStyle name="20% - Accent6 9" xfId="260"/>
    <cellStyle name="20% - Akzent1" xfId="261"/>
    <cellStyle name="20% - Akzent2" xfId="262"/>
    <cellStyle name="20% - Akzent3" xfId="263"/>
    <cellStyle name="20% - Akzent4" xfId="264"/>
    <cellStyle name="20% - Akzent5" xfId="265"/>
    <cellStyle name="20% - Akzent6" xfId="266"/>
    <cellStyle name="2x indented GHG Textfiels" xfId="267"/>
    <cellStyle name="40% - Accent1 10" xfId="268"/>
    <cellStyle name="40% - Accent1 11" xfId="269"/>
    <cellStyle name="40% - Accent1 12" xfId="270"/>
    <cellStyle name="40% - Accent1 13" xfId="271"/>
    <cellStyle name="40% - Accent1 14" xfId="272"/>
    <cellStyle name="40% - Accent1 15" xfId="273"/>
    <cellStyle name="40% - Accent1 16" xfId="274"/>
    <cellStyle name="40% - Accent1 17" xfId="275"/>
    <cellStyle name="40% - Accent1 18" xfId="276"/>
    <cellStyle name="40% - Accent1 19" xfId="277"/>
    <cellStyle name="40% - Accent1 2" xfId="278"/>
    <cellStyle name="40% - Accent1 20" xfId="279"/>
    <cellStyle name="40% - Accent1 21" xfId="280"/>
    <cellStyle name="40% - Accent1 22" xfId="281"/>
    <cellStyle name="40% - Accent1 23" xfId="282"/>
    <cellStyle name="40% - Accent1 24" xfId="283"/>
    <cellStyle name="40% - Accent1 25" xfId="284"/>
    <cellStyle name="40% - Accent1 26" xfId="285"/>
    <cellStyle name="40% - Accent1 27" xfId="286"/>
    <cellStyle name="40% - Accent1 28" xfId="287"/>
    <cellStyle name="40% - Accent1 29" xfId="288"/>
    <cellStyle name="40% - Accent1 3" xfId="289"/>
    <cellStyle name="40% - Accent1 3 2" xfId="290"/>
    <cellStyle name="40% - Accent1 30" xfId="291"/>
    <cellStyle name="40% - Accent1 31" xfId="292"/>
    <cellStyle name="40% - Accent1 32" xfId="293"/>
    <cellStyle name="40% - Accent1 33" xfId="294"/>
    <cellStyle name="40% - Accent1 34" xfId="295"/>
    <cellStyle name="40% - Accent1 35" xfId="296"/>
    <cellStyle name="40% - Accent1 36" xfId="297"/>
    <cellStyle name="40% - Accent1 37" xfId="298"/>
    <cellStyle name="40% - Accent1 38" xfId="299"/>
    <cellStyle name="40% - Accent1 39" xfId="300"/>
    <cellStyle name="40% - Accent1 4" xfId="301"/>
    <cellStyle name="40% - Accent1 40" xfId="302"/>
    <cellStyle name="40% - Accent1 41" xfId="303"/>
    <cellStyle name="40% - Accent1 42" xfId="304"/>
    <cellStyle name="40% - Accent1 43" xfId="305"/>
    <cellStyle name="40% - Accent1 5" xfId="306"/>
    <cellStyle name="40% - Accent1 6" xfId="307"/>
    <cellStyle name="40% - Accent1 7" xfId="308"/>
    <cellStyle name="40% - Accent1 8" xfId="309"/>
    <cellStyle name="40% - Accent1 9" xfId="310"/>
    <cellStyle name="40% - Accent2 10" xfId="311"/>
    <cellStyle name="40% - Accent2 11" xfId="312"/>
    <cellStyle name="40% - Accent2 12" xfId="313"/>
    <cellStyle name="40% - Accent2 13" xfId="314"/>
    <cellStyle name="40% - Accent2 14" xfId="315"/>
    <cellStyle name="40% - Accent2 15" xfId="316"/>
    <cellStyle name="40% - Accent2 16" xfId="317"/>
    <cellStyle name="40% - Accent2 17" xfId="318"/>
    <cellStyle name="40% - Accent2 18" xfId="319"/>
    <cellStyle name="40% - Accent2 19" xfId="320"/>
    <cellStyle name="40% - Accent2 2" xfId="321"/>
    <cellStyle name="40% - Accent2 20" xfId="322"/>
    <cellStyle name="40% - Accent2 21" xfId="323"/>
    <cellStyle name="40% - Accent2 22" xfId="324"/>
    <cellStyle name="40% - Accent2 23" xfId="325"/>
    <cellStyle name="40% - Accent2 24" xfId="326"/>
    <cellStyle name="40% - Accent2 25" xfId="327"/>
    <cellStyle name="40% - Accent2 26" xfId="328"/>
    <cellStyle name="40% - Accent2 27" xfId="329"/>
    <cellStyle name="40% - Accent2 28" xfId="330"/>
    <cellStyle name="40% - Accent2 29" xfId="331"/>
    <cellStyle name="40% - Accent2 3" xfId="332"/>
    <cellStyle name="40% - Accent2 3 2" xfId="333"/>
    <cellStyle name="40% - Accent2 30" xfId="334"/>
    <cellStyle name="40% - Accent2 31" xfId="335"/>
    <cellStyle name="40% - Accent2 32" xfId="336"/>
    <cellStyle name="40% - Accent2 33" xfId="337"/>
    <cellStyle name="40% - Accent2 34" xfId="338"/>
    <cellStyle name="40% - Accent2 35" xfId="339"/>
    <cellStyle name="40% - Accent2 36" xfId="340"/>
    <cellStyle name="40% - Accent2 37" xfId="341"/>
    <cellStyle name="40% - Accent2 38" xfId="342"/>
    <cellStyle name="40% - Accent2 39" xfId="343"/>
    <cellStyle name="40% - Accent2 4" xfId="344"/>
    <cellStyle name="40% - Accent2 40" xfId="345"/>
    <cellStyle name="40% - Accent2 41" xfId="346"/>
    <cellStyle name="40% - Accent2 42" xfId="347"/>
    <cellStyle name="40% - Accent2 43" xfId="348"/>
    <cellStyle name="40% - Accent2 5" xfId="349"/>
    <cellStyle name="40% - Accent2 6" xfId="350"/>
    <cellStyle name="40% - Accent2 7" xfId="351"/>
    <cellStyle name="40% - Accent2 8" xfId="352"/>
    <cellStyle name="40% - Accent2 9" xfId="353"/>
    <cellStyle name="40% - Accent3 10" xfId="354"/>
    <cellStyle name="40% - Accent3 11" xfId="355"/>
    <cellStyle name="40% - Accent3 12" xfId="356"/>
    <cellStyle name="40% - Accent3 13" xfId="357"/>
    <cellStyle name="40% - Accent3 14" xfId="358"/>
    <cellStyle name="40% - Accent3 15" xfId="359"/>
    <cellStyle name="40% - Accent3 16" xfId="360"/>
    <cellStyle name="40% - Accent3 17" xfId="361"/>
    <cellStyle name="40% - Accent3 18" xfId="362"/>
    <cellStyle name="40% - Accent3 19" xfId="363"/>
    <cellStyle name="40% - Accent3 2" xfId="364"/>
    <cellStyle name="40% - Accent3 20" xfId="365"/>
    <cellStyle name="40% - Accent3 21" xfId="366"/>
    <cellStyle name="40% - Accent3 22" xfId="367"/>
    <cellStyle name="40% - Accent3 23" xfId="368"/>
    <cellStyle name="40% - Accent3 24" xfId="369"/>
    <cellStyle name="40% - Accent3 25" xfId="370"/>
    <cellStyle name="40% - Accent3 26" xfId="371"/>
    <cellStyle name="40% - Accent3 27" xfId="372"/>
    <cellStyle name="40% - Accent3 28" xfId="373"/>
    <cellStyle name="40% - Accent3 29" xfId="374"/>
    <cellStyle name="40% - Accent3 3" xfId="375"/>
    <cellStyle name="40% - Accent3 3 2" xfId="376"/>
    <cellStyle name="40% - Accent3 30" xfId="377"/>
    <cellStyle name="40% - Accent3 31" xfId="378"/>
    <cellStyle name="40% - Accent3 32" xfId="379"/>
    <cellStyle name="40% - Accent3 33" xfId="380"/>
    <cellStyle name="40% - Accent3 34" xfId="381"/>
    <cellStyle name="40% - Accent3 35" xfId="382"/>
    <cellStyle name="40% - Accent3 36" xfId="383"/>
    <cellStyle name="40% - Accent3 37" xfId="384"/>
    <cellStyle name="40% - Accent3 38" xfId="385"/>
    <cellStyle name="40% - Accent3 39" xfId="386"/>
    <cellStyle name="40% - Accent3 4" xfId="387"/>
    <cellStyle name="40% - Accent3 40" xfId="388"/>
    <cellStyle name="40% - Accent3 41" xfId="389"/>
    <cellStyle name="40% - Accent3 42" xfId="390"/>
    <cellStyle name="40% - Accent3 43" xfId="391"/>
    <cellStyle name="40% - Accent3 5" xfId="392"/>
    <cellStyle name="40% - Accent3 6" xfId="393"/>
    <cellStyle name="40% - Accent3 7" xfId="394"/>
    <cellStyle name="40% - Accent3 8" xfId="395"/>
    <cellStyle name="40% - Accent3 9" xfId="396"/>
    <cellStyle name="40% - Accent4 10" xfId="397"/>
    <cellStyle name="40% - Accent4 11" xfId="398"/>
    <cellStyle name="40% - Accent4 12" xfId="399"/>
    <cellStyle name="40% - Accent4 13" xfId="400"/>
    <cellStyle name="40% - Accent4 14" xfId="401"/>
    <cellStyle name="40% - Accent4 15" xfId="402"/>
    <cellStyle name="40% - Accent4 16" xfId="403"/>
    <cellStyle name="40% - Accent4 17" xfId="404"/>
    <cellStyle name="40% - Accent4 18" xfId="405"/>
    <cellStyle name="40% - Accent4 19" xfId="406"/>
    <cellStyle name="40% - Accent4 2" xfId="407"/>
    <cellStyle name="40% - Accent4 20" xfId="408"/>
    <cellStyle name="40% - Accent4 21" xfId="409"/>
    <cellStyle name="40% - Accent4 22" xfId="410"/>
    <cellStyle name="40% - Accent4 23" xfId="411"/>
    <cellStyle name="40% - Accent4 24" xfId="412"/>
    <cellStyle name="40% - Accent4 25" xfId="413"/>
    <cellStyle name="40% - Accent4 26" xfId="414"/>
    <cellStyle name="40% - Accent4 27" xfId="415"/>
    <cellStyle name="40% - Accent4 28" xfId="416"/>
    <cellStyle name="40% - Accent4 29" xfId="417"/>
    <cellStyle name="40% - Accent4 3" xfId="418"/>
    <cellStyle name="40% - Accent4 3 2" xfId="419"/>
    <cellStyle name="40% - Accent4 30" xfId="420"/>
    <cellStyle name="40% - Accent4 31" xfId="421"/>
    <cellStyle name="40% - Accent4 32" xfId="422"/>
    <cellStyle name="40% - Accent4 33" xfId="423"/>
    <cellStyle name="40% - Accent4 34" xfId="424"/>
    <cellStyle name="40% - Accent4 35" xfId="425"/>
    <cellStyle name="40% - Accent4 36" xfId="426"/>
    <cellStyle name="40% - Accent4 37" xfId="427"/>
    <cellStyle name="40% - Accent4 38" xfId="428"/>
    <cellStyle name="40% - Accent4 39" xfId="429"/>
    <cellStyle name="40% - Accent4 4" xfId="430"/>
    <cellStyle name="40% - Accent4 40" xfId="431"/>
    <cellStyle name="40% - Accent4 41" xfId="432"/>
    <cellStyle name="40% - Accent4 42" xfId="433"/>
    <cellStyle name="40% - Accent4 43" xfId="434"/>
    <cellStyle name="40% - Accent4 5" xfId="435"/>
    <cellStyle name="40% - Accent4 6" xfId="436"/>
    <cellStyle name="40% - Accent4 7" xfId="437"/>
    <cellStyle name="40% - Accent4 8" xfId="438"/>
    <cellStyle name="40% - Accent4 9" xfId="439"/>
    <cellStyle name="40% - Accent5 10" xfId="440"/>
    <cellStyle name="40% - Accent5 11" xfId="441"/>
    <cellStyle name="40% - Accent5 12" xfId="442"/>
    <cellStyle name="40% - Accent5 13" xfId="443"/>
    <cellStyle name="40% - Accent5 14" xfId="444"/>
    <cellStyle name="40% - Accent5 15" xfId="445"/>
    <cellStyle name="40% - Accent5 16" xfId="446"/>
    <cellStyle name="40% - Accent5 17" xfId="447"/>
    <cellStyle name="40% - Accent5 18" xfId="448"/>
    <cellStyle name="40% - Accent5 19" xfId="449"/>
    <cellStyle name="40% - Accent5 2" xfId="450"/>
    <cellStyle name="40% - Accent5 20" xfId="451"/>
    <cellStyle name="40% - Accent5 21" xfId="452"/>
    <cellStyle name="40% - Accent5 22" xfId="453"/>
    <cellStyle name="40% - Accent5 23" xfId="454"/>
    <cellStyle name="40% - Accent5 24" xfId="455"/>
    <cellStyle name="40% - Accent5 25" xfId="456"/>
    <cellStyle name="40% - Accent5 26" xfId="457"/>
    <cellStyle name="40% - Accent5 27" xfId="458"/>
    <cellStyle name="40% - Accent5 28" xfId="459"/>
    <cellStyle name="40% - Accent5 29" xfId="460"/>
    <cellStyle name="40% - Accent5 3" xfId="461"/>
    <cellStyle name="40% - Accent5 3 2" xfId="462"/>
    <cellStyle name="40% - Accent5 30" xfId="463"/>
    <cellStyle name="40% - Accent5 31" xfId="464"/>
    <cellStyle name="40% - Accent5 32" xfId="465"/>
    <cellStyle name="40% - Accent5 33" xfId="466"/>
    <cellStyle name="40% - Accent5 34" xfId="467"/>
    <cellStyle name="40% - Accent5 35" xfId="468"/>
    <cellStyle name="40% - Accent5 36" xfId="469"/>
    <cellStyle name="40% - Accent5 37" xfId="470"/>
    <cellStyle name="40% - Accent5 38" xfId="471"/>
    <cellStyle name="40% - Accent5 39" xfId="472"/>
    <cellStyle name="40% - Accent5 4" xfId="473"/>
    <cellStyle name="40% - Accent5 40" xfId="474"/>
    <cellStyle name="40% - Accent5 41" xfId="475"/>
    <cellStyle name="40% - Accent5 42" xfId="476"/>
    <cellStyle name="40% - Accent5 43" xfId="477"/>
    <cellStyle name="40% - Accent5 5" xfId="478"/>
    <cellStyle name="40% - Accent5 6" xfId="479"/>
    <cellStyle name="40% - Accent5 7" xfId="480"/>
    <cellStyle name="40% - Accent5 8" xfId="481"/>
    <cellStyle name="40% - Accent5 9" xfId="482"/>
    <cellStyle name="40% - Accent6 10" xfId="483"/>
    <cellStyle name="40% - Accent6 11" xfId="484"/>
    <cellStyle name="40% - Accent6 12" xfId="485"/>
    <cellStyle name="40% - Accent6 13" xfId="486"/>
    <cellStyle name="40% - Accent6 14" xfId="487"/>
    <cellStyle name="40% - Accent6 15" xfId="488"/>
    <cellStyle name="40% - Accent6 16" xfId="489"/>
    <cellStyle name="40% - Accent6 17" xfId="490"/>
    <cellStyle name="40% - Accent6 18" xfId="491"/>
    <cellStyle name="40% - Accent6 19" xfId="492"/>
    <cellStyle name="40% - Accent6 2" xfId="493"/>
    <cellStyle name="40% - Accent6 20" xfId="494"/>
    <cellStyle name="40% - Accent6 21" xfId="495"/>
    <cellStyle name="40% - Accent6 22" xfId="496"/>
    <cellStyle name="40% - Accent6 23" xfId="497"/>
    <cellStyle name="40% - Accent6 24" xfId="498"/>
    <cellStyle name="40% - Accent6 25" xfId="499"/>
    <cellStyle name="40% - Accent6 26" xfId="500"/>
    <cellStyle name="40% - Accent6 27" xfId="501"/>
    <cellStyle name="40% - Accent6 28" xfId="502"/>
    <cellStyle name="40% - Accent6 29" xfId="503"/>
    <cellStyle name="40% - Accent6 3" xfId="504"/>
    <cellStyle name="40% - Accent6 3 2" xfId="505"/>
    <cellStyle name="40% - Accent6 30" xfId="506"/>
    <cellStyle name="40% - Accent6 31" xfId="507"/>
    <cellStyle name="40% - Accent6 32" xfId="508"/>
    <cellStyle name="40% - Accent6 33" xfId="509"/>
    <cellStyle name="40% - Accent6 34" xfId="510"/>
    <cellStyle name="40% - Accent6 35" xfId="511"/>
    <cellStyle name="40% - Accent6 36" xfId="512"/>
    <cellStyle name="40% - Accent6 37" xfId="513"/>
    <cellStyle name="40% - Accent6 38" xfId="514"/>
    <cellStyle name="40% - Accent6 39" xfId="515"/>
    <cellStyle name="40% - Accent6 4" xfId="516"/>
    <cellStyle name="40% - Accent6 40" xfId="517"/>
    <cellStyle name="40% - Accent6 41" xfId="518"/>
    <cellStyle name="40% - Accent6 42" xfId="519"/>
    <cellStyle name="40% - Accent6 43" xfId="520"/>
    <cellStyle name="40% - Accent6 5" xfId="521"/>
    <cellStyle name="40% - Accent6 6" xfId="522"/>
    <cellStyle name="40% - Accent6 7" xfId="523"/>
    <cellStyle name="40% - Accent6 8" xfId="524"/>
    <cellStyle name="40% - Accent6 9" xfId="525"/>
    <cellStyle name="40% - Akzent1" xfId="526"/>
    <cellStyle name="40% - Akzent2" xfId="527"/>
    <cellStyle name="40% - Akzent3" xfId="528"/>
    <cellStyle name="40% - Akzent4" xfId="529"/>
    <cellStyle name="40% - Akzent5" xfId="530"/>
    <cellStyle name="40% - Akzent6" xfId="531"/>
    <cellStyle name="5x indented GHG Textfiels" xfId="532"/>
    <cellStyle name="60% - Accent1 10" xfId="533"/>
    <cellStyle name="60% - Accent1 11" xfId="534"/>
    <cellStyle name="60% - Accent1 12" xfId="535"/>
    <cellStyle name="60% - Accent1 13" xfId="536"/>
    <cellStyle name="60% - Accent1 14" xfId="537"/>
    <cellStyle name="60% - Accent1 15" xfId="538"/>
    <cellStyle name="60% - Accent1 16" xfId="539"/>
    <cellStyle name="60% - Accent1 17" xfId="540"/>
    <cellStyle name="60% - Accent1 18" xfId="541"/>
    <cellStyle name="60% - Accent1 19" xfId="542"/>
    <cellStyle name="60% - Accent1 2" xfId="543"/>
    <cellStyle name="60% - Accent1 20" xfId="544"/>
    <cellStyle name="60% - Accent1 21" xfId="545"/>
    <cellStyle name="60% - Accent1 22" xfId="546"/>
    <cellStyle name="60% - Accent1 23" xfId="547"/>
    <cellStyle name="60% - Accent1 24" xfId="548"/>
    <cellStyle name="60% - Accent1 25" xfId="549"/>
    <cellStyle name="60% - Accent1 26" xfId="550"/>
    <cellStyle name="60% - Accent1 27" xfId="551"/>
    <cellStyle name="60% - Accent1 28" xfId="552"/>
    <cellStyle name="60% - Accent1 29" xfId="553"/>
    <cellStyle name="60% - Accent1 3" xfId="554"/>
    <cellStyle name="60% - Accent1 3 2" xfId="555"/>
    <cellStyle name="60% - Accent1 30" xfId="556"/>
    <cellStyle name="60% - Accent1 31" xfId="557"/>
    <cellStyle name="60% - Accent1 32" xfId="558"/>
    <cellStyle name="60% - Accent1 33" xfId="559"/>
    <cellStyle name="60% - Accent1 34" xfId="560"/>
    <cellStyle name="60% - Accent1 35" xfId="561"/>
    <cellStyle name="60% - Accent1 36" xfId="562"/>
    <cellStyle name="60% - Accent1 37" xfId="563"/>
    <cellStyle name="60% - Accent1 38" xfId="564"/>
    <cellStyle name="60% - Accent1 39" xfId="565"/>
    <cellStyle name="60% - Accent1 4" xfId="566"/>
    <cellStyle name="60% - Accent1 40" xfId="567"/>
    <cellStyle name="60% - Accent1 41" xfId="568"/>
    <cellStyle name="60% - Accent1 42" xfId="569"/>
    <cellStyle name="60% - Accent1 43" xfId="570"/>
    <cellStyle name="60% - Accent1 5" xfId="571"/>
    <cellStyle name="60% - Accent1 6" xfId="572"/>
    <cellStyle name="60% - Accent1 7" xfId="573"/>
    <cellStyle name="60% - Accent1 8" xfId="574"/>
    <cellStyle name="60% - Accent1 9" xfId="575"/>
    <cellStyle name="60% - Accent2 10" xfId="576"/>
    <cellStyle name="60% - Accent2 11" xfId="577"/>
    <cellStyle name="60% - Accent2 12" xfId="578"/>
    <cellStyle name="60% - Accent2 13" xfId="579"/>
    <cellStyle name="60% - Accent2 14" xfId="580"/>
    <cellStyle name="60% - Accent2 15" xfId="581"/>
    <cellStyle name="60% - Accent2 16" xfId="582"/>
    <cellStyle name="60% - Accent2 17" xfId="583"/>
    <cellStyle name="60% - Accent2 18" xfId="584"/>
    <cellStyle name="60% - Accent2 19" xfId="585"/>
    <cellStyle name="60% - Accent2 2" xfId="586"/>
    <cellStyle name="60% - Accent2 20" xfId="587"/>
    <cellStyle name="60% - Accent2 21" xfId="588"/>
    <cellStyle name="60% - Accent2 22" xfId="589"/>
    <cellStyle name="60% - Accent2 23" xfId="590"/>
    <cellStyle name="60% - Accent2 24" xfId="591"/>
    <cellStyle name="60% - Accent2 25" xfId="592"/>
    <cellStyle name="60% - Accent2 26" xfId="593"/>
    <cellStyle name="60% - Accent2 27" xfId="594"/>
    <cellStyle name="60% - Accent2 28" xfId="595"/>
    <cellStyle name="60% - Accent2 29" xfId="596"/>
    <cellStyle name="60% - Accent2 3" xfId="597"/>
    <cellStyle name="60% - Accent2 3 2" xfId="598"/>
    <cellStyle name="60% - Accent2 30" xfId="599"/>
    <cellStyle name="60% - Accent2 31" xfId="600"/>
    <cellStyle name="60% - Accent2 32" xfId="601"/>
    <cellStyle name="60% - Accent2 33" xfId="602"/>
    <cellStyle name="60% - Accent2 34" xfId="603"/>
    <cellStyle name="60% - Accent2 35" xfId="604"/>
    <cellStyle name="60% - Accent2 36" xfId="605"/>
    <cellStyle name="60% - Accent2 37" xfId="606"/>
    <cellStyle name="60% - Accent2 38" xfId="607"/>
    <cellStyle name="60% - Accent2 39" xfId="608"/>
    <cellStyle name="60% - Accent2 4" xfId="609"/>
    <cellStyle name="60% - Accent2 40" xfId="610"/>
    <cellStyle name="60% - Accent2 41" xfId="611"/>
    <cellStyle name="60% - Accent2 42" xfId="612"/>
    <cellStyle name="60% - Accent2 43" xfId="613"/>
    <cellStyle name="60% - Accent2 5" xfId="614"/>
    <cellStyle name="60% - Accent2 6" xfId="615"/>
    <cellStyle name="60% - Accent2 7" xfId="616"/>
    <cellStyle name="60% - Accent2 8" xfId="617"/>
    <cellStyle name="60% - Accent2 9" xfId="618"/>
    <cellStyle name="60% - Accent3 10" xfId="619"/>
    <cellStyle name="60% - Accent3 11" xfId="620"/>
    <cellStyle name="60% - Accent3 12" xfId="621"/>
    <cellStyle name="60% - Accent3 13" xfId="622"/>
    <cellStyle name="60% - Accent3 14" xfId="623"/>
    <cellStyle name="60% - Accent3 15" xfId="624"/>
    <cellStyle name="60% - Accent3 16" xfId="625"/>
    <cellStyle name="60% - Accent3 17" xfId="626"/>
    <cellStyle name="60% - Accent3 18" xfId="627"/>
    <cellStyle name="60% - Accent3 19" xfId="628"/>
    <cellStyle name="60% - Accent3 2" xfId="629"/>
    <cellStyle name="60% - Accent3 20" xfId="630"/>
    <cellStyle name="60% - Accent3 21" xfId="631"/>
    <cellStyle name="60% - Accent3 22" xfId="632"/>
    <cellStyle name="60% - Accent3 23" xfId="633"/>
    <cellStyle name="60% - Accent3 24" xfId="634"/>
    <cellStyle name="60% - Accent3 25" xfId="635"/>
    <cellStyle name="60% - Accent3 26" xfId="636"/>
    <cellStyle name="60% - Accent3 27" xfId="637"/>
    <cellStyle name="60% - Accent3 28" xfId="638"/>
    <cellStyle name="60% - Accent3 29" xfId="639"/>
    <cellStyle name="60% - Accent3 3" xfId="640"/>
    <cellStyle name="60% - Accent3 3 2" xfId="641"/>
    <cellStyle name="60% - Accent3 30" xfId="642"/>
    <cellStyle name="60% - Accent3 31" xfId="643"/>
    <cellStyle name="60% - Accent3 32" xfId="644"/>
    <cellStyle name="60% - Accent3 33" xfId="645"/>
    <cellStyle name="60% - Accent3 34" xfId="646"/>
    <cellStyle name="60% - Accent3 35" xfId="647"/>
    <cellStyle name="60% - Accent3 36" xfId="648"/>
    <cellStyle name="60% - Accent3 37" xfId="649"/>
    <cellStyle name="60% - Accent3 38" xfId="650"/>
    <cellStyle name="60% - Accent3 39" xfId="651"/>
    <cellStyle name="60% - Accent3 4" xfId="652"/>
    <cellStyle name="60% - Accent3 40" xfId="653"/>
    <cellStyle name="60% - Accent3 41" xfId="654"/>
    <cellStyle name="60% - Accent3 42" xfId="655"/>
    <cellStyle name="60% - Accent3 43" xfId="656"/>
    <cellStyle name="60% - Accent3 5" xfId="657"/>
    <cellStyle name="60% - Accent3 6" xfId="658"/>
    <cellStyle name="60% - Accent3 7" xfId="659"/>
    <cellStyle name="60% - Accent3 8" xfId="660"/>
    <cellStyle name="60% - Accent3 9" xfId="661"/>
    <cellStyle name="60% - Accent4 10" xfId="662"/>
    <cellStyle name="60% - Accent4 11" xfId="663"/>
    <cellStyle name="60% - Accent4 12" xfId="664"/>
    <cellStyle name="60% - Accent4 13" xfId="665"/>
    <cellStyle name="60% - Accent4 14" xfId="666"/>
    <cellStyle name="60% - Accent4 15" xfId="667"/>
    <cellStyle name="60% - Accent4 16" xfId="668"/>
    <cellStyle name="60% - Accent4 17" xfId="669"/>
    <cellStyle name="60% - Accent4 18" xfId="670"/>
    <cellStyle name="60% - Accent4 19" xfId="671"/>
    <cellStyle name="60% - Accent4 2" xfId="672"/>
    <cellStyle name="60% - Accent4 20" xfId="673"/>
    <cellStyle name="60% - Accent4 21" xfId="674"/>
    <cellStyle name="60% - Accent4 22" xfId="675"/>
    <cellStyle name="60% - Accent4 23" xfId="676"/>
    <cellStyle name="60% - Accent4 24" xfId="677"/>
    <cellStyle name="60% - Accent4 25" xfId="678"/>
    <cellStyle name="60% - Accent4 26" xfId="679"/>
    <cellStyle name="60% - Accent4 27" xfId="680"/>
    <cellStyle name="60% - Accent4 28" xfId="681"/>
    <cellStyle name="60% - Accent4 29" xfId="682"/>
    <cellStyle name="60% - Accent4 3" xfId="683"/>
    <cellStyle name="60% - Accent4 3 2" xfId="684"/>
    <cellStyle name="60% - Accent4 30" xfId="685"/>
    <cellStyle name="60% - Accent4 31" xfId="686"/>
    <cellStyle name="60% - Accent4 32" xfId="687"/>
    <cellStyle name="60% - Accent4 33" xfId="688"/>
    <cellStyle name="60% - Accent4 34" xfId="689"/>
    <cellStyle name="60% - Accent4 35" xfId="690"/>
    <cellStyle name="60% - Accent4 36" xfId="691"/>
    <cellStyle name="60% - Accent4 37" xfId="692"/>
    <cellStyle name="60% - Accent4 38" xfId="693"/>
    <cellStyle name="60% - Accent4 39" xfId="694"/>
    <cellStyle name="60% - Accent4 4" xfId="695"/>
    <cellStyle name="60% - Accent4 40" xfId="696"/>
    <cellStyle name="60% - Accent4 41" xfId="697"/>
    <cellStyle name="60% - Accent4 42" xfId="698"/>
    <cellStyle name="60% - Accent4 43" xfId="699"/>
    <cellStyle name="60% - Accent4 5" xfId="700"/>
    <cellStyle name="60% - Accent4 6" xfId="701"/>
    <cellStyle name="60% - Accent4 7" xfId="702"/>
    <cellStyle name="60% - Accent4 8" xfId="703"/>
    <cellStyle name="60% - Accent4 9" xfId="704"/>
    <cellStyle name="60% - Accent5 10" xfId="705"/>
    <cellStyle name="60% - Accent5 11" xfId="706"/>
    <cellStyle name="60% - Accent5 12" xfId="707"/>
    <cellStyle name="60% - Accent5 13" xfId="708"/>
    <cellStyle name="60% - Accent5 14" xfId="709"/>
    <cellStyle name="60% - Accent5 15" xfId="710"/>
    <cellStyle name="60% - Accent5 16" xfId="711"/>
    <cellStyle name="60% - Accent5 17" xfId="712"/>
    <cellStyle name="60% - Accent5 18" xfId="713"/>
    <cellStyle name="60% - Accent5 19" xfId="714"/>
    <cellStyle name="60% - Accent5 2" xfId="715"/>
    <cellStyle name="60% - Accent5 20" xfId="716"/>
    <cellStyle name="60% - Accent5 21" xfId="717"/>
    <cellStyle name="60% - Accent5 22" xfId="718"/>
    <cellStyle name="60% - Accent5 23" xfId="719"/>
    <cellStyle name="60% - Accent5 24" xfId="720"/>
    <cellStyle name="60% - Accent5 25" xfId="721"/>
    <cellStyle name="60% - Accent5 26" xfId="722"/>
    <cellStyle name="60% - Accent5 27" xfId="723"/>
    <cellStyle name="60% - Accent5 28" xfId="724"/>
    <cellStyle name="60% - Accent5 29" xfId="725"/>
    <cellStyle name="60% - Accent5 3" xfId="726"/>
    <cellStyle name="60% - Accent5 3 2" xfId="727"/>
    <cellStyle name="60% - Accent5 30" xfId="728"/>
    <cellStyle name="60% - Accent5 31" xfId="729"/>
    <cellStyle name="60% - Accent5 32" xfId="730"/>
    <cellStyle name="60% - Accent5 33" xfId="731"/>
    <cellStyle name="60% - Accent5 34" xfId="732"/>
    <cellStyle name="60% - Accent5 35" xfId="733"/>
    <cellStyle name="60% - Accent5 36" xfId="734"/>
    <cellStyle name="60% - Accent5 37" xfId="735"/>
    <cellStyle name="60% - Accent5 38" xfId="736"/>
    <cellStyle name="60% - Accent5 39" xfId="737"/>
    <cellStyle name="60% - Accent5 4" xfId="738"/>
    <cellStyle name="60% - Accent5 40" xfId="739"/>
    <cellStyle name="60% - Accent5 41" xfId="740"/>
    <cellStyle name="60% - Accent5 42" xfId="741"/>
    <cellStyle name="60% - Accent5 43" xfId="742"/>
    <cellStyle name="60% - Accent5 5" xfId="743"/>
    <cellStyle name="60% - Accent5 6" xfId="744"/>
    <cellStyle name="60% - Accent5 7" xfId="745"/>
    <cellStyle name="60% - Accent5 8" xfId="746"/>
    <cellStyle name="60% - Accent5 9" xfId="747"/>
    <cellStyle name="60% - Accent6 10" xfId="748"/>
    <cellStyle name="60% - Accent6 11" xfId="749"/>
    <cellStyle name="60% - Accent6 12" xfId="750"/>
    <cellStyle name="60% - Accent6 13" xfId="751"/>
    <cellStyle name="60% - Accent6 14" xfId="752"/>
    <cellStyle name="60% - Accent6 15" xfId="753"/>
    <cellStyle name="60% - Accent6 16" xfId="754"/>
    <cellStyle name="60% - Accent6 17" xfId="755"/>
    <cellStyle name="60% - Accent6 18" xfId="756"/>
    <cellStyle name="60% - Accent6 19" xfId="757"/>
    <cellStyle name="60% - Accent6 2" xfId="758"/>
    <cellStyle name="60% - Accent6 20" xfId="759"/>
    <cellStyle name="60% - Accent6 21" xfId="760"/>
    <cellStyle name="60% - Accent6 22" xfId="761"/>
    <cellStyle name="60% - Accent6 23" xfId="762"/>
    <cellStyle name="60% - Accent6 24" xfId="763"/>
    <cellStyle name="60% - Accent6 25" xfId="764"/>
    <cellStyle name="60% - Accent6 26" xfId="765"/>
    <cellStyle name="60% - Accent6 27" xfId="766"/>
    <cellStyle name="60% - Accent6 28" xfId="767"/>
    <cellStyle name="60% - Accent6 29" xfId="768"/>
    <cellStyle name="60% - Accent6 3" xfId="769"/>
    <cellStyle name="60% - Accent6 3 2" xfId="770"/>
    <cellStyle name="60% - Accent6 30" xfId="771"/>
    <cellStyle name="60% - Accent6 31" xfId="772"/>
    <cellStyle name="60% - Accent6 32" xfId="773"/>
    <cellStyle name="60% - Accent6 33" xfId="774"/>
    <cellStyle name="60% - Accent6 34" xfId="775"/>
    <cellStyle name="60% - Accent6 35" xfId="776"/>
    <cellStyle name="60% - Accent6 36" xfId="777"/>
    <cellStyle name="60% - Accent6 37" xfId="778"/>
    <cellStyle name="60% - Accent6 38" xfId="779"/>
    <cellStyle name="60% - Accent6 39" xfId="780"/>
    <cellStyle name="60% - Accent6 4" xfId="781"/>
    <cellStyle name="60% - Accent6 40" xfId="782"/>
    <cellStyle name="60% - Accent6 41" xfId="783"/>
    <cellStyle name="60% - Accent6 42" xfId="784"/>
    <cellStyle name="60% - Accent6 43" xfId="785"/>
    <cellStyle name="60% - Accent6 5" xfId="786"/>
    <cellStyle name="60% - Accent6 6" xfId="787"/>
    <cellStyle name="60% - Accent6 7" xfId="788"/>
    <cellStyle name="60% - Accent6 8" xfId="789"/>
    <cellStyle name="60% - Accent6 9" xfId="790"/>
    <cellStyle name="60% - Akzent1" xfId="791"/>
    <cellStyle name="60% - Akzent2" xfId="792"/>
    <cellStyle name="60% - Akzent3" xfId="793"/>
    <cellStyle name="60% - Akzent4" xfId="794"/>
    <cellStyle name="60% - Akzent5" xfId="795"/>
    <cellStyle name="60% - Akzent6" xfId="796"/>
    <cellStyle name="60% - Cor4 2" xfId="797"/>
    <cellStyle name="Accent1 10" xfId="798"/>
    <cellStyle name="Accent1 11" xfId="799"/>
    <cellStyle name="Accent1 12" xfId="800"/>
    <cellStyle name="Accent1 13" xfId="801"/>
    <cellStyle name="Accent1 14" xfId="802"/>
    <cellStyle name="Accent1 15" xfId="803"/>
    <cellStyle name="Accent1 16" xfId="804"/>
    <cellStyle name="Accent1 17" xfId="805"/>
    <cellStyle name="Accent1 18" xfId="806"/>
    <cellStyle name="Accent1 19" xfId="807"/>
    <cellStyle name="Accent1 2" xfId="808"/>
    <cellStyle name="Accent1 20" xfId="809"/>
    <cellStyle name="Accent1 21" xfId="810"/>
    <cellStyle name="Accent1 22" xfId="811"/>
    <cellStyle name="Accent1 23" xfId="812"/>
    <cellStyle name="Accent1 24" xfId="813"/>
    <cellStyle name="Accent1 25" xfId="814"/>
    <cellStyle name="Accent1 26" xfId="815"/>
    <cellStyle name="Accent1 27" xfId="816"/>
    <cellStyle name="Accent1 28" xfId="817"/>
    <cellStyle name="Accent1 29" xfId="818"/>
    <cellStyle name="Accent1 3" xfId="819"/>
    <cellStyle name="Accent1 3 2" xfId="820"/>
    <cellStyle name="Accent1 30" xfId="821"/>
    <cellStyle name="Accent1 31" xfId="822"/>
    <cellStyle name="Accent1 32" xfId="823"/>
    <cellStyle name="Accent1 33" xfId="824"/>
    <cellStyle name="Accent1 34" xfId="825"/>
    <cellStyle name="Accent1 35" xfId="826"/>
    <cellStyle name="Accent1 36" xfId="827"/>
    <cellStyle name="Accent1 37" xfId="828"/>
    <cellStyle name="Accent1 38" xfId="829"/>
    <cellStyle name="Accent1 39" xfId="830"/>
    <cellStyle name="Accent1 4" xfId="831"/>
    <cellStyle name="Accent1 40" xfId="832"/>
    <cellStyle name="Accent1 41" xfId="833"/>
    <cellStyle name="Accent1 42" xfId="834"/>
    <cellStyle name="Accent1 43" xfId="835"/>
    <cellStyle name="Accent1 5" xfId="836"/>
    <cellStyle name="Accent1 6" xfId="837"/>
    <cellStyle name="Accent1 7" xfId="838"/>
    <cellStyle name="Accent1 8" xfId="839"/>
    <cellStyle name="Accent1 9" xfId="840"/>
    <cellStyle name="Accent2 10" xfId="841"/>
    <cellStyle name="Accent2 11" xfId="842"/>
    <cellStyle name="Accent2 12" xfId="843"/>
    <cellStyle name="Accent2 13" xfId="844"/>
    <cellStyle name="Accent2 14" xfId="845"/>
    <cellStyle name="Accent2 15" xfId="846"/>
    <cellStyle name="Accent2 16" xfId="847"/>
    <cellStyle name="Accent2 17" xfId="848"/>
    <cellStyle name="Accent2 18" xfId="849"/>
    <cellStyle name="Accent2 19" xfId="850"/>
    <cellStyle name="Accent2 2" xfId="851"/>
    <cellStyle name="Accent2 20" xfId="852"/>
    <cellStyle name="Accent2 21" xfId="853"/>
    <cellStyle name="Accent2 22" xfId="854"/>
    <cellStyle name="Accent2 23" xfId="855"/>
    <cellStyle name="Accent2 24" xfId="856"/>
    <cellStyle name="Accent2 25" xfId="857"/>
    <cellStyle name="Accent2 26" xfId="858"/>
    <cellStyle name="Accent2 27" xfId="859"/>
    <cellStyle name="Accent2 28" xfId="860"/>
    <cellStyle name="Accent2 29" xfId="861"/>
    <cellStyle name="Accent2 3" xfId="862"/>
    <cellStyle name="Accent2 3 2" xfId="863"/>
    <cellStyle name="Accent2 30" xfId="864"/>
    <cellStyle name="Accent2 31" xfId="865"/>
    <cellStyle name="Accent2 32" xfId="866"/>
    <cellStyle name="Accent2 33" xfId="867"/>
    <cellStyle name="Accent2 34" xfId="868"/>
    <cellStyle name="Accent2 35" xfId="869"/>
    <cellStyle name="Accent2 36" xfId="870"/>
    <cellStyle name="Accent2 37" xfId="871"/>
    <cellStyle name="Accent2 38" xfId="872"/>
    <cellStyle name="Accent2 39" xfId="873"/>
    <cellStyle name="Accent2 4" xfId="874"/>
    <cellStyle name="Accent2 40" xfId="875"/>
    <cellStyle name="Accent2 41" xfId="876"/>
    <cellStyle name="Accent2 42" xfId="877"/>
    <cellStyle name="Accent2 43" xfId="878"/>
    <cellStyle name="Accent2 5" xfId="879"/>
    <cellStyle name="Accent2 6" xfId="880"/>
    <cellStyle name="Accent2 7" xfId="881"/>
    <cellStyle name="Accent2 8" xfId="882"/>
    <cellStyle name="Accent2 9" xfId="883"/>
    <cellStyle name="Accent3 10" xfId="884"/>
    <cellStyle name="Accent3 11" xfId="885"/>
    <cellStyle name="Accent3 12" xfId="886"/>
    <cellStyle name="Accent3 13" xfId="887"/>
    <cellStyle name="Accent3 14" xfId="888"/>
    <cellStyle name="Accent3 15" xfId="889"/>
    <cellStyle name="Accent3 16" xfId="890"/>
    <cellStyle name="Accent3 17" xfId="891"/>
    <cellStyle name="Accent3 18" xfId="892"/>
    <cellStyle name="Accent3 19" xfId="893"/>
    <cellStyle name="Accent3 2" xfId="894"/>
    <cellStyle name="Accent3 20" xfId="895"/>
    <cellStyle name="Accent3 21" xfId="896"/>
    <cellStyle name="Accent3 22" xfId="897"/>
    <cellStyle name="Accent3 23" xfId="898"/>
    <cellStyle name="Accent3 24" xfId="899"/>
    <cellStyle name="Accent3 25" xfId="900"/>
    <cellStyle name="Accent3 26" xfId="901"/>
    <cellStyle name="Accent3 27" xfId="902"/>
    <cellStyle name="Accent3 28" xfId="903"/>
    <cellStyle name="Accent3 29" xfId="904"/>
    <cellStyle name="Accent3 3" xfId="905"/>
    <cellStyle name="Accent3 3 2" xfId="906"/>
    <cellStyle name="Accent3 30" xfId="907"/>
    <cellStyle name="Accent3 31" xfId="908"/>
    <cellStyle name="Accent3 32" xfId="909"/>
    <cellStyle name="Accent3 33" xfId="910"/>
    <cellStyle name="Accent3 34" xfId="911"/>
    <cellStyle name="Accent3 35" xfId="912"/>
    <cellStyle name="Accent3 36" xfId="913"/>
    <cellStyle name="Accent3 37" xfId="914"/>
    <cellStyle name="Accent3 38" xfId="915"/>
    <cellStyle name="Accent3 39" xfId="916"/>
    <cellStyle name="Accent3 4" xfId="917"/>
    <cellStyle name="Accent3 40" xfId="918"/>
    <cellStyle name="Accent3 41" xfId="919"/>
    <cellStyle name="Accent3 42" xfId="920"/>
    <cellStyle name="Accent3 43" xfId="921"/>
    <cellStyle name="Accent3 5" xfId="922"/>
    <cellStyle name="Accent3 6" xfId="923"/>
    <cellStyle name="Accent3 7" xfId="924"/>
    <cellStyle name="Accent3 8" xfId="925"/>
    <cellStyle name="Accent3 9" xfId="926"/>
    <cellStyle name="Accent4 10" xfId="927"/>
    <cellStyle name="Accent4 11" xfId="928"/>
    <cellStyle name="Accent4 12" xfId="929"/>
    <cellStyle name="Accent4 13" xfId="930"/>
    <cellStyle name="Accent4 14" xfId="931"/>
    <cellStyle name="Accent4 15" xfId="932"/>
    <cellStyle name="Accent4 16" xfId="933"/>
    <cellStyle name="Accent4 17" xfId="934"/>
    <cellStyle name="Accent4 18" xfId="935"/>
    <cellStyle name="Accent4 19" xfId="936"/>
    <cellStyle name="Accent4 2" xfId="937"/>
    <cellStyle name="Accent4 20" xfId="938"/>
    <cellStyle name="Accent4 21" xfId="939"/>
    <cellStyle name="Accent4 22" xfId="940"/>
    <cellStyle name="Accent4 23" xfId="941"/>
    <cellStyle name="Accent4 24" xfId="942"/>
    <cellStyle name="Accent4 25" xfId="943"/>
    <cellStyle name="Accent4 26" xfId="944"/>
    <cellStyle name="Accent4 27" xfId="945"/>
    <cellStyle name="Accent4 28" xfId="946"/>
    <cellStyle name="Accent4 29" xfId="947"/>
    <cellStyle name="Accent4 3" xfId="948"/>
    <cellStyle name="Accent4 3 2" xfId="949"/>
    <cellStyle name="Accent4 30" xfId="950"/>
    <cellStyle name="Accent4 31" xfId="951"/>
    <cellStyle name="Accent4 32" xfId="952"/>
    <cellStyle name="Accent4 33" xfId="953"/>
    <cellStyle name="Accent4 34" xfId="954"/>
    <cellStyle name="Accent4 35" xfId="955"/>
    <cellStyle name="Accent4 36" xfId="956"/>
    <cellStyle name="Accent4 37" xfId="957"/>
    <cellStyle name="Accent4 38" xfId="958"/>
    <cellStyle name="Accent4 39" xfId="959"/>
    <cellStyle name="Accent4 4" xfId="960"/>
    <cellStyle name="Accent4 40" xfId="961"/>
    <cellStyle name="Accent4 41" xfId="962"/>
    <cellStyle name="Accent4 42" xfId="963"/>
    <cellStyle name="Accent4 43" xfId="964"/>
    <cellStyle name="Accent4 5" xfId="965"/>
    <cellStyle name="Accent4 6" xfId="966"/>
    <cellStyle name="Accent4 7" xfId="967"/>
    <cellStyle name="Accent4 8" xfId="968"/>
    <cellStyle name="Accent4 9" xfId="969"/>
    <cellStyle name="Accent5 10" xfId="970"/>
    <cellStyle name="Accent5 11" xfId="971"/>
    <cellStyle name="Accent5 12" xfId="972"/>
    <cellStyle name="Accent5 13" xfId="973"/>
    <cellStyle name="Accent5 14" xfId="974"/>
    <cellStyle name="Accent5 15" xfId="975"/>
    <cellStyle name="Accent5 16" xfId="976"/>
    <cellStyle name="Accent5 17" xfId="977"/>
    <cellStyle name="Accent5 18" xfId="978"/>
    <cellStyle name="Accent5 19" xfId="979"/>
    <cellStyle name="Accent5 2" xfId="980"/>
    <cellStyle name="Accent5 20" xfId="981"/>
    <cellStyle name="Accent5 21" xfId="982"/>
    <cellStyle name="Accent5 22" xfId="983"/>
    <cellStyle name="Accent5 23" xfId="984"/>
    <cellStyle name="Accent5 24" xfId="985"/>
    <cellStyle name="Accent5 25" xfId="986"/>
    <cellStyle name="Accent5 26" xfId="987"/>
    <cellStyle name="Accent5 27" xfId="988"/>
    <cellStyle name="Accent5 28" xfId="989"/>
    <cellStyle name="Accent5 29" xfId="990"/>
    <cellStyle name="Accent5 3" xfId="991"/>
    <cellStyle name="Accent5 3 2" xfId="992"/>
    <cellStyle name="Accent5 30" xfId="993"/>
    <cellStyle name="Accent5 31" xfId="994"/>
    <cellStyle name="Accent5 32" xfId="995"/>
    <cellStyle name="Accent5 33" xfId="996"/>
    <cellStyle name="Accent5 34" xfId="997"/>
    <cellStyle name="Accent5 35" xfId="998"/>
    <cellStyle name="Accent5 36" xfId="999"/>
    <cellStyle name="Accent5 37" xfId="1000"/>
    <cellStyle name="Accent5 38" xfId="1001"/>
    <cellStyle name="Accent5 39" xfId="1002"/>
    <cellStyle name="Accent5 4" xfId="1003"/>
    <cellStyle name="Accent5 40" xfId="1004"/>
    <cellStyle name="Accent5 41" xfId="1005"/>
    <cellStyle name="Accent5 42" xfId="1006"/>
    <cellStyle name="Accent5 43" xfId="1007"/>
    <cellStyle name="Accent5 5" xfId="1008"/>
    <cellStyle name="Accent5 6" xfId="1009"/>
    <cellStyle name="Accent5 7" xfId="1010"/>
    <cellStyle name="Accent5 8" xfId="1011"/>
    <cellStyle name="Accent5 9" xfId="1012"/>
    <cellStyle name="Accent6 10" xfId="1013"/>
    <cellStyle name="Accent6 11" xfId="1014"/>
    <cellStyle name="Accent6 12" xfId="1015"/>
    <cellStyle name="Accent6 13" xfId="1016"/>
    <cellStyle name="Accent6 14" xfId="1017"/>
    <cellStyle name="Accent6 15" xfId="1018"/>
    <cellStyle name="Accent6 16" xfId="1019"/>
    <cellStyle name="Accent6 17" xfId="1020"/>
    <cellStyle name="Accent6 18" xfId="1021"/>
    <cellStyle name="Accent6 19" xfId="1022"/>
    <cellStyle name="Accent6 2" xfId="1023"/>
    <cellStyle name="Accent6 20" xfId="1024"/>
    <cellStyle name="Accent6 21" xfId="1025"/>
    <cellStyle name="Accent6 22" xfId="1026"/>
    <cellStyle name="Accent6 23" xfId="1027"/>
    <cellStyle name="Accent6 24" xfId="1028"/>
    <cellStyle name="Accent6 25" xfId="1029"/>
    <cellStyle name="Accent6 26" xfId="1030"/>
    <cellStyle name="Accent6 27" xfId="1031"/>
    <cellStyle name="Accent6 28" xfId="1032"/>
    <cellStyle name="Accent6 29" xfId="1033"/>
    <cellStyle name="Accent6 3" xfId="1034"/>
    <cellStyle name="Accent6 3 2" xfId="1035"/>
    <cellStyle name="Accent6 30" xfId="1036"/>
    <cellStyle name="Accent6 31" xfId="1037"/>
    <cellStyle name="Accent6 32" xfId="1038"/>
    <cellStyle name="Accent6 33" xfId="1039"/>
    <cellStyle name="Accent6 34" xfId="1040"/>
    <cellStyle name="Accent6 35" xfId="1041"/>
    <cellStyle name="Accent6 36" xfId="1042"/>
    <cellStyle name="Accent6 37" xfId="1043"/>
    <cellStyle name="Accent6 38" xfId="1044"/>
    <cellStyle name="Accent6 39" xfId="1045"/>
    <cellStyle name="Accent6 4" xfId="1046"/>
    <cellStyle name="Accent6 40" xfId="1047"/>
    <cellStyle name="Accent6 41" xfId="1048"/>
    <cellStyle name="Accent6 42" xfId="1049"/>
    <cellStyle name="Accent6 43" xfId="1050"/>
    <cellStyle name="Accent6 5" xfId="1051"/>
    <cellStyle name="Accent6 6" xfId="1052"/>
    <cellStyle name="Accent6 7" xfId="1053"/>
    <cellStyle name="Accent6 8" xfId="1054"/>
    <cellStyle name="Accent6 9" xfId="1055"/>
    <cellStyle name="AggblueBoldCels" xfId="1056"/>
    <cellStyle name="AggblueCels" xfId="1057"/>
    <cellStyle name="AggBoldCells" xfId="1058"/>
    <cellStyle name="AggCels" xfId="1059"/>
    <cellStyle name="AggGreen" xfId="1060"/>
    <cellStyle name="AggGreen12" xfId="1061"/>
    <cellStyle name="AggOrange" xfId="1062"/>
    <cellStyle name="AggOrange9" xfId="1063"/>
    <cellStyle name="AggOrangeLB_2x" xfId="1064"/>
    <cellStyle name="AggOrangeLBorder" xfId="1065"/>
    <cellStyle name="AggOrangeRBorder" xfId="1066"/>
    <cellStyle name="Akzent1" xfId="1067"/>
    <cellStyle name="Akzent2" xfId="1068"/>
    <cellStyle name="Akzent3" xfId="1069"/>
    <cellStyle name="Akzent4" xfId="1070"/>
    <cellStyle name="Akzent5" xfId="1071"/>
    <cellStyle name="Akzent6" xfId="1072"/>
    <cellStyle name="Ausgabe" xfId="1073"/>
    <cellStyle name="Bad" xfId="1074" builtinId="27"/>
    <cellStyle name="Bad 10" xfId="1075"/>
    <cellStyle name="Bad 11" xfId="1076"/>
    <cellStyle name="Bad 12" xfId="1077"/>
    <cellStyle name="Bad 13" xfId="1078"/>
    <cellStyle name="Bad 14" xfId="1079"/>
    <cellStyle name="Bad 15" xfId="1080"/>
    <cellStyle name="Bad 16" xfId="1081"/>
    <cellStyle name="Bad 17" xfId="1082"/>
    <cellStyle name="Bad 18" xfId="1083"/>
    <cellStyle name="Bad 19" xfId="1084"/>
    <cellStyle name="Bad 2" xfId="1085"/>
    <cellStyle name="Bad 20" xfId="1086"/>
    <cellStyle name="Bad 21" xfId="1087"/>
    <cellStyle name="Bad 22" xfId="1088"/>
    <cellStyle name="Bad 23" xfId="1089"/>
    <cellStyle name="Bad 24" xfId="1090"/>
    <cellStyle name="Bad 25" xfId="1091"/>
    <cellStyle name="Bad 26" xfId="1092"/>
    <cellStyle name="Bad 27" xfId="1093"/>
    <cellStyle name="Bad 28" xfId="1094"/>
    <cellStyle name="Bad 29" xfId="1095"/>
    <cellStyle name="Bad 3" xfId="1096"/>
    <cellStyle name="Bad 3 2" xfId="1097"/>
    <cellStyle name="Bad 30" xfId="1098"/>
    <cellStyle name="Bad 31" xfId="1099"/>
    <cellStyle name="Bad 32" xfId="1100"/>
    <cellStyle name="Bad 33" xfId="1101"/>
    <cellStyle name="Bad 34" xfId="1102"/>
    <cellStyle name="Bad 35" xfId="1103"/>
    <cellStyle name="Bad 36" xfId="1104"/>
    <cellStyle name="Bad 37" xfId="1105"/>
    <cellStyle name="Bad 38" xfId="1106"/>
    <cellStyle name="Bad 39" xfId="1107"/>
    <cellStyle name="Bad 4" xfId="1108"/>
    <cellStyle name="Bad 40" xfId="1109"/>
    <cellStyle name="Bad 41" xfId="1110"/>
    <cellStyle name="Bad 42" xfId="1111"/>
    <cellStyle name="Bad 43" xfId="1112"/>
    <cellStyle name="Bad 44" xfId="1113"/>
    <cellStyle name="Bad 5" xfId="1114"/>
    <cellStyle name="Bad 6" xfId="1115"/>
    <cellStyle name="Bad 7" xfId="1116"/>
    <cellStyle name="Bad 8" xfId="1117"/>
    <cellStyle name="Bad 9" xfId="1118"/>
    <cellStyle name="Berechnung" xfId="1119"/>
    <cellStyle name="Bold GHG Numbers (0.00)" xfId="1120"/>
    <cellStyle name="Calculation 10" xfId="1121"/>
    <cellStyle name="Calculation 11" xfId="1122"/>
    <cellStyle name="Calculation 12" xfId="1123"/>
    <cellStyle name="Calculation 13" xfId="1124"/>
    <cellStyle name="Calculation 14" xfId="1125"/>
    <cellStyle name="Calculation 15" xfId="1126"/>
    <cellStyle name="Calculation 16" xfId="1127"/>
    <cellStyle name="Calculation 17" xfId="1128"/>
    <cellStyle name="Calculation 18" xfId="1129"/>
    <cellStyle name="Calculation 19" xfId="1130"/>
    <cellStyle name="Calculation 2" xfId="1131"/>
    <cellStyle name="Calculation 20" xfId="1132"/>
    <cellStyle name="Calculation 21" xfId="1133"/>
    <cellStyle name="Calculation 22" xfId="1134"/>
    <cellStyle name="Calculation 23" xfId="1135"/>
    <cellStyle name="Calculation 24" xfId="1136"/>
    <cellStyle name="Calculation 25" xfId="1137"/>
    <cellStyle name="Calculation 26" xfId="1138"/>
    <cellStyle name="Calculation 27" xfId="1139"/>
    <cellStyle name="Calculation 28" xfId="1140"/>
    <cellStyle name="Calculation 29" xfId="1141"/>
    <cellStyle name="Calculation 3" xfId="1142"/>
    <cellStyle name="Calculation 3 2" xfId="1143"/>
    <cellStyle name="Calculation 30" xfId="1144"/>
    <cellStyle name="Calculation 31" xfId="1145"/>
    <cellStyle name="Calculation 32" xfId="1146"/>
    <cellStyle name="Calculation 33" xfId="1147"/>
    <cellStyle name="Calculation 34" xfId="1148"/>
    <cellStyle name="Calculation 35" xfId="1149"/>
    <cellStyle name="Calculation 36" xfId="1150"/>
    <cellStyle name="Calculation 37" xfId="1151"/>
    <cellStyle name="Calculation 38" xfId="1152"/>
    <cellStyle name="Calculation 39" xfId="1153"/>
    <cellStyle name="Calculation 4" xfId="1154"/>
    <cellStyle name="Calculation 40" xfId="1155"/>
    <cellStyle name="Calculation 41" xfId="1156"/>
    <cellStyle name="Calculation 42" xfId="1157"/>
    <cellStyle name="Calculation 43" xfId="1158"/>
    <cellStyle name="Calculation 5" xfId="1159"/>
    <cellStyle name="Calculation 6" xfId="1160"/>
    <cellStyle name="Calculation 7" xfId="1161"/>
    <cellStyle name="Calculation 8" xfId="1162"/>
    <cellStyle name="Calculation 9" xfId="1163"/>
    <cellStyle name="Check Cell 10" xfId="1164"/>
    <cellStyle name="Check Cell 11" xfId="1165"/>
    <cellStyle name="Check Cell 12" xfId="1166"/>
    <cellStyle name="Check Cell 13" xfId="1167"/>
    <cellStyle name="Check Cell 14" xfId="1168"/>
    <cellStyle name="Check Cell 15" xfId="1169"/>
    <cellStyle name="Check Cell 16" xfId="1170"/>
    <cellStyle name="Check Cell 17" xfId="1171"/>
    <cellStyle name="Check Cell 18" xfId="1172"/>
    <cellStyle name="Check Cell 19" xfId="1173"/>
    <cellStyle name="Check Cell 2" xfId="1174"/>
    <cellStyle name="Check Cell 20" xfId="1175"/>
    <cellStyle name="Check Cell 21" xfId="1176"/>
    <cellStyle name="Check Cell 22" xfId="1177"/>
    <cellStyle name="Check Cell 23" xfId="1178"/>
    <cellStyle name="Check Cell 24" xfId="1179"/>
    <cellStyle name="Check Cell 25" xfId="1180"/>
    <cellStyle name="Check Cell 26" xfId="1181"/>
    <cellStyle name="Check Cell 27" xfId="1182"/>
    <cellStyle name="Check Cell 28" xfId="1183"/>
    <cellStyle name="Check Cell 29" xfId="1184"/>
    <cellStyle name="Check Cell 3" xfId="1185"/>
    <cellStyle name="Check Cell 3 2" xfId="1186"/>
    <cellStyle name="Check Cell 30" xfId="1187"/>
    <cellStyle name="Check Cell 31" xfId="1188"/>
    <cellStyle name="Check Cell 32" xfId="1189"/>
    <cellStyle name="Check Cell 33" xfId="1190"/>
    <cellStyle name="Check Cell 34" xfId="1191"/>
    <cellStyle name="Check Cell 35" xfId="1192"/>
    <cellStyle name="Check Cell 36" xfId="1193"/>
    <cellStyle name="Check Cell 37" xfId="1194"/>
    <cellStyle name="Check Cell 38" xfId="1195"/>
    <cellStyle name="Check Cell 39" xfId="1196"/>
    <cellStyle name="Check Cell 4" xfId="1197"/>
    <cellStyle name="Check Cell 40" xfId="1198"/>
    <cellStyle name="Check Cell 41" xfId="1199"/>
    <cellStyle name="Check Cell 42" xfId="1200"/>
    <cellStyle name="Check Cell 43" xfId="1201"/>
    <cellStyle name="Check Cell 5" xfId="1202"/>
    <cellStyle name="Check Cell 6" xfId="1203"/>
    <cellStyle name="Check Cell 7" xfId="1204"/>
    <cellStyle name="Check Cell 8" xfId="1205"/>
    <cellStyle name="Check Cell 9" xfId="1206"/>
    <cellStyle name="coin" xfId="1207"/>
    <cellStyle name="Comma 14" xfId="1208"/>
    <cellStyle name="Comma 2" xfId="1209"/>
    <cellStyle name="Comma 2 10" xfId="1210"/>
    <cellStyle name="Comma 2 11" xfId="1211"/>
    <cellStyle name="Comma 2 12" xfId="1212"/>
    <cellStyle name="Comma 2 13" xfId="1213"/>
    <cellStyle name="Comma 2 2" xfId="1214"/>
    <cellStyle name="Comma 2 2 2" xfId="1215"/>
    <cellStyle name="Comma 2 2 2 2" xfId="1216"/>
    <cellStyle name="Comma 2 2 2 3" xfId="1217"/>
    <cellStyle name="Comma 2 2 2 4" xfId="1218"/>
    <cellStyle name="Comma 2 2 2 4 2" xfId="1219"/>
    <cellStyle name="Comma 2 2 2 4 3" xfId="1220"/>
    <cellStyle name="Comma 2 2 2 5" xfId="1221"/>
    <cellStyle name="Comma 2 2 3" xfId="1222"/>
    <cellStyle name="Comma 2 2 3 2" xfId="1223"/>
    <cellStyle name="Comma 2 2 3 3" xfId="1224"/>
    <cellStyle name="Comma 2 2 3 4" xfId="1225"/>
    <cellStyle name="Comma 2 2 4" xfId="1226"/>
    <cellStyle name="Comma 2 2 4 2" xfId="1227"/>
    <cellStyle name="Comma 2 2 5" xfId="1228"/>
    <cellStyle name="Comma 2 2 6" xfId="1229"/>
    <cellStyle name="Comma 2 2 6 2" xfId="1230"/>
    <cellStyle name="Comma 2 2 6 3" xfId="1231"/>
    <cellStyle name="Comma 2 2 7" xfId="1232"/>
    <cellStyle name="Comma 2 3" xfId="1233"/>
    <cellStyle name="Comma 2 3 2" xfId="1234"/>
    <cellStyle name="Comma 2 3 2 2" xfId="1235"/>
    <cellStyle name="Comma 2 3 2 3" xfId="1236"/>
    <cellStyle name="Comma 2 3 2 4" xfId="1237"/>
    <cellStyle name="Comma 2 3 2 4 2" xfId="1238"/>
    <cellStyle name="Comma 2 3 2 4 3" xfId="1239"/>
    <cellStyle name="Comma 2 3 2 5" xfId="1240"/>
    <cellStyle name="Comma 2 3 3" xfId="1241"/>
    <cellStyle name="Comma 2 3 3 2" xfId="1242"/>
    <cellStyle name="Comma 2 3 3 3" xfId="1243"/>
    <cellStyle name="Comma 2 3 3 4" xfId="1244"/>
    <cellStyle name="Comma 2 3 4" xfId="1245"/>
    <cellStyle name="Comma 2 3 4 2" xfId="1246"/>
    <cellStyle name="Comma 2 3 5" xfId="1247"/>
    <cellStyle name="Comma 2 3 6" xfId="1248"/>
    <cellStyle name="Comma 2 4" xfId="1249"/>
    <cellStyle name="Comma 2 4 2" xfId="1250"/>
    <cellStyle name="Comma 2 4 3" xfId="1251"/>
    <cellStyle name="Comma 2 4 4" xfId="1252"/>
    <cellStyle name="Comma 2 4 4 2" xfId="1253"/>
    <cellStyle name="Comma 2 4 4 3" xfId="1254"/>
    <cellStyle name="Comma 2 4 5" xfId="1255"/>
    <cellStyle name="Comma 2 5" xfId="1256"/>
    <cellStyle name="Comma 2 5 2" xfId="1257"/>
    <cellStyle name="Comma 2 5 3" xfId="1258"/>
    <cellStyle name="Comma 2 5 4" xfId="1259"/>
    <cellStyle name="Comma 2 6" xfId="1260"/>
    <cellStyle name="Comma 2 6 2" xfId="1261"/>
    <cellStyle name="Comma 2 7" xfId="1262"/>
    <cellStyle name="Comma 2 7 2" xfId="1263"/>
    <cellStyle name="Comma 2 8" xfId="1264"/>
    <cellStyle name="Comma 2 8 2" xfId="1265"/>
    <cellStyle name="Comma 2 8 3" xfId="1266"/>
    <cellStyle name="Comma 2 9" xfId="1267"/>
    <cellStyle name="Comma 2_PrimaryEnergyPrices_TIMES" xfId="1268"/>
    <cellStyle name="Comma 3" xfId="1269"/>
    <cellStyle name="Comma 3 2" xfId="1270"/>
    <cellStyle name="Comma 3 2 2" xfId="1271"/>
    <cellStyle name="Comma 3 3" xfId="1272"/>
    <cellStyle name="Comma 3 3 2" xfId="1273"/>
    <cellStyle name="Comma 3 3 3" xfId="1274"/>
    <cellStyle name="Comma 3 4" xfId="1275"/>
    <cellStyle name="Comma 4" xfId="1276"/>
    <cellStyle name="Comma 4 2" xfId="1277"/>
    <cellStyle name="Comma 5 2" xfId="1278"/>
    <cellStyle name="Comma 5 3" xfId="1279"/>
    <cellStyle name="Comma 5 3 2" xfId="1280"/>
    <cellStyle name="Comma 8 2" xfId="1281"/>
    <cellStyle name="Comma 8 2 2" xfId="1282"/>
    <cellStyle name="Constants" xfId="1283"/>
    <cellStyle name="Currency 2" xfId="1284"/>
    <cellStyle name="CustomCellsOrange" xfId="1285"/>
    <cellStyle name="CustomizationCells" xfId="1286"/>
    <cellStyle name="CustomizationGreenCells" xfId="1287"/>
    <cellStyle name="DocBox_EmptyRow" xfId="1288"/>
    <cellStyle name="donn_normal" xfId="1289"/>
    <cellStyle name="Eingabe" xfId="1290"/>
    <cellStyle name="Empty_B_border" xfId="1291"/>
    <cellStyle name="ent_col_ser" xfId="1292"/>
    <cellStyle name="entete_source" xfId="1293"/>
    <cellStyle name="Ergebnis" xfId="1294"/>
    <cellStyle name="Erklärender Text" xfId="1295"/>
    <cellStyle name="Estilo 1" xfId="1296"/>
    <cellStyle name="Euro" xfId="1297"/>
    <cellStyle name="Euro 10" xfId="1298"/>
    <cellStyle name="Euro 10 2" xfId="1299"/>
    <cellStyle name="Euro 11" xfId="1300"/>
    <cellStyle name="Euro 11 2" xfId="1301"/>
    <cellStyle name="Euro 12" xfId="1302"/>
    <cellStyle name="Euro 13" xfId="1303"/>
    <cellStyle name="Euro 14" xfId="1304"/>
    <cellStyle name="Euro 15" xfId="1305"/>
    <cellStyle name="Euro 16" xfId="1306"/>
    <cellStyle name="Euro 17" xfId="1307"/>
    <cellStyle name="Euro 18" xfId="1308"/>
    <cellStyle name="Euro 19" xfId="1309"/>
    <cellStyle name="Euro 2" xfId="1310"/>
    <cellStyle name="Euro 2 2" xfId="1311"/>
    <cellStyle name="Euro 2 2 2" xfId="1312"/>
    <cellStyle name="Euro 2 2 3" xfId="1313"/>
    <cellStyle name="Euro 2 2 4" xfId="1314"/>
    <cellStyle name="Euro 2 2 5" xfId="1315"/>
    <cellStyle name="Euro 2 3" xfId="1316"/>
    <cellStyle name="Euro 2 4" xfId="1317"/>
    <cellStyle name="Euro 2 5" xfId="1318"/>
    <cellStyle name="Euro 2 6" xfId="1319"/>
    <cellStyle name="Euro 20" xfId="1320"/>
    <cellStyle name="Euro 21" xfId="1321"/>
    <cellStyle name="Euro 22" xfId="1322"/>
    <cellStyle name="Euro 23" xfId="1323"/>
    <cellStyle name="Euro 24" xfId="1324"/>
    <cellStyle name="Euro 25" xfId="1325"/>
    <cellStyle name="Euro 26" xfId="1326"/>
    <cellStyle name="Euro 27" xfId="1327"/>
    <cellStyle name="Euro 28" xfId="1328"/>
    <cellStyle name="Euro 29" xfId="1329"/>
    <cellStyle name="Euro 3" xfId="1330"/>
    <cellStyle name="Euro 3 2" xfId="1331"/>
    <cellStyle name="Euro 3 2 2" xfId="1332"/>
    <cellStyle name="Euro 3 3" xfId="1333"/>
    <cellStyle name="Euro 3 3 2" xfId="1334"/>
    <cellStyle name="Euro 3 3 3" xfId="1335"/>
    <cellStyle name="Euro 3 3 4" xfId="1336"/>
    <cellStyle name="Euro 3 4" xfId="1337"/>
    <cellStyle name="Euro 3 5" xfId="1338"/>
    <cellStyle name="Euro 3 6" xfId="1339"/>
    <cellStyle name="Euro 3 7" xfId="1340"/>
    <cellStyle name="Euro 3_PrimaryEnergyPrices_TIMES" xfId="1341"/>
    <cellStyle name="Euro 30" xfId="1342"/>
    <cellStyle name="Euro 31" xfId="1343"/>
    <cellStyle name="Euro 32" xfId="1344"/>
    <cellStyle name="Euro 33" xfId="1345"/>
    <cellStyle name="Euro 34" xfId="1346"/>
    <cellStyle name="Euro 35" xfId="1347"/>
    <cellStyle name="Euro 36" xfId="1348"/>
    <cellStyle name="Euro 37" xfId="1349"/>
    <cellStyle name="Euro 38" xfId="1350"/>
    <cellStyle name="Euro 39" xfId="1351"/>
    <cellStyle name="Euro 4" xfId="1352"/>
    <cellStyle name="Euro 4 2" xfId="1353"/>
    <cellStyle name="Euro 4 2 2" xfId="1354"/>
    <cellStyle name="Euro 4 3" xfId="1355"/>
    <cellStyle name="Euro 4 3 2" xfId="1356"/>
    <cellStyle name="Euro 4 3 3" xfId="1357"/>
    <cellStyle name="Euro 4 3 4" xfId="1358"/>
    <cellStyle name="Euro 4 4" xfId="1359"/>
    <cellStyle name="Euro 4 5" xfId="1360"/>
    <cellStyle name="Euro 40" xfId="1361"/>
    <cellStyle name="Euro 41" xfId="1362"/>
    <cellStyle name="Euro 42" xfId="1363"/>
    <cellStyle name="Euro 43" xfId="1364"/>
    <cellStyle name="Euro 44" xfId="1365"/>
    <cellStyle name="Euro 45" xfId="1366"/>
    <cellStyle name="Euro 46" xfId="1367"/>
    <cellStyle name="Euro 47" xfId="1368"/>
    <cellStyle name="Euro 48" xfId="1369"/>
    <cellStyle name="Euro 48 2" xfId="1370"/>
    <cellStyle name="Euro 49" xfId="1371"/>
    <cellStyle name="Euro 49 2" xfId="1372"/>
    <cellStyle name="Euro 5" xfId="1373"/>
    <cellStyle name="Euro 5 2" xfId="1374"/>
    <cellStyle name="Euro 5 3" xfId="1375"/>
    <cellStyle name="Euro 5 4" xfId="1376"/>
    <cellStyle name="Euro 50" xfId="1377"/>
    <cellStyle name="Euro 50 2" xfId="1378"/>
    <cellStyle name="Euro 51" xfId="1379"/>
    <cellStyle name="Euro 51 2" xfId="1380"/>
    <cellStyle name="Euro 52" xfId="1381"/>
    <cellStyle name="Euro 52 2" xfId="1382"/>
    <cellStyle name="Euro 53" xfId="1383"/>
    <cellStyle name="Euro 53 2" xfId="1384"/>
    <cellStyle name="Euro 54" xfId="1385"/>
    <cellStyle name="Euro 54 2" xfId="1386"/>
    <cellStyle name="Euro 55" xfId="1387"/>
    <cellStyle name="Euro 55 2" xfId="1388"/>
    <cellStyle name="Euro 56" xfId="1389"/>
    <cellStyle name="Euro 56 2" xfId="1390"/>
    <cellStyle name="Euro 57" xfId="1391"/>
    <cellStyle name="Euro 58" xfId="1392"/>
    <cellStyle name="Euro 59" xfId="1393"/>
    <cellStyle name="Euro 6" xfId="1394"/>
    <cellStyle name="Euro 6 2" xfId="1395"/>
    <cellStyle name="Euro 6 3" xfId="1396"/>
    <cellStyle name="Euro 7" xfId="1397"/>
    <cellStyle name="Euro 7 2" xfId="1398"/>
    <cellStyle name="Euro 7 3" xfId="1399"/>
    <cellStyle name="Euro 8" xfId="1400"/>
    <cellStyle name="Euro 8 2" xfId="1401"/>
    <cellStyle name="Euro 9" xfId="1402"/>
    <cellStyle name="Euro 9 2" xfId="1403"/>
    <cellStyle name="Euro_Potentials in TIMES" xfId="1404"/>
    <cellStyle name="Explanatory Text 10" xfId="1405"/>
    <cellStyle name="Explanatory Text 11" xfId="1406"/>
    <cellStyle name="Explanatory Text 12" xfId="1407"/>
    <cellStyle name="Explanatory Text 13" xfId="1408"/>
    <cellStyle name="Explanatory Text 14" xfId="1409"/>
    <cellStyle name="Explanatory Text 15" xfId="1410"/>
    <cellStyle name="Explanatory Text 16" xfId="1411"/>
    <cellStyle name="Explanatory Text 17" xfId="1412"/>
    <cellStyle name="Explanatory Text 18" xfId="1413"/>
    <cellStyle name="Explanatory Text 19" xfId="1414"/>
    <cellStyle name="Explanatory Text 2" xfId="1415"/>
    <cellStyle name="Explanatory Text 20" xfId="1416"/>
    <cellStyle name="Explanatory Text 21" xfId="1417"/>
    <cellStyle name="Explanatory Text 22" xfId="1418"/>
    <cellStyle name="Explanatory Text 23" xfId="1419"/>
    <cellStyle name="Explanatory Text 24" xfId="1420"/>
    <cellStyle name="Explanatory Text 25" xfId="1421"/>
    <cellStyle name="Explanatory Text 26" xfId="1422"/>
    <cellStyle name="Explanatory Text 27" xfId="1423"/>
    <cellStyle name="Explanatory Text 28" xfId="1424"/>
    <cellStyle name="Explanatory Text 29" xfId="1425"/>
    <cellStyle name="Explanatory Text 3" xfId="1426"/>
    <cellStyle name="Explanatory Text 3 2" xfId="1427"/>
    <cellStyle name="Explanatory Text 30" xfId="1428"/>
    <cellStyle name="Explanatory Text 31" xfId="1429"/>
    <cellStyle name="Explanatory Text 32" xfId="1430"/>
    <cellStyle name="Explanatory Text 33" xfId="1431"/>
    <cellStyle name="Explanatory Text 34" xfId="1432"/>
    <cellStyle name="Explanatory Text 35" xfId="1433"/>
    <cellStyle name="Explanatory Text 36" xfId="1434"/>
    <cellStyle name="Explanatory Text 37" xfId="1435"/>
    <cellStyle name="Explanatory Text 38" xfId="1436"/>
    <cellStyle name="Explanatory Text 39" xfId="1437"/>
    <cellStyle name="Explanatory Text 4" xfId="1438"/>
    <cellStyle name="Explanatory Text 40" xfId="1439"/>
    <cellStyle name="Explanatory Text 41" xfId="1440"/>
    <cellStyle name="Explanatory Text 42" xfId="1441"/>
    <cellStyle name="Explanatory Text 43" xfId="1442"/>
    <cellStyle name="Explanatory Text 5" xfId="1443"/>
    <cellStyle name="Explanatory Text 6" xfId="1444"/>
    <cellStyle name="Explanatory Text 7" xfId="1445"/>
    <cellStyle name="Explanatory Text 8" xfId="1446"/>
    <cellStyle name="Explanatory Text 9" xfId="1447"/>
    <cellStyle name="Float" xfId="1448"/>
    <cellStyle name="Float 2" xfId="1449"/>
    <cellStyle name="Float 3" xfId="1450"/>
    <cellStyle name="Good 10" xfId="1451"/>
    <cellStyle name="Good 11" xfId="1452"/>
    <cellStyle name="Good 12" xfId="1453"/>
    <cellStyle name="Good 13" xfId="1454"/>
    <cellStyle name="Good 14" xfId="1455"/>
    <cellStyle name="Good 15" xfId="1456"/>
    <cellStyle name="Good 16" xfId="1457"/>
    <cellStyle name="Good 17" xfId="1458"/>
    <cellStyle name="Good 18" xfId="1459"/>
    <cellStyle name="Good 19" xfId="1460"/>
    <cellStyle name="Good 2" xfId="1461"/>
    <cellStyle name="Good 2 2" xfId="1462"/>
    <cellStyle name="Good 2 3" xfId="1463"/>
    <cellStyle name="Good 20" xfId="1464"/>
    <cellStyle name="Good 21" xfId="1465"/>
    <cellStyle name="Good 22" xfId="1466"/>
    <cellStyle name="Good 23" xfId="1467"/>
    <cellStyle name="Good 24" xfId="1468"/>
    <cellStyle name="Good 25" xfId="1469"/>
    <cellStyle name="Good 26" xfId="1470"/>
    <cellStyle name="Good 27" xfId="1471"/>
    <cellStyle name="Good 28" xfId="1472"/>
    <cellStyle name="Good 29" xfId="1473"/>
    <cellStyle name="Good 3" xfId="1474"/>
    <cellStyle name="Good 3 2" xfId="1475"/>
    <cellStyle name="Good 30" xfId="1476"/>
    <cellStyle name="Good 31" xfId="1477"/>
    <cellStyle name="Good 32" xfId="1478"/>
    <cellStyle name="Good 33" xfId="1479"/>
    <cellStyle name="Good 34" xfId="1480"/>
    <cellStyle name="Good 35" xfId="1481"/>
    <cellStyle name="Good 36" xfId="1482"/>
    <cellStyle name="Good 37" xfId="1483"/>
    <cellStyle name="Good 38" xfId="1484"/>
    <cellStyle name="Good 39" xfId="1485"/>
    <cellStyle name="Good 4" xfId="1486"/>
    <cellStyle name="Good 40" xfId="1487"/>
    <cellStyle name="Good 41" xfId="1488"/>
    <cellStyle name="Good 42" xfId="1489"/>
    <cellStyle name="Good 5" xfId="1490"/>
    <cellStyle name="Good 6" xfId="1491"/>
    <cellStyle name="Good 7" xfId="1492"/>
    <cellStyle name="Good 8" xfId="1493"/>
    <cellStyle name="Good 9" xfId="1494"/>
    <cellStyle name="Gut" xfId="1495"/>
    <cellStyle name="Heading 1 10" xfId="1496"/>
    <cellStyle name="Heading 1 11" xfId="1497"/>
    <cellStyle name="Heading 1 12" xfId="1498"/>
    <cellStyle name="Heading 1 13" xfId="1499"/>
    <cellStyle name="Heading 1 14" xfId="1500"/>
    <cellStyle name="Heading 1 15" xfId="1501"/>
    <cellStyle name="Heading 1 16" xfId="1502"/>
    <cellStyle name="Heading 1 17" xfId="1503"/>
    <cellStyle name="Heading 1 18" xfId="1504"/>
    <cellStyle name="Heading 1 19" xfId="1505"/>
    <cellStyle name="Heading 1 2" xfId="1506"/>
    <cellStyle name="Heading 1 20" xfId="1507"/>
    <cellStyle name="Heading 1 21" xfId="1508"/>
    <cellStyle name="Heading 1 22" xfId="1509"/>
    <cellStyle name="Heading 1 23" xfId="1510"/>
    <cellStyle name="Heading 1 24" xfId="1511"/>
    <cellStyle name="Heading 1 25" xfId="1512"/>
    <cellStyle name="Heading 1 26" xfId="1513"/>
    <cellStyle name="Heading 1 27" xfId="1514"/>
    <cellStyle name="Heading 1 28" xfId="1515"/>
    <cellStyle name="Heading 1 29" xfId="1516"/>
    <cellStyle name="Heading 1 3" xfId="1517"/>
    <cellStyle name="Heading 1 3 2" xfId="1518"/>
    <cellStyle name="Heading 1 30" xfId="1519"/>
    <cellStyle name="Heading 1 31" xfId="1520"/>
    <cellStyle name="Heading 1 32" xfId="1521"/>
    <cellStyle name="Heading 1 33" xfId="1522"/>
    <cellStyle name="Heading 1 34" xfId="1523"/>
    <cellStyle name="Heading 1 35" xfId="1524"/>
    <cellStyle name="Heading 1 36" xfId="1525"/>
    <cellStyle name="Heading 1 37" xfId="1526"/>
    <cellStyle name="Heading 1 38" xfId="1527"/>
    <cellStyle name="Heading 1 39" xfId="1528"/>
    <cellStyle name="Heading 1 4" xfId="1529"/>
    <cellStyle name="Heading 1 40" xfId="1530"/>
    <cellStyle name="Heading 1 41" xfId="1531"/>
    <cellStyle name="Heading 1 5" xfId="1532"/>
    <cellStyle name="Heading 1 6" xfId="1533"/>
    <cellStyle name="Heading 1 7" xfId="1534"/>
    <cellStyle name="Heading 1 8" xfId="1535"/>
    <cellStyle name="Heading 1 9" xfId="1536"/>
    <cellStyle name="Heading 2 10" xfId="1537"/>
    <cellStyle name="Heading 2 11" xfId="1538"/>
    <cellStyle name="Heading 2 12" xfId="1539"/>
    <cellStyle name="Heading 2 13" xfId="1540"/>
    <cellStyle name="Heading 2 14" xfId="1541"/>
    <cellStyle name="Heading 2 15" xfId="1542"/>
    <cellStyle name="Heading 2 16" xfId="1543"/>
    <cellStyle name="Heading 2 17" xfId="1544"/>
    <cellStyle name="Heading 2 18" xfId="1545"/>
    <cellStyle name="Heading 2 19" xfId="1546"/>
    <cellStyle name="Heading 2 2" xfId="1547"/>
    <cellStyle name="Heading 2 20" xfId="1548"/>
    <cellStyle name="Heading 2 21" xfId="1549"/>
    <cellStyle name="Heading 2 22" xfId="1550"/>
    <cellStyle name="Heading 2 23" xfId="1551"/>
    <cellStyle name="Heading 2 24" xfId="1552"/>
    <cellStyle name="Heading 2 25" xfId="1553"/>
    <cellStyle name="Heading 2 26" xfId="1554"/>
    <cellStyle name="Heading 2 27" xfId="1555"/>
    <cellStyle name="Heading 2 28" xfId="1556"/>
    <cellStyle name="Heading 2 29" xfId="1557"/>
    <cellStyle name="Heading 2 3" xfId="1558"/>
    <cellStyle name="Heading 2 3 2" xfId="1559"/>
    <cellStyle name="Heading 2 30" xfId="1560"/>
    <cellStyle name="Heading 2 31" xfId="1561"/>
    <cellStyle name="Heading 2 32" xfId="1562"/>
    <cellStyle name="Heading 2 33" xfId="1563"/>
    <cellStyle name="Heading 2 34" xfId="1564"/>
    <cellStyle name="Heading 2 35" xfId="1565"/>
    <cellStyle name="Heading 2 36" xfId="1566"/>
    <cellStyle name="Heading 2 37" xfId="1567"/>
    <cellStyle name="Heading 2 38" xfId="1568"/>
    <cellStyle name="Heading 2 39" xfId="1569"/>
    <cellStyle name="Heading 2 4" xfId="1570"/>
    <cellStyle name="Heading 2 40" xfId="1571"/>
    <cellStyle name="Heading 2 41" xfId="1572"/>
    <cellStyle name="Heading 2 5" xfId="1573"/>
    <cellStyle name="Heading 2 6" xfId="1574"/>
    <cellStyle name="Heading 2 7" xfId="1575"/>
    <cellStyle name="Heading 2 8" xfId="1576"/>
    <cellStyle name="Heading 2 9" xfId="1577"/>
    <cellStyle name="Heading 3 10" xfId="1578"/>
    <cellStyle name="Heading 3 11" xfId="1579"/>
    <cellStyle name="Heading 3 12" xfId="1580"/>
    <cellStyle name="Heading 3 13" xfId="1581"/>
    <cellStyle name="Heading 3 14" xfId="1582"/>
    <cellStyle name="Heading 3 15" xfId="1583"/>
    <cellStyle name="Heading 3 16" xfId="1584"/>
    <cellStyle name="Heading 3 17" xfId="1585"/>
    <cellStyle name="Heading 3 18" xfId="1586"/>
    <cellStyle name="Heading 3 19" xfId="1587"/>
    <cellStyle name="Heading 3 2" xfId="1588"/>
    <cellStyle name="Heading 3 20" xfId="1589"/>
    <cellStyle name="Heading 3 21" xfId="1590"/>
    <cellStyle name="Heading 3 22" xfId="1591"/>
    <cellStyle name="Heading 3 23" xfId="1592"/>
    <cellStyle name="Heading 3 24" xfId="1593"/>
    <cellStyle name="Heading 3 25" xfId="1594"/>
    <cellStyle name="Heading 3 26" xfId="1595"/>
    <cellStyle name="Heading 3 27" xfId="1596"/>
    <cellStyle name="Heading 3 28" xfId="1597"/>
    <cellStyle name="Heading 3 29" xfId="1598"/>
    <cellStyle name="Heading 3 3" xfId="1599"/>
    <cellStyle name="Heading 3 3 2" xfId="1600"/>
    <cellStyle name="Heading 3 30" xfId="1601"/>
    <cellStyle name="Heading 3 31" xfId="1602"/>
    <cellStyle name="Heading 3 32" xfId="1603"/>
    <cellStyle name="Heading 3 33" xfId="1604"/>
    <cellStyle name="Heading 3 34" xfId="1605"/>
    <cellStyle name="Heading 3 35" xfId="1606"/>
    <cellStyle name="Heading 3 36" xfId="1607"/>
    <cellStyle name="Heading 3 37" xfId="1608"/>
    <cellStyle name="Heading 3 38" xfId="1609"/>
    <cellStyle name="Heading 3 39" xfId="1610"/>
    <cellStyle name="Heading 3 4" xfId="1611"/>
    <cellStyle name="Heading 3 40" xfId="1612"/>
    <cellStyle name="Heading 3 41" xfId="1613"/>
    <cellStyle name="Heading 3 5" xfId="1614"/>
    <cellStyle name="Heading 3 6" xfId="1615"/>
    <cellStyle name="Heading 3 7" xfId="1616"/>
    <cellStyle name="Heading 3 8" xfId="1617"/>
    <cellStyle name="Heading 3 9" xfId="1618"/>
    <cellStyle name="Heading 4 10" xfId="1619"/>
    <cellStyle name="Heading 4 11" xfId="1620"/>
    <cellStyle name="Heading 4 12" xfId="1621"/>
    <cellStyle name="Heading 4 13" xfId="1622"/>
    <cellStyle name="Heading 4 14" xfId="1623"/>
    <cellStyle name="Heading 4 15" xfId="1624"/>
    <cellStyle name="Heading 4 16" xfId="1625"/>
    <cellStyle name="Heading 4 17" xfId="1626"/>
    <cellStyle name="Heading 4 18" xfId="1627"/>
    <cellStyle name="Heading 4 19" xfId="1628"/>
    <cellStyle name="Heading 4 2" xfId="1629"/>
    <cellStyle name="Heading 4 20" xfId="1630"/>
    <cellStyle name="Heading 4 21" xfId="1631"/>
    <cellStyle name="Heading 4 22" xfId="1632"/>
    <cellStyle name="Heading 4 23" xfId="1633"/>
    <cellStyle name="Heading 4 24" xfId="1634"/>
    <cellStyle name="Heading 4 25" xfId="1635"/>
    <cellStyle name="Heading 4 26" xfId="1636"/>
    <cellStyle name="Heading 4 27" xfId="1637"/>
    <cellStyle name="Heading 4 28" xfId="1638"/>
    <cellStyle name="Heading 4 29" xfId="1639"/>
    <cellStyle name="Heading 4 3" xfId="1640"/>
    <cellStyle name="Heading 4 3 2" xfId="1641"/>
    <cellStyle name="Heading 4 30" xfId="1642"/>
    <cellStyle name="Heading 4 31" xfId="1643"/>
    <cellStyle name="Heading 4 32" xfId="1644"/>
    <cellStyle name="Heading 4 33" xfId="1645"/>
    <cellStyle name="Heading 4 34" xfId="1646"/>
    <cellStyle name="Heading 4 35" xfId="1647"/>
    <cellStyle name="Heading 4 36" xfId="1648"/>
    <cellStyle name="Heading 4 37" xfId="1649"/>
    <cellStyle name="Heading 4 38" xfId="1650"/>
    <cellStyle name="Heading 4 39" xfId="1651"/>
    <cellStyle name="Heading 4 4" xfId="1652"/>
    <cellStyle name="Heading 4 40" xfId="1653"/>
    <cellStyle name="Heading 4 41" xfId="1654"/>
    <cellStyle name="Heading 4 5" xfId="1655"/>
    <cellStyle name="Heading 4 6" xfId="1656"/>
    <cellStyle name="Heading 4 7" xfId="1657"/>
    <cellStyle name="Heading 4 8" xfId="1658"/>
    <cellStyle name="Heading 4 9" xfId="1659"/>
    <cellStyle name="Headline" xfId="1660"/>
    <cellStyle name="Hyperlink 2" xfId="1661"/>
    <cellStyle name="Input 10 2" xfId="1662"/>
    <cellStyle name="Input 11 2" xfId="1663"/>
    <cellStyle name="Input 12 2" xfId="1664"/>
    <cellStyle name="Input 13 2" xfId="1665"/>
    <cellStyle name="Input 14 2" xfId="1666"/>
    <cellStyle name="Input 15 2" xfId="1667"/>
    <cellStyle name="Input 16 2" xfId="1668"/>
    <cellStyle name="Input 17 2" xfId="1669"/>
    <cellStyle name="Input 18 2" xfId="1670"/>
    <cellStyle name="Input 19 2" xfId="1671"/>
    <cellStyle name="Input 2" xfId="1672"/>
    <cellStyle name="Input 2 2" xfId="1673"/>
    <cellStyle name="Input 2 3" xfId="1674"/>
    <cellStyle name="Input 2_PrimaryEnergyPrices_TIMES" xfId="1675"/>
    <cellStyle name="Input 20 2" xfId="1676"/>
    <cellStyle name="Input 21 2" xfId="1677"/>
    <cellStyle name="Input 22 2" xfId="1678"/>
    <cellStyle name="Input 23 2" xfId="1679"/>
    <cellStyle name="Input 24 2" xfId="1680"/>
    <cellStyle name="Input 25 2" xfId="1681"/>
    <cellStyle name="Input 26 2" xfId="1682"/>
    <cellStyle name="Input 27 2" xfId="1683"/>
    <cellStyle name="Input 28 2" xfId="1684"/>
    <cellStyle name="Input 29 2" xfId="1685"/>
    <cellStyle name="Input 3" xfId="1686"/>
    <cellStyle name="Input 3 2" xfId="1687"/>
    <cellStyle name="Input 3 3" xfId="1688"/>
    <cellStyle name="Input 30 2" xfId="1689"/>
    <cellStyle name="Input 31 2" xfId="1690"/>
    <cellStyle name="Input 32 2" xfId="1691"/>
    <cellStyle name="Input 33 2" xfId="1692"/>
    <cellStyle name="Input 34" xfId="1693"/>
    <cellStyle name="Input 34 2" xfId="1694"/>
    <cellStyle name="Input 34_ELC_final" xfId="1695"/>
    <cellStyle name="Input 35" xfId="1696"/>
    <cellStyle name="Input 36" xfId="1697"/>
    <cellStyle name="Input 37" xfId="1698"/>
    <cellStyle name="Input 38" xfId="1699"/>
    <cellStyle name="Input 39" xfId="1700"/>
    <cellStyle name="Input 4 2" xfId="1701"/>
    <cellStyle name="Input 40" xfId="1702"/>
    <cellStyle name="Input 5 2" xfId="1703"/>
    <cellStyle name="Input 6 2" xfId="1704"/>
    <cellStyle name="Input 7 2" xfId="1705"/>
    <cellStyle name="Input 8 2" xfId="1706"/>
    <cellStyle name="Input 9 2" xfId="1707"/>
    <cellStyle name="InputCells" xfId="1708"/>
    <cellStyle name="InputCells12" xfId="1709"/>
    <cellStyle name="IntCells" xfId="1710"/>
    <cellStyle name="ligne_titre_0" xfId="1711"/>
    <cellStyle name="Linked Cell 10" xfId="1712"/>
    <cellStyle name="Linked Cell 11" xfId="1713"/>
    <cellStyle name="Linked Cell 12" xfId="1714"/>
    <cellStyle name="Linked Cell 13" xfId="1715"/>
    <cellStyle name="Linked Cell 14" xfId="1716"/>
    <cellStyle name="Linked Cell 15" xfId="1717"/>
    <cellStyle name="Linked Cell 16" xfId="1718"/>
    <cellStyle name="Linked Cell 17" xfId="1719"/>
    <cellStyle name="Linked Cell 18" xfId="1720"/>
    <cellStyle name="Linked Cell 19" xfId="1721"/>
    <cellStyle name="Linked Cell 2" xfId="1722"/>
    <cellStyle name="Linked Cell 20" xfId="1723"/>
    <cellStyle name="Linked Cell 21" xfId="1724"/>
    <cellStyle name="Linked Cell 22" xfId="1725"/>
    <cellStyle name="Linked Cell 23" xfId="1726"/>
    <cellStyle name="Linked Cell 24" xfId="1727"/>
    <cellStyle name="Linked Cell 25" xfId="1728"/>
    <cellStyle name="Linked Cell 26" xfId="1729"/>
    <cellStyle name="Linked Cell 27" xfId="1730"/>
    <cellStyle name="Linked Cell 28" xfId="1731"/>
    <cellStyle name="Linked Cell 29" xfId="1732"/>
    <cellStyle name="Linked Cell 3" xfId="1733"/>
    <cellStyle name="Linked Cell 3 2" xfId="1734"/>
    <cellStyle name="Linked Cell 30" xfId="1735"/>
    <cellStyle name="Linked Cell 31" xfId="1736"/>
    <cellStyle name="Linked Cell 32" xfId="1737"/>
    <cellStyle name="Linked Cell 33" xfId="1738"/>
    <cellStyle name="Linked Cell 34" xfId="1739"/>
    <cellStyle name="Linked Cell 35" xfId="1740"/>
    <cellStyle name="Linked Cell 36" xfId="1741"/>
    <cellStyle name="Linked Cell 37" xfId="1742"/>
    <cellStyle name="Linked Cell 38" xfId="1743"/>
    <cellStyle name="Linked Cell 39" xfId="1744"/>
    <cellStyle name="Linked Cell 4" xfId="1745"/>
    <cellStyle name="Linked Cell 40" xfId="1746"/>
    <cellStyle name="Linked Cell 41" xfId="1747"/>
    <cellStyle name="Linked Cell 5" xfId="1748"/>
    <cellStyle name="Linked Cell 6" xfId="1749"/>
    <cellStyle name="Linked Cell 7" xfId="1750"/>
    <cellStyle name="Linked Cell 8" xfId="1751"/>
    <cellStyle name="Linked Cell 9" xfId="1752"/>
    <cellStyle name="Neutral 10" xfId="1753"/>
    <cellStyle name="Neutral 11" xfId="1754"/>
    <cellStyle name="Neutral 12" xfId="1755"/>
    <cellStyle name="Neutral 13" xfId="1756"/>
    <cellStyle name="Neutral 14" xfId="1757"/>
    <cellStyle name="Neutral 15" xfId="1758"/>
    <cellStyle name="Neutral 16" xfId="1759"/>
    <cellStyle name="Neutral 17" xfId="1760"/>
    <cellStyle name="Neutral 18" xfId="1761"/>
    <cellStyle name="Neutral 19" xfId="1762"/>
    <cellStyle name="Neutral 2" xfId="1763"/>
    <cellStyle name="Neutral 20" xfId="1764"/>
    <cellStyle name="Neutral 21" xfId="1765"/>
    <cellStyle name="Neutral 22" xfId="1766"/>
    <cellStyle name="Neutral 23" xfId="1767"/>
    <cellStyle name="Neutral 24" xfId="1768"/>
    <cellStyle name="Neutral 25" xfId="1769"/>
    <cellStyle name="Neutral 26" xfId="1770"/>
    <cellStyle name="Neutral 27" xfId="1771"/>
    <cellStyle name="Neutral 28" xfId="1772"/>
    <cellStyle name="Neutral 29" xfId="1773"/>
    <cellStyle name="Neutral 3" xfId="1774"/>
    <cellStyle name="Neutral 3 2" xfId="1775"/>
    <cellStyle name="Neutral 3 3" xfId="1776"/>
    <cellStyle name="Neutral 3 4" xfId="1777"/>
    <cellStyle name="Neutral 30" xfId="1778"/>
    <cellStyle name="Neutral 31" xfId="1779"/>
    <cellStyle name="Neutral 32" xfId="1780"/>
    <cellStyle name="Neutral 33" xfId="1781"/>
    <cellStyle name="Neutral 34" xfId="1782"/>
    <cellStyle name="Neutral 35" xfId="1783"/>
    <cellStyle name="Neutral 36" xfId="1784"/>
    <cellStyle name="Neutral 37" xfId="1785"/>
    <cellStyle name="Neutral 38" xfId="1786"/>
    <cellStyle name="Neutral 39" xfId="1787"/>
    <cellStyle name="Neutral 4" xfId="1788"/>
    <cellStyle name="Neutral 4 2" xfId="1789"/>
    <cellStyle name="Neutral 40" xfId="1790"/>
    <cellStyle name="Neutral 41" xfId="1791"/>
    <cellStyle name="Neutral 42" xfId="1792"/>
    <cellStyle name="Neutral 43" xfId="1793"/>
    <cellStyle name="Neutral 5" xfId="1794"/>
    <cellStyle name="Neutral 6" xfId="1795"/>
    <cellStyle name="Neutral 7" xfId="1796"/>
    <cellStyle name="Neutral 8" xfId="1797"/>
    <cellStyle name="Neutral 9" xfId="1798"/>
    <cellStyle name="Normal" xfId="0" builtinId="0"/>
    <cellStyle name="Normal 10" xfId="1799"/>
    <cellStyle name="Normal 10 2" xfId="1800"/>
    <cellStyle name="Normal 10 2 2" xfId="1801"/>
    <cellStyle name="Normal 11" xfId="1802"/>
    <cellStyle name="Normal 11 2" xfId="1803"/>
    <cellStyle name="Normal 11 2 2" xfId="1804"/>
    <cellStyle name="Normal 11 3" xfId="1805"/>
    <cellStyle name="Normal 11 4" xfId="1806"/>
    <cellStyle name="Normal 11 5" xfId="1807"/>
    <cellStyle name="Normal 12" xfId="1808"/>
    <cellStyle name="Normal 13" xfId="1809"/>
    <cellStyle name="Normal 13 2" xfId="1810"/>
    <cellStyle name="Normal 13 3" xfId="1811"/>
    <cellStyle name="Normal 14" xfId="1812"/>
    <cellStyle name="Normal 14 2" xfId="1813"/>
    <cellStyle name="Normal 15" xfId="1814"/>
    <cellStyle name="Normal 15 2" xfId="1815"/>
    <cellStyle name="Normal 16" xfId="1816"/>
    <cellStyle name="Normal 16 2" xfId="1817"/>
    <cellStyle name="Normal 17" xfId="1818"/>
    <cellStyle name="Normal 17 2" xfId="1819"/>
    <cellStyle name="Normal 18" xfId="1820"/>
    <cellStyle name="Normal 18 2" xfId="1821"/>
    <cellStyle name="Normal 19" xfId="1822"/>
    <cellStyle name="Normal 2" xfId="1823"/>
    <cellStyle name="Normal 2 10" xfId="1824"/>
    <cellStyle name="Normal 2 11" xfId="1825"/>
    <cellStyle name="Normal 2 12" xfId="1826"/>
    <cellStyle name="Normal 2 13" xfId="1827"/>
    <cellStyle name="Normal 2 14" xfId="1828"/>
    <cellStyle name="Normal 2 15" xfId="1829"/>
    <cellStyle name="Normal 2 16" xfId="1830"/>
    <cellStyle name="Normal 2 17" xfId="1831"/>
    <cellStyle name="Normal 2 18" xfId="1832"/>
    <cellStyle name="Normal 2 19" xfId="1833"/>
    <cellStyle name="Normal 2 2" xfId="1834"/>
    <cellStyle name="Normal 2 2 2" xfId="1835"/>
    <cellStyle name="Normal 2 2 2 2" xfId="1836"/>
    <cellStyle name="Normal 2 2 2 2 2" xfId="1837"/>
    <cellStyle name="Normal 2 2 2 3" xfId="1838"/>
    <cellStyle name="Normal 2 2 2 3 2" xfId="1839"/>
    <cellStyle name="Normal 2 2 2 3 3" xfId="1840"/>
    <cellStyle name="Normal 2 2 2 4" xfId="1841"/>
    <cellStyle name="Normal 2 2 3" xfId="1842"/>
    <cellStyle name="Normal 2 2 4" xfId="1843"/>
    <cellStyle name="Normal 2 2 4 2" xfId="1844"/>
    <cellStyle name="Normal 2 2 5" xfId="1845"/>
    <cellStyle name="Normal 2 2 5 2" xfId="1846"/>
    <cellStyle name="Normal 2 2 6" xfId="1847"/>
    <cellStyle name="Normal 2 2 7" xfId="1848"/>
    <cellStyle name="Normal 2 2 8" xfId="1849"/>
    <cellStyle name="Normal 2 2_ELC" xfId="1850"/>
    <cellStyle name="Normal 2 20" xfId="1851"/>
    <cellStyle name="Normal 2 21" xfId="1852"/>
    <cellStyle name="Normal 2 22" xfId="1853"/>
    <cellStyle name="Normal 2 23" xfId="1854"/>
    <cellStyle name="Normal 2 24" xfId="1855"/>
    <cellStyle name="Normal 2 25" xfId="1856"/>
    <cellStyle name="Normal 2 26" xfId="1857"/>
    <cellStyle name="Normal 2 27" xfId="1858"/>
    <cellStyle name="Normal 2 28" xfId="1859"/>
    <cellStyle name="Normal 2 29" xfId="1860"/>
    <cellStyle name="Normal 2 3" xfId="1861"/>
    <cellStyle name="Normal 2 3 2" xfId="1862"/>
    <cellStyle name="Normal 2 3 2 2" xfId="1863"/>
    <cellStyle name="Normal 2 3 3" xfId="1864"/>
    <cellStyle name="Normal 2 3 4" xfId="1865"/>
    <cellStyle name="Normal 2 3 5" xfId="1866"/>
    <cellStyle name="Normal 2 3 6" xfId="1867"/>
    <cellStyle name="Normal 2 30" xfId="1868"/>
    <cellStyle name="Normal 2 31" xfId="1869"/>
    <cellStyle name="Normal 2 32" xfId="1870"/>
    <cellStyle name="Normal 2 33" xfId="1871"/>
    <cellStyle name="Normal 2 34" xfId="1872"/>
    <cellStyle name="Normal 2 35" xfId="1873"/>
    <cellStyle name="Normal 2 36" xfId="1874"/>
    <cellStyle name="Normal 2 37" xfId="1875"/>
    <cellStyle name="Normal 2 38" xfId="1876"/>
    <cellStyle name="Normal 2 39" xfId="1877"/>
    <cellStyle name="Normal 2 4" xfId="1878"/>
    <cellStyle name="Normal 2 4 2" xfId="1879"/>
    <cellStyle name="Normal 2 4 3" xfId="1880"/>
    <cellStyle name="Normal 2 4 4" xfId="1881"/>
    <cellStyle name="Normal 2 4 5" xfId="1882"/>
    <cellStyle name="Normal 2 40" xfId="1883"/>
    <cellStyle name="Normal 2 41" xfId="1884"/>
    <cellStyle name="Normal 2 42" xfId="1885"/>
    <cellStyle name="Normal 2 43" xfId="1886"/>
    <cellStyle name="Normal 2 44" xfId="1887"/>
    <cellStyle name="Normal 2 45" xfId="1888"/>
    <cellStyle name="Normal 2 46" xfId="1889"/>
    <cellStyle name="Normal 2 46 2" xfId="1890"/>
    <cellStyle name="Normal 2 46 3" xfId="1891"/>
    <cellStyle name="Normal 2 46 4" xfId="1892"/>
    <cellStyle name="Normal 2 5" xfId="1893"/>
    <cellStyle name="Normal 2 5 10" xfId="1894"/>
    <cellStyle name="Normal 2 5 11" xfId="1895"/>
    <cellStyle name="Normal 2 5 12" xfId="1896"/>
    <cellStyle name="Normal 2 5 13" xfId="1897"/>
    <cellStyle name="Normal 2 5 14" xfId="1898"/>
    <cellStyle name="Normal 2 5 15" xfId="1899"/>
    <cellStyle name="Normal 2 5 16" xfId="1900"/>
    <cellStyle name="Normal 2 5 2" xfId="1901"/>
    <cellStyle name="Normal 2 5 2 2" xfId="1902"/>
    <cellStyle name="Normal 2 5 3" xfId="1903"/>
    <cellStyle name="Normal 2 5 4" xfId="1904"/>
    <cellStyle name="Normal 2 5 5" xfId="1905"/>
    <cellStyle name="Normal 2 5 6" xfId="1906"/>
    <cellStyle name="Normal 2 5 7" xfId="1907"/>
    <cellStyle name="Normal 2 5 8" xfId="1908"/>
    <cellStyle name="Normal 2 5 9" xfId="1909"/>
    <cellStyle name="Normal 2 6" xfId="1910"/>
    <cellStyle name="Normal 2 6 10" xfId="1911"/>
    <cellStyle name="Normal 2 6 11" xfId="1912"/>
    <cellStyle name="Normal 2 6 12" xfId="1913"/>
    <cellStyle name="Normal 2 6 13" xfId="1914"/>
    <cellStyle name="Normal 2 6 14" xfId="1915"/>
    <cellStyle name="Normal 2 6 15" xfId="1916"/>
    <cellStyle name="Normal 2 6 16" xfId="1917"/>
    <cellStyle name="Normal 2 6 2" xfId="1918"/>
    <cellStyle name="Normal 2 6 2 2" xfId="1919"/>
    <cellStyle name="Normal 2 6 3" xfId="1920"/>
    <cellStyle name="Normal 2 6 4" xfId="1921"/>
    <cellStyle name="Normal 2 6 5" xfId="1922"/>
    <cellStyle name="Normal 2 6 6" xfId="1923"/>
    <cellStyle name="Normal 2 6 7" xfId="1924"/>
    <cellStyle name="Normal 2 6 8" xfId="1925"/>
    <cellStyle name="Normal 2 6 9" xfId="1926"/>
    <cellStyle name="Normal 2 7" xfId="1927"/>
    <cellStyle name="Normal 2 8" xfId="1928"/>
    <cellStyle name="Normal 2 8 2" xfId="1929"/>
    <cellStyle name="Normal 2 8 3" xfId="1930"/>
    <cellStyle name="Normal 2 8 4" xfId="1931"/>
    <cellStyle name="Normal 2 9" xfId="1932"/>
    <cellStyle name="Normal 2 9 2" xfId="1933"/>
    <cellStyle name="Normal 20" xfId="1934"/>
    <cellStyle name="Normal 20 2" xfId="1935"/>
    <cellStyle name="Normal 21" xfId="1936"/>
    <cellStyle name="Normal 21 2" xfId="1937"/>
    <cellStyle name="Normal 21_Scen_XBase" xfId="1938"/>
    <cellStyle name="Normal 22" xfId="1939"/>
    <cellStyle name="Normal 23" xfId="1940"/>
    <cellStyle name="Normal 23 2" xfId="1941"/>
    <cellStyle name="Normal 23 3" xfId="1942"/>
    <cellStyle name="Normal 24" xfId="1943"/>
    <cellStyle name="Normal 24 10" xfId="1944"/>
    <cellStyle name="Normal 24 11" xfId="1945"/>
    <cellStyle name="Normal 24 12" xfId="1946"/>
    <cellStyle name="Normal 24 13" xfId="1947"/>
    <cellStyle name="Normal 24 14" xfId="1948"/>
    <cellStyle name="Normal 24 15" xfId="1949"/>
    <cellStyle name="Normal 24 16" xfId="1950"/>
    <cellStyle name="Normal 24 17" xfId="1951"/>
    <cellStyle name="Normal 24 18" xfId="1952"/>
    <cellStyle name="Normal 24 19" xfId="1953"/>
    <cellStyle name="Normal 24 2" xfId="1954"/>
    <cellStyle name="Normal 24 20" xfId="1955"/>
    <cellStyle name="Normal 24 21" xfId="1956"/>
    <cellStyle name="Normal 24 22" xfId="1957"/>
    <cellStyle name="Normal 24 3" xfId="1958"/>
    <cellStyle name="Normal 24 4" xfId="1959"/>
    <cellStyle name="Normal 24 5" xfId="1960"/>
    <cellStyle name="Normal 24 6" xfId="1961"/>
    <cellStyle name="Normal 24 7" xfId="1962"/>
    <cellStyle name="Normal 24 8" xfId="1963"/>
    <cellStyle name="Normal 24 9" xfId="1964"/>
    <cellStyle name="Normal 25" xfId="1965"/>
    <cellStyle name="Normal 26" xfId="1966"/>
    <cellStyle name="Normal 26 2" xfId="1967"/>
    <cellStyle name="Normal 27" xfId="1968"/>
    <cellStyle name="Normal 27 2" xfId="1969"/>
    <cellStyle name="Normal 28" xfId="1970"/>
    <cellStyle name="Normal 29" xfId="1971"/>
    <cellStyle name="Normal 3" xfId="1972"/>
    <cellStyle name="Normal 3 10" xfId="1973"/>
    <cellStyle name="Normal 3 11" xfId="1974"/>
    <cellStyle name="Normal 3 12" xfId="1975"/>
    <cellStyle name="Normal 3 13" xfId="1976"/>
    <cellStyle name="Normal 3 14" xfId="1977"/>
    <cellStyle name="Normal 3 15" xfId="1978"/>
    <cellStyle name="Normal 3 16" xfId="1979"/>
    <cellStyle name="Normal 3 17" xfId="1980"/>
    <cellStyle name="Normal 3 18" xfId="1981"/>
    <cellStyle name="Normal 3 19" xfId="1982"/>
    <cellStyle name="Normal 3 2" xfId="1983"/>
    <cellStyle name="Normal 3 2 2" xfId="1984"/>
    <cellStyle name="Normal 3 2 2 2" xfId="1985"/>
    <cellStyle name="Normal 3 2 2 3" xfId="1986"/>
    <cellStyle name="Normal 3 2 3" xfId="1987"/>
    <cellStyle name="Normal 3 2 4" xfId="1988"/>
    <cellStyle name="Normal 3 2_ELC" xfId="1989"/>
    <cellStyle name="Normal 3 20" xfId="1990"/>
    <cellStyle name="Normal 3 21" xfId="1991"/>
    <cellStyle name="Normal 3 22" xfId="1992"/>
    <cellStyle name="Normal 3 23" xfId="1993"/>
    <cellStyle name="Normal 3 24" xfId="1994"/>
    <cellStyle name="Normal 3 25" xfId="1995"/>
    <cellStyle name="Normal 3 26" xfId="1996"/>
    <cellStyle name="Normal 3 27" xfId="1997"/>
    <cellStyle name="Normal 3 28" xfId="1998"/>
    <cellStyle name="Normal 3 28 2" xfId="1999"/>
    <cellStyle name="Normal 3 29" xfId="2000"/>
    <cellStyle name="Normal 3 3" xfId="2001"/>
    <cellStyle name="Normal 3 3 2" xfId="2002"/>
    <cellStyle name="Normal 3 4" xfId="2003"/>
    <cellStyle name="Normal 3 4 2" xfId="2004"/>
    <cellStyle name="Normal 3 4 3" xfId="2005"/>
    <cellStyle name="Normal 3 4 4" xfId="2006"/>
    <cellStyle name="Normal 3 5" xfId="2007"/>
    <cellStyle name="Normal 3 5 2" xfId="2008"/>
    <cellStyle name="Normal 3 5 3" xfId="2009"/>
    <cellStyle name="Normal 3 6" xfId="2010"/>
    <cellStyle name="Normal 3 6 2" xfId="2011"/>
    <cellStyle name="Normal 3 7" xfId="2012"/>
    <cellStyle name="Normal 3 7 2" xfId="2013"/>
    <cellStyle name="Normal 3 8" xfId="2014"/>
    <cellStyle name="Normal 3 9" xfId="2015"/>
    <cellStyle name="Normal 3_PrimaryEnergyPrices_TIMES" xfId="2016"/>
    <cellStyle name="Normal 30" xfId="2017"/>
    <cellStyle name="Normal 31" xfId="2018"/>
    <cellStyle name="Normal 31 2" xfId="2019"/>
    <cellStyle name="Normal 32" xfId="2020"/>
    <cellStyle name="Normal 32 2" xfId="2021"/>
    <cellStyle name="Normal 33" xfId="2022"/>
    <cellStyle name="Normal 33 10" xfId="2023"/>
    <cellStyle name="Normal 33 11" xfId="2024"/>
    <cellStyle name="Normal 33 12" xfId="2025"/>
    <cellStyle name="Normal 33 13" xfId="2026"/>
    <cellStyle name="Normal 33 2" xfId="2027"/>
    <cellStyle name="Normal 33 3" xfId="2028"/>
    <cellStyle name="Normal 33 4" xfId="2029"/>
    <cellStyle name="Normal 33 5" xfId="2030"/>
    <cellStyle name="Normal 33 6" xfId="2031"/>
    <cellStyle name="Normal 33 7" xfId="2032"/>
    <cellStyle name="Normal 33 8" xfId="2033"/>
    <cellStyle name="Normal 33 9" xfId="2034"/>
    <cellStyle name="Normal 33_Scen_XBase" xfId="2035"/>
    <cellStyle name="Normal 34" xfId="2036"/>
    <cellStyle name="Normal 4" xfId="2037"/>
    <cellStyle name="Normal 4 10" xfId="2038"/>
    <cellStyle name="Normal 4 2" xfId="2039"/>
    <cellStyle name="Normal 4 2 2" xfId="2040"/>
    <cellStyle name="Normal 4 2 2 2" xfId="2041"/>
    <cellStyle name="Normal 4 2 3" xfId="2042"/>
    <cellStyle name="Normal 4 2 3 2" xfId="2043"/>
    <cellStyle name="Normal 4 2_Scen_XBase" xfId="2044"/>
    <cellStyle name="Normal 4 3" xfId="2045"/>
    <cellStyle name="Normal 4 3 2" xfId="2046"/>
    <cellStyle name="Normal 4 3 2 2" xfId="2047"/>
    <cellStyle name="Normal 4 3 3" xfId="2048"/>
    <cellStyle name="Normal 4 3 4" xfId="2049"/>
    <cellStyle name="Normal 4 3 5" xfId="2050"/>
    <cellStyle name="Normal 4 3_Scen_XBase" xfId="2051"/>
    <cellStyle name="Normal 4 4" xfId="2052"/>
    <cellStyle name="Normal 4 4 2" xfId="2053"/>
    <cellStyle name="Normal 4 4 3" xfId="2054"/>
    <cellStyle name="Normal 4 5" xfId="2055"/>
    <cellStyle name="Normal 4 5 2" xfId="2056"/>
    <cellStyle name="Normal 4 6" xfId="2057"/>
    <cellStyle name="Normal 4 6 2" xfId="2058"/>
    <cellStyle name="Normal 4 6 3" xfId="2059"/>
    <cellStyle name="Normal 4 7" xfId="2060"/>
    <cellStyle name="Normal 4 8" xfId="2061"/>
    <cellStyle name="Normal 4 9" xfId="2062"/>
    <cellStyle name="Normal 4_ELC" xfId="2063"/>
    <cellStyle name="Normal 40" xfId="2064"/>
    <cellStyle name="Normal 5" xfId="2065"/>
    <cellStyle name="Normal 5 10" xfId="2066"/>
    <cellStyle name="Normal 5 11" xfId="2067"/>
    <cellStyle name="Normal 5 12" xfId="2068"/>
    <cellStyle name="Normal 5 2" xfId="2069"/>
    <cellStyle name="Normal 5 2 2" xfId="2070"/>
    <cellStyle name="Normal 5 2 2 2" xfId="2071"/>
    <cellStyle name="Normal 5 2 3" xfId="2072"/>
    <cellStyle name="Normal 5 2 4" xfId="2073"/>
    <cellStyle name="Normal 5 3" xfId="2074"/>
    <cellStyle name="Normal 5 3 2" xfId="2075"/>
    <cellStyle name="Normal 5 3 3" xfId="2076"/>
    <cellStyle name="Normal 5 4" xfId="2077"/>
    <cellStyle name="Normal 5 5" xfId="2078"/>
    <cellStyle name="Normal 5 5 2" xfId="2079"/>
    <cellStyle name="Normal 5 5 3" xfId="2080"/>
    <cellStyle name="Normal 5 6" xfId="2081"/>
    <cellStyle name="Normal 5 6 2" xfId="2082"/>
    <cellStyle name="Normal 5 7" xfId="2083"/>
    <cellStyle name="Normal 5 8" xfId="2084"/>
    <cellStyle name="Normal 5 9" xfId="2085"/>
    <cellStyle name="Normal 50" xfId="2086"/>
    <cellStyle name="Normal 51" xfId="2087"/>
    <cellStyle name="Normal 52" xfId="2088"/>
    <cellStyle name="Normal 53" xfId="2089"/>
    <cellStyle name="Normal 54" xfId="2090"/>
    <cellStyle name="Normal 55" xfId="2091"/>
    <cellStyle name="Normal 6" xfId="2092"/>
    <cellStyle name="Normal 6 10" xfId="2093"/>
    <cellStyle name="Normal 6 11" xfId="2094"/>
    <cellStyle name="Normal 6 12" xfId="2095"/>
    <cellStyle name="Normal 6 13" xfId="2096"/>
    <cellStyle name="Normal 6 13 2" xfId="2097"/>
    <cellStyle name="Normal 6 13 3" xfId="2098"/>
    <cellStyle name="Normal 6 13 4" xfId="2099"/>
    <cellStyle name="Normal 6 14" xfId="2100"/>
    <cellStyle name="Normal 6 2" xfId="2101"/>
    <cellStyle name="Normal 6 2 10" xfId="2102"/>
    <cellStyle name="Normal 6 2 11" xfId="2103"/>
    <cellStyle name="Normal 6 2 12" xfId="2104"/>
    <cellStyle name="Normal 6 2 13" xfId="2105"/>
    <cellStyle name="Normal 6 2 14" xfId="2106"/>
    <cellStyle name="Normal 6 2 2" xfId="2107"/>
    <cellStyle name="Normal 6 2 3" xfId="2108"/>
    <cellStyle name="Normal 6 2 4" xfId="2109"/>
    <cellStyle name="Normal 6 2 5" xfId="2110"/>
    <cellStyle name="Normal 6 2 6" xfId="2111"/>
    <cellStyle name="Normal 6 2 7" xfId="2112"/>
    <cellStyle name="Normal 6 2 8" xfId="2113"/>
    <cellStyle name="Normal 6 2 9" xfId="2114"/>
    <cellStyle name="Normal 6 3" xfId="2115"/>
    <cellStyle name="Normal 6 3 10" xfId="2116"/>
    <cellStyle name="Normal 6 3 11" xfId="2117"/>
    <cellStyle name="Normal 6 3 12" xfId="2118"/>
    <cellStyle name="Normal 6 3 13" xfId="2119"/>
    <cellStyle name="Normal 6 3 14" xfId="2120"/>
    <cellStyle name="Normal 6 3 15" xfId="2121"/>
    <cellStyle name="Normal 6 3 16" xfId="2122"/>
    <cellStyle name="Normal 6 3 2" xfId="2123"/>
    <cellStyle name="Normal 6 3 3" xfId="2124"/>
    <cellStyle name="Normal 6 3 4" xfId="2125"/>
    <cellStyle name="Normal 6 3 5" xfId="2126"/>
    <cellStyle name="Normal 6 3 6" xfId="2127"/>
    <cellStyle name="Normal 6 3 7" xfId="2128"/>
    <cellStyle name="Normal 6 3 8" xfId="2129"/>
    <cellStyle name="Normal 6 3 9" xfId="2130"/>
    <cellStyle name="Normal 6 4" xfId="2131"/>
    <cellStyle name="Normal 6 5" xfId="2132"/>
    <cellStyle name="Normal 6 6" xfId="2133"/>
    <cellStyle name="Normal 6 7" xfId="2134"/>
    <cellStyle name="Normal 6 8" xfId="2135"/>
    <cellStyle name="Normal 6 9" xfId="2136"/>
    <cellStyle name="Normal 6_ELC" xfId="2137"/>
    <cellStyle name="Normal 7" xfId="2138"/>
    <cellStyle name="Normal 7 2" xfId="2139"/>
    <cellStyle name="Normal 7 2 2" xfId="2140"/>
    <cellStyle name="Normal 7 2 3" xfId="2141"/>
    <cellStyle name="Normal 7 2_Scen_XBase" xfId="2142"/>
    <cellStyle name="Normal 7 3" xfId="2143"/>
    <cellStyle name="Normal 7 4" xfId="2144"/>
    <cellStyle name="Normal 8" xfId="2145"/>
    <cellStyle name="Normal 8 10" xfId="2146"/>
    <cellStyle name="Normal 8 11" xfId="2147"/>
    <cellStyle name="Normal 8 2" xfId="2148"/>
    <cellStyle name="Normal 8 3" xfId="2149"/>
    <cellStyle name="Normal 8 4" xfId="2150"/>
    <cellStyle name="Normal 8 5" xfId="2151"/>
    <cellStyle name="Normal 8 6" xfId="2152"/>
    <cellStyle name="Normal 8 7" xfId="2153"/>
    <cellStyle name="Normal 8 8" xfId="2154"/>
    <cellStyle name="Normal 8 9" xfId="2155"/>
    <cellStyle name="Normal 9" xfId="2156"/>
    <cellStyle name="Normal 9 2" xfId="2157"/>
    <cellStyle name="Normal 9 2 2" xfId="2158"/>
    <cellStyle name="Normal 9 3" xfId="2159"/>
    <cellStyle name="Normal 9 4" xfId="2160"/>
    <cellStyle name="Normal 9 5" xfId="2161"/>
    <cellStyle name="Normal 9 6" xfId="2162"/>
    <cellStyle name="Normal 9 7" xfId="2163"/>
    <cellStyle name="Normal 9 8" xfId="2164"/>
    <cellStyle name="Normal 9 9" xfId="2165"/>
    <cellStyle name="Normal GHG Numbers (0.00)" xfId="2166"/>
    <cellStyle name="Normal GHG Textfiels Bold" xfId="2167"/>
    <cellStyle name="Normal GHG whole table" xfId="2168"/>
    <cellStyle name="Normal GHG-Shade" xfId="2169"/>
    <cellStyle name="Normale_B2020" xfId="2170"/>
    <cellStyle name="Note 10" xfId="2171"/>
    <cellStyle name="Note 10 2" xfId="2172"/>
    <cellStyle name="Note 10 3" xfId="2173"/>
    <cellStyle name="Note 10 3 2" xfId="2174"/>
    <cellStyle name="Note 10 3_ELC_final" xfId="2175"/>
    <cellStyle name="Note 10_ELC_final" xfId="2176"/>
    <cellStyle name="Note 11" xfId="2177"/>
    <cellStyle name="Note 11 2" xfId="2178"/>
    <cellStyle name="Note 11_ELC_final" xfId="2179"/>
    <cellStyle name="Note 12" xfId="2180"/>
    <cellStyle name="Note 12 2" xfId="2181"/>
    <cellStyle name="Note 12_ELC_final" xfId="2182"/>
    <cellStyle name="Note 13" xfId="2183"/>
    <cellStyle name="Note 13 2" xfId="2184"/>
    <cellStyle name="Note 13_ELC_final" xfId="2185"/>
    <cellStyle name="Note 14" xfId="2186"/>
    <cellStyle name="Note 14 2" xfId="2187"/>
    <cellStyle name="Note 14_ELC_final" xfId="2188"/>
    <cellStyle name="Note 15" xfId="2189"/>
    <cellStyle name="Note 15 2" xfId="2190"/>
    <cellStyle name="Note 15_ELC_final" xfId="2191"/>
    <cellStyle name="Note 16" xfId="2192"/>
    <cellStyle name="Note 16 2" xfId="2193"/>
    <cellStyle name="Note 16_ELC_final" xfId="2194"/>
    <cellStyle name="Note 17" xfId="2195"/>
    <cellStyle name="Note 17 2" xfId="2196"/>
    <cellStyle name="Note 17_ELC_final" xfId="2197"/>
    <cellStyle name="Note 18" xfId="2198"/>
    <cellStyle name="Note 18 2" xfId="2199"/>
    <cellStyle name="Note 18_ELC_final" xfId="2200"/>
    <cellStyle name="Note 19" xfId="2201"/>
    <cellStyle name="Note 2" xfId="2202"/>
    <cellStyle name="Note 2 2" xfId="2203"/>
    <cellStyle name="Note 2 3" xfId="2204"/>
    <cellStyle name="Note 2 4" xfId="2205"/>
    <cellStyle name="Note 2_PrimaryEnergyPrices_TIMES" xfId="2206"/>
    <cellStyle name="Note 20" xfId="2207"/>
    <cellStyle name="Note 21" xfId="2208"/>
    <cellStyle name="Note 22" xfId="2209"/>
    <cellStyle name="Note 23" xfId="2210"/>
    <cellStyle name="Note 24" xfId="2211"/>
    <cellStyle name="Note 25" xfId="2212"/>
    <cellStyle name="Note 26" xfId="2213"/>
    <cellStyle name="Note 27" xfId="2214"/>
    <cellStyle name="Note 28" xfId="2215"/>
    <cellStyle name="Note 29" xfId="2216"/>
    <cellStyle name="Note 3" xfId="2217"/>
    <cellStyle name="Note 3 2" xfId="2218"/>
    <cellStyle name="Note 3 2 2" xfId="2219"/>
    <cellStyle name="Note 3 3" xfId="2220"/>
    <cellStyle name="Note 3 4" xfId="2221"/>
    <cellStyle name="Note 3 5" xfId="2222"/>
    <cellStyle name="Note 3 6" xfId="2223"/>
    <cellStyle name="Note 3_PrimaryEnergyPrices_TIMES" xfId="2224"/>
    <cellStyle name="Note 30" xfId="2225"/>
    <cellStyle name="Note 31" xfId="2226"/>
    <cellStyle name="Note 32" xfId="2227"/>
    <cellStyle name="Note 33" xfId="2228"/>
    <cellStyle name="Note 34" xfId="2229"/>
    <cellStyle name="Note 35" xfId="2230"/>
    <cellStyle name="Note 36" xfId="2231"/>
    <cellStyle name="Note 37" xfId="2232"/>
    <cellStyle name="Note 38" xfId="2233"/>
    <cellStyle name="Note 39" xfId="2234"/>
    <cellStyle name="Note 4" xfId="2235"/>
    <cellStyle name="Note 4 2" xfId="2236"/>
    <cellStyle name="Note 4 3" xfId="2237"/>
    <cellStyle name="Note 4 3 2" xfId="2238"/>
    <cellStyle name="Note 4 3_ELC_final" xfId="2239"/>
    <cellStyle name="Note 4 4" xfId="2240"/>
    <cellStyle name="Note 4_ELC_final" xfId="2241"/>
    <cellStyle name="Note 40" xfId="2242"/>
    <cellStyle name="Note 41" xfId="2243"/>
    <cellStyle name="Note 5" xfId="2244"/>
    <cellStyle name="Note 5 2" xfId="2245"/>
    <cellStyle name="Note 5 3" xfId="2246"/>
    <cellStyle name="Note 5 3 2" xfId="2247"/>
    <cellStyle name="Note 5 3_ELC_final" xfId="2248"/>
    <cellStyle name="Note 5 4" xfId="2249"/>
    <cellStyle name="Note 5_ELC_final" xfId="2250"/>
    <cellStyle name="Note 6" xfId="2251"/>
    <cellStyle name="Note 6 2" xfId="2252"/>
    <cellStyle name="Note 6 3" xfId="2253"/>
    <cellStyle name="Note 6 3 2" xfId="2254"/>
    <cellStyle name="Note 6 3_ELC_final" xfId="2255"/>
    <cellStyle name="Note 6 4" xfId="2256"/>
    <cellStyle name="Note 6_ELC_final" xfId="2257"/>
    <cellStyle name="Note 7" xfId="2258"/>
    <cellStyle name="Note 7 2" xfId="2259"/>
    <cellStyle name="Note 7 3" xfId="2260"/>
    <cellStyle name="Note 7 3 2" xfId="2261"/>
    <cellStyle name="Note 7 3_ELC_final" xfId="2262"/>
    <cellStyle name="Note 7 4" xfId="2263"/>
    <cellStyle name="Note 7_ELC_final" xfId="2264"/>
    <cellStyle name="Note 8" xfId="2265"/>
    <cellStyle name="Note 8 2" xfId="2266"/>
    <cellStyle name="Note 8 3" xfId="2267"/>
    <cellStyle name="Note 8 3 2" xfId="2268"/>
    <cellStyle name="Note 8 3_ELC_final" xfId="2269"/>
    <cellStyle name="Note 8 4" xfId="2270"/>
    <cellStyle name="Note 8_ELC_final" xfId="2271"/>
    <cellStyle name="Note 9" xfId="2272"/>
    <cellStyle name="Note 9 2" xfId="2273"/>
    <cellStyle name="Note 9 3" xfId="2274"/>
    <cellStyle name="Note 9 3 2" xfId="2275"/>
    <cellStyle name="Note 9 3_ELC_final" xfId="2276"/>
    <cellStyle name="Note 9 4" xfId="2277"/>
    <cellStyle name="Note 9_ELC_final" xfId="2278"/>
    <cellStyle name="Notiz" xfId="2279"/>
    <cellStyle name="Notiz 2" xfId="2280"/>
    <cellStyle name="Notiz 3" xfId="2281"/>
    <cellStyle name="num_note" xfId="2282"/>
    <cellStyle name="Nuovo" xfId="2283"/>
    <cellStyle name="Nuovo 10" xfId="2284"/>
    <cellStyle name="Nuovo 11" xfId="2285"/>
    <cellStyle name="Nuovo 12" xfId="2286"/>
    <cellStyle name="Nuovo 13" xfId="2287"/>
    <cellStyle name="Nuovo 14" xfId="2288"/>
    <cellStyle name="Nuovo 15" xfId="2289"/>
    <cellStyle name="Nuovo 16" xfId="2290"/>
    <cellStyle name="Nuovo 17" xfId="2291"/>
    <cellStyle name="Nuovo 18" xfId="2292"/>
    <cellStyle name="Nuovo 19" xfId="2293"/>
    <cellStyle name="Nuovo 2" xfId="2294"/>
    <cellStyle name="Nuovo 20" xfId="2295"/>
    <cellStyle name="Nuovo 21" xfId="2296"/>
    <cellStyle name="Nuovo 22" xfId="2297"/>
    <cellStyle name="Nuovo 23" xfId="2298"/>
    <cellStyle name="Nuovo 24" xfId="2299"/>
    <cellStyle name="Nuovo 25" xfId="2300"/>
    <cellStyle name="Nuovo 26" xfId="2301"/>
    <cellStyle name="Nuovo 27" xfId="2302"/>
    <cellStyle name="Nuovo 28" xfId="2303"/>
    <cellStyle name="Nuovo 29" xfId="2304"/>
    <cellStyle name="Nuovo 3" xfId="2305"/>
    <cellStyle name="Nuovo 30" xfId="2306"/>
    <cellStyle name="Nuovo 31" xfId="2307"/>
    <cellStyle name="Nuovo 32" xfId="2308"/>
    <cellStyle name="Nuovo 33" xfId="2309"/>
    <cellStyle name="Nuovo 34" xfId="2310"/>
    <cellStyle name="Nuovo 35" xfId="2311"/>
    <cellStyle name="Nuovo 36" xfId="2312"/>
    <cellStyle name="Nuovo 37" xfId="2313"/>
    <cellStyle name="Nuovo 38" xfId="2314"/>
    <cellStyle name="Nuovo 4" xfId="2315"/>
    <cellStyle name="Nuovo 5" xfId="2316"/>
    <cellStyle name="Nuovo 6" xfId="2317"/>
    <cellStyle name="Nuovo 7" xfId="2318"/>
    <cellStyle name="Nuovo 8" xfId="2319"/>
    <cellStyle name="Nuovo 9" xfId="2320"/>
    <cellStyle name="Output 10" xfId="2321"/>
    <cellStyle name="Output 11" xfId="2322"/>
    <cellStyle name="Output 12" xfId="2323"/>
    <cellStyle name="Output 13" xfId="2324"/>
    <cellStyle name="Output 14" xfId="2325"/>
    <cellStyle name="Output 15" xfId="2326"/>
    <cellStyle name="Output 16" xfId="2327"/>
    <cellStyle name="Output 17" xfId="2328"/>
    <cellStyle name="Output 18" xfId="2329"/>
    <cellStyle name="Output 19" xfId="2330"/>
    <cellStyle name="Output 2" xfId="2331"/>
    <cellStyle name="Output 20" xfId="2332"/>
    <cellStyle name="Output 21" xfId="2333"/>
    <cellStyle name="Output 22" xfId="2334"/>
    <cellStyle name="Output 23" xfId="2335"/>
    <cellStyle name="Output 24" xfId="2336"/>
    <cellStyle name="Output 25" xfId="2337"/>
    <cellStyle name="Output 26" xfId="2338"/>
    <cellStyle name="Output 27" xfId="2339"/>
    <cellStyle name="Output 28" xfId="2340"/>
    <cellStyle name="Output 29" xfId="2341"/>
    <cellStyle name="Output 3" xfId="2342"/>
    <cellStyle name="Output 3 2" xfId="2343"/>
    <cellStyle name="Output 30" xfId="2344"/>
    <cellStyle name="Output 31" xfId="2345"/>
    <cellStyle name="Output 32" xfId="2346"/>
    <cellStyle name="Output 33" xfId="2347"/>
    <cellStyle name="Output 34" xfId="2348"/>
    <cellStyle name="Output 35" xfId="2349"/>
    <cellStyle name="Output 36" xfId="2350"/>
    <cellStyle name="Output 37" xfId="2351"/>
    <cellStyle name="Output 38" xfId="2352"/>
    <cellStyle name="Output 39" xfId="2353"/>
    <cellStyle name="Output 4" xfId="2354"/>
    <cellStyle name="Output 40" xfId="2355"/>
    <cellStyle name="Output 41" xfId="2356"/>
    <cellStyle name="Output 42" xfId="2357"/>
    <cellStyle name="Output 43" xfId="2358"/>
    <cellStyle name="Output 5" xfId="2359"/>
    <cellStyle name="Output 6" xfId="2360"/>
    <cellStyle name="Output 7" xfId="2361"/>
    <cellStyle name="Output 8" xfId="2362"/>
    <cellStyle name="Output 9" xfId="2363"/>
    <cellStyle name="Pattern" xfId="2364"/>
    <cellStyle name="Percent" xfId="2365" builtinId="5"/>
    <cellStyle name="Percent 10 10" xfId="2366"/>
    <cellStyle name="Percent 10 11" xfId="2367"/>
    <cellStyle name="Percent 10 12" xfId="2368"/>
    <cellStyle name="Percent 10 13" xfId="2369"/>
    <cellStyle name="Percent 10 14" xfId="2370"/>
    <cellStyle name="Percent 10 15" xfId="2371"/>
    <cellStyle name="Percent 10 16" xfId="2372"/>
    <cellStyle name="Percent 10 17" xfId="2373"/>
    <cellStyle name="Percent 10 18" xfId="2374"/>
    <cellStyle name="Percent 10 19" xfId="2375"/>
    <cellStyle name="Percent 10 2" xfId="2376"/>
    <cellStyle name="Percent 10 20" xfId="2377"/>
    <cellStyle name="Percent 10 3" xfId="2378"/>
    <cellStyle name="Percent 10 4" xfId="2379"/>
    <cellStyle name="Percent 10 5" xfId="2380"/>
    <cellStyle name="Percent 10 6" xfId="2381"/>
    <cellStyle name="Percent 10 7" xfId="2382"/>
    <cellStyle name="Percent 10 7 2" xfId="2383"/>
    <cellStyle name="Percent 10 7 3" xfId="2384"/>
    <cellStyle name="Percent 10 8" xfId="2385"/>
    <cellStyle name="Percent 10 9" xfId="2386"/>
    <cellStyle name="Percent 11 10" xfId="2387"/>
    <cellStyle name="Percent 11 2" xfId="2388"/>
    <cellStyle name="Percent 11 3" xfId="2389"/>
    <cellStyle name="Percent 11 4" xfId="2390"/>
    <cellStyle name="Percent 11 5" xfId="2391"/>
    <cellStyle name="Percent 11 6" xfId="2392"/>
    <cellStyle name="Percent 11 7" xfId="2393"/>
    <cellStyle name="Percent 11 7 2" xfId="2394"/>
    <cellStyle name="Percent 11 7 3" xfId="2395"/>
    <cellStyle name="Percent 11 8" xfId="2396"/>
    <cellStyle name="Percent 11 9" xfId="2397"/>
    <cellStyle name="Percent 12 10" xfId="2398"/>
    <cellStyle name="Percent 12 2" xfId="2399"/>
    <cellStyle name="Percent 12 3" xfId="2400"/>
    <cellStyle name="Percent 12 4" xfId="2401"/>
    <cellStyle name="Percent 12 5" xfId="2402"/>
    <cellStyle name="Percent 12 6" xfId="2403"/>
    <cellStyle name="Percent 12 7" xfId="2404"/>
    <cellStyle name="Percent 12 7 2" xfId="2405"/>
    <cellStyle name="Percent 12 7 3" xfId="2406"/>
    <cellStyle name="Percent 12 8" xfId="2407"/>
    <cellStyle name="Percent 12 9" xfId="2408"/>
    <cellStyle name="Percent 13 10" xfId="2409"/>
    <cellStyle name="Percent 13 2" xfId="2410"/>
    <cellStyle name="Percent 13 3" xfId="2411"/>
    <cellStyle name="Percent 13 4" xfId="2412"/>
    <cellStyle name="Percent 13 5" xfId="2413"/>
    <cellStyle name="Percent 13 6" xfId="2414"/>
    <cellStyle name="Percent 13 7" xfId="2415"/>
    <cellStyle name="Percent 13 7 2" xfId="2416"/>
    <cellStyle name="Percent 13 7 3" xfId="2417"/>
    <cellStyle name="Percent 13 8" xfId="2418"/>
    <cellStyle name="Percent 13 9" xfId="2419"/>
    <cellStyle name="Percent 14 10" xfId="2420"/>
    <cellStyle name="Percent 14 2" xfId="2421"/>
    <cellStyle name="Percent 14 3" xfId="2422"/>
    <cellStyle name="Percent 14 4" xfId="2423"/>
    <cellStyle name="Percent 14 5" xfId="2424"/>
    <cellStyle name="Percent 14 6" xfId="2425"/>
    <cellStyle name="Percent 14 7" xfId="2426"/>
    <cellStyle name="Percent 14 7 2" xfId="2427"/>
    <cellStyle name="Percent 14 7 3" xfId="2428"/>
    <cellStyle name="Percent 14 8" xfId="2429"/>
    <cellStyle name="Percent 14 9" xfId="2430"/>
    <cellStyle name="Percent 15" xfId="2431"/>
    <cellStyle name="Percent 15 2" xfId="2432"/>
    <cellStyle name="Percent 15 3" xfId="2433"/>
    <cellStyle name="Percent 15 4" xfId="2434"/>
    <cellStyle name="Percent 15 5" xfId="2435"/>
    <cellStyle name="Percent 15 6" xfId="2436"/>
    <cellStyle name="Percent 15 7" xfId="2437"/>
    <cellStyle name="Percent 15 7 2" xfId="2438"/>
    <cellStyle name="Percent 15 7 3" xfId="2439"/>
    <cellStyle name="Percent 16 2" xfId="2440"/>
    <cellStyle name="Percent 16 3" xfId="2441"/>
    <cellStyle name="Percent 16 4" xfId="2442"/>
    <cellStyle name="Percent 16 5" xfId="2443"/>
    <cellStyle name="Percent 16 6" xfId="2444"/>
    <cellStyle name="Percent 16 7" xfId="2445"/>
    <cellStyle name="Percent 16 7 2" xfId="2446"/>
    <cellStyle name="Percent 16 7 3" xfId="2447"/>
    <cellStyle name="Percent 17" xfId="2448"/>
    <cellStyle name="Percent 17 2" xfId="2449"/>
    <cellStyle name="Percent 17 3" xfId="2450"/>
    <cellStyle name="Percent 17 4" xfId="2451"/>
    <cellStyle name="Percent 17 5" xfId="2452"/>
    <cellStyle name="Percent 17 6" xfId="2453"/>
    <cellStyle name="Percent 17 7" xfId="2454"/>
    <cellStyle name="Percent 17 7 2" xfId="2455"/>
    <cellStyle name="Percent 17 7 3" xfId="2456"/>
    <cellStyle name="Percent 17 8" xfId="2457"/>
    <cellStyle name="Percent 17 8 2" xfId="2458"/>
    <cellStyle name="Percent 2" xfId="2459"/>
    <cellStyle name="Percent 2 10" xfId="2460"/>
    <cellStyle name="Percent 2 10 2" xfId="2461"/>
    <cellStyle name="Percent 2 11" xfId="2462"/>
    <cellStyle name="Percent 2 11 2" xfId="2463"/>
    <cellStyle name="Percent 2 12" xfId="2464"/>
    <cellStyle name="Percent 2 13" xfId="2465"/>
    <cellStyle name="Percent 2 14" xfId="2466"/>
    <cellStyle name="Percent 2 15" xfId="2467"/>
    <cellStyle name="Percent 2 16" xfId="2468"/>
    <cellStyle name="Percent 2 17" xfId="2469"/>
    <cellStyle name="Percent 2 18" xfId="2470"/>
    <cellStyle name="Percent 2 19" xfId="2471"/>
    <cellStyle name="Percent 2 2" xfId="2472"/>
    <cellStyle name="Percent 2 2 2" xfId="2473"/>
    <cellStyle name="Percent 2 2 3" xfId="2474"/>
    <cellStyle name="Percent 2 2 3 2" xfId="2475"/>
    <cellStyle name="Percent 2 2 3 3" xfId="2476"/>
    <cellStyle name="Percent 2 2 4" xfId="2477"/>
    <cellStyle name="Percent 2 2 4 2" xfId="2478"/>
    <cellStyle name="Percent 2 2 5" xfId="2479"/>
    <cellStyle name="Percent 2 2 6" xfId="2480"/>
    <cellStyle name="Percent 2 20" xfId="2481"/>
    <cellStyle name="Percent 2 21" xfId="2482"/>
    <cellStyle name="Percent 2 22" xfId="2483"/>
    <cellStyle name="Percent 2 23" xfId="2484"/>
    <cellStyle name="Percent 2 24" xfId="2485"/>
    <cellStyle name="Percent 2 25" xfId="2486"/>
    <cellStyle name="Percent 2 26" xfId="2487"/>
    <cellStyle name="Percent 2 27" xfId="2488"/>
    <cellStyle name="Percent 2 28" xfId="2489"/>
    <cellStyle name="Percent 2 29" xfId="2490"/>
    <cellStyle name="Percent 2 3" xfId="2491"/>
    <cellStyle name="Percent 2 3 10" xfId="2492"/>
    <cellStyle name="Percent 2 3 11" xfId="2493"/>
    <cellStyle name="Percent 2 3 12" xfId="2494"/>
    <cellStyle name="Percent 2 3 13" xfId="2495"/>
    <cellStyle name="Percent 2 3 14" xfId="2496"/>
    <cellStyle name="Percent 2 3 15" xfId="2497"/>
    <cellStyle name="Percent 2 3 16" xfId="2498"/>
    <cellStyle name="Percent 2 3 2" xfId="2499"/>
    <cellStyle name="Percent 2 3 3" xfId="2500"/>
    <cellStyle name="Percent 2 3 3 2" xfId="2501"/>
    <cellStyle name="Percent 2 3 3 3" xfId="2502"/>
    <cellStyle name="Percent 2 3 3 3 2" xfId="2503"/>
    <cellStyle name="Percent 2 3 3 3 3" xfId="2504"/>
    <cellStyle name="Percent 2 3 3 3 4" xfId="2505"/>
    <cellStyle name="Percent 2 3 4" xfId="2506"/>
    <cellStyle name="Percent 2 3 5" xfId="2507"/>
    <cellStyle name="Percent 2 3 6" xfId="2508"/>
    <cellStyle name="Percent 2 3 7" xfId="2509"/>
    <cellStyle name="Percent 2 3 8" xfId="2510"/>
    <cellStyle name="Percent 2 3 9" xfId="2511"/>
    <cellStyle name="Percent 2 30" xfId="2512"/>
    <cellStyle name="Percent 2 31" xfId="2513"/>
    <cellStyle name="Percent 2 32" xfId="2514"/>
    <cellStyle name="Percent 2 33" xfId="2515"/>
    <cellStyle name="Percent 2 34" xfId="2516"/>
    <cellStyle name="Percent 2 35" xfId="2517"/>
    <cellStyle name="Percent 2 36" xfId="2518"/>
    <cellStyle name="Percent 2 37" xfId="2519"/>
    <cellStyle name="Percent 2 38" xfId="2520"/>
    <cellStyle name="Percent 2 39" xfId="2521"/>
    <cellStyle name="Percent 2 4" xfId="2522"/>
    <cellStyle name="Percent 2 4 10" xfId="2523"/>
    <cellStyle name="Percent 2 4 11" xfId="2524"/>
    <cellStyle name="Percent 2 4 12" xfId="2525"/>
    <cellStyle name="Percent 2 4 13" xfId="2526"/>
    <cellStyle name="Percent 2 4 14" xfId="2527"/>
    <cellStyle name="Percent 2 4 15" xfId="2528"/>
    <cellStyle name="Percent 2 4 16" xfId="2529"/>
    <cellStyle name="Percent 2 4 2" xfId="2530"/>
    <cellStyle name="Percent 2 4 3" xfId="2531"/>
    <cellStyle name="Percent 2 4 4" xfId="2532"/>
    <cellStyle name="Percent 2 4 5" xfId="2533"/>
    <cellStyle name="Percent 2 4 6" xfId="2534"/>
    <cellStyle name="Percent 2 4 7" xfId="2535"/>
    <cellStyle name="Percent 2 4 8" xfId="2536"/>
    <cellStyle name="Percent 2 4 9" xfId="2537"/>
    <cellStyle name="Percent 2 40" xfId="2538"/>
    <cellStyle name="Percent 2 41" xfId="2539"/>
    <cellStyle name="Percent 2 42" xfId="2540"/>
    <cellStyle name="Percent 2 43" xfId="2541"/>
    <cellStyle name="Percent 2 44" xfId="2542"/>
    <cellStyle name="Percent 2 45" xfId="2543"/>
    <cellStyle name="Percent 2 46" xfId="2544"/>
    <cellStyle name="Percent 2 47" xfId="2545"/>
    <cellStyle name="Percent 2 48" xfId="2546"/>
    <cellStyle name="Percent 2 48 2" xfId="2547"/>
    <cellStyle name="Percent 2 49" xfId="2548"/>
    <cellStyle name="Percent 2 49 2" xfId="2549"/>
    <cellStyle name="Percent 2 5" xfId="2550"/>
    <cellStyle name="Percent 2 5 10" xfId="2551"/>
    <cellStyle name="Percent 2 5 11" xfId="2552"/>
    <cellStyle name="Percent 2 5 12" xfId="2553"/>
    <cellStyle name="Percent 2 5 13" xfId="2554"/>
    <cellStyle name="Percent 2 5 14" xfId="2555"/>
    <cellStyle name="Percent 2 5 15" xfId="2556"/>
    <cellStyle name="Percent 2 5 2" xfId="2557"/>
    <cellStyle name="Percent 2 5 3" xfId="2558"/>
    <cellStyle name="Percent 2 5 4" xfId="2559"/>
    <cellStyle name="Percent 2 5 5" xfId="2560"/>
    <cellStyle name="Percent 2 5 6" xfId="2561"/>
    <cellStyle name="Percent 2 5 7" xfId="2562"/>
    <cellStyle name="Percent 2 5 8" xfId="2563"/>
    <cellStyle name="Percent 2 5 9" xfId="2564"/>
    <cellStyle name="Percent 2 50" xfId="2565"/>
    <cellStyle name="Percent 2 50 2" xfId="2566"/>
    <cellStyle name="Percent 2 50 3" xfId="2567"/>
    <cellStyle name="Percent 2 50 4" xfId="2568"/>
    <cellStyle name="Percent 2 6" xfId="2569"/>
    <cellStyle name="Percent 2 6 10" xfId="2570"/>
    <cellStyle name="Percent 2 6 11" xfId="2571"/>
    <cellStyle name="Percent 2 6 12" xfId="2572"/>
    <cellStyle name="Percent 2 6 13" xfId="2573"/>
    <cellStyle name="Percent 2 6 14" xfId="2574"/>
    <cellStyle name="Percent 2 6 15" xfId="2575"/>
    <cellStyle name="Percent 2 6 2" xfId="2576"/>
    <cellStyle name="Percent 2 6 3" xfId="2577"/>
    <cellStyle name="Percent 2 6 4" xfId="2578"/>
    <cellStyle name="Percent 2 6 5" xfId="2579"/>
    <cellStyle name="Percent 2 6 6" xfId="2580"/>
    <cellStyle name="Percent 2 6 7" xfId="2581"/>
    <cellStyle name="Percent 2 6 8" xfId="2582"/>
    <cellStyle name="Percent 2 6 9" xfId="2583"/>
    <cellStyle name="Percent 2 7" xfId="2584"/>
    <cellStyle name="Percent 2 7 2" xfId="2585"/>
    <cellStyle name="Percent 2 8" xfId="2586"/>
    <cellStyle name="Percent 2 8 2" xfId="2587"/>
    <cellStyle name="Percent 2 9" xfId="2588"/>
    <cellStyle name="Percent 2 9 2" xfId="2589"/>
    <cellStyle name="Percent 20" xfId="2590"/>
    <cellStyle name="Percent 20 2" xfId="2591"/>
    <cellStyle name="Percent 20 3" xfId="2592"/>
    <cellStyle name="Percent 20 4" xfId="2593"/>
    <cellStyle name="Percent 20 5" xfId="2594"/>
    <cellStyle name="Percent 20 6" xfId="2595"/>
    <cellStyle name="Percent 20 7" xfId="2596"/>
    <cellStyle name="Percent 20 7 2" xfId="2597"/>
    <cellStyle name="Percent 20 7 3" xfId="2598"/>
    <cellStyle name="Percent 21" xfId="2599"/>
    <cellStyle name="Percent 21 2" xfId="2600"/>
    <cellStyle name="Percent 21 3" xfId="2601"/>
    <cellStyle name="Percent 21 4" xfId="2602"/>
    <cellStyle name="Percent 21 5" xfId="2603"/>
    <cellStyle name="Percent 21 6" xfId="2604"/>
    <cellStyle name="Percent 21 7" xfId="2605"/>
    <cellStyle name="Percent 21 7 2" xfId="2606"/>
    <cellStyle name="Percent 21 7 3" xfId="2607"/>
    <cellStyle name="Percent 22" xfId="2608"/>
    <cellStyle name="Percent 22 2" xfId="2609"/>
    <cellStyle name="Percent 22 3" xfId="2610"/>
    <cellStyle name="Percent 22 4" xfId="2611"/>
    <cellStyle name="Percent 22 5" xfId="2612"/>
    <cellStyle name="Percent 22 6" xfId="2613"/>
    <cellStyle name="Percent 22 7" xfId="2614"/>
    <cellStyle name="Percent 22 7 2" xfId="2615"/>
    <cellStyle name="Percent 22 7 3" xfId="2616"/>
    <cellStyle name="Percent 23" xfId="2617"/>
    <cellStyle name="Percent 23 2" xfId="2618"/>
    <cellStyle name="Percent 23 3" xfId="2619"/>
    <cellStyle name="Percent 23 4" xfId="2620"/>
    <cellStyle name="Percent 23 5" xfId="2621"/>
    <cellStyle name="Percent 23 6" xfId="2622"/>
    <cellStyle name="Percent 23 7" xfId="2623"/>
    <cellStyle name="Percent 23 7 2" xfId="2624"/>
    <cellStyle name="Percent 23 7 3" xfId="2625"/>
    <cellStyle name="Percent 24 2" xfId="2626"/>
    <cellStyle name="Percent 24 3" xfId="2627"/>
    <cellStyle name="Percent 24 4" xfId="2628"/>
    <cellStyle name="Percent 24 5" xfId="2629"/>
    <cellStyle name="Percent 24 6" xfId="2630"/>
    <cellStyle name="Percent 24 7" xfId="2631"/>
    <cellStyle name="Percent 24 7 2" xfId="2632"/>
    <cellStyle name="Percent 24 7 3" xfId="2633"/>
    <cellStyle name="Percent 25" xfId="2634"/>
    <cellStyle name="Percent 25 2" xfId="2635"/>
    <cellStyle name="Percent 25 3" xfId="2636"/>
    <cellStyle name="Percent 25 4" xfId="2637"/>
    <cellStyle name="Percent 25 5" xfId="2638"/>
    <cellStyle name="Percent 25 6" xfId="2639"/>
    <cellStyle name="Percent 25 7" xfId="2640"/>
    <cellStyle name="Percent 25 7 2" xfId="2641"/>
    <cellStyle name="Percent 25 7 3" xfId="2642"/>
    <cellStyle name="Percent 26" xfId="2643"/>
    <cellStyle name="Percent 26 2" xfId="2644"/>
    <cellStyle name="Percent 26 3" xfId="2645"/>
    <cellStyle name="Percent 26 4" xfId="2646"/>
    <cellStyle name="Percent 26 5" xfId="2647"/>
    <cellStyle name="Percent 26 6" xfId="2648"/>
    <cellStyle name="Percent 26 7" xfId="2649"/>
    <cellStyle name="Percent 26 7 2" xfId="2650"/>
    <cellStyle name="Percent 26 7 3" xfId="2651"/>
    <cellStyle name="Percent 27" xfId="2652"/>
    <cellStyle name="Percent 3" xfId="2653"/>
    <cellStyle name="Percent 3 10" xfId="2654"/>
    <cellStyle name="Percent 3 10 10" xfId="2655"/>
    <cellStyle name="Percent 3 10 11" xfId="2656"/>
    <cellStyle name="Percent 3 10 12" xfId="2657"/>
    <cellStyle name="Percent 3 10 13" xfId="2658"/>
    <cellStyle name="Percent 3 10 14" xfId="2659"/>
    <cellStyle name="Percent 3 10 15" xfId="2660"/>
    <cellStyle name="Percent 3 10 2" xfId="2661"/>
    <cellStyle name="Percent 3 10 3" xfId="2662"/>
    <cellStyle name="Percent 3 10 4" xfId="2663"/>
    <cellStyle name="Percent 3 10 5" xfId="2664"/>
    <cellStyle name="Percent 3 10 6" xfId="2665"/>
    <cellStyle name="Percent 3 10 7" xfId="2666"/>
    <cellStyle name="Percent 3 10 8" xfId="2667"/>
    <cellStyle name="Percent 3 10 9" xfId="2668"/>
    <cellStyle name="Percent 3 11" xfId="2669"/>
    <cellStyle name="Percent 3 12" xfId="2670"/>
    <cellStyle name="Percent 3 13" xfId="2671"/>
    <cellStyle name="Percent 3 14" xfId="2672"/>
    <cellStyle name="Percent 3 15" xfId="2673"/>
    <cellStyle name="Percent 3 16" xfId="2674"/>
    <cellStyle name="Percent 3 17" xfId="2675"/>
    <cellStyle name="Percent 3 18" xfId="2676"/>
    <cellStyle name="Percent 3 19" xfId="2677"/>
    <cellStyle name="Percent 3 2" xfId="2678"/>
    <cellStyle name="Percent 3 2 10" xfId="2679"/>
    <cellStyle name="Percent 3 2 11" xfId="2680"/>
    <cellStyle name="Percent 3 2 12" xfId="2681"/>
    <cellStyle name="Percent 3 2 13" xfId="2682"/>
    <cellStyle name="Percent 3 2 14" xfId="2683"/>
    <cellStyle name="Percent 3 2 15" xfId="2684"/>
    <cellStyle name="Percent 3 2 16" xfId="2685"/>
    <cellStyle name="Percent 3 2 2" xfId="2686"/>
    <cellStyle name="Percent 3 2 2 2" xfId="2687"/>
    <cellStyle name="Percent 3 2 3" xfId="2688"/>
    <cellStyle name="Percent 3 2 3 2" xfId="2689"/>
    <cellStyle name="Percent 3 2 4" xfId="2690"/>
    <cellStyle name="Percent 3 2 5" xfId="2691"/>
    <cellStyle name="Percent 3 2 6" xfId="2692"/>
    <cellStyle name="Percent 3 2 7" xfId="2693"/>
    <cellStyle name="Percent 3 2 8" xfId="2694"/>
    <cellStyle name="Percent 3 2 9" xfId="2695"/>
    <cellStyle name="Percent 3 20" xfId="2696"/>
    <cellStyle name="Percent 3 21" xfId="2697"/>
    <cellStyle name="Percent 3 22" xfId="2698"/>
    <cellStyle name="Percent 3 23" xfId="2699"/>
    <cellStyle name="Percent 3 24" xfId="2700"/>
    <cellStyle name="Percent 3 25" xfId="2701"/>
    <cellStyle name="Percent 3 26" xfId="2702"/>
    <cellStyle name="Percent 3 27" xfId="2703"/>
    <cellStyle name="Percent 3 28" xfId="2704"/>
    <cellStyle name="Percent 3 29" xfId="2705"/>
    <cellStyle name="Percent 3 3" xfId="2706"/>
    <cellStyle name="Percent 3 3 10" xfId="2707"/>
    <cellStyle name="Percent 3 3 11" xfId="2708"/>
    <cellStyle name="Percent 3 3 12" xfId="2709"/>
    <cellStyle name="Percent 3 3 13" xfId="2710"/>
    <cellStyle name="Percent 3 3 14" xfId="2711"/>
    <cellStyle name="Percent 3 3 15" xfId="2712"/>
    <cellStyle name="Percent 3 3 2" xfId="2713"/>
    <cellStyle name="Percent 3 3 3" xfId="2714"/>
    <cellStyle name="Percent 3 3 3 2" xfId="2715"/>
    <cellStyle name="Percent 3 3 3 3" xfId="2716"/>
    <cellStyle name="Percent 3 3 3 3 2" xfId="2717"/>
    <cellStyle name="Percent 3 3 3 3 3" xfId="2718"/>
    <cellStyle name="Percent 3 3 3 3 4" xfId="2719"/>
    <cellStyle name="Percent 3 3 4" xfId="2720"/>
    <cellStyle name="Percent 3 3 4 2" xfId="2721"/>
    <cellStyle name="Percent 3 3 5" xfId="2722"/>
    <cellStyle name="Percent 3 3 6" xfId="2723"/>
    <cellStyle name="Percent 3 3 7" xfId="2724"/>
    <cellStyle name="Percent 3 3 8" xfId="2725"/>
    <cellStyle name="Percent 3 3 9" xfId="2726"/>
    <cellStyle name="Percent 3 4" xfId="2727"/>
    <cellStyle name="Percent 3 4 10" xfId="2728"/>
    <cellStyle name="Percent 3 4 11" xfId="2729"/>
    <cellStyle name="Percent 3 4 12" xfId="2730"/>
    <cellStyle name="Percent 3 4 13" xfId="2731"/>
    <cellStyle name="Percent 3 4 14" xfId="2732"/>
    <cellStyle name="Percent 3 4 15" xfId="2733"/>
    <cellStyle name="Percent 3 4 2" xfId="2734"/>
    <cellStyle name="Percent 3 4 3" xfId="2735"/>
    <cellStyle name="Percent 3 4 4" xfId="2736"/>
    <cellStyle name="Percent 3 4 5" xfId="2737"/>
    <cellStyle name="Percent 3 4 6" xfId="2738"/>
    <cellStyle name="Percent 3 4 7" xfId="2739"/>
    <cellStyle name="Percent 3 4 8" xfId="2740"/>
    <cellStyle name="Percent 3 4 9" xfId="2741"/>
    <cellStyle name="Percent 3 5" xfId="2742"/>
    <cellStyle name="Percent 3 5 10" xfId="2743"/>
    <cellStyle name="Percent 3 5 11" xfId="2744"/>
    <cellStyle name="Percent 3 5 12" xfId="2745"/>
    <cellStyle name="Percent 3 5 13" xfId="2746"/>
    <cellStyle name="Percent 3 5 14" xfId="2747"/>
    <cellStyle name="Percent 3 5 15" xfId="2748"/>
    <cellStyle name="Percent 3 5 16" xfId="2749"/>
    <cellStyle name="Percent 3 5 2" xfId="2750"/>
    <cellStyle name="Percent 3 5 3" xfId="2751"/>
    <cellStyle name="Percent 3 5 4" xfId="2752"/>
    <cellStyle name="Percent 3 5 5" xfId="2753"/>
    <cellStyle name="Percent 3 5 6" xfId="2754"/>
    <cellStyle name="Percent 3 5 7" xfId="2755"/>
    <cellStyle name="Percent 3 5 8" xfId="2756"/>
    <cellStyle name="Percent 3 5 9" xfId="2757"/>
    <cellStyle name="Percent 3 6" xfId="2758"/>
    <cellStyle name="Percent 3 6 10" xfId="2759"/>
    <cellStyle name="Percent 3 6 11" xfId="2760"/>
    <cellStyle name="Percent 3 6 12" xfId="2761"/>
    <cellStyle name="Percent 3 6 13" xfId="2762"/>
    <cellStyle name="Percent 3 6 14" xfId="2763"/>
    <cellStyle name="Percent 3 6 15" xfId="2764"/>
    <cellStyle name="Percent 3 6 2" xfId="2765"/>
    <cellStyle name="Percent 3 6 3" xfId="2766"/>
    <cellStyle name="Percent 3 6 4" xfId="2767"/>
    <cellStyle name="Percent 3 6 5" xfId="2768"/>
    <cellStyle name="Percent 3 6 6" xfId="2769"/>
    <cellStyle name="Percent 3 6 7" xfId="2770"/>
    <cellStyle name="Percent 3 6 8" xfId="2771"/>
    <cellStyle name="Percent 3 6 9" xfId="2772"/>
    <cellStyle name="Percent 3 7" xfId="2773"/>
    <cellStyle name="Percent 3 7 10" xfId="2774"/>
    <cellStyle name="Percent 3 7 11" xfId="2775"/>
    <cellStyle name="Percent 3 7 12" xfId="2776"/>
    <cellStyle name="Percent 3 7 13" xfId="2777"/>
    <cellStyle name="Percent 3 7 14" xfId="2778"/>
    <cellStyle name="Percent 3 7 15" xfId="2779"/>
    <cellStyle name="Percent 3 7 2" xfId="2780"/>
    <cellStyle name="Percent 3 7 3" xfId="2781"/>
    <cellStyle name="Percent 3 7 4" xfId="2782"/>
    <cellStyle name="Percent 3 7 5" xfId="2783"/>
    <cellStyle name="Percent 3 7 6" xfId="2784"/>
    <cellStyle name="Percent 3 7 7" xfId="2785"/>
    <cellStyle name="Percent 3 7 8" xfId="2786"/>
    <cellStyle name="Percent 3 7 9" xfId="2787"/>
    <cellStyle name="Percent 3 8" xfId="2788"/>
    <cellStyle name="Percent 3 8 10" xfId="2789"/>
    <cellStyle name="Percent 3 8 11" xfId="2790"/>
    <cellStyle name="Percent 3 8 12" xfId="2791"/>
    <cellStyle name="Percent 3 8 13" xfId="2792"/>
    <cellStyle name="Percent 3 8 14" xfId="2793"/>
    <cellStyle name="Percent 3 8 15" xfId="2794"/>
    <cellStyle name="Percent 3 8 2" xfId="2795"/>
    <cellStyle name="Percent 3 8 3" xfId="2796"/>
    <cellStyle name="Percent 3 8 4" xfId="2797"/>
    <cellStyle name="Percent 3 8 5" xfId="2798"/>
    <cellStyle name="Percent 3 8 6" xfId="2799"/>
    <cellStyle name="Percent 3 8 7" xfId="2800"/>
    <cellStyle name="Percent 3 8 8" xfId="2801"/>
    <cellStyle name="Percent 3 8 9" xfId="2802"/>
    <cellStyle name="Percent 3 9" xfId="2803"/>
    <cellStyle name="Percent 3 9 10" xfId="2804"/>
    <cellStyle name="Percent 3 9 11" xfId="2805"/>
    <cellStyle name="Percent 3 9 12" xfId="2806"/>
    <cellStyle name="Percent 3 9 13" xfId="2807"/>
    <cellStyle name="Percent 3 9 14" xfId="2808"/>
    <cellStyle name="Percent 3 9 15" xfId="2809"/>
    <cellStyle name="Percent 3 9 2" xfId="2810"/>
    <cellStyle name="Percent 3 9 3" xfId="2811"/>
    <cellStyle name="Percent 3 9 4" xfId="2812"/>
    <cellStyle name="Percent 3 9 5" xfId="2813"/>
    <cellStyle name="Percent 3 9 6" xfId="2814"/>
    <cellStyle name="Percent 3 9 7" xfId="2815"/>
    <cellStyle name="Percent 3 9 8" xfId="2816"/>
    <cellStyle name="Percent 3 9 9" xfId="2817"/>
    <cellStyle name="Percent 31" xfId="2818"/>
    <cellStyle name="Percent 4" xfId="2819"/>
    <cellStyle name="Percent 4 10" xfId="2820"/>
    <cellStyle name="Percent 4 11" xfId="2821"/>
    <cellStyle name="Percent 4 12" xfId="2822"/>
    <cellStyle name="Percent 4 13" xfId="2823"/>
    <cellStyle name="Percent 4 14" xfId="2824"/>
    <cellStyle name="Percent 4 15" xfId="2825"/>
    <cellStyle name="Percent 4 16" xfId="2826"/>
    <cellStyle name="Percent 4 17" xfId="2827"/>
    <cellStyle name="Percent 4 18" xfId="2828"/>
    <cellStyle name="Percent 4 19" xfId="2829"/>
    <cellStyle name="Percent 4 2" xfId="2830"/>
    <cellStyle name="Percent 4 2 2" xfId="2831"/>
    <cellStyle name="Percent 4 2 3" xfId="2832"/>
    <cellStyle name="Percent 4 2 4" xfId="2833"/>
    <cellStyle name="Percent 4 2 5" xfId="2834"/>
    <cellStyle name="Percent 4 20" xfId="2835"/>
    <cellStyle name="Percent 4 21" xfId="2836"/>
    <cellStyle name="Percent 4 22" xfId="2837"/>
    <cellStyle name="Percent 4 23" xfId="2838"/>
    <cellStyle name="Percent 4 24" xfId="2839"/>
    <cellStyle name="Percent 4 25" xfId="2840"/>
    <cellStyle name="Percent 4 26" xfId="2841"/>
    <cellStyle name="Percent 4 27" xfId="2842"/>
    <cellStyle name="Percent 4 28" xfId="2843"/>
    <cellStyle name="Percent 4 29" xfId="2844"/>
    <cellStyle name="Percent 4 29 2" xfId="2845"/>
    <cellStyle name="Percent 4 29 3" xfId="2846"/>
    <cellStyle name="Percent 4 29 4" xfId="2847"/>
    <cellStyle name="Percent 4 3" xfId="2848"/>
    <cellStyle name="Percent 4 4" xfId="2849"/>
    <cellStyle name="Percent 4 4 2" xfId="2850"/>
    <cellStyle name="Percent 4 5" xfId="2851"/>
    <cellStyle name="Percent 4 5 2" xfId="2852"/>
    <cellStyle name="Percent 4 6" xfId="2853"/>
    <cellStyle name="Percent 4 7" xfId="2854"/>
    <cellStyle name="Percent 4 8" xfId="2855"/>
    <cellStyle name="Percent 4 9" xfId="2856"/>
    <cellStyle name="Percent 5" xfId="2857"/>
    <cellStyle name="Percent 5 2" xfId="2858"/>
    <cellStyle name="Percent 5 3" xfId="2859"/>
    <cellStyle name="Percent 5 3 2" xfId="2860"/>
    <cellStyle name="Percent 5 4" xfId="2861"/>
    <cellStyle name="Percent 6" xfId="2862"/>
    <cellStyle name="Percent 6 2" xfId="2863"/>
    <cellStyle name="Percent 7" xfId="2864"/>
    <cellStyle name="Percent 8" xfId="2865"/>
    <cellStyle name="Percent 8 2" xfId="2866"/>
    <cellStyle name="Percent 9 10" xfId="2867"/>
    <cellStyle name="Percent 9 11" xfId="2868"/>
    <cellStyle name="Percent 9 12" xfId="2869"/>
    <cellStyle name="Percent 9 13" xfId="2870"/>
    <cellStyle name="Percent 9 14" xfId="2871"/>
    <cellStyle name="Percent 9 15" xfId="2872"/>
    <cellStyle name="Percent 9 16" xfId="2873"/>
    <cellStyle name="Percent 9 17" xfId="2874"/>
    <cellStyle name="Percent 9 18" xfId="2875"/>
    <cellStyle name="Percent 9 19" xfId="2876"/>
    <cellStyle name="Percent 9 2" xfId="2877"/>
    <cellStyle name="Percent 9 20" xfId="2878"/>
    <cellStyle name="Percent 9 3" xfId="2879"/>
    <cellStyle name="Percent 9 4" xfId="2880"/>
    <cellStyle name="Percent 9 5" xfId="2881"/>
    <cellStyle name="Percent 9 6" xfId="2882"/>
    <cellStyle name="Percent 9 7" xfId="2883"/>
    <cellStyle name="Percent 9 7 2" xfId="2884"/>
    <cellStyle name="Percent 9 7 3" xfId="2885"/>
    <cellStyle name="Percent 9 8" xfId="2886"/>
    <cellStyle name="Percent 9 9" xfId="2887"/>
    <cellStyle name="Percentagem 2 2" xfId="2888"/>
    <cellStyle name="Percentagem 2 3" xfId="2889"/>
    <cellStyle name="Pilkku_Layo9704" xfId="2890"/>
    <cellStyle name="Pyör. luku_Layo9704" xfId="2891"/>
    <cellStyle name="Pyör. valuutta_Layo9704" xfId="2892"/>
    <cellStyle name="Schlecht" xfId="2893"/>
    <cellStyle name="Shade" xfId="2894"/>
    <cellStyle name="source" xfId="2895"/>
    <cellStyle name="source 2" xfId="2896"/>
    <cellStyle name="source 2 2" xfId="2897"/>
    <cellStyle name="Standaard_Blad1" xfId="2898"/>
    <cellStyle name="Standard 2" xfId="2899"/>
    <cellStyle name="Standard 3" xfId="2900"/>
    <cellStyle name="Standard_Sce_D_Extraction" xfId="2901"/>
    <cellStyle name="Style 1" xfId="2902"/>
    <cellStyle name="Style 103" xfId="2903"/>
    <cellStyle name="Style 103 2" xfId="2904"/>
    <cellStyle name="Style 103 3" xfId="2905"/>
    <cellStyle name="Style 104" xfId="2906"/>
    <cellStyle name="Style 104 2" xfId="2907"/>
    <cellStyle name="Style 104 3" xfId="2908"/>
    <cellStyle name="Style 105" xfId="2909"/>
    <cellStyle name="Style 105 2" xfId="2910"/>
    <cellStyle name="Style 106" xfId="2911"/>
    <cellStyle name="Style 106 2" xfId="2912"/>
    <cellStyle name="Style 107" xfId="2913"/>
    <cellStyle name="Style 107 2" xfId="2914"/>
    <cellStyle name="Style 108" xfId="2915"/>
    <cellStyle name="Style 108 2" xfId="2916"/>
    <cellStyle name="Style 108 3" xfId="2917"/>
    <cellStyle name="Style 109" xfId="2918"/>
    <cellStyle name="Style 109 2" xfId="2919"/>
    <cellStyle name="Style 110" xfId="2920"/>
    <cellStyle name="Style 110 2" xfId="2921"/>
    <cellStyle name="Style 114" xfId="2922"/>
    <cellStyle name="Style 114 2" xfId="2923"/>
    <cellStyle name="Style 114 3" xfId="2924"/>
    <cellStyle name="Style 115" xfId="2925"/>
    <cellStyle name="Style 115 2" xfId="2926"/>
    <cellStyle name="Style 115 3" xfId="2927"/>
    <cellStyle name="Style 116" xfId="2928"/>
    <cellStyle name="Style 116 2" xfId="2929"/>
    <cellStyle name="Style 117" xfId="2930"/>
    <cellStyle name="Style 117 2" xfId="2931"/>
    <cellStyle name="Style 118" xfId="2932"/>
    <cellStyle name="Style 118 2" xfId="2933"/>
    <cellStyle name="Style 119" xfId="2934"/>
    <cellStyle name="Style 119 2" xfId="2935"/>
    <cellStyle name="Style 119 3" xfId="2936"/>
    <cellStyle name="Style 120" xfId="2937"/>
    <cellStyle name="Style 120 2" xfId="2938"/>
    <cellStyle name="Style 121" xfId="2939"/>
    <cellStyle name="Style 121 2" xfId="2940"/>
    <cellStyle name="Style 126" xfId="2941"/>
    <cellStyle name="Style 126 2" xfId="2942"/>
    <cellStyle name="Style 126 3" xfId="2943"/>
    <cellStyle name="Style 127" xfId="2944"/>
    <cellStyle name="Style 127 2" xfId="2945"/>
    <cellStyle name="Style 128" xfId="2946"/>
    <cellStyle name="Style 128 2" xfId="2947"/>
    <cellStyle name="Style 129" xfId="2948"/>
    <cellStyle name="Style 129 2" xfId="2949"/>
    <cellStyle name="Style 130" xfId="2950"/>
    <cellStyle name="Style 130 2" xfId="2951"/>
    <cellStyle name="Style 130 3" xfId="2952"/>
    <cellStyle name="Style 131" xfId="2953"/>
    <cellStyle name="Style 131 2" xfId="2954"/>
    <cellStyle name="Style 132" xfId="2955"/>
    <cellStyle name="Style 132 2" xfId="2956"/>
    <cellStyle name="Style 137" xfId="2957"/>
    <cellStyle name="Style 137 2" xfId="2958"/>
    <cellStyle name="Style 137 3" xfId="2959"/>
    <cellStyle name="Style 138" xfId="2960"/>
    <cellStyle name="Style 138 2" xfId="2961"/>
    <cellStyle name="Style 139" xfId="2962"/>
    <cellStyle name="Style 139 2" xfId="2963"/>
    <cellStyle name="Style 140" xfId="2964"/>
    <cellStyle name="Style 140 2" xfId="2965"/>
    <cellStyle name="Style 141" xfId="2966"/>
    <cellStyle name="Style 141 2" xfId="2967"/>
    <cellStyle name="Style 141 3" xfId="2968"/>
    <cellStyle name="Style 142" xfId="2969"/>
    <cellStyle name="Style 142 2" xfId="2970"/>
    <cellStyle name="Style 143" xfId="2971"/>
    <cellStyle name="Style 143 2" xfId="2972"/>
    <cellStyle name="Style 148" xfId="2973"/>
    <cellStyle name="Style 148 2" xfId="2974"/>
    <cellStyle name="Style 148 3" xfId="2975"/>
    <cellStyle name="Style 149" xfId="2976"/>
    <cellStyle name="Style 149 2" xfId="2977"/>
    <cellStyle name="Style 150" xfId="2978"/>
    <cellStyle name="Style 150 2" xfId="2979"/>
    <cellStyle name="Style 151" xfId="2980"/>
    <cellStyle name="Style 151 2" xfId="2981"/>
    <cellStyle name="Style 152" xfId="2982"/>
    <cellStyle name="Style 152 2" xfId="2983"/>
    <cellStyle name="Style 152 3" xfId="2984"/>
    <cellStyle name="Style 153" xfId="2985"/>
    <cellStyle name="Style 153 2" xfId="2986"/>
    <cellStyle name="Style 154" xfId="2987"/>
    <cellStyle name="Style 154 2" xfId="2988"/>
    <cellStyle name="Style 159" xfId="2989"/>
    <cellStyle name="Style 159 2" xfId="2990"/>
    <cellStyle name="Style 159 3" xfId="2991"/>
    <cellStyle name="Style 160" xfId="2992"/>
    <cellStyle name="Style 160 2" xfId="2993"/>
    <cellStyle name="Style 161" xfId="2994"/>
    <cellStyle name="Style 161 2" xfId="2995"/>
    <cellStyle name="Style 162" xfId="2996"/>
    <cellStyle name="Style 162 2" xfId="2997"/>
    <cellStyle name="Style 163" xfId="2998"/>
    <cellStyle name="Style 163 2" xfId="2999"/>
    <cellStyle name="Style 163 3" xfId="3000"/>
    <cellStyle name="Style 164" xfId="3001"/>
    <cellStyle name="Style 164 2" xfId="3002"/>
    <cellStyle name="Style 165" xfId="3003"/>
    <cellStyle name="Style 165 2" xfId="3004"/>
    <cellStyle name="Style 21" xfId="3005"/>
    <cellStyle name="Style 21 2" xfId="3006"/>
    <cellStyle name="Style 21 2 2" xfId="3007"/>
    <cellStyle name="Style 21 3" xfId="3008"/>
    <cellStyle name="Style 21 4" xfId="3009"/>
    <cellStyle name="Style 22" xfId="3010"/>
    <cellStyle name="Style 22 2" xfId="3011"/>
    <cellStyle name="Style 23" xfId="3012"/>
    <cellStyle name="Style 23 2" xfId="3013"/>
    <cellStyle name="Style 24" xfId="3014"/>
    <cellStyle name="Style 24 2" xfId="3015"/>
    <cellStyle name="Style 25" xfId="3016"/>
    <cellStyle name="Style 25 2" xfId="3017"/>
    <cellStyle name="Style 25 3" xfId="3018"/>
    <cellStyle name="Style 26" xfId="3019"/>
    <cellStyle name="Style 26 2" xfId="3020"/>
    <cellStyle name="Style 27" xfId="3021"/>
    <cellStyle name="Style 27 2" xfId="3022"/>
    <cellStyle name="Style 35" xfId="3023"/>
    <cellStyle name="Style 35 2" xfId="3024"/>
    <cellStyle name="Style 35 3" xfId="3025"/>
    <cellStyle name="Style 36" xfId="3026"/>
    <cellStyle name="Style 36 2" xfId="3027"/>
    <cellStyle name="Style 37" xfId="3028"/>
    <cellStyle name="Style 37 2" xfId="3029"/>
    <cellStyle name="Style 38" xfId="3030"/>
    <cellStyle name="Style 38 2" xfId="3031"/>
    <cellStyle name="Style 39" xfId="3032"/>
    <cellStyle name="Style 39 2" xfId="3033"/>
    <cellStyle name="Style 39 3" xfId="3034"/>
    <cellStyle name="Style 40" xfId="3035"/>
    <cellStyle name="Style 40 2" xfId="3036"/>
    <cellStyle name="Style 41" xfId="3037"/>
    <cellStyle name="Style 41 2" xfId="3038"/>
    <cellStyle name="Style 46" xfId="3039"/>
    <cellStyle name="Style 46 2" xfId="3040"/>
    <cellStyle name="Style 46 3" xfId="3041"/>
    <cellStyle name="Style 47" xfId="3042"/>
    <cellStyle name="Style 47 2" xfId="3043"/>
    <cellStyle name="Style 48" xfId="3044"/>
    <cellStyle name="Style 48 2" xfId="3045"/>
    <cellStyle name="Style 49" xfId="3046"/>
    <cellStyle name="Style 49 2" xfId="3047"/>
    <cellStyle name="Style 50" xfId="3048"/>
    <cellStyle name="Style 50 2" xfId="3049"/>
    <cellStyle name="Style 50 3" xfId="3050"/>
    <cellStyle name="Style 51" xfId="3051"/>
    <cellStyle name="Style 51 2" xfId="3052"/>
    <cellStyle name="Style 52" xfId="3053"/>
    <cellStyle name="Style 52 2" xfId="3054"/>
    <cellStyle name="Style 58" xfId="3055"/>
    <cellStyle name="Style 58 2" xfId="3056"/>
    <cellStyle name="Style 58 3" xfId="3057"/>
    <cellStyle name="Style 59" xfId="3058"/>
    <cellStyle name="Style 59 2" xfId="3059"/>
    <cellStyle name="Style 60" xfId="3060"/>
    <cellStyle name="Style 60 2" xfId="3061"/>
    <cellStyle name="Style 61" xfId="3062"/>
    <cellStyle name="Style 61 2" xfId="3063"/>
    <cellStyle name="Style 62" xfId="3064"/>
    <cellStyle name="Style 62 2" xfId="3065"/>
    <cellStyle name="Style 62 3" xfId="3066"/>
    <cellStyle name="Style 63" xfId="3067"/>
    <cellStyle name="Style 63 2" xfId="3068"/>
    <cellStyle name="Style 64" xfId="3069"/>
    <cellStyle name="Style 64 2" xfId="3070"/>
    <cellStyle name="Style 69" xfId="3071"/>
    <cellStyle name="Style 69 2" xfId="3072"/>
    <cellStyle name="Style 69 3" xfId="3073"/>
    <cellStyle name="Style 70" xfId="3074"/>
    <cellStyle name="Style 70 2" xfId="3075"/>
    <cellStyle name="Style 71" xfId="3076"/>
    <cellStyle name="Style 71 2" xfId="3077"/>
    <cellStyle name="Style 72" xfId="3078"/>
    <cellStyle name="Style 72 2" xfId="3079"/>
    <cellStyle name="Style 73" xfId="3080"/>
    <cellStyle name="Style 73 2" xfId="3081"/>
    <cellStyle name="Style 73 3" xfId="3082"/>
    <cellStyle name="Style 74" xfId="3083"/>
    <cellStyle name="Style 74 2" xfId="3084"/>
    <cellStyle name="Style 75" xfId="3085"/>
    <cellStyle name="Style 75 2" xfId="3086"/>
    <cellStyle name="Style 80" xfId="3087"/>
    <cellStyle name="Style 80 2" xfId="3088"/>
    <cellStyle name="Style 80 3" xfId="3089"/>
    <cellStyle name="Style 81" xfId="3090"/>
    <cellStyle name="Style 81 2" xfId="3091"/>
    <cellStyle name="Style 81 3" xfId="3092"/>
    <cellStyle name="Style 82" xfId="3093"/>
    <cellStyle name="Style 82 2" xfId="3094"/>
    <cellStyle name="Style 83" xfId="3095"/>
    <cellStyle name="Style 83 2" xfId="3096"/>
    <cellStyle name="Style 84" xfId="3097"/>
    <cellStyle name="Style 84 2" xfId="3098"/>
    <cellStyle name="Style 85" xfId="3099"/>
    <cellStyle name="Style 85 2" xfId="3100"/>
    <cellStyle name="Style 85 3" xfId="3101"/>
    <cellStyle name="Style 86" xfId="3102"/>
    <cellStyle name="Style 86 2" xfId="3103"/>
    <cellStyle name="Style 87" xfId="3104"/>
    <cellStyle name="Style 87 2" xfId="3105"/>
    <cellStyle name="Style 93" xfId="3106"/>
    <cellStyle name="Style 93 2" xfId="3107"/>
    <cellStyle name="Style 93 3" xfId="3108"/>
    <cellStyle name="Style 94" xfId="3109"/>
    <cellStyle name="Style 94 2" xfId="3110"/>
    <cellStyle name="Style 95" xfId="3111"/>
    <cellStyle name="Style 95 2" xfId="3112"/>
    <cellStyle name="Style 96" xfId="3113"/>
    <cellStyle name="Style 96 2" xfId="3114"/>
    <cellStyle name="Style 97" xfId="3115"/>
    <cellStyle name="Style 97 2" xfId="3116"/>
    <cellStyle name="Style 97 3" xfId="3117"/>
    <cellStyle name="Style 98" xfId="3118"/>
    <cellStyle name="Style 98 2" xfId="3119"/>
    <cellStyle name="Style 99" xfId="3120"/>
    <cellStyle name="Style 99 2" xfId="3121"/>
    <cellStyle name="tableau | cellule | normal | decimal 1" xfId="3122"/>
    <cellStyle name="tableau | cellule | normal | pourcentage | decimal 1" xfId="3123"/>
    <cellStyle name="tableau | cellule | total | decimal 1" xfId="3124"/>
    <cellStyle name="tableau | coin superieur gauche" xfId="3125"/>
    <cellStyle name="tableau | entete-colonne | series" xfId="3126"/>
    <cellStyle name="tableau | entete-ligne | normal" xfId="3127"/>
    <cellStyle name="tableau | entete-ligne | total" xfId="3128"/>
    <cellStyle name="tableau | ligne-titre | niveau1" xfId="3129"/>
    <cellStyle name="tableau | ligne-titre | niveau2" xfId="3130"/>
    <cellStyle name="Title 10" xfId="3131"/>
    <cellStyle name="Title 11" xfId="3132"/>
    <cellStyle name="Title 12" xfId="3133"/>
    <cellStyle name="Title 13" xfId="3134"/>
    <cellStyle name="Title 14" xfId="3135"/>
    <cellStyle name="Title 15" xfId="3136"/>
    <cellStyle name="Title 16" xfId="3137"/>
    <cellStyle name="Title 17" xfId="3138"/>
    <cellStyle name="Title 18" xfId="3139"/>
    <cellStyle name="Title 19" xfId="3140"/>
    <cellStyle name="Title 2" xfId="3141"/>
    <cellStyle name="Title 20" xfId="3142"/>
    <cellStyle name="Title 21" xfId="3143"/>
    <cellStyle name="Title 22" xfId="3144"/>
    <cellStyle name="Title 23" xfId="3145"/>
    <cellStyle name="Title 24" xfId="3146"/>
    <cellStyle name="Title 25" xfId="3147"/>
    <cellStyle name="Title 26" xfId="3148"/>
    <cellStyle name="Title 27" xfId="3149"/>
    <cellStyle name="Title 28" xfId="3150"/>
    <cellStyle name="Title 29" xfId="3151"/>
    <cellStyle name="Title 3" xfId="3152"/>
    <cellStyle name="Title 3 2" xfId="3153"/>
    <cellStyle name="Title 30" xfId="3154"/>
    <cellStyle name="Title 31" xfId="3155"/>
    <cellStyle name="Title 32" xfId="3156"/>
    <cellStyle name="Title 33" xfId="3157"/>
    <cellStyle name="Title 34" xfId="3158"/>
    <cellStyle name="Title 35" xfId="3159"/>
    <cellStyle name="Title 36" xfId="3160"/>
    <cellStyle name="Title 37" xfId="3161"/>
    <cellStyle name="Title 38" xfId="3162"/>
    <cellStyle name="Title 39" xfId="3163"/>
    <cellStyle name="Title 4" xfId="3164"/>
    <cellStyle name="Title 40" xfId="3165"/>
    <cellStyle name="Title 41" xfId="3166"/>
    <cellStyle name="Title 42" xfId="3167"/>
    <cellStyle name="Title 43" xfId="3168"/>
    <cellStyle name="Title 5" xfId="3169"/>
    <cellStyle name="Title 6" xfId="3170"/>
    <cellStyle name="Title 7" xfId="3171"/>
    <cellStyle name="Title 8" xfId="3172"/>
    <cellStyle name="Title 9" xfId="3173"/>
    <cellStyle name="Total 10" xfId="3174"/>
    <cellStyle name="Total 11" xfId="3175"/>
    <cellStyle name="Total 12" xfId="3176"/>
    <cellStyle name="Total 13" xfId="3177"/>
    <cellStyle name="Total 14" xfId="3178"/>
    <cellStyle name="Total 15" xfId="3179"/>
    <cellStyle name="Total 16" xfId="3180"/>
    <cellStyle name="Total 17" xfId="3181"/>
    <cellStyle name="Total 18" xfId="3182"/>
    <cellStyle name="Total 19" xfId="3183"/>
    <cellStyle name="Total 2" xfId="3184"/>
    <cellStyle name="Total 20" xfId="3185"/>
    <cellStyle name="Total 21" xfId="3186"/>
    <cellStyle name="Total 22" xfId="3187"/>
    <cellStyle name="Total 23" xfId="3188"/>
    <cellStyle name="Total 24" xfId="3189"/>
    <cellStyle name="Total 25" xfId="3190"/>
    <cellStyle name="Total 26" xfId="3191"/>
    <cellStyle name="Total 27" xfId="3192"/>
    <cellStyle name="Total 28" xfId="3193"/>
    <cellStyle name="Total 29" xfId="3194"/>
    <cellStyle name="Total 3" xfId="3195"/>
    <cellStyle name="Total 3 2" xfId="3196"/>
    <cellStyle name="Total 30" xfId="3197"/>
    <cellStyle name="Total 31" xfId="3198"/>
    <cellStyle name="Total 32" xfId="3199"/>
    <cellStyle name="Total 33" xfId="3200"/>
    <cellStyle name="Total 34" xfId="3201"/>
    <cellStyle name="Total 35" xfId="3202"/>
    <cellStyle name="Total 36" xfId="3203"/>
    <cellStyle name="Total 37" xfId="3204"/>
    <cellStyle name="Total 38" xfId="3205"/>
    <cellStyle name="Total 39" xfId="3206"/>
    <cellStyle name="Total 4" xfId="3207"/>
    <cellStyle name="Total 40" xfId="3208"/>
    <cellStyle name="Total 41" xfId="3209"/>
    <cellStyle name="Total 42" xfId="3210"/>
    <cellStyle name="Total 5" xfId="3211"/>
    <cellStyle name="Total 6" xfId="3212"/>
    <cellStyle name="Total 7" xfId="3213"/>
    <cellStyle name="Total 8" xfId="3214"/>
    <cellStyle name="Total 9" xfId="3215"/>
    <cellStyle name="Überschrift" xfId="3216"/>
    <cellStyle name="Überschrift 1" xfId="3217"/>
    <cellStyle name="Überschrift 2" xfId="3218"/>
    <cellStyle name="Überschrift 3" xfId="3219"/>
    <cellStyle name="Überschrift 4" xfId="3220"/>
    <cellStyle name="Valuutta_Layo9704" xfId="3221"/>
    <cellStyle name="Verknüpfte Zelle" xfId="3222"/>
    <cellStyle name="Warnender Text" xfId="3223"/>
    <cellStyle name="Warning Text 10" xfId="3224"/>
    <cellStyle name="Warning Text 11" xfId="3225"/>
    <cellStyle name="Warning Text 12" xfId="3226"/>
    <cellStyle name="Warning Text 13" xfId="3227"/>
    <cellStyle name="Warning Text 14" xfId="3228"/>
    <cellStyle name="Warning Text 15" xfId="3229"/>
    <cellStyle name="Warning Text 16" xfId="3230"/>
    <cellStyle name="Warning Text 17" xfId="3231"/>
    <cellStyle name="Warning Text 18" xfId="3232"/>
    <cellStyle name="Warning Text 19" xfId="3233"/>
    <cellStyle name="Warning Text 2" xfId="3234"/>
    <cellStyle name="Warning Text 20" xfId="3235"/>
    <cellStyle name="Warning Text 21" xfId="3236"/>
    <cellStyle name="Warning Text 22" xfId="3237"/>
    <cellStyle name="Warning Text 23" xfId="3238"/>
    <cellStyle name="Warning Text 24" xfId="3239"/>
    <cellStyle name="Warning Text 25" xfId="3240"/>
    <cellStyle name="Warning Text 26" xfId="3241"/>
    <cellStyle name="Warning Text 27" xfId="3242"/>
    <cellStyle name="Warning Text 28" xfId="3243"/>
    <cellStyle name="Warning Text 29" xfId="3244"/>
    <cellStyle name="Warning Text 3" xfId="3245"/>
    <cellStyle name="Warning Text 3 2" xfId="3246"/>
    <cellStyle name="Warning Text 30" xfId="3247"/>
    <cellStyle name="Warning Text 31" xfId="3248"/>
    <cellStyle name="Warning Text 32" xfId="3249"/>
    <cellStyle name="Warning Text 33" xfId="3250"/>
    <cellStyle name="Warning Text 34" xfId="3251"/>
    <cellStyle name="Warning Text 35" xfId="3252"/>
    <cellStyle name="Warning Text 36" xfId="3253"/>
    <cellStyle name="Warning Text 37" xfId="3254"/>
    <cellStyle name="Warning Text 38" xfId="3255"/>
    <cellStyle name="Warning Text 39" xfId="3256"/>
    <cellStyle name="Warning Text 4" xfId="3257"/>
    <cellStyle name="Warning Text 40" xfId="3258"/>
    <cellStyle name="Warning Text 41" xfId="3259"/>
    <cellStyle name="Warning Text 5" xfId="3260"/>
    <cellStyle name="Warning Text 6" xfId="3261"/>
    <cellStyle name="Warning Text 7" xfId="3262"/>
    <cellStyle name="Warning Text 8" xfId="3263"/>
    <cellStyle name="Warning Text 9" xfId="3264"/>
    <cellStyle name="Zelle überprüfen" xfId="3265"/>
    <cellStyle name="Гиперссылка" xfId="3266"/>
    <cellStyle name="Обычный_2++" xfId="3267"/>
    <cellStyle name="已访问的超链接" xfId="326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des/ScenTrade__Trade_Lin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_ELC"/>
      <sheetName val="UNI_Grid"/>
      <sheetName val="EF1-UPD"/>
      <sheetName val="BI_CO2"/>
      <sheetName val="BI"/>
      <sheetName val="BI_H2G"/>
      <sheetName val="Uni"/>
      <sheetName val="Uni_GAS"/>
      <sheetName val="Uni_NUC"/>
      <sheetName val="Map"/>
      <sheetName val="Sheet3"/>
      <sheetName val="Sheet4"/>
      <sheetName val="Sheet5"/>
      <sheetName val="Sheet6"/>
      <sheetName val="Sheet7"/>
      <sheetName val="Sheet8"/>
      <sheetName val="Sheet9"/>
    </sheetNames>
    <sheetDataSet>
      <sheetData sheetId="0"/>
      <sheetData sheetId="1">
        <row r="4">
          <cell r="G4" t="str">
            <v>GI-DE-N1-LU-N1</v>
          </cell>
        </row>
        <row r="5">
          <cell r="G5" t="str">
            <v>GI-NL-N1-DE-N1</v>
          </cell>
        </row>
        <row r="6">
          <cell r="G6" t="str">
            <v>GI-NL-N1-BE-N1</v>
          </cell>
        </row>
        <row r="7">
          <cell r="G7" t="str">
            <v>GI-FR-N1-BE-N1</v>
          </cell>
        </row>
        <row r="8">
          <cell r="G8" t="str">
            <v>GI-BE-N1-LU-N1</v>
          </cell>
        </row>
        <row r="9">
          <cell r="G9" t="str">
            <v>GI-FR-N1-DE-N1</v>
          </cell>
        </row>
        <row r="10">
          <cell r="G10" t="str">
            <v>GI-PL-N1-CZ-N1</v>
          </cell>
        </row>
        <row r="11">
          <cell r="G11" t="str">
            <v>GI-SK-N1-CZ-N1</v>
          </cell>
        </row>
        <row r="12">
          <cell r="G12" t="str">
            <v>GI-PL-N1-SK-N1</v>
          </cell>
        </row>
        <row r="13">
          <cell r="G13" t="str">
            <v>GI-DE-N1-CZ-N1</v>
          </cell>
        </row>
        <row r="14">
          <cell r="G14" t="str">
            <v>GI-SK-N1-HU-N1</v>
          </cell>
        </row>
        <row r="15">
          <cell r="G15" t="str">
            <v>GI-SI-N1-AT-N1</v>
          </cell>
        </row>
        <row r="16">
          <cell r="G16" t="str">
            <v>GI-CH-N1-DE-N1</v>
          </cell>
        </row>
        <row r="17">
          <cell r="G17" t="str">
            <v>GI-IT-N1-SI-N1</v>
          </cell>
        </row>
        <row r="18">
          <cell r="G18" t="str">
            <v>GI-FR-N1-CH-N1</v>
          </cell>
        </row>
        <row r="19">
          <cell r="G19" t="str">
            <v>GI-AT-N1-CZ-N1</v>
          </cell>
        </row>
        <row r="20">
          <cell r="G20" t="str">
            <v>GI-DE-N1-AT-N1</v>
          </cell>
        </row>
        <row r="21">
          <cell r="G21" t="str">
            <v>GI-CH-N1-AT-N1</v>
          </cell>
        </row>
        <row r="22">
          <cell r="G22" t="str">
            <v>GI-CH-N1-IT-N1</v>
          </cell>
        </row>
        <row r="23">
          <cell r="G23" t="str">
            <v>GI-FR-N1-IT-N1</v>
          </cell>
        </row>
        <row r="24">
          <cell r="G24" t="str">
            <v>GI-AT-N1-HU-N1</v>
          </cell>
        </row>
        <row r="25">
          <cell r="G25" t="str">
            <v>GI-DE-N1-PL-N1</v>
          </cell>
        </row>
        <row r="26">
          <cell r="G26" t="str">
            <v>GI-AT-N1-IT-N1</v>
          </cell>
        </row>
      </sheetData>
      <sheetData sheetId="2">
        <row r="2">
          <cell r="C2" t="str">
            <v>DE</v>
          </cell>
          <cell r="E2" t="str">
            <v>LU</v>
          </cell>
          <cell r="F2">
            <v>2000</v>
          </cell>
          <cell r="H2">
            <v>1.2727273787878799E-2</v>
          </cell>
          <cell r="I2">
            <v>58.5</v>
          </cell>
        </row>
        <row r="3">
          <cell r="C3" t="str">
            <v>NL</v>
          </cell>
          <cell r="E3" t="str">
            <v>DE</v>
          </cell>
          <cell r="F3">
            <v>5100</v>
          </cell>
          <cell r="H3">
            <v>2.99798004781146E-3</v>
          </cell>
          <cell r="I3">
            <v>12.1588235294117</v>
          </cell>
        </row>
        <row r="4">
          <cell r="C4" t="str">
            <v>NL</v>
          </cell>
          <cell r="E4" t="str">
            <v>BE</v>
          </cell>
          <cell r="F4">
            <v>3600</v>
          </cell>
          <cell r="H4">
            <v>4.24242459595962E-3</v>
          </cell>
          <cell r="I4">
            <v>24.375</v>
          </cell>
        </row>
        <row r="5">
          <cell r="C5" t="str">
            <v>FR</v>
          </cell>
          <cell r="E5" t="str">
            <v>BE</v>
          </cell>
          <cell r="F5">
            <v>5100</v>
          </cell>
          <cell r="H5">
            <v>2.80000023333335E-3</v>
          </cell>
          <cell r="I5">
            <v>11.3558823529411</v>
          </cell>
        </row>
        <row r="6">
          <cell r="C6" t="str">
            <v>BE</v>
          </cell>
          <cell r="E6" t="str">
            <v>LU</v>
          </cell>
          <cell r="F6">
            <v>366</v>
          </cell>
          <cell r="H6">
            <v>7.9757582404040902E-3</v>
          </cell>
          <cell r="I6">
            <v>200.32786885245901</v>
          </cell>
        </row>
        <row r="7">
          <cell r="C7" t="str">
            <v>FR</v>
          </cell>
          <cell r="E7" t="str">
            <v>DE</v>
          </cell>
          <cell r="F7">
            <v>5600</v>
          </cell>
          <cell r="H7">
            <v>3.3939396767676999E-3</v>
          </cell>
          <cell r="I7">
            <v>22.285714285714199</v>
          </cell>
        </row>
        <row r="8">
          <cell r="C8" t="str">
            <v>PL</v>
          </cell>
          <cell r="E8" t="str">
            <v>CZ</v>
          </cell>
          <cell r="F8">
            <v>3400</v>
          </cell>
          <cell r="H8">
            <v>3.9454548742424503E-3</v>
          </cell>
          <cell r="I8">
            <v>10.6676470588235</v>
          </cell>
        </row>
        <row r="9">
          <cell r="C9" t="str">
            <v>SK</v>
          </cell>
          <cell r="E9" t="str">
            <v>CZ</v>
          </cell>
          <cell r="F9">
            <v>3400</v>
          </cell>
          <cell r="H9">
            <v>5.8969701883838802E-3</v>
          </cell>
          <cell r="I9">
            <v>15.9441176470588</v>
          </cell>
        </row>
        <row r="10">
          <cell r="C10" t="str">
            <v>PL</v>
          </cell>
          <cell r="E10" t="str">
            <v>SK</v>
          </cell>
          <cell r="F10">
            <v>833</v>
          </cell>
          <cell r="H10">
            <v>2.8848487252525399E-2</v>
          </cell>
          <cell r="I10">
            <v>79.5918367346938</v>
          </cell>
        </row>
        <row r="11">
          <cell r="C11" t="str">
            <v>DE</v>
          </cell>
          <cell r="E11" t="str">
            <v>CZ</v>
          </cell>
          <cell r="F11">
            <v>3400</v>
          </cell>
          <cell r="H11">
            <v>7.9333339944444997E-3</v>
          </cell>
          <cell r="I11">
            <v>21.45</v>
          </cell>
        </row>
        <row r="12">
          <cell r="C12" t="str">
            <v>SK</v>
          </cell>
          <cell r="E12" t="str">
            <v>HU</v>
          </cell>
          <cell r="F12">
            <v>2800</v>
          </cell>
          <cell r="H12">
            <v>5.5151519747475104E-3</v>
          </cell>
          <cell r="I12">
            <v>18.107142857142801</v>
          </cell>
        </row>
        <row r="13">
          <cell r="C13" t="str">
            <v>SI</v>
          </cell>
          <cell r="E13" t="str">
            <v>AT</v>
          </cell>
          <cell r="F13">
            <v>1000</v>
          </cell>
          <cell r="H13">
            <v>4.1321215564646699E-2</v>
          </cell>
          <cell r="I13">
            <v>94.965000000000003</v>
          </cell>
        </row>
        <row r="14">
          <cell r="C14" t="str">
            <v>CH</v>
          </cell>
          <cell r="E14" t="str">
            <v>DE</v>
          </cell>
          <cell r="F14">
            <v>5100</v>
          </cell>
          <cell r="H14">
            <v>2.7717174026936201E-3</v>
          </cell>
          <cell r="I14">
            <v>11.241176470588201</v>
          </cell>
        </row>
        <row r="15">
          <cell r="C15" t="str">
            <v>IT</v>
          </cell>
          <cell r="E15" t="str">
            <v>SI</v>
          </cell>
          <cell r="F15">
            <v>762</v>
          </cell>
          <cell r="H15">
            <v>9.5030310949495607E-3</v>
          </cell>
          <cell r="I15">
            <v>114.645669291338</v>
          </cell>
        </row>
        <row r="16">
          <cell r="C16" t="str">
            <v>FR</v>
          </cell>
          <cell r="E16" t="str">
            <v>CH</v>
          </cell>
          <cell r="F16">
            <v>4800</v>
          </cell>
          <cell r="H16">
            <v>2.99798004781146E-3</v>
          </cell>
          <cell r="I16">
            <v>12.918749999999999</v>
          </cell>
        </row>
        <row r="17">
          <cell r="C17" t="str">
            <v>AT</v>
          </cell>
          <cell r="E17" t="str">
            <v>CZ</v>
          </cell>
          <cell r="F17">
            <v>3400</v>
          </cell>
          <cell r="H17">
            <v>8.0606067323232902E-3</v>
          </cell>
          <cell r="I17">
            <v>21.794117647058801</v>
          </cell>
        </row>
        <row r="18">
          <cell r="C18" t="str">
            <v>DE</v>
          </cell>
          <cell r="E18" t="str">
            <v>AT</v>
          </cell>
          <cell r="F18">
            <v>4200</v>
          </cell>
          <cell r="H18">
            <v>3.8181821363636602E-3</v>
          </cell>
          <cell r="I18">
            <v>8.3571428571428505</v>
          </cell>
        </row>
        <row r="19">
          <cell r="C19" t="str">
            <v>CH</v>
          </cell>
          <cell r="E19" t="str">
            <v>AT</v>
          </cell>
          <cell r="F19">
            <v>2400</v>
          </cell>
          <cell r="H19">
            <v>1.23030313282829E-2</v>
          </cell>
          <cell r="I19">
            <v>47.125</v>
          </cell>
        </row>
        <row r="20">
          <cell r="C20" t="str">
            <v>CH</v>
          </cell>
          <cell r="E20" t="str">
            <v>IT</v>
          </cell>
          <cell r="F20">
            <v>4200</v>
          </cell>
          <cell r="H20">
            <v>3.95959628956231E-3</v>
          </cell>
          <cell r="I20">
            <v>19.5</v>
          </cell>
        </row>
        <row r="21">
          <cell r="C21" t="str">
            <v>FR</v>
          </cell>
          <cell r="E21" t="str">
            <v>IT</v>
          </cell>
          <cell r="F21">
            <v>3600</v>
          </cell>
          <cell r="H21">
            <v>6.5050510471380898E-3</v>
          </cell>
          <cell r="I21">
            <v>37.375</v>
          </cell>
        </row>
        <row r="22">
          <cell r="C22" t="str">
            <v>AT</v>
          </cell>
          <cell r="E22" t="str">
            <v>HU</v>
          </cell>
          <cell r="F22">
            <v>1400</v>
          </cell>
          <cell r="H22">
            <v>0.99857214382040604</v>
          </cell>
          <cell r="I22">
            <v>1255.51428571428</v>
          </cell>
        </row>
        <row r="23">
          <cell r="C23" t="str">
            <v>DE</v>
          </cell>
          <cell r="E23" t="str">
            <v>PL</v>
          </cell>
          <cell r="F23">
            <v>2400</v>
          </cell>
          <cell r="H23">
            <v>1</v>
          </cell>
          <cell r="I23">
            <v>777.05</v>
          </cell>
        </row>
        <row r="24">
          <cell r="C24" t="str">
            <v>AT</v>
          </cell>
          <cell r="E24" t="str">
            <v>IT</v>
          </cell>
          <cell r="F24">
            <v>250</v>
          </cell>
          <cell r="H24">
            <v>0.98273001613659205</v>
          </cell>
          <cell r="I24">
            <v>795.4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4"/>
  <sheetViews>
    <sheetView workbookViewId="0">
      <selection activeCell="B4" sqref="B4"/>
    </sheetView>
  </sheetViews>
  <sheetFormatPr defaultRowHeight="12.75"/>
  <cols>
    <col min="2" max="2" width="11.140625" customWidth="1"/>
    <col min="3" max="3" width="11" bestFit="1" customWidth="1"/>
  </cols>
  <sheetData>
    <row r="2" spans="2:5">
      <c r="B2" s="104" t="s">
        <v>214</v>
      </c>
      <c r="C2" s="104" t="s">
        <v>215</v>
      </c>
      <c r="D2" s="104" t="s">
        <v>216</v>
      </c>
      <c r="E2" s="104" t="s">
        <v>217</v>
      </c>
    </row>
    <row r="3" spans="2:5">
      <c r="B3" s="103">
        <v>41695</v>
      </c>
      <c r="C3" t="s">
        <v>211</v>
      </c>
      <c r="D3" t="s">
        <v>212</v>
      </c>
      <c r="E3" s="7" t="s">
        <v>213</v>
      </c>
    </row>
    <row r="4" spans="2:5">
      <c r="B4" s="103">
        <v>41914</v>
      </c>
      <c r="C4" t="s">
        <v>211</v>
      </c>
      <c r="D4" t="s">
        <v>220</v>
      </c>
      <c r="E4" t="s">
        <v>219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2"/>
  <sheetViews>
    <sheetView zoomScaleNormal="100" workbookViewId="0">
      <selection activeCell="D38" sqref="D38"/>
    </sheetView>
  </sheetViews>
  <sheetFormatPr defaultRowHeight="12.75"/>
  <cols>
    <col min="1" max="1" width="10.85546875" bestFit="1" customWidth="1"/>
    <col min="2" max="2" width="17" bestFit="1" customWidth="1"/>
    <col min="3" max="3" width="15.28515625" customWidth="1"/>
    <col min="4" max="4" width="18.42578125" customWidth="1"/>
    <col min="5" max="5" width="12.140625" customWidth="1"/>
    <col min="6" max="6" width="24.7109375" customWidth="1"/>
    <col min="7" max="7" width="10.7109375" bestFit="1" customWidth="1"/>
    <col min="8" max="8" width="10.85546875" customWidth="1"/>
    <col min="9" max="9" width="13.85546875" bestFit="1" customWidth="1"/>
    <col min="23" max="23" width="20" customWidth="1"/>
    <col min="24" max="24" width="33.140625" customWidth="1"/>
  </cols>
  <sheetData>
    <row r="1" spans="1:24" ht="13.5" thickBot="1">
      <c r="A1" s="68" t="s">
        <v>75</v>
      </c>
      <c r="B1" s="68"/>
      <c r="C1" s="68"/>
      <c r="D1" s="68"/>
      <c r="E1" s="68"/>
      <c r="F1" s="68"/>
    </row>
    <row r="3" spans="1:24">
      <c r="I3" s="76" t="s">
        <v>90</v>
      </c>
    </row>
    <row r="4" spans="1:24">
      <c r="B4" s="5" t="s">
        <v>2</v>
      </c>
    </row>
    <row r="5" spans="1:24" ht="13.5" thickBot="1">
      <c r="B5" s="2" t="s">
        <v>3</v>
      </c>
      <c r="C5" s="2" t="s">
        <v>4</v>
      </c>
      <c r="D5" s="2" t="s">
        <v>5</v>
      </c>
      <c r="E5" s="2" t="s">
        <v>6</v>
      </c>
      <c r="F5" s="1" t="s">
        <v>0</v>
      </c>
      <c r="G5" s="1" t="s">
        <v>1</v>
      </c>
      <c r="H5" s="3" t="s">
        <v>7</v>
      </c>
      <c r="I5" s="3" t="s">
        <v>8</v>
      </c>
      <c r="J5" s="3" t="s">
        <v>9</v>
      </c>
      <c r="K5" s="3" t="s">
        <v>10</v>
      </c>
      <c r="L5" s="3" t="s">
        <v>11</v>
      </c>
      <c r="M5" s="3" t="s">
        <v>12</v>
      </c>
      <c r="N5" s="3" t="s">
        <v>13</v>
      </c>
    </row>
    <row r="6" spans="1:24">
      <c r="D6" t="s">
        <v>18</v>
      </c>
      <c r="E6" s="21"/>
      <c r="G6" s="4">
        <v>0</v>
      </c>
      <c r="H6" t="s">
        <v>19</v>
      </c>
      <c r="I6" s="67" t="str">
        <f>X19&amp;","&amp;X20&amp;","&amp;X21&amp;","&amp;X22&amp;","&amp;X23&amp;","&amp;X24&amp;","&amp;X25&amp;","&amp;X26&amp;","&amp;X27&amp;","&amp;X28&amp;","&amp;X29&amp;","&amp;X30&amp;","&amp;X31&amp;","&amp;X32&amp;","&amp;X33&amp;","&amp;X34&amp;","&amp;X35&amp;","&amp;X36&amp;","&amp;X37&amp;","&amp;X38&amp;","&amp;X39&amp;","&amp;X40&amp;","&amp;X41&amp;","</f>
        <v>TB_ELCHIG_DE_LU_01,TB_ELCHIG_DE_NL_01,TB_ELCHIG_BE_NL_01,TB_ELCHIG_BE_FR_01,TB_ELCHIG_BE_LU_01,TB_ELCHIG_DE_FR_01,TB_ELCHIG_CZ_PL_01,TB_ELCHIG_CZ_SK_01,TB_ELCHIG_PL_SK_01,TB_ELCHIG_CZ_DE_01,TB_ELCHIG_HU_SK_01,TB_ELCHIG_AT_SI_01,TB_ELCHIG_CH_DE_01,TB_ELCHIG_IT_SI_01,TB_ELCHIG_CH_FR_01,TB_ELCHIG_AT_CZ_01,TB_ELCHIG_AT_DE_01,TB_ELCHIG_AT_CH_01,TB_ELCHIG_CH_IT_01,TB_ELCHIG_FR_IT_01,TB_ELCHIG_AT_HU_01,TB_ELCHIG_DE_PL_01,TB_ELCHIG_AT_IT_01,</v>
      </c>
    </row>
    <row r="7" spans="1:24">
      <c r="D7" s="10"/>
      <c r="E7" s="10"/>
      <c r="F7" s="10"/>
      <c r="G7" s="4"/>
    </row>
    <row r="8" spans="1:24">
      <c r="D8" s="10"/>
      <c r="E8" s="10"/>
      <c r="F8" s="10"/>
      <c r="G8" s="4"/>
    </row>
    <row r="9" spans="1:24">
      <c r="B9" s="5" t="s">
        <v>2</v>
      </c>
      <c r="G9" s="4"/>
    </row>
    <row r="10" spans="1:24" ht="13.5" thickBot="1">
      <c r="B10" s="2" t="s">
        <v>3</v>
      </c>
      <c r="C10" s="2" t="s">
        <v>4</v>
      </c>
      <c r="D10" s="2" t="s">
        <v>5</v>
      </c>
      <c r="E10" s="2" t="s">
        <v>6</v>
      </c>
      <c r="F10" s="1" t="s">
        <v>0</v>
      </c>
      <c r="G10" s="8" t="s">
        <v>1</v>
      </c>
      <c r="H10" s="3" t="s">
        <v>7</v>
      </c>
      <c r="I10" s="3" t="s">
        <v>8</v>
      </c>
      <c r="J10" s="3" t="s">
        <v>9</v>
      </c>
      <c r="K10" s="3" t="s">
        <v>10</v>
      </c>
      <c r="L10" s="3" t="s">
        <v>11</v>
      </c>
      <c r="M10" s="3" t="s">
        <v>12</v>
      </c>
      <c r="N10" s="3" t="s">
        <v>13</v>
      </c>
    </row>
    <row r="11" spans="1:24">
      <c r="C11" t="s">
        <v>124</v>
      </c>
      <c r="D11" t="s">
        <v>47</v>
      </c>
      <c r="E11" s="93" t="s">
        <v>131</v>
      </c>
      <c r="G11" s="4">
        <v>0</v>
      </c>
      <c r="H11" t="s">
        <v>19</v>
      </c>
      <c r="I11" t="str">
        <f>I6</f>
        <v>TB_ELCHIG_DE_LU_01,TB_ELCHIG_DE_NL_01,TB_ELCHIG_BE_NL_01,TB_ELCHIG_BE_FR_01,TB_ELCHIG_BE_LU_01,TB_ELCHIG_DE_FR_01,TB_ELCHIG_CZ_PL_01,TB_ELCHIG_CZ_SK_01,TB_ELCHIG_PL_SK_01,TB_ELCHIG_CZ_DE_01,TB_ELCHIG_HU_SK_01,TB_ELCHIG_AT_SI_01,TB_ELCHIG_CH_DE_01,TB_ELCHIG_IT_SI_01,TB_ELCHIG_CH_FR_01,TB_ELCHIG_AT_CZ_01,TB_ELCHIG_AT_DE_01,TB_ELCHIG_AT_CH_01,TB_ELCHIG_CH_IT_01,TB_ELCHIG_FR_IT_01,TB_ELCHIG_AT_HU_01,TB_ELCHIG_DE_PL_01,TB_ELCHIG_AT_IT_01,</v>
      </c>
    </row>
    <row r="12" spans="1:24">
      <c r="C12" t="s">
        <v>124</v>
      </c>
      <c r="D12" t="s">
        <v>47</v>
      </c>
      <c r="E12">
        <v>0</v>
      </c>
      <c r="F12" s="7"/>
      <c r="G12" s="4">
        <v>3</v>
      </c>
      <c r="H12" t="s">
        <v>19</v>
      </c>
      <c r="I12" t="str">
        <f>I11</f>
        <v>TB_ELCHIG_DE_LU_01,TB_ELCHIG_DE_NL_01,TB_ELCHIG_BE_NL_01,TB_ELCHIG_BE_FR_01,TB_ELCHIG_BE_LU_01,TB_ELCHIG_DE_FR_01,TB_ELCHIG_CZ_PL_01,TB_ELCHIG_CZ_SK_01,TB_ELCHIG_PL_SK_01,TB_ELCHIG_CZ_DE_01,TB_ELCHIG_HU_SK_01,TB_ELCHIG_AT_SI_01,TB_ELCHIG_CH_DE_01,TB_ELCHIG_IT_SI_01,TB_ELCHIG_CH_FR_01,TB_ELCHIG_AT_CZ_01,TB_ELCHIG_AT_DE_01,TB_ELCHIG_AT_CH_01,TB_ELCHIG_CH_IT_01,TB_ELCHIG_FR_IT_01,TB_ELCHIG_AT_HU_01,TB_ELCHIG_DE_PL_01,TB_ELCHIG_AT_IT_01,</v>
      </c>
    </row>
    <row r="15" spans="1:24">
      <c r="A15" s="20" t="s">
        <v>40</v>
      </c>
      <c r="D15" s="7"/>
      <c r="F15" s="7"/>
      <c r="G15" s="4"/>
    </row>
    <row r="16" spans="1:24">
      <c r="D16" s="7"/>
      <c r="F16" s="7"/>
      <c r="G16" s="4"/>
      <c r="X16" t="s">
        <v>140</v>
      </c>
    </row>
    <row r="17" spans="1:24" ht="13.5" thickBot="1">
      <c r="G17" s="4"/>
    </row>
    <row r="18" spans="1:24" ht="13.5" thickBot="1">
      <c r="B18" s="5" t="s">
        <v>2</v>
      </c>
      <c r="G18" s="4"/>
      <c r="W18" s="79" t="s">
        <v>89</v>
      </c>
      <c r="X18" s="80" t="s">
        <v>88</v>
      </c>
    </row>
    <row r="19" spans="1:24" ht="13.5" thickBot="1">
      <c r="B19" s="2" t="s">
        <v>3</v>
      </c>
      <c r="C19" s="2" t="s">
        <v>4</v>
      </c>
      <c r="D19" s="2" t="s">
        <v>5</v>
      </c>
      <c r="E19" s="2" t="s">
        <v>6</v>
      </c>
      <c r="F19" s="1" t="s">
        <v>0</v>
      </c>
      <c r="G19" s="8" t="s">
        <v>1</v>
      </c>
      <c r="H19" s="3" t="s">
        <v>7</v>
      </c>
      <c r="I19" s="3" t="s">
        <v>8</v>
      </c>
      <c r="J19" s="3" t="s">
        <v>9</v>
      </c>
      <c r="K19" s="3" t="s">
        <v>10</v>
      </c>
      <c r="L19" s="3" t="s">
        <v>11</v>
      </c>
      <c r="M19" s="3" t="s">
        <v>12</v>
      </c>
      <c r="N19" s="3" t="s">
        <v>13</v>
      </c>
      <c r="W19" s="77" t="str">
        <f>TechParams!I6</f>
        <v>GI-DE-N1-LU-N1</v>
      </c>
      <c r="X19" s="81" t="str">
        <f>"TB_ELCHIG_"&amp;MID(W19,4,2)&amp;"_"&amp;MID(W19,10,2)&amp;"_01"</f>
        <v>TB_ELCHIG_DE_LU_01</v>
      </c>
    </row>
    <row r="20" spans="1:24">
      <c r="A20" t="s">
        <v>21</v>
      </c>
      <c r="B20" t="s">
        <v>14</v>
      </c>
      <c r="D20" t="s">
        <v>15</v>
      </c>
      <c r="E20" t="s">
        <v>16</v>
      </c>
      <c r="F20" s="4"/>
      <c r="G20" s="4">
        <v>1</v>
      </c>
      <c r="H20" t="s">
        <v>19</v>
      </c>
      <c r="I20" t="s">
        <v>17</v>
      </c>
      <c r="M20" t="s">
        <v>39</v>
      </c>
      <c r="W20" s="77" t="str">
        <f>TechParams!I7</f>
        <v>GI-NL-N1-DE-N1</v>
      </c>
      <c r="X20" s="81" t="str">
        <f>"TB_ELCHIG_"&amp;MID(W20,10,2)&amp;"_"&amp;MID(W20,4,2)&amp;"_01"</f>
        <v>TB_ELCHIG_DE_NL_01</v>
      </c>
    </row>
    <row r="21" spans="1:24">
      <c r="F21" s="4"/>
      <c r="G21" s="4"/>
      <c r="W21" s="77" t="str">
        <f>TechParams!I8</f>
        <v>GI-NL-N1-BE-N1</v>
      </c>
      <c r="X21" s="81" t="str">
        <f>"TB_ELCHIG_"&amp;MID(W21,10,2)&amp;"_"&amp;MID(W21,4,2)&amp;"_01"</f>
        <v>TB_ELCHIG_BE_NL_01</v>
      </c>
    </row>
    <row r="22" spans="1:24">
      <c r="F22" s="4"/>
      <c r="G22" s="4"/>
      <c r="W22" s="77" t="str">
        <f>TechParams!I9</f>
        <v>GI-FR-N1-BE-N1</v>
      </c>
      <c r="X22" s="81" t="str">
        <f>"TB_ELCHIG_"&amp;MID(W22,10,2)&amp;"_"&amp;MID(W22,4,2)&amp;"_01"</f>
        <v>TB_ELCHIG_BE_FR_01</v>
      </c>
    </row>
    <row r="23" spans="1:24">
      <c r="W23" s="77" t="str">
        <f>TechParams!I10</f>
        <v>GI-BE-N1-LU-N1</v>
      </c>
      <c r="X23" s="81" t="str">
        <f>"TB_ELCHIG_"&amp;MID(W23,4,2)&amp;"_"&amp;MID(W23,10,2)&amp;"_01"</f>
        <v>TB_ELCHIG_BE_LU_01</v>
      </c>
    </row>
    <row r="24" spans="1:24">
      <c r="W24" s="77" t="str">
        <f>TechParams!I11</f>
        <v>GI-FR-N1-DE-N1</v>
      </c>
      <c r="X24" s="81" t="str">
        <f>"TB_ELCHIG_"&amp;MID(W24,10,2)&amp;"_"&amp;MID(W24,4,2)&amp;"_01"</f>
        <v>TB_ELCHIG_DE_FR_01</v>
      </c>
    </row>
    <row r="25" spans="1:24">
      <c r="W25" s="77" t="str">
        <f>TechParams!I12</f>
        <v>GI-PL-N1-CZ-N1</v>
      </c>
      <c r="X25" s="81" t="str">
        <f>"TB_ELCHIG_"&amp;MID(W25,10,2)&amp;"_"&amp;MID(W25,4,2)&amp;"_01"</f>
        <v>TB_ELCHIG_CZ_PL_01</v>
      </c>
    </row>
    <row r="26" spans="1:24">
      <c r="W26" s="77" t="str">
        <f>TechParams!I13</f>
        <v>GI-SK-N1-CZ-N1</v>
      </c>
      <c r="X26" s="81" t="str">
        <f>"TB_ELCHIG_"&amp;MID(W26,10,2)&amp;"_"&amp;MID(W26,4,2)&amp;"_01"</f>
        <v>TB_ELCHIG_CZ_SK_01</v>
      </c>
    </row>
    <row r="27" spans="1:24">
      <c r="W27" s="77" t="str">
        <f>TechParams!I14</f>
        <v>GI-PL-N1-SK-N1</v>
      </c>
      <c r="X27" s="81" t="str">
        <f>"TB_ELCHIG_"&amp;MID(W27,4,2)&amp;"_"&amp;MID(W27,10,2)&amp;"_01"</f>
        <v>TB_ELCHIG_PL_SK_01</v>
      </c>
    </row>
    <row r="28" spans="1:24">
      <c r="W28" s="77" t="str">
        <f>TechParams!I15</f>
        <v>GI-DE-N1-CZ-N1</v>
      </c>
      <c r="X28" s="81" t="str">
        <f>"TB_ELCHIG_"&amp;MID(W28,10,2)&amp;"_"&amp;MID(W28,4,2)&amp;"_01"</f>
        <v>TB_ELCHIG_CZ_DE_01</v>
      </c>
    </row>
    <row r="29" spans="1:24">
      <c r="W29" s="77" t="str">
        <f>TechParams!I16</f>
        <v>GI-SK-N1-HU-N1</v>
      </c>
      <c r="X29" s="81" t="str">
        <f>"TB_ELCHIG_"&amp;MID(W29,10,2)&amp;"_"&amp;MID(W29,4,2)&amp;"_01"</f>
        <v>TB_ELCHIG_HU_SK_01</v>
      </c>
    </row>
    <row r="30" spans="1:24">
      <c r="W30" s="77" t="str">
        <f>TechParams!I17</f>
        <v>GI-SI-N1-AT-N1</v>
      </c>
      <c r="X30" s="81" t="str">
        <f>"TB_ELCHIG_"&amp;MID(W30,10,2)&amp;"_"&amp;MID(W30,4,2)&amp;"_01"</f>
        <v>TB_ELCHIG_AT_SI_01</v>
      </c>
    </row>
    <row r="31" spans="1:24">
      <c r="W31" s="77" t="str">
        <f>TechParams!I18</f>
        <v>GI-CH-N1-DE-N1</v>
      </c>
      <c r="X31" s="81" t="str">
        <f>"TB_ELCHIG_"&amp;MID(W31,4,2)&amp;"_"&amp;MID(W31,10,2)&amp;"_01"</f>
        <v>TB_ELCHIG_CH_DE_01</v>
      </c>
    </row>
    <row r="32" spans="1:24">
      <c r="W32" s="77" t="str">
        <f>TechParams!I19</f>
        <v>GI-IT-N1-SI-N1</v>
      </c>
      <c r="X32" s="81" t="str">
        <f>"TB_ELCHIG_"&amp;MID(W32,4,2)&amp;"_"&amp;MID(W32,10,2)&amp;"_01"</f>
        <v>TB_ELCHIG_IT_SI_01</v>
      </c>
    </row>
    <row r="33" spans="2:24">
      <c r="W33" s="77" t="str">
        <f>TechParams!I20</f>
        <v>GI-FR-N1-CH-N1</v>
      </c>
      <c r="X33" s="81" t="str">
        <f>"TB_ELCHIG_"&amp;MID(W33,10,2)&amp;"_"&amp;MID(W33,4,2)&amp;"_01"</f>
        <v>TB_ELCHIG_CH_FR_01</v>
      </c>
    </row>
    <row r="34" spans="2:24">
      <c r="B34" s="5" t="s">
        <v>46</v>
      </c>
      <c r="W34" s="77" t="str">
        <f>TechParams!I21</f>
        <v>GI-AT-N1-CZ-N1</v>
      </c>
      <c r="X34" s="81" t="str">
        <f>"TB_ELCHIG_"&amp;MID(W34,4,2)&amp;"_"&amp;MID(W34,10,2)&amp;"_01"</f>
        <v>TB_ELCHIG_AT_CZ_01</v>
      </c>
    </row>
    <row r="35" spans="2:24" ht="13.5" thickBot="1">
      <c r="B35" s="11" t="s">
        <v>3</v>
      </c>
      <c r="C35" s="11" t="s">
        <v>4</v>
      </c>
      <c r="D35" s="11" t="s">
        <v>5</v>
      </c>
      <c r="E35" s="11" t="s">
        <v>6</v>
      </c>
      <c r="F35" s="11" t="s">
        <v>1</v>
      </c>
      <c r="W35" s="77" t="str">
        <f>TechParams!I22</f>
        <v>GI-DE-N1-AT-N1</v>
      </c>
      <c r="X35" s="81" t="str">
        <f>"TB_ELCHIG_"&amp;MID(W35,10,2)&amp;"_"&amp;MID(W35,4,2)&amp;"_01"</f>
        <v>TB_ELCHIG_AT_DE_01</v>
      </c>
    </row>
    <row r="36" spans="2:24">
      <c r="B36" s="89" t="s">
        <v>116</v>
      </c>
      <c r="C36" s="89" t="s">
        <v>116</v>
      </c>
      <c r="D36" t="s">
        <v>22</v>
      </c>
      <c r="E36" s="88" t="s">
        <v>117</v>
      </c>
      <c r="F36" s="88" t="s">
        <v>118</v>
      </c>
      <c r="W36" s="77" t="str">
        <f>TechParams!I23</f>
        <v>GI-CH-N1-AT-N1</v>
      </c>
      <c r="X36" s="81" t="str">
        <f>"TB_ELCHIG_"&amp;MID(W36,10,2)&amp;"_"&amp;MID(W36,4,2)&amp;"_01"</f>
        <v>TB_ELCHIG_AT_CH_01</v>
      </c>
    </row>
    <row r="37" spans="2:24">
      <c r="D37" t="s">
        <v>25</v>
      </c>
      <c r="E37" s="87">
        <v>0</v>
      </c>
      <c r="F37" s="87">
        <v>3</v>
      </c>
      <c r="W37" s="77" t="str">
        <f>TechParams!I24</f>
        <v>GI-CH-N1-IT-N1</v>
      </c>
      <c r="X37" s="81" t="str">
        <f>"TB_ELCHIG_"&amp;MID(W37,4,2)&amp;"_"&amp;MID(W37,10,2)&amp;"_01"</f>
        <v>TB_ELCHIG_CH_IT_01</v>
      </c>
    </row>
    <row r="38" spans="2:24">
      <c r="D38" t="s">
        <v>29</v>
      </c>
      <c r="E38" s="87">
        <v>0</v>
      </c>
      <c r="F38" s="87">
        <v>3</v>
      </c>
      <c r="W38" s="77" t="str">
        <f>TechParams!I25</f>
        <v>GI-FR-N1-IT-N1</v>
      </c>
      <c r="X38" s="81" t="str">
        <f>"TB_ELCHIG_"&amp;MID(W38,4,2)&amp;"_"&amp;MID(W38,10,2)&amp;"_01"</f>
        <v>TB_ELCHIG_FR_IT_01</v>
      </c>
    </row>
    <row r="39" spans="2:24">
      <c r="W39" s="77" t="str">
        <f>TechParams!I26</f>
        <v>GI-AT-N1-HU-N1</v>
      </c>
      <c r="X39" s="81" t="str">
        <f>"TB_ELCHIG_"&amp;MID(W39,4,2)&amp;"_"&amp;MID(W39,10,2)&amp;"_01"</f>
        <v>TB_ELCHIG_AT_HU_01</v>
      </c>
    </row>
    <row r="40" spans="2:24" ht="15.75">
      <c r="D40" s="92"/>
      <c r="W40" s="77" t="str">
        <f>TechParams!I27</f>
        <v>GI-DE-N1-PL-N1</v>
      </c>
      <c r="X40" s="81" t="str">
        <f>"TB_ELCHIG_"&amp;MID(W40,4,2)&amp;"_"&amp;MID(W40,10,2)&amp;"_01"</f>
        <v>TB_ELCHIG_DE_PL_01</v>
      </c>
    </row>
    <row r="41" spans="2:24" ht="16.5" thickBot="1">
      <c r="D41" s="92"/>
      <c r="W41" s="78" t="str">
        <f>TechParams!I28</f>
        <v>GI-AT-N1-IT-N1</v>
      </c>
      <c r="X41" s="82" t="str">
        <f>"TB_ELCHIG_"&amp;MID(W41,4,2)&amp;"_"&amp;MID(W41,10,2)&amp;"_01"</f>
        <v>TB_ELCHIG_AT_IT_01</v>
      </c>
    </row>
    <row r="42" spans="2:24" ht="15.75">
      <c r="D42" s="92"/>
    </row>
  </sheetData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Z200"/>
  <sheetViews>
    <sheetView zoomScale="85" zoomScaleNormal="85" workbookViewId="0">
      <pane xSplit="5" ySplit="4" topLeftCell="F26" activePane="bottomRight" state="frozen"/>
      <selection pane="topRight" activeCell="F1" sqref="F1"/>
      <selection pane="bottomLeft" activeCell="A5" sqref="A5"/>
      <selection pane="bottomRight" activeCell="G105" sqref="G105"/>
    </sheetView>
  </sheetViews>
  <sheetFormatPr defaultRowHeight="12.75"/>
  <cols>
    <col min="1" max="1" width="27.5703125" customWidth="1"/>
    <col min="3" max="3" width="5.85546875" customWidth="1"/>
    <col min="4" max="4" width="13.42578125" customWidth="1"/>
    <col min="5" max="5" width="21.7109375" style="4" customWidth="1"/>
    <col min="6" max="6" width="14.5703125" bestFit="1" customWidth="1"/>
    <col min="7" max="7" width="13.42578125" style="4" customWidth="1"/>
    <col min="9" max="9" width="15" bestFit="1" customWidth="1"/>
    <col min="11" max="11" width="13.28515625" style="4" customWidth="1"/>
    <col min="12" max="12" width="14" customWidth="1"/>
    <col min="20" max="20" width="15.42578125" customWidth="1"/>
    <col min="21" max="21" width="21.28515625" style="4" customWidth="1"/>
    <col min="22" max="22" width="26.85546875" style="4" customWidth="1"/>
    <col min="25" max="25" width="14.28515625" customWidth="1"/>
    <col min="26" max="26" width="13.28515625" customWidth="1"/>
  </cols>
  <sheetData>
    <row r="1" spans="1:33">
      <c r="A1" s="20" t="s">
        <v>44</v>
      </c>
    </row>
    <row r="3" spans="1:33">
      <c r="B3" s="5" t="s">
        <v>2</v>
      </c>
      <c r="H3" s="4"/>
      <c r="I3" s="4"/>
      <c r="J3" s="4"/>
    </row>
    <row r="4" spans="1:33" ht="13.5" thickBot="1">
      <c r="B4" s="11" t="s">
        <v>3</v>
      </c>
      <c r="C4" s="11" t="s">
        <v>4</v>
      </c>
      <c r="D4" s="11" t="s">
        <v>5</v>
      </c>
      <c r="E4" s="26" t="s">
        <v>6</v>
      </c>
      <c r="F4" s="11" t="s">
        <v>0</v>
      </c>
      <c r="G4" s="26" t="s">
        <v>1</v>
      </c>
      <c r="H4" s="26" t="s">
        <v>7</v>
      </c>
      <c r="I4" s="26" t="s">
        <v>8</v>
      </c>
      <c r="J4" s="11" t="s">
        <v>9</v>
      </c>
      <c r="K4" s="11" t="s">
        <v>10</v>
      </c>
      <c r="L4" s="11" t="s">
        <v>11</v>
      </c>
      <c r="M4" s="11" t="s">
        <v>12</v>
      </c>
      <c r="N4" s="11" t="s">
        <v>13</v>
      </c>
    </row>
    <row r="5" spans="1:33" ht="13.5" thickBot="1">
      <c r="A5" s="66" t="s">
        <v>48</v>
      </c>
      <c r="B5" s="44"/>
      <c r="C5" s="44"/>
      <c r="D5" s="44" t="s">
        <v>32</v>
      </c>
      <c r="E5" s="45"/>
      <c r="F5" s="44"/>
      <c r="G5" s="58">
        <v>31.536000000000001</v>
      </c>
      <c r="H5" s="46" t="s">
        <v>19</v>
      </c>
      <c r="I5" s="46" t="s">
        <v>35</v>
      </c>
      <c r="J5" s="10"/>
      <c r="K5" s="10"/>
      <c r="L5" s="10"/>
      <c r="M5" s="10"/>
      <c r="N5" s="10"/>
      <c r="AB5" s="10"/>
      <c r="AC5" s="10"/>
      <c r="AD5" s="10"/>
      <c r="AE5" s="10"/>
      <c r="AF5" s="10"/>
      <c r="AG5" s="10"/>
    </row>
    <row r="6" spans="1:33" ht="13.5" thickTop="1">
      <c r="A6" s="54" t="s">
        <v>73</v>
      </c>
      <c r="B6" s="55"/>
      <c r="C6" s="55"/>
      <c r="D6" s="56" t="s">
        <v>30</v>
      </c>
      <c r="E6" s="91" t="s">
        <v>114</v>
      </c>
      <c r="F6" s="55"/>
      <c r="G6" s="57">
        <v>58.5</v>
      </c>
      <c r="H6" s="57" t="str">
        <f>IF('[1]EF1-UPD'!$C2=H$4,'[1]EF1-UPD'!$J2,IF('[1]EF1-UPD'!$E2=H$4,'[1]EF1-UPD'!$J2,""))</f>
        <v/>
      </c>
      <c r="I6" s="39" t="str">
        <f>[1]UNI_Grid!G4</f>
        <v>GI-DE-N1-LU-N1</v>
      </c>
      <c r="J6" s="10"/>
      <c r="K6" s="10"/>
      <c r="L6" s="10"/>
      <c r="M6" s="10"/>
      <c r="N6" s="10"/>
      <c r="AB6" s="10"/>
      <c r="AC6" s="10"/>
      <c r="AD6" s="10"/>
      <c r="AE6" s="10"/>
      <c r="AF6" s="10"/>
      <c r="AG6" s="10"/>
    </row>
    <row r="7" spans="1:33">
      <c r="A7" s="55"/>
      <c r="B7" s="55"/>
      <c r="C7" s="55"/>
      <c r="D7" s="56" t="s">
        <v>30</v>
      </c>
      <c r="E7" s="91" t="s">
        <v>114</v>
      </c>
      <c r="F7" s="55"/>
      <c r="G7" s="57">
        <v>12.2</v>
      </c>
      <c r="H7" s="57" t="str">
        <f>IF('[1]EF1-UPD'!$C3=H$4,'[1]EF1-UPD'!$J3,IF('[1]EF1-UPD'!$E3=H$4,'[1]EF1-UPD'!$J3,""))</f>
        <v/>
      </c>
      <c r="I7" s="39" t="str">
        <f>[1]UNI_Grid!G5</f>
        <v>GI-NL-N1-DE-N1</v>
      </c>
      <c r="J7" s="10"/>
      <c r="K7" s="10"/>
      <c r="L7" s="10"/>
      <c r="M7" s="10"/>
      <c r="N7" s="10"/>
      <c r="AB7" s="10"/>
      <c r="AC7" s="10"/>
      <c r="AD7" s="10"/>
      <c r="AE7" s="10"/>
      <c r="AF7" s="10"/>
      <c r="AG7" s="10"/>
    </row>
    <row r="8" spans="1:33">
      <c r="A8" s="55"/>
      <c r="B8" s="55"/>
      <c r="C8" s="55"/>
      <c r="D8" s="56" t="s">
        <v>30</v>
      </c>
      <c r="E8" s="91" t="s">
        <v>114</v>
      </c>
      <c r="F8" s="55"/>
      <c r="G8" s="57">
        <v>24.4</v>
      </c>
      <c r="H8" s="57" t="str">
        <f>IF('[1]EF1-UPD'!$C4=H$4,'[1]EF1-UPD'!$J4,IF('[1]EF1-UPD'!$E4=H$4,'[1]EF1-UPD'!$J4,""))</f>
        <v/>
      </c>
      <c r="I8" s="39" t="str">
        <f>[1]UNI_Grid!G6</f>
        <v>GI-NL-N1-BE-N1</v>
      </c>
      <c r="J8" s="10"/>
      <c r="K8" s="10"/>
      <c r="L8" s="10"/>
      <c r="M8" s="10"/>
      <c r="N8" s="10"/>
      <c r="AB8" s="10"/>
      <c r="AC8" s="10"/>
      <c r="AD8" s="10"/>
      <c r="AE8" s="10"/>
      <c r="AF8" s="10"/>
      <c r="AG8" s="10"/>
    </row>
    <row r="9" spans="1:33">
      <c r="A9" s="55"/>
      <c r="B9" s="55"/>
      <c r="C9" s="55"/>
      <c r="D9" s="56" t="s">
        <v>30</v>
      </c>
      <c r="E9" s="91" t="s">
        <v>114</v>
      </c>
      <c r="F9" s="55"/>
      <c r="G9" s="57">
        <v>11.4</v>
      </c>
      <c r="H9" s="57" t="str">
        <f>IF('[1]EF1-UPD'!$C5=H$4,'[1]EF1-UPD'!$J5,IF('[1]EF1-UPD'!$E5=H$4,'[1]EF1-UPD'!$J5,""))</f>
        <v/>
      </c>
      <c r="I9" s="39" t="str">
        <f>[1]UNI_Grid!G7</f>
        <v>GI-FR-N1-BE-N1</v>
      </c>
      <c r="J9" s="10"/>
      <c r="K9" s="10"/>
      <c r="L9" s="10"/>
      <c r="M9" s="10"/>
      <c r="N9" s="10"/>
      <c r="AB9" s="10"/>
      <c r="AC9" s="10"/>
      <c r="AD9" s="10"/>
      <c r="AE9" s="10"/>
      <c r="AF9" s="10"/>
      <c r="AG9" s="10"/>
    </row>
    <row r="10" spans="1:33">
      <c r="A10" s="55"/>
      <c r="B10" s="55"/>
      <c r="C10" s="55"/>
      <c r="D10" s="56" t="s">
        <v>30</v>
      </c>
      <c r="E10" s="91" t="s">
        <v>114</v>
      </c>
      <c r="F10" s="55"/>
      <c r="G10" s="57">
        <v>200.3</v>
      </c>
      <c r="H10" s="57" t="str">
        <f>IF('[1]EF1-UPD'!$C6=H$4,'[1]EF1-UPD'!$J6,IF('[1]EF1-UPD'!$E6=H$4,'[1]EF1-UPD'!$J6,""))</f>
        <v/>
      </c>
      <c r="I10" s="39" t="str">
        <f>[1]UNI_Grid!G8</f>
        <v>GI-BE-N1-LU-N1</v>
      </c>
      <c r="J10" s="10"/>
      <c r="K10" s="10"/>
      <c r="L10" s="10"/>
      <c r="M10" s="10"/>
      <c r="N10" s="10"/>
      <c r="AB10" s="10"/>
      <c r="AC10" s="10"/>
      <c r="AD10" s="10"/>
      <c r="AE10" s="10"/>
      <c r="AF10" s="10"/>
      <c r="AG10" s="10"/>
    </row>
    <row r="11" spans="1:33">
      <c r="A11" s="55"/>
      <c r="B11" s="55"/>
      <c r="C11" s="55"/>
      <c r="D11" s="56" t="s">
        <v>30</v>
      </c>
      <c r="E11" s="91" t="s">
        <v>114</v>
      </c>
      <c r="F11" s="55"/>
      <c r="G11" s="57">
        <v>22.3</v>
      </c>
      <c r="H11" s="57" t="str">
        <f>IF('[1]EF1-UPD'!$C7=H$4,'[1]EF1-UPD'!$J7,IF('[1]EF1-UPD'!$E7=H$4,'[1]EF1-UPD'!$J7,""))</f>
        <v/>
      </c>
      <c r="I11" s="39" t="str">
        <f>[1]UNI_Grid!G9</f>
        <v>GI-FR-N1-DE-N1</v>
      </c>
      <c r="J11" s="10"/>
      <c r="K11" s="10"/>
      <c r="L11" s="10"/>
      <c r="M11" s="10"/>
      <c r="N11" s="10"/>
      <c r="AB11" s="10"/>
      <c r="AC11" s="10"/>
      <c r="AD11" s="10"/>
      <c r="AE11" s="10"/>
      <c r="AF11" s="10"/>
      <c r="AG11" s="10"/>
    </row>
    <row r="12" spans="1:33">
      <c r="A12" s="55"/>
      <c r="B12" s="55"/>
      <c r="C12" s="55"/>
      <c r="D12" s="56" t="s">
        <v>30</v>
      </c>
      <c r="E12" s="91" t="s">
        <v>114</v>
      </c>
      <c r="F12" s="55"/>
      <c r="G12" s="57">
        <v>10.7</v>
      </c>
      <c r="H12" s="57" t="str">
        <f>IF('[1]EF1-UPD'!$C8=H$4,'[1]EF1-UPD'!$J8,IF('[1]EF1-UPD'!$E8=H$4,'[1]EF1-UPD'!$J8,""))</f>
        <v/>
      </c>
      <c r="I12" s="39" t="str">
        <f>[1]UNI_Grid!G10</f>
        <v>GI-PL-N1-CZ-N1</v>
      </c>
      <c r="J12" s="10"/>
      <c r="K12" s="10"/>
      <c r="L12" s="10"/>
      <c r="M12" s="10"/>
      <c r="N12" s="10"/>
      <c r="AB12" s="10"/>
      <c r="AC12" s="10"/>
      <c r="AD12" s="10"/>
      <c r="AE12" s="10"/>
      <c r="AF12" s="10"/>
      <c r="AG12" s="10"/>
    </row>
    <row r="13" spans="1:33">
      <c r="A13" s="55"/>
      <c r="B13" s="55"/>
      <c r="C13" s="55"/>
      <c r="D13" s="56" t="s">
        <v>30</v>
      </c>
      <c r="E13" s="91" t="s">
        <v>114</v>
      </c>
      <c r="F13" s="55"/>
      <c r="G13" s="57">
        <v>15.9</v>
      </c>
      <c r="H13" s="57" t="str">
        <f>IF('[1]EF1-UPD'!$C9=H$4,'[1]EF1-UPD'!$J9,IF('[1]EF1-UPD'!$E9=H$4,'[1]EF1-UPD'!$J9,""))</f>
        <v/>
      </c>
      <c r="I13" s="39" t="str">
        <f>[1]UNI_Grid!G11</f>
        <v>GI-SK-N1-CZ-N1</v>
      </c>
      <c r="J13" s="10"/>
      <c r="K13" s="10"/>
      <c r="L13" s="10"/>
      <c r="M13" s="10"/>
      <c r="N13" s="10"/>
      <c r="AB13" s="10"/>
      <c r="AC13" s="10"/>
      <c r="AD13" s="10"/>
      <c r="AE13" s="10"/>
      <c r="AF13" s="10"/>
      <c r="AG13" s="10"/>
    </row>
    <row r="14" spans="1:33">
      <c r="A14" s="55"/>
      <c r="B14" s="55"/>
      <c r="C14" s="55"/>
      <c r="D14" s="56" t="s">
        <v>30</v>
      </c>
      <c r="E14" s="91" t="s">
        <v>114</v>
      </c>
      <c r="F14" s="55"/>
      <c r="G14" s="57">
        <v>79.599999999999994</v>
      </c>
      <c r="H14" s="57" t="str">
        <f>IF('[1]EF1-UPD'!$C10=H$4,'[1]EF1-UPD'!$J10,IF('[1]EF1-UPD'!$E10=H$4,'[1]EF1-UPD'!$J10,""))</f>
        <v/>
      </c>
      <c r="I14" s="39" t="str">
        <f>[1]UNI_Grid!G12</f>
        <v>GI-PL-N1-SK-N1</v>
      </c>
      <c r="J14" s="10"/>
      <c r="K14" s="10"/>
      <c r="L14" s="10"/>
      <c r="M14" s="10"/>
      <c r="N14" s="10"/>
      <c r="AB14" s="10"/>
      <c r="AC14" s="10"/>
      <c r="AD14" s="10"/>
      <c r="AE14" s="10"/>
      <c r="AF14" s="10"/>
      <c r="AG14" s="10"/>
    </row>
    <row r="15" spans="1:33">
      <c r="A15" s="55"/>
      <c r="B15" s="55"/>
      <c r="C15" s="55"/>
      <c r="D15" s="56" t="s">
        <v>30</v>
      </c>
      <c r="E15" s="91" t="s">
        <v>114</v>
      </c>
      <c r="F15" s="55"/>
      <c r="G15" s="57">
        <v>21.5</v>
      </c>
      <c r="H15" s="57" t="str">
        <f>IF('[1]EF1-UPD'!$C11=H$4,'[1]EF1-UPD'!$J11,IF('[1]EF1-UPD'!$E11=H$4,'[1]EF1-UPD'!$J11,""))</f>
        <v/>
      </c>
      <c r="I15" s="39" t="str">
        <f>[1]UNI_Grid!G13</f>
        <v>GI-DE-N1-CZ-N1</v>
      </c>
      <c r="J15" s="10"/>
      <c r="K15" s="10"/>
      <c r="L15" s="10"/>
      <c r="M15" s="10"/>
      <c r="N15" s="10"/>
      <c r="AB15" s="10"/>
      <c r="AC15" s="10"/>
      <c r="AD15" s="10"/>
      <c r="AE15" s="10"/>
      <c r="AF15" s="10"/>
      <c r="AG15" s="10"/>
    </row>
    <row r="16" spans="1:33">
      <c r="A16" s="55"/>
      <c r="B16" s="55"/>
      <c r="C16" s="55"/>
      <c r="D16" s="56" t="s">
        <v>30</v>
      </c>
      <c r="E16" s="91" t="s">
        <v>114</v>
      </c>
      <c r="F16" s="55"/>
      <c r="G16" s="57">
        <v>18.100000000000001</v>
      </c>
      <c r="H16" s="57" t="str">
        <f>IF('[1]EF1-UPD'!$C12=H$4,'[1]EF1-UPD'!$J12,IF('[1]EF1-UPD'!$E12=H$4,'[1]EF1-UPD'!$J12,""))</f>
        <v/>
      </c>
      <c r="I16" s="39" t="str">
        <f>[1]UNI_Grid!G14</f>
        <v>GI-SK-N1-HU-N1</v>
      </c>
      <c r="J16" s="10"/>
      <c r="K16" s="10"/>
      <c r="L16" s="10"/>
      <c r="M16" s="10"/>
      <c r="N16" s="10"/>
      <c r="AB16" s="10"/>
      <c r="AC16" s="10"/>
      <c r="AD16" s="10"/>
      <c r="AE16" s="10"/>
      <c r="AF16" s="10"/>
      <c r="AG16" s="10"/>
    </row>
    <row r="17" spans="1:33">
      <c r="A17" s="55"/>
      <c r="B17" s="55"/>
      <c r="C17" s="55"/>
      <c r="D17" s="56" t="s">
        <v>30</v>
      </c>
      <c r="E17" s="91" t="s">
        <v>114</v>
      </c>
      <c r="F17" s="55"/>
      <c r="G17" s="57">
        <v>95</v>
      </c>
      <c r="H17" s="57" t="str">
        <f>IF('[1]EF1-UPD'!$C13=H$4,'[1]EF1-UPD'!$J13,IF('[1]EF1-UPD'!$E13=H$4,'[1]EF1-UPD'!$J13,""))</f>
        <v/>
      </c>
      <c r="I17" s="39" t="str">
        <f>[1]UNI_Grid!G15</f>
        <v>GI-SI-N1-AT-N1</v>
      </c>
      <c r="J17" s="10"/>
      <c r="K17" s="10"/>
      <c r="L17" s="10"/>
      <c r="M17" s="10"/>
      <c r="N17" s="10"/>
      <c r="AB17" s="10"/>
      <c r="AC17" s="10"/>
      <c r="AD17" s="10"/>
      <c r="AE17" s="10"/>
      <c r="AF17" s="10"/>
      <c r="AG17" s="10"/>
    </row>
    <row r="18" spans="1:33">
      <c r="A18" s="55"/>
      <c r="B18" s="55"/>
      <c r="C18" s="55"/>
      <c r="D18" s="56" t="s">
        <v>30</v>
      </c>
      <c r="E18" s="91" t="s">
        <v>114</v>
      </c>
      <c r="F18" s="55"/>
      <c r="G18" s="57">
        <v>11.2</v>
      </c>
      <c r="H18" s="57" t="str">
        <f>IF('[1]EF1-UPD'!$C14=H$4,'[1]EF1-UPD'!$J14,IF('[1]EF1-UPD'!$E14=H$4,'[1]EF1-UPD'!$J14,""))</f>
        <v/>
      </c>
      <c r="I18" s="39" t="str">
        <f>[1]UNI_Grid!G16</f>
        <v>GI-CH-N1-DE-N1</v>
      </c>
      <c r="J18" s="10"/>
      <c r="K18" s="10"/>
      <c r="L18" s="10"/>
      <c r="M18" s="10"/>
      <c r="N18" s="10"/>
      <c r="AB18" s="10"/>
      <c r="AC18" s="10"/>
      <c r="AD18" s="10"/>
      <c r="AE18" s="10"/>
      <c r="AF18" s="10"/>
      <c r="AG18" s="10"/>
    </row>
    <row r="19" spans="1:33">
      <c r="A19" s="55"/>
      <c r="B19" s="55"/>
      <c r="C19" s="55"/>
      <c r="D19" s="56" t="s">
        <v>30</v>
      </c>
      <c r="E19" s="91" t="s">
        <v>114</v>
      </c>
      <c r="F19" s="55"/>
      <c r="G19" s="57">
        <v>114.6</v>
      </c>
      <c r="H19" s="57" t="str">
        <f>IF('[1]EF1-UPD'!$C15=H$4,'[1]EF1-UPD'!$J15,IF('[1]EF1-UPD'!$E15=H$4,'[1]EF1-UPD'!$J15,""))</f>
        <v/>
      </c>
      <c r="I19" s="39" t="str">
        <f>[1]UNI_Grid!G17</f>
        <v>GI-IT-N1-SI-N1</v>
      </c>
      <c r="J19" s="10"/>
      <c r="K19" s="10"/>
      <c r="L19" s="10"/>
      <c r="M19" s="10"/>
      <c r="N19" s="10"/>
      <c r="AB19" s="10"/>
      <c r="AC19" s="10"/>
      <c r="AD19" s="10"/>
      <c r="AE19" s="10"/>
      <c r="AF19" s="10"/>
      <c r="AG19" s="10"/>
    </row>
    <row r="20" spans="1:33">
      <c r="A20" s="55"/>
      <c r="B20" s="55"/>
      <c r="C20" s="55"/>
      <c r="D20" s="56" t="s">
        <v>30</v>
      </c>
      <c r="E20" s="91" t="s">
        <v>114</v>
      </c>
      <c r="F20" s="55"/>
      <c r="G20" s="57">
        <v>12.9</v>
      </c>
      <c r="H20" s="57" t="str">
        <f>IF('[1]EF1-UPD'!$C16=H$4,'[1]EF1-UPD'!$J16,IF('[1]EF1-UPD'!$E16=H$4,'[1]EF1-UPD'!$J16,""))</f>
        <v/>
      </c>
      <c r="I20" s="39" t="str">
        <f>[1]UNI_Grid!G18</f>
        <v>GI-FR-N1-CH-N1</v>
      </c>
      <c r="J20" s="10"/>
      <c r="K20" s="10"/>
      <c r="L20" s="10"/>
      <c r="M20" s="10"/>
      <c r="N20" s="10"/>
      <c r="AB20" s="10"/>
      <c r="AC20" s="10"/>
      <c r="AD20" s="10"/>
      <c r="AE20" s="10"/>
      <c r="AF20" s="10"/>
      <c r="AG20" s="10"/>
    </row>
    <row r="21" spans="1:33">
      <c r="A21" s="55"/>
      <c r="B21" s="55"/>
      <c r="C21" s="55"/>
      <c r="D21" s="56" t="s">
        <v>30</v>
      </c>
      <c r="E21" s="91" t="s">
        <v>114</v>
      </c>
      <c r="F21" s="55"/>
      <c r="G21" s="57">
        <v>21.8</v>
      </c>
      <c r="H21" s="57" t="str">
        <f>IF('[1]EF1-UPD'!$C17=H$4,'[1]EF1-UPD'!$J17,IF('[1]EF1-UPD'!$E17=H$4,'[1]EF1-UPD'!$J17,""))</f>
        <v/>
      </c>
      <c r="I21" s="39" t="str">
        <f>[1]UNI_Grid!G19</f>
        <v>GI-AT-N1-CZ-N1</v>
      </c>
      <c r="J21" s="10"/>
      <c r="K21" s="10"/>
      <c r="L21" s="10"/>
      <c r="M21" s="10"/>
      <c r="N21" s="10"/>
      <c r="AB21" s="10"/>
      <c r="AC21" s="10"/>
      <c r="AD21" s="10"/>
      <c r="AE21" s="10"/>
      <c r="AF21" s="10"/>
      <c r="AG21" s="10"/>
    </row>
    <row r="22" spans="1:33">
      <c r="A22" s="55"/>
      <c r="B22" s="55"/>
      <c r="C22" s="55"/>
      <c r="D22" s="56" t="s">
        <v>30</v>
      </c>
      <c r="E22" s="91" t="s">
        <v>114</v>
      </c>
      <c r="F22" s="55"/>
      <c r="G22" s="57">
        <v>8.4</v>
      </c>
      <c r="H22" s="57" t="str">
        <f>IF('[1]EF1-UPD'!$C18=H$4,'[1]EF1-UPD'!$J18,IF('[1]EF1-UPD'!$E18=H$4,'[1]EF1-UPD'!$J18,""))</f>
        <v/>
      </c>
      <c r="I22" s="39" t="str">
        <f>[1]UNI_Grid!G20</f>
        <v>GI-DE-N1-AT-N1</v>
      </c>
      <c r="J22" s="10"/>
      <c r="K22" s="10"/>
      <c r="L22" s="10"/>
      <c r="M22" s="10"/>
      <c r="N22" s="10"/>
      <c r="AB22" s="10"/>
      <c r="AC22" s="10"/>
      <c r="AD22" s="10"/>
      <c r="AE22" s="10"/>
      <c r="AF22" s="10"/>
      <c r="AG22" s="10"/>
    </row>
    <row r="23" spans="1:33">
      <c r="A23" s="55"/>
      <c r="B23" s="55"/>
      <c r="C23" s="55"/>
      <c r="D23" s="56" t="s">
        <v>30</v>
      </c>
      <c r="E23" s="91" t="s">
        <v>114</v>
      </c>
      <c r="F23" s="55"/>
      <c r="G23" s="57">
        <v>47.1</v>
      </c>
      <c r="H23" s="57" t="str">
        <f>IF('[1]EF1-UPD'!$C19=H$4,'[1]EF1-UPD'!$J19,IF('[1]EF1-UPD'!$E19=H$4,'[1]EF1-UPD'!$J19,""))</f>
        <v/>
      </c>
      <c r="I23" s="39" t="str">
        <f>[1]UNI_Grid!G21</f>
        <v>GI-CH-N1-AT-N1</v>
      </c>
      <c r="J23" s="10"/>
      <c r="K23" s="10"/>
      <c r="L23" s="10"/>
      <c r="M23" s="10"/>
      <c r="N23" s="10"/>
      <c r="AB23" s="10"/>
      <c r="AC23" s="10"/>
      <c r="AD23" s="10"/>
      <c r="AE23" s="10"/>
      <c r="AF23" s="10"/>
      <c r="AG23" s="10"/>
    </row>
    <row r="24" spans="1:33">
      <c r="A24" s="55"/>
      <c r="B24" s="55"/>
      <c r="C24" s="55"/>
      <c r="D24" s="56" t="s">
        <v>30</v>
      </c>
      <c r="E24" s="91" t="s">
        <v>114</v>
      </c>
      <c r="F24" s="55"/>
      <c r="G24" s="57">
        <v>19.5</v>
      </c>
      <c r="H24" s="57" t="str">
        <f>IF('[1]EF1-UPD'!$C20=H$4,'[1]EF1-UPD'!$J20,IF('[1]EF1-UPD'!$E20=H$4,'[1]EF1-UPD'!$J20,""))</f>
        <v/>
      </c>
      <c r="I24" s="39" t="str">
        <f>[1]UNI_Grid!G22</f>
        <v>GI-CH-N1-IT-N1</v>
      </c>
      <c r="J24" s="10"/>
      <c r="K24" s="10"/>
      <c r="L24" s="10"/>
      <c r="M24" s="10"/>
      <c r="N24" s="10"/>
      <c r="AB24" s="10"/>
      <c r="AC24" s="10"/>
      <c r="AD24" s="10"/>
      <c r="AE24" s="10"/>
      <c r="AF24" s="10"/>
      <c r="AG24" s="10"/>
    </row>
    <row r="25" spans="1:33">
      <c r="A25" s="55"/>
      <c r="B25" s="55"/>
      <c r="C25" s="55"/>
      <c r="D25" s="56" t="s">
        <v>30</v>
      </c>
      <c r="E25" s="91" t="s">
        <v>114</v>
      </c>
      <c r="F25" s="55"/>
      <c r="G25" s="57">
        <v>37.4</v>
      </c>
      <c r="H25" s="57" t="str">
        <f>IF('[1]EF1-UPD'!$C21=H$4,'[1]EF1-UPD'!$J21,IF('[1]EF1-UPD'!$E21=H$4,'[1]EF1-UPD'!$J21,""))</f>
        <v/>
      </c>
      <c r="I25" s="39" t="str">
        <f>[1]UNI_Grid!G23</f>
        <v>GI-FR-N1-IT-N1</v>
      </c>
      <c r="J25" s="10"/>
      <c r="K25" s="10"/>
      <c r="L25" s="10"/>
      <c r="M25" s="10"/>
      <c r="N25" s="10"/>
      <c r="AB25" s="10"/>
      <c r="AC25" s="10"/>
      <c r="AD25" s="10"/>
      <c r="AE25" s="10"/>
      <c r="AF25" s="10"/>
      <c r="AG25" s="10"/>
    </row>
    <row r="26" spans="1:33">
      <c r="A26" s="55"/>
      <c r="B26" s="55"/>
      <c r="C26" s="55"/>
      <c r="D26" s="56" t="s">
        <v>30</v>
      </c>
      <c r="E26" s="91" t="s">
        <v>114</v>
      </c>
      <c r="F26" s="55"/>
      <c r="G26" s="57">
        <v>1255.5</v>
      </c>
      <c r="H26" s="57" t="str">
        <f>IF('[1]EF1-UPD'!$C22=H$4,'[1]EF1-UPD'!$J22,IF('[1]EF1-UPD'!$E22=H$4,'[1]EF1-UPD'!$J22,""))</f>
        <v/>
      </c>
      <c r="I26" s="39" t="str">
        <f>[1]UNI_Grid!G24</f>
        <v>GI-AT-N1-HU-N1</v>
      </c>
      <c r="J26" s="10"/>
      <c r="K26" s="10"/>
      <c r="L26" s="10"/>
      <c r="M26" s="10"/>
      <c r="N26" s="10"/>
      <c r="AB26" s="10"/>
      <c r="AC26" s="10"/>
      <c r="AD26" s="10"/>
      <c r="AE26" s="10"/>
      <c r="AF26" s="10"/>
      <c r="AG26" s="10"/>
    </row>
    <row r="27" spans="1:33">
      <c r="A27" s="55"/>
      <c r="B27" s="55"/>
      <c r="C27" s="55"/>
      <c r="D27" s="56" t="s">
        <v>30</v>
      </c>
      <c r="E27" s="91" t="s">
        <v>114</v>
      </c>
      <c r="F27" s="55"/>
      <c r="G27" s="57">
        <v>777.1</v>
      </c>
      <c r="H27" s="57" t="str">
        <f>IF('[1]EF1-UPD'!$C23=H$4,'[1]EF1-UPD'!$J23,IF('[1]EF1-UPD'!$E23=H$4,'[1]EF1-UPD'!$J23,""))</f>
        <v/>
      </c>
      <c r="I27" s="39" t="str">
        <f>[1]UNI_Grid!G25</f>
        <v>GI-DE-N1-PL-N1</v>
      </c>
      <c r="J27" s="10"/>
      <c r="K27" s="10"/>
      <c r="L27" s="10"/>
      <c r="M27" s="10"/>
      <c r="N27" s="10"/>
      <c r="AB27" s="10"/>
      <c r="AC27" s="10"/>
      <c r="AD27" s="10"/>
      <c r="AE27" s="10"/>
      <c r="AF27" s="10"/>
      <c r="AG27" s="10"/>
    </row>
    <row r="28" spans="1:33" ht="13.5" thickBot="1">
      <c r="A28" s="55"/>
      <c r="B28" s="55"/>
      <c r="C28" s="55"/>
      <c r="D28" s="56" t="s">
        <v>30</v>
      </c>
      <c r="E28" s="91" t="s">
        <v>114</v>
      </c>
      <c r="F28" s="55"/>
      <c r="G28" s="57">
        <v>795.4</v>
      </c>
      <c r="H28" s="57" t="str">
        <f>IF('[1]EF1-UPD'!$C24=H$4,'[1]EF1-UPD'!$J24,IF('[1]EF1-UPD'!$E24=H$4,'[1]EF1-UPD'!$J24,""))</f>
        <v/>
      </c>
      <c r="I28" s="39" t="str">
        <f>[1]UNI_Grid!G26</f>
        <v>GI-AT-N1-IT-N1</v>
      </c>
      <c r="J28" s="10"/>
      <c r="K28" s="10"/>
      <c r="L28" s="10"/>
      <c r="M28" s="10"/>
      <c r="N28" s="10"/>
      <c r="AB28" s="10"/>
      <c r="AC28" s="10"/>
      <c r="AD28" s="10"/>
      <c r="AE28" s="10"/>
      <c r="AF28" s="10"/>
      <c r="AG28" s="10"/>
    </row>
    <row r="29" spans="1:33" ht="17.25" customHeight="1" thickTop="1" thickBot="1">
      <c r="A29" s="40" t="s">
        <v>49</v>
      </c>
      <c r="B29" s="40"/>
      <c r="C29" s="40"/>
      <c r="D29" s="41" t="s">
        <v>34</v>
      </c>
      <c r="E29" s="42"/>
      <c r="F29" s="40"/>
      <c r="G29" s="42">
        <v>50</v>
      </c>
      <c r="H29" s="43" t="s">
        <v>19</v>
      </c>
      <c r="I29" s="43" t="s">
        <v>50</v>
      </c>
      <c r="J29" s="10"/>
      <c r="K29" s="10"/>
      <c r="L29" s="10"/>
      <c r="M29" s="10"/>
      <c r="N29" s="10"/>
      <c r="AB29" s="10"/>
      <c r="AC29" s="10"/>
      <c r="AD29" s="10"/>
      <c r="AE29" s="10"/>
      <c r="AF29" s="10"/>
      <c r="AG29" s="10"/>
    </row>
    <row r="30" spans="1:33" s="10" customFormat="1" ht="13.5" thickTop="1">
      <c r="A30" s="24" t="s">
        <v>51</v>
      </c>
      <c r="D30" s="10" t="s">
        <v>18</v>
      </c>
      <c r="E30" s="60" t="s">
        <v>114</v>
      </c>
      <c r="G30" s="106">
        <v>2</v>
      </c>
      <c r="H30" s="23" t="str">
        <f>IF('[1]EF1-UPD'!$C2=H$4,'[1]EF1-UPD'!$F2/1000,IF('[1]EF1-UPD'!$E2=H$4,'[1]EF1-UPD'!$F2/1000,""))</f>
        <v/>
      </c>
      <c r="I30" s="39" t="str">
        <f>[1]UNI_Grid!G4</f>
        <v>GI-DE-N1-LU-N1</v>
      </c>
      <c r="J30" s="18"/>
      <c r="O30"/>
      <c r="P30"/>
      <c r="Q30"/>
      <c r="R30"/>
      <c r="S30"/>
      <c r="T30"/>
    </row>
    <row r="31" spans="1:33">
      <c r="D31" t="s">
        <v>18</v>
      </c>
      <c r="E31" s="60" t="s">
        <v>114</v>
      </c>
      <c r="G31" s="106">
        <v>5.0999999999999996</v>
      </c>
      <c r="H31" s="23" t="str">
        <f>IF('[1]EF1-UPD'!$C3=H$4,'[1]EF1-UPD'!$F3/1000,IF('[1]EF1-UPD'!$E3=H$4,'[1]EF1-UPD'!$F3/1000,""))</f>
        <v/>
      </c>
      <c r="I31" s="39" t="str">
        <f>[1]UNI_Grid!G5</f>
        <v>GI-NL-N1-DE-N1</v>
      </c>
      <c r="J31" s="10"/>
      <c r="K31" s="10"/>
      <c r="L31" s="10"/>
      <c r="M31" s="10"/>
      <c r="N31" s="10"/>
      <c r="AB31" s="10"/>
      <c r="AC31" s="10"/>
      <c r="AD31" s="10"/>
      <c r="AE31" s="10"/>
      <c r="AF31" s="10"/>
      <c r="AG31" s="10"/>
    </row>
    <row r="32" spans="1:33">
      <c r="D32" t="s">
        <v>18</v>
      </c>
      <c r="E32" s="60" t="s">
        <v>114</v>
      </c>
      <c r="G32" s="106">
        <v>3.6</v>
      </c>
      <c r="H32" s="23" t="str">
        <f>IF('[1]EF1-UPD'!$C4=H$4,'[1]EF1-UPD'!$F4/1000,IF('[1]EF1-UPD'!$E4=H$4,'[1]EF1-UPD'!$F4/1000,""))</f>
        <v/>
      </c>
      <c r="I32" s="39" t="str">
        <f>[1]UNI_Grid!G6</f>
        <v>GI-NL-N1-BE-N1</v>
      </c>
      <c r="J32" s="10"/>
      <c r="K32" s="10"/>
      <c r="L32" s="10"/>
      <c r="M32" s="10"/>
      <c r="N32" s="10"/>
      <c r="AB32" s="10"/>
      <c r="AC32" s="10"/>
      <c r="AD32" s="10"/>
      <c r="AE32" s="10"/>
      <c r="AF32" s="10"/>
      <c r="AG32" s="10"/>
    </row>
    <row r="33" spans="4:33">
      <c r="D33" t="s">
        <v>18</v>
      </c>
      <c r="E33" s="60" t="s">
        <v>114</v>
      </c>
      <c r="G33" s="106">
        <v>5.0999999999999996</v>
      </c>
      <c r="H33" s="23" t="str">
        <f>IF('[1]EF1-UPD'!$C5=H$4,'[1]EF1-UPD'!$F5/1000,IF('[1]EF1-UPD'!$E5=H$4,'[1]EF1-UPD'!$F5/1000,""))</f>
        <v/>
      </c>
      <c r="I33" s="39" t="str">
        <f>[1]UNI_Grid!G7</f>
        <v>GI-FR-N1-BE-N1</v>
      </c>
      <c r="J33" s="10"/>
      <c r="K33" s="10"/>
      <c r="L33" s="10"/>
      <c r="M33" s="10"/>
      <c r="N33" s="10"/>
      <c r="AB33" s="10"/>
      <c r="AC33" s="10"/>
      <c r="AD33" s="10"/>
      <c r="AE33" s="10"/>
      <c r="AF33" s="10"/>
      <c r="AG33" s="10"/>
    </row>
    <row r="34" spans="4:33">
      <c r="D34" t="s">
        <v>18</v>
      </c>
      <c r="E34" s="60" t="s">
        <v>114</v>
      </c>
      <c r="G34" s="106">
        <v>0.36599999999999999</v>
      </c>
      <c r="H34" s="23" t="str">
        <f>IF('[1]EF1-UPD'!$C6=H$4,'[1]EF1-UPD'!$F6/1000,IF('[1]EF1-UPD'!$E6=H$4,'[1]EF1-UPD'!$F6/1000,""))</f>
        <v/>
      </c>
      <c r="I34" s="39" t="str">
        <f>[1]UNI_Grid!G8</f>
        <v>GI-BE-N1-LU-N1</v>
      </c>
      <c r="J34" s="10"/>
      <c r="K34" s="10"/>
      <c r="L34" s="10"/>
      <c r="M34" s="10"/>
      <c r="N34" s="10"/>
      <c r="AB34" s="10"/>
      <c r="AC34" s="10"/>
      <c r="AD34" s="10"/>
      <c r="AE34" s="10"/>
      <c r="AF34" s="10"/>
      <c r="AG34" s="10"/>
    </row>
    <row r="35" spans="4:33">
      <c r="D35" t="s">
        <v>18</v>
      </c>
      <c r="E35" s="60" t="s">
        <v>114</v>
      </c>
      <c r="G35" s="106">
        <v>5.6</v>
      </c>
      <c r="H35" s="23" t="str">
        <f>IF('[1]EF1-UPD'!$C7=H$4,'[1]EF1-UPD'!$F7/1000,IF('[1]EF1-UPD'!$E7=H$4,'[1]EF1-UPD'!$F7/1000,""))</f>
        <v/>
      </c>
      <c r="I35" s="39" t="str">
        <f>[1]UNI_Grid!G9</f>
        <v>GI-FR-N1-DE-N1</v>
      </c>
      <c r="J35" s="10"/>
      <c r="K35" s="10"/>
      <c r="L35" s="10"/>
      <c r="M35" s="10"/>
      <c r="N35" s="10"/>
      <c r="AB35" s="10"/>
      <c r="AC35" s="10"/>
      <c r="AD35" s="10"/>
      <c r="AE35" s="10"/>
      <c r="AF35" s="10"/>
      <c r="AG35" s="10"/>
    </row>
    <row r="36" spans="4:33">
      <c r="D36" t="s">
        <v>18</v>
      </c>
      <c r="E36" s="60" t="s">
        <v>114</v>
      </c>
      <c r="G36" s="106">
        <v>3.4</v>
      </c>
      <c r="H36" s="23" t="str">
        <f>IF('[1]EF1-UPD'!$C8=H$4,'[1]EF1-UPD'!$F8/1000,IF('[1]EF1-UPD'!$E8=H$4,'[1]EF1-UPD'!$F8/1000,""))</f>
        <v/>
      </c>
      <c r="I36" s="39" t="str">
        <f>[1]UNI_Grid!G10</f>
        <v>GI-PL-N1-CZ-N1</v>
      </c>
      <c r="J36" s="10"/>
      <c r="K36" s="10"/>
      <c r="L36" s="10"/>
      <c r="M36" s="10"/>
      <c r="N36" s="10"/>
      <c r="AB36" s="10"/>
      <c r="AC36" s="10"/>
      <c r="AD36" s="10"/>
      <c r="AE36" s="10"/>
      <c r="AF36" s="10"/>
      <c r="AG36" s="10"/>
    </row>
    <row r="37" spans="4:33">
      <c r="D37" t="s">
        <v>18</v>
      </c>
      <c r="E37" s="60" t="s">
        <v>114</v>
      </c>
      <c r="G37" s="106">
        <v>3.4</v>
      </c>
      <c r="H37" s="23" t="str">
        <f>IF('[1]EF1-UPD'!$C9=H$4,'[1]EF1-UPD'!$F9/1000,IF('[1]EF1-UPD'!$E9=H$4,'[1]EF1-UPD'!$F9/1000,""))</f>
        <v/>
      </c>
      <c r="I37" s="39" t="str">
        <f>[1]UNI_Grid!G11</f>
        <v>GI-SK-N1-CZ-N1</v>
      </c>
      <c r="J37" s="10"/>
      <c r="K37" s="10"/>
      <c r="L37" s="10"/>
      <c r="M37" s="10"/>
      <c r="N37" s="10"/>
      <c r="AB37" s="10"/>
      <c r="AC37" s="10"/>
      <c r="AD37" s="10"/>
      <c r="AE37" s="10"/>
      <c r="AF37" s="10"/>
      <c r="AG37" s="10"/>
    </row>
    <row r="38" spans="4:33">
      <c r="D38" t="s">
        <v>18</v>
      </c>
      <c r="E38" s="60" t="s">
        <v>114</v>
      </c>
      <c r="G38" s="106">
        <v>0.83299999999999996</v>
      </c>
      <c r="H38" s="23" t="str">
        <f>IF('[1]EF1-UPD'!$C10=H$4,'[1]EF1-UPD'!$F10/1000,IF('[1]EF1-UPD'!$E10=H$4,'[1]EF1-UPD'!$F10/1000,""))</f>
        <v/>
      </c>
      <c r="I38" s="39" t="str">
        <f>[1]UNI_Grid!G12</f>
        <v>GI-PL-N1-SK-N1</v>
      </c>
      <c r="J38" s="10"/>
      <c r="K38" s="10"/>
      <c r="L38" s="10"/>
      <c r="M38" s="10"/>
      <c r="N38" s="10"/>
      <c r="AB38" s="10"/>
      <c r="AC38" s="10"/>
      <c r="AD38" s="10"/>
      <c r="AE38" s="10"/>
      <c r="AF38" s="10"/>
      <c r="AG38" s="10"/>
    </row>
    <row r="39" spans="4:33">
      <c r="D39" t="s">
        <v>18</v>
      </c>
      <c r="E39" s="60" t="s">
        <v>114</v>
      </c>
      <c r="G39" s="106">
        <v>3.4</v>
      </c>
      <c r="H39" s="23" t="str">
        <f>IF('[1]EF1-UPD'!$C11=H$4,'[1]EF1-UPD'!$F11/1000,IF('[1]EF1-UPD'!$E11=H$4,'[1]EF1-UPD'!$F11/1000,""))</f>
        <v/>
      </c>
      <c r="I39" s="39" t="str">
        <f>[1]UNI_Grid!G13</f>
        <v>GI-DE-N1-CZ-N1</v>
      </c>
      <c r="J39" s="10"/>
      <c r="K39" s="10"/>
      <c r="L39" s="10"/>
      <c r="M39" s="10"/>
      <c r="N39" s="10"/>
      <c r="AB39" s="10"/>
      <c r="AC39" s="10"/>
      <c r="AD39" s="10"/>
      <c r="AE39" s="10"/>
      <c r="AF39" s="10"/>
      <c r="AG39" s="10"/>
    </row>
    <row r="40" spans="4:33">
      <c r="D40" t="s">
        <v>18</v>
      </c>
      <c r="E40" s="60" t="s">
        <v>114</v>
      </c>
      <c r="G40" s="106">
        <v>2.8</v>
      </c>
      <c r="H40" s="23" t="str">
        <f>IF('[1]EF1-UPD'!$C12=H$4,'[1]EF1-UPD'!$F12/1000,IF('[1]EF1-UPD'!$E12=H$4,'[1]EF1-UPD'!$F12/1000,""))</f>
        <v/>
      </c>
      <c r="I40" s="39" t="str">
        <f>[1]UNI_Grid!G14</f>
        <v>GI-SK-N1-HU-N1</v>
      </c>
      <c r="J40" s="10"/>
      <c r="K40" s="10"/>
      <c r="L40" s="10"/>
      <c r="M40" s="10"/>
      <c r="N40" s="10"/>
      <c r="AB40" s="10"/>
      <c r="AC40" s="10"/>
      <c r="AD40" s="10"/>
      <c r="AE40" s="10"/>
      <c r="AF40" s="10"/>
      <c r="AG40" s="10"/>
    </row>
    <row r="41" spans="4:33">
      <c r="D41" t="s">
        <v>18</v>
      </c>
      <c r="E41" s="60" t="s">
        <v>114</v>
      </c>
      <c r="G41" s="106">
        <v>1</v>
      </c>
      <c r="H41" s="23" t="str">
        <f>IF('[1]EF1-UPD'!$C13=H$4,'[1]EF1-UPD'!$F13/1000,IF('[1]EF1-UPD'!$E13=H$4,'[1]EF1-UPD'!$F13/1000,""))</f>
        <v/>
      </c>
      <c r="I41" s="39" t="str">
        <f>[1]UNI_Grid!G15</f>
        <v>GI-SI-N1-AT-N1</v>
      </c>
      <c r="J41" s="10"/>
      <c r="K41" s="10"/>
      <c r="L41" s="10"/>
      <c r="M41" s="10"/>
      <c r="N41" s="10"/>
      <c r="AB41" s="10"/>
      <c r="AC41" s="10"/>
      <c r="AD41" s="10"/>
      <c r="AE41" s="10"/>
      <c r="AF41" s="10"/>
      <c r="AG41" s="10"/>
    </row>
    <row r="42" spans="4:33">
      <c r="D42" t="s">
        <v>18</v>
      </c>
      <c r="E42" s="60" t="s">
        <v>114</v>
      </c>
      <c r="G42" s="106">
        <v>5.0999999999999996</v>
      </c>
      <c r="H42" s="23" t="str">
        <f>IF('[1]EF1-UPD'!$C14=H$4,'[1]EF1-UPD'!$F14/1000,IF('[1]EF1-UPD'!$E14=H$4,'[1]EF1-UPD'!$F14/1000,""))</f>
        <v/>
      </c>
      <c r="I42" s="39" t="str">
        <f>[1]UNI_Grid!G16</f>
        <v>GI-CH-N1-DE-N1</v>
      </c>
      <c r="J42" s="10"/>
      <c r="K42" s="10"/>
      <c r="L42" s="10"/>
      <c r="M42" s="10"/>
      <c r="N42" s="10"/>
      <c r="AB42" s="10"/>
      <c r="AC42" s="10"/>
      <c r="AD42" s="10"/>
      <c r="AE42" s="10"/>
      <c r="AF42" s="10"/>
      <c r="AG42" s="10"/>
    </row>
    <row r="43" spans="4:33">
      <c r="D43" t="s">
        <v>18</v>
      </c>
      <c r="E43" s="60" t="s">
        <v>114</v>
      </c>
      <c r="G43" s="106">
        <v>0.76200000000000001</v>
      </c>
      <c r="H43" s="23" t="str">
        <f>IF('[1]EF1-UPD'!$C15=H$4,'[1]EF1-UPD'!$F15/1000,IF('[1]EF1-UPD'!$E15=H$4,'[1]EF1-UPD'!$F15/1000,""))</f>
        <v/>
      </c>
      <c r="I43" s="39" t="str">
        <f>[1]UNI_Grid!G17</f>
        <v>GI-IT-N1-SI-N1</v>
      </c>
      <c r="J43" s="10"/>
      <c r="K43" s="10"/>
      <c r="L43" s="10"/>
      <c r="M43" s="10"/>
      <c r="N43" s="10"/>
      <c r="AB43" s="10"/>
      <c r="AC43" s="10"/>
      <c r="AD43" s="10"/>
      <c r="AE43" s="10"/>
      <c r="AF43" s="10"/>
      <c r="AG43" s="10"/>
    </row>
    <row r="44" spans="4:33">
      <c r="D44" t="s">
        <v>18</v>
      </c>
      <c r="E44" s="60" t="s">
        <v>114</v>
      </c>
      <c r="G44" s="106">
        <v>4.8</v>
      </c>
      <c r="H44" s="23" t="str">
        <f>IF('[1]EF1-UPD'!$C16=H$4,'[1]EF1-UPD'!$F16/1000,IF('[1]EF1-UPD'!$E16=H$4,'[1]EF1-UPD'!$F16/1000,""))</f>
        <v/>
      </c>
      <c r="I44" s="39" t="str">
        <f>[1]UNI_Grid!G18</f>
        <v>GI-FR-N1-CH-N1</v>
      </c>
      <c r="J44" s="10"/>
      <c r="K44" s="10"/>
      <c r="L44" s="10"/>
      <c r="M44" s="10"/>
      <c r="N44" s="10"/>
      <c r="AB44" s="10"/>
      <c r="AC44" s="10"/>
      <c r="AD44" s="10"/>
      <c r="AE44" s="10"/>
      <c r="AF44" s="10"/>
      <c r="AG44" s="10"/>
    </row>
    <row r="45" spans="4:33">
      <c r="D45" t="s">
        <v>18</v>
      </c>
      <c r="E45" s="60" t="s">
        <v>114</v>
      </c>
      <c r="G45" s="106">
        <v>3.4</v>
      </c>
      <c r="H45" s="23" t="str">
        <f>IF('[1]EF1-UPD'!$C17=H$4,'[1]EF1-UPD'!$F17/1000,IF('[1]EF1-UPD'!$E17=H$4,'[1]EF1-UPD'!$F17/1000,""))</f>
        <v/>
      </c>
      <c r="I45" s="39" t="str">
        <f>[1]UNI_Grid!G19</f>
        <v>GI-AT-N1-CZ-N1</v>
      </c>
      <c r="J45" s="10"/>
      <c r="K45" s="10"/>
      <c r="L45" s="10"/>
      <c r="M45" s="10"/>
      <c r="N45" s="10"/>
      <c r="AB45" s="10"/>
      <c r="AC45" s="10"/>
      <c r="AD45" s="10"/>
      <c r="AE45" s="10"/>
      <c r="AF45" s="10"/>
      <c r="AG45" s="10"/>
    </row>
    <row r="46" spans="4:33">
      <c r="D46" t="s">
        <v>18</v>
      </c>
      <c r="E46" s="60" t="s">
        <v>114</v>
      </c>
      <c r="G46" s="106">
        <v>4.2</v>
      </c>
      <c r="H46" s="23" t="str">
        <f>IF('[1]EF1-UPD'!$C18=H$4,'[1]EF1-UPD'!$F18/1000,IF('[1]EF1-UPD'!$E18=H$4,'[1]EF1-UPD'!$F18/1000,""))</f>
        <v/>
      </c>
      <c r="I46" s="39" t="str">
        <f>[1]UNI_Grid!G20</f>
        <v>GI-DE-N1-AT-N1</v>
      </c>
      <c r="J46" s="10"/>
      <c r="K46" s="10"/>
      <c r="L46" s="10"/>
      <c r="M46" s="10"/>
      <c r="N46" s="10"/>
      <c r="AB46" s="10"/>
      <c r="AC46" s="10"/>
      <c r="AD46" s="10"/>
      <c r="AE46" s="10"/>
      <c r="AF46" s="10"/>
      <c r="AG46" s="10"/>
    </row>
    <row r="47" spans="4:33">
      <c r="D47" t="s">
        <v>18</v>
      </c>
      <c r="E47" s="60" t="s">
        <v>114</v>
      </c>
      <c r="G47" s="106">
        <v>2.4</v>
      </c>
      <c r="H47" s="23" t="str">
        <f>IF('[1]EF1-UPD'!$C19=H$4,'[1]EF1-UPD'!$F19/1000,IF('[1]EF1-UPD'!$E19=H$4,'[1]EF1-UPD'!$F19/1000,""))</f>
        <v/>
      </c>
      <c r="I47" s="39" t="str">
        <f>[1]UNI_Grid!G21</f>
        <v>GI-CH-N1-AT-N1</v>
      </c>
      <c r="J47" s="10"/>
      <c r="K47" s="10"/>
      <c r="L47" s="10"/>
      <c r="M47" s="10"/>
      <c r="N47" s="10"/>
      <c r="AB47" s="10"/>
      <c r="AC47" s="10"/>
      <c r="AD47" s="10"/>
      <c r="AE47" s="10"/>
      <c r="AF47" s="10"/>
      <c r="AG47" s="10"/>
    </row>
    <row r="48" spans="4:33">
      <c r="D48" t="s">
        <v>18</v>
      </c>
      <c r="E48" s="60" t="s">
        <v>114</v>
      </c>
      <c r="G48" s="106">
        <v>4.2</v>
      </c>
      <c r="H48" s="23" t="str">
        <f>IF('[1]EF1-UPD'!$C20=H$4,'[1]EF1-UPD'!$F20/1000,IF('[1]EF1-UPD'!$E20=H$4,'[1]EF1-UPD'!$F20/1000,""))</f>
        <v/>
      </c>
      <c r="I48" s="39" t="str">
        <f>[1]UNI_Grid!G22</f>
        <v>GI-CH-N1-IT-N1</v>
      </c>
      <c r="J48" s="10"/>
      <c r="K48" s="10"/>
      <c r="L48" s="10"/>
      <c r="M48" s="10"/>
      <c r="N48" s="10"/>
      <c r="AB48" s="10"/>
      <c r="AC48" s="10"/>
      <c r="AD48" s="10"/>
      <c r="AE48" s="10"/>
      <c r="AF48" s="10"/>
      <c r="AG48" s="10"/>
    </row>
    <row r="49" spans="1:33">
      <c r="D49" t="s">
        <v>18</v>
      </c>
      <c r="E49" s="60" t="s">
        <v>114</v>
      </c>
      <c r="G49" s="106">
        <v>3.6</v>
      </c>
      <c r="H49" s="23" t="str">
        <f>IF('[1]EF1-UPD'!$C21=H$4,'[1]EF1-UPD'!$F21/1000,IF('[1]EF1-UPD'!$E21=H$4,'[1]EF1-UPD'!$F21/1000,""))</f>
        <v/>
      </c>
      <c r="I49" s="39" t="str">
        <f>[1]UNI_Grid!G23</f>
        <v>GI-FR-N1-IT-N1</v>
      </c>
      <c r="J49" s="10"/>
      <c r="K49" s="10"/>
      <c r="L49" s="10"/>
      <c r="M49" s="10"/>
      <c r="N49" s="10"/>
      <c r="AB49" s="10"/>
      <c r="AC49" s="10"/>
      <c r="AD49" s="10"/>
      <c r="AE49" s="10"/>
      <c r="AF49" s="10"/>
      <c r="AG49" s="10"/>
    </row>
    <row r="50" spans="1:33">
      <c r="D50" t="s">
        <v>18</v>
      </c>
      <c r="E50" s="60" t="s">
        <v>114</v>
      </c>
      <c r="G50" s="106">
        <v>1.4</v>
      </c>
      <c r="H50" s="23" t="str">
        <f>IF('[1]EF1-UPD'!$C22=H$4,'[1]EF1-UPD'!$F22/1000,IF('[1]EF1-UPD'!$E22=H$4,'[1]EF1-UPD'!$F22/1000,""))</f>
        <v/>
      </c>
      <c r="I50" s="39" t="str">
        <f>[1]UNI_Grid!G24</f>
        <v>GI-AT-N1-HU-N1</v>
      </c>
      <c r="J50" s="10"/>
      <c r="K50" s="10"/>
      <c r="L50" s="10"/>
      <c r="M50" s="10"/>
      <c r="N50" s="10"/>
      <c r="AB50" s="10"/>
      <c r="AC50" s="10"/>
      <c r="AD50" s="10"/>
      <c r="AE50" s="10"/>
      <c r="AF50" s="10"/>
      <c r="AG50" s="10"/>
    </row>
    <row r="51" spans="1:33">
      <c r="D51" t="s">
        <v>18</v>
      </c>
      <c r="E51" s="60" t="s">
        <v>114</v>
      </c>
      <c r="G51" s="106">
        <v>2.4</v>
      </c>
      <c r="H51" s="23" t="str">
        <f>IF('[1]EF1-UPD'!$C23=H$4,'[1]EF1-UPD'!$F23/1000,IF('[1]EF1-UPD'!$E23=H$4,'[1]EF1-UPD'!$F23/1000,""))</f>
        <v/>
      </c>
      <c r="I51" s="39" t="str">
        <f>[1]UNI_Grid!G25</f>
        <v>GI-DE-N1-PL-N1</v>
      </c>
      <c r="J51" s="10"/>
      <c r="K51" s="10"/>
      <c r="L51" s="10"/>
      <c r="M51" s="10"/>
      <c r="N51" s="10"/>
      <c r="AB51" s="10"/>
      <c r="AC51" s="10"/>
      <c r="AD51" s="10"/>
      <c r="AE51" s="10"/>
      <c r="AF51" s="10"/>
      <c r="AG51" s="10"/>
    </row>
    <row r="52" spans="1:33" ht="13.5" thickBot="1">
      <c r="B52" s="49"/>
      <c r="C52" s="49"/>
      <c r="D52" s="49" t="s">
        <v>18</v>
      </c>
      <c r="E52" s="69" t="s">
        <v>114</v>
      </c>
      <c r="F52" s="49"/>
      <c r="G52" s="106">
        <v>0.25</v>
      </c>
      <c r="H52" s="47" t="str">
        <f>IF('[1]EF1-UPD'!$C24=H$4,'[1]EF1-UPD'!$F24/1000,IF('[1]EF1-UPD'!$E24=H$4,'[1]EF1-UPD'!$F24/1000,""))</f>
        <v/>
      </c>
      <c r="I52" s="48" t="str">
        <f>[1]UNI_Grid!G26</f>
        <v>GI-AT-N1-IT-N1</v>
      </c>
      <c r="J52" s="53"/>
      <c r="K52" s="10"/>
      <c r="L52" s="10"/>
      <c r="M52" s="10"/>
      <c r="N52" s="10"/>
      <c r="AB52" s="10"/>
      <c r="AC52" s="10"/>
      <c r="AD52" s="10"/>
      <c r="AE52" s="10"/>
      <c r="AF52" s="10"/>
      <c r="AG52" s="10"/>
    </row>
    <row r="53" spans="1:33" ht="13.5" thickTop="1">
      <c r="A53" t="s">
        <v>74</v>
      </c>
      <c r="D53" s="15" t="s">
        <v>20</v>
      </c>
      <c r="E53" s="4">
        <v>2005</v>
      </c>
      <c r="G53" s="4">
        <v>0</v>
      </c>
      <c r="H53" s="4"/>
      <c r="I53" s="4" t="str">
        <f t="shared" ref="I53:I75" si="0">I30</f>
        <v>GI-DE-N1-LU-N1</v>
      </c>
      <c r="K53"/>
    </row>
    <row r="54" spans="1:33">
      <c r="D54" s="15" t="s">
        <v>20</v>
      </c>
      <c r="E54" s="4">
        <v>2005</v>
      </c>
      <c r="G54" s="4">
        <v>0</v>
      </c>
      <c r="H54" s="4"/>
      <c r="I54" s="4" t="str">
        <f t="shared" si="0"/>
        <v>GI-NL-N1-DE-N1</v>
      </c>
      <c r="K54"/>
    </row>
    <row r="55" spans="1:33">
      <c r="D55" s="15" t="s">
        <v>20</v>
      </c>
      <c r="E55" s="4">
        <v>2005</v>
      </c>
      <c r="G55" s="4">
        <v>0</v>
      </c>
      <c r="H55" s="4"/>
      <c r="I55" s="4" t="str">
        <f t="shared" si="0"/>
        <v>GI-NL-N1-BE-N1</v>
      </c>
      <c r="K55"/>
    </row>
    <row r="56" spans="1:33">
      <c r="D56" s="15" t="s">
        <v>20</v>
      </c>
      <c r="E56" s="4">
        <v>2005</v>
      </c>
      <c r="G56" s="4">
        <v>0</v>
      </c>
      <c r="H56" s="4"/>
      <c r="I56" s="4" t="str">
        <f t="shared" si="0"/>
        <v>GI-FR-N1-BE-N1</v>
      </c>
      <c r="K56"/>
    </row>
    <row r="57" spans="1:33">
      <c r="D57" s="15" t="s">
        <v>20</v>
      </c>
      <c r="E57" s="4">
        <v>2005</v>
      </c>
      <c r="G57" s="4">
        <v>0</v>
      </c>
      <c r="H57" s="4"/>
      <c r="I57" s="4" t="str">
        <f t="shared" si="0"/>
        <v>GI-BE-N1-LU-N1</v>
      </c>
      <c r="K57"/>
    </row>
    <row r="58" spans="1:33">
      <c r="D58" s="15" t="s">
        <v>20</v>
      </c>
      <c r="E58" s="4">
        <v>2005</v>
      </c>
      <c r="G58" s="4">
        <v>0</v>
      </c>
      <c r="H58" s="4"/>
      <c r="I58" s="4" t="str">
        <f t="shared" si="0"/>
        <v>GI-FR-N1-DE-N1</v>
      </c>
      <c r="K58"/>
    </row>
    <row r="59" spans="1:33">
      <c r="D59" s="15" t="s">
        <v>20</v>
      </c>
      <c r="E59" s="4">
        <v>2005</v>
      </c>
      <c r="G59" s="4">
        <v>0</v>
      </c>
      <c r="H59" s="4"/>
      <c r="I59" s="4" t="str">
        <f t="shared" si="0"/>
        <v>GI-PL-N1-CZ-N1</v>
      </c>
      <c r="K59"/>
    </row>
    <row r="60" spans="1:33">
      <c r="D60" s="15" t="s">
        <v>20</v>
      </c>
      <c r="E60" s="4">
        <v>2005</v>
      </c>
      <c r="G60" s="4">
        <v>0</v>
      </c>
      <c r="H60" s="4"/>
      <c r="I60" s="4" t="str">
        <f t="shared" si="0"/>
        <v>GI-SK-N1-CZ-N1</v>
      </c>
      <c r="K60"/>
    </row>
    <row r="61" spans="1:33">
      <c r="D61" s="15" t="s">
        <v>20</v>
      </c>
      <c r="E61" s="4">
        <v>2005</v>
      </c>
      <c r="G61" s="4">
        <v>0</v>
      </c>
      <c r="H61" s="4"/>
      <c r="I61" s="4" t="str">
        <f t="shared" si="0"/>
        <v>GI-PL-N1-SK-N1</v>
      </c>
      <c r="K61"/>
    </row>
    <row r="62" spans="1:33">
      <c r="D62" s="15" t="s">
        <v>20</v>
      </c>
      <c r="E62" s="4">
        <v>2005</v>
      </c>
      <c r="G62" s="4">
        <v>0</v>
      </c>
      <c r="H62" s="4"/>
      <c r="I62" s="4" t="str">
        <f t="shared" si="0"/>
        <v>GI-DE-N1-CZ-N1</v>
      </c>
      <c r="K62"/>
    </row>
    <row r="63" spans="1:33">
      <c r="D63" s="15" t="s">
        <v>20</v>
      </c>
      <c r="E63" s="4">
        <v>2005</v>
      </c>
      <c r="G63" s="4">
        <v>0</v>
      </c>
      <c r="H63" s="4"/>
      <c r="I63" s="4" t="str">
        <f t="shared" si="0"/>
        <v>GI-SK-N1-HU-N1</v>
      </c>
      <c r="K63"/>
    </row>
    <row r="64" spans="1:33">
      <c r="D64" s="15" t="s">
        <v>20</v>
      </c>
      <c r="E64" s="4">
        <v>2005</v>
      </c>
      <c r="G64" s="4">
        <v>0</v>
      </c>
      <c r="H64" s="4"/>
      <c r="I64" s="4" t="str">
        <f t="shared" si="0"/>
        <v>GI-SI-N1-AT-N1</v>
      </c>
      <c r="K64"/>
    </row>
    <row r="65" spans="2:11">
      <c r="D65" s="15" t="s">
        <v>20</v>
      </c>
      <c r="E65" s="4">
        <v>2005</v>
      </c>
      <c r="G65" s="4">
        <v>0</v>
      </c>
      <c r="H65" s="4"/>
      <c r="I65" s="4" t="str">
        <f t="shared" si="0"/>
        <v>GI-CH-N1-DE-N1</v>
      </c>
      <c r="K65"/>
    </row>
    <row r="66" spans="2:11">
      <c r="D66" s="15" t="s">
        <v>20</v>
      </c>
      <c r="E66" s="4">
        <v>2005</v>
      </c>
      <c r="G66" s="4">
        <v>0</v>
      </c>
      <c r="H66" s="4"/>
      <c r="I66" s="4" t="str">
        <f t="shared" si="0"/>
        <v>GI-IT-N1-SI-N1</v>
      </c>
      <c r="K66"/>
    </row>
    <row r="67" spans="2:11">
      <c r="D67" s="15" t="s">
        <v>20</v>
      </c>
      <c r="E67" s="4">
        <v>2005</v>
      </c>
      <c r="G67" s="4">
        <v>0</v>
      </c>
      <c r="H67" s="4"/>
      <c r="I67" s="4" t="str">
        <f t="shared" si="0"/>
        <v>GI-FR-N1-CH-N1</v>
      </c>
      <c r="K67"/>
    </row>
    <row r="68" spans="2:11">
      <c r="D68" s="15" t="s">
        <v>20</v>
      </c>
      <c r="E68" s="4">
        <v>2005</v>
      </c>
      <c r="G68" s="4">
        <v>0</v>
      </c>
      <c r="H68" s="4"/>
      <c r="I68" s="4" t="str">
        <f t="shared" si="0"/>
        <v>GI-AT-N1-CZ-N1</v>
      </c>
      <c r="K68"/>
    </row>
    <row r="69" spans="2:11">
      <c r="D69" s="15" t="s">
        <v>20</v>
      </c>
      <c r="E69" s="4">
        <v>2005</v>
      </c>
      <c r="G69" s="4">
        <v>0</v>
      </c>
      <c r="H69" s="4"/>
      <c r="I69" s="4" t="str">
        <f t="shared" si="0"/>
        <v>GI-DE-N1-AT-N1</v>
      </c>
      <c r="K69"/>
    </row>
    <row r="70" spans="2:11">
      <c r="D70" s="15" t="s">
        <v>20</v>
      </c>
      <c r="E70" s="4">
        <v>2005</v>
      </c>
      <c r="G70" s="4">
        <v>0</v>
      </c>
      <c r="H70" s="4"/>
      <c r="I70" s="4" t="str">
        <f t="shared" si="0"/>
        <v>GI-CH-N1-AT-N1</v>
      </c>
      <c r="K70"/>
    </row>
    <row r="71" spans="2:11">
      <c r="D71" s="15" t="s">
        <v>20</v>
      </c>
      <c r="E71" s="4">
        <v>2005</v>
      </c>
      <c r="G71" s="4">
        <v>0</v>
      </c>
      <c r="H71" s="4"/>
      <c r="I71" s="4" t="str">
        <f t="shared" si="0"/>
        <v>GI-CH-N1-IT-N1</v>
      </c>
      <c r="K71"/>
    </row>
    <row r="72" spans="2:11">
      <c r="D72" s="15" t="s">
        <v>20</v>
      </c>
      <c r="E72" s="4">
        <v>2005</v>
      </c>
      <c r="G72" s="4">
        <v>0</v>
      </c>
      <c r="H72" s="4"/>
      <c r="I72" s="4" t="str">
        <f t="shared" si="0"/>
        <v>GI-FR-N1-IT-N1</v>
      </c>
      <c r="K72"/>
    </row>
    <row r="73" spans="2:11">
      <c r="D73" s="15" t="s">
        <v>20</v>
      </c>
      <c r="E73" s="4">
        <v>2005</v>
      </c>
      <c r="G73" s="4">
        <v>0</v>
      </c>
      <c r="H73" s="4"/>
      <c r="I73" s="4" t="str">
        <f t="shared" si="0"/>
        <v>GI-AT-N1-HU-N1</v>
      </c>
      <c r="K73"/>
    </row>
    <row r="74" spans="2:11">
      <c r="D74" s="15" t="s">
        <v>20</v>
      </c>
      <c r="E74" s="4">
        <v>2005</v>
      </c>
      <c r="G74" s="4">
        <v>0</v>
      </c>
      <c r="H74" s="4"/>
      <c r="I74" s="4" t="str">
        <f t="shared" si="0"/>
        <v>GI-DE-N1-PL-N1</v>
      </c>
      <c r="K74"/>
    </row>
    <row r="75" spans="2:11" ht="13.5" thickBot="1">
      <c r="B75" s="49"/>
      <c r="C75" s="49"/>
      <c r="D75" s="53" t="s">
        <v>20</v>
      </c>
      <c r="E75" s="59">
        <v>2005</v>
      </c>
      <c r="F75" s="49"/>
      <c r="G75" s="4">
        <v>0</v>
      </c>
      <c r="H75" s="59"/>
      <c r="I75" s="59" t="str">
        <f t="shared" si="0"/>
        <v>GI-AT-N1-IT-N1</v>
      </c>
      <c r="J75" s="49"/>
      <c r="K75"/>
    </row>
    <row r="76" spans="2:11" ht="13.5" thickTop="1">
      <c r="C76" t="s">
        <v>33</v>
      </c>
      <c r="D76" s="15" t="s">
        <v>47</v>
      </c>
      <c r="E76" s="60">
        <v>2010</v>
      </c>
      <c r="G76" s="106">
        <v>2</v>
      </c>
      <c r="H76" s="23" t="s">
        <v>116</v>
      </c>
      <c r="I76" s="4" t="str">
        <f t="shared" ref="I76:I121" si="1">I30</f>
        <v>GI-DE-N1-LU-N1</v>
      </c>
      <c r="K76"/>
    </row>
    <row r="77" spans="2:11">
      <c r="C77" t="s">
        <v>33</v>
      </c>
      <c r="D77" s="15" t="s">
        <v>47</v>
      </c>
      <c r="E77" s="60">
        <v>2010</v>
      </c>
      <c r="G77" s="106">
        <v>5.0999999999999996</v>
      </c>
      <c r="H77" s="23" t="s">
        <v>116</v>
      </c>
      <c r="I77" s="4" t="str">
        <f t="shared" si="1"/>
        <v>GI-NL-N1-DE-N1</v>
      </c>
      <c r="K77"/>
    </row>
    <row r="78" spans="2:11">
      <c r="C78" t="s">
        <v>33</v>
      </c>
      <c r="D78" s="15" t="s">
        <v>47</v>
      </c>
      <c r="E78" s="60">
        <v>2010</v>
      </c>
      <c r="G78" s="106">
        <v>3.6</v>
      </c>
      <c r="H78" s="23" t="s">
        <v>116</v>
      </c>
      <c r="I78" s="4" t="str">
        <f t="shared" si="1"/>
        <v>GI-NL-N1-BE-N1</v>
      </c>
      <c r="K78"/>
    </row>
    <row r="79" spans="2:11">
      <c r="C79" t="s">
        <v>33</v>
      </c>
      <c r="D79" s="15" t="s">
        <v>47</v>
      </c>
      <c r="E79" s="60">
        <v>2010</v>
      </c>
      <c r="G79" s="106">
        <v>5.0999999999999996</v>
      </c>
      <c r="H79" s="23" t="s">
        <v>116</v>
      </c>
      <c r="I79" s="4" t="str">
        <f t="shared" si="1"/>
        <v>GI-FR-N1-BE-N1</v>
      </c>
      <c r="K79"/>
    </row>
    <row r="80" spans="2:11">
      <c r="C80" t="s">
        <v>33</v>
      </c>
      <c r="D80" s="15" t="s">
        <v>47</v>
      </c>
      <c r="E80" s="60">
        <v>2010</v>
      </c>
      <c r="G80" s="106">
        <v>0.36599999999999999</v>
      </c>
      <c r="H80" s="23" t="s">
        <v>116</v>
      </c>
      <c r="I80" s="4" t="str">
        <f t="shared" si="1"/>
        <v>GI-BE-N1-LU-N1</v>
      </c>
      <c r="K80"/>
    </row>
    <row r="81" spans="3:11">
      <c r="C81" t="s">
        <v>33</v>
      </c>
      <c r="D81" s="15" t="s">
        <v>47</v>
      </c>
      <c r="E81" s="60">
        <v>2010</v>
      </c>
      <c r="G81" s="106">
        <v>5.6</v>
      </c>
      <c r="H81" s="23" t="s">
        <v>116</v>
      </c>
      <c r="I81" s="4" t="str">
        <f t="shared" si="1"/>
        <v>GI-FR-N1-DE-N1</v>
      </c>
      <c r="K81"/>
    </row>
    <row r="82" spans="3:11">
      <c r="C82" t="s">
        <v>33</v>
      </c>
      <c r="D82" s="15" t="s">
        <v>47</v>
      </c>
      <c r="E82" s="60">
        <v>2010</v>
      </c>
      <c r="G82" s="106">
        <v>6.8</v>
      </c>
      <c r="H82" s="23" t="s">
        <v>116</v>
      </c>
      <c r="I82" s="4" t="str">
        <f t="shared" si="1"/>
        <v>GI-PL-N1-CZ-N1</v>
      </c>
      <c r="K82"/>
    </row>
    <row r="83" spans="3:11">
      <c r="C83" t="s">
        <v>33</v>
      </c>
      <c r="D83" s="15" t="s">
        <v>47</v>
      </c>
      <c r="E83" s="60">
        <v>2010</v>
      </c>
      <c r="G83" s="106">
        <v>3.4</v>
      </c>
      <c r="H83" s="23" t="s">
        <v>116</v>
      </c>
      <c r="I83" s="4" t="str">
        <f t="shared" si="1"/>
        <v>GI-SK-N1-CZ-N1</v>
      </c>
      <c r="K83"/>
    </row>
    <row r="84" spans="3:11">
      <c r="C84" t="s">
        <v>33</v>
      </c>
      <c r="D84" s="15" t="s">
        <v>47</v>
      </c>
      <c r="E84" s="60">
        <v>2010</v>
      </c>
      <c r="G84" s="106">
        <v>0.83299999999999996</v>
      </c>
      <c r="H84" s="23" t="s">
        <v>116</v>
      </c>
      <c r="I84" s="4" t="str">
        <f t="shared" si="1"/>
        <v>GI-PL-N1-SK-N1</v>
      </c>
      <c r="K84"/>
    </row>
    <row r="85" spans="3:11">
      <c r="C85" t="s">
        <v>33</v>
      </c>
      <c r="D85" s="15" t="s">
        <v>47</v>
      </c>
      <c r="E85" s="60">
        <v>2010</v>
      </c>
      <c r="G85" s="106">
        <v>3.4</v>
      </c>
      <c r="H85" s="23" t="s">
        <v>116</v>
      </c>
      <c r="I85" s="4" t="str">
        <f t="shared" si="1"/>
        <v>GI-DE-N1-CZ-N1</v>
      </c>
      <c r="K85"/>
    </row>
    <row r="86" spans="3:11">
      <c r="C86" t="s">
        <v>33</v>
      </c>
      <c r="D86" s="15" t="s">
        <v>47</v>
      </c>
      <c r="E86" s="60">
        <v>2010</v>
      </c>
      <c r="G86" s="106">
        <v>2.8</v>
      </c>
      <c r="H86" s="23" t="s">
        <v>116</v>
      </c>
      <c r="I86" s="4" t="str">
        <f t="shared" si="1"/>
        <v>GI-SK-N1-HU-N1</v>
      </c>
      <c r="K86"/>
    </row>
    <row r="87" spans="3:11">
      <c r="C87" t="s">
        <v>33</v>
      </c>
      <c r="D87" s="15" t="s">
        <v>47</v>
      </c>
      <c r="E87" s="60">
        <v>2010</v>
      </c>
      <c r="G87" s="106">
        <v>1</v>
      </c>
      <c r="H87" s="23" t="s">
        <v>116</v>
      </c>
      <c r="I87" s="4" t="str">
        <f t="shared" si="1"/>
        <v>GI-SI-N1-AT-N1</v>
      </c>
      <c r="K87"/>
    </row>
    <row r="88" spans="3:11">
      <c r="C88" t="s">
        <v>33</v>
      </c>
      <c r="D88" s="15" t="s">
        <v>47</v>
      </c>
      <c r="E88" s="60">
        <v>2010</v>
      </c>
      <c r="G88" s="106">
        <v>5.0999999999999996</v>
      </c>
      <c r="H88" s="23" t="s">
        <v>116</v>
      </c>
      <c r="I88" s="4" t="str">
        <f t="shared" si="1"/>
        <v>GI-CH-N1-DE-N1</v>
      </c>
      <c r="K88"/>
    </row>
    <row r="89" spans="3:11">
      <c r="C89" t="s">
        <v>33</v>
      </c>
      <c r="D89" s="15" t="s">
        <v>47</v>
      </c>
      <c r="E89" s="60">
        <v>2010</v>
      </c>
      <c r="G89" s="106">
        <v>0.76200000000000001</v>
      </c>
      <c r="H89" s="23" t="s">
        <v>116</v>
      </c>
      <c r="I89" s="4" t="str">
        <f t="shared" si="1"/>
        <v>GI-IT-N1-SI-N1</v>
      </c>
      <c r="K89"/>
    </row>
    <row r="90" spans="3:11">
      <c r="C90" t="s">
        <v>33</v>
      </c>
      <c r="D90" s="15" t="s">
        <v>47</v>
      </c>
      <c r="E90" s="60">
        <v>2010</v>
      </c>
      <c r="G90" s="106">
        <v>4.8</v>
      </c>
      <c r="H90" s="23" t="s">
        <v>116</v>
      </c>
      <c r="I90" s="4" t="str">
        <f t="shared" si="1"/>
        <v>GI-FR-N1-CH-N1</v>
      </c>
      <c r="K90"/>
    </row>
    <row r="91" spans="3:11">
      <c r="C91" t="s">
        <v>33</v>
      </c>
      <c r="D91" s="15" t="s">
        <v>47</v>
      </c>
      <c r="E91" s="60">
        <v>2010</v>
      </c>
      <c r="G91" s="106">
        <v>3.4</v>
      </c>
      <c r="H91" s="23" t="s">
        <v>116</v>
      </c>
      <c r="I91" s="4" t="str">
        <f t="shared" si="1"/>
        <v>GI-AT-N1-CZ-N1</v>
      </c>
      <c r="K91"/>
    </row>
    <row r="92" spans="3:11">
      <c r="C92" t="s">
        <v>33</v>
      </c>
      <c r="D92" s="15" t="s">
        <v>47</v>
      </c>
      <c r="E92" s="60">
        <v>2010</v>
      </c>
      <c r="G92" s="106">
        <v>4.2</v>
      </c>
      <c r="H92" s="23" t="s">
        <v>116</v>
      </c>
      <c r="I92" s="4" t="str">
        <f t="shared" si="1"/>
        <v>GI-DE-N1-AT-N1</v>
      </c>
      <c r="K92"/>
    </row>
    <row r="93" spans="3:11">
      <c r="C93" t="s">
        <v>33</v>
      </c>
      <c r="D93" s="15" t="s">
        <v>47</v>
      </c>
      <c r="E93" s="60">
        <v>2010</v>
      </c>
      <c r="G93" s="106">
        <v>2.4</v>
      </c>
      <c r="H93" s="23" t="s">
        <v>116</v>
      </c>
      <c r="I93" s="4" t="str">
        <f t="shared" si="1"/>
        <v>GI-CH-N1-AT-N1</v>
      </c>
      <c r="K93"/>
    </row>
    <row r="94" spans="3:11">
      <c r="C94" t="s">
        <v>33</v>
      </c>
      <c r="D94" s="15" t="s">
        <v>47</v>
      </c>
      <c r="E94" s="60">
        <v>2010</v>
      </c>
      <c r="G94" s="106">
        <v>4.6399999999999997</v>
      </c>
      <c r="H94" s="23" t="s">
        <v>116</v>
      </c>
      <c r="I94" s="4" t="str">
        <f t="shared" si="1"/>
        <v>GI-CH-N1-IT-N1</v>
      </c>
      <c r="K94"/>
    </row>
    <row r="95" spans="3:11">
      <c r="C95" t="s">
        <v>33</v>
      </c>
      <c r="D95" s="15" t="s">
        <v>47</v>
      </c>
      <c r="E95" s="60">
        <v>2010</v>
      </c>
      <c r="G95" s="106">
        <v>3.6</v>
      </c>
      <c r="H95" s="23" t="s">
        <v>116</v>
      </c>
      <c r="I95" s="4" t="str">
        <f t="shared" si="1"/>
        <v>GI-FR-N1-IT-N1</v>
      </c>
      <c r="K95"/>
    </row>
    <row r="96" spans="3:11">
      <c r="C96" t="s">
        <v>33</v>
      </c>
      <c r="D96" s="15" t="s">
        <v>47</v>
      </c>
      <c r="E96" s="60">
        <v>2010</v>
      </c>
      <c r="G96" s="106">
        <v>1.4</v>
      </c>
      <c r="H96" s="23" t="s">
        <v>116</v>
      </c>
      <c r="I96" s="4" t="str">
        <f t="shared" si="1"/>
        <v>GI-AT-N1-HU-N1</v>
      </c>
      <c r="K96"/>
    </row>
    <row r="97" spans="2:11">
      <c r="C97" t="s">
        <v>33</v>
      </c>
      <c r="D97" s="15" t="s">
        <v>47</v>
      </c>
      <c r="E97" s="60">
        <v>2010</v>
      </c>
      <c r="G97" s="106">
        <v>2.4</v>
      </c>
      <c r="H97" s="23" t="s">
        <v>116</v>
      </c>
      <c r="I97" s="4" t="str">
        <f t="shared" si="1"/>
        <v>GI-DE-N1-PL-N1</v>
      </c>
      <c r="K97"/>
    </row>
    <row r="98" spans="2:11" ht="13.5" thickBot="1">
      <c r="B98" s="49"/>
      <c r="C98" s="49" t="s">
        <v>33</v>
      </c>
      <c r="D98" s="49" t="s">
        <v>47</v>
      </c>
      <c r="E98" s="59">
        <v>2010</v>
      </c>
      <c r="F98" s="49"/>
      <c r="G98" s="106">
        <v>0.25</v>
      </c>
      <c r="H98" s="47" t="s">
        <v>116</v>
      </c>
      <c r="I98" s="59" t="str">
        <f t="shared" si="1"/>
        <v>GI-AT-N1-IT-N1</v>
      </c>
      <c r="J98" s="49"/>
      <c r="K98"/>
    </row>
    <row r="99" spans="2:11" ht="13.5" thickTop="1">
      <c r="C99" t="s">
        <v>33</v>
      </c>
      <c r="D99" s="15" t="s">
        <v>47</v>
      </c>
      <c r="E99" s="60" t="s">
        <v>181</v>
      </c>
      <c r="G99" s="106">
        <v>2</v>
      </c>
      <c r="H99" s="23" t="s">
        <v>116</v>
      </c>
      <c r="I99" s="4" t="str">
        <f t="shared" si="1"/>
        <v>GI-DE-N1-LU-N1</v>
      </c>
      <c r="K99"/>
    </row>
    <row r="100" spans="2:11">
      <c r="C100" t="s">
        <v>33</v>
      </c>
      <c r="D100" s="15" t="s">
        <v>47</v>
      </c>
      <c r="E100" s="60" t="s">
        <v>181</v>
      </c>
      <c r="G100" s="106">
        <v>5.35</v>
      </c>
      <c r="H100" s="23" t="s">
        <v>116</v>
      </c>
      <c r="I100" s="4" t="str">
        <f t="shared" si="1"/>
        <v>GI-NL-N1-DE-N1</v>
      </c>
      <c r="K100"/>
    </row>
    <row r="101" spans="2:11">
      <c r="C101" t="s">
        <v>33</v>
      </c>
      <c r="D101" s="15" t="s">
        <v>47</v>
      </c>
      <c r="E101" s="60" t="s">
        <v>181</v>
      </c>
      <c r="G101" s="106">
        <v>3.6</v>
      </c>
      <c r="H101" s="23" t="s">
        <v>116</v>
      </c>
      <c r="I101" s="4" t="str">
        <f t="shared" si="1"/>
        <v>GI-NL-N1-BE-N1</v>
      </c>
      <c r="K101"/>
    </row>
    <row r="102" spans="2:11">
      <c r="C102" t="s">
        <v>33</v>
      </c>
      <c r="D102" s="15" t="s">
        <v>47</v>
      </c>
      <c r="E102" s="60" t="s">
        <v>181</v>
      </c>
      <c r="G102" s="106">
        <v>5.0999999999999996</v>
      </c>
      <c r="H102" s="23" t="s">
        <v>116</v>
      </c>
      <c r="I102" s="4" t="str">
        <f t="shared" si="1"/>
        <v>GI-FR-N1-BE-N1</v>
      </c>
      <c r="K102"/>
    </row>
    <row r="103" spans="2:11">
      <c r="C103" t="s">
        <v>33</v>
      </c>
      <c r="D103" s="15" t="s">
        <v>47</v>
      </c>
      <c r="E103" s="60" t="s">
        <v>181</v>
      </c>
      <c r="G103" s="106">
        <v>0.6</v>
      </c>
      <c r="H103" s="23" t="s">
        <v>116</v>
      </c>
      <c r="I103" s="4" t="str">
        <f t="shared" si="1"/>
        <v>GI-BE-N1-LU-N1</v>
      </c>
      <c r="K103"/>
    </row>
    <row r="104" spans="2:11">
      <c r="C104" t="s">
        <v>33</v>
      </c>
      <c r="D104" s="15" t="s">
        <v>47</v>
      </c>
      <c r="E104" s="60" t="s">
        <v>181</v>
      </c>
      <c r="G104" s="106">
        <v>5.6</v>
      </c>
      <c r="H104" s="23" t="s">
        <v>116</v>
      </c>
      <c r="I104" s="4" t="str">
        <f t="shared" si="1"/>
        <v>GI-FR-N1-DE-N1</v>
      </c>
      <c r="K104"/>
    </row>
    <row r="105" spans="2:11">
      <c r="C105" t="s">
        <v>33</v>
      </c>
      <c r="D105" s="15" t="s">
        <v>47</v>
      </c>
      <c r="E105" s="60" t="s">
        <v>181</v>
      </c>
      <c r="G105" s="106">
        <v>6.8999999999999995</v>
      </c>
      <c r="H105" s="23" t="s">
        <v>116</v>
      </c>
      <c r="I105" s="4" t="str">
        <f t="shared" si="1"/>
        <v>GI-PL-N1-CZ-N1</v>
      </c>
      <c r="K105"/>
    </row>
    <row r="106" spans="2:11">
      <c r="C106" t="s">
        <v>33</v>
      </c>
      <c r="D106" s="15" t="s">
        <v>47</v>
      </c>
      <c r="E106" s="60" t="s">
        <v>181</v>
      </c>
      <c r="G106" s="106">
        <v>3.4</v>
      </c>
      <c r="H106" s="23" t="s">
        <v>116</v>
      </c>
      <c r="I106" s="4" t="str">
        <f t="shared" si="1"/>
        <v>GI-SK-N1-CZ-N1</v>
      </c>
      <c r="K106"/>
    </row>
    <row r="107" spans="2:11">
      <c r="C107" t="s">
        <v>33</v>
      </c>
      <c r="D107" s="15" t="s">
        <v>47</v>
      </c>
      <c r="E107" s="60" t="s">
        <v>181</v>
      </c>
      <c r="G107" s="106">
        <v>1.5</v>
      </c>
      <c r="H107" s="23" t="s">
        <v>116</v>
      </c>
      <c r="I107" s="4" t="str">
        <f t="shared" si="1"/>
        <v>GI-PL-N1-SK-N1</v>
      </c>
      <c r="K107"/>
    </row>
    <row r="108" spans="2:11">
      <c r="C108" t="s">
        <v>33</v>
      </c>
      <c r="D108" s="15" t="s">
        <v>47</v>
      </c>
      <c r="E108" s="60" t="s">
        <v>181</v>
      </c>
      <c r="G108" s="106">
        <v>3.8</v>
      </c>
      <c r="H108" s="23" t="s">
        <v>116</v>
      </c>
      <c r="I108" s="4" t="str">
        <f t="shared" si="1"/>
        <v>GI-DE-N1-CZ-N1</v>
      </c>
      <c r="K108"/>
    </row>
    <row r="109" spans="2:11">
      <c r="C109" t="s">
        <v>33</v>
      </c>
      <c r="D109" s="15" t="s">
        <v>47</v>
      </c>
      <c r="E109" s="60" t="s">
        <v>181</v>
      </c>
      <c r="G109" s="106">
        <v>3</v>
      </c>
      <c r="H109" s="23" t="s">
        <v>116</v>
      </c>
      <c r="I109" s="4" t="str">
        <f t="shared" si="1"/>
        <v>GI-SK-N1-HU-N1</v>
      </c>
      <c r="K109"/>
    </row>
    <row r="110" spans="2:11">
      <c r="C110" t="s">
        <v>33</v>
      </c>
      <c r="D110" s="15" t="s">
        <v>47</v>
      </c>
      <c r="E110" s="60" t="s">
        <v>181</v>
      </c>
      <c r="G110" s="106">
        <v>1.2</v>
      </c>
      <c r="H110" s="23" t="s">
        <v>116</v>
      </c>
      <c r="I110" s="4" t="str">
        <f t="shared" si="1"/>
        <v>GI-SI-N1-AT-N1</v>
      </c>
      <c r="K110"/>
    </row>
    <row r="111" spans="2:11">
      <c r="C111" t="s">
        <v>33</v>
      </c>
      <c r="D111" s="15" t="s">
        <v>47</v>
      </c>
      <c r="E111" s="60" t="s">
        <v>181</v>
      </c>
      <c r="G111" s="106">
        <v>5.0999999999999996</v>
      </c>
      <c r="H111" s="23" t="s">
        <v>116</v>
      </c>
      <c r="I111" s="4" t="str">
        <f t="shared" si="1"/>
        <v>GI-CH-N1-DE-N1</v>
      </c>
      <c r="K111"/>
    </row>
    <row r="112" spans="2:11">
      <c r="C112" t="s">
        <v>33</v>
      </c>
      <c r="D112" s="15" t="s">
        <v>47</v>
      </c>
      <c r="E112" s="60" t="s">
        <v>181</v>
      </c>
      <c r="G112" s="106">
        <v>2.15</v>
      </c>
      <c r="H112" s="23" t="s">
        <v>116</v>
      </c>
      <c r="I112" s="4" t="str">
        <f t="shared" si="1"/>
        <v>GI-IT-N1-SI-N1</v>
      </c>
      <c r="K112"/>
    </row>
    <row r="113" spans="2:156">
      <c r="C113" t="s">
        <v>33</v>
      </c>
      <c r="D113" s="15" t="s">
        <v>47</v>
      </c>
      <c r="E113" s="60" t="s">
        <v>181</v>
      </c>
      <c r="G113" s="106">
        <v>4.8</v>
      </c>
      <c r="H113" s="23" t="s">
        <v>116</v>
      </c>
      <c r="I113" s="4" t="str">
        <f t="shared" si="1"/>
        <v>GI-FR-N1-CH-N1</v>
      </c>
      <c r="K113"/>
    </row>
    <row r="114" spans="2:156">
      <c r="C114" t="s">
        <v>33</v>
      </c>
      <c r="D114" s="15" t="s">
        <v>47</v>
      </c>
      <c r="E114" s="60" t="s">
        <v>181</v>
      </c>
      <c r="G114" s="106">
        <v>3.4</v>
      </c>
      <c r="H114" s="23" t="s">
        <v>116</v>
      </c>
      <c r="I114" s="4" t="str">
        <f t="shared" si="1"/>
        <v>GI-AT-N1-CZ-N1</v>
      </c>
      <c r="K114"/>
    </row>
    <row r="115" spans="2:156">
      <c r="C115" t="s">
        <v>33</v>
      </c>
      <c r="D115" s="15" t="s">
        <v>47</v>
      </c>
      <c r="E115" s="60" t="s">
        <v>181</v>
      </c>
      <c r="G115" s="106">
        <v>6.88</v>
      </c>
      <c r="H115" s="23" t="s">
        <v>116</v>
      </c>
      <c r="I115" s="4" t="str">
        <f t="shared" si="1"/>
        <v>GI-DE-N1-AT-N1</v>
      </c>
      <c r="K115"/>
    </row>
    <row r="116" spans="2:156">
      <c r="C116" t="s">
        <v>33</v>
      </c>
      <c r="D116" s="15" t="s">
        <v>47</v>
      </c>
      <c r="E116" s="60" t="s">
        <v>181</v>
      </c>
      <c r="G116" s="106">
        <v>2.4</v>
      </c>
      <c r="H116" s="23" t="s">
        <v>116</v>
      </c>
      <c r="I116" s="4" t="str">
        <f t="shared" si="1"/>
        <v>GI-CH-N1-AT-N1</v>
      </c>
      <c r="K116"/>
    </row>
    <row r="117" spans="2:156">
      <c r="C117" t="s">
        <v>33</v>
      </c>
      <c r="D117" s="15" t="s">
        <v>47</v>
      </c>
      <c r="E117" s="60" t="s">
        <v>181</v>
      </c>
      <c r="G117" s="106">
        <v>5.64</v>
      </c>
      <c r="H117" s="23" t="s">
        <v>116</v>
      </c>
      <c r="I117" s="4" t="str">
        <f t="shared" si="1"/>
        <v>GI-CH-N1-IT-N1</v>
      </c>
      <c r="K117"/>
    </row>
    <row r="118" spans="2:156">
      <c r="C118" t="s">
        <v>33</v>
      </c>
      <c r="D118" s="15" t="s">
        <v>47</v>
      </c>
      <c r="E118" s="60" t="s">
        <v>181</v>
      </c>
      <c r="G118" s="106">
        <v>4.2</v>
      </c>
      <c r="H118" s="23" t="s">
        <v>116</v>
      </c>
      <c r="I118" s="4" t="str">
        <f t="shared" si="1"/>
        <v>GI-FR-N1-IT-N1</v>
      </c>
      <c r="K118"/>
    </row>
    <row r="119" spans="2:156">
      <c r="C119" t="s">
        <v>33</v>
      </c>
      <c r="D119" s="15" t="s">
        <v>47</v>
      </c>
      <c r="E119" s="60" t="s">
        <v>181</v>
      </c>
      <c r="G119" s="106">
        <v>1.5</v>
      </c>
      <c r="H119" s="23" t="s">
        <v>116</v>
      </c>
      <c r="I119" s="4" t="str">
        <f t="shared" si="1"/>
        <v>GI-AT-N1-HU-N1</v>
      </c>
      <c r="K119"/>
    </row>
    <row r="120" spans="2:156">
      <c r="C120" t="s">
        <v>33</v>
      </c>
      <c r="D120" s="15" t="s">
        <v>47</v>
      </c>
      <c r="E120" s="60" t="s">
        <v>181</v>
      </c>
      <c r="G120" s="106">
        <v>3.1</v>
      </c>
      <c r="H120" s="23" t="s">
        <v>116</v>
      </c>
      <c r="I120" s="4" t="str">
        <f t="shared" si="1"/>
        <v>GI-DE-N1-PL-N1</v>
      </c>
      <c r="K120"/>
    </row>
    <row r="121" spans="2:156" ht="13.5" thickBot="1">
      <c r="B121" s="49"/>
      <c r="C121" s="49" t="s">
        <v>33</v>
      </c>
      <c r="D121" s="49" t="s">
        <v>47</v>
      </c>
      <c r="E121" s="59" t="s">
        <v>181</v>
      </c>
      <c r="F121" s="49"/>
      <c r="G121" s="106">
        <v>2.2000000000000002</v>
      </c>
      <c r="H121" s="47" t="s">
        <v>116</v>
      </c>
      <c r="I121" s="59" t="str">
        <f t="shared" si="1"/>
        <v>GI-AT-N1-IT-N1</v>
      </c>
      <c r="J121" s="49"/>
      <c r="K121"/>
    </row>
    <row r="122" spans="2:156" ht="13.5" thickTop="1">
      <c r="D122" s="15"/>
      <c r="H122" s="4"/>
      <c r="I122" s="4"/>
      <c r="K122"/>
    </row>
    <row r="123" spans="2:156">
      <c r="D123" s="15"/>
      <c r="H123" s="4"/>
      <c r="I123" s="4"/>
      <c r="K123"/>
    </row>
    <row r="125" spans="2:156">
      <c r="E125" s="4" t="s">
        <v>4</v>
      </c>
      <c r="F125" t="s">
        <v>124</v>
      </c>
      <c r="G125" s="4" t="s">
        <v>124</v>
      </c>
      <c r="H125" t="s">
        <v>124</v>
      </c>
      <c r="I125" s="4" t="s">
        <v>124</v>
      </c>
      <c r="J125" t="s">
        <v>33</v>
      </c>
      <c r="L125" t="s">
        <v>124</v>
      </c>
      <c r="M125" s="4" t="s">
        <v>124</v>
      </c>
      <c r="N125" t="s">
        <v>124</v>
      </c>
      <c r="O125" t="s">
        <v>124</v>
      </c>
      <c r="P125" t="s">
        <v>124</v>
      </c>
      <c r="Q125" s="4" t="s">
        <v>124</v>
      </c>
      <c r="R125" t="s">
        <v>124</v>
      </c>
      <c r="S125" t="s">
        <v>124</v>
      </c>
      <c r="T125" t="s">
        <v>124</v>
      </c>
      <c r="U125" t="s">
        <v>124</v>
      </c>
      <c r="V125" t="s">
        <v>124</v>
      </c>
      <c r="W125" t="s">
        <v>124</v>
      </c>
      <c r="X125" t="s">
        <v>124</v>
      </c>
      <c r="Y125" t="s">
        <v>124</v>
      </c>
      <c r="Z125" t="s">
        <v>124</v>
      </c>
      <c r="AA125" s="4" t="s">
        <v>124</v>
      </c>
      <c r="AB125" s="4" t="s">
        <v>124</v>
      </c>
      <c r="AC125" t="s">
        <v>124</v>
      </c>
      <c r="AD125" t="s">
        <v>124</v>
      </c>
      <c r="AE125" t="s">
        <v>124</v>
      </c>
      <c r="AF125" t="s">
        <v>124</v>
      </c>
      <c r="AG125" t="s">
        <v>124</v>
      </c>
      <c r="AH125" t="s">
        <v>124</v>
      </c>
      <c r="AI125" t="s">
        <v>124</v>
      </c>
      <c r="AJ125" t="s">
        <v>124</v>
      </c>
      <c r="AK125" t="s">
        <v>124</v>
      </c>
      <c r="AL125" t="s">
        <v>124</v>
      </c>
      <c r="AM125" t="s">
        <v>124</v>
      </c>
      <c r="AN125" t="s">
        <v>124</v>
      </c>
      <c r="AO125" t="s">
        <v>124</v>
      </c>
      <c r="AP125" t="s">
        <v>124</v>
      </c>
      <c r="AQ125" t="s">
        <v>124</v>
      </c>
      <c r="AR125" t="s">
        <v>124</v>
      </c>
      <c r="AS125" t="s">
        <v>124</v>
      </c>
      <c r="AT125" t="s">
        <v>124</v>
      </c>
      <c r="AU125" t="s">
        <v>124</v>
      </c>
      <c r="AV125" t="s">
        <v>124</v>
      </c>
      <c r="AW125" t="s">
        <v>124</v>
      </c>
      <c r="AX125" t="s">
        <v>124</v>
      </c>
      <c r="AY125" t="s">
        <v>124</v>
      </c>
      <c r="AZ125" t="s">
        <v>124</v>
      </c>
      <c r="BA125" t="s">
        <v>124</v>
      </c>
      <c r="BB125" t="s">
        <v>124</v>
      </c>
      <c r="BC125" t="s">
        <v>124</v>
      </c>
      <c r="BD125" t="s">
        <v>124</v>
      </c>
      <c r="BE125" t="s">
        <v>124</v>
      </c>
      <c r="BF125" t="s">
        <v>124</v>
      </c>
      <c r="BG125" t="s">
        <v>124</v>
      </c>
      <c r="BH125" t="s">
        <v>124</v>
      </c>
      <c r="BI125" t="s">
        <v>124</v>
      </c>
      <c r="BJ125" t="s">
        <v>124</v>
      </c>
      <c r="BK125" t="s">
        <v>124</v>
      </c>
      <c r="BL125" t="s">
        <v>124</v>
      </c>
      <c r="BM125" t="s">
        <v>124</v>
      </c>
      <c r="BN125" t="s">
        <v>124</v>
      </c>
      <c r="BO125" t="s">
        <v>124</v>
      </c>
      <c r="BP125" t="s">
        <v>124</v>
      </c>
      <c r="BQ125" t="s">
        <v>124</v>
      </c>
      <c r="BR125" t="s">
        <v>124</v>
      </c>
      <c r="BS125" t="s">
        <v>124</v>
      </c>
      <c r="BT125" t="s">
        <v>124</v>
      </c>
      <c r="BU125" t="s">
        <v>124</v>
      </c>
      <c r="BV125" t="s">
        <v>124</v>
      </c>
      <c r="BW125" t="s">
        <v>124</v>
      </c>
      <c r="BX125" t="s">
        <v>124</v>
      </c>
      <c r="BY125" t="s">
        <v>124</v>
      </c>
      <c r="BZ125" t="s">
        <v>124</v>
      </c>
      <c r="CA125" t="s">
        <v>124</v>
      </c>
      <c r="CB125" t="s">
        <v>124</v>
      </c>
      <c r="CC125" t="s">
        <v>124</v>
      </c>
      <c r="CD125" t="s">
        <v>124</v>
      </c>
      <c r="CE125" t="s">
        <v>124</v>
      </c>
      <c r="CF125" t="s">
        <v>124</v>
      </c>
      <c r="CG125" t="s">
        <v>124</v>
      </c>
      <c r="CH125" t="s">
        <v>124</v>
      </c>
      <c r="CI125" t="s">
        <v>124</v>
      </c>
      <c r="CJ125" t="s">
        <v>124</v>
      </c>
      <c r="CK125" t="s">
        <v>124</v>
      </c>
      <c r="CL125" t="s">
        <v>124</v>
      </c>
      <c r="CM125" t="s">
        <v>124</v>
      </c>
      <c r="CN125" t="s">
        <v>124</v>
      </c>
      <c r="CO125" t="s">
        <v>124</v>
      </c>
      <c r="CP125" t="s">
        <v>124</v>
      </c>
      <c r="CQ125" t="s">
        <v>124</v>
      </c>
      <c r="CR125" t="s">
        <v>124</v>
      </c>
      <c r="CS125" t="s">
        <v>124</v>
      </c>
      <c r="CT125" t="s">
        <v>124</v>
      </c>
      <c r="CU125" t="s">
        <v>124</v>
      </c>
      <c r="CV125" t="s">
        <v>124</v>
      </c>
      <c r="CW125" t="s">
        <v>124</v>
      </c>
      <c r="CX125" t="s">
        <v>124</v>
      </c>
      <c r="CY125" t="s">
        <v>124</v>
      </c>
      <c r="CZ125" t="s">
        <v>124</v>
      </c>
      <c r="DA125" t="s">
        <v>124</v>
      </c>
      <c r="DB125" t="s">
        <v>124</v>
      </c>
      <c r="DC125" t="s">
        <v>124</v>
      </c>
      <c r="DD125" t="s">
        <v>124</v>
      </c>
      <c r="DE125" t="s">
        <v>124</v>
      </c>
      <c r="DF125" t="s">
        <v>124</v>
      </c>
      <c r="DG125" t="s">
        <v>124</v>
      </c>
      <c r="DH125" t="s">
        <v>124</v>
      </c>
      <c r="DI125" t="s">
        <v>124</v>
      </c>
      <c r="DJ125" t="s">
        <v>124</v>
      </c>
      <c r="DK125" t="s">
        <v>124</v>
      </c>
      <c r="DL125" t="s">
        <v>124</v>
      </c>
      <c r="DM125" t="s">
        <v>124</v>
      </c>
      <c r="DN125" t="s">
        <v>124</v>
      </c>
      <c r="DO125" t="s">
        <v>124</v>
      </c>
      <c r="DP125" t="s">
        <v>124</v>
      </c>
      <c r="DQ125" t="s">
        <v>124</v>
      </c>
      <c r="DR125" t="s">
        <v>124</v>
      </c>
      <c r="DS125" t="s">
        <v>124</v>
      </c>
      <c r="DT125" t="s">
        <v>124</v>
      </c>
      <c r="DU125" t="s">
        <v>124</v>
      </c>
      <c r="DV125" t="s">
        <v>124</v>
      </c>
      <c r="DW125" t="s">
        <v>124</v>
      </c>
      <c r="DX125" t="s">
        <v>33</v>
      </c>
      <c r="DY125" t="s">
        <v>33</v>
      </c>
      <c r="DZ125" t="s">
        <v>33</v>
      </c>
      <c r="EA125" t="s">
        <v>33</v>
      </c>
      <c r="EB125" t="s">
        <v>33</v>
      </c>
      <c r="EC125" t="s">
        <v>33</v>
      </c>
      <c r="ED125" t="s">
        <v>33</v>
      </c>
      <c r="EE125" t="s">
        <v>33</v>
      </c>
      <c r="EF125" t="s">
        <v>33</v>
      </c>
      <c r="EG125" t="s">
        <v>33</v>
      </c>
      <c r="EH125" t="s">
        <v>33</v>
      </c>
      <c r="EI125" t="s">
        <v>33</v>
      </c>
      <c r="EJ125" t="s">
        <v>33</v>
      </c>
      <c r="EK125" t="s">
        <v>33</v>
      </c>
      <c r="EL125" t="s">
        <v>33</v>
      </c>
      <c r="EM125" t="s">
        <v>33</v>
      </c>
      <c r="EN125" t="s">
        <v>33</v>
      </c>
      <c r="EO125" t="s">
        <v>33</v>
      </c>
      <c r="EP125" t="s">
        <v>33</v>
      </c>
      <c r="EQ125" t="s">
        <v>33</v>
      </c>
      <c r="ER125" t="s">
        <v>33</v>
      </c>
      <c r="ES125" t="s">
        <v>33</v>
      </c>
      <c r="ET125" t="s">
        <v>33</v>
      </c>
      <c r="EU125" t="s">
        <v>33</v>
      </c>
      <c r="EV125" t="s">
        <v>33</v>
      </c>
      <c r="EW125" t="s">
        <v>33</v>
      </c>
      <c r="EX125" t="s">
        <v>33</v>
      </c>
      <c r="EY125" t="s">
        <v>33</v>
      </c>
      <c r="EZ125" t="s">
        <v>33</v>
      </c>
    </row>
    <row r="126" spans="2:156">
      <c r="E126" s="4" t="s">
        <v>6</v>
      </c>
      <c r="F126">
        <v>2005</v>
      </c>
      <c r="G126" s="4">
        <v>2010</v>
      </c>
      <c r="H126">
        <v>2015</v>
      </c>
      <c r="I126" s="4">
        <v>2020</v>
      </c>
      <c r="J126">
        <v>2025</v>
      </c>
      <c r="L126">
        <v>2005</v>
      </c>
      <c r="M126" s="4">
        <v>2005</v>
      </c>
      <c r="N126">
        <v>2005</v>
      </c>
      <c r="O126">
        <v>2005</v>
      </c>
      <c r="P126">
        <v>2005</v>
      </c>
      <c r="Q126" s="4">
        <v>2005</v>
      </c>
      <c r="R126">
        <v>2005</v>
      </c>
      <c r="S126">
        <v>2005</v>
      </c>
      <c r="T126">
        <v>2005</v>
      </c>
      <c r="U126">
        <v>2005</v>
      </c>
      <c r="V126">
        <v>2005</v>
      </c>
      <c r="W126">
        <v>2005</v>
      </c>
      <c r="X126">
        <v>2005</v>
      </c>
      <c r="Y126">
        <v>2005</v>
      </c>
      <c r="Z126">
        <v>2005</v>
      </c>
      <c r="AA126" s="4">
        <v>2005</v>
      </c>
      <c r="AB126" s="4">
        <v>2005</v>
      </c>
      <c r="AC126">
        <v>2005</v>
      </c>
      <c r="AD126">
        <v>2005</v>
      </c>
      <c r="AE126">
        <v>2005</v>
      </c>
      <c r="AF126">
        <v>2005</v>
      </c>
      <c r="AG126">
        <v>2005</v>
      </c>
      <c r="AH126">
        <v>2005</v>
      </c>
      <c r="AI126">
        <v>2005</v>
      </c>
      <c r="AJ126">
        <v>2005</v>
      </c>
      <c r="AK126">
        <v>2005</v>
      </c>
      <c r="AL126">
        <v>2005</v>
      </c>
      <c r="AM126">
        <v>2005</v>
      </c>
      <c r="AN126">
        <v>2005</v>
      </c>
      <c r="AO126">
        <v>2010</v>
      </c>
      <c r="AP126">
        <v>2010</v>
      </c>
      <c r="AQ126">
        <v>2010</v>
      </c>
      <c r="AR126">
        <v>2010</v>
      </c>
      <c r="AS126">
        <v>2010</v>
      </c>
      <c r="AT126">
        <v>2010</v>
      </c>
      <c r="AU126">
        <v>2010</v>
      </c>
      <c r="AV126">
        <v>2010</v>
      </c>
      <c r="AW126">
        <v>2010</v>
      </c>
      <c r="AX126">
        <v>2010</v>
      </c>
      <c r="AY126">
        <v>2010</v>
      </c>
      <c r="AZ126">
        <v>2010</v>
      </c>
      <c r="BA126">
        <v>2010</v>
      </c>
      <c r="BB126">
        <v>2010</v>
      </c>
      <c r="BC126">
        <v>2010</v>
      </c>
      <c r="BD126">
        <v>2010</v>
      </c>
      <c r="BE126">
        <v>2010</v>
      </c>
      <c r="BF126">
        <v>2010</v>
      </c>
      <c r="BG126">
        <v>2010</v>
      </c>
      <c r="BH126">
        <v>2010</v>
      </c>
      <c r="BI126">
        <v>2010</v>
      </c>
      <c r="BJ126">
        <v>2010</v>
      </c>
      <c r="BK126">
        <v>2010</v>
      </c>
      <c r="BL126">
        <v>2010</v>
      </c>
      <c r="BM126">
        <v>2010</v>
      </c>
      <c r="BN126">
        <v>2010</v>
      </c>
      <c r="BO126">
        <v>2010</v>
      </c>
      <c r="BP126">
        <v>2010</v>
      </c>
      <c r="BQ126">
        <v>2010</v>
      </c>
      <c r="BR126">
        <v>2015</v>
      </c>
      <c r="BS126">
        <v>2015</v>
      </c>
      <c r="BT126">
        <v>2015</v>
      </c>
      <c r="BU126">
        <v>2015</v>
      </c>
      <c r="BV126">
        <v>2015</v>
      </c>
      <c r="BW126">
        <v>2015</v>
      </c>
      <c r="BX126">
        <v>2015</v>
      </c>
      <c r="BY126">
        <v>2015</v>
      </c>
      <c r="BZ126">
        <v>2015</v>
      </c>
      <c r="CA126">
        <v>2015</v>
      </c>
      <c r="CB126">
        <v>2015</v>
      </c>
      <c r="CC126">
        <v>2015</v>
      </c>
      <c r="CD126">
        <v>2015</v>
      </c>
      <c r="CE126">
        <v>2015</v>
      </c>
      <c r="CF126">
        <v>2015</v>
      </c>
      <c r="CG126">
        <v>2015</v>
      </c>
      <c r="CH126">
        <v>2015</v>
      </c>
      <c r="CI126">
        <v>2015</v>
      </c>
      <c r="CJ126">
        <v>2015</v>
      </c>
      <c r="CK126">
        <v>2015</v>
      </c>
      <c r="CL126">
        <v>2015</v>
      </c>
      <c r="CM126">
        <v>2015</v>
      </c>
      <c r="CN126">
        <v>2015</v>
      </c>
      <c r="CO126">
        <v>2015</v>
      </c>
      <c r="CP126">
        <v>2015</v>
      </c>
      <c r="CQ126">
        <v>2015</v>
      </c>
      <c r="CR126">
        <v>2015</v>
      </c>
      <c r="CS126">
        <v>2015</v>
      </c>
      <c r="CT126">
        <v>2015</v>
      </c>
      <c r="CU126">
        <v>2020</v>
      </c>
      <c r="CV126">
        <v>2020</v>
      </c>
      <c r="CW126">
        <v>2020</v>
      </c>
      <c r="CX126">
        <v>2020</v>
      </c>
      <c r="CY126">
        <v>2020</v>
      </c>
      <c r="CZ126">
        <v>2020</v>
      </c>
      <c r="DA126">
        <v>2020</v>
      </c>
      <c r="DB126">
        <v>2020</v>
      </c>
      <c r="DC126">
        <v>2020</v>
      </c>
      <c r="DD126">
        <v>2020</v>
      </c>
      <c r="DE126">
        <v>2020</v>
      </c>
      <c r="DF126">
        <v>2020</v>
      </c>
      <c r="DG126">
        <v>2020</v>
      </c>
      <c r="DH126">
        <v>2020</v>
      </c>
      <c r="DI126">
        <v>2020</v>
      </c>
      <c r="DJ126">
        <v>2020</v>
      </c>
      <c r="DK126">
        <v>2020</v>
      </c>
      <c r="DL126">
        <v>2020</v>
      </c>
      <c r="DM126">
        <v>2020</v>
      </c>
      <c r="DN126">
        <v>2020</v>
      </c>
      <c r="DO126">
        <v>2020</v>
      </c>
      <c r="DP126">
        <v>2020</v>
      </c>
      <c r="DQ126">
        <v>2020</v>
      </c>
      <c r="DR126">
        <v>2020</v>
      </c>
      <c r="DS126">
        <v>2020</v>
      </c>
      <c r="DT126">
        <v>2020</v>
      </c>
      <c r="DU126">
        <v>2020</v>
      </c>
      <c r="DV126">
        <v>2020</v>
      </c>
      <c r="DW126">
        <v>2020</v>
      </c>
      <c r="DX126">
        <v>2025</v>
      </c>
      <c r="DY126">
        <v>2025</v>
      </c>
      <c r="DZ126">
        <v>2025</v>
      </c>
      <c r="EA126">
        <v>2025</v>
      </c>
      <c r="EB126">
        <v>2025</v>
      </c>
      <c r="EC126">
        <v>2025</v>
      </c>
      <c r="ED126">
        <v>2025</v>
      </c>
      <c r="EE126">
        <v>2025</v>
      </c>
      <c r="EF126">
        <v>2025</v>
      </c>
      <c r="EG126">
        <v>2025</v>
      </c>
      <c r="EH126">
        <v>2025</v>
      </c>
      <c r="EI126">
        <v>2025</v>
      </c>
      <c r="EJ126">
        <v>2025</v>
      </c>
      <c r="EK126">
        <v>2025</v>
      </c>
      <c r="EL126">
        <v>2025</v>
      </c>
      <c r="EM126">
        <v>2025</v>
      </c>
      <c r="EN126">
        <v>2025</v>
      </c>
      <c r="EO126">
        <v>2025</v>
      </c>
      <c r="EP126">
        <v>2025</v>
      </c>
      <c r="EQ126">
        <v>2025</v>
      </c>
      <c r="ER126">
        <v>2025</v>
      </c>
      <c r="ES126">
        <v>2025</v>
      </c>
      <c r="ET126">
        <v>2025</v>
      </c>
      <c r="EU126">
        <v>2025</v>
      </c>
      <c r="EV126">
        <v>2025</v>
      </c>
      <c r="EW126">
        <v>2025</v>
      </c>
      <c r="EX126">
        <v>2025</v>
      </c>
      <c r="EY126">
        <v>2025</v>
      </c>
      <c r="EZ126">
        <v>2025</v>
      </c>
    </row>
    <row r="127" spans="2:156">
      <c r="D127" t="s">
        <v>5</v>
      </c>
      <c r="E127" s="4" t="s">
        <v>180</v>
      </c>
      <c r="L127" t="s">
        <v>76</v>
      </c>
      <c r="M127" s="4" t="s">
        <v>77</v>
      </c>
      <c r="N127" t="s">
        <v>151</v>
      </c>
      <c r="O127" t="s">
        <v>78</v>
      </c>
      <c r="P127" t="s">
        <v>85</v>
      </c>
      <c r="Q127" s="4" t="s">
        <v>79</v>
      </c>
      <c r="R127" t="s">
        <v>160</v>
      </c>
      <c r="S127" t="s">
        <v>167</v>
      </c>
      <c r="T127" t="s">
        <v>170</v>
      </c>
      <c r="U127" t="s">
        <v>168</v>
      </c>
      <c r="V127" t="s">
        <v>80</v>
      </c>
      <c r="W127" t="s">
        <v>152</v>
      </c>
      <c r="X127" t="s">
        <v>87</v>
      </c>
      <c r="Y127" t="s">
        <v>172</v>
      </c>
      <c r="Z127" t="s">
        <v>175</v>
      </c>
      <c r="AA127" s="4" t="s">
        <v>86</v>
      </c>
      <c r="AB127" s="4" t="s">
        <v>178</v>
      </c>
      <c r="AC127" t="s">
        <v>96</v>
      </c>
      <c r="AD127" t="s">
        <v>169</v>
      </c>
      <c r="AE127" t="s">
        <v>176</v>
      </c>
      <c r="AF127" t="s">
        <v>81</v>
      </c>
      <c r="AG127" t="s">
        <v>164</v>
      </c>
      <c r="AH127" t="s">
        <v>82</v>
      </c>
      <c r="AI127" t="s">
        <v>171</v>
      </c>
      <c r="AJ127" t="s">
        <v>153</v>
      </c>
      <c r="AK127" t="s">
        <v>166</v>
      </c>
      <c r="AL127" t="s">
        <v>83</v>
      </c>
      <c r="AM127" t="s">
        <v>84</v>
      </c>
      <c r="AN127" t="s">
        <v>150</v>
      </c>
      <c r="AO127" t="s">
        <v>76</v>
      </c>
      <c r="AP127" t="s">
        <v>77</v>
      </c>
      <c r="AQ127" t="s">
        <v>151</v>
      </c>
      <c r="AR127" t="s">
        <v>78</v>
      </c>
      <c r="AS127" t="s">
        <v>85</v>
      </c>
      <c r="AT127" t="s">
        <v>79</v>
      </c>
      <c r="AU127" t="s">
        <v>160</v>
      </c>
      <c r="AV127" t="s">
        <v>167</v>
      </c>
      <c r="AW127" t="s">
        <v>170</v>
      </c>
      <c r="AX127" t="s">
        <v>168</v>
      </c>
      <c r="AY127" t="s">
        <v>80</v>
      </c>
      <c r="AZ127" t="s">
        <v>152</v>
      </c>
      <c r="BA127" t="s">
        <v>87</v>
      </c>
      <c r="BB127" t="s">
        <v>172</v>
      </c>
      <c r="BC127" t="s">
        <v>175</v>
      </c>
      <c r="BD127" t="s">
        <v>86</v>
      </c>
      <c r="BE127" t="s">
        <v>178</v>
      </c>
      <c r="BF127" t="s">
        <v>96</v>
      </c>
      <c r="BG127" t="s">
        <v>169</v>
      </c>
      <c r="BH127" t="s">
        <v>176</v>
      </c>
      <c r="BI127" t="s">
        <v>81</v>
      </c>
      <c r="BJ127" t="s">
        <v>164</v>
      </c>
      <c r="BK127" t="s">
        <v>82</v>
      </c>
      <c r="BL127" t="s">
        <v>171</v>
      </c>
      <c r="BM127" t="s">
        <v>153</v>
      </c>
      <c r="BN127" t="s">
        <v>166</v>
      </c>
      <c r="BO127" t="s">
        <v>83</v>
      </c>
      <c r="BP127" t="s">
        <v>84</v>
      </c>
      <c r="BQ127" t="s">
        <v>150</v>
      </c>
      <c r="BR127" t="s">
        <v>76</v>
      </c>
      <c r="BS127" t="s">
        <v>77</v>
      </c>
      <c r="BT127" t="s">
        <v>151</v>
      </c>
      <c r="BU127" t="s">
        <v>78</v>
      </c>
      <c r="BV127" t="s">
        <v>85</v>
      </c>
      <c r="BW127" t="s">
        <v>79</v>
      </c>
      <c r="BX127" t="s">
        <v>160</v>
      </c>
      <c r="BY127" t="s">
        <v>167</v>
      </c>
      <c r="BZ127" t="s">
        <v>170</v>
      </c>
      <c r="CA127" t="s">
        <v>168</v>
      </c>
      <c r="CB127" t="s">
        <v>80</v>
      </c>
      <c r="CC127" t="s">
        <v>152</v>
      </c>
      <c r="CD127" t="s">
        <v>87</v>
      </c>
      <c r="CE127" t="s">
        <v>172</v>
      </c>
      <c r="CF127" t="s">
        <v>175</v>
      </c>
      <c r="CG127" t="s">
        <v>86</v>
      </c>
      <c r="CH127" t="s">
        <v>178</v>
      </c>
      <c r="CI127" t="s">
        <v>96</v>
      </c>
      <c r="CJ127" t="s">
        <v>169</v>
      </c>
      <c r="CK127" t="s">
        <v>176</v>
      </c>
      <c r="CL127" t="s">
        <v>81</v>
      </c>
      <c r="CM127" t="s">
        <v>164</v>
      </c>
      <c r="CN127" t="s">
        <v>82</v>
      </c>
      <c r="CO127" t="s">
        <v>171</v>
      </c>
      <c r="CP127" t="s">
        <v>153</v>
      </c>
      <c r="CQ127" t="s">
        <v>166</v>
      </c>
      <c r="CR127" t="s">
        <v>83</v>
      </c>
      <c r="CS127" t="s">
        <v>84</v>
      </c>
      <c r="CT127" t="s">
        <v>150</v>
      </c>
      <c r="CU127" t="s">
        <v>76</v>
      </c>
      <c r="CV127" t="s">
        <v>77</v>
      </c>
      <c r="CW127" t="s">
        <v>151</v>
      </c>
      <c r="CX127" t="s">
        <v>78</v>
      </c>
      <c r="CY127" t="s">
        <v>85</v>
      </c>
      <c r="CZ127" t="s">
        <v>79</v>
      </c>
      <c r="DA127" t="s">
        <v>160</v>
      </c>
      <c r="DB127" t="s">
        <v>167</v>
      </c>
      <c r="DC127" t="s">
        <v>170</v>
      </c>
      <c r="DD127" t="s">
        <v>168</v>
      </c>
      <c r="DE127" t="s">
        <v>80</v>
      </c>
      <c r="DF127" t="s">
        <v>152</v>
      </c>
      <c r="DG127" t="s">
        <v>87</v>
      </c>
      <c r="DH127" t="s">
        <v>172</v>
      </c>
      <c r="DI127" t="s">
        <v>175</v>
      </c>
      <c r="DJ127" t="s">
        <v>86</v>
      </c>
      <c r="DK127" t="s">
        <v>178</v>
      </c>
      <c r="DL127" t="s">
        <v>96</v>
      </c>
      <c r="DM127" t="s">
        <v>169</v>
      </c>
      <c r="DN127" t="s">
        <v>176</v>
      </c>
      <c r="DO127" t="s">
        <v>81</v>
      </c>
      <c r="DP127" t="s">
        <v>164</v>
      </c>
      <c r="DQ127" t="s">
        <v>82</v>
      </c>
      <c r="DR127" t="s">
        <v>171</v>
      </c>
      <c r="DS127" t="s">
        <v>153</v>
      </c>
      <c r="DT127" t="s">
        <v>166</v>
      </c>
      <c r="DU127" t="s">
        <v>83</v>
      </c>
      <c r="DV127" t="s">
        <v>84</v>
      </c>
      <c r="DW127" t="s">
        <v>150</v>
      </c>
      <c r="DX127" t="s">
        <v>76</v>
      </c>
      <c r="DY127" t="s">
        <v>77</v>
      </c>
      <c r="DZ127" t="s">
        <v>151</v>
      </c>
      <c r="EA127" t="s">
        <v>78</v>
      </c>
      <c r="EB127" t="s">
        <v>85</v>
      </c>
      <c r="EC127" t="s">
        <v>79</v>
      </c>
      <c r="ED127" t="s">
        <v>160</v>
      </c>
      <c r="EE127" t="s">
        <v>167</v>
      </c>
      <c r="EF127" t="s">
        <v>170</v>
      </c>
      <c r="EG127" t="s">
        <v>168</v>
      </c>
      <c r="EH127" t="s">
        <v>80</v>
      </c>
      <c r="EI127" t="s">
        <v>152</v>
      </c>
      <c r="EJ127" t="s">
        <v>87</v>
      </c>
      <c r="EK127" t="s">
        <v>172</v>
      </c>
      <c r="EL127" t="s">
        <v>175</v>
      </c>
      <c r="EM127" t="s">
        <v>86</v>
      </c>
      <c r="EN127" t="s">
        <v>178</v>
      </c>
      <c r="EO127" t="s">
        <v>96</v>
      </c>
      <c r="EP127" t="s">
        <v>169</v>
      </c>
      <c r="EQ127" t="s">
        <v>176</v>
      </c>
      <c r="ER127" t="s">
        <v>81</v>
      </c>
      <c r="ES127" t="s">
        <v>164</v>
      </c>
      <c r="ET127" t="s">
        <v>82</v>
      </c>
      <c r="EU127" t="s">
        <v>171</v>
      </c>
      <c r="EV127" t="s">
        <v>153</v>
      </c>
      <c r="EW127" t="s">
        <v>166</v>
      </c>
      <c r="EX127" t="s">
        <v>83</v>
      </c>
      <c r="EY127" t="s">
        <v>84</v>
      </c>
      <c r="EZ127" t="s">
        <v>150</v>
      </c>
    </row>
    <row r="128" spans="2:156">
      <c r="D128" t="s">
        <v>47</v>
      </c>
      <c r="E128" s="18" t="s">
        <v>141</v>
      </c>
      <c r="F128" s="94">
        <f t="shared" ref="F128:F150" si="2">MAX(L128:AN128)</f>
        <v>1.2</v>
      </c>
      <c r="G128" s="94">
        <f t="shared" ref="G128:G150" si="3">MAX(AO128:BQ128)</f>
        <v>1.2</v>
      </c>
      <c r="H128" s="94">
        <f t="shared" ref="H128:H150" si="4">MAX(BR128:CT128)</f>
        <v>1.2</v>
      </c>
      <c r="I128" s="94">
        <f t="shared" ref="I128:I150" si="5">MAX(CU128:DW128)</f>
        <v>1.4</v>
      </c>
      <c r="J128" s="94">
        <f t="shared" ref="J128:J150" si="6">MAX(DX128:EZ128)</f>
        <v>1.4</v>
      </c>
      <c r="L128">
        <v>1.2</v>
      </c>
      <c r="M128" s="4"/>
      <c r="O128">
        <v>1.2</v>
      </c>
      <c r="Q128" s="4"/>
      <c r="U128"/>
      <c r="V128"/>
      <c r="AA128" s="4"/>
      <c r="AB128" s="4"/>
      <c r="AO128">
        <v>1.2</v>
      </c>
      <c r="AR128">
        <v>1.2</v>
      </c>
      <c r="BR128">
        <v>1.2</v>
      </c>
      <c r="BU128">
        <v>1.2</v>
      </c>
      <c r="CU128">
        <v>1.4</v>
      </c>
      <c r="CX128">
        <v>1.4</v>
      </c>
      <c r="DX128">
        <v>1.4</v>
      </c>
      <c r="EA128">
        <v>1.4</v>
      </c>
    </row>
    <row r="129" spans="4:155">
      <c r="D129" t="s">
        <v>47</v>
      </c>
      <c r="E129" s="18" t="s">
        <v>142</v>
      </c>
      <c r="F129" s="94">
        <f t="shared" si="2"/>
        <v>0.7</v>
      </c>
      <c r="G129" s="94">
        <f t="shared" si="3"/>
        <v>2.1800000000000002</v>
      </c>
      <c r="H129" s="94">
        <f t="shared" si="4"/>
        <v>2.1800000000000002</v>
      </c>
      <c r="I129" s="94">
        <f t="shared" si="5"/>
        <v>2.1800000000000002</v>
      </c>
      <c r="J129" s="94">
        <f t="shared" si="6"/>
        <v>2.1800000000000002</v>
      </c>
      <c r="L129">
        <v>0.6</v>
      </c>
      <c r="M129" s="4"/>
      <c r="P129">
        <v>0.7</v>
      </c>
      <c r="Q129" s="4"/>
      <c r="U129"/>
      <c r="V129"/>
      <c r="AA129" s="4"/>
      <c r="AB129" s="4"/>
      <c r="AO129">
        <v>1.2</v>
      </c>
      <c r="AS129">
        <v>2.1800000000000002</v>
      </c>
      <c r="BR129">
        <v>1.2</v>
      </c>
      <c r="BV129">
        <v>2.1800000000000002</v>
      </c>
      <c r="CU129">
        <v>1.2</v>
      </c>
      <c r="CY129">
        <v>2.1800000000000002</v>
      </c>
      <c r="DX129">
        <v>1.2</v>
      </c>
      <c r="EB129">
        <v>2.1800000000000002</v>
      </c>
    </row>
    <row r="130" spans="4:155">
      <c r="D130" t="s">
        <v>47</v>
      </c>
      <c r="E130" s="18" t="s">
        <v>143</v>
      </c>
      <c r="F130" s="94">
        <f t="shared" si="2"/>
        <v>1.6</v>
      </c>
      <c r="G130" s="94">
        <f t="shared" si="3"/>
        <v>2.2000000000000002</v>
      </c>
      <c r="H130" s="94">
        <f t="shared" si="4"/>
        <v>2.2000000000000002</v>
      </c>
      <c r="I130" s="94">
        <f t="shared" si="5"/>
        <v>6.88</v>
      </c>
      <c r="J130" s="94">
        <f t="shared" si="6"/>
        <v>6.88</v>
      </c>
      <c r="L130">
        <v>1.4</v>
      </c>
      <c r="M130" s="4"/>
      <c r="Q130" s="4">
        <v>1.6</v>
      </c>
      <c r="U130"/>
      <c r="V130"/>
      <c r="AA130" s="4"/>
      <c r="AB130" s="4"/>
      <c r="AO130">
        <v>2</v>
      </c>
      <c r="AT130">
        <v>2.2000000000000002</v>
      </c>
      <c r="BR130">
        <v>2</v>
      </c>
      <c r="BW130">
        <v>2.2000000000000002</v>
      </c>
      <c r="CU130">
        <v>6.88</v>
      </c>
      <c r="CZ130">
        <v>6.88</v>
      </c>
      <c r="DX130">
        <v>6.88</v>
      </c>
      <c r="EC130">
        <v>6.88</v>
      </c>
    </row>
    <row r="131" spans="4:155">
      <c r="D131" t="s">
        <v>47</v>
      </c>
      <c r="E131" s="18" t="s">
        <v>144</v>
      </c>
      <c r="F131" s="94">
        <f t="shared" si="2"/>
        <v>0.5</v>
      </c>
      <c r="G131" s="94">
        <f t="shared" si="3"/>
        <v>0.8</v>
      </c>
      <c r="H131" s="94">
        <f t="shared" si="4"/>
        <v>1.5</v>
      </c>
      <c r="I131" s="94">
        <f t="shared" si="5"/>
        <v>1.5</v>
      </c>
      <c r="J131" s="94">
        <f t="shared" si="6"/>
        <v>1.5</v>
      </c>
      <c r="L131">
        <v>0.5</v>
      </c>
      <c r="M131" s="4"/>
      <c r="Q131" s="4"/>
      <c r="U131"/>
      <c r="V131"/>
      <c r="X131">
        <v>0.5</v>
      </c>
      <c r="AA131" s="4"/>
      <c r="AB131" s="4"/>
      <c r="AO131">
        <v>0.7</v>
      </c>
      <c r="BA131">
        <v>0.8</v>
      </c>
      <c r="BR131">
        <v>1.5</v>
      </c>
      <c r="CD131">
        <v>1.2</v>
      </c>
      <c r="CU131">
        <v>1.5</v>
      </c>
      <c r="DG131">
        <v>1.2</v>
      </c>
      <c r="DX131">
        <v>1.5</v>
      </c>
      <c r="EJ131">
        <v>1.2</v>
      </c>
    </row>
    <row r="132" spans="4:155">
      <c r="D132" t="s">
        <v>47</v>
      </c>
      <c r="E132" s="18" t="s">
        <v>145</v>
      </c>
      <c r="F132" s="94">
        <f t="shared" si="2"/>
        <v>0.22</v>
      </c>
      <c r="G132" s="94">
        <f t="shared" si="3"/>
        <v>0.28499999999999998</v>
      </c>
      <c r="H132" s="94">
        <f t="shared" si="4"/>
        <v>0.3</v>
      </c>
      <c r="I132" s="94">
        <f t="shared" si="5"/>
        <v>0.3</v>
      </c>
      <c r="J132" s="94">
        <f t="shared" si="6"/>
        <v>2.2000000000000002</v>
      </c>
      <c r="L132">
        <v>0.22</v>
      </c>
      <c r="M132" s="4"/>
      <c r="Q132" s="4"/>
      <c r="U132"/>
      <c r="V132"/>
      <c r="AA132" s="4">
        <v>0</v>
      </c>
      <c r="AB132" s="4"/>
      <c r="AO132">
        <v>0.22</v>
      </c>
      <c r="BD132">
        <v>0.28499999999999998</v>
      </c>
      <c r="BR132">
        <v>0.3</v>
      </c>
      <c r="CG132">
        <v>0.28499999999999998</v>
      </c>
      <c r="CU132">
        <v>0.3</v>
      </c>
      <c r="DJ132">
        <v>0.3</v>
      </c>
      <c r="DX132">
        <v>2.2000000000000002</v>
      </c>
      <c r="EM132">
        <v>2.2000000000000002</v>
      </c>
    </row>
    <row r="133" spans="4:155">
      <c r="D133" t="s">
        <v>47</v>
      </c>
      <c r="E133" s="18" t="s">
        <v>146</v>
      </c>
      <c r="F133" s="94">
        <f t="shared" si="2"/>
        <v>0.65</v>
      </c>
      <c r="G133" s="94">
        <f t="shared" si="3"/>
        <v>0.9</v>
      </c>
      <c r="H133" s="94">
        <f t="shared" si="4"/>
        <v>0.9</v>
      </c>
      <c r="I133" s="94">
        <f t="shared" si="5"/>
        <v>1.2</v>
      </c>
      <c r="J133" s="94">
        <f t="shared" si="6"/>
        <v>1.2</v>
      </c>
      <c r="L133">
        <v>0.45</v>
      </c>
      <c r="M133" s="4"/>
      <c r="Q133" s="4"/>
      <c r="U133"/>
      <c r="V133"/>
      <c r="AA133" s="4"/>
      <c r="AB133" s="4"/>
      <c r="AL133">
        <v>0.65</v>
      </c>
      <c r="AO133">
        <v>0.9</v>
      </c>
      <c r="BO133">
        <v>0.9</v>
      </c>
      <c r="BR133">
        <v>0.9</v>
      </c>
      <c r="CR133">
        <v>0.9</v>
      </c>
      <c r="CU133">
        <v>1.2</v>
      </c>
      <c r="DU133">
        <v>1.2</v>
      </c>
      <c r="DX133">
        <v>1.2</v>
      </c>
      <c r="EX133">
        <v>1.2</v>
      </c>
    </row>
    <row r="134" spans="4:155">
      <c r="D134" t="s">
        <v>47</v>
      </c>
      <c r="E134" s="18" t="s">
        <v>147</v>
      </c>
      <c r="F134" s="94">
        <f t="shared" si="2"/>
        <v>3.2</v>
      </c>
      <c r="G134" s="94">
        <f t="shared" si="3"/>
        <v>3.4</v>
      </c>
      <c r="H134" s="94">
        <f t="shared" si="4"/>
        <v>3.7</v>
      </c>
      <c r="I134" s="94">
        <f t="shared" si="5"/>
        <v>3.7</v>
      </c>
      <c r="J134" s="94">
        <f t="shared" si="6"/>
        <v>3.7</v>
      </c>
      <c r="M134" s="4">
        <v>2.65</v>
      </c>
      <c r="Q134" s="4"/>
      <c r="U134"/>
      <c r="V134">
        <v>3.2</v>
      </c>
      <c r="AA134" s="4"/>
      <c r="AB134" s="4"/>
      <c r="AP134">
        <v>2.65</v>
      </c>
      <c r="AY134">
        <v>3.4</v>
      </c>
      <c r="BS134">
        <v>2.8</v>
      </c>
      <c r="CB134">
        <v>3.7</v>
      </c>
      <c r="CV134">
        <v>2.8</v>
      </c>
      <c r="DE134">
        <v>3.7</v>
      </c>
      <c r="DY134">
        <v>2.8</v>
      </c>
      <c r="EH134">
        <v>3.7</v>
      </c>
    </row>
    <row r="135" spans="4:155">
      <c r="D135" t="s">
        <v>47</v>
      </c>
      <c r="E135" s="18" t="s">
        <v>148</v>
      </c>
      <c r="F135" s="94">
        <f t="shared" si="2"/>
        <v>0</v>
      </c>
      <c r="G135" s="94">
        <f t="shared" si="3"/>
        <v>0.3</v>
      </c>
      <c r="H135" s="94">
        <f t="shared" si="4"/>
        <v>0.6</v>
      </c>
      <c r="I135" s="94">
        <f t="shared" si="5"/>
        <v>0.6</v>
      </c>
      <c r="J135" s="94">
        <f t="shared" si="6"/>
        <v>0.6</v>
      </c>
      <c r="M135" s="4">
        <v>0</v>
      </c>
      <c r="Q135" s="4"/>
      <c r="U135"/>
      <c r="V135"/>
      <c r="AA135" s="4"/>
      <c r="AB135" s="4"/>
      <c r="AC135">
        <v>0</v>
      </c>
      <c r="AP135">
        <v>0.3</v>
      </c>
      <c r="BF135">
        <v>0.3</v>
      </c>
      <c r="BS135">
        <v>0.6</v>
      </c>
      <c r="CI135">
        <v>0.6</v>
      </c>
      <c r="CV135">
        <v>0.6</v>
      </c>
      <c r="DL135">
        <v>0.6</v>
      </c>
      <c r="DY135">
        <v>0.6</v>
      </c>
      <c r="EO135">
        <v>0.6</v>
      </c>
    </row>
    <row r="136" spans="4:155">
      <c r="D136" t="s">
        <v>47</v>
      </c>
      <c r="E136" s="18" t="s">
        <v>149</v>
      </c>
      <c r="F136" s="94">
        <f t="shared" si="2"/>
        <v>2.4</v>
      </c>
      <c r="G136" s="94">
        <f t="shared" si="3"/>
        <v>2.4</v>
      </c>
      <c r="H136" s="94">
        <f t="shared" si="4"/>
        <v>2.4</v>
      </c>
      <c r="I136" s="94">
        <f t="shared" si="5"/>
        <v>2.4</v>
      </c>
      <c r="J136" s="94">
        <f t="shared" si="6"/>
        <v>2.4</v>
      </c>
      <c r="M136" s="4">
        <v>2.4</v>
      </c>
      <c r="Q136" s="4"/>
      <c r="U136"/>
      <c r="V136"/>
      <c r="AA136" s="4"/>
      <c r="AB136" s="4"/>
      <c r="AF136">
        <v>2.35</v>
      </c>
      <c r="AP136">
        <v>2.4</v>
      </c>
      <c r="BI136">
        <v>2.4</v>
      </c>
      <c r="BS136">
        <v>2.4</v>
      </c>
      <c r="CL136">
        <v>2.4</v>
      </c>
      <c r="CV136">
        <v>2.4</v>
      </c>
      <c r="DO136">
        <v>2.4</v>
      </c>
      <c r="DY136">
        <v>2.4</v>
      </c>
      <c r="ER136">
        <v>2.4</v>
      </c>
    </row>
    <row r="137" spans="4:155">
      <c r="D137" t="s">
        <v>47</v>
      </c>
      <c r="E137" s="18" t="s">
        <v>154</v>
      </c>
      <c r="F137" s="94">
        <f t="shared" si="2"/>
        <v>4.4000000000000004</v>
      </c>
      <c r="G137" s="94">
        <f t="shared" si="3"/>
        <v>4.4000000000000004</v>
      </c>
      <c r="H137" s="94">
        <f t="shared" si="4"/>
        <v>4.4000000000000004</v>
      </c>
      <c r="I137" s="94">
        <f t="shared" si="5"/>
        <v>4.4000000000000004</v>
      </c>
      <c r="J137" s="94">
        <f t="shared" si="6"/>
        <v>4.4000000000000004</v>
      </c>
      <c r="M137" s="4"/>
      <c r="O137">
        <v>4.4000000000000004</v>
      </c>
      <c r="Q137" s="4">
        <v>3.4</v>
      </c>
      <c r="U137"/>
      <c r="V137"/>
      <c r="AA137" s="4"/>
      <c r="AB137" s="4"/>
      <c r="AR137">
        <v>4.4000000000000004</v>
      </c>
      <c r="AT137">
        <v>3.4</v>
      </c>
      <c r="BU137">
        <v>4.4000000000000004</v>
      </c>
      <c r="BW137">
        <v>3.4</v>
      </c>
      <c r="CX137">
        <v>4.4000000000000004</v>
      </c>
      <c r="CZ137">
        <v>3.4</v>
      </c>
      <c r="EA137">
        <v>4.4000000000000004</v>
      </c>
      <c r="EC137">
        <v>3.4</v>
      </c>
    </row>
    <row r="138" spans="4:155">
      <c r="D138" t="s">
        <v>47</v>
      </c>
      <c r="E138" s="18" t="s">
        <v>155</v>
      </c>
      <c r="F138" s="94">
        <f t="shared" si="2"/>
        <v>3.5</v>
      </c>
      <c r="G138" s="94">
        <f t="shared" si="3"/>
        <v>3.5</v>
      </c>
      <c r="H138" s="94">
        <f t="shared" si="4"/>
        <v>3.5</v>
      </c>
      <c r="I138" s="94">
        <f t="shared" si="5"/>
        <v>3.5</v>
      </c>
      <c r="J138" s="94">
        <f t="shared" si="6"/>
        <v>3.5</v>
      </c>
      <c r="M138" s="4"/>
      <c r="O138">
        <v>3.5</v>
      </c>
      <c r="Q138" s="4"/>
      <c r="U138"/>
      <c r="V138">
        <v>3.2</v>
      </c>
      <c r="AA138" s="4"/>
      <c r="AB138" s="4"/>
      <c r="AR138">
        <v>3.5</v>
      </c>
      <c r="AY138">
        <v>3.2</v>
      </c>
      <c r="BU138">
        <v>3.5</v>
      </c>
      <c r="CB138">
        <v>3.2</v>
      </c>
      <c r="CX138">
        <v>3.5</v>
      </c>
      <c r="DE138">
        <v>3.2</v>
      </c>
      <c r="EA138">
        <v>3.5</v>
      </c>
      <c r="EH138">
        <v>3.2</v>
      </c>
    </row>
    <row r="139" spans="4:155">
      <c r="D139" t="s">
        <v>47</v>
      </c>
      <c r="E139" s="18" t="s">
        <v>156</v>
      </c>
      <c r="F139" s="94">
        <f t="shared" si="2"/>
        <v>3.85</v>
      </c>
      <c r="G139" s="94">
        <f t="shared" si="3"/>
        <v>4.6399999999999997</v>
      </c>
      <c r="H139" s="94">
        <f t="shared" si="4"/>
        <v>4.6399999999999997</v>
      </c>
      <c r="I139" s="94">
        <f t="shared" si="5"/>
        <v>5.64</v>
      </c>
      <c r="J139" s="94">
        <f t="shared" si="6"/>
        <v>6.54</v>
      </c>
      <c r="M139" s="4"/>
      <c r="O139">
        <v>3.85</v>
      </c>
      <c r="Q139" s="4"/>
      <c r="U139"/>
      <c r="V139"/>
      <c r="AA139" s="4">
        <v>0</v>
      </c>
      <c r="AB139" s="4"/>
      <c r="AR139">
        <v>4.6399999999999997</v>
      </c>
      <c r="BD139">
        <v>1.81</v>
      </c>
      <c r="BU139">
        <v>4.6399999999999997</v>
      </c>
      <c r="CG139">
        <v>1.81</v>
      </c>
      <c r="CX139">
        <v>5.64</v>
      </c>
      <c r="DJ139">
        <v>2.81</v>
      </c>
      <c r="EA139">
        <v>6.54</v>
      </c>
      <c r="EM139">
        <v>3.71</v>
      </c>
    </row>
    <row r="140" spans="4:155">
      <c r="D140" t="s">
        <v>47</v>
      </c>
      <c r="E140" s="18" t="s">
        <v>157</v>
      </c>
      <c r="F140" s="94">
        <f t="shared" si="2"/>
        <v>2.2999999999999998</v>
      </c>
      <c r="G140" s="94">
        <f t="shared" si="3"/>
        <v>2.2999999999999998</v>
      </c>
      <c r="H140" s="94">
        <f t="shared" si="4"/>
        <v>2.2999999999999998</v>
      </c>
      <c r="I140" s="94">
        <f t="shared" si="5"/>
        <v>3.8</v>
      </c>
      <c r="J140" s="94">
        <f t="shared" si="6"/>
        <v>3.8</v>
      </c>
      <c r="M140" s="4"/>
      <c r="P140">
        <v>2.2999999999999998</v>
      </c>
      <c r="Q140" s="4">
        <v>0.7</v>
      </c>
      <c r="U140"/>
      <c r="V140"/>
      <c r="AA140" s="4"/>
      <c r="AB140" s="4"/>
      <c r="AS140">
        <v>2.2999999999999998</v>
      </c>
      <c r="AT140">
        <v>0.8</v>
      </c>
      <c r="BV140">
        <v>2.2999999999999998</v>
      </c>
      <c r="BW140">
        <v>0.8</v>
      </c>
      <c r="CY140">
        <v>3.8</v>
      </c>
      <c r="CZ140">
        <v>2.2999999999999998</v>
      </c>
      <c r="EB140">
        <v>3.8</v>
      </c>
      <c r="EC140">
        <v>2.2999999999999998</v>
      </c>
    </row>
    <row r="141" spans="4:155">
      <c r="D141" t="s">
        <v>47</v>
      </c>
      <c r="E141" s="18" t="s">
        <v>158</v>
      </c>
      <c r="F141" s="94">
        <f t="shared" si="2"/>
        <v>1.8</v>
      </c>
      <c r="G141" s="94">
        <f t="shared" si="3"/>
        <v>2</v>
      </c>
      <c r="H141" s="94">
        <f t="shared" si="4"/>
        <v>2</v>
      </c>
      <c r="I141" s="94">
        <f t="shared" si="5"/>
        <v>2</v>
      </c>
      <c r="J141" s="94">
        <f t="shared" si="6"/>
        <v>2</v>
      </c>
      <c r="M141" s="4"/>
      <c r="P141">
        <v>0.8</v>
      </c>
      <c r="Q141" s="4"/>
      <c r="U141"/>
      <c r="V141"/>
      <c r="AA141" s="4"/>
      <c r="AB141" s="4"/>
      <c r="AH141">
        <v>1.8</v>
      </c>
      <c r="AS141">
        <v>0.8</v>
      </c>
      <c r="BK141">
        <v>2</v>
      </c>
      <c r="BV141">
        <v>0.8</v>
      </c>
      <c r="CN141">
        <v>2</v>
      </c>
      <c r="CY141">
        <v>0.8</v>
      </c>
      <c r="DQ141">
        <v>2</v>
      </c>
      <c r="EB141">
        <v>0.8</v>
      </c>
      <c r="ET141">
        <v>2</v>
      </c>
    </row>
    <row r="142" spans="4:155">
      <c r="D142" t="s">
        <v>47</v>
      </c>
      <c r="E142" s="18" t="s">
        <v>159</v>
      </c>
      <c r="F142" s="94">
        <f t="shared" si="2"/>
        <v>1.4</v>
      </c>
      <c r="G142" s="94">
        <f t="shared" si="3"/>
        <v>2</v>
      </c>
      <c r="H142" s="94">
        <f t="shared" si="4"/>
        <v>2</v>
      </c>
      <c r="I142" s="94">
        <f t="shared" si="5"/>
        <v>2</v>
      </c>
      <c r="J142" s="94">
        <f t="shared" si="6"/>
        <v>2</v>
      </c>
      <c r="M142" s="4"/>
      <c r="P142">
        <v>1.4</v>
      </c>
      <c r="Q142" s="4"/>
      <c r="U142"/>
      <c r="V142"/>
      <c r="AA142" s="4"/>
      <c r="AB142" s="4"/>
      <c r="AM142">
        <v>1.4</v>
      </c>
      <c r="AS142">
        <v>2</v>
      </c>
      <c r="BP142">
        <v>1.4</v>
      </c>
      <c r="BV142">
        <v>2</v>
      </c>
      <c r="CS142">
        <v>1.4</v>
      </c>
      <c r="CY142">
        <v>2</v>
      </c>
      <c r="DV142">
        <v>1.4</v>
      </c>
      <c r="EB142">
        <v>2</v>
      </c>
      <c r="EY142">
        <v>1.4</v>
      </c>
    </row>
    <row r="143" spans="4:155">
      <c r="D143" t="s">
        <v>47</v>
      </c>
      <c r="E143" s="18" t="s">
        <v>161</v>
      </c>
      <c r="F143" s="94">
        <f t="shared" si="2"/>
        <v>5.6</v>
      </c>
      <c r="G143" s="94">
        <f t="shared" si="3"/>
        <v>5.6</v>
      </c>
      <c r="H143" s="94">
        <f t="shared" si="4"/>
        <v>5.6</v>
      </c>
      <c r="I143" s="94">
        <f t="shared" si="5"/>
        <v>5.6</v>
      </c>
      <c r="J143" s="94">
        <f t="shared" si="6"/>
        <v>5.6</v>
      </c>
      <c r="M143" s="4"/>
      <c r="Q143" s="4">
        <v>5.6</v>
      </c>
      <c r="U143"/>
      <c r="V143">
        <v>2.85</v>
      </c>
      <c r="AA143" s="4"/>
      <c r="AB143" s="4"/>
      <c r="AT143">
        <v>5.6</v>
      </c>
      <c r="AY143">
        <v>2.9</v>
      </c>
      <c r="BW143">
        <v>5.6</v>
      </c>
      <c r="CB143">
        <v>2.9</v>
      </c>
      <c r="CZ143">
        <v>5.6</v>
      </c>
      <c r="DE143">
        <v>2.9</v>
      </c>
      <c r="EC143">
        <v>5.6</v>
      </c>
      <c r="EH143">
        <v>3.15</v>
      </c>
    </row>
    <row r="144" spans="4:155">
      <c r="D144" t="s">
        <v>47</v>
      </c>
      <c r="E144" s="18" t="s">
        <v>162</v>
      </c>
      <c r="F144" s="94">
        <f t="shared" si="2"/>
        <v>0</v>
      </c>
      <c r="G144" s="94">
        <f t="shared" si="3"/>
        <v>0.98</v>
      </c>
      <c r="H144" s="94">
        <f t="shared" si="4"/>
        <v>0.98</v>
      </c>
      <c r="I144" s="94">
        <f t="shared" si="5"/>
        <v>0.98</v>
      </c>
      <c r="J144" s="94">
        <f t="shared" si="6"/>
        <v>0.98</v>
      </c>
      <c r="M144" s="4"/>
      <c r="Q144" s="4">
        <v>0</v>
      </c>
      <c r="U144"/>
      <c r="V144"/>
      <c r="AA144" s="4"/>
      <c r="AB144" s="4"/>
      <c r="AC144">
        <v>0</v>
      </c>
      <c r="AT144">
        <v>0.98</v>
      </c>
      <c r="BF144">
        <v>0</v>
      </c>
      <c r="BW144">
        <v>0.98</v>
      </c>
      <c r="CI144">
        <v>0</v>
      </c>
      <c r="CZ144">
        <v>0.98</v>
      </c>
      <c r="DL144">
        <v>0</v>
      </c>
      <c r="EC144">
        <v>0.98</v>
      </c>
      <c r="EO144">
        <v>0</v>
      </c>
    </row>
    <row r="145" spans="4:155">
      <c r="D145" t="s">
        <v>47</v>
      </c>
      <c r="E145" s="18" t="s">
        <v>163</v>
      </c>
      <c r="F145" s="94">
        <f t="shared" si="2"/>
        <v>3.8</v>
      </c>
      <c r="G145" s="94">
        <f t="shared" si="3"/>
        <v>3.85</v>
      </c>
      <c r="H145" s="94">
        <f t="shared" si="4"/>
        <v>5.35</v>
      </c>
      <c r="I145" s="94">
        <f t="shared" si="5"/>
        <v>5.35</v>
      </c>
      <c r="J145" s="94">
        <f t="shared" si="6"/>
        <v>5.35</v>
      </c>
      <c r="M145" s="4"/>
      <c r="Q145" s="4">
        <v>3.8</v>
      </c>
      <c r="U145"/>
      <c r="V145"/>
      <c r="AA145" s="4"/>
      <c r="AB145" s="4"/>
      <c r="AF145">
        <v>3</v>
      </c>
      <c r="AT145">
        <v>3.85</v>
      </c>
      <c r="BI145">
        <v>3</v>
      </c>
      <c r="BW145">
        <v>5.35</v>
      </c>
      <c r="CL145">
        <v>4.5</v>
      </c>
      <c r="CZ145">
        <v>5.35</v>
      </c>
      <c r="DO145">
        <v>4.5</v>
      </c>
      <c r="EC145">
        <v>5.35</v>
      </c>
      <c r="ER145">
        <v>4.5</v>
      </c>
    </row>
    <row r="146" spans="4:155">
      <c r="D146" t="s">
        <v>47</v>
      </c>
      <c r="E146" s="18" t="s">
        <v>165</v>
      </c>
      <c r="F146" s="94">
        <f t="shared" si="2"/>
        <v>1.2</v>
      </c>
      <c r="G146" s="94">
        <f t="shared" si="3"/>
        <v>1.2</v>
      </c>
      <c r="H146" s="94">
        <f t="shared" si="4"/>
        <v>1.6</v>
      </c>
      <c r="I146" s="94">
        <f t="shared" si="5"/>
        <v>3.1</v>
      </c>
      <c r="J146" s="94">
        <f t="shared" si="6"/>
        <v>3.1</v>
      </c>
      <c r="M146" s="4"/>
      <c r="Q146" s="4">
        <v>1.2</v>
      </c>
      <c r="U146"/>
      <c r="V146"/>
      <c r="AA146" s="4"/>
      <c r="AB146" s="4"/>
      <c r="AH146">
        <v>1.1000000000000001</v>
      </c>
      <c r="AT146">
        <v>1.2</v>
      </c>
      <c r="BK146">
        <v>1.1000000000000001</v>
      </c>
      <c r="BW146">
        <v>1.6</v>
      </c>
      <c r="CN146">
        <v>1.5</v>
      </c>
      <c r="CZ146">
        <v>3.1</v>
      </c>
      <c r="DQ146">
        <v>3</v>
      </c>
      <c r="EC146">
        <v>3.1</v>
      </c>
      <c r="ET146">
        <v>3</v>
      </c>
    </row>
    <row r="147" spans="4:155">
      <c r="D147" t="s">
        <v>47</v>
      </c>
      <c r="E147" s="18" t="s">
        <v>173</v>
      </c>
      <c r="F147" s="94">
        <f t="shared" si="2"/>
        <v>2.65</v>
      </c>
      <c r="G147" s="94">
        <f t="shared" si="3"/>
        <v>2.65</v>
      </c>
      <c r="H147" s="94">
        <f t="shared" si="4"/>
        <v>3.25</v>
      </c>
      <c r="I147" s="94">
        <f t="shared" si="5"/>
        <v>4.2</v>
      </c>
      <c r="J147" s="94">
        <f t="shared" si="6"/>
        <v>4.2</v>
      </c>
      <c r="M147" s="4"/>
      <c r="Q147" s="4"/>
      <c r="U147"/>
      <c r="V147">
        <v>2.65</v>
      </c>
      <c r="AA147" s="4">
        <v>0</v>
      </c>
      <c r="AB147" s="4"/>
      <c r="AY147">
        <v>2.65</v>
      </c>
      <c r="BD147">
        <v>0.995</v>
      </c>
      <c r="CB147">
        <v>3.25</v>
      </c>
      <c r="CG147">
        <v>1.595</v>
      </c>
      <c r="DE147">
        <v>4.2</v>
      </c>
      <c r="DJ147">
        <v>2.5950000000000002</v>
      </c>
      <c r="EH147">
        <v>4.2</v>
      </c>
      <c r="EM147">
        <v>2.5950000000000002</v>
      </c>
    </row>
    <row r="148" spans="4:155">
      <c r="D148" t="s">
        <v>47</v>
      </c>
      <c r="E148" s="18" t="s">
        <v>174</v>
      </c>
      <c r="F148" s="94">
        <f t="shared" si="2"/>
        <v>0.9</v>
      </c>
      <c r="G148" s="94">
        <f t="shared" si="3"/>
        <v>1.5</v>
      </c>
      <c r="H148" s="94">
        <f t="shared" si="4"/>
        <v>1.5</v>
      </c>
      <c r="I148" s="94">
        <f t="shared" si="5"/>
        <v>3</v>
      </c>
      <c r="J148" s="94">
        <f t="shared" si="6"/>
        <v>3</v>
      </c>
      <c r="M148" s="4"/>
      <c r="Q148" s="4"/>
      <c r="U148"/>
      <c r="V148"/>
      <c r="X148">
        <v>0.8</v>
      </c>
      <c r="AA148" s="4"/>
      <c r="AB148" s="4"/>
      <c r="AM148">
        <v>0.9</v>
      </c>
      <c r="BA148">
        <v>0.8</v>
      </c>
      <c r="BP148">
        <v>1.5</v>
      </c>
      <c r="CD148">
        <v>0.8</v>
      </c>
      <c r="CS148">
        <v>1.5</v>
      </c>
      <c r="DG148">
        <v>2.1</v>
      </c>
      <c r="DV148">
        <v>3</v>
      </c>
      <c r="EJ148">
        <v>2.1</v>
      </c>
      <c r="EY148">
        <v>3</v>
      </c>
    </row>
    <row r="149" spans="4:155">
      <c r="D149" t="s">
        <v>47</v>
      </c>
      <c r="E149" s="18" t="s">
        <v>177</v>
      </c>
      <c r="F149" s="94">
        <f t="shared" si="2"/>
        <v>0.43</v>
      </c>
      <c r="G149" s="94">
        <f t="shared" si="3"/>
        <v>0.65</v>
      </c>
      <c r="H149" s="94">
        <f t="shared" si="4"/>
        <v>0.65</v>
      </c>
      <c r="I149" s="94">
        <f t="shared" si="5"/>
        <v>2.15</v>
      </c>
      <c r="J149" s="94">
        <f t="shared" si="6"/>
        <v>2.15</v>
      </c>
      <c r="M149" s="4"/>
      <c r="Q149" s="4"/>
      <c r="U149"/>
      <c r="V149"/>
      <c r="AA149" s="4">
        <v>0</v>
      </c>
      <c r="AB149" s="4"/>
      <c r="AL149">
        <v>0.43</v>
      </c>
      <c r="BD149">
        <v>0.65</v>
      </c>
      <c r="BO149">
        <v>0.65</v>
      </c>
      <c r="CG149">
        <v>0.65</v>
      </c>
      <c r="CR149">
        <v>0.65</v>
      </c>
      <c r="DJ149">
        <v>2.15</v>
      </c>
      <c r="DU149">
        <v>2.15</v>
      </c>
      <c r="EM149">
        <v>2.15</v>
      </c>
      <c r="EX149">
        <v>2.15</v>
      </c>
    </row>
    <row r="150" spans="4:155">
      <c r="D150" t="s">
        <v>47</v>
      </c>
      <c r="E150" s="18" t="s">
        <v>179</v>
      </c>
      <c r="F150" s="94">
        <f t="shared" si="2"/>
        <v>0.75</v>
      </c>
      <c r="G150" s="94">
        <f t="shared" si="3"/>
        <v>0.75</v>
      </c>
      <c r="H150" s="94">
        <f t="shared" si="4"/>
        <v>0.75</v>
      </c>
      <c r="I150" s="94">
        <f t="shared" si="5"/>
        <v>0.75</v>
      </c>
      <c r="J150" s="94">
        <f t="shared" si="6"/>
        <v>1.5</v>
      </c>
      <c r="M150" s="4"/>
      <c r="Q150" s="4"/>
      <c r="U150"/>
      <c r="V150"/>
      <c r="AA150" s="4"/>
      <c r="AB150" s="4"/>
      <c r="AH150">
        <v>0.75</v>
      </c>
      <c r="AM150">
        <v>0.75</v>
      </c>
      <c r="BK150">
        <v>0.75</v>
      </c>
      <c r="BP150">
        <v>0.75</v>
      </c>
      <c r="CN150">
        <v>0.75</v>
      </c>
      <c r="CS150">
        <v>0.75</v>
      </c>
      <c r="DQ150">
        <v>0.75</v>
      </c>
      <c r="DV150">
        <v>0.75</v>
      </c>
      <c r="ET150">
        <v>1.5</v>
      </c>
      <c r="EY150">
        <v>1.4</v>
      </c>
    </row>
    <row r="154" spans="4:155">
      <c r="E154"/>
      <c r="G154" s="4" t="s">
        <v>188</v>
      </c>
      <c r="H154" s="100" t="str">
        <f>IF(ISERROR(#REF!-#REF!),"",#REF!-#REF!)</f>
        <v/>
      </c>
      <c r="I154" s="100" t="str">
        <f>IF(ISERROR(#REF!-#REF!),"",#REF!-#REF!)</f>
        <v/>
      </c>
      <c r="J154" s="100" t="str">
        <f>IF(ISERROR(#REF!-#REF!),"",#REF!-#REF!)</f>
        <v/>
      </c>
      <c r="K154" s="100" t="str">
        <f>IF(ISERROR(#REF!-#REF!),"",#REF!-#REF!)</f>
        <v/>
      </c>
      <c r="L154" s="100" t="str">
        <f>IF(ISERROR(#REF!-#REF!),"",#REF!-#REF!)</f>
        <v/>
      </c>
      <c r="M154" s="100" t="str">
        <f>IF(ISERROR(#REF!-#REF!),"",#REF!-#REF!)</f>
        <v/>
      </c>
      <c r="N154" s="100" t="str">
        <f>IF(ISERROR(#REF!-#REF!),"",#REF!-#REF!)</f>
        <v/>
      </c>
      <c r="O154" s="100">
        <f t="shared" ref="O154:T154" si="7">IF(ISERROR(O76-O30),"",O76-O30)</f>
        <v>0</v>
      </c>
      <c r="P154" s="100">
        <f t="shared" si="7"/>
        <v>0</v>
      </c>
      <c r="Q154" s="100">
        <f t="shared" si="7"/>
        <v>0</v>
      </c>
      <c r="R154" s="100">
        <f t="shared" si="7"/>
        <v>0</v>
      </c>
      <c r="S154" s="100">
        <f t="shared" si="7"/>
        <v>0</v>
      </c>
      <c r="T154" s="100">
        <f t="shared" si="7"/>
        <v>0</v>
      </c>
    </row>
    <row r="155" spans="4:155">
      <c r="E155"/>
      <c r="G155" s="4" t="s">
        <v>189</v>
      </c>
      <c r="H155" s="100" t="str">
        <f>IF(ISERROR(#REF!-#REF!),"",#REF!-#REF!)</f>
        <v/>
      </c>
      <c r="I155" s="100" t="str">
        <f>IF(ISERROR(#REF!-#REF!),"",#REF!-#REF!)</f>
        <v/>
      </c>
      <c r="J155" s="100" t="str">
        <f>IF(ISERROR(#REF!-#REF!),"",#REF!-#REF!)</f>
        <v/>
      </c>
      <c r="K155" s="100" t="str">
        <f>IF(ISERROR(#REF!-#REF!),"",#REF!-#REF!)</f>
        <v/>
      </c>
      <c r="L155" s="100" t="str">
        <f>IF(ISERROR(#REF!-#REF!),"",#REF!-#REF!)</f>
        <v/>
      </c>
      <c r="M155" s="100" t="str">
        <f>IF(ISERROR(#REF!-#REF!),"",#REF!-#REF!)</f>
        <v/>
      </c>
      <c r="N155" s="100" t="str">
        <f>IF(ISERROR(#REF!-#REF!),"",#REF!-#REF!)</f>
        <v/>
      </c>
      <c r="O155" s="100">
        <f t="shared" ref="O155:T155" si="8">IF(ISERROR(O77-O31),"",O77-O31)</f>
        <v>0</v>
      </c>
      <c r="P155" s="100">
        <f t="shared" si="8"/>
        <v>0</v>
      </c>
      <c r="Q155" s="100">
        <f t="shared" si="8"/>
        <v>0</v>
      </c>
      <c r="R155" s="100">
        <f t="shared" si="8"/>
        <v>0</v>
      </c>
      <c r="S155" s="100">
        <f t="shared" si="8"/>
        <v>0</v>
      </c>
      <c r="T155" s="100">
        <f t="shared" si="8"/>
        <v>0</v>
      </c>
    </row>
    <row r="156" spans="4:155">
      <c r="E156"/>
      <c r="G156" s="4" t="s">
        <v>190</v>
      </c>
      <c r="H156" s="100" t="str">
        <f>IF(ISERROR(#REF!-#REF!),"",#REF!-#REF!)</f>
        <v/>
      </c>
      <c r="I156" s="100" t="str">
        <f>IF(ISERROR(#REF!-#REF!),"",#REF!-#REF!)</f>
        <v/>
      </c>
      <c r="J156" s="100" t="str">
        <f>IF(ISERROR(#REF!-#REF!),"",#REF!-#REF!)</f>
        <v/>
      </c>
      <c r="K156" s="100" t="str">
        <f>IF(ISERROR(#REF!-#REF!),"",#REF!-#REF!)</f>
        <v/>
      </c>
      <c r="L156" s="100" t="str">
        <f>IF(ISERROR(#REF!-#REF!),"",#REF!-#REF!)</f>
        <v/>
      </c>
      <c r="M156" s="100" t="str">
        <f>IF(ISERROR(#REF!-#REF!),"",#REF!-#REF!)</f>
        <v/>
      </c>
      <c r="N156" s="100" t="str">
        <f>IF(ISERROR(#REF!-#REF!),"",#REF!-#REF!)</f>
        <v/>
      </c>
      <c r="O156" s="100">
        <f t="shared" ref="O156:T156" si="9">IF(ISERROR(O78-O32),"",O78-O32)</f>
        <v>0</v>
      </c>
      <c r="P156" s="100">
        <f t="shared" si="9"/>
        <v>0</v>
      </c>
      <c r="Q156" s="100">
        <f t="shared" si="9"/>
        <v>0</v>
      </c>
      <c r="R156" s="100">
        <f t="shared" si="9"/>
        <v>0</v>
      </c>
      <c r="S156" s="100">
        <f t="shared" si="9"/>
        <v>0</v>
      </c>
      <c r="T156" s="100">
        <f t="shared" si="9"/>
        <v>0</v>
      </c>
    </row>
    <row r="157" spans="4:155">
      <c r="E157"/>
      <c r="G157" s="4" t="s">
        <v>191</v>
      </c>
      <c r="H157" s="100" t="str">
        <f>IF(ISERROR(#REF!-#REF!),"",#REF!-#REF!)</f>
        <v/>
      </c>
      <c r="I157" s="100" t="str">
        <f>IF(ISERROR(#REF!-#REF!),"",#REF!-#REF!)</f>
        <v/>
      </c>
      <c r="J157" s="100" t="str">
        <f>IF(ISERROR(#REF!-#REF!),"",#REF!-#REF!)</f>
        <v/>
      </c>
      <c r="K157" s="100" t="str">
        <f>IF(ISERROR(#REF!-#REF!),"",#REF!-#REF!)</f>
        <v/>
      </c>
      <c r="L157" s="100" t="str">
        <f>IF(ISERROR(#REF!-#REF!),"",#REF!-#REF!)</f>
        <v/>
      </c>
      <c r="M157" s="100" t="str">
        <f>IF(ISERROR(#REF!-#REF!),"",#REF!-#REF!)</f>
        <v/>
      </c>
      <c r="N157" s="100" t="str">
        <f>IF(ISERROR(#REF!-#REF!),"",#REF!-#REF!)</f>
        <v/>
      </c>
      <c r="O157" s="100">
        <f t="shared" ref="O157:T157" si="10">IF(ISERROR(O79-O33),"",O79-O33)</f>
        <v>0</v>
      </c>
      <c r="P157" s="100">
        <f t="shared" si="10"/>
        <v>0</v>
      </c>
      <c r="Q157" s="100">
        <f t="shared" si="10"/>
        <v>0</v>
      </c>
      <c r="R157" s="100">
        <f t="shared" si="10"/>
        <v>0</v>
      </c>
      <c r="S157" s="100">
        <f t="shared" si="10"/>
        <v>0</v>
      </c>
      <c r="T157" s="100">
        <f t="shared" si="10"/>
        <v>0</v>
      </c>
    </row>
    <row r="158" spans="4:155">
      <c r="E158" s="28"/>
      <c r="G158" s="4" t="s">
        <v>192</v>
      </c>
      <c r="H158" s="100" t="str">
        <f>IF(ISERROR(#REF!-#REF!),"",#REF!-#REF!)</f>
        <v/>
      </c>
      <c r="I158" s="102" t="str">
        <f>IF(ISERROR(#REF!-#REF!),"",#REF!-#REF!)</f>
        <v/>
      </c>
      <c r="J158" s="100" t="str">
        <f>IF(ISERROR(#REF!-#REF!),"",#REF!-#REF!)</f>
        <v/>
      </c>
      <c r="K158" s="100" t="str">
        <f>IF(ISERROR(#REF!-#REF!),"",#REF!-#REF!)</f>
        <v/>
      </c>
      <c r="L158" s="100" t="str">
        <f>IF(ISERROR(#REF!-#REF!),"",#REF!-#REF!)</f>
        <v/>
      </c>
      <c r="M158" s="100" t="str">
        <f>IF(ISERROR(#REF!-#REF!),"",#REF!-#REF!)</f>
        <v/>
      </c>
      <c r="N158" s="100" t="str">
        <f>IF(ISERROR(#REF!-#REF!),"",#REF!-#REF!)</f>
        <v/>
      </c>
      <c r="O158" s="100">
        <f t="shared" ref="O158:T158" si="11">IF(ISERROR(O80-O34),"",O80-O34)</f>
        <v>0</v>
      </c>
      <c r="P158" s="100">
        <f t="shared" si="11"/>
        <v>0</v>
      </c>
      <c r="Q158" s="100">
        <f t="shared" si="11"/>
        <v>0</v>
      </c>
      <c r="R158" s="100">
        <f t="shared" si="11"/>
        <v>0</v>
      </c>
      <c r="S158" s="100">
        <f t="shared" si="11"/>
        <v>0</v>
      </c>
      <c r="T158" s="100">
        <f t="shared" si="11"/>
        <v>0</v>
      </c>
    </row>
    <row r="159" spans="4:155">
      <c r="E159" s="28"/>
      <c r="G159" s="4" t="s">
        <v>193</v>
      </c>
      <c r="H159" s="100" t="str">
        <f>IF(ISERROR(#REF!-#REF!),"",#REF!-#REF!)</f>
        <v/>
      </c>
      <c r="I159" s="100" t="str">
        <f>IF(ISERROR(#REF!-#REF!),"",#REF!-#REF!)</f>
        <v/>
      </c>
      <c r="J159" s="100" t="str">
        <f>IF(ISERROR(#REF!-#REF!),"",#REF!-#REF!)</f>
        <v/>
      </c>
      <c r="K159" s="100" t="str">
        <f>IF(ISERROR(#REF!-#REF!),"",#REF!-#REF!)</f>
        <v/>
      </c>
      <c r="L159" s="100" t="str">
        <f>IF(ISERROR(#REF!-#REF!),"",#REF!-#REF!)</f>
        <v/>
      </c>
      <c r="M159" s="100" t="str">
        <f>IF(ISERROR(#REF!-#REF!),"",#REF!-#REF!)</f>
        <v/>
      </c>
      <c r="N159" s="100" t="str">
        <f>IF(ISERROR(#REF!-#REF!),"",#REF!-#REF!)</f>
        <v/>
      </c>
      <c r="O159" s="100">
        <f t="shared" ref="O159:T159" si="12">IF(ISERROR(O81-O35),"",O81-O35)</f>
        <v>0</v>
      </c>
      <c r="P159" s="100">
        <f t="shared" si="12"/>
        <v>0</v>
      </c>
      <c r="Q159" s="100">
        <f t="shared" si="12"/>
        <v>0</v>
      </c>
      <c r="R159" s="100">
        <f t="shared" si="12"/>
        <v>0</v>
      </c>
      <c r="S159" s="100">
        <f t="shared" si="12"/>
        <v>0</v>
      </c>
      <c r="T159" s="100">
        <f t="shared" si="12"/>
        <v>0</v>
      </c>
    </row>
    <row r="160" spans="4:155">
      <c r="E160" s="28"/>
      <c r="G160" s="4" t="s">
        <v>194</v>
      </c>
      <c r="H160" s="100" t="str">
        <f>IF(ISERROR(#REF!-#REF!),"",#REF!-#REF!)</f>
        <v/>
      </c>
      <c r="I160" s="100" t="str">
        <f>IF(ISERROR(#REF!-#REF!),"",#REF!-#REF!)</f>
        <v/>
      </c>
      <c r="J160" s="100" t="str">
        <f>IF(ISERROR(#REF!-#REF!),"",#REF!-#REF!)</f>
        <v/>
      </c>
      <c r="K160" s="100" t="str">
        <f>IF(ISERROR(#REF!-#REF!),"",#REF!-#REF!)</f>
        <v/>
      </c>
      <c r="L160" s="100" t="str">
        <f>IF(ISERROR(#REF!-#REF!),"",#REF!-#REF!)</f>
        <v/>
      </c>
      <c r="M160" s="100" t="str">
        <f>IF(ISERROR(#REF!-#REF!),"",#REF!-#REF!)</f>
        <v/>
      </c>
      <c r="N160" s="102" t="str">
        <f>IF(ISERROR(#REF!-#REF!),"",#REF!-#REF!)</f>
        <v/>
      </c>
      <c r="O160" s="100">
        <f t="shared" ref="O160:T160" si="13">IF(ISERROR(O82-O36),"",O82-O36)</f>
        <v>0</v>
      </c>
      <c r="P160" s="100">
        <f t="shared" si="13"/>
        <v>0</v>
      </c>
      <c r="Q160" s="100">
        <f t="shared" si="13"/>
        <v>0</v>
      </c>
      <c r="R160" s="100">
        <f t="shared" si="13"/>
        <v>0</v>
      </c>
      <c r="S160" s="100">
        <f t="shared" si="13"/>
        <v>0</v>
      </c>
      <c r="T160" s="100">
        <f t="shared" si="13"/>
        <v>0</v>
      </c>
    </row>
    <row r="161" spans="5:20">
      <c r="E161" s="28"/>
      <c r="G161" s="4" t="s">
        <v>195</v>
      </c>
      <c r="H161" s="100" t="str">
        <f>IF(ISERROR(#REF!-#REF!),"",#REF!-#REF!)</f>
        <v/>
      </c>
      <c r="I161" s="100" t="str">
        <f>IF(ISERROR(#REF!-#REF!),"",#REF!-#REF!)</f>
        <v/>
      </c>
      <c r="J161" s="100" t="str">
        <f>IF(ISERROR(#REF!-#REF!),"",#REF!-#REF!)</f>
        <v/>
      </c>
      <c r="K161" s="100" t="str">
        <f>IF(ISERROR(#REF!-#REF!),"",#REF!-#REF!)</f>
        <v/>
      </c>
      <c r="L161" s="100" t="str">
        <f>IF(ISERROR(#REF!-#REF!),"",#REF!-#REF!)</f>
        <v/>
      </c>
      <c r="M161" s="100" t="str">
        <f>IF(ISERROR(#REF!-#REF!),"",#REF!-#REF!)</f>
        <v/>
      </c>
      <c r="N161" s="100" t="str">
        <f>IF(ISERROR(#REF!-#REF!),"",#REF!-#REF!)</f>
        <v/>
      </c>
      <c r="O161" s="100">
        <f t="shared" ref="O161:T161" si="14">IF(ISERROR(O83-O37),"",O83-O37)</f>
        <v>0</v>
      </c>
      <c r="P161" s="100">
        <f t="shared" si="14"/>
        <v>0</v>
      </c>
      <c r="Q161" s="100">
        <f t="shared" si="14"/>
        <v>0</v>
      </c>
      <c r="R161" s="100">
        <f t="shared" si="14"/>
        <v>0</v>
      </c>
      <c r="S161" s="100">
        <f t="shared" si="14"/>
        <v>0</v>
      </c>
      <c r="T161" s="100">
        <f t="shared" si="14"/>
        <v>0</v>
      </c>
    </row>
    <row r="162" spans="5:20">
      <c r="E162" s="28"/>
      <c r="G162" s="4" t="s">
        <v>196</v>
      </c>
      <c r="H162" s="100" t="str">
        <f>IF(ISERROR(#REF!-#REF!),"",#REF!-#REF!)</f>
        <v/>
      </c>
      <c r="I162" s="100" t="str">
        <f>IF(ISERROR(#REF!-#REF!),"",#REF!-#REF!)</f>
        <v/>
      </c>
      <c r="J162" s="100" t="str">
        <f>IF(ISERROR(#REF!-#REF!),"",#REF!-#REF!)</f>
        <v/>
      </c>
      <c r="K162" s="100" t="str">
        <f>IF(ISERROR(#REF!-#REF!),"",#REF!-#REF!)</f>
        <v/>
      </c>
      <c r="L162" s="100" t="str">
        <f>IF(ISERROR(#REF!-#REF!),"",#REF!-#REF!)</f>
        <v/>
      </c>
      <c r="M162" s="100" t="str">
        <f>IF(ISERROR(#REF!-#REF!),"",#REF!-#REF!)</f>
        <v/>
      </c>
      <c r="N162" s="100" t="str">
        <f>IF(ISERROR(#REF!-#REF!),"",#REF!-#REF!)</f>
        <v/>
      </c>
      <c r="O162" s="100">
        <f t="shared" ref="O162:T162" si="15">IF(ISERROR(O84-O38),"",O84-O38)</f>
        <v>0</v>
      </c>
      <c r="P162" s="100">
        <f t="shared" si="15"/>
        <v>0</v>
      </c>
      <c r="Q162" s="100">
        <f t="shared" si="15"/>
        <v>0</v>
      </c>
      <c r="R162" s="100">
        <f t="shared" si="15"/>
        <v>0</v>
      </c>
      <c r="S162" s="100">
        <f t="shared" si="15"/>
        <v>0</v>
      </c>
      <c r="T162" s="100">
        <f t="shared" si="15"/>
        <v>0</v>
      </c>
    </row>
    <row r="163" spans="5:20">
      <c r="E163" s="28"/>
      <c r="G163" s="4" t="s">
        <v>197</v>
      </c>
      <c r="H163" s="100" t="str">
        <f>IF(ISERROR(#REF!-#REF!),"",#REF!-#REF!)</f>
        <v/>
      </c>
      <c r="I163" s="100" t="str">
        <f>IF(ISERROR(#REF!-#REF!),"",#REF!-#REF!)</f>
        <v/>
      </c>
      <c r="J163" s="100" t="str">
        <f>IF(ISERROR(#REF!-#REF!),"",#REF!-#REF!)</f>
        <v/>
      </c>
      <c r="K163" s="100" t="str">
        <f>IF(ISERROR(#REF!-#REF!),"",#REF!-#REF!)</f>
        <v/>
      </c>
      <c r="L163" s="100" t="str">
        <f>IF(ISERROR(#REF!-#REF!),"",#REF!-#REF!)</f>
        <v/>
      </c>
      <c r="M163" s="100" t="str">
        <f>IF(ISERROR(#REF!-#REF!),"",#REF!-#REF!)</f>
        <v/>
      </c>
      <c r="N163" s="100" t="str">
        <f>IF(ISERROR(#REF!-#REF!),"",#REF!-#REF!)</f>
        <v/>
      </c>
      <c r="O163" s="100">
        <f t="shared" ref="O163:T163" si="16">IF(ISERROR(O85-O39),"",O85-O39)</f>
        <v>0</v>
      </c>
      <c r="P163" s="100">
        <f t="shared" si="16"/>
        <v>0</v>
      </c>
      <c r="Q163" s="100">
        <f t="shared" si="16"/>
        <v>0</v>
      </c>
      <c r="R163" s="100">
        <f t="shared" si="16"/>
        <v>0</v>
      </c>
      <c r="S163" s="100">
        <f t="shared" si="16"/>
        <v>0</v>
      </c>
      <c r="T163" s="100">
        <f t="shared" si="16"/>
        <v>0</v>
      </c>
    </row>
    <row r="164" spans="5:20">
      <c r="E164" s="28"/>
      <c r="G164" s="4" t="s">
        <v>198</v>
      </c>
      <c r="H164" s="100" t="str">
        <f>IF(ISERROR(#REF!-#REF!),"",#REF!-#REF!)</f>
        <v/>
      </c>
      <c r="I164" s="100" t="str">
        <f>IF(ISERROR(#REF!-#REF!),"",#REF!-#REF!)</f>
        <v/>
      </c>
      <c r="J164" s="100" t="str">
        <f>IF(ISERROR(#REF!-#REF!),"",#REF!-#REF!)</f>
        <v/>
      </c>
      <c r="K164" s="100" t="str">
        <f>IF(ISERROR(#REF!-#REF!),"",#REF!-#REF!)</f>
        <v/>
      </c>
      <c r="L164" s="100" t="str">
        <f>IF(ISERROR(#REF!-#REF!),"",#REF!-#REF!)</f>
        <v/>
      </c>
      <c r="M164" s="100" t="str">
        <f>IF(ISERROR(#REF!-#REF!),"",#REF!-#REF!)</f>
        <v/>
      </c>
      <c r="N164" s="100" t="str">
        <f>IF(ISERROR(#REF!-#REF!),"",#REF!-#REF!)</f>
        <v/>
      </c>
      <c r="O164" s="100">
        <f t="shared" ref="O164:T164" si="17">IF(ISERROR(O86-O40),"",O86-O40)</f>
        <v>0</v>
      </c>
      <c r="P164" s="100">
        <f t="shared" si="17"/>
        <v>0</v>
      </c>
      <c r="Q164" s="100">
        <f t="shared" si="17"/>
        <v>0</v>
      </c>
      <c r="R164" s="100">
        <f t="shared" si="17"/>
        <v>0</v>
      </c>
      <c r="S164" s="100">
        <f t="shared" si="17"/>
        <v>0</v>
      </c>
      <c r="T164" s="100">
        <f t="shared" si="17"/>
        <v>0</v>
      </c>
    </row>
    <row r="165" spans="5:20">
      <c r="E165" s="28"/>
      <c r="G165" s="4" t="s">
        <v>199</v>
      </c>
      <c r="H165" s="100" t="str">
        <f>IF(ISERROR(#REF!-#REF!),"",#REF!-#REF!)</f>
        <v/>
      </c>
      <c r="I165" s="100" t="str">
        <f>IF(ISERROR(#REF!-#REF!),"",#REF!-#REF!)</f>
        <v/>
      </c>
      <c r="J165" s="100" t="str">
        <f>IF(ISERROR(#REF!-#REF!),"",#REF!-#REF!)</f>
        <v/>
      </c>
      <c r="K165" s="100" t="str">
        <f>IF(ISERROR(#REF!-#REF!),"",#REF!-#REF!)</f>
        <v/>
      </c>
      <c r="L165" s="100" t="str">
        <f>IF(ISERROR(#REF!-#REF!),"",#REF!-#REF!)</f>
        <v/>
      </c>
      <c r="M165" s="100" t="str">
        <f>IF(ISERROR(#REF!-#REF!),"",#REF!-#REF!)</f>
        <v/>
      </c>
      <c r="N165" s="100" t="str">
        <f>IF(ISERROR(#REF!-#REF!),"",#REF!-#REF!)</f>
        <v/>
      </c>
      <c r="O165" s="100">
        <f t="shared" ref="O165:T165" si="18">IF(ISERROR(O87-O41),"",O87-O41)</f>
        <v>0</v>
      </c>
      <c r="P165" s="100">
        <f t="shared" si="18"/>
        <v>0</v>
      </c>
      <c r="Q165" s="100">
        <f t="shared" si="18"/>
        <v>0</v>
      </c>
      <c r="R165" s="100">
        <f t="shared" si="18"/>
        <v>0</v>
      </c>
      <c r="S165" s="100">
        <f t="shared" si="18"/>
        <v>0</v>
      </c>
      <c r="T165" s="100">
        <f t="shared" si="18"/>
        <v>0</v>
      </c>
    </row>
    <row r="166" spans="5:20">
      <c r="E166" s="28"/>
      <c r="G166" s="4" t="s">
        <v>200</v>
      </c>
      <c r="H166" s="100" t="str">
        <f>IF(ISERROR(#REF!-#REF!),"",#REF!-#REF!)</f>
        <v/>
      </c>
      <c r="I166" s="100" t="str">
        <f>IF(ISERROR(#REF!-#REF!),"",#REF!-#REF!)</f>
        <v/>
      </c>
      <c r="J166" s="100" t="str">
        <f>IF(ISERROR(#REF!-#REF!),"",#REF!-#REF!)</f>
        <v/>
      </c>
      <c r="K166" s="100" t="str">
        <f>IF(ISERROR(#REF!-#REF!),"",#REF!-#REF!)</f>
        <v/>
      </c>
      <c r="L166" s="100" t="str">
        <f>IF(ISERROR(#REF!-#REF!),"",#REF!-#REF!)</f>
        <v/>
      </c>
      <c r="M166" s="100" t="str">
        <f>IF(ISERROR(#REF!-#REF!),"",#REF!-#REF!)</f>
        <v/>
      </c>
      <c r="N166" s="100" t="str">
        <f>IF(ISERROR(#REF!-#REF!),"",#REF!-#REF!)</f>
        <v/>
      </c>
      <c r="O166" s="100">
        <f t="shared" ref="O166:T166" si="19">IF(ISERROR(O88-O42),"",O88-O42)</f>
        <v>0</v>
      </c>
      <c r="P166" s="100">
        <f t="shared" si="19"/>
        <v>0</v>
      </c>
      <c r="Q166" s="100">
        <f t="shared" si="19"/>
        <v>0</v>
      </c>
      <c r="R166" s="100">
        <f t="shared" si="19"/>
        <v>0</v>
      </c>
      <c r="S166" s="100">
        <f t="shared" si="19"/>
        <v>0</v>
      </c>
      <c r="T166" s="100">
        <f t="shared" si="19"/>
        <v>0</v>
      </c>
    </row>
    <row r="167" spans="5:20">
      <c r="E167" s="28"/>
      <c r="G167" s="4" t="s">
        <v>201</v>
      </c>
      <c r="H167" s="100" t="str">
        <f>IF(ISERROR(#REF!-#REF!),"",#REF!-#REF!)</f>
        <v/>
      </c>
      <c r="I167" s="100" t="str">
        <f>IF(ISERROR(#REF!-#REF!),"",#REF!-#REF!)</f>
        <v/>
      </c>
      <c r="J167" s="100" t="str">
        <f>IF(ISERROR(#REF!-#REF!),"",#REF!-#REF!)</f>
        <v/>
      </c>
      <c r="K167" s="100" t="str">
        <f>IF(ISERROR(#REF!-#REF!),"",#REF!-#REF!)</f>
        <v/>
      </c>
      <c r="L167" s="100" t="str">
        <f>IF(ISERROR(#REF!-#REF!),"",#REF!-#REF!)</f>
        <v/>
      </c>
      <c r="M167" s="100" t="str">
        <f>IF(ISERROR(#REF!-#REF!),"",#REF!-#REF!)</f>
        <v/>
      </c>
      <c r="N167" s="100" t="str">
        <f>IF(ISERROR(#REF!-#REF!),"",#REF!-#REF!)</f>
        <v/>
      </c>
      <c r="O167" s="100">
        <f t="shared" ref="O167:T167" si="20">IF(ISERROR(O89-O43),"",O89-O43)</f>
        <v>0</v>
      </c>
      <c r="P167" s="100">
        <f t="shared" si="20"/>
        <v>0</v>
      </c>
      <c r="Q167" s="100">
        <f t="shared" si="20"/>
        <v>0</v>
      </c>
      <c r="R167" s="100">
        <f t="shared" si="20"/>
        <v>0</v>
      </c>
      <c r="S167" s="102">
        <f t="shared" si="20"/>
        <v>0</v>
      </c>
      <c r="T167" s="100">
        <f t="shared" si="20"/>
        <v>0</v>
      </c>
    </row>
    <row r="168" spans="5:20">
      <c r="E168" s="28"/>
      <c r="G168" s="4" t="s">
        <v>202</v>
      </c>
      <c r="H168" s="100" t="str">
        <f>IF(ISERROR(#REF!-#REF!),"",#REF!-#REF!)</f>
        <v/>
      </c>
      <c r="I168" s="100" t="str">
        <f>IF(ISERROR(#REF!-#REF!),"",#REF!-#REF!)</f>
        <v/>
      </c>
      <c r="J168" s="100" t="str">
        <f>IF(ISERROR(#REF!-#REF!),"",#REF!-#REF!)</f>
        <v/>
      </c>
      <c r="K168" s="100" t="str">
        <f>IF(ISERROR(#REF!-#REF!),"",#REF!-#REF!)</f>
        <v/>
      </c>
      <c r="L168" s="100" t="str">
        <f>IF(ISERROR(#REF!-#REF!),"",#REF!-#REF!)</f>
        <v/>
      </c>
      <c r="M168" s="100" t="str">
        <f>IF(ISERROR(#REF!-#REF!),"",#REF!-#REF!)</f>
        <v/>
      </c>
      <c r="N168" s="100" t="str">
        <f>IF(ISERROR(#REF!-#REF!),"",#REF!-#REF!)</f>
        <v/>
      </c>
      <c r="O168" s="100">
        <f t="shared" ref="O168:T168" si="21">IF(ISERROR(O90-O44),"",O90-O44)</f>
        <v>0</v>
      </c>
      <c r="P168" s="100">
        <f t="shared" si="21"/>
        <v>0</v>
      </c>
      <c r="Q168" s="100">
        <f t="shared" si="21"/>
        <v>0</v>
      </c>
      <c r="R168" s="100">
        <f t="shared" si="21"/>
        <v>0</v>
      </c>
      <c r="S168" s="100">
        <f t="shared" si="21"/>
        <v>0</v>
      </c>
      <c r="T168" s="100">
        <f t="shared" si="21"/>
        <v>0</v>
      </c>
    </row>
    <row r="169" spans="5:20">
      <c r="E169" s="28"/>
      <c r="G169" s="4" t="s">
        <v>203</v>
      </c>
      <c r="H169" s="100" t="str">
        <f>IF(ISERROR(#REF!-#REF!),"",#REF!-#REF!)</f>
        <v/>
      </c>
      <c r="I169" s="100" t="str">
        <f>IF(ISERROR(#REF!-#REF!),"",#REF!-#REF!)</f>
        <v/>
      </c>
      <c r="J169" s="100" t="str">
        <f>IF(ISERROR(#REF!-#REF!),"",#REF!-#REF!)</f>
        <v/>
      </c>
      <c r="K169" s="100" t="str">
        <f>IF(ISERROR(#REF!-#REF!),"",#REF!-#REF!)</f>
        <v/>
      </c>
      <c r="L169" s="100" t="str">
        <f>IF(ISERROR(#REF!-#REF!),"",#REF!-#REF!)</f>
        <v/>
      </c>
      <c r="M169" s="100" t="str">
        <f>IF(ISERROR(#REF!-#REF!),"",#REF!-#REF!)</f>
        <v/>
      </c>
      <c r="N169" s="100" t="str">
        <f>IF(ISERROR(#REF!-#REF!),"",#REF!-#REF!)</f>
        <v/>
      </c>
      <c r="O169" s="100">
        <f t="shared" ref="O169:T169" si="22">IF(ISERROR(O91-O45),"",O91-O45)</f>
        <v>0</v>
      </c>
      <c r="P169" s="100">
        <f t="shared" si="22"/>
        <v>0</v>
      </c>
      <c r="Q169" s="100">
        <f t="shared" si="22"/>
        <v>0</v>
      </c>
      <c r="R169" s="100">
        <f t="shared" si="22"/>
        <v>0</v>
      </c>
      <c r="S169" s="100">
        <f t="shared" si="22"/>
        <v>0</v>
      </c>
      <c r="T169" s="100">
        <f t="shared" si="22"/>
        <v>0</v>
      </c>
    </row>
    <row r="170" spans="5:20">
      <c r="E170" s="28"/>
      <c r="G170" s="4" t="s">
        <v>204</v>
      </c>
      <c r="H170" s="100" t="str">
        <f>IF(ISERROR(#REF!-#REF!),"",#REF!-#REF!)</f>
        <v/>
      </c>
      <c r="I170" s="100" t="str">
        <f>IF(ISERROR(#REF!-#REF!),"",#REF!-#REF!)</f>
        <v/>
      </c>
      <c r="J170" s="100" t="str">
        <f>IF(ISERROR(#REF!-#REF!),"",#REF!-#REF!)</f>
        <v/>
      </c>
      <c r="K170" s="102" t="str">
        <f>IF(ISERROR(#REF!-#REF!),"",#REF!-#REF!)</f>
        <v/>
      </c>
      <c r="L170" s="100" t="str">
        <f>IF(ISERROR(#REF!-#REF!),"",#REF!-#REF!)</f>
        <v/>
      </c>
      <c r="M170" s="100" t="str">
        <f>IF(ISERROR(#REF!-#REF!),"",#REF!-#REF!)</f>
        <v/>
      </c>
      <c r="N170" s="100" t="str">
        <f>IF(ISERROR(#REF!-#REF!),"",#REF!-#REF!)</f>
        <v/>
      </c>
      <c r="O170" s="100">
        <f t="shared" ref="O170:T170" si="23">IF(ISERROR(O92-O46),"",O92-O46)</f>
        <v>0</v>
      </c>
      <c r="P170" s="100">
        <f t="shared" si="23"/>
        <v>0</v>
      </c>
      <c r="Q170" s="100">
        <f t="shared" si="23"/>
        <v>0</v>
      </c>
      <c r="R170" s="100">
        <f t="shared" si="23"/>
        <v>0</v>
      </c>
      <c r="S170" s="100">
        <f t="shared" si="23"/>
        <v>0</v>
      </c>
      <c r="T170" s="100">
        <f t="shared" si="23"/>
        <v>0</v>
      </c>
    </row>
    <row r="171" spans="5:20">
      <c r="E171" s="28"/>
      <c r="G171" s="4" t="s">
        <v>205</v>
      </c>
      <c r="H171" s="100" t="str">
        <f>IF(ISERROR(#REF!-#REF!),"",#REF!-#REF!)</f>
        <v/>
      </c>
      <c r="I171" s="100" t="str">
        <f>IF(ISERROR(#REF!-#REF!),"",#REF!-#REF!)</f>
        <v/>
      </c>
      <c r="J171" s="100" t="str">
        <f>IF(ISERROR(#REF!-#REF!),"",#REF!-#REF!)</f>
        <v/>
      </c>
      <c r="K171" s="100" t="str">
        <f>IF(ISERROR(#REF!-#REF!),"",#REF!-#REF!)</f>
        <v/>
      </c>
      <c r="L171" s="100" t="str">
        <f>IF(ISERROR(#REF!-#REF!),"",#REF!-#REF!)</f>
        <v/>
      </c>
      <c r="M171" s="100" t="str">
        <f>IF(ISERROR(#REF!-#REF!),"",#REF!-#REF!)</f>
        <v/>
      </c>
      <c r="N171" s="100" t="str">
        <f>IF(ISERROR(#REF!-#REF!),"",#REF!-#REF!)</f>
        <v/>
      </c>
      <c r="O171" s="100">
        <f t="shared" ref="O171:T171" si="24">IF(ISERROR(O93-O47),"",O93-O47)</f>
        <v>0</v>
      </c>
      <c r="P171" s="100">
        <f t="shared" si="24"/>
        <v>0</v>
      </c>
      <c r="Q171" s="100">
        <f t="shared" si="24"/>
        <v>0</v>
      </c>
      <c r="R171" s="100">
        <f t="shared" si="24"/>
        <v>0</v>
      </c>
      <c r="S171" s="100">
        <f t="shared" si="24"/>
        <v>0</v>
      </c>
      <c r="T171" s="100">
        <f t="shared" si="24"/>
        <v>0</v>
      </c>
    </row>
    <row r="172" spans="5:20">
      <c r="E172" s="28"/>
      <c r="G172" s="4" t="s">
        <v>206</v>
      </c>
      <c r="H172" s="100" t="str">
        <f>IF(ISERROR(#REF!-#REF!),"",#REF!-#REF!)</f>
        <v/>
      </c>
      <c r="I172" s="100" t="str">
        <f>IF(ISERROR(#REF!-#REF!),"",#REF!-#REF!)</f>
        <v/>
      </c>
      <c r="J172" s="102" t="str">
        <f>IF(ISERROR(#REF!-#REF!),"",#REF!-#REF!)</f>
        <v/>
      </c>
      <c r="K172" s="100" t="str">
        <f>IF(ISERROR(#REF!-#REF!),"",#REF!-#REF!)</f>
        <v/>
      </c>
      <c r="L172" s="100" t="str">
        <f>IF(ISERROR(#REF!-#REF!),"",#REF!-#REF!)</f>
        <v/>
      </c>
      <c r="M172" s="100" t="str">
        <f>IF(ISERROR(#REF!-#REF!),"",#REF!-#REF!)</f>
        <v/>
      </c>
      <c r="N172" s="100" t="str">
        <f>IF(ISERROR(#REF!-#REF!),"",#REF!-#REF!)</f>
        <v/>
      </c>
      <c r="O172" s="100">
        <f t="shared" ref="O172:T172" si="25">IF(ISERROR(O94-O48),"",O94-O48)</f>
        <v>0</v>
      </c>
      <c r="P172" s="100">
        <f t="shared" si="25"/>
        <v>0</v>
      </c>
      <c r="Q172" s="100">
        <f t="shared" si="25"/>
        <v>0</v>
      </c>
      <c r="R172" s="100">
        <f t="shared" si="25"/>
        <v>0</v>
      </c>
      <c r="S172" s="100">
        <f t="shared" si="25"/>
        <v>0</v>
      </c>
      <c r="T172" s="100">
        <f t="shared" si="25"/>
        <v>0</v>
      </c>
    </row>
    <row r="173" spans="5:20">
      <c r="E173"/>
      <c r="G173" s="4" t="s">
        <v>207</v>
      </c>
      <c r="H173" s="100" t="str">
        <f>IF(ISERROR(#REF!-#REF!),"",#REF!-#REF!)</f>
        <v/>
      </c>
      <c r="I173" s="100" t="str">
        <f>IF(ISERROR(#REF!-#REF!),"",#REF!-#REF!)</f>
        <v/>
      </c>
      <c r="J173" s="100" t="str">
        <f>IF(ISERROR(#REF!-#REF!),"",#REF!-#REF!)</f>
        <v/>
      </c>
      <c r="K173" s="100" t="str">
        <f>IF(ISERROR(#REF!-#REF!),"",#REF!-#REF!)</f>
        <v/>
      </c>
      <c r="L173" s="100" t="str">
        <f>IF(ISERROR(#REF!-#REF!),"",#REF!-#REF!)</f>
        <v/>
      </c>
      <c r="M173" s="100" t="str">
        <f>IF(ISERROR(#REF!-#REF!),"",#REF!-#REF!)</f>
        <v/>
      </c>
      <c r="N173" s="100" t="str">
        <f>IF(ISERROR(#REF!-#REF!),"",#REF!-#REF!)</f>
        <v/>
      </c>
      <c r="O173" s="100">
        <f t="shared" ref="O173:T173" si="26">IF(ISERROR(O95-O49),"",O95-O49)</f>
        <v>0</v>
      </c>
      <c r="P173" s="100">
        <f t="shared" si="26"/>
        <v>0</v>
      </c>
      <c r="Q173" s="100">
        <f t="shared" si="26"/>
        <v>0</v>
      </c>
      <c r="R173" s="100">
        <f t="shared" si="26"/>
        <v>0</v>
      </c>
      <c r="S173" s="100">
        <f t="shared" si="26"/>
        <v>0</v>
      </c>
      <c r="T173" s="100">
        <f t="shared" si="26"/>
        <v>0</v>
      </c>
    </row>
    <row r="174" spans="5:20">
      <c r="E174"/>
      <c r="G174" s="4" t="s">
        <v>208</v>
      </c>
      <c r="H174" s="100" t="str">
        <f>IF(ISERROR(#REF!-#REF!),"",#REF!-#REF!)</f>
        <v/>
      </c>
      <c r="I174" s="100" t="str">
        <f>IF(ISERROR(#REF!-#REF!),"",#REF!-#REF!)</f>
        <v/>
      </c>
      <c r="J174" s="100" t="str">
        <f>IF(ISERROR(#REF!-#REF!),"",#REF!-#REF!)</f>
        <v/>
      </c>
      <c r="K174" s="100" t="str">
        <f>IF(ISERROR(#REF!-#REF!),"",#REF!-#REF!)</f>
        <v/>
      </c>
      <c r="L174" s="100" t="str">
        <f>IF(ISERROR(#REF!-#REF!),"",#REF!-#REF!)</f>
        <v/>
      </c>
      <c r="M174" s="100" t="str">
        <f>IF(ISERROR(#REF!-#REF!),"",#REF!-#REF!)</f>
        <v/>
      </c>
      <c r="N174" s="100" t="str">
        <f>IF(ISERROR(#REF!-#REF!),"",#REF!-#REF!)</f>
        <v/>
      </c>
      <c r="O174" s="100">
        <f t="shared" ref="O174:T174" si="27">IF(ISERROR(O96-O50),"",O96-O50)</f>
        <v>0</v>
      </c>
      <c r="P174" s="100">
        <f t="shared" si="27"/>
        <v>0</v>
      </c>
      <c r="Q174" s="100">
        <f t="shared" si="27"/>
        <v>0</v>
      </c>
      <c r="R174" s="100">
        <f t="shared" si="27"/>
        <v>0</v>
      </c>
      <c r="S174" s="100">
        <f t="shared" si="27"/>
        <v>0</v>
      </c>
      <c r="T174" s="100">
        <f t="shared" si="27"/>
        <v>0</v>
      </c>
    </row>
    <row r="175" spans="5:20">
      <c r="E175"/>
      <c r="G175" s="4" t="s">
        <v>209</v>
      </c>
      <c r="H175" s="100" t="str">
        <f>IF(ISERROR(#REF!-#REF!),"",#REF!-#REF!)</f>
        <v/>
      </c>
      <c r="I175" s="100" t="str">
        <f>IF(ISERROR(#REF!-#REF!),"",#REF!-#REF!)</f>
        <v/>
      </c>
      <c r="J175" s="100" t="str">
        <f>IF(ISERROR(#REF!-#REF!),"",#REF!-#REF!)</f>
        <v/>
      </c>
      <c r="K175" s="100" t="str">
        <f>IF(ISERROR(#REF!-#REF!),"",#REF!-#REF!)</f>
        <v/>
      </c>
      <c r="L175" s="100" t="str">
        <f>IF(ISERROR(#REF!-#REF!),"",#REF!-#REF!)</f>
        <v/>
      </c>
      <c r="M175" s="100" t="str">
        <f>IF(ISERROR(#REF!-#REF!),"",#REF!-#REF!)</f>
        <v/>
      </c>
      <c r="N175" s="100" t="str">
        <f>IF(ISERROR(#REF!-#REF!),"",#REF!-#REF!)</f>
        <v/>
      </c>
      <c r="O175" s="100">
        <f t="shared" ref="O175:T175" si="28">IF(ISERROR(O97-O51),"",O97-O51)</f>
        <v>0</v>
      </c>
      <c r="P175" s="100">
        <f t="shared" si="28"/>
        <v>0</v>
      </c>
      <c r="Q175" s="100">
        <f t="shared" si="28"/>
        <v>0</v>
      </c>
      <c r="R175" s="100">
        <f t="shared" si="28"/>
        <v>0</v>
      </c>
      <c r="S175" s="100">
        <f t="shared" si="28"/>
        <v>0</v>
      </c>
      <c r="T175" s="100">
        <f t="shared" si="28"/>
        <v>0</v>
      </c>
    </row>
    <row r="176" spans="5:20" ht="13.5" thickBot="1">
      <c r="E176"/>
      <c r="G176" s="59" t="s">
        <v>210</v>
      </c>
      <c r="H176" s="100" t="str">
        <f>IF(ISERROR(#REF!-#REF!),"",#REF!-#REF!)</f>
        <v/>
      </c>
      <c r="I176" s="100" t="str">
        <f>IF(ISERROR(#REF!-#REF!),"",#REF!-#REF!)</f>
        <v/>
      </c>
      <c r="J176" s="100" t="str">
        <f>IF(ISERROR(#REF!-#REF!),"",#REF!-#REF!)</f>
        <v/>
      </c>
      <c r="K176" s="100" t="str">
        <f>IF(ISERROR(#REF!-#REF!),"",#REF!-#REF!)</f>
        <v/>
      </c>
      <c r="L176" s="100" t="str">
        <f>IF(ISERROR(#REF!-#REF!),"",#REF!-#REF!)</f>
        <v/>
      </c>
      <c r="M176" s="100" t="str">
        <f>IF(ISERROR(#REF!-#REF!),"",#REF!-#REF!)</f>
        <v/>
      </c>
      <c r="N176" s="100" t="str">
        <f>IF(ISERROR(#REF!-#REF!),"",#REF!-#REF!)</f>
        <v/>
      </c>
      <c r="O176" s="100">
        <f t="shared" ref="O176:T176" si="29">IF(ISERROR(O98-O52),"",O98-O52)</f>
        <v>0</v>
      </c>
      <c r="P176" s="100">
        <f t="shared" si="29"/>
        <v>0</v>
      </c>
      <c r="Q176" s="100">
        <f t="shared" si="29"/>
        <v>0</v>
      </c>
      <c r="R176" s="100">
        <f t="shared" si="29"/>
        <v>0</v>
      </c>
      <c r="S176" s="100">
        <f t="shared" si="29"/>
        <v>0</v>
      </c>
      <c r="T176" s="100">
        <f t="shared" si="29"/>
        <v>0</v>
      </c>
    </row>
    <row r="177" spans="5:20" ht="13.5" thickTop="1"/>
    <row r="178" spans="5:20">
      <c r="E178"/>
      <c r="G178" s="4" t="s">
        <v>188</v>
      </c>
      <c r="H178" s="100" t="str">
        <f>IF(ISERROR(#REF!-#REF!),"",#REF!-#REF!)</f>
        <v/>
      </c>
      <c r="I178" s="100" t="str">
        <f>IF(ISERROR(#REF!-#REF!),"",#REF!-#REF!)</f>
        <v/>
      </c>
      <c r="J178" s="100" t="str">
        <f>IF(ISERROR(#REF!-#REF!),"",#REF!-#REF!)</f>
        <v/>
      </c>
      <c r="K178" s="100" t="str">
        <f>IF(ISERROR(#REF!-#REF!),"",#REF!-#REF!)</f>
        <v/>
      </c>
      <c r="L178" s="100" t="str">
        <f>IF(ISERROR(#REF!-#REF!),"",#REF!-#REF!)</f>
        <v/>
      </c>
      <c r="M178" s="100" t="str">
        <f>IF(ISERROR(#REF!-#REF!),"",#REF!-#REF!)</f>
        <v/>
      </c>
      <c r="N178" s="100" t="str">
        <f>IF(ISERROR(#REF!-#REF!),"",#REF!-#REF!)</f>
        <v/>
      </c>
      <c r="O178" s="100">
        <f t="shared" ref="O178:T178" si="30">IF(ISERROR(O99-O30),"",O99-O30)</f>
        <v>0</v>
      </c>
      <c r="P178" s="100">
        <f t="shared" si="30"/>
        <v>0</v>
      </c>
      <c r="Q178" s="100">
        <f t="shared" si="30"/>
        <v>0</v>
      </c>
      <c r="R178" s="100">
        <f t="shared" si="30"/>
        <v>0</v>
      </c>
      <c r="S178" s="100">
        <f t="shared" si="30"/>
        <v>0</v>
      </c>
      <c r="T178" s="100">
        <f t="shared" si="30"/>
        <v>0</v>
      </c>
    </row>
    <row r="179" spans="5:20">
      <c r="E179"/>
      <c r="G179" s="4" t="s">
        <v>189</v>
      </c>
      <c r="H179" s="100" t="str">
        <f>IF(ISERROR(#REF!-#REF!),"",#REF!-#REF!)</f>
        <v/>
      </c>
      <c r="I179" s="100" t="str">
        <f>IF(ISERROR(#REF!-#REF!),"",#REF!-#REF!)</f>
        <v/>
      </c>
      <c r="J179" s="100" t="str">
        <f>IF(ISERROR(#REF!-#REF!),"",#REF!-#REF!)</f>
        <v/>
      </c>
      <c r="K179" s="100" t="str">
        <f>IF(ISERROR(#REF!-#REF!),"",#REF!-#REF!)</f>
        <v/>
      </c>
      <c r="L179" s="100" t="str">
        <f>IF(ISERROR(#REF!-#REF!),"",#REF!-#REF!)</f>
        <v/>
      </c>
      <c r="M179" s="100" t="str">
        <f>IF(ISERROR(#REF!-#REF!),"",#REF!-#REF!)</f>
        <v/>
      </c>
      <c r="N179" s="100" t="str">
        <f>IF(ISERROR(#REF!-#REF!),"",#REF!-#REF!)</f>
        <v/>
      </c>
      <c r="O179" s="100">
        <f t="shared" ref="O179:T179" si="31">IF(ISERROR(O100-O31),"",O100-O31)</f>
        <v>0</v>
      </c>
      <c r="P179" s="100">
        <f t="shared" si="31"/>
        <v>0</v>
      </c>
      <c r="Q179" s="100">
        <f t="shared" si="31"/>
        <v>0</v>
      </c>
      <c r="R179" s="100">
        <f t="shared" si="31"/>
        <v>0</v>
      </c>
      <c r="S179" s="100">
        <f t="shared" si="31"/>
        <v>0</v>
      </c>
      <c r="T179" s="100">
        <f t="shared" si="31"/>
        <v>0</v>
      </c>
    </row>
    <row r="180" spans="5:20">
      <c r="E180"/>
      <c r="G180" s="4" t="s">
        <v>190</v>
      </c>
      <c r="H180" s="100" t="str">
        <f>IF(ISERROR(#REF!-#REF!),"",#REF!-#REF!)</f>
        <v/>
      </c>
      <c r="I180" s="100" t="str">
        <f>IF(ISERROR(#REF!-#REF!),"",#REF!-#REF!)</f>
        <v/>
      </c>
      <c r="J180" s="100" t="str">
        <f>IF(ISERROR(#REF!-#REF!),"",#REF!-#REF!)</f>
        <v/>
      </c>
      <c r="K180" s="100" t="str">
        <f>IF(ISERROR(#REF!-#REF!),"",#REF!-#REF!)</f>
        <v/>
      </c>
      <c r="L180" s="100" t="str">
        <f>IF(ISERROR(#REF!-#REF!),"",#REF!-#REF!)</f>
        <v/>
      </c>
      <c r="M180" s="100" t="str">
        <f>IF(ISERROR(#REF!-#REF!),"",#REF!-#REF!)</f>
        <v/>
      </c>
      <c r="N180" s="100" t="str">
        <f>IF(ISERROR(#REF!-#REF!),"",#REF!-#REF!)</f>
        <v/>
      </c>
      <c r="O180" s="100">
        <f t="shared" ref="O180:T180" si="32">IF(ISERROR(O101-O32),"",O101-O32)</f>
        <v>0</v>
      </c>
      <c r="P180" s="100">
        <f t="shared" si="32"/>
        <v>0</v>
      </c>
      <c r="Q180" s="100">
        <f t="shared" si="32"/>
        <v>0</v>
      </c>
      <c r="R180" s="100">
        <f t="shared" si="32"/>
        <v>0</v>
      </c>
      <c r="S180" s="100">
        <f t="shared" si="32"/>
        <v>0</v>
      </c>
      <c r="T180" s="100">
        <f t="shared" si="32"/>
        <v>0</v>
      </c>
    </row>
    <row r="181" spans="5:20">
      <c r="E181"/>
      <c r="G181" s="4" t="s">
        <v>191</v>
      </c>
      <c r="H181" s="100" t="str">
        <f>IF(ISERROR(#REF!-#REF!),"",#REF!-#REF!)</f>
        <v/>
      </c>
      <c r="I181" s="100" t="str">
        <f>IF(ISERROR(#REF!-#REF!),"",#REF!-#REF!)</f>
        <v/>
      </c>
      <c r="J181" s="100" t="str">
        <f>IF(ISERROR(#REF!-#REF!),"",#REF!-#REF!)</f>
        <v/>
      </c>
      <c r="K181" s="100" t="str">
        <f>IF(ISERROR(#REF!-#REF!),"",#REF!-#REF!)</f>
        <v/>
      </c>
      <c r="L181" s="100" t="str">
        <f>IF(ISERROR(#REF!-#REF!),"",#REF!-#REF!)</f>
        <v/>
      </c>
      <c r="M181" s="100" t="str">
        <f>IF(ISERROR(#REF!-#REF!),"",#REF!-#REF!)</f>
        <v/>
      </c>
      <c r="N181" s="100" t="str">
        <f>IF(ISERROR(#REF!-#REF!),"",#REF!-#REF!)</f>
        <v/>
      </c>
      <c r="O181" s="100">
        <f t="shared" ref="O181:T181" si="33">IF(ISERROR(O102-O33),"",O102-O33)</f>
        <v>0</v>
      </c>
      <c r="P181" s="100">
        <f t="shared" si="33"/>
        <v>0</v>
      </c>
      <c r="Q181" s="100">
        <f t="shared" si="33"/>
        <v>0</v>
      </c>
      <c r="R181" s="100">
        <f t="shared" si="33"/>
        <v>0</v>
      </c>
      <c r="S181" s="100">
        <f t="shared" si="33"/>
        <v>0</v>
      </c>
      <c r="T181" s="100">
        <f t="shared" si="33"/>
        <v>0</v>
      </c>
    </row>
    <row r="182" spans="5:20">
      <c r="E182" s="28"/>
      <c r="G182" s="4" t="s">
        <v>192</v>
      </c>
      <c r="H182" s="100" t="str">
        <f>IF(ISERROR(#REF!-#REF!),"",#REF!-#REF!)</f>
        <v/>
      </c>
      <c r="I182" s="102" t="str">
        <f>IF(ISERROR(#REF!-#REF!),"",#REF!-#REF!)</f>
        <v/>
      </c>
      <c r="J182" s="100" t="str">
        <f>IF(ISERROR(#REF!-#REF!),"",#REF!-#REF!)</f>
        <v/>
      </c>
      <c r="K182" s="100" t="str">
        <f>IF(ISERROR(#REF!-#REF!),"",#REF!-#REF!)</f>
        <v/>
      </c>
      <c r="L182" s="100" t="str">
        <f>IF(ISERROR(#REF!-#REF!),"",#REF!-#REF!)</f>
        <v/>
      </c>
      <c r="M182" s="100" t="str">
        <f>IF(ISERROR(#REF!-#REF!),"",#REF!-#REF!)</f>
        <v/>
      </c>
      <c r="N182" s="100" t="str">
        <f>IF(ISERROR(#REF!-#REF!),"",#REF!-#REF!)</f>
        <v/>
      </c>
      <c r="O182" s="100">
        <f t="shared" ref="O182:T182" si="34">IF(ISERROR(O103-O34),"",O103-O34)</f>
        <v>0</v>
      </c>
      <c r="P182" s="100">
        <f t="shared" si="34"/>
        <v>0</v>
      </c>
      <c r="Q182" s="100">
        <f t="shared" si="34"/>
        <v>0</v>
      </c>
      <c r="R182" s="100">
        <f t="shared" si="34"/>
        <v>0</v>
      </c>
      <c r="S182" s="100">
        <f t="shared" si="34"/>
        <v>0</v>
      </c>
      <c r="T182" s="100">
        <f t="shared" si="34"/>
        <v>0</v>
      </c>
    </row>
    <row r="183" spans="5:20">
      <c r="E183" s="28"/>
      <c r="G183" s="4" t="s">
        <v>193</v>
      </c>
      <c r="H183" s="100" t="str">
        <f>IF(ISERROR(#REF!-#REF!),"",#REF!-#REF!)</f>
        <v/>
      </c>
      <c r="I183" s="102" t="str">
        <f>IF(ISERROR(#REF!-#REF!),"",#REF!-#REF!)</f>
        <v/>
      </c>
      <c r="J183" s="100" t="str">
        <f>IF(ISERROR(#REF!-#REF!),"",#REF!-#REF!)</f>
        <v/>
      </c>
      <c r="K183" s="100" t="str">
        <f>IF(ISERROR(#REF!-#REF!),"",#REF!-#REF!)</f>
        <v/>
      </c>
      <c r="L183" s="100" t="str">
        <f>IF(ISERROR(#REF!-#REF!),"",#REF!-#REF!)</f>
        <v/>
      </c>
      <c r="M183" s="100" t="str">
        <f>IF(ISERROR(#REF!-#REF!),"",#REF!-#REF!)</f>
        <v/>
      </c>
      <c r="N183" s="100" t="str">
        <f>IF(ISERROR(#REF!-#REF!),"",#REF!-#REF!)</f>
        <v/>
      </c>
      <c r="O183" s="100">
        <f t="shared" ref="O183:T183" si="35">IF(ISERROR(O104-O35),"",O104-O35)</f>
        <v>0</v>
      </c>
      <c r="P183" s="100">
        <f t="shared" si="35"/>
        <v>0</v>
      </c>
      <c r="Q183" s="100">
        <f t="shared" si="35"/>
        <v>0</v>
      </c>
      <c r="R183" s="100">
        <f t="shared" si="35"/>
        <v>0</v>
      </c>
      <c r="S183" s="100">
        <f t="shared" si="35"/>
        <v>0</v>
      </c>
      <c r="T183" s="100">
        <f t="shared" si="35"/>
        <v>0</v>
      </c>
    </row>
    <row r="184" spans="5:20">
      <c r="E184" s="28"/>
      <c r="G184" s="4" t="s">
        <v>194</v>
      </c>
      <c r="H184" s="100" t="str">
        <f>IF(ISERROR(#REF!-#REF!),"",#REF!-#REF!)</f>
        <v/>
      </c>
      <c r="I184" s="100" t="str">
        <f>IF(ISERROR(#REF!-#REF!),"",#REF!-#REF!)</f>
        <v/>
      </c>
      <c r="J184" s="100" t="str">
        <f>IF(ISERROR(#REF!-#REF!),"",#REF!-#REF!)</f>
        <v/>
      </c>
      <c r="K184" s="100" t="str">
        <f>IF(ISERROR(#REF!-#REF!),"",#REF!-#REF!)</f>
        <v/>
      </c>
      <c r="L184" s="100" t="str">
        <f>IF(ISERROR(#REF!-#REF!),"",#REF!-#REF!)</f>
        <v/>
      </c>
      <c r="M184" s="100" t="str">
        <f>IF(ISERROR(#REF!-#REF!),"",#REF!-#REF!)</f>
        <v/>
      </c>
      <c r="N184" s="102" t="str">
        <f>IF(ISERROR(#REF!-#REF!),"",#REF!-#REF!)</f>
        <v/>
      </c>
      <c r="O184" s="100">
        <f t="shared" ref="O184:T184" si="36">IF(ISERROR(O105-O36),"",O105-O36)</f>
        <v>0</v>
      </c>
      <c r="P184" s="100">
        <f t="shared" si="36"/>
        <v>0</v>
      </c>
      <c r="Q184" s="100">
        <f t="shared" si="36"/>
        <v>0</v>
      </c>
      <c r="R184" s="100">
        <f t="shared" si="36"/>
        <v>0</v>
      </c>
      <c r="S184" s="100">
        <f t="shared" si="36"/>
        <v>0</v>
      </c>
      <c r="T184" s="100">
        <f t="shared" si="36"/>
        <v>0</v>
      </c>
    </row>
    <row r="185" spans="5:20">
      <c r="E185" s="28"/>
      <c r="G185" s="4" t="s">
        <v>195</v>
      </c>
      <c r="H185" s="100" t="str">
        <f>IF(ISERROR(#REF!-#REF!),"",#REF!-#REF!)</f>
        <v/>
      </c>
      <c r="I185" s="100" t="str">
        <f>IF(ISERROR(#REF!-#REF!),"",#REF!-#REF!)</f>
        <v/>
      </c>
      <c r="J185" s="100" t="str">
        <f>IF(ISERROR(#REF!-#REF!),"",#REF!-#REF!)</f>
        <v/>
      </c>
      <c r="K185" s="100" t="str">
        <f>IF(ISERROR(#REF!-#REF!),"",#REF!-#REF!)</f>
        <v/>
      </c>
      <c r="L185" s="100" t="str">
        <f>IF(ISERROR(#REF!-#REF!),"",#REF!-#REF!)</f>
        <v/>
      </c>
      <c r="M185" s="100" t="str">
        <f>IF(ISERROR(#REF!-#REF!),"",#REF!-#REF!)</f>
        <v/>
      </c>
      <c r="N185" s="101" t="str">
        <f>IF(ISERROR(#REF!-#REF!),"",#REF!-#REF!)</f>
        <v/>
      </c>
      <c r="O185" s="100">
        <f t="shared" ref="O185:T185" si="37">IF(ISERROR(O106-O37),"",O106-O37)</f>
        <v>0</v>
      </c>
      <c r="P185" s="100">
        <f t="shared" si="37"/>
        <v>0</v>
      </c>
      <c r="Q185" s="100">
        <f t="shared" si="37"/>
        <v>0</v>
      </c>
      <c r="R185" s="100">
        <f t="shared" si="37"/>
        <v>0</v>
      </c>
      <c r="S185" s="100">
        <f t="shared" si="37"/>
        <v>0</v>
      </c>
      <c r="T185" s="100">
        <f t="shared" si="37"/>
        <v>0</v>
      </c>
    </row>
    <row r="186" spans="5:20">
      <c r="E186" s="28"/>
      <c r="G186" s="4" t="s">
        <v>196</v>
      </c>
      <c r="H186" s="100" t="str">
        <f>IF(ISERROR(#REF!-#REF!),"",#REF!-#REF!)</f>
        <v/>
      </c>
      <c r="I186" s="100" t="str">
        <f>IF(ISERROR(#REF!-#REF!),"",#REF!-#REF!)</f>
        <v/>
      </c>
      <c r="J186" s="100" t="str">
        <f>IF(ISERROR(#REF!-#REF!),"",#REF!-#REF!)</f>
        <v/>
      </c>
      <c r="K186" s="100" t="str">
        <f>IF(ISERROR(#REF!-#REF!),"",#REF!-#REF!)</f>
        <v/>
      </c>
      <c r="L186" s="100" t="str">
        <f>IF(ISERROR(#REF!-#REF!),"",#REF!-#REF!)</f>
        <v/>
      </c>
      <c r="M186" s="100" t="str">
        <f>IF(ISERROR(#REF!-#REF!),"",#REF!-#REF!)</f>
        <v/>
      </c>
      <c r="N186" s="100" t="str">
        <f>IF(ISERROR(#REF!-#REF!),"",#REF!-#REF!)</f>
        <v/>
      </c>
      <c r="O186" s="100">
        <f t="shared" ref="O186:T186" si="38">IF(ISERROR(O107-O38),"",O107-O38)</f>
        <v>0</v>
      </c>
      <c r="P186" s="100">
        <f t="shared" si="38"/>
        <v>0</v>
      </c>
      <c r="Q186" s="100">
        <f t="shared" si="38"/>
        <v>0</v>
      </c>
      <c r="R186" s="100">
        <f t="shared" si="38"/>
        <v>0</v>
      </c>
      <c r="S186" s="100">
        <f t="shared" si="38"/>
        <v>0</v>
      </c>
      <c r="T186" s="100">
        <f t="shared" si="38"/>
        <v>0</v>
      </c>
    </row>
    <row r="187" spans="5:20">
      <c r="E187" s="28"/>
      <c r="G187" s="4" t="s">
        <v>197</v>
      </c>
      <c r="H187" s="100" t="str">
        <f>IF(ISERROR(#REF!-#REF!),"",#REF!-#REF!)</f>
        <v/>
      </c>
      <c r="I187" s="100" t="str">
        <f>IF(ISERROR(#REF!-#REF!),"",#REF!-#REF!)</f>
        <v/>
      </c>
      <c r="J187" s="100" t="str">
        <f>IF(ISERROR(#REF!-#REF!),"",#REF!-#REF!)</f>
        <v/>
      </c>
      <c r="K187" s="100" t="str">
        <f>IF(ISERROR(#REF!-#REF!),"",#REF!-#REF!)</f>
        <v/>
      </c>
      <c r="L187" s="100" t="str">
        <f>IF(ISERROR(#REF!-#REF!),"",#REF!-#REF!)</f>
        <v/>
      </c>
      <c r="M187" s="100" t="str">
        <f>IF(ISERROR(#REF!-#REF!),"",#REF!-#REF!)</f>
        <v/>
      </c>
      <c r="N187" s="100" t="str">
        <f>IF(ISERROR(#REF!-#REF!),"",#REF!-#REF!)</f>
        <v/>
      </c>
      <c r="O187" s="100">
        <f t="shared" ref="O187:T187" si="39">IF(ISERROR(O108-O39),"",O108-O39)</f>
        <v>0</v>
      </c>
      <c r="P187" s="100">
        <f t="shared" si="39"/>
        <v>0</v>
      </c>
      <c r="Q187" s="100">
        <f t="shared" si="39"/>
        <v>0</v>
      </c>
      <c r="R187" s="100">
        <f t="shared" si="39"/>
        <v>0</v>
      </c>
      <c r="S187" s="100">
        <f t="shared" si="39"/>
        <v>0</v>
      </c>
      <c r="T187" s="100">
        <f t="shared" si="39"/>
        <v>0</v>
      </c>
    </row>
    <row r="188" spans="5:20">
      <c r="E188" s="28"/>
      <c r="G188" s="4" t="s">
        <v>198</v>
      </c>
      <c r="H188" s="100" t="str">
        <f>IF(ISERROR(#REF!-#REF!),"",#REF!-#REF!)</f>
        <v/>
      </c>
      <c r="I188" s="100" t="str">
        <f>IF(ISERROR(#REF!-#REF!),"",#REF!-#REF!)</f>
        <v/>
      </c>
      <c r="J188" s="100" t="str">
        <f>IF(ISERROR(#REF!-#REF!),"",#REF!-#REF!)</f>
        <v/>
      </c>
      <c r="K188" s="100" t="str">
        <f>IF(ISERROR(#REF!-#REF!),"",#REF!-#REF!)</f>
        <v/>
      </c>
      <c r="L188" s="100" t="str">
        <f>IF(ISERROR(#REF!-#REF!),"",#REF!-#REF!)</f>
        <v/>
      </c>
      <c r="M188" s="100" t="str">
        <f>IF(ISERROR(#REF!-#REF!),"",#REF!-#REF!)</f>
        <v/>
      </c>
      <c r="N188" s="100" t="str">
        <f>IF(ISERROR(#REF!-#REF!),"",#REF!-#REF!)</f>
        <v/>
      </c>
      <c r="O188" s="100">
        <f t="shared" ref="O188:T188" si="40">IF(ISERROR(O109-O40),"",O109-O40)</f>
        <v>0</v>
      </c>
      <c r="P188" s="100">
        <f t="shared" si="40"/>
        <v>0</v>
      </c>
      <c r="Q188" s="100">
        <f t="shared" si="40"/>
        <v>0</v>
      </c>
      <c r="R188" s="100">
        <f t="shared" si="40"/>
        <v>0</v>
      </c>
      <c r="S188" s="100">
        <f t="shared" si="40"/>
        <v>0</v>
      </c>
      <c r="T188" s="100">
        <f t="shared" si="40"/>
        <v>0</v>
      </c>
    </row>
    <row r="189" spans="5:20">
      <c r="E189" s="28"/>
      <c r="G189" s="4" t="s">
        <v>199</v>
      </c>
      <c r="H189" s="100" t="str">
        <f>IF(ISERROR(#REF!-#REF!),"",#REF!-#REF!)</f>
        <v/>
      </c>
      <c r="I189" s="100" t="str">
        <f>IF(ISERROR(#REF!-#REF!),"",#REF!-#REF!)</f>
        <v/>
      </c>
      <c r="J189" s="100" t="str">
        <f>IF(ISERROR(#REF!-#REF!),"",#REF!-#REF!)</f>
        <v/>
      </c>
      <c r="K189" s="100" t="str">
        <f>IF(ISERROR(#REF!-#REF!),"",#REF!-#REF!)</f>
        <v/>
      </c>
      <c r="L189" s="100" t="str">
        <f>IF(ISERROR(#REF!-#REF!),"",#REF!-#REF!)</f>
        <v/>
      </c>
      <c r="M189" s="100" t="str">
        <f>IF(ISERROR(#REF!-#REF!),"",#REF!-#REF!)</f>
        <v/>
      </c>
      <c r="N189" s="100" t="str">
        <f>IF(ISERROR(#REF!-#REF!),"",#REF!-#REF!)</f>
        <v/>
      </c>
      <c r="O189" s="100">
        <f t="shared" ref="O189:T189" si="41">IF(ISERROR(O110-O41),"",O110-O41)</f>
        <v>0</v>
      </c>
      <c r="P189" s="100">
        <f t="shared" si="41"/>
        <v>0</v>
      </c>
      <c r="Q189" s="100">
        <f t="shared" si="41"/>
        <v>0</v>
      </c>
      <c r="R189" s="100">
        <f t="shared" si="41"/>
        <v>0</v>
      </c>
      <c r="S189" s="100">
        <f t="shared" si="41"/>
        <v>0</v>
      </c>
      <c r="T189" s="100">
        <f t="shared" si="41"/>
        <v>0</v>
      </c>
    </row>
    <row r="190" spans="5:20">
      <c r="E190" s="28"/>
      <c r="G190" s="4" t="s">
        <v>200</v>
      </c>
      <c r="H190" s="100" t="str">
        <f>IF(ISERROR(#REF!-#REF!),"",#REF!-#REF!)</f>
        <v/>
      </c>
      <c r="I190" s="100" t="str">
        <f>IF(ISERROR(#REF!-#REF!),"",#REF!-#REF!)</f>
        <v/>
      </c>
      <c r="J190" s="100" t="str">
        <f>IF(ISERROR(#REF!-#REF!),"",#REF!-#REF!)</f>
        <v/>
      </c>
      <c r="K190" s="100" t="str">
        <f>IF(ISERROR(#REF!-#REF!),"",#REF!-#REF!)</f>
        <v/>
      </c>
      <c r="L190" s="100" t="str">
        <f>IF(ISERROR(#REF!-#REF!),"",#REF!-#REF!)</f>
        <v/>
      </c>
      <c r="M190" s="100" t="str">
        <f>IF(ISERROR(#REF!-#REF!),"",#REF!-#REF!)</f>
        <v/>
      </c>
      <c r="N190" s="100" t="str">
        <f>IF(ISERROR(#REF!-#REF!),"",#REF!-#REF!)</f>
        <v/>
      </c>
      <c r="O190" s="100">
        <f t="shared" ref="O190:T190" si="42">IF(ISERROR(O111-O42),"",O111-O42)</f>
        <v>0</v>
      </c>
      <c r="P190" s="100">
        <f t="shared" si="42"/>
        <v>0</v>
      </c>
      <c r="Q190" s="100">
        <f t="shared" si="42"/>
        <v>0</v>
      </c>
      <c r="R190" s="100">
        <f t="shared" si="42"/>
        <v>0</v>
      </c>
      <c r="S190" s="100">
        <f t="shared" si="42"/>
        <v>0</v>
      </c>
      <c r="T190" s="100">
        <f t="shared" si="42"/>
        <v>0</v>
      </c>
    </row>
    <row r="191" spans="5:20">
      <c r="E191" s="28"/>
      <c r="G191" s="4" t="s">
        <v>201</v>
      </c>
      <c r="H191" s="100" t="str">
        <f>IF(ISERROR(#REF!-#REF!),"",#REF!-#REF!)</f>
        <v/>
      </c>
      <c r="I191" s="100" t="str">
        <f>IF(ISERROR(#REF!-#REF!),"",#REF!-#REF!)</f>
        <v/>
      </c>
      <c r="J191" s="100" t="str">
        <f>IF(ISERROR(#REF!-#REF!),"",#REF!-#REF!)</f>
        <v/>
      </c>
      <c r="K191" s="100" t="str">
        <f>IF(ISERROR(#REF!-#REF!),"",#REF!-#REF!)</f>
        <v/>
      </c>
      <c r="L191" s="100" t="str">
        <f>IF(ISERROR(#REF!-#REF!),"",#REF!-#REF!)</f>
        <v/>
      </c>
      <c r="M191" s="100" t="str">
        <f>IF(ISERROR(#REF!-#REF!),"",#REF!-#REF!)</f>
        <v/>
      </c>
      <c r="N191" s="100" t="str">
        <f>IF(ISERROR(#REF!-#REF!),"",#REF!-#REF!)</f>
        <v/>
      </c>
      <c r="O191" s="100">
        <f t="shared" ref="O191:T191" si="43">IF(ISERROR(O112-O43),"",O112-O43)</f>
        <v>0</v>
      </c>
      <c r="P191" s="100">
        <f t="shared" si="43"/>
        <v>0</v>
      </c>
      <c r="Q191" s="100">
        <f t="shared" si="43"/>
        <v>0</v>
      </c>
      <c r="R191" s="100">
        <f t="shared" si="43"/>
        <v>0</v>
      </c>
      <c r="S191" s="102">
        <f t="shared" si="43"/>
        <v>0</v>
      </c>
      <c r="T191" s="100">
        <f t="shared" si="43"/>
        <v>0</v>
      </c>
    </row>
    <row r="192" spans="5:20">
      <c r="E192" s="28"/>
      <c r="G192" s="4" t="s">
        <v>202</v>
      </c>
      <c r="H192" s="100" t="str">
        <f>IF(ISERROR(#REF!-#REF!),"",#REF!-#REF!)</f>
        <v/>
      </c>
      <c r="I192" s="100" t="str">
        <f>IF(ISERROR(#REF!-#REF!),"",#REF!-#REF!)</f>
        <v/>
      </c>
      <c r="J192" s="100" t="str">
        <f>IF(ISERROR(#REF!-#REF!),"",#REF!-#REF!)</f>
        <v/>
      </c>
      <c r="K192" s="100" t="str">
        <f>IF(ISERROR(#REF!-#REF!),"",#REF!-#REF!)</f>
        <v/>
      </c>
      <c r="L192" s="100" t="str">
        <f>IF(ISERROR(#REF!-#REF!),"",#REF!-#REF!)</f>
        <v/>
      </c>
      <c r="M192" s="100" t="str">
        <f>IF(ISERROR(#REF!-#REF!),"",#REF!-#REF!)</f>
        <v/>
      </c>
      <c r="N192" s="100" t="str">
        <f>IF(ISERROR(#REF!-#REF!),"",#REF!-#REF!)</f>
        <v/>
      </c>
      <c r="O192" s="100">
        <f t="shared" ref="O192:T192" si="44">IF(ISERROR(O113-O44),"",O113-O44)</f>
        <v>0</v>
      </c>
      <c r="P192" s="100">
        <f t="shared" si="44"/>
        <v>0</v>
      </c>
      <c r="Q192" s="100">
        <f t="shared" si="44"/>
        <v>0</v>
      </c>
      <c r="R192" s="100">
        <f t="shared" si="44"/>
        <v>0</v>
      </c>
      <c r="S192" s="101">
        <f t="shared" si="44"/>
        <v>0</v>
      </c>
      <c r="T192" s="100">
        <f t="shared" si="44"/>
        <v>0</v>
      </c>
    </row>
    <row r="193" spans="5:20">
      <c r="E193" s="28"/>
      <c r="G193" s="4" t="s">
        <v>203</v>
      </c>
      <c r="H193" s="100" t="str">
        <f>IF(ISERROR(#REF!-#REF!),"",#REF!-#REF!)</f>
        <v/>
      </c>
      <c r="I193" s="100" t="str">
        <f>IF(ISERROR(#REF!-#REF!),"",#REF!-#REF!)</f>
        <v/>
      </c>
      <c r="J193" s="100" t="str">
        <f>IF(ISERROR(#REF!-#REF!),"",#REF!-#REF!)</f>
        <v/>
      </c>
      <c r="K193" s="100" t="str">
        <f>IF(ISERROR(#REF!-#REF!),"",#REF!-#REF!)</f>
        <v/>
      </c>
      <c r="L193" s="100" t="str">
        <f>IF(ISERROR(#REF!-#REF!),"",#REF!-#REF!)</f>
        <v/>
      </c>
      <c r="M193" s="100" t="str">
        <f>IF(ISERROR(#REF!-#REF!),"",#REF!-#REF!)</f>
        <v/>
      </c>
      <c r="N193" s="100" t="str">
        <f>IF(ISERROR(#REF!-#REF!),"",#REF!-#REF!)</f>
        <v/>
      </c>
      <c r="O193" s="100">
        <f t="shared" ref="O193:T193" si="45">IF(ISERROR(O114-O45),"",O114-O45)</f>
        <v>0</v>
      </c>
      <c r="P193" s="100">
        <f t="shared" si="45"/>
        <v>0</v>
      </c>
      <c r="Q193" s="100">
        <f t="shared" si="45"/>
        <v>0</v>
      </c>
      <c r="R193" s="100">
        <f t="shared" si="45"/>
        <v>0</v>
      </c>
      <c r="S193" s="100">
        <f t="shared" si="45"/>
        <v>0</v>
      </c>
      <c r="T193" s="100">
        <f t="shared" si="45"/>
        <v>0</v>
      </c>
    </row>
    <row r="194" spans="5:20">
      <c r="E194" s="28"/>
      <c r="G194" s="4" t="s">
        <v>204</v>
      </c>
      <c r="H194" s="100" t="str">
        <f>IF(ISERROR(#REF!-#REF!),"",#REF!-#REF!)</f>
        <v/>
      </c>
      <c r="I194" s="100" t="str">
        <f>IF(ISERROR(#REF!-#REF!),"",#REF!-#REF!)</f>
        <v/>
      </c>
      <c r="J194" s="100" t="str">
        <f>IF(ISERROR(#REF!-#REF!),"",#REF!-#REF!)</f>
        <v/>
      </c>
      <c r="K194" s="102" t="str">
        <f>IF(ISERROR(#REF!-#REF!),"",#REF!-#REF!)</f>
        <v/>
      </c>
      <c r="L194" s="100" t="str">
        <f>IF(ISERROR(#REF!-#REF!),"",#REF!-#REF!)</f>
        <v/>
      </c>
      <c r="M194" s="100" t="str">
        <f>IF(ISERROR(#REF!-#REF!),"",#REF!-#REF!)</f>
        <v/>
      </c>
      <c r="N194" s="100" t="str">
        <f>IF(ISERROR(#REF!-#REF!),"",#REF!-#REF!)</f>
        <v/>
      </c>
      <c r="O194" s="100">
        <f t="shared" ref="O194:T194" si="46">IF(ISERROR(O115-O46),"",O115-O46)</f>
        <v>0</v>
      </c>
      <c r="P194" s="100">
        <f t="shared" si="46"/>
        <v>0</v>
      </c>
      <c r="Q194" s="100">
        <f t="shared" si="46"/>
        <v>0</v>
      </c>
      <c r="R194" s="100">
        <f t="shared" si="46"/>
        <v>0</v>
      </c>
      <c r="S194" s="100">
        <f t="shared" si="46"/>
        <v>0</v>
      </c>
      <c r="T194" s="100">
        <f t="shared" si="46"/>
        <v>0</v>
      </c>
    </row>
    <row r="195" spans="5:20">
      <c r="E195" s="28"/>
      <c r="G195" s="4" t="s">
        <v>205</v>
      </c>
      <c r="H195" s="100" t="str">
        <f>IF(ISERROR(#REF!-#REF!),"",#REF!-#REF!)</f>
        <v/>
      </c>
      <c r="I195" s="100" t="str">
        <f>IF(ISERROR(#REF!-#REF!),"",#REF!-#REF!)</f>
        <v/>
      </c>
      <c r="J195" s="100" t="str">
        <f>IF(ISERROR(#REF!-#REF!),"",#REF!-#REF!)</f>
        <v/>
      </c>
      <c r="K195" s="101" t="str">
        <f>IF(ISERROR(#REF!-#REF!),"",#REF!-#REF!)</f>
        <v/>
      </c>
      <c r="L195" s="100" t="str">
        <f>IF(ISERROR(#REF!-#REF!),"",#REF!-#REF!)</f>
        <v/>
      </c>
      <c r="M195" s="100" t="str">
        <f>IF(ISERROR(#REF!-#REF!),"",#REF!-#REF!)</f>
        <v/>
      </c>
      <c r="N195" s="100" t="str">
        <f>IF(ISERROR(#REF!-#REF!),"",#REF!-#REF!)</f>
        <v/>
      </c>
      <c r="O195" s="100">
        <f t="shared" ref="O195:T195" si="47">IF(ISERROR(O116-O47),"",O116-O47)</f>
        <v>0</v>
      </c>
      <c r="P195" s="100">
        <f t="shared" si="47"/>
        <v>0</v>
      </c>
      <c r="Q195" s="100">
        <f t="shared" si="47"/>
        <v>0</v>
      </c>
      <c r="R195" s="100">
        <f t="shared" si="47"/>
        <v>0</v>
      </c>
      <c r="S195" s="100">
        <f t="shared" si="47"/>
        <v>0</v>
      </c>
      <c r="T195" s="100">
        <f t="shared" si="47"/>
        <v>0</v>
      </c>
    </row>
    <row r="196" spans="5:20">
      <c r="E196" s="28"/>
      <c r="G196" s="4" t="s">
        <v>206</v>
      </c>
      <c r="H196" s="100" t="str">
        <f>IF(ISERROR(#REF!-#REF!),"",#REF!-#REF!)</f>
        <v/>
      </c>
      <c r="I196" s="100" t="str">
        <f>IF(ISERROR(#REF!-#REF!),"",#REF!-#REF!)</f>
        <v/>
      </c>
      <c r="J196" s="102" t="str">
        <f>IF(ISERROR(#REF!-#REF!),"",#REF!-#REF!)</f>
        <v/>
      </c>
      <c r="K196" s="100" t="str">
        <f>IF(ISERROR(#REF!-#REF!),"",#REF!-#REF!)</f>
        <v/>
      </c>
      <c r="L196" s="100" t="str">
        <f>IF(ISERROR(#REF!-#REF!),"",#REF!-#REF!)</f>
        <v/>
      </c>
      <c r="M196" s="100" t="str">
        <f>IF(ISERROR(#REF!-#REF!),"",#REF!-#REF!)</f>
        <v/>
      </c>
      <c r="N196" s="100" t="str">
        <f>IF(ISERROR(#REF!-#REF!),"",#REF!-#REF!)</f>
        <v/>
      </c>
      <c r="O196" s="100">
        <f t="shared" ref="O196:T196" si="48">IF(ISERROR(O117-O48),"",O117-O48)</f>
        <v>0</v>
      </c>
      <c r="P196" s="100">
        <f t="shared" si="48"/>
        <v>0</v>
      </c>
      <c r="Q196" s="100">
        <f t="shared" si="48"/>
        <v>0</v>
      </c>
      <c r="R196" s="100">
        <f t="shared" si="48"/>
        <v>0</v>
      </c>
      <c r="S196" s="100">
        <f t="shared" si="48"/>
        <v>0</v>
      </c>
      <c r="T196" s="100">
        <f t="shared" si="48"/>
        <v>0</v>
      </c>
    </row>
    <row r="197" spans="5:20">
      <c r="E197"/>
      <c r="G197" s="4" t="s">
        <v>207</v>
      </c>
      <c r="H197" s="100" t="str">
        <f>IF(ISERROR(#REF!-#REF!),"",#REF!-#REF!)</f>
        <v/>
      </c>
      <c r="I197" s="100" t="str">
        <f>IF(ISERROR(#REF!-#REF!),"",#REF!-#REF!)</f>
        <v/>
      </c>
      <c r="J197" s="101" t="str">
        <f>IF(ISERROR(#REF!-#REF!),"",#REF!-#REF!)</f>
        <v/>
      </c>
      <c r="K197" s="100" t="str">
        <f>IF(ISERROR(#REF!-#REF!),"",#REF!-#REF!)</f>
        <v/>
      </c>
      <c r="L197" s="100" t="str">
        <f>IF(ISERROR(#REF!-#REF!),"",#REF!-#REF!)</f>
        <v/>
      </c>
      <c r="M197" s="100" t="str">
        <f>IF(ISERROR(#REF!-#REF!),"",#REF!-#REF!)</f>
        <v/>
      </c>
      <c r="N197" s="100" t="str">
        <f>IF(ISERROR(#REF!-#REF!),"",#REF!-#REF!)</f>
        <v/>
      </c>
      <c r="O197" s="100">
        <f t="shared" ref="O197:T197" si="49">IF(ISERROR(O118-O49),"",O118-O49)</f>
        <v>0</v>
      </c>
      <c r="P197" s="100">
        <f t="shared" si="49"/>
        <v>0</v>
      </c>
      <c r="Q197" s="100">
        <f t="shared" si="49"/>
        <v>0</v>
      </c>
      <c r="R197" s="100">
        <f t="shared" si="49"/>
        <v>0</v>
      </c>
      <c r="S197" s="100">
        <f t="shared" si="49"/>
        <v>0</v>
      </c>
      <c r="T197" s="100">
        <f t="shared" si="49"/>
        <v>0</v>
      </c>
    </row>
    <row r="198" spans="5:20">
      <c r="E198"/>
      <c r="G198" s="4" t="s">
        <v>208</v>
      </c>
      <c r="H198" s="100" t="str">
        <f>IF(ISERROR(#REF!-#REF!),"",#REF!-#REF!)</f>
        <v/>
      </c>
      <c r="I198" s="100" t="str">
        <f>IF(ISERROR(#REF!-#REF!),"",#REF!-#REF!)</f>
        <v/>
      </c>
      <c r="J198" s="100" t="str">
        <f>IF(ISERROR(#REF!-#REF!),"",#REF!-#REF!)</f>
        <v/>
      </c>
      <c r="K198" s="100" t="str">
        <f>IF(ISERROR(#REF!-#REF!),"",#REF!-#REF!)</f>
        <v/>
      </c>
      <c r="L198" s="100" t="str">
        <f>IF(ISERROR(#REF!-#REF!),"",#REF!-#REF!)</f>
        <v/>
      </c>
      <c r="M198" s="100" t="str">
        <f>IF(ISERROR(#REF!-#REF!),"",#REF!-#REF!)</f>
        <v/>
      </c>
      <c r="N198" s="100" t="str">
        <f>IF(ISERROR(#REF!-#REF!),"",#REF!-#REF!)</f>
        <v/>
      </c>
      <c r="O198" s="100">
        <f t="shared" ref="O198:T198" si="50">IF(ISERROR(O119-O50),"",O119-O50)</f>
        <v>0</v>
      </c>
      <c r="P198" s="100">
        <f t="shared" si="50"/>
        <v>0</v>
      </c>
      <c r="Q198" s="100">
        <f t="shared" si="50"/>
        <v>0</v>
      </c>
      <c r="R198" s="100">
        <f t="shared" si="50"/>
        <v>0</v>
      </c>
      <c r="S198" s="100">
        <f t="shared" si="50"/>
        <v>0</v>
      </c>
      <c r="T198" s="100">
        <f t="shared" si="50"/>
        <v>0</v>
      </c>
    </row>
    <row r="199" spans="5:20">
      <c r="E199"/>
      <c r="G199" s="4" t="s">
        <v>209</v>
      </c>
      <c r="H199" s="100" t="str">
        <f>IF(ISERROR(#REF!-#REF!),"",#REF!-#REF!)</f>
        <v/>
      </c>
      <c r="I199" s="100" t="str">
        <f>IF(ISERROR(#REF!-#REF!),"",#REF!-#REF!)</f>
        <v/>
      </c>
      <c r="J199" s="100" t="str">
        <f>IF(ISERROR(#REF!-#REF!),"",#REF!-#REF!)</f>
        <v/>
      </c>
      <c r="K199" s="100" t="str">
        <f>IF(ISERROR(#REF!-#REF!),"",#REF!-#REF!)</f>
        <v/>
      </c>
      <c r="L199" s="100" t="str">
        <f>IF(ISERROR(#REF!-#REF!),"",#REF!-#REF!)</f>
        <v/>
      </c>
      <c r="M199" s="100" t="str">
        <f>IF(ISERROR(#REF!-#REF!),"",#REF!-#REF!)</f>
        <v/>
      </c>
      <c r="N199" s="100" t="str">
        <f>IF(ISERROR(#REF!-#REF!),"",#REF!-#REF!)</f>
        <v/>
      </c>
      <c r="O199" s="100">
        <f t="shared" ref="O199:T199" si="51">IF(ISERROR(O120-O51),"",O120-O51)</f>
        <v>0</v>
      </c>
      <c r="P199" s="100">
        <f t="shared" si="51"/>
        <v>0</v>
      </c>
      <c r="Q199" s="100">
        <f t="shared" si="51"/>
        <v>0</v>
      </c>
      <c r="R199" s="100">
        <f t="shared" si="51"/>
        <v>0</v>
      </c>
      <c r="S199" s="100">
        <f t="shared" si="51"/>
        <v>0</v>
      </c>
      <c r="T199" s="100">
        <f t="shared" si="51"/>
        <v>0</v>
      </c>
    </row>
    <row r="200" spans="5:20" ht="13.5" thickBot="1">
      <c r="E200"/>
      <c r="G200" s="59" t="s">
        <v>210</v>
      </c>
      <c r="H200" s="100" t="str">
        <f>IF(ISERROR(#REF!-#REF!),"",#REF!-#REF!)</f>
        <v/>
      </c>
      <c r="I200" s="100" t="str">
        <f>IF(ISERROR(#REF!-#REF!),"",#REF!-#REF!)</f>
        <v/>
      </c>
      <c r="J200" s="100" t="str">
        <f>IF(ISERROR(#REF!-#REF!),"",#REF!-#REF!)</f>
        <v/>
      </c>
      <c r="K200" s="100" t="str">
        <f>IF(ISERROR(#REF!-#REF!),"",#REF!-#REF!)</f>
        <v/>
      </c>
      <c r="L200" s="100" t="str">
        <f>IF(ISERROR(#REF!-#REF!),"",#REF!-#REF!)</f>
        <v/>
      </c>
      <c r="M200" s="100" t="str">
        <f>IF(ISERROR(#REF!-#REF!),"",#REF!-#REF!)</f>
        <v/>
      </c>
      <c r="N200" s="100" t="str">
        <f>IF(ISERROR(#REF!-#REF!),"",#REF!-#REF!)</f>
        <v/>
      </c>
      <c r="O200" s="100">
        <f t="shared" ref="O200:T200" si="52">IF(ISERROR(O121-O52),"",O121-O52)</f>
        <v>0</v>
      </c>
      <c r="P200" s="100">
        <f t="shared" si="52"/>
        <v>0</v>
      </c>
      <c r="Q200" s="100">
        <f t="shared" si="52"/>
        <v>0</v>
      </c>
      <c r="R200" s="100">
        <f t="shared" si="52"/>
        <v>0</v>
      </c>
      <c r="S200" s="100">
        <f t="shared" si="52"/>
        <v>0</v>
      </c>
      <c r="T200" s="100">
        <f t="shared" si="52"/>
        <v>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Z200"/>
  <sheetViews>
    <sheetView zoomScale="85" zoomScaleNormal="85" workbookViewId="0">
      <pane xSplit="5" ySplit="4" topLeftCell="K5" activePane="bottomRight" state="frozen"/>
      <selection pane="topRight" activeCell="F1" sqref="F1"/>
      <selection pane="bottomLeft" activeCell="A5" sqref="A5"/>
      <selection pane="bottomRight" activeCell="A3" sqref="A3"/>
    </sheetView>
  </sheetViews>
  <sheetFormatPr defaultRowHeight="12.75"/>
  <cols>
    <col min="1" max="1" width="27.5703125" customWidth="1"/>
    <col min="3" max="3" width="5.85546875" customWidth="1"/>
    <col min="4" max="4" width="13.42578125" customWidth="1"/>
    <col min="5" max="5" width="21.7109375" style="4" customWidth="1"/>
    <col min="6" max="6" width="14.5703125" bestFit="1" customWidth="1"/>
    <col min="7" max="7" width="13.42578125" style="4" customWidth="1"/>
    <col min="11" max="11" width="13.28515625" style="4" customWidth="1"/>
    <col min="12" max="12" width="14" customWidth="1"/>
    <col min="20" max="20" width="15.42578125" customWidth="1"/>
    <col min="21" max="21" width="21.28515625" style="4" customWidth="1"/>
    <col min="22" max="22" width="26.85546875" style="4" customWidth="1"/>
    <col min="25" max="25" width="14.28515625" customWidth="1"/>
    <col min="26" max="26" width="13.28515625" customWidth="1"/>
  </cols>
  <sheetData>
    <row r="1" spans="1:33">
      <c r="A1" s="20" t="s">
        <v>44</v>
      </c>
    </row>
    <row r="3" spans="1:33">
      <c r="B3" s="105" t="s">
        <v>218</v>
      </c>
      <c r="H3" s="4"/>
      <c r="I3" s="4"/>
      <c r="J3" s="4"/>
    </row>
    <row r="4" spans="1:33" ht="13.5" thickBot="1">
      <c r="B4" s="11" t="s">
        <v>3</v>
      </c>
      <c r="C4" s="11" t="s">
        <v>4</v>
      </c>
      <c r="D4" s="11" t="s">
        <v>5</v>
      </c>
      <c r="E4" s="26" t="s">
        <v>6</v>
      </c>
      <c r="F4" s="11" t="s">
        <v>0</v>
      </c>
      <c r="G4" s="26" t="s">
        <v>1</v>
      </c>
      <c r="H4" s="6" t="s">
        <v>76</v>
      </c>
      <c r="I4" s="6" t="s">
        <v>77</v>
      </c>
      <c r="J4" s="6" t="s">
        <v>78</v>
      </c>
      <c r="K4" s="6" t="s">
        <v>79</v>
      </c>
      <c r="L4" s="6" t="s">
        <v>80</v>
      </c>
      <c r="M4" s="6" t="s">
        <v>81</v>
      </c>
      <c r="N4" s="6" t="s">
        <v>82</v>
      </c>
      <c r="O4" s="6" t="s">
        <v>83</v>
      </c>
      <c r="P4" s="6" t="s">
        <v>84</v>
      </c>
      <c r="Q4" s="6" t="s">
        <v>96</v>
      </c>
      <c r="R4" s="6" t="s">
        <v>85</v>
      </c>
      <c r="S4" s="6" t="s">
        <v>86</v>
      </c>
      <c r="T4" s="6" t="s">
        <v>87</v>
      </c>
      <c r="U4" s="26" t="s">
        <v>7</v>
      </c>
      <c r="V4" s="26" t="s">
        <v>8</v>
      </c>
      <c r="W4" s="11" t="s">
        <v>9</v>
      </c>
      <c r="X4" s="11" t="s">
        <v>10</v>
      </c>
      <c r="Y4" s="11" t="s">
        <v>11</v>
      </c>
      <c r="Z4" s="11" t="s">
        <v>12</v>
      </c>
      <c r="AA4" s="11" t="s">
        <v>13</v>
      </c>
    </row>
    <row r="5" spans="1:33" ht="13.5" thickBot="1">
      <c r="A5" s="66" t="s">
        <v>48</v>
      </c>
      <c r="B5" s="44"/>
      <c r="C5" s="44"/>
      <c r="D5" s="44" t="s">
        <v>32</v>
      </c>
      <c r="E5" s="45"/>
      <c r="F5" s="44"/>
      <c r="G5" s="58">
        <v>31.536000000000001</v>
      </c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6" t="s">
        <v>19</v>
      </c>
      <c r="V5" s="46" t="s">
        <v>35</v>
      </c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</row>
    <row r="6" spans="1:33" ht="13.5" thickTop="1">
      <c r="A6" s="54" t="s">
        <v>73</v>
      </c>
      <c r="B6" s="55"/>
      <c r="C6" s="55"/>
      <c r="D6" s="56" t="s">
        <v>30</v>
      </c>
      <c r="E6" s="91" t="s">
        <v>114</v>
      </c>
      <c r="F6" s="55"/>
      <c r="G6" s="57" t="s">
        <v>38</v>
      </c>
      <c r="H6" s="57" t="str">
        <f>IF('[1]EF1-UPD'!$C2=H$4,'[1]EF1-UPD'!$I2,"")</f>
        <v/>
      </c>
      <c r="I6" s="57" t="str">
        <f>IF('[1]EF1-UPD'!$C2=I$4,'[1]EF1-UPD'!$I2,"")</f>
        <v/>
      </c>
      <c r="J6" s="57" t="str">
        <f>IF('[1]EF1-UPD'!$C2=J$4,'[1]EF1-UPD'!$I2,"")</f>
        <v/>
      </c>
      <c r="K6" s="57">
        <f>IF('[1]EF1-UPD'!$C2=K$4,'[1]EF1-UPD'!$I2,"")</f>
        <v>58.5</v>
      </c>
      <c r="L6" s="57" t="str">
        <f>IF('[1]EF1-UPD'!$C2=L$4,'[1]EF1-UPD'!$I2,"")</f>
        <v/>
      </c>
      <c r="M6" s="57" t="str">
        <f>IF('[1]EF1-UPD'!$C2=M$4,'[1]EF1-UPD'!$I2,"")</f>
        <v/>
      </c>
      <c r="N6" s="57" t="str">
        <f>IF('[1]EF1-UPD'!$C2=N$4,'[1]EF1-UPD'!$I2,"")</f>
        <v/>
      </c>
      <c r="O6" s="57" t="str">
        <f>IF('[1]EF1-UPD'!$C2=O$4,'[1]EF1-UPD'!$I2,"")</f>
        <v/>
      </c>
      <c r="P6" s="57" t="str">
        <f>IF('[1]EF1-UPD'!$C2=P$4,'[1]EF1-UPD'!$I2,"")</f>
        <v/>
      </c>
      <c r="Q6" s="57">
        <v>0.01</v>
      </c>
      <c r="R6" s="57" t="str">
        <f>IF('[1]EF1-UPD'!$C2=R$4,'[1]EF1-UPD'!$I2,"")</f>
        <v/>
      </c>
      <c r="S6" s="57" t="str">
        <f>IF('[1]EF1-UPD'!$C2=S$4,'[1]EF1-UPD'!$I2,"")</f>
        <v/>
      </c>
      <c r="T6" s="57" t="str">
        <f>IF('[1]EF1-UPD'!$C2=T$4,'[1]EF1-UPD'!$I2,"")</f>
        <v/>
      </c>
      <c r="U6" s="57" t="str">
        <f>IF('[1]EF1-UPD'!$C2=U$4,'[1]EF1-UPD'!$J2,IF('[1]EF1-UPD'!$E2=U$4,'[1]EF1-UPD'!$J2,""))</f>
        <v/>
      </c>
      <c r="V6" s="39" t="str">
        <f>[1]UNI_Grid!G4</f>
        <v>GI-DE-N1-LU-N1</v>
      </c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</row>
    <row r="7" spans="1:33">
      <c r="A7" s="55"/>
      <c r="B7" s="55"/>
      <c r="C7" s="55"/>
      <c r="D7" s="56" t="s">
        <v>30</v>
      </c>
      <c r="E7" s="91" t="s">
        <v>114</v>
      </c>
      <c r="F7" s="55"/>
      <c r="G7" s="57"/>
      <c r="H7" s="57" t="str">
        <f>IF('[1]EF1-UPD'!$C3=H$4,'[1]EF1-UPD'!$I3,"")</f>
        <v/>
      </c>
      <c r="I7" s="57" t="str">
        <f>IF('[1]EF1-UPD'!$C3=I$4,'[1]EF1-UPD'!$I3,"")</f>
        <v/>
      </c>
      <c r="J7" s="57" t="str">
        <f>IF('[1]EF1-UPD'!$C3=J$4,'[1]EF1-UPD'!$I3,"")</f>
        <v/>
      </c>
      <c r="K7" s="57">
        <v>0.01</v>
      </c>
      <c r="L7" s="57" t="str">
        <f>IF('[1]EF1-UPD'!$C3=L$4,'[1]EF1-UPD'!$I3,"")</f>
        <v/>
      </c>
      <c r="M7" s="57">
        <f>IF('[1]EF1-UPD'!$C3=M$4,'[1]EF1-UPD'!$I3,"")</f>
        <v>12.1588235294117</v>
      </c>
      <c r="N7" s="57" t="str">
        <f>IF('[1]EF1-UPD'!$C3=N$4,'[1]EF1-UPD'!$I3,"")</f>
        <v/>
      </c>
      <c r="O7" s="57" t="str">
        <f>IF('[1]EF1-UPD'!$C3=O$4,'[1]EF1-UPD'!$I3,"")</f>
        <v/>
      </c>
      <c r="P7" s="57" t="str">
        <f>IF('[1]EF1-UPD'!$C3=P$4,'[1]EF1-UPD'!$I3,"")</f>
        <v/>
      </c>
      <c r="Q7" s="57" t="str">
        <f>IF('[1]EF1-UPD'!$C3=Q$4,'[1]EF1-UPD'!$I3,"")</f>
        <v/>
      </c>
      <c r="R7" s="57" t="str">
        <f>IF('[1]EF1-UPD'!$C3=R$4,'[1]EF1-UPD'!$I3,"")</f>
        <v/>
      </c>
      <c r="S7" s="57" t="str">
        <f>IF('[1]EF1-UPD'!$C3=S$4,'[1]EF1-UPD'!$I3,"")</f>
        <v/>
      </c>
      <c r="T7" s="57" t="str">
        <f>IF('[1]EF1-UPD'!$C3=T$4,'[1]EF1-UPD'!$I3,"")</f>
        <v/>
      </c>
      <c r="U7" s="57" t="str">
        <f>IF('[1]EF1-UPD'!$C3=U$4,'[1]EF1-UPD'!$J3,IF('[1]EF1-UPD'!$E3=U$4,'[1]EF1-UPD'!$J3,""))</f>
        <v/>
      </c>
      <c r="V7" s="39" t="str">
        <f>[1]UNI_Grid!G5</f>
        <v>GI-NL-N1-DE-N1</v>
      </c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</row>
    <row r="8" spans="1:33">
      <c r="A8" s="55"/>
      <c r="B8" s="55"/>
      <c r="C8" s="55"/>
      <c r="D8" s="56" t="s">
        <v>30</v>
      </c>
      <c r="E8" s="91" t="s">
        <v>114</v>
      </c>
      <c r="F8" s="55"/>
      <c r="G8" s="57"/>
      <c r="H8" s="57" t="str">
        <f>IF('[1]EF1-UPD'!$C4=H$4,'[1]EF1-UPD'!$I4,"")</f>
        <v/>
      </c>
      <c r="I8" s="57">
        <v>0.01</v>
      </c>
      <c r="J8" s="57" t="str">
        <f>IF('[1]EF1-UPD'!$C4=J$4,'[1]EF1-UPD'!$I4,"")</f>
        <v/>
      </c>
      <c r="K8" s="57" t="str">
        <f>IF('[1]EF1-UPD'!$C4=K$4,'[1]EF1-UPD'!$I4,"")</f>
        <v/>
      </c>
      <c r="L8" s="57" t="str">
        <f>IF('[1]EF1-UPD'!$C4=L$4,'[1]EF1-UPD'!$I4,"")</f>
        <v/>
      </c>
      <c r="M8" s="57">
        <f>IF('[1]EF1-UPD'!$C4=M$4,'[1]EF1-UPD'!$I4,"")</f>
        <v>24.375</v>
      </c>
      <c r="N8" s="57" t="str">
        <f>IF('[1]EF1-UPD'!$C4=N$4,'[1]EF1-UPD'!$I4,"")</f>
        <v/>
      </c>
      <c r="O8" s="57" t="str">
        <f>IF('[1]EF1-UPD'!$C4=O$4,'[1]EF1-UPD'!$I4,"")</f>
        <v/>
      </c>
      <c r="P8" s="57" t="str">
        <f>IF('[1]EF1-UPD'!$C4=P$4,'[1]EF1-UPD'!$I4,"")</f>
        <v/>
      </c>
      <c r="Q8" s="57" t="str">
        <f>IF('[1]EF1-UPD'!$C4=Q$4,'[1]EF1-UPD'!$I4,"")</f>
        <v/>
      </c>
      <c r="R8" s="57" t="str">
        <f>IF('[1]EF1-UPD'!$C4=R$4,'[1]EF1-UPD'!$I4,"")</f>
        <v/>
      </c>
      <c r="S8" s="57" t="str">
        <f>IF('[1]EF1-UPD'!$C4=S$4,'[1]EF1-UPD'!$I4,"")</f>
        <v/>
      </c>
      <c r="T8" s="57" t="str">
        <f>IF('[1]EF1-UPD'!$C4=T$4,'[1]EF1-UPD'!$I4,"")</f>
        <v/>
      </c>
      <c r="U8" s="57" t="str">
        <f>IF('[1]EF1-UPD'!$C4=U$4,'[1]EF1-UPD'!$J4,IF('[1]EF1-UPD'!$E4=U$4,'[1]EF1-UPD'!$J4,""))</f>
        <v/>
      </c>
      <c r="V8" s="39" t="str">
        <f>[1]UNI_Grid!G6</f>
        <v>GI-NL-N1-BE-N1</v>
      </c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</row>
    <row r="9" spans="1:33">
      <c r="A9" s="55"/>
      <c r="B9" s="55"/>
      <c r="C9" s="55"/>
      <c r="D9" s="56" t="s">
        <v>30</v>
      </c>
      <c r="E9" s="91" t="s">
        <v>114</v>
      </c>
      <c r="F9" s="55"/>
      <c r="G9" s="57"/>
      <c r="H9" s="57" t="str">
        <f>IF('[1]EF1-UPD'!$C5=H$4,'[1]EF1-UPD'!$I5,"")</f>
        <v/>
      </c>
      <c r="I9" s="57">
        <v>0.01</v>
      </c>
      <c r="J9" s="57" t="str">
        <f>IF('[1]EF1-UPD'!$C5=J$4,'[1]EF1-UPD'!$I5,"")</f>
        <v/>
      </c>
      <c r="K9" s="57" t="str">
        <f>IF('[1]EF1-UPD'!$C5=K$4,'[1]EF1-UPD'!$I5,"")</f>
        <v/>
      </c>
      <c r="L9" s="57">
        <f>IF('[1]EF1-UPD'!$C5=L$4,'[1]EF1-UPD'!$I5,"")</f>
        <v>11.3558823529411</v>
      </c>
      <c r="M9" s="57" t="str">
        <f>IF('[1]EF1-UPD'!$C5=M$4,'[1]EF1-UPD'!$I5,"")</f>
        <v/>
      </c>
      <c r="N9" s="57" t="str">
        <f>IF('[1]EF1-UPD'!$C5=N$4,'[1]EF1-UPD'!$I5,"")</f>
        <v/>
      </c>
      <c r="O9" s="57" t="str">
        <f>IF('[1]EF1-UPD'!$C5=O$4,'[1]EF1-UPD'!$I5,"")</f>
        <v/>
      </c>
      <c r="P9" s="57" t="str">
        <f>IF('[1]EF1-UPD'!$C5=P$4,'[1]EF1-UPD'!$I5,"")</f>
        <v/>
      </c>
      <c r="Q9" s="57" t="str">
        <f>IF('[1]EF1-UPD'!$C5=Q$4,'[1]EF1-UPD'!$I5,"")</f>
        <v/>
      </c>
      <c r="R9" s="57" t="str">
        <f>IF('[1]EF1-UPD'!$C5=R$4,'[1]EF1-UPD'!$I5,"")</f>
        <v/>
      </c>
      <c r="S9" s="57" t="str">
        <f>IF('[1]EF1-UPD'!$C5=S$4,'[1]EF1-UPD'!$I5,"")</f>
        <v/>
      </c>
      <c r="T9" s="57" t="str">
        <f>IF('[1]EF1-UPD'!$C5=T$4,'[1]EF1-UPD'!$I5,"")</f>
        <v/>
      </c>
      <c r="U9" s="57" t="str">
        <f>IF('[1]EF1-UPD'!$C5=U$4,'[1]EF1-UPD'!$J5,IF('[1]EF1-UPD'!$E5=U$4,'[1]EF1-UPD'!$J5,""))</f>
        <v/>
      </c>
      <c r="V9" s="39" t="str">
        <f>[1]UNI_Grid!G7</f>
        <v>GI-FR-N1-BE-N1</v>
      </c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</row>
    <row r="10" spans="1:33">
      <c r="A10" s="55"/>
      <c r="B10" s="55"/>
      <c r="C10" s="55"/>
      <c r="D10" s="56" t="s">
        <v>30</v>
      </c>
      <c r="E10" s="91" t="s">
        <v>114</v>
      </c>
      <c r="F10" s="55"/>
      <c r="G10" s="57"/>
      <c r="H10" s="57" t="str">
        <f>IF('[1]EF1-UPD'!$C6=H$4,'[1]EF1-UPD'!$I6,"")</f>
        <v/>
      </c>
      <c r="I10" s="57">
        <f>IF('[1]EF1-UPD'!$C6=I$4,'[1]EF1-UPD'!$I6,"")</f>
        <v>200.32786885245901</v>
      </c>
      <c r="J10" s="57" t="str">
        <f>IF('[1]EF1-UPD'!$C6=J$4,'[1]EF1-UPD'!$I6,"")</f>
        <v/>
      </c>
      <c r="K10" s="57" t="str">
        <f>IF('[1]EF1-UPD'!$C6=K$4,'[1]EF1-UPD'!$I6,"")</f>
        <v/>
      </c>
      <c r="L10" s="57" t="str">
        <f>IF('[1]EF1-UPD'!$C6=L$4,'[1]EF1-UPD'!$I6,"")</f>
        <v/>
      </c>
      <c r="M10" s="57" t="str">
        <f>IF('[1]EF1-UPD'!$C6=M$4,'[1]EF1-UPD'!$I6,"")</f>
        <v/>
      </c>
      <c r="N10" s="57" t="str">
        <f>IF('[1]EF1-UPD'!$C6=N$4,'[1]EF1-UPD'!$I6,"")</f>
        <v/>
      </c>
      <c r="O10" s="57" t="str">
        <f>IF('[1]EF1-UPD'!$C6=O$4,'[1]EF1-UPD'!$I6,"")</f>
        <v/>
      </c>
      <c r="P10" s="57" t="str">
        <f>IF('[1]EF1-UPD'!$C6=P$4,'[1]EF1-UPD'!$I6,"")</f>
        <v/>
      </c>
      <c r="Q10" s="57" t="str">
        <f>IF('[1]EF1-UPD'!$C6=Q$4,'[1]EF1-UPD'!$I6,"")</f>
        <v/>
      </c>
      <c r="R10" s="57" t="str">
        <f>IF('[1]EF1-UPD'!$C6=R$4,'[1]EF1-UPD'!$I6,"")</f>
        <v/>
      </c>
      <c r="S10" s="57" t="str">
        <f>IF('[1]EF1-UPD'!$C6=S$4,'[1]EF1-UPD'!$I6,"")</f>
        <v/>
      </c>
      <c r="T10" s="57" t="str">
        <f>IF('[1]EF1-UPD'!$C6=T$4,'[1]EF1-UPD'!$I6,"")</f>
        <v/>
      </c>
      <c r="U10" s="57" t="str">
        <f>IF('[1]EF1-UPD'!$C6=U$4,'[1]EF1-UPD'!$J6,IF('[1]EF1-UPD'!$E6=U$4,'[1]EF1-UPD'!$J6,""))</f>
        <v/>
      </c>
      <c r="V10" s="39" t="str">
        <f>[1]UNI_Grid!G8</f>
        <v>GI-BE-N1-LU-N1</v>
      </c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</row>
    <row r="11" spans="1:33">
      <c r="A11" s="55"/>
      <c r="B11" s="55"/>
      <c r="C11" s="55"/>
      <c r="D11" s="56" t="s">
        <v>30</v>
      </c>
      <c r="E11" s="91" t="s">
        <v>114</v>
      </c>
      <c r="F11" s="55"/>
      <c r="G11" s="57"/>
      <c r="H11" s="57" t="str">
        <f>IF('[1]EF1-UPD'!$C7=H$4,'[1]EF1-UPD'!$I7,"")</f>
        <v/>
      </c>
      <c r="I11" s="57" t="str">
        <f>IF('[1]EF1-UPD'!$C7=I$4,'[1]EF1-UPD'!$I7,"")</f>
        <v/>
      </c>
      <c r="J11" s="57" t="str">
        <f>IF('[1]EF1-UPD'!$C7=J$4,'[1]EF1-UPD'!$I7,"")</f>
        <v/>
      </c>
      <c r="K11" s="57" t="str">
        <f>IF('[1]EF1-UPD'!$C7=K$4,'[1]EF1-UPD'!$I7,"")</f>
        <v/>
      </c>
      <c r="L11" s="57">
        <f>IF('[1]EF1-UPD'!$C7=L$4,'[1]EF1-UPD'!$I7,"")</f>
        <v>22.285714285714199</v>
      </c>
      <c r="M11" s="57" t="str">
        <f>IF('[1]EF1-UPD'!$C7=M$4,'[1]EF1-UPD'!$I7,"")</f>
        <v/>
      </c>
      <c r="N11" s="57" t="str">
        <f>IF('[1]EF1-UPD'!$C7=N$4,'[1]EF1-UPD'!$I7,"")</f>
        <v/>
      </c>
      <c r="O11" s="57" t="str">
        <f>IF('[1]EF1-UPD'!$C7=O$4,'[1]EF1-UPD'!$I7,"")</f>
        <v/>
      </c>
      <c r="P11" s="57" t="str">
        <f>IF('[1]EF1-UPD'!$C7=P$4,'[1]EF1-UPD'!$I7,"")</f>
        <v/>
      </c>
      <c r="Q11" s="57" t="str">
        <f>IF('[1]EF1-UPD'!$C7=Q$4,'[1]EF1-UPD'!$I7,"")</f>
        <v/>
      </c>
      <c r="R11" s="57" t="str">
        <f>IF('[1]EF1-UPD'!$C7=R$4,'[1]EF1-UPD'!$I7,"")</f>
        <v/>
      </c>
      <c r="S11" s="57" t="str">
        <f>IF('[1]EF1-UPD'!$C7=S$4,'[1]EF1-UPD'!$I7,"")</f>
        <v/>
      </c>
      <c r="T11" s="57" t="str">
        <f>IF('[1]EF1-UPD'!$C7=T$4,'[1]EF1-UPD'!$I7,"")</f>
        <v/>
      </c>
      <c r="U11" s="57" t="str">
        <f>IF('[1]EF1-UPD'!$C7=U$4,'[1]EF1-UPD'!$J7,IF('[1]EF1-UPD'!$E7=U$4,'[1]EF1-UPD'!$J7,""))</f>
        <v/>
      </c>
      <c r="V11" s="39" t="str">
        <f>[1]UNI_Grid!G9</f>
        <v>GI-FR-N1-DE-N1</v>
      </c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</row>
    <row r="12" spans="1:33">
      <c r="A12" s="55"/>
      <c r="B12" s="55"/>
      <c r="C12" s="55"/>
      <c r="D12" s="56" t="s">
        <v>30</v>
      </c>
      <c r="E12" s="91" t="s">
        <v>114</v>
      </c>
      <c r="F12" s="55"/>
      <c r="G12" s="57"/>
      <c r="H12" s="57" t="str">
        <f>IF('[1]EF1-UPD'!$C8=H$4,'[1]EF1-UPD'!$I8,"")</f>
        <v/>
      </c>
      <c r="I12" s="57" t="str">
        <f>IF('[1]EF1-UPD'!$C8=I$4,'[1]EF1-UPD'!$I8,"")</f>
        <v/>
      </c>
      <c r="J12" s="57" t="str">
        <f>IF('[1]EF1-UPD'!$C8=J$4,'[1]EF1-UPD'!$I8,"")</f>
        <v/>
      </c>
      <c r="K12" s="57" t="str">
        <f>IF('[1]EF1-UPD'!$C8=K$4,'[1]EF1-UPD'!$I8,"")</f>
        <v/>
      </c>
      <c r="L12" s="57" t="str">
        <f>IF('[1]EF1-UPD'!$C8=L$4,'[1]EF1-UPD'!$I8,"")</f>
        <v/>
      </c>
      <c r="M12" s="57" t="str">
        <f>IF('[1]EF1-UPD'!$C8=M$4,'[1]EF1-UPD'!$I8,"")</f>
        <v/>
      </c>
      <c r="N12" s="57">
        <f>IF('[1]EF1-UPD'!$C8=N$4,'[1]EF1-UPD'!$I8,"")</f>
        <v>10.6676470588235</v>
      </c>
      <c r="O12" s="57" t="str">
        <f>IF('[1]EF1-UPD'!$C8=O$4,'[1]EF1-UPD'!$I8,"")</f>
        <v/>
      </c>
      <c r="P12" s="57" t="str">
        <f>IF('[1]EF1-UPD'!$C8=P$4,'[1]EF1-UPD'!$I8,"")</f>
        <v/>
      </c>
      <c r="Q12" s="57" t="str">
        <f>IF('[1]EF1-UPD'!$C8=Q$4,'[1]EF1-UPD'!$I8,"")</f>
        <v/>
      </c>
      <c r="R12" s="57" t="str">
        <f>IF('[1]EF1-UPD'!$C8=R$4,'[1]EF1-UPD'!$I8,"")</f>
        <v/>
      </c>
      <c r="S12" s="57" t="str">
        <f>IF('[1]EF1-UPD'!$C8=S$4,'[1]EF1-UPD'!$I8,"")</f>
        <v/>
      </c>
      <c r="T12" s="57" t="str">
        <f>IF('[1]EF1-UPD'!$C8=T$4,'[1]EF1-UPD'!$I8,"")</f>
        <v/>
      </c>
      <c r="U12" s="57" t="str">
        <f>IF('[1]EF1-UPD'!$C8=U$4,'[1]EF1-UPD'!$J8,IF('[1]EF1-UPD'!$E8=U$4,'[1]EF1-UPD'!$J8,""))</f>
        <v/>
      </c>
      <c r="V12" s="39" t="str">
        <f>[1]UNI_Grid!G10</f>
        <v>GI-PL-N1-CZ-N1</v>
      </c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</row>
    <row r="13" spans="1:33">
      <c r="A13" s="55"/>
      <c r="B13" s="55"/>
      <c r="C13" s="55"/>
      <c r="D13" s="56" t="s">
        <v>30</v>
      </c>
      <c r="E13" s="91" t="s">
        <v>114</v>
      </c>
      <c r="F13" s="55"/>
      <c r="G13" s="57"/>
      <c r="H13" s="57" t="str">
        <f>IF('[1]EF1-UPD'!$C9=H$4,'[1]EF1-UPD'!$I9,"")</f>
        <v/>
      </c>
      <c r="I13" s="57" t="str">
        <f>IF('[1]EF1-UPD'!$C9=I$4,'[1]EF1-UPD'!$I9,"")</f>
        <v/>
      </c>
      <c r="J13" s="57" t="str">
        <f>IF('[1]EF1-UPD'!$C9=J$4,'[1]EF1-UPD'!$I9,"")</f>
        <v/>
      </c>
      <c r="K13" s="57" t="str">
        <f>IF('[1]EF1-UPD'!$C9=K$4,'[1]EF1-UPD'!$I9,"")</f>
        <v/>
      </c>
      <c r="L13" s="57" t="str">
        <f>IF('[1]EF1-UPD'!$C9=L$4,'[1]EF1-UPD'!$I9,"")</f>
        <v/>
      </c>
      <c r="M13" s="57" t="str">
        <f>IF('[1]EF1-UPD'!$C9=M$4,'[1]EF1-UPD'!$I9,"")</f>
        <v/>
      </c>
      <c r="N13" s="57" t="str">
        <f>IF('[1]EF1-UPD'!$C9=N$4,'[1]EF1-UPD'!$I9,"")</f>
        <v/>
      </c>
      <c r="O13" s="57" t="str">
        <f>IF('[1]EF1-UPD'!$C9=O$4,'[1]EF1-UPD'!$I9,"")</f>
        <v/>
      </c>
      <c r="P13" s="57">
        <f>IF('[1]EF1-UPD'!$C9=P$4,'[1]EF1-UPD'!$I9,"")</f>
        <v>15.9441176470588</v>
      </c>
      <c r="Q13" s="57" t="str">
        <f>IF('[1]EF1-UPD'!$C9=Q$4,'[1]EF1-UPD'!$I9,"")</f>
        <v/>
      </c>
      <c r="R13" s="57" t="str">
        <f>IF('[1]EF1-UPD'!$C9=R$4,'[1]EF1-UPD'!$I9,"")</f>
        <v/>
      </c>
      <c r="S13" s="57" t="str">
        <f>IF('[1]EF1-UPD'!$C9=S$4,'[1]EF1-UPD'!$I9,"")</f>
        <v/>
      </c>
      <c r="T13" s="57" t="str">
        <f>IF('[1]EF1-UPD'!$C9=T$4,'[1]EF1-UPD'!$I9,"")</f>
        <v/>
      </c>
      <c r="U13" s="57" t="str">
        <f>IF('[1]EF1-UPD'!$C9=U$4,'[1]EF1-UPD'!$J9,IF('[1]EF1-UPD'!$E9=U$4,'[1]EF1-UPD'!$J9,""))</f>
        <v/>
      </c>
      <c r="V13" s="39" t="str">
        <f>[1]UNI_Grid!G11</f>
        <v>GI-SK-N1-CZ-N1</v>
      </c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</row>
    <row r="14" spans="1:33">
      <c r="A14" s="55"/>
      <c r="B14" s="55"/>
      <c r="C14" s="55"/>
      <c r="D14" s="56" t="s">
        <v>30</v>
      </c>
      <c r="E14" s="91" t="s">
        <v>114</v>
      </c>
      <c r="F14" s="55"/>
      <c r="G14" s="57"/>
      <c r="H14" s="57" t="str">
        <f>IF('[1]EF1-UPD'!$C10=H$4,'[1]EF1-UPD'!$I10,"")</f>
        <v/>
      </c>
      <c r="I14" s="57" t="str">
        <f>IF('[1]EF1-UPD'!$C10=I$4,'[1]EF1-UPD'!$I10,"")</f>
        <v/>
      </c>
      <c r="J14" s="57" t="str">
        <f>IF('[1]EF1-UPD'!$C10=J$4,'[1]EF1-UPD'!$I10,"")</f>
        <v/>
      </c>
      <c r="K14" s="57" t="str">
        <f>IF('[1]EF1-UPD'!$C10=K$4,'[1]EF1-UPD'!$I10,"")</f>
        <v/>
      </c>
      <c r="L14" s="57" t="str">
        <f>IF('[1]EF1-UPD'!$C10=L$4,'[1]EF1-UPD'!$I10,"")</f>
        <v/>
      </c>
      <c r="M14" s="57" t="str">
        <f>IF('[1]EF1-UPD'!$C10=M$4,'[1]EF1-UPD'!$I10,"")</f>
        <v/>
      </c>
      <c r="N14" s="57">
        <f>IF('[1]EF1-UPD'!$C10=N$4,'[1]EF1-UPD'!$I10,"")</f>
        <v>79.5918367346938</v>
      </c>
      <c r="O14" s="57" t="str">
        <f>IF('[1]EF1-UPD'!$C10=O$4,'[1]EF1-UPD'!$I10,"")</f>
        <v/>
      </c>
      <c r="P14" s="57" t="str">
        <f>IF('[1]EF1-UPD'!$C10=P$4,'[1]EF1-UPD'!$I10,"")</f>
        <v/>
      </c>
      <c r="Q14" s="57" t="str">
        <f>IF('[1]EF1-UPD'!$C10=Q$4,'[1]EF1-UPD'!$I10,"")</f>
        <v/>
      </c>
      <c r="R14" s="57" t="str">
        <f>IF('[1]EF1-UPD'!$C10=R$4,'[1]EF1-UPD'!$I10,"")</f>
        <v/>
      </c>
      <c r="S14" s="57" t="str">
        <f>IF('[1]EF1-UPD'!$C10=S$4,'[1]EF1-UPD'!$I10,"")</f>
        <v/>
      </c>
      <c r="T14" s="57" t="str">
        <f>IF('[1]EF1-UPD'!$C10=T$4,'[1]EF1-UPD'!$I10,"")</f>
        <v/>
      </c>
      <c r="U14" s="57" t="str">
        <f>IF('[1]EF1-UPD'!$C10=U$4,'[1]EF1-UPD'!$J10,IF('[1]EF1-UPD'!$E10=U$4,'[1]EF1-UPD'!$J10,""))</f>
        <v/>
      </c>
      <c r="V14" s="39" t="str">
        <f>[1]UNI_Grid!G12</f>
        <v>GI-PL-N1-SK-N1</v>
      </c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</row>
    <row r="15" spans="1:33">
      <c r="A15" s="55"/>
      <c r="B15" s="55"/>
      <c r="C15" s="55"/>
      <c r="D15" s="56" t="s">
        <v>30</v>
      </c>
      <c r="E15" s="91" t="s">
        <v>114</v>
      </c>
      <c r="F15" s="55"/>
      <c r="G15" s="57"/>
      <c r="H15" s="57" t="str">
        <f>IF('[1]EF1-UPD'!$C11=H$4,'[1]EF1-UPD'!$I11,"")</f>
        <v/>
      </c>
      <c r="I15" s="57" t="str">
        <f>IF('[1]EF1-UPD'!$C11=I$4,'[1]EF1-UPD'!$I11,"")</f>
        <v/>
      </c>
      <c r="J15" s="57" t="str">
        <f>IF('[1]EF1-UPD'!$C11=J$4,'[1]EF1-UPD'!$I11,"")</f>
        <v/>
      </c>
      <c r="K15" s="57">
        <f>IF('[1]EF1-UPD'!$C11=K$4,'[1]EF1-UPD'!$I11,"")</f>
        <v>21.45</v>
      </c>
      <c r="L15" s="57" t="str">
        <f>IF('[1]EF1-UPD'!$C11=L$4,'[1]EF1-UPD'!$I11,"")</f>
        <v/>
      </c>
      <c r="M15" s="57" t="str">
        <f>IF('[1]EF1-UPD'!$C11=M$4,'[1]EF1-UPD'!$I11,"")</f>
        <v/>
      </c>
      <c r="N15" s="57" t="str">
        <f>IF('[1]EF1-UPD'!$C11=N$4,'[1]EF1-UPD'!$I11,"")</f>
        <v/>
      </c>
      <c r="O15" s="57" t="str">
        <f>IF('[1]EF1-UPD'!$C11=O$4,'[1]EF1-UPD'!$I11,"")</f>
        <v/>
      </c>
      <c r="P15" s="57" t="str">
        <f>IF('[1]EF1-UPD'!$C11=P$4,'[1]EF1-UPD'!$I11,"")</f>
        <v/>
      </c>
      <c r="Q15" s="57" t="str">
        <f>IF('[1]EF1-UPD'!$C11=Q$4,'[1]EF1-UPD'!$I11,"")</f>
        <v/>
      </c>
      <c r="R15" s="57" t="str">
        <f>IF('[1]EF1-UPD'!$C11=R$4,'[1]EF1-UPD'!$I11,"")</f>
        <v/>
      </c>
      <c r="S15" s="57" t="str">
        <f>IF('[1]EF1-UPD'!$C11=S$4,'[1]EF1-UPD'!$I11,"")</f>
        <v/>
      </c>
      <c r="T15" s="57" t="str">
        <f>IF('[1]EF1-UPD'!$C11=T$4,'[1]EF1-UPD'!$I11,"")</f>
        <v/>
      </c>
      <c r="U15" s="57" t="str">
        <f>IF('[1]EF1-UPD'!$C11=U$4,'[1]EF1-UPD'!$J11,IF('[1]EF1-UPD'!$E11=U$4,'[1]EF1-UPD'!$J11,""))</f>
        <v/>
      </c>
      <c r="V15" s="39" t="str">
        <f>[1]UNI_Grid!G13</f>
        <v>GI-DE-N1-CZ-N1</v>
      </c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</row>
    <row r="16" spans="1:33">
      <c r="A16" s="55"/>
      <c r="B16" s="55"/>
      <c r="C16" s="55"/>
      <c r="D16" s="56" t="s">
        <v>30</v>
      </c>
      <c r="E16" s="91" t="s">
        <v>114</v>
      </c>
      <c r="F16" s="55"/>
      <c r="G16" s="57"/>
      <c r="H16" s="57" t="str">
        <f>IF('[1]EF1-UPD'!$C12=H$4,'[1]EF1-UPD'!$I12,"")</f>
        <v/>
      </c>
      <c r="I16" s="57" t="str">
        <f>IF('[1]EF1-UPD'!$C12=I$4,'[1]EF1-UPD'!$I12,"")</f>
        <v/>
      </c>
      <c r="J16" s="57" t="str">
        <f>IF('[1]EF1-UPD'!$C12=J$4,'[1]EF1-UPD'!$I12,"")</f>
        <v/>
      </c>
      <c r="K16" s="57" t="str">
        <f>IF('[1]EF1-UPD'!$C12=K$4,'[1]EF1-UPD'!$I12,"")</f>
        <v/>
      </c>
      <c r="L16" s="57" t="str">
        <f>IF('[1]EF1-UPD'!$C12=L$4,'[1]EF1-UPD'!$I12,"")</f>
        <v/>
      </c>
      <c r="M16" s="57" t="str">
        <f>IF('[1]EF1-UPD'!$C12=M$4,'[1]EF1-UPD'!$I12,"")</f>
        <v/>
      </c>
      <c r="N16" s="57" t="str">
        <f>IF('[1]EF1-UPD'!$C12=N$4,'[1]EF1-UPD'!$I12,"")</f>
        <v/>
      </c>
      <c r="O16" s="57" t="str">
        <f>IF('[1]EF1-UPD'!$C12=O$4,'[1]EF1-UPD'!$I12,"")</f>
        <v/>
      </c>
      <c r="P16" s="57">
        <f>IF('[1]EF1-UPD'!$C12=P$4,'[1]EF1-UPD'!$I12,"")</f>
        <v>18.107142857142801</v>
      </c>
      <c r="Q16" s="57" t="str">
        <f>IF('[1]EF1-UPD'!$C12=Q$4,'[1]EF1-UPD'!$I12,"")</f>
        <v/>
      </c>
      <c r="R16" s="57" t="str">
        <f>IF('[1]EF1-UPD'!$C12=R$4,'[1]EF1-UPD'!$I12,"")</f>
        <v/>
      </c>
      <c r="S16" s="57" t="str">
        <f>IF('[1]EF1-UPD'!$C12=S$4,'[1]EF1-UPD'!$I12,"")</f>
        <v/>
      </c>
      <c r="T16" s="57" t="str">
        <f>IF('[1]EF1-UPD'!$C12=T$4,'[1]EF1-UPD'!$I12,"")</f>
        <v/>
      </c>
      <c r="U16" s="57" t="str">
        <f>IF('[1]EF1-UPD'!$C12=U$4,'[1]EF1-UPD'!$J12,IF('[1]EF1-UPD'!$E12=U$4,'[1]EF1-UPD'!$J12,""))</f>
        <v/>
      </c>
      <c r="V16" s="39" t="str">
        <f>[1]UNI_Grid!G14</f>
        <v>GI-SK-N1-HU-N1</v>
      </c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</row>
    <row r="17" spans="1:33">
      <c r="A17" s="55"/>
      <c r="B17" s="55"/>
      <c r="C17" s="55"/>
      <c r="D17" s="56" t="s">
        <v>30</v>
      </c>
      <c r="E17" s="91" t="s">
        <v>114</v>
      </c>
      <c r="F17" s="55"/>
      <c r="G17" s="57"/>
      <c r="H17" s="57" t="str">
        <f>IF('[1]EF1-UPD'!$C13=H$4,'[1]EF1-UPD'!$I13,"")</f>
        <v/>
      </c>
      <c r="I17" s="57" t="str">
        <f>IF('[1]EF1-UPD'!$C13=I$4,'[1]EF1-UPD'!$I13,"")</f>
        <v/>
      </c>
      <c r="J17" s="57" t="str">
        <f>IF('[1]EF1-UPD'!$C13=J$4,'[1]EF1-UPD'!$I13,"")</f>
        <v/>
      </c>
      <c r="K17" s="57" t="str">
        <f>IF('[1]EF1-UPD'!$C13=K$4,'[1]EF1-UPD'!$I13,"")</f>
        <v/>
      </c>
      <c r="L17" s="57" t="str">
        <f>IF('[1]EF1-UPD'!$C13=L$4,'[1]EF1-UPD'!$I13,"")</f>
        <v/>
      </c>
      <c r="M17" s="57" t="str">
        <f>IF('[1]EF1-UPD'!$C13=M$4,'[1]EF1-UPD'!$I13,"")</f>
        <v/>
      </c>
      <c r="N17" s="57" t="str">
        <f>IF('[1]EF1-UPD'!$C13=N$4,'[1]EF1-UPD'!$I13,"")</f>
        <v/>
      </c>
      <c r="O17" s="57">
        <f>IF('[1]EF1-UPD'!$C13=O$4,'[1]EF1-UPD'!$I13,"")</f>
        <v>94.965000000000003</v>
      </c>
      <c r="P17" s="57" t="str">
        <f>IF('[1]EF1-UPD'!$C13=P$4,'[1]EF1-UPD'!$I13,"")</f>
        <v/>
      </c>
      <c r="Q17" s="57" t="str">
        <f>IF('[1]EF1-UPD'!$C13=Q$4,'[1]EF1-UPD'!$I13,"")</f>
        <v/>
      </c>
      <c r="R17" s="57" t="str">
        <f>IF('[1]EF1-UPD'!$C13=R$4,'[1]EF1-UPD'!$I13,"")</f>
        <v/>
      </c>
      <c r="S17" s="57" t="str">
        <f>IF('[1]EF1-UPD'!$C13=S$4,'[1]EF1-UPD'!$I13,"")</f>
        <v/>
      </c>
      <c r="T17" s="57" t="str">
        <f>IF('[1]EF1-UPD'!$C13=T$4,'[1]EF1-UPD'!$I13,"")</f>
        <v/>
      </c>
      <c r="U17" s="57" t="str">
        <f>IF('[1]EF1-UPD'!$C13=U$4,'[1]EF1-UPD'!$J13,IF('[1]EF1-UPD'!$E13=U$4,'[1]EF1-UPD'!$J13,""))</f>
        <v/>
      </c>
      <c r="V17" s="39" t="str">
        <f>[1]UNI_Grid!G15</f>
        <v>GI-SI-N1-AT-N1</v>
      </c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</row>
    <row r="18" spans="1:33">
      <c r="A18" s="55"/>
      <c r="B18" s="55"/>
      <c r="C18" s="55"/>
      <c r="D18" s="56" t="s">
        <v>30</v>
      </c>
      <c r="E18" s="91" t="s">
        <v>114</v>
      </c>
      <c r="F18" s="55"/>
      <c r="G18" s="57"/>
      <c r="H18" s="57" t="str">
        <f>IF('[1]EF1-UPD'!$C14=H$4,'[1]EF1-UPD'!$I14,"")</f>
        <v/>
      </c>
      <c r="I18" s="57" t="str">
        <f>IF('[1]EF1-UPD'!$C14=I$4,'[1]EF1-UPD'!$I14,"")</f>
        <v/>
      </c>
      <c r="J18" s="57">
        <f>IF('[1]EF1-UPD'!$C14=J$4,'[1]EF1-UPD'!$I14,"")</f>
        <v>11.241176470588201</v>
      </c>
      <c r="K18" s="57" t="str">
        <f>IF('[1]EF1-UPD'!$C14=K$4,'[1]EF1-UPD'!$I14,"")</f>
        <v/>
      </c>
      <c r="L18" s="57" t="str">
        <f>IF('[1]EF1-UPD'!$C14=L$4,'[1]EF1-UPD'!$I14,"")</f>
        <v/>
      </c>
      <c r="M18" s="57" t="str">
        <f>IF('[1]EF1-UPD'!$C14=M$4,'[1]EF1-UPD'!$I14,"")</f>
        <v/>
      </c>
      <c r="N18" s="57" t="str">
        <f>IF('[1]EF1-UPD'!$C14=N$4,'[1]EF1-UPD'!$I14,"")</f>
        <v/>
      </c>
      <c r="O18" s="57" t="str">
        <f>IF('[1]EF1-UPD'!$C14=O$4,'[1]EF1-UPD'!$I14,"")</f>
        <v/>
      </c>
      <c r="P18" s="57" t="str">
        <f>IF('[1]EF1-UPD'!$C14=P$4,'[1]EF1-UPD'!$I14,"")</f>
        <v/>
      </c>
      <c r="Q18" s="57" t="str">
        <f>IF('[1]EF1-UPD'!$C14=Q$4,'[1]EF1-UPD'!$I14,"")</f>
        <v/>
      </c>
      <c r="R18" s="57" t="str">
        <f>IF('[1]EF1-UPD'!$C14=R$4,'[1]EF1-UPD'!$I14,"")</f>
        <v/>
      </c>
      <c r="S18" s="57" t="str">
        <f>IF('[1]EF1-UPD'!$C14=S$4,'[1]EF1-UPD'!$I14,"")</f>
        <v/>
      </c>
      <c r="T18" s="57" t="str">
        <f>IF('[1]EF1-UPD'!$C14=T$4,'[1]EF1-UPD'!$I14,"")</f>
        <v/>
      </c>
      <c r="U18" s="57" t="str">
        <f>IF('[1]EF1-UPD'!$C14=U$4,'[1]EF1-UPD'!$J14,IF('[1]EF1-UPD'!$E14=U$4,'[1]EF1-UPD'!$J14,""))</f>
        <v/>
      </c>
      <c r="V18" s="39" t="str">
        <f>[1]UNI_Grid!G16</f>
        <v>GI-CH-N1-DE-N1</v>
      </c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</row>
    <row r="19" spans="1:33">
      <c r="A19" s="55"/>
      <c r="B19" s="55"/>
      <c r="C19" s="55"/>
      <c r="D19" s="56" t="s">
        <v>30</v>
      </c>
      <c r="E19" s="91" t="s">
        <v>114</v>
      </c>
      <c r="F19" s="55"/>
      <c r="G19" s="57"/>
      <c r="H19" s="57" t="str">
        <f>IF('[1]EF1-UPD'!$C15=H$4,'[1]EF1-UPD'!$I15,"")</f>
        <v/>
      </c>
      <c r="I19" s="57" t="str">
        <f>IF('[1]EF1-UPD'!$C15=I$4,'[1]EF1-UPD'!$I15,"")</f>
        <v/>
      </c>
      <c r="J19" s="57" t="str">
        <f>IF('[1]EF1-UPD'!$C15=J$4,'[1]EF1-UPD'!$I15,"")</f>
        <v/>
      </c>
      <c r="K19" s="57" t="str">
        <f>IF('[1]EF1-UPD'!$C15=K$4,'[1]EF1-UPD'!$I15,"")</f>
        <v/>
      </c>
      <c r="L19" s="57" t="str">
        <f>IF('[1]EF1-UPD'!$C15=L$4,'[1]EF1-UPD'!$I15,"")</f>
        <v/>
      </c>
      <c r="M19" s="57" t="str">
        <f>IF('[1]EF1-UPD'!$C15=M$4,'[1]EF1-UPD'!$I15,"")</f>
        <v/>
      </c>
      <c r="N19" s="57" t="str">
        <f>IF('[1]EF1-UPD'!$C15=N$4,'[1]EF1-UPD'!$I15,"")</f>
        <v/>
      </c>
      <c r="O19" s="57" t="str">
        <f>IF('[1]EF1-UPD'!$C15=O$4,'[1]EF1-UPD'!$I15,"")</f>
        <v/>
      </c>
      <c r="P19" s="57" t="str">
        <f>IF('[1]EF1-UPD'!$C15=P$4,'[1]EF1-UPD'!$I15,"")</f>
        <v/>
      </c>
      <c r="Q19" s="57" t="str">
        <f>IF('[1]EF1-UPD'!$C15=Q$4,'[1]EF1-UPD'!$I15,"")</f>
        <v/>
      </c>
      <c r="R19" s="57" t="str">
        <f>IF('[1]EF1-UPD'!$C15=R$4,'[1]EF1-UPD'!$I15,"")</f>
        <v/>
      </c>
      <c r="S19" s="57">
        <f>IF('[1]EF1-UPD'!$C15=S$4,'[1]EF1-UPD'!$I15,"")</f>
        <v>114.645669291338</v>
      </c>
      <c r="T19" s="57" t="str">
        <f>IF('[1]EF1-UPD'!$C15=T$4,'[1]EF1-UPD'!$I15,"")</f>
        <v/>
      </c>
      <c r="U19" s="57" t="str">
        <f>IF('[1]EF1-UPD'!$C15=U$4,'[1]EF1-UPD'!$J15,IF('[1]EF1-UPD'!$E15=U$4,'[1]EF1-UPD'!$J15,""))</f>
        <v/>
      </c>
      <c r="V19" s="39" t="str">
        <f>[1]UNI_Grid!G17</f>
        <v>GI-IT-N1-SI-N1</v>
      </c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</row>
    <row r="20" spans="1:33">
      <c r="A20" s="55"/>
      <c r="B20" s="55"/>
      <c r="C20" s="55"/>
      <c r="D20" s="56" t="s">
        <v>30</v>
      </c>
      <c r="E20" s="91" t="s">
        <v>114</v>
      </c>
      <c r="F20" s="55"/>
      <c r="G20" s="57"/>
      <c r="H20" s="57" t="str">
        <f>IF('[1]EF1-UPD'!$C16=H$4,'[1]EF1-UPD'!$I16,"")</f>
        <v/>
      </c>
      <c r="I20" s="57" t="str">
        <f>IF('[1]EF1-UPD'!$C16=I$4,'[1]EF1-UPD'!$I16,"")</f>
        <v/>
      </c>
      <c r="J20" s="57" t="str">
        <f>IF('[1]EF1-UPD'!$C16=J$4,'[1]EF1-UPD'!$I16,"")</f>
        <v/>
      </c>
      <c r="K20" s="57" t="str">
        <f>IF('[1]EF1-UPD'!$C16=K$4,'[1]EF1-UPD'!$I16,"")</f>
        <v/>
      </c>
      <c r="L20" s="57">
        <f>IF('[1]EF1-UPD'!$C16=L$4,'[1]EF1-UPD'!$I16,"")</f>
        <v>12.918749999999999</v>
      </c>
      <c r="M20" s="57" t="str">
        <f>IF('[1]EF1-UPD'!$C16=M$4,'[1]EF1-UPD'!$I16,"")</f>
        <v/>
      </c>
      <c r="N20" s="57" t="str">
        <f>IF('[1]EF1-UPD'!$C16=N$4,'[1]EF1-UPD'!$I16,"")</f>
        <v/>
      </c>
      <c r="O20" s="57" t="str">
        <f>IF('[1]EF1-UPD'!$C16=O$4,'[1]EF1-UPD'!$I16,"")</f>
        <v/>
      </c>
      <c r="P20" s="57" t="str">
        <f>IF('[1]EF1-UPD'!$C16=P$4,'[1]EF1-UPD'!$I16,"")</f>
        <v/>
      </c>
      <c r="Q20" s="57" t="str">
        <f>IF('[1]EF1-UPD'!$C16=Q$4,'[1]EF1-UPD'!$I16,"")</f>
        <v/>
      </c>
      <c r="R20" s="57" t="str">
        <f>IF('[1]EF1-UPD'!$C16=R$4,'[1]EF1-UPD'!$I16,"")</f>
        <v/>
      </c>
      <c r="S20" s="57" t="str">
        <f>IF('[1]EF1-UPD'!$C16=S$4,'[1]EF1-UPD'!$I16,"")</f>
        <v/>
      </c>
      <c r="T20" s="57" t="str">
        <f>IF('[1]EF1-UPD'!$C16=T$4,'[1]EF1-UPD'!$I16,"")</f>
        <v/>
      </c>
      <c r="U20" s="57" t="str">
        <f>IF('[1]EF1-UPD'!$C16=U$4,'[1]EF1-UPD'!$J16,IF('[1]EF1-UPD'!$E16=U$4,'[1]EF1-UPD'!$J16,""))</f>
        <v/>
      </c>
      <c r="V20" s="39" t="str">
        <f>[1]UNI_Grid!G18</f>
        <v>GI-FR-N1-CH-N1</v>
      </c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</row>
    <row r="21" spans="1:33">
      <c r="A21" s="55"/>
      <c r="B21" s="55"/>
      <c r="C21" s="55"/>
      <c r="D21" s="56" t="s">
        <v>30</v>
      </c>
      <c r="E21" s="91" t="s">
        <v>114</v>
      </c>
      <c r="F21" s="55"/>
      <c r="G21" s="57"/>
      <c r="H21" s="57">
        <f>IF('[1]EF1-UPD'!$C17=H$4,'[1]EF1-UPD'!$I17,"")</f>
        <v>21.794117647058801</v>
      </c>
      <c r="I21" s="57" t="str">
        <f>IF('[1]EF1-UPD'!$C17=I$4,'[1]EF1-UPD'!$I17,"")</f>
        <v/>
      </c>
      <c r="J21" s="57" t="str">
        <f>IF('[1]EF1-UPD'!$C17=J$4,'[1]EF1-UPD'!$I17,"")</f>
        <v/>
      </c>
      <c r="K21" s="57" t="str">
        <f>IF('[1]EF1-UPD'!$C17=K$4,'[1]EF1-UPD'!$I17,"")</f>
        <v/>
      </c>
      <c r="L21" s="57" t="str">
        <f>IF('[1]EF1-UPD'!$C17=L$4,'[1]EF1-UPD'!$I17,"")</f>
        <v/>
      </c>
      <c r="M21" s="57" t="str">
        <f>IF('[1]EF1-UPD'!$C17=M$4,'[1]EF1-UPD'!$I17,"")</f>
        <v/>
      </c>
      <c r="N21" s="57" t="str">
        <f>IF('[1]EF1-UPD'!$C17=N$4,'[1]EF1-UPD'!$I17,"")</f>
        <v/>
      </c>
      <c r="O21" s="57" t="str">
        <f>IF('[1]EF1-UPD'!$C17=O$4,'[1]EF1-UPD'!$I17,"")</f>
        <v/>
      </c>
      <c r="P21" s="57" t="str">
        <f>IF('[1]EF1-UPD'!$C17=P$4,'[1]EF1-UPD'!$I17,"")</f>
        <v/>
      </c>
      <c r="Q21" s="57" t="str">
        <f>IF('[1]EF1-UPD'!$C17=Q$4,'[1]EF1-UPD'!$I17,"")</f>
        <v/>
      </c>
      <c r="R21" s="57" t="str">
        <f>IF('[1]EF1-UPD'!$C17=R$4,'[1]EF1-UPD'!$I17,"")</f>
        <v/>
      </c>
      <c r="S21" s="57" t="str">
        <f>IF('[1]EF1-UPD'!$C17=S$4,'[1]EF1-UPD'!$I17,"")</f>
        <v/>
      </c>
      <c r="T21" s="57" t="str">
        <f>IF('[1]EF1-UPD'!$C17=T$4,'[1]EF1-UPD'!$I17,"")</f>
        <v/>
      </c>
      <c r="U21" s="57" t="str">
        <f>IF('[1]EF1-UPD'!$C17=U$4,'[1]EF1-UPD'!$J17,IF('[1]EF1-UPD'!$E17=U$4,'[1]EF1-UPD'!$J17,""))</f>
        <v/>
      </c>
      <c r="V21" s="39" t="str">
        <f>[1]UNI_Grid!G19</f>
        <v>GI-AT-N1-CZ-N1</v>
      </c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</row>
    <row r="22" spans="1:33">
      <c r="A22" s="55"/>
      <c r="B22" s="55"/>
      <c r="C22" s="55"/>
      <c r="D22" s="56" t="s">
        <v>30</v>
      </c>
      <c r="E22" s="91" t="s">
        <v>114</v>
      </c>
      <c r="F22" s="55"/>
      <c r="G22" s="57"/>
      <c r="H22" s="57" t="str">
        <f>IF('[1]EF1-UPD'!$C18=H$4,'[1]EF1-UPD'!$I18,"")</f>
        <v/>
      </c>
      <c r="I22" s="57" t="str">
        <f>IF('[1]EF1-UPD'!$C18=I$4,'[1]EF1-UPD'!$I18,"")</f>
        <v/>
      </c>
      <c r="J22" s="57" t="str">
        <f>IF('[1]EF1-UPD'!$C18=J$4,'[1]EF1-UPD'!$I18,"")</f>
        <v/>
      </c>
      <c r="K22" s="57">
        <f>IF('[1]EF1-UPD'!$C18=K$4,'[1]EF1-UPD'!$I18,"")</f>
        <v>8.3571428571428505</v>
      </c>
      <c r="L22" s="57" t="str">
        <f>IF('[1]EF1-UPD'!$C18=L$4,'[1]EF1-UPD'!$I18,"")</f>
        <v/>
      </c>
      <c r="M22" s="57" t="str">
        <f>IF('[1]EF1-UPD'!$C18=M$4,'[1]EF1-UPD'!$I18,"")</f>
        <v/>
      </c>
      <c r="N22" s="57" t="str">
        <f>IF('[1]EF1-UPD'!$C18=N$4,'[1]EF1-UPD'!$I18,"")</f>
        <v/>
      </c>
      <c r="O22" s="57" t="str">
        <f>IF('[1]EF1-UPD'!$C18=O$4,'[1]EF1-UPD'!$I18,"")</f>
        <v/>
      </c>
      <c r="P22" s="57" t="str">
        <f>IF('[1]EF1-UPD'!$C18=P$4,'[1]EF1-UPD'!$I18,"")</f>
        <v/>
      </c>
      <c r="Q22" s="57" t="str">
        <f>IF('[1]EF1-UPD'!$C18=Q$4,'[1]EF1-UPD'!$I18,"")</f>
        <v/>
      </c>
      <c r="R22" s="57" t="str">
        <f>IF('[1]EF1-UPD'!$C18=R$4,'[1]EF1-UPD'!$I18,"")</f>
        <v/>
      </c>
      <c r="S22" s="57" t="str">
        <f>IF('[1]EF1-UPD'!$C18=S$4,'[1]EF1-UPD'!$I18,"")</f>
        <v/>
      </c>
      <c r="T22" s="57" t="str">
        <f>IF('[1]EF1-UPD'!$C18=T$4,'[1]EF1-UPD'!$I18,"")</f>
        <v/>
      </c>
      <c r="U22" s="57" t="str">
        <f>IF('[1]EF1-UPD'!$C18=U$4,'[1]EF1-UPD'!$J18,IF('[1]EF1-UPD'!$E18=U$4,'[1]EF1-UPD'!$J18,""))</f>
        <v/>
      </c>
      <c r="V22" s="39" t="str">
        <f>[1]UNI_Grid!G20</f>
        <v>GI-DE-N1-AT-N1</v>
      </c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</row>
    <row r="23" spans="1:33">
      <c r="A23" s="55"/>
      <c r="B23" s="55"/>
      <c r="C23" s="55"/>
      <c r="D23" s="56" t="s">
        <v>30</v>
      </c>
      <c r="E23" s="91" t="s">
        <v>114</v>
      </c>
      <c r="F23" s="55"/>
      <c r="G23" s="57"/>
      <c r="H23" s="57" t="str">
        <f>IF('[1]EF1-UPD'!$C19=H$4,'[1]EF1-UPD'!$I19,"")</f>
        <v/>
      </c>
      <c r="I23" s="57" t="str">
        <f>IF('[1]EF1-UPD'!$C19=I$4,'[1]EF1-UPD'!$I19,"")</f>
        <v/>
      </c>
      <c r="J23" s="57">
        <f>IF('[1]EF1-UPD'!$C19=J$4,'[1]EF1-UPD'!$I19,"")</f>
        <v>47.125</v>
      </c>
      <c r="K23" s="57" t="str">
        <f>IF('[1]EF1-UPD'!$C19=K$4,'[1]EF1-UPD'!$I19,"")</f>
        <v/>
      </c>
      <c r="L23" s="57" t="str">
        <f>IF('[1]EF1-UPD'!$C19=L$4,'[1]EF1-UPD'!$I19,"")</f>
        <v/>
      </c>
      <c r="M23" s="57" t="str">
        <f>IF('[1]EF1-UPD'!$C19=M$4,'[1]EF1-UPD'!$I19,"")</f>
        <v/>
      </c>
      <c r="N23" s="57" t="str">
        <f>IF('[1]EF1-UPD'!$C19=N$4,'[1]EF1-UPD'!$I19,"")</f>
        <v/>
      </c>
      <c r="O23" s="57" t="str">
        <f>IF('[1]EF1-UPD'!$C19=O$4,'[1]EF1-UPD'!$I19,"")</f>
        <v/>
      </c>
      <c r="P23" s="57" t="str">
        <f>IF('[1]EF1-UPD'!$C19=P$4,'[1]EF1-UPD'!$I19,"")</f>
        <v/>
      </c>
      <c r="Q23" s="57" t="str">
        <f>IF('[1]EF1-UPD'!$C19=Q$4,'[1]EF1-UPD'!$I19,"")</f>
        <v/>
      </c>
      <c r="R23" s="57" t="str">
        <f>IF('[1]EF1-UPD'!$C19=R$4,'[1]EF1-UPD'!$I19,"")</f>
        <v/>
      </c>
      <c r="S23" s="57" t="str">
        <f>IF('[1]EF1-UPD'!$C19=S$4,'[1]EF1-UPD'!$I19,"")</f>
        <v/>
      </c>
      <c r="T23" s="57" t="str">
        <f>IF('[1]EF1-UPD'!$C19=T$4,'[1]EF1-UPD'!$I19,"")</f>
        <v/>
      </c>
      <c r="U23" s="57" t="str">
        <f>IF('[1]EF1-UPD'!$C19=U$4,'[1]EF1-UPD'!$J19,IF('[1]EF1-UPD'!$E19=U$4,'[1]EF1-UPD'!$J19,""))</f>
        <v/>
      </c>
      <c r="V23" s="39" t="str">
        <f>[1]UNI_Grid!G21</f>
        <v>GI-CH-N1-AT-N1</v>
      </c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</row>
    <row r="24" spans="1:33">
      <c r="A24" s="55"/>
      <c r="B24" s="55"/>
      <c r="C24" s="55"/>
      <c r="D24" s="56" t="s">
        <v>30</v>
      </c>
      <c r="E24" s="91" t="s">
        <v>114</v>
      </c>
      <c r="F24" s="55"/>
      <c r="G24" s="57"/>
      <c r="H24" s="57" t="str">
        <f>IF('[1]EF1-UPD'!$C20=H$4,'[1]EF1-UPD'!$I20,"")</f>
        <v/>
      </c>
      <c r="I24" s="57" t="str">
        <f>IF('[1]EF1-UPD'!$C20=I$4,'[1]EF1-UPD'!$I20,"")</f>
        <v/>
      </c>
      <c r="J24" s="57">
        <f>IF('[1]EF1-UPD'!$C20=J$4,'[1]EF1-UPD'!$I20,"")</f>
        <v>19.5</v>
      </c>
      <c r="K24" s="57" t="str">
        <f>IF('[1]EF1-UPD'!$C20=K$4,'[1]EF1-UPD'!$I20,"")</f>
        <v/>
      </c>
      <c r="L24" s="57" t="str">
        <f>IF('[1]EF1-UPD'!$C20=L$4,'[1]EF1-UPD'!$I20,"")</f>
        <v/>
      </c>
      <c r="M24" s="57" t="str">
        <f>IF('[1]EF1-UPD'!$C20=M$4,'[1]EF1-UPD'!$I20,"")</f>
        <v/>
      </c>
      <c r="N24" s="57" t="str">
        <f>IF('[1]EF1-UPD'!$C20=N$4,'[1]EF1-UPD'!$I20,"")</f>
        <v/>
      </c>
      <c r="O24" s="57" t="str">
        <f>IF('[1]EF1-UPD'!$C20=O$4,'[1]EF1-UPD'!$I20,"")</f>
        <v/>
      </c>
      <c r="P24" s="57" t="str">
        <f>IF('[1]EF1-UPD'!$C20=P$4,'[1]EF1-UPD'!$I20,"")</f>
        <v/>
      </c>
      <c r="Q24" s="57" t="str">
        <f>IF('[1]EF1-UPD'!$C20=Q$4,'[1]EF1-UPD'!$I20,"")</f>
        <v/>
      </c>
      <c r="R24" s="57" t="str">
        <f>IF('[1]EF1-UPD'!$C20=R$4,'[1]EF1-UPD'!$I20,"")</f>
        <v/>
      </c>
      <c r="S24" s="57" t="str">
        <f>IF('[1]EF1-UPD'!$C20=S$4,'[1]EF1-UPD'!$I20,"")</f>
        <v/>
      </c>
      <c r="T24" s="57" t="str">
        <f>IF('[1]EF1-UPD'!$C20=T$4,'[1]EF1-UPD'!$I20,"")</f>
        <v/>
      </c>
      <c r="U24" s="57" t="str">
        <f>IF('[1]EF1-UPD'!$C20=U$4,'[1]EF1-UPD'!$J20,IF('[1]EF1-UPD'!$E20=U$4,'[1]EF1-UPD'!$J20,""))</f>
        <v/>
      </c>
      <c r="V24" s="39" t="str">
        <f>[1]UNI_Grid!G22</f>
        <v>GI-CH-N1-IT-N1</v>
      </c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</row>
    <row r="25" spans="1:33">
      <c r="A25" s="55"/>
      <c r="B25" s="55"/>
      <c r="C25" s="55"/>
      <c r="D25" s="56" t="s">
        <v>30</v>
      </c>
      <c r="E25" s="91" t="s">
        <v>114</v>
      </c>
      <c r="F25" s="55"/>
      <c r="G25" s="57"/>
      <c r="H25" s="57" t="str">
        <f>IF('[1]EF1-UPD'!$C21=H$4,'[1]EF1-UPD'!$I21,"")</f>
        <v/>
      </c>
      <c r="I25" s="57" t="str">
        <f>IF('[1]EF1-UPD'!$C21=I$4,'[1]EF1-UPD'!$I21,"")</f>
        <v/>
      </c>
      <c r="J25" s="57" t="str">
        <f>IF('[1]EF1-UPD'!$C21=J$4,'[1]EF1-UPD'!$I21,"")</f>
        <v/>
      </c>
      <c r="K25" s="57" t="str">
        <f>IF('[1]EF1-UPD'!$C21=K$4,'[1]EF1-UPD'!$I21,"")</f>
        <v/>
      </c>
      <c r="L25" s="57">
        <f>IF('[1]EF1-UPD'!$C21=L$4,'[1]EF1-UPD'!$I21,"")</f>
        <v>37.375</v>
      </c>
      <c r="M25" s="57" t="str">
        <f>IF('[1]EF1-UPD'!$C21=M$4,'[1]EF1-UPD'!$I21,"")</f>
        <v/>
      </c>
      <c r="N25" s="57" t="str">
        <f>IF('[1]EF1-UPD'!$C21=N$4,'[1]EF1-UPD'!$I21,"")</f>
        <v/>
      </c>
      <c r="O25" s="57" t="str">
        <f>IF('[1]EF1-UPD'!$C21=O$4,'[1]EF1-UPD'!$I21,"")</f>
        <v/>
      </c>
      <c r="P25" s="57" t="str">
        <f>IF('[1]EF1-UPD'!$C21=P$4,'[1]EF1-UPD'!$I21,"")</f>
        <v/>
      </c>
      <c r="Q25" s="57" t="str">
        <f>IF('[1]EF1-UPD'!$C21=Q$4,'[1]EF1-UPD'!$I21,"")</f>
        <v/>
      </c>
      <c r="R25" s="57" t="str">
        <f>IF('[1]EF1-UPD'!$C21=R$4,'[1]EF1-UPD'!$I21,"")</f>
        <v/>
      </c>
      <c r="S25" s="57" t="str">
        <f>IF('[1]EF1-UPD'!$C21=S$4,'[1]EF1-UPD'!$I21,"")</f>
        <v/>
      </c>
      <c r="T25" s="57" t="str">
        <f>IF('[1]EF1-UPD'!$C21=T$4,'[1]EF1-UPD'!$I21,"")</f>
        <v/>
      </c>
      <c r="U25" s="57" t="str">
        <f>IF('[1]EF1-UPD'!$C21=U$4,'[1]EF1-UPD'!$J21,IF('[1]EF1-UPD'!$E21=U$4,'[1]EF1-UPD'!$J21,""))</f>
        <v/>
      </c>
      <c r="V25" s="39" t="str">
        <f>[1]UNI_Grid!G23</f>
        <v>GI-FR-N1-IT-N1</v>
      </c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</row>
    <row r="26" spans="1:33">
      <c r="A26" s="55"/>
      <c r="B26" s="55"/>
      <c r="C26" s="55"/>
      <c r="D26" s="56" t="s">
        <v>30</v>
      </c>
      <c r="E26" s="91" t="s">
        <v>114</v>
      </c>
      <c r="F26" s="55"/>
      <c r="G26" s="57"/>
      <c r="H26" s="57">
        <f>IF('[1]EF1-UPD'!$C22=H$4,'[1]EF1-UPD'!$I22,"")</f>
        <v>1255.51428571428</v>
      </c>
      <c r="I26" s="57" t="str">
        <f>IF('[1]EF1-UPD'!$C22=I$4,'[1]EF1-UPD'!$I22,"")</f>
        <v/>
      </c>
      <c r="J26" s="57" t="str">
        <f>IF('[1]EF1-UPD'!$C22=J$4,'[1]EF1-UPD'!$I22,"")</f>
        <v/>
      </c>
      <c r="K26" s="57" t="str">
        <f>IF('[1]EF1-UPD'!$C22=K$4,'[1]EF1-UPD'!$I22,"")</f>
        <v/>
      </c>
      <c r="L26" s="57" t="str">
        <f>IF('[1]EF1-UPD'!$C22=L$4,'[1]EF1-UPD'!$I22,"")</f>
        <v/>
      </c>
      <c r="M26" s="57" t="str">
        <f>IF('[1]EF1-UPD'!$C22=M$4,'[1]EF1-UPD'!$I22,"")</f>
        <v/>
      </c>
      <c r="N26" s="57" t="str">
        <f>IF('[1]EF1-UPD'!$C22=N$4,'[1]EF1-UPD'!$I22,"")</f>
        <v/>
      </c>
      <c r="O26" s="57" t="str">
        <f>IF('[1]EF1-UPD'!$C22=O$4,'[1]EF1-UPD'!$I22,"")</f>
        <v/>
      </c>
      <c r="P26" s="57" t="str">
        <f>IF('[1]EF1-UPD'!$C22=P$4,'[1]EF1-UPD'!$I22,"")</f>
        <v/>
      </c>
      <c r="Q26" s="57" t="str">
        <f>IF('[1]EF1-UPD'!$C22=Q$4,'[1]EF1-UPD'!$I22,"")</f>
        <v/>
      </c>
      <c r="R26" s="57" t="str">
        <f>IF('[1]EF1-UPD'!$C22=R$4,'[1]EF1-UPD'!$I22,"")</f>
        <v/>
      </c>
      <c r="S26" s="57" t="str">
        <f>IF('[1]EF1-UPD'!$C22=S$4,'[1]EF1-UPD'!$I22,"")</f>
        <v/>
      </c>
      <c r="T26" s="57" t="str">
        <f>IF('[1]EF1-UPD'!$C22=T$4,'[1]EF1-UPD'!$I22,"")</f>
        <v/>
      </c>
      <c r="U26" s="57" t="str">
        <f>IF('[1]EF1-UPD'!$C22=U$4,'[1]EF1-UPD'!$J22,IF('[1]EF1-UPD'!$E22=U$4,'[1]EF1-UPD'!$J22,""))</f>
        <v/>
      </c>
      <c r="V26" s="39" t="str">
        <f>[1]UNI_Grid!G24</f>
        <v>GI-AT-N1-HU-N1</v>
      </c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</row>
    <row r="27" spans="1:33">
      <c r="A27" s="55"/>
      <c r="B27" s="55"/>
      <c r="C27" s="55"/>
      <c r="D27" s="56" t="s">
        <v>30</v>
      </c>
      <c r="E27" s="91" t="s">
        <v>114</v>
      </c>
      <c r="F27" s="55"/>
      <c r="G27" s="57"/>
      <c r="H27" s="57" t="str">
        <f>IF('[1]EF1-UPD'!$C23=H$4,'[1]EF1-UPD'!$I23,"")</f>
        <v/>
      </c>
      <c r="I27" s="57" t="str">
        <f>IF('[1]EF1-UPD'!$C23=I$4,'[1]EF1-UPD'!$I23,"")</f>
        <v/>
      </c>
      <c r="J27" s="57" t="str">
        <f>IF('[1]EF1-UPD'!$C23=J$4,'[1]EF1-UPD'!$I23,"")</f>
        <v/>
      </c>
      <c r="K27" s="57">
        <f>IF('[1]EF1-UPD'!$C23=K$4,'[1]EF1-UPD'!$I23,"")</f>
        <v>777.05</v>
      </c>
      <c r="L27" s="57" t="str">
        <f>IF('[1]EF1-UPD'!$C23=L$4,'[1]EF1-UPD'!$I23,"")</f>
        <v/>
      </c>
      <c r="M27" s="57" t="str">
        <f>IF('[1]EF1-UPD'!$C23=M$4,'[1]EF1-UPD'!$I23,"")</f>
        <v/>
      </c>
      <c r="N27" s="57" t="str">
        <f>IF('[1]EF1-UPD'!$C23=N$4,'[1]EF1-UPD'!$I23,"")</f>
        <v/>
      </c>
      <c r="O27" s="57" t="str">
        <f>IF('[1]EF1-UPD'!$C23=O$4,'[1]EF1-UPD'!$I23,"")</f>
        <v/>
      </c>
      <c r="P27" s="57" t="str">
        <f>IF('[1]EF1-UPD'!$C23=P$4,'[1]EF1-UPD'!$I23,"")</f>
        <v/>
      </c>
      <c r="Q27" s="57" t="str">
        <f>IF('[1]EF1-UPD'!$C23=Q$4,'[1]EF1-UPD'!$I23,"")</f>
        <v/>
      </c>
      <c r="R27" s="57" t="str">
        <f>IF('[1]EF1-UPD'!$C23=R$4,'[1]EF1-UPD'!$I23,"")</f>
        <v/>
      </c>
      <c r="S27" s="57" t="str">
        <f>IF('[1]EF1-UPD'!$C23=S$4,'[1]EF1-UPD'!$I23,"")</f>
        <v/>
      </c>
      <c r="T27" s="57" t="str">
        <f>IF('[1]EF1-UPD'!$C23=T$4,'[1]EF1-UPD'!$I23,"")</f>
        <v/>
      </c>
      <c r="U27" s="57" t="str">
        <f>IF('[1]EF1-UPD'!$C23=U$4,'[1]EF1-UPD'!$J23,IF('[1]EF1-UPD'!$E23=U$4,'[1]EF1-UPD'!$J23,""))</f>
        <v/>
      </c>
      <c r="V27" s="39" t="str">
        <f>[1]UNI_Grid!G25</f>
        <v>GI-DE-N1-PL-N1</v>
      </c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</row>
    <row r="28" spans="1:33" ht="13.5" thickBot="1">
      <c r="A28" s="55"/>
      <c r="B28" s="55"/>
      <c r="C28" s="55"/>
      <c r="D28" s="56" t="s">
        <v>30</v>
      </c>
      <c r="E28" s="91" t="s">
        <v>114</v>
      </c>
      <c r="F28" s="55"/>
      <c r="G28" s="57"/>
      <c r="H28" s="57">
        <f>IF('[1]EF1-UPD'!$C24=H$4,'[1]EF1-UPD'!$I24,"")</f>
        <v>795.4</v>
      </c>
      <c r="I28" s="57" t="str">
        <f>IF('[1]EF1-UPD'!$C24=I$4,'[1]EF1-UPD'!$I24,"")</f>
        <v/>
      </c>
      <c r="J28" s="57" t="str">
        <f>IF('[1]EF1-UPD'!$C24=J$4,'[1]EF1-UPD'!$I24,"")</f>
        <v/>
      </c>
      <c r="K28" s="57" t="str">
        <f>IF('[1]EF1-UPD'!$C24=K$4,'[1]EF1-UPD'!$I24,"")</f>
        <v/>
      </c>
      <c r="L28" s="57" t="str">
        <f>IF('[1]EF1-UPD'!$C24=L$4,'[1]EF1-UPD'!$I24,"")</f>
        <v/>
      </c>
      <c r="M28" s="57" t="str">
        <f>IF('[1]EF1-UPD'!$C24=M$4,'[1]EF1-UPD'!$I24,"")</f>
        <v/>
      </c>
      <c r="N28" s="57" t="str">
        <f>IF('[1]EF1-UPD'!$C24=N$4,'[1]EF1-UPD'!$I24,"")</f>
        <v/>
      </c>
      <c r="O28" s="57" t="str">
        <f>IF('[1]EF1-UPD'!$C24=O$4,'[1]EF1-UPD'!$I24,"")</f>
        <v/>
      </c>
      <c r="P28" s="57" t="str">
        <f>IF('[1]EF1-UPD'!$C24=P$4,'[1]EF1-UPD'!$I24,"")</f>
        <v/>
      </c>
      <c r="Q28" s="57" t="str">
        <f>IF('[1]EF1-UPD'!$C24=Q$4,'[1]EF1-UPD'!$I24,"")</f>
        <v/>
      </c>
      <c r="R28" s="57" t="str">
        <f>IF('[1]EF1-UPD'!$C24=R$4,'[1]EF1-UPD'!$I24,"")</f>
        <v/>
      </c>
      <c r="S28" s="57" t="str">
        <f>IF('[1]EF1-UPD'!$C24=S$4,'[1]EF1-UPD'!$I24,"")</f>
        <v/>
      </c>
      <c r="T28" s="57" t="str">
        <f>IF('[1]EF1-UPD'!$C24=T$4,'[1]EF1-UPD'!$I24,"")</f>
        <v/>
      </c>
      <c r="U28" s="57" t="str">
        <f>IF('[1]EF1-UPD'!$C24=U$4,'[1]EF1-UPD'!$J24,IF('[1]EF1-UPD'!$E24=U$4,'[1]EF1-UPD'!$J24,""))</f>
        <v/>
      </c>
      <c r="V28" s="39" t="str">
        <f>[1]UNI_Grid!G26</f>
        <v>GI-AT-N1-IT-N1</v>
      </c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</row>
    <row r="29" spans="1:33" ht="17.25" customHeight="1" thickTop="1" thickBot="1">
      <c r="A29" s="40" t="s">
        <v>49</v>
      </c>
      <c r="B29" s="40"/>
      <c r="C29" s="40"/>
      <c r="D29" s="41" t="s">
        <v>34</v>
      </c>
      <c r="E29" s="42"/>
      <c r="F29" s="40"/>
      <c r="G29" s="42">
        <v>50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3" t="s">
        <v>19</v>
      </c>
      <c r="V29" s="43" t="s">
        <v>50</v>
      </c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</row>
    <row r="30" spans="1:33" s="10" customFormat="1" ht="13.5" thickTop="1">
      <c r="A30" s="24" t="s">
        <v>51</v>
      </c>
      <c r="D30" s="10" t="s">
        <v>18</v>
      </c>
      <c r="E30" s="60" t="s">
        <v>114</v>
      </c>
      <c r="G30" s="18"/>
      <c r="H30" s="22" t="str">
        <f>IF('[1]EF1-UPD'!$C2=H$4,'[1]EF1-UPD'!$F2/1000,"")</f>
        <v/>
      </c>
      <c r="I30" s="22" t="str">
        <f>IF('[1]EF1-UPD'!$C2=I$4,'[1]EF1-UPD'!$F2/1000,"")</f>
        <v/>
      </c>
      <c r="J30" s="22" t="str">
        <f>IF('[1]EF1-UPD'!$C2=J$4,'[1]EF1-UPD'!$F2/1000,"")</f>
        <v/>
      </c>
      <c r="K30" s="22">
        <f>IF('[1]EF1-UPD'!$C2=K$4,'[1]EF1-UPD'!$F2/1000,"")</f>
        <v>2</v>
      </c>
      <c r="L30" s="22" t="str">
        <f>IF('[1]EF1-UPD'!$C2=L$4,'[1]EF1-UPD'!$F2/1000,"")</f>
        <v/>
      </c>
      <c r="M30" s="22" t="str">
        <f>IF('[1]EF1-UPD'!$C2=M$4,'[1]EF1-UPD'!$F2/1000,"")</f>
        <v/>
      </c>
      <c r="N30" s="22" t="str">
        <f>IF('[1]EF1-UPD'!$C2=N$4,'[1]EF1-UPD'!$F2/1000,"")</f>
        <v/>
      </c>
      <c r="O30" s="22" t="str">
        <f>IF('[1]EF1-UPD'!$C2=O$4,'[1]EF1-UPD'!$F2/1000,"")</f>
        <v/>
      </c>
      <c r="P30" s="22" t="str">
        <f>IF('[1]EF1-UPD'!$C2=P$4,'[1]EF1-UPD'!$F2/1000,"")</f>
        <v/>
      </c>
      <c r="Q30" s="22" t="str">
        <f>IF('[1]EF1-UPD'!$C2=Q$4,'[1]EF1-UPD'!$F2/1000,"")</f>
        <v/>
      </c>
      <c r="R30" s="22" t="str">
        <f>IF('[1]EF1-UPD'!$C2=R$4,'[1]EF1-UPD'!$F2/1000,"")</f>
        <v/>
      </c>
      <c r="S30" s="22" t="str">
        <f>IF('[1]EF1-UPD'!$C2=S$4,'[1]EF1-UPD'!$F2/1000,"")</f>
        <v/>
      </c>
      <c r="T30" s="22" t="str">
        <f>IF('[1]EF1-UPD'!$C2=T$4,'[1]EF1-UPD'!$F2/1000,"")</f>
        <v/>
      </c>
      <c r="U30" s="23" t="str">
        <f>IF('[1]EF1-UPD'!$C2=U$4,'[1]EF1-UPD'!$F2/1000,IF('[1]EF1-UPD'!$E2=U$4,'[1]EF1-UPD'!$F2/1000,""))</f>
        <v/>
      </c>
      <c r="V30" s="39" t="str">
        <f>[1]UNI_Grid!G4</f>
        <v>GI-DE-N1-LU-N1</v>
      </c>
      <c r="W30" s="18"/>
    </row>
    <row r="31" spans="1:33">
      <c r="D31" t="s">
        <v>18</v>
      </c>
      <c r="E31" s="60" t="s">
        <v>114</v>
      </c>
      <c r="H31" s="22" t="str">
        <f>IF('[1]EF1-UPD'!$C3=H$4,'[1]EF1-UPD'!$F3/1000,"")</f>
        <v/>
      </c>
      <c r="I31" s="22" t="str">
        <f>IF('[1]EF1-UPD'!$C3=I$4,'[1]EF1-UPD'!$F3/1000,"")</f>
        <v/>
      </c>
      <c r="J31" s="22" t="str">
        <f>IF('[1]EF1-UPD'!$C3=J$4,'[1]EF1-UPD'!$F3/1000,"")</f>
        <v/>
      </c>
      <c r="K31" s="22" t="str">
        <f>IF('[1]EF1-UPD'!$C3=K$4,'[1]EF1-UPD'!$F3/1000,"")</f>
        <v/>
      </c>
      <c r="L31" s="22" t="str">
        <f>IF('[1]EF1-UPD'!$C3=L$4,'[1]EF1-UPD'!$F3/1000,"")</f>
        <v/>
      </c>
      <c r="M31" s="22">
        <f>IF('[1]EF1-UPD'!$C3=M$4,'[1]EF1-UPD'!$F3/1000,"")</f>
        <v>5.0999999999999996</v>
      </c>
      <c r="N31" s="22" t="str">
        <f>IF('[1]EF1-UPD'!$C3=N$4,'[1]EF1-UPD'!$F3/1000,"")</f>
        <v/>
      </c>
      <c r="O31" s="22" t="str">
        <f>IF('[1]EF1-UPD'!$C3=O$4,'[1]EF1-UPD'!$F3/1000,"")</f>
        <v/>
      </c>
      <c r="P31" s="22" t="str">
        <f>IF('[1]EF1-UPD'!$C3=P$4,'[1]EF1-UPD'!$F3/1000,"")</f>
        <v/>
      </c>
      <c r="Q31" s="22" t="str">
        <f>IF('[1]EF1-UPD'!$C3=Q$4,'[1]EF1-UPD'!$F3/1000,"")</f>
        <v/>
      </c>
      <c r="R31" s="22" t="str">
        <f>IF('[1]EF1-UPD'!$C3=R$4,'[1]EF1-UPD'!$F3/1000,"")</f>
        <v/>
      </c>
      <c r="S31" s="22" t="str">
        <f>IF('[1]EF1-UPD'!$C3=S$4,'[1]EF1-UPD'!$F3/1000,"")</f>
        <v/>
      </c>
      <c r="T31" s="22" t="str">
        <f>IF('[1]EF1-UPD'!$C3=T$4,'[1]EF1-UPD'!$F3/1000,"")</f>
        <v/>
      </c>
      <c r="U31" s="23" t="str">
        <f>IF('[1]EF1-UPD'!$C3=U$4,'[1]EF1-UPD'!$F3/1000,IF('[1]EF1-UPD'!$E3=U$4,'[1]EF1-UPD'!$F3/1000,""))</f>
        <v/>
      </c>
      <c r="V31" s="39" t="str">
        <f>[1]UNI_Grid!G5</f>
        <v>GI-NL-N1-DE-N1</v>
      </c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</row>
    <row r="32" spans="1:33">
      <c r="D32" t="s">
        <v>18</v>
      </c>
      <c r="E32" s="60" t="s">
        <v>114</v>
      </c>
      <c r="H32" s="22" t="str">
        <f>IF('[1]EF1-UPD'!$C4=H$4,'[1]EF1-UPD'!$F4/1000,"")</f>
        <v/>
      </c>
      <c r="I32" s="22" t="str">
        <f>IF('[1]EF1-UPD'!$C4=I$4,'[1]EF1-UPD'!$F4/1000,"")</f>
        <v/>
      </c>
      <c r="J32" s="22" t="str">
        <f>IF('[1]EF1-UPD'!$C4=J$4,'[1]EF1-UPD'!$F4/1000,"")</f>
        <v/>
      </c>
      <c r="K32" s="22" t="str">
        <f>IF('[1]EF1-UPD'!$C4=K$4,'[1]EF1-UPD'!$F4/1000,"")</f>
        <v/>
      </c>
      <c r="L32" s="22" t="str">
        <f>IF('[1]EF1-UPD'!$C4=L$4,'[1]EF1-UPD'!$F4/1000,"")</f>
        <v/>
      </c>
      <c r="M32" s="22">
        <f>IF('[1]EF1-UPD'!$C4=M$4,'[1]EF1-UPD'!$F4/1000,"")</f>
        <v>3.6</v>
      </c>
      <c r="N32" s="22" t="str">
        <f>IF('[1]EF1-UPD'!$C4=N$4,'[1]EF1-UPD'!$F4/1000,"")</f>
        <v/>
      </c>
      <c r="O32" s="22" t="str">
        <f>IF('[1]EF1-UPD'!$C4=O$4,'[1]EF1-UPD'!$F4/1000,"")</f>
        <v/>
      </c>
      <c r="P32" s="22" t="str">
        <f>IF('[1]EF1-UPD'!$C4=P$4,'[1]EF1-UPD'!$F4/1000,"")</f>
        <v/>
      </c>
      <c r="Q32" s="22" t="str">
        <f>IF('[1]EF1-UPD'!$C4=Q$4,'[1]EF1-UPD'!$F4/1000,"")</f>
        <v/>
      </c>
      <c r="R32" s="22" t="str">
        <f>IF('[1]EF1-UPD'!$C4=R$4,'[1]EF1-UPD'!$F4/1000,"")</f>
        <v/>
      </c>
      <c r="S32" s="22" t="str">
        <f>IF('[1]EF1-UPD'!$C4=S$4,'[1]EF1-UPD'!$F4/1000,"")</f>
        <v/>
      </c>
      <c r="T32" s="22" t="str">
        <f>IF('[1]EF1-UPD'!$C4=T$4,'[1]EF1-UPD'!$F4/1000,"")</f>
        <v/>
      </c>
      <c r="U32" s="23" t="str">
        <f>IF('[1]EF1-UPD'!$C4=U$4,'[1]EF1-UPD'!$F4/1000,IF('[1]EF1-UPD'!$E4=U$4,'[1]EF1-UPD'!$F4/1000,""))</f>
        <v/>
      </c>
      <c r="V32" s="39" t="str">
        <f>[1]UNI_Grid!G6</f>
        <v>GI-NL-N1-BE-N1</v>
      </c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</row>
    <row r="33" spans="4:33">
      <c r="D33" t="s">
        <v>18</v>
      </c>
      <c r="E33" s="60" t="s">
        <v>114</v>
      </c>
      <c r="H33" s="22" t="str">
        <f>IF('[1]EF1-UPD'!$C5=H$4,'[1]EF1-UPD'!$F5/1000,"")</f>
        <v/>
      </c>
      <c r="I33" s="22" t="str">
        <f>IF('[1]EF1-UPD'!$C5=I$4,'[1]EF1-UPD'!$F5/1000,"")</f>
        <v/>
      </c>
      <c r="J33" s="22" t="str">
        <f>IF('[1]EF1-UPD'!$C5=J$4,'[1]EF1-UPD'!$F5/1000,"")</f>
        <v/>
      </c>
      <c r="K33" s="22" t="str">
        <f>IF('[1]EF1-UPD'!$C5=K$4,'[1]EF1-UPD'!$F5/1000,"")</f>
        <v/>
      </c>
      <c r="L33" s="22">
        <f>IF('[1]EF1-UPD'!$C5=L$4,'[1]EF1-UPD'!$F5/1000,"")</f>
        <v>5.0999999999999996</v>
      </c>
      <c r="M33" s="22" t="str">
        <f>IF('[1]EF1-UPD'!$C5=M$4,'[1]EF1-UPD'!$F5/1000,"")</f>
        <v/>
      </c>
      <c r="N33" s="22" t="str">
        <f>IF('[1]EF1-UPD'!$C5=N$4,'[1]EF1-UPD'!$F5/1000,"")</f>
        <v/>
      </c>
      <c r="O33" s="22" t="str">
        <f>IF('[1]EF1-UPD'!$C5=O$4,'[1]EF1-UPD'!$F5/1000,"")</f>
        <v/>
      </c>
      <c r="P33" s="22" t="str">
        <f>IF('[1]EF1-UPD'!$C5=P$4,'[1]EF1-UPD'!$F5/1000,"")</f>
        <v/>
      </c>
      <c r="Q33" s="22" t="str">
        <f>IF('[1]EF1-UPD'!$C5=Q$4,'[1]EF1-UPD'!$F5/1000,"")</f>
        <v/>
      </c>
      <c r="R33" s="22" t="str">
        <f>IF('[1]EF1-UPD'!$C5=R$4,'[1]EF1-UPD'!$F5/1000,"")</f>
        <v/>
      </c>
      <c r="S33" s="22" t="str">
        <f>IF('[1]EF1-UPD'!$C5=S$4,'[1]EF1-UPD'!$F5/1000,"")</f>
        <v/>
      </c>
      <c r="T33" s="22" t="str">
        <f>IF('[1]EF1-UPD'!$C5=T$4,'[1]EF1-UPD'!$F5/1000,"")</f>
        <v/>
      </c>
      <c r="U33" s="23" t="str">
        <f>IF('[1]EF1-UPD'!$C5=U$4,'[1]EF1-UPD'!$F5/1000,IF('[1]EF1-UPD'!$E5=U$4,'[1]EF1-UPD'!$F5/1000,""))</f>
        <v/>
      </c>
      <c r="V33" s="39" t="str">
        <f>[1]UNI_Grid!G7</f>
        <v>GI-FR-N1-BE-N1</v>
      </c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</row>
    <row r="34" spans="4:33">
      <c r="D34" t="s">
        <v>18</v>
      </c>
      <c r="E34" s="60" t="s">
        <v>114</v>
      </c>
      <c r="H34" s="22" t="str">
        <f>IF('[1]EF1-UPD'!$C6=H$4,'[1]EF1-UPD'!$F6/1000,"")</f>
        <v/>
      </c>
      <c r="I34" s="22">
        <f>IF('[1]EF1-UPD'!$C6=I$4,'[1]EF1-UPD'!$F6/1000,"")</f>
        <v>0.36599999999999999</v>
      </c>
      <c r="J34" s="22" t="str">
        <f>IF('[1]EF1-UPD'!$C6=J$4,'[1]EF1-UPD'!$F6/1000,"")</f>
        <v/>
      </c>
      <c r="K34" s="22" t="str">
        <f>IF('[1]EF1-UPD'!$C6=K$4,'[1]EF1-UPD'!$F6/1000,"")</f>
        <v/>
      </c>
      <c r="L34" s="22" t="str">
        <f>IF('[1]EF1-UPD'!$C6=L$4,'[1]EF1-UPD'!$F6/1000,"")</f>
        <v/>
      </c>
      <c r="M34" s="22" t="str">
        <f>IF('[1]EF1-UPD'!$C6=M$4,'[1]EF1-UPD'!$F6/1000,"")</f>
        <v/>
      </c>
      <c r="N34" s="22" t="str">
        <f>IF('[1]EF1-UPD'!$C6=N$4,'[1]EF1-UPD'!$F6/1000,"")</f>
        <v/>
      </c>
      <c r="O34" s="22" t="str">
        <f>IF('[1]EF1-UPD'!$C6=O$4,'[1]EF1-UPD'!$F6/1000,"")</f>
        <v/>
      </c>
      <c r="P34" s="22" t="str">
        <f>IF('[1]EF1-UPD'!$C6=P$4,'[1]EF1-UPD'!$F6/1000,"")</f>
        <v/>
      </c>
      <c r="Q34" s="22" t="str">
        <f>IF('[1]EF1-UPD'!$C6=Q$4,'[1]EF1-UPD'!$F6/1000,"")</f>
        <v/>
      </c>
      <c r="R34" s="22" t="str">
        <f>IF('[1]EF1-UPD'!$C6=R$4,'[1]EF1-UPD'!$F6/1000,"")</f>
        <v/>
      </c>
      <c r="S34" s="22" t="str">
        <f>IF('[1]EF1-UPD'!$C6=S$4,'[1]EF1-UPD'!$F6/1000,"")</f>
        <v/>
      </c>
      <c r="T34" s="22" t="str">
        <f>IF('[1]EF1-UPD'!$C6=T$4,'[1]EF1-UPD'!$F6/1000,"")</f>
        <v/>
      </c>
      <c r="U34" s="23" t="str">
        <f>IF('[1]EF1-UPD'!$C6=U$4,'[1]EF1-UPD'!$F6/1000,IF('[1]EF1-UPD'!$E6=U$4,'[1]EF1-UPD'!$F6/1000,""))</f>
        <v/>
      </c>
      <c r="V34" s="39" t="str">
        <f>[1]UNI_Grid!G8</f>
        <v>GI-BE-N1-LU-N1</v>
      </c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</row>
    <row r="35" spans="4:33">
      <c r="D35" t="s">
        <v>18</v>
      </c>
      <c r="E35" s="60" t="s">
        <v>114</v>
      </c>
      <c r="H35" s="22" t="str">
        <f>IF('[1]EF1-UPD'!$C7=H$4,'[1]EF1-UPD'!$F7/1000,"")</f>
        <v/>
      </c>
      <c r="I35" s="22" t="str">
        <f>IF('[1]EF1-UPD'!$C7=I$4,'[1]EF1-UPD'!$F7/1000,"")</f>
        <v/>
      </c>
      <c r="J35" s="22" t="str">
        <f>IF('[1]EF1-UPD'!$C7=J$4,'[1]EF1-UPD'!$F7/1000,"")</f>
        <v/>
      </c>
      <c r="K35" s="22" t="str">
        <f>IF('[1]EF1-UPD'!$C7=K$4,'[1]EF1-UPD'!$F7/1000,"")</f>
        <v/>
      </c>
      <c r="L35" s="22">
        <f>IF('[1]EF1-UPD'!$C7=L$4,'[1]EF1-UPD'!$F7/1000,"")</f>
        <v>5.6</v>
      </c>
      <c r="M35" s="22" t="str">
        <f>IF('[1]EF1-UPD'!$C7=M$4,'[1]EF1-UPD'!$F7/1000,"")</f>
        <v/>
      </c>
      <c r="N35" s="22" t="str">
        <f>IF('[1]EF1-UPD'!$C7=N$4,'[1]EF1-UPD'!$F7/1000,"")</f>
        <v/>
      </c>
      <c r="O35" s="22" t="str">
        <f>IF('[1]EF1-UPD'!$C7=O$4,'[1]EF1-UPD'!$F7/1000,"")</f>
        <v/>
      </c>
      <c r="P35" s="22" t="str">
        <f>IF('[1]EF1-UPD'!$C7=P$4,'[1]EF1-UPD'!$F7/1000,"")</f>
        <v/>
      </c>
      <c r="Q35" s="22" t="str">
        <f>IF('[1]EF1-UPD'!$C7=Q$4,'[1]EF1-UPD'!$F7/1000,"")</f>
        <v/>
      </c>
      <c r="R35" s="22" t="str">
        <f>IF('[1]EF1-UPD'!$C7=R$4,'[1]EF1-UPD'!$F7/1000,"")</f>
        <v/>
      </c>
      <c r="S35" s="22" t="str">
        <f>IF('[1]EF1-UPD'!$C7=S$4,'[1]EF1-UPD'!$F7/1000,"")</f>
        <v/>
      </c>
      <c r="T35" s="22" t="str">
        <f>IF('[1]EF1-UPD'!$C7=T$4,'[1]EF1-UPD'!$F7/1000,"")</f>
        <v/>
      </c>
      <c r="U35" s="23" t="str">
        <f>IF('[1]EF1-UPD'!$C7=U$4,'[1]EF1-UPD'!$F7/1000,IF('[1]EF1-UPD'!$E7=U$4,'[1]EF1-UPD'!$F7/1000,""))</f>
        <v/>
      </c>
      <c r="V35" s="39" t="str">
        <f>[1]UNI_Grid!G9</f>
        <v>GI-FR-N1-DE-N1</v>
      </c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</row>
    <row r="36" spans="4:33">
      <c r="D36" t="s">
        <v>18</v>
      </c>
      <c r="E36" s="60" t="s">
        <v>114</v>
      </c>
      <c r="H36" s="22" t="str">
        <f>IF('[1]EF1-UPD'!$C8=H$4,'[1]EF1-UPD'!$F8/1000,"")</f>
        <v/>
      </c>
      <c r="I36" s="22" t="str">
        <f>IF('[1]EF1-UPD'!$C8=I$4,'[1]EF1-UPD'!$F8/1000,"")</f>
        <v/>
      </c>
      <c r="J36" s="22" t="str">
        <f>IF('[1]EF1-UPD'!$C8=J$4,'[1]EF1-UPD'!$F8/1000,"")</f>
        <v/>
      </c>
      <c r="K36" s="22" t="str">
        <f>IF('[1]EF1-UPD'!$C8=K$4,'[1]EF1-UPD'!$F8/1000,"")</f>
        <v/>
      </c>
      <c r="L36" s="22" t="str">
        <f>IF('[1]EF1-UPD'!$C8=L$4,'[1]EF1-UPD'!$F8/1000,"")</f>
        <v/>
      </c>
      <c r="M36" s="22" t="str">
        <f>IF('[1]EF1-UPD'!$C8=M$4,'[1]EF1-UPD'!$F8/1000,"")</f>
        <v/>
      </c>
      <c r="N36" s="22">
        <f>IF('[1]EF1-UPD'!$C8=N$4,'[1]EF1-UPD'!$F8/1000,"")</f>
        <v>3.4</v>
      </c>
      <c r="O36" s="22" t="str">
        <f>IF('[1]EF1-UPD'!$C8=O$4,'[1]EF1-UPD'!$F8/1000,"")</f>
        <v/>
      </c>
      <c r="P36" s="22" t="str">
        <f>IF('[1]EF1-UPD'!$C8=P$4,'[1]EF1-UPD'!$F8/1000,"")</f>
        <v/>
      </c>
      <c r="Q36" s="22" t="str">
        <f>IF('[1]EF1-UPD'!$C8=Q$4,'[1]EF1-UPD'!$F8/1000,"")</f>
        <v/>
      </c>
      <c r="R36" s="22" t="str">
        <f>IF('[1]EF1-UPD'!$C8=R$4,'[1]EF1-UPD'!$F8/1000,"")</f>
        <v/>
      </c>
      <c r="S36" s="22" t="str">
        <f>IF('[1]EF1-UPD'!$C8=S$4,'[1]EF1-UPD'!$F8/1000,"")</f>
        <v/>
      </c>
      <c r="T36" s="22" t="str">
        <f>IF('[1]EF1-UPD'!$C8=T$4,'[1]EF1-UPD'!$F8/1000,"")</f>
        <v/>
      </c>
      <c r="U36" s="23" t="str">
        <f>IF('[1]EF1-UPD'!$C8=U$4,'[1]EF1-UPD'!$F8/1000,IF('[1]EF1-UPD'!$E8=U$4,'[1]EF1-UPD'!$F8/1000,""))</f>
        <v/>
      </c>
      <c r="V36" s="39" t="str">
        <f>[1]UNI_Grid!G10</f>
        <v>GI-PL-N1-CZ-N1</v>
      </c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</row>
    <row r="37" spans="4:33">
      <c r="D37" t="s">
        <v>18</v>
      </c>
      <c r="E37" s="60" t="s">
        <v>114</v>
      </c>
      <c r="H37" s="22" t="str">
        <f>IF('[1]EF1-UPD'!$C9=H$4,'[1]EF1-UPD'!$F9/1000,"")</f>
        <v/>
      </c>
      <c r="I37" s="22" t="str">
        <f>IF('[1]EF1-UPD'!$C9=I$4,'[1]EF1-UPD'!$F9/1000,"")</f>
        <v/>
      </c>
      <c r="J37" s="22" t="str">
        <f>IF('[1]EF1-UPD'!$C9=J$4,'[1]EF1-UPD'!$F9/1000,"")</f>
        <v/>
      </c>
      <c r="K37" s="22" t="str">
        <f>IF('[1]EF1-UPD'!$C9=K$4,'[1]EF1-UPD'!$F9/1000,"")</f>
        <v/>
      </c>
      <c r="L37" s="22" t="str">
        <f>IF('[1]EF1-UPD'!$C9=L$4,'[1]EF1-UPD'!$F9/1000,"")</f>
        <v/>
      </c>
      <c r="M37" s="22" t="str">
        <f>IF('[1]EF1-UPD'!$C9=M$4,'[1]EF1-UPD'!$F9/1000,"")</f>
        <v/>
      </c>
      <c r="N37" s="22" t="str">
        <f>IF('[1]EF1-UPD'!$C9=N$4,'[1]EF1-UPD'!$F9/1000,"")</f>
        <v/>
      </c>
      <c r="O37" s="22" t="str">
        <f>IF('[1]EF1-UPD'!$C9=O$4,'[1]EF1-UPD'!$F9/1000,"")</f>
        <v/>
      </c>
      <c r="P37" s="22">
        <f>IF('[1]EF1-UPD'!$C9=P$4,'[1]EF1-UPD'!$F9/1000,"")</f>
        <v>3.4</v>
      </c>
      <c r="Q37" s="22" t="str">
        <f>IF('[1]EF1-UPD'!$C9=Q$4,'[1]EF1-UPD'!$F9/1000,"")</f>
        <v/>
      </c>
      <c r="R37" s="22" t="str">
        <f>IF('[1]EF1-UPD'!$C9=R$4,'[1]EF1-UPD'!$F9/1000,"")</f>
        <v/>
      </c>
      <c r="S37" s="22" t="str">
        <f>IF('[1]EF1-UPD'!$C9=S$4,'[1]EF1-UPD'!$F9/1000,"")</f>
        <v/>
      </c>
      <c r="T37" s="22" t="str">
        <f>IF('[1]EF1-UPD'!$C9=T$4,'[1]EF1-UPD'!$F9/1000,"")</f>
        <v/>
      </c>
      <c r="U37" s="23" t="str">
        <f>IF('[1]EF1-UPD'!$C9=U$4,'[1]EF1-UPD'!$F9/1000,IF('[1]EF1-UPD'!$E9=U$4,'[1]EF1-UPD'!$F9/1000,""))</f>
        <v/>
      </c>
      <c r="V37" s="39" t="str">
        <f>[1]UNI_Grid!G11</f>
        <v>GI-SK-N1-CZ-N1</v>
      </c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</row>
    <row r="38" spans="4:33">
      <c r="D38" t="s">
        <v>18</v>
      </c>
      <c r="E38" s="60" t="s">
        <v>114</v>
      </c>
      <c r="H38" s="22" t="str">
        <f>IF('[1]EF1-UPD'!$C10=H$4,'[1]EF1-UPD'!$F10/1000,"")</f>
        <v/>
      </c>
      <c r="I38" s="22" t="str">
        <f>IF('[1]EF1-UPD'!$C10=I$4,'[1]EF1-UPD'!$F10/1000,"")</f>
        <v/>
      </c>
      <c r="J38" s="22" t="str">
        <f>IF('[1]EF1-UPD'!$C10=J$4,'[1]EF1-UPD'!$F10/1000,"")</f>
        <v/>
      </c>
      <c r="K38" s="22" t="str">
        <f>IF('[1]EF1-UPD'!$C10=K$4,'[1]EF1-UPD'!$F10/1000,"")</f>
        <v/>
      </c>
      <c r="L38" s="22" t="str">
        <f>IF('[1]EF1-UPD'!$C10=L$4,'[1]EF1-UPD'!$F10/1000,"")</f>
        <v/>
      </c>
      <c r="M38" s="22" t="str">
        <f>IF('[1]EF1-UPD'!$C10=M$4,'[1]EF1-UPD'!$F10/1000,"")</f>
        <v/>
      </c>
      <c r="N38" s="22">
        <f>IF('[1]EF1-UPD'!$C10=N$4,'[1]EF1-UPD'!$F10/1000,"")</f>
        <v>0.83299999999999996</v>
      </c>
      <c r="O38" s="22" t="str">
        <f>IF('[1]EF1-UPD'!$C10=O$4,'[1]EF1-UPD'!$F10/1000,"")</f>
        <v/>
      </c>
      <c r="P38" s="22" t="str">
        <f>IF('[1]EF1-UPD'!$C10=P$4,'[1]EF1-UPD'!$F10/1000,"")</f>
        <v/>
      </c>
      <c r="Q38" s="22" t="str">
        <f>IF('[1]EF1-UPD'!$C10=Q$4,'[1]EF1-UPD'!$F10/1000,"")</f>
        <v/>
      </c>
      <c r="R38" s="22" t="str">
        <f>IF('[1]EF1-UPD'!$C10=R$4,'[1]EF1-UPD'!$F10/1000,"")</f>
        <v/>
      </c>
      <c r="S38" s="22" t="str">
        <f>IF('[1]EF1-UPD'!$C10=S$4,'[1]EF1-UPD'!$F10/1000,"")</f>
        <v/>
      </c>
      <c r="T38" s="22" t="str">
        <f>IF('[1]EF1-UPD'!$C10=T$4,'[1]EF1-UPD'!$F10/1000,"")</f>
        <v/>
      </c>
      <c r="U38" s="23" t="str">
        <f>IF('[1]EF1-UPD'!$C10=U$4,'[1]EF1-UPD'!$F10/1000,IF('[1]EF1-UPD'!$E10=U$4,'[1]EF1-UPD'!$F10/1000,""))</f>
        <v/>
      </c>
      <c r="V38" s="39" t="str">
        <f>[1]UNI_Grid!G12</f>
        <v>GI-PL-N1-SK-N1</v>
      </c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</row>
    <row r="39" spans="4:33">
      <c r="D39" t="s">
        <v>18</v>
      </c>
      <c r="E39" s="60" t="s">
        <v>114</v>
      </c>
      <c r="H39" s="22" t="str">
        <f>IF('[1]EF1-UPD'!$C11=H$4,'[1]EF1-UPD'!$F11/1000,"")</f>
        <v/>
      </c>
      <c r="I39" s="22" t="str">
        <f>IF('[1]EF1-UPD'!$C11=I$4,'[1]EF1-UPD'!$F11/1000,"")</f>
        <v/>
      </c>
      <c r="J39" s="22" t="str">
        <f>IF('[1]EF1-UPD'!$C11=J$4,'[1]EF1-UPD'!$F11/1000,"")</f>
        <v/>
      </c>
      <c r="K39" s="22">
        <f>IF('[1]EF1-UPD'!$C11=K$4,'[1]EF1-UPD'!$F11/1000,"")</f>
        <v>3.4</v>
      </c>
      <c r="L39" s="22" t="str">
        <f>IF('[1]EF1-UPD'!$C11=L$4,'[1]EF1-UPD'!$F11/1000,"")</f>
        <v/>
      </c>
      <c r="M39" s="22" t="str">
        <f>IF('[1]EF1-UPD'!$C11=M$4,'[1]EF1-UPD'!$F11/1000,"")</f>
        <v/>
      </c>
      <c r="N39" s="22" t="str">
        <f>IF('[1]EF1-UPD'!$C11=N$4,'[1]EF1-UPD'!$F11/1000,"")</f>
        <v/>
      </c>
      <c r="O39" s="22" t="str">
        <f>IF('[1]EF1-UPD'!$C11=O$4,'[1]EF1-UPD'!$F11/1000,"")</f>
        <v/>
      </c>
      <c r="P39" s="22" t="str">
        <f>IF('[1]EF1-UPD'!$C11=P$4,'[1]EF1-UPD'!$F11/1000,"")</f>
        <v/>
      </c>
      <c r="Q39" s="22" t="str">
        <f>IF('[1]EF1-UPD'!$C11=Q$4,'[1]EF1-UPD'!$F11/1000,"")</f>
        <v/>
      </c>
      <c r="R39" s="22" t="str">
        <f>IF('[1]EF1-UPD'!$C11=R$4,'[1]EF1-UPD'!$F11/1000,"")</f>
        <v/>
      </c>
      <c r="S39" s="22" t="str">
        <f>IF('[1]EF1-UPD'!$C11=S$4,'[1]EF1-UPD'!$F11/1000,"")</f>
        <v/>
      </c>
      <c r="T39" s="22" t="str">
        <f>IF('[1]EF1-UPD'!$C11=T$4,'[1]EF1-UPD'!$F11/1000,"")</f>
        <v/>
      </c>
      <c r="U39" s="23" t="str">
        <f>IF('[1]EF1-UPD'!$C11=U$4,'[1]EF1-UPD'!$F11/1000,IF('[1]EF1-UPD'!$E11=U$4,'[1]EF1-UPD'!$F11/1000,""))</f>
        <v/>
      </c>
      <c r="V39" s="39" t="str">
        <f>[1]UNI_Grid!G13</f>
        <v>GI-DE-N1-CZ-N1</v>
      </c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</row>
    <row r="40" spans="4:33">
      <c r="D40" t="s">
        <v>18</v>
      </c>
      <c r="E40" s="60" t="s">
        <v>114</v>
      </c>
      <c r="H40" s="22" t="str">
        <f>IF('[1]EF1-UPD'!$C12=H$4,'[1]EF1-UPD'!$F12/1000,"")</f>
        <v/>
      </c>
      <c r="I40" s="22" t="str">
        <f>IF('[1]EF1-UPD'!$C12=I$4,'[1]EF1-UPD'!$F12/1000,"")</f>
        <v/>
      </c>
      <c r="J40" s="22" t="str">
        <f>IF('[1]EF1-UPD'!$C12=J$4,'[1]EF1-UPD'!$F12/1000,"")</f>
        <v/>
      </c>
      <c r="K40" s="22" t="str">
        <f>IF('[1]EF1-UPD'!$C12=K$4,'[1]EF1-UPD'!$F12/1000,"")</f>
        <v/>
      </c>
      <c r="L40" s="22" t="str">
        <f>IF('[1]EF1-UPD'!$C12=L$4,'[1]EF1-UPD'!$F12/1000,"")</f>
        <v/>
      </c>
      <c r="M40" s="22" t="str">
        <f>IF('[1]EF1-UPD'!$C12=M$4,'[1]EF1-UPD'!$F12/1000,"")</f>
        <v/>
      </c>
      <c r="N40" s="22" t="str">
        <f>IF('[1]EF1-UPD'!$C12=N$4,'[1]EF1-UPD'!$F12/1000,"")</f>
        <v/>
      </c>
      <c r="O40" s="22" t="str">
        <f>IF('[1]EF1-UPD'!$C12=O$4,'[1]EF1-UPD'!$F12/1000,"")</f>
        <v/>
      </c>
      <c r="P40" s="22">
        <f>IF('[1]EF1-UPD'!$C12=P$4,'[1]EF1-UPD'!$F12/1000,"")</f>
        <v>2.8</v>
      </c>
      <c r="Q40" s="22" t="str">
        <f>IF('[1]EF1-UPD'!$C12=Q$4,'[1]EF1-UPD'!$F12/1000,"")</f>
        <v/>
      </c>
      <c r="R40" s="22" t="str">
        <f>IF('[1]EF1-UPD'!$C12=R$4,'[1]EF1-UPD'!$F12/1000,"")</f>
        <v/>
      </c>
      <c r="S40" s="22" t="str">
        <f>IF('[1]EF1-UPD'!$C12=S$4,'[1]EF1-UPD'!$F12/1000,"")</f>
        <v/>
      </c>
      <c r="T40" s="22" t="str">
        <f>IF('[1]EF1-UPD'!$C12=T$4,'[1]EF1-UPD'!$F12/1000,"")</f>
        <v/>
      </c>
      <c r="U40" s="23" t="str">
        <f>IF('[1]EF1-UPD'!$C12=U$4,'[1]EF1-UPD'!$F12/1000,IF('[1]EF1-UPD'!$E12=U$4,'[1]EF1-UPD'!$F12/1000,""))</f>
        <v/>
      </c>
      <c r="V40" s="39" t="str">
        <f>[1]UNI_Grid!G14</f>
        <v>GI-SK-N1-HU-N1</v>
      </c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</row>
    <row r="41" spans="4:33">
      <c r="D41" t="s">
        <v>18</v>
      </c>
      <c r="E41" s="60" t="s">
        <v>114</v>
      </c>
      <c r="H41" s="22" t="str">
        <f>IF('[1]EF1-UPD'!$C13=H$4,'[1]EF1-UPD'!$F13/1000,"")</f>
        <v/>
      </c>
      <c r="I41" s="22" t="str">
        <f>IF('[1]EF1-UPD'!$C13=I$4,'[1]EF1-UPD'!$F13/1000,"")</f>
        <v/>
      </c>
      <c r="J41" s="22" t="str">
        <f>IF('[1]EF1-UPD'!$C13=J$4,'[1]EF1-UPD'!$F13/1000,"")</f>
        <v/>
      </c>
      <c r="K41" s="22" t="str">
        <f>IF('[1]EF1-UPD'!$C13=K$4,'[1]EF1-UPD'!$F13/1000,"")</f>
        <v/>
      </c>
      <c r="L41" s="22" t="str">
        <f>IF('[1]EF1-UPD'!$C13=L$4,'[1]EF1-UPD'!$F13/1000,"")</f>
        <v/>
      </c>
      <c r="M41" s="22" t="str">
        <f>IF('[1]EF1-UPD'!$C13=M$4,'[1]EF1-UPD'!$F13/1000,"")</f>
        <v/>
      </c>
      <c r="N41" s="22" t="str">
        <f>IF('[1]EF1-UPD'!$C13=N$4,'[1]EF1-UPD'!$F13/1000,"")</f>
        <v/>
      </c>
      <c r="O41" s="22">
        <f>IF('[1]EF1-UPD'!$C13=O$4,'[1]EF1-UPD'!$F13/1000,"")</f>
        <v>1</v>
      </c>
      <c r="P41" s="22" t="str">
        <f>IF('[1]EF1-UPD'!$C13=P$4,'[1]EF1-UPD'!$F13/1000,"")</f>
        <v/>
      </c>
      <c r="Q41" s="22" t="str">
        <f>IF('[1]EF1-UPD'!$C13=Q$4,'[1]EF1-UPD'!$F13/1000,"")</f>
        <v/>
      </c>
      <c r="R41" s="22" t="str">
        <f>IF('[1]EF1-UPD'!$C13=R$4,'[1]EF1-UPD'!$F13/1000,"")</f>
        <v/>
      </c>
      <c r="S41" s="22" t="str">
        <f>IF('[1]EF1-UPD'!$C13=S$4,'[1]EF1-UPD'!$F13/1000,"")</f>
        <v/>
      </c>
      <c r="T41" s="22" t="str">
        <f>IF('[1]EF1-UPD'!$C13=T$4,'[1]EF1-UPD'!$F13/1000,"")</f>
        <v/>
      </c>
      <c r="U41" s="23" t="str">
        <f>IF('[1]EF1-UPD'!$C13=U$4,'[1]EF1-UPD'!$F13/1000,IF('[1]EF1-UPD'!$E13=U$4,'[1]EF1-UPD'!$F13/1000,""))</f>
        <v/>
      </c>
      <c r="V41" s="39" t="str">
        <f>[1]UNI_Grid!G15</f>
        <v>GI-SI-N1-AT-N1</v>
      </c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</row>
    <row r="42" spans="4:33">
      <c r="D42" t="s">
        <v>18</v>
      </c>
      <c r="E42" s="60" t="s">
        <v>114</v>
      </c>
      <c r="H42" s="22" t="str">
        <f>IF('[1]EF1-UPD'!$C14=H$4,'[1]EF1-UPD'!$F14/1000,"")</f>
        <v/>
      </c>
      <c r="I42" s="22" t="str">
        <f>IF('[1]EF1-UPD'!$C14=I$4,'[1]EF1-UPD'!$F14/1000,"")</f>
        <v/>
      </c>
      <c r="J42" s="22">
        <f>IF('[1]EF1-UPD'!$C14=J$4,'[1]EF1-UPD'!$F14/1000,"")</f>
        <v>5.0999999999999996</v>
      </c>
      <c r="K42" s="22" t="str">
        <f>IF('[1]EF1-UPD'!$C14=K$4,'[1]EF1-UPD'!$F14/1000,"")</f>
        <v/>
      </c>
      <c r="L42" s="22" t="str">
        <f>IF('[1]EF1-UPD'!$C14=L$4,'[1]EF1-UPD'!$F14/1000,"")</f>
        <v/>
      </c>
      <c r="M42" s="22" t="str">
        <f>IF('[1]EF1-UPD'!$C14=M$4,'[1]EF1-UPD'!$F14/1000,"")</f>
        <v/>
      </c>
      <c r="N42" s="22" t="str">
        <f>IF('[1]EF1-UPD'!$C14=N$4,'[1]EF1-UPD'!$F14/1000,"")</f>
        <v/>
      </c>
      <c r="O42" s="22" t="str">
        <f>IF('[1]EF1-UPD'!$C14=O$4,'[1]EF1-UPD'!$F14/1000,"")</f>
        <v/>
      </c>
      <c r="P42" s="22" t="str">
        <f>IF('[1]EF1-UPD'!$C14=P$4,'[1]EF1-UPD'!$F14/1000,"")</f>
        <v/>
      </c>
      <c r="Q42" s="22" t="str">
        <f>IF('[1]EF1-UPD'!$C14=Q$4,'[1]EF1-UPD'!$F14/1000,"")</f>
        <v/>
      </c>
      <c r="R42" s="22" t="str">
        <f>IF('[1]EF1-UPD'!$C14=R$4,'[1]EF1-UPD'!$F14/1000,"")</f>
        <v/>
      </c>
      <c r="S42" s="22" t="str">
        <f>IF('[1]EF1-UPD'!$C14=S$4,'[1]EF1-UPD'!$F14/1000,"")</f>
        <v/>
      </c>
      <c r="T42" s="22" t="str">
        <f>IF('[1]EF1-UPD'!$C14=T$4,'[1]EF1-UPD'!$F14/1000,"")</f>
        <v/>
      </c>
      <c r="U42" s="23" t="str">
        <f>IF('[1]EF1-UPD'!$C14=U$4,'[1]EF1-UPD'!$F14/1000,IF('[1]EF1-UPD'!$E14=U$4,'[1]EF1-UPD'!$F14/1000,""))</f>
        <v/>
      </c>
      <c r="V42" s="39" t="str">
        <f>[1]UNI_Grid!G16</f>
        <v>GI-CH-N1-DE-N1</v>
      </c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</row>
    <row r="43" spans="4:33">
      <c r="D43" t="s">
        <v>18</v>
      </c>
      <c r="E43" s="60" t="s">
        <v>114</v>
      </c>
      <c r="H43" s="22" t="str">
        <f>IF('[1]EF1-UPD'!$C15=H$4,'[1]EF1-UPD'!$F15/1000,"")</f>
        <v/>
      </c>
      <c r="I43" s="22" t="str">
        <f>IF('[1]EF1-UPD'!$C15=I$4,'[1]EF1-UPD'!$F15/1000,"")</f>
        <v/>
      </c>
      <c r="J43" s="22" t="str">
        <f>IF('[1]EF1-UPD'!$C15=J$4,'[1]EF1-UPD'!$F15/1000,"")</f>
        <v/>
      </c>
      <c r="K43" s="22" t="str">
        <f>IF('[1]EF1-UPD'!$C15=K$4,'[1]EF1-UPD'!$F15/1000,"")</f>
        <v/>
      </c>
      <c r="L43" s="22" t="str">
        <f>IF('[1]EF1-UPD'!$C15=L$4,'[1]EF1-UPD'!$F15/1000,"")</f>
        <v/>
      </c>
      <c r="M43" s="22" t="str">
        <f>IF('[1]EF1-UPD'!$C15=M$4,'[1]EF1-UPD'!$F15/1000,"")</f>
        <v/>
      </c>
      <c r="N43" s="22" t="str">
        <f>IF('[1]EF1-UPD'!$C15=N$4,'[1]EF1-UPD'!$F15/1000,"")</f>
        <v/>
      </c>
      <c r="O43" s="22" t="str">
        <f>IF('[1]EF1-UPD'!$C15=O$4,'[1]EF1-UPD'!$F15/1000,"")</f>
        <v/>
      </c>
      <c r="P43" s="22" t="str">
        <f>IF('[1]EF1-UPD'!$C15=P$4,'[1]EF1-UPD'!$F15/1000,"")</f>
        <v/>
      </c>
      <c r="Q43" s="22" t="str">
        <f>IF('[1]EF1-UPD'!$C15=Q$4,'[1]EF1-UPD'!$F15/1000,"")</f>
        <v/>
      </c>
      <c r="R43" s="22" t="str">
        <f>IF('[1]EF1-UPD'!$C15=R$4,'[1]EF1-UPD'!$F15/1000,"")</f>
        <v/>
      </c>
      <c r="S43" s="22">
        <f>IF('[1]EF1-UPD'!$C15=S$4,'[1]EF1-UPD'!$F15/1000,"")</f>
        <v>0.76200000000000001</v>
      </c>
      <c r="T43" s="22" t="str">
        <f>IF('[1]EF1-UPD'!$C15=T$4,'[1]EF1-UPD'!$F15/1000,"")</f>
        <v/>
      </c>
      <c r="U43" s="23" t="str">
        <f>IF('[1]EF1-UPD'!$C15=U$4,'[1]EF1-UPD'!$F15/1000,IF('[1]EF1-UPD'!$E15=U$4,'[1]EF1-UPD'!$F15/1000,""))</f>
        <v/>
      </c>
      <c r="V43" s="39" t="str">
        <f>[1]UNI_Grid!G17</f>
        <v>GI-IT-N1-SI-N1</v>
      </c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</row>
    <row r="44" spans="4:33">
      <c r="D44" t="s">
        <v>18</v>
      </c>
      <c r="E44" s="60" t="s">
        <v>114</v>
      </c>
      <c r="H44" s="22" t="str">
        <f>IF('[1]EF1-UPD'!$C16=H$4,'[1]EF1-UPD'!$F16/1000,"")</f>
        <v/>
      </c>
      <c r="I44" s="22" t="str">
        <f>IF('[1]EF1-UPD'!$C16=I$4,'[1]EF1-UPD'!$F16/1000,"")</f>
        <v/>
      </c>
      <c r="J44" s="22" t="str">
        <f>IF('[1]EF1-UPD'!$C16=J$4,'[1]EF1-UPD'!$F16/1000,"")</f>
        <v/>
      </c>
      <c r="K44" s="22" t="str">
        <f>IF('[1]EF1-UPD'!$C16=K$4,'[1]EF1-UPD'!$F16/1000,"")</f>
        <v/>
      </c>
      <c r="L44" s="22">
        <f>IF('[1]EF1-UPD'!$C16=L$4,'[1]EF1-UPD'!$F16/1000,"")</f>
        <v>4.8</v>
      </c>
      <c r="M44" s="22" t="str">
        <f>IF('[1]EF1-UPD'!$C16=M$4,'[1]EF1-UPD'!$F16/1000,"")</f>
        <v/>
      </c>
      <c r="N44" s="22" t="str">
        <f>IF('[1]EF1-UPD'!$C16=N$4,'[1]EF1-UPD'!$F16/1000,"")</f>
        <v/>
      </c>
      <c r="O44" s="22" t="str">
        <f>IF('[1]EF1-UPD'!$C16=O$4,'[1]EF1-UPD'!$F16/1000,"")</f>
        <v/>
      </c>
      <c r="P44" s="22" t="str">
        <f>IF('[1]EF1-UPD'!$C16=P$4,'[1]EF1-UPD'!$F16/1000,"")</f>
        <v/>
      </c>
      <c r="Q44" s="22" t="str">
        <f>IF('[1]EF1-UPD'!$C16=Q$4,'[1]EF1-UPD'!$F16/1000,"")</f>
        <v/>
      </c>
      <c r="R44" s="22" t="str">
        <f>IF('[1]EF1-UPD'!$C16=R$4,'[1]EF1-UPD'!$F16/1000,"")</f>
        <v/>
      </c>
      <c r="S44" s="22" t="str">
        <f>IF('[1]EF1-UPD'!$C16=S$4,'[1]EF1-UPD'!$F16/1000,"")</f>
        <v/>
      </c>
      <c r="T44" s="22" t="str">
        <f>IF('[1]EF1-UPD'!$C16=T$4,'[1]EF1-UPD'!$F16/1000,"")</f>
        <v/>
      </c>
      <c r="U44" s="23" t="str">
        <f>IF('[1]EF1-UPD'!$C16=U$4,'[1]EF1-UPD'!$F16/1000,IF('[1]EF1-UPD'!$E16=U$4,'[1]EF1-UPD'!$F16/1000,""))</f>
        <v/>
      </c>
      <c r="V44" s="39" t="str">
        <f>[1]UNI_Grid!G18</f>
        <v>GI-FR-N1-CH-N1</v>
      </c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</row>
    <row r="45" spans="4:33">
      <c r="D45" t="s">
        <v>18</v>
      </c>
      <c r="E45" s="60" t="s">
        <v>114</v>
      </c>
      <c r="H45" s="22">
        <f>IF('[1]EF1-UPD'!$C17=H$4,'[1]EF1-UPD'!$F17/1000,"")</f>
        <v>3.4</v>
      </c>
      <c r="I45" s="22" t="str">
        <f>IF('[1]EF1-UPD'!$C17=I$4,'[1]EF1-UPD'!$F17/1000,"")</f>
        <v/>
      </c>
      <c r="J45" s="22" t="str">
        <f>IF('[1]EF1-UPD'!$C17=J$4,'[1]EF1-UPD'!$F17/1000,"")</f>
        <v/>
      </c>
      <c r="K45" s="22" t="str">
        <f>IF('[1]EF1-UPD'!$C17=K$4,'[1]EF1-UPD'!$F17/1000,"")</f>
        <v/>
      </c>
      <c r="L45" s="22" t="str">
        <f>IF('[1]EF1-UPD'!$C17=L$4,'[1]EF1-UPD'!$F17/1000,"")</f>
        <v/>
      </c>
      <c r="M45" s="22" t="str">
        <f>IF('[1]EF1-UPD'!$C17=M$4,'[1]EF1-UPD'!$F17/1000,"")</f>
        <v/>
      </c>
      <c r="N45" s="22" t="str">
        <f>IF('[1]EF1-UPD'!$C17=N$4,'[1]EF1-UPD'!$F17/1000,"")</f>
        <v/>
      </c>
      <c r="O45" s="22" t="str">
        <f>IF('[1]EF1-UPD'!$C17=O$4,'[1]EF1-UPD'!$F17/1000,"")</f>
        <v/>
      </c>
      <c r="P45" s="22" t="str">
        <f>IF('[1]EF1-UPD'!$C17=P$4,'[1]EF1-UPD'!$F17/1000,"")</f>
        <v/>
      </c>
      <c r="Q45" s="22" t="str">
        <f>IF('[1]EF1-UPD'!$C17=Q$4,'[1]EF1-UPD'!$F17/1000,"")</f>
        <v/>
      </c>
      <c r="R45" s="22" t="str">
        <f>IF('[1]EF1-UPD'!$C17=R$4,'[1]EF1-UPD'!$F17/1000,"")</f>
        <v/>
      </c>
      <c r="S45" s="22" t="str">
        <f>IF('[1]EF1-UPD'!$C17=S$4,'[1]EF1-UPD'!$F17/1000,"")</f>
        <v/>
      </c>
      <c r="T45" s="22" t="str">
        <f>IF('[1]EF1-UPD'!$C17=T$4,'[1]EF1-UPD'!$F17/1000,"")</f>
        <v/>
      </c>
      <c r="U45" s="23" t="str">
        <f>IF('[1]EF1-UPD'!$C17=U$4,'[1]EF1-UPD'!$F17/1000,IF('[1]EF1-UPD'!$E17=U$4,'[1]EF1-UPD'!$F17/1000,""))</f>
        <v/>
      </c>
      <c r="V45" s="39" t="str">
        <f>[1]UNI_Grid!G19</f>
        <v>GI-AT-N1-CZ-N1</v>
      </c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</row>
    <row r="46" spans="4:33">
      <c r="D46" t="s">
        <v>18</v>
      </c>
      <c r="E46" s="60" t="s">
        <v>114</v>
      </c>
      <c r="H46" s="22" t="str">
        <f>IF('[1]EF1-UPD'!$C18=H$4,'[1]EF1-UPD'!$F18/1000,"")</f>
        <v/>
      </c>
      <c r="I46" s="22" t="str">
        <f>IF('[1]EF1-UPD'!$C18=I$4,'[1]EF1-UPD'!$F18/1000,"")</f>
        <v/>
      </c>
      <c r="J46" s="22" t="str">
        <f>IF('[1]EF1-UPD'!$C18=J$4,'[1]EF1-UPD'!$F18/1000,"")</f>
        <v/>
      </c>
      <c r="K46" s="22">
        <f>IF('[1]EF1-UPD'!$C18=K$4,'[1]EF1-UPD'!$F18/1000,"")</f>
        <v>4.2</v>
      </c>
      <c r="L46" s="22" t="str">
        <f>IF('[1]EF1-UPD'!$C18=L$4,'[1]EF1-UPD'!$F18/1000,"")</f>
        <v/>
      </c>
      <c r="M46" s="22" t="str">
        <f>IF('[1]EF1-UPD'!$C18=M$4,'[1]EF1-UPD'!$F18/1000,"")</f>
        <v/>
      </c>
      <c r="N46" s="22" t="str">
        <f>IF('[1]EF1-UPD'!$C18=N$4,'[1]EF1-UPD'!$F18/1000,"")</f>
        <v/>
      </c>
      <c r="O46" s="22" t="str">
        <f>IF('[1]EF1-UPD'!$C18=O$4,'[1]EF1-UPD'!$F18/1000,"")</f>
        <v/>
      </c>
      <c r="P46" s="22" t="str">
        <f>IF('[1]EF1-UPD'!$C18=P$4,'[1]EF1-UPD'!$F18/1000,"")</f>
        <v/>
      </c>
      <c r="Q46" s="22" t="str">
        <f>IF('[1]EF1-UPD'!$C18=Q$4,'[1]EF1-UPD'!$F18/1000,"")</f>
        <v/>
      </c>
      <c r="R46" s="22" t="str">
        <f>IF('[1]EF1-UPD'!$C18=R$4,'[1]EF1-UPD'!$F18/1000,"")</f>
        <v/>
      </c>
      <c r="S46" s="22" t="str">
        <f>IF('[1]EF1-UPD'!$C18=S$4,'[1]EF1-UPD'!$F18/1000,"")</f>
        <v/>
      </c>
      <c r="T46" s="22" t="str">
        <f>IF('[1]EF1-UPD'!$C18=T$4,'[1]EF1-UPD'!$F18/1000,"")</f>
        <v/>
      </c>
      <c r="U46" s="23" t="str">
        <f>IF('[1]EF1-UPD'!$C18=U$4,'[1]EF1-UPD'!$F18/1000,IF('[1]EF1-UPD'!$E18=U$4,'[1]EF1-UPD'!$F18/1000,""))</f>
        <v/>
      </c>
      <c r="V46" s="39" t="str">
        <f>[1]UNI_Grid!G20</f>
        <v>GI-DE-N1-AT-N1</v>
      </c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</row>
    <row r="47" spans="4:33">
      <c r="D47" t="s">
        <v>18</v>
      </c>
      <c r="E47" s="60" t="s">
        <v>114</v>
      </c>
      <c r="H47" s="22" t="str">
        <f>IF('[1]EF1-UPD'!$C19=H$4,'[1]EF1-UPD'!$F19/1000,"")</f>
        <v/>
      </c>
      <c r="I47" s="22" t="str">
        <f>IF('[1]EF1-UPD'!$C19=I$4,'[1]EF1-UPD'!$F19/1000,"")</f>
        <v/>
      </c>
      <c r="J47" s="22">
        <f>IF('[1]EF1-UPD'!$C19=J$4,'[1]EF1-UPD'!$F19/1000,"")</f>
        <v>2.4</v>
      </c>
      <c r="K47" s="22" t="str">
        <f>IF('[1]EF1-UPD'!$C19=K$4,'[1]EF1-UPD'!$F19/1000,"")</f>
        <v/>
      </c>
      <c r="L47" s="22" t="str">
        <f>IF('[1]EF1-UPD'!$C19=L$4,'[1]EF1-UPD'!$F19/1000,"")</f>
        <v/>
      </c>
      <c r="M47" s="22" t="str">
        <f>IF('[1]EF1-UPD'!$C19=M$4,'[1]EF1-UPD'!$F19/1000,"")</f>
        <v/>
      </c>
      <c r="N47" s="22" t="str">
        <f>IF('[1]EF1-UPD'!$C19=N$4,'[1]EF1-UPD'!$F19/1000,"")</f>
        <v/>
      </c>
      <c r="O47" s="22" t="str">
        <f>IF('[1]EF1-UPD'!$C19=O$4,'[1]EF1-UPD'!$F19/1000,"")</f>
        <v/>
      </c>
      <c r="P47" s="22" t="str">
        <f>IF('[1]EF1-UPD'!$C19=P$4,'[1]EF1-UPD'!$F19/1000,"")</f>
        <v/>
      </c>
      <c r="Q47" s="22" t="str">
        <f>IF('[1]EF1-UPD'!$C19=Q$4,'[1]EF1-UPD'!$F19/1000,"")</f>
        <v/>
      </c>
      <c r="R47" s="22" t="str">
        <f>IF('[1]EF1-UPD'!$C19=R$4,'[1]EF1-UPD'!$F19/1000,"")</f>
        <v/>
      </c>
      <c r="S47" s="22" t="str">
        <f>IF('[1]EF1-UPD'!$C19=S$4,'[1]EF1-UPD'!$F19/1000,"")</f>
        <v/>
      </c>
      <c r="T47" s="22" t="str">
        <f>IF('[1]EF1-UPD'!$C19=T$4,'[1]EF1-UPD'!$F19/1000,"")</f>
        <v/>
      </c>
      <c r="U47" s="23" t="str">
        <f>IF('[1]EF1-UPD'!$C19=U$4,'[1]EF1-UPD'!$F19/1000,IF('[1]EF1-UPD'!$E19=U$4,'[1]EF1-UPD'!$F19/1000,""))</f>
        <v/>
      </c>
      <c r="V47" s="39" t="str">
        <f>[1]UNI_Grid!G21</f>
        <v>GI-CH-N1-AT-N1</v>
      </c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</row>
    <row r="48" spans="4:33">
      <c r="D48" t="s">
        <v>18</v>
      </c>
      <c r="E48" s="60" t="s">
        <v>114</v>
      </c>
      <c r="H48" s="22" t="str">
        <f>IF('[1]EF1-UPD'!$C20=H$4,'[1]EF1-UPD'!$F20/1000,"")</f>
        <v/>
      </c>
      <c r="I48" s="22" t="str">
        <f>IF('[1]EF1-UPD'!$C20=I$4,'[1]EF1-UPD'!$F20/1000,"")</f>
        <v/>
      </c>
      <c r="J48" s="22">
        <f>IF('[1]EF1-UPD'!$C20=J$4,'[1]EF1-UPD'!$F20/1000,"")</f>
        <v>4.2</v>
      </c>
      <c r="K48" s="22" t="str">
        <f>IF('[1]EF1-UPD'!$C20=K$4,'[1]EF1-UPD'!$F20/1000,"")</f>
        <v/>
      </c>
      <c r="L48" s="22" t="str">
        <f>IF('[1]EF1-UPD'!$C20=L$4,'[1]EF1-UPD'!$F20/1000,"")</f>
        <v/>
      </c>
      <c r="M48" s="22" t="str">
        <f>IF('[1]EF1-UPD'!$C20=M$4,'[1]EF1-UPD'!$F20/1000,"")</f>
        <v/>
      </c>
      <c r="N48" s="22" t="str">
        <f>IF('[1]EF1-UPD'!$C20=N$4,'[1]EF1-UPD'!$F20/1000,"")</f>
        <v/>
      </c>
      <c r="O48" s="22" t="str">
        <f>IF('[1]EF1-UPD'!$C20=O$4,'[1]EF1-UPD'!$F20/1000,"")</f>
        <v/>
      </c>
      <c r="P48" s="22" t="str">
        <f>IF('[1]EF1-UPD'!$C20=P$4,'[1]EF1-UPD'!$F20/1000,"")</f>
        <v/>
      </c>
      <c r="Q48" s="22" t="str">
        <f>IF('[1]EF1-UPD'!$C20=Q$4,'[1]EF1-UPD'!$F20/1000,"")</f>
        <v/>
      </c>
      <c r="R48" s="22" t="str">
        <f>IF('[1]EF1-UPD'!$C20=R$4,'[1]EF1-UPD'!$F20/1000,"")</f>
        <v/>
      </c>
      <c r="S48" s="22" t="str">
        <f>IF('[1]EF1-UPD'!$C20=S$4,'[1]EF1-UPD'!$F20/1000,"")</f>
        <v/>
      </c>
      <c r="T48" s="22" t="str">
        <f>IF('[1]EF1-UPD'!$C20=T$4,'[1]EF1-UPD'!$F20/1000,"")</f>
        <v/>
      </c>
      <c r="U48" s="23" t="str">
        <f>IF('[1]EF1-UPD'!$C20=U$4,'[1]EF1-UPD'!$F20/1000,IF('[1]EF1-UPD'!$E20=U$4,'[1]EF1-UPD'!$F20/1000,""))</f>
        <v/>
      </c>
      <c r="V48" s="39" t="str">
        <f>[1]UNI_Grid!G22</f>
        <v>GI-CH-N1-IT-N1</v>
      </c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</row>
    <row r="49" spans="1:33">
      <c r="D49" t="s">
        <v>18</v>
      </c>
      <c r="E49" s="60" t="s">
        <v>114</v>
      </c>
      <c r="H49" s="22" t="str">
        <f>IF('[1]EF1-UPD'!$C21=H$4,'[1]EF1-UPD'!$F21/1000,"")</f>
        <v/>
      </c>
      <c r="I49" s="22" t="str">
        <f>IF('[1]EF1-UPD'!$C21=I$4,'[1]EF1-UPD'!$F21/1000,"")</f>
        <v/>
      </c>
      <c r="J49" s="22" t="str">
        <f>IF('[1]EF1-UPD'!$C21=J$4,'[1]EF1-UPD'!$F21/1000,"")</f>
        <v/>
      </c>
      <c r="K49" s="22" t="str">
        <f>IF('[1]EF1-UPD'!$C21=K$4,'[1]EF1-UPD'!$F21/1000,"")</f>
        <v/>
      </c>
      <c r="L49" s="22">
        <f>IF('[1]EF1-UPD'!$C21=L$4,'[1]EF1-UPD'!$F21/1000,"")</f>
        <v>3.6</v>
      </c>
      <c r="M49" s="22" t="str">
        <f>IF('[1]EF1-UPD'!$C21=M$4,'[1]EF1-UPD'!$F21/1000,"")</f>
        <v/>
      </c>
      <c r="N49" s="22" t="str">
        <f>IF('[1]EF1-UPD'!$C21=N$4,'[1]EF1-UPD'!$F21/1000,"")</f>
        <v/>
      </c>
      <c r="O49" s="22" t="str">
        <f>IF('[1]EF1-UPD'!$C21=O$4,'[1]EF1-UPD'!$F21/1000,"")</f>
        <v/>
      </c>
      <c r="P49" s="22" t="str">
        <f>IF('[1]EF1-UPD'!$C21=P$4,'[1]EF1-UPD'!$F21/1000,"")</f>
        <v/>
      </c>
      <c r="Q49" s="22" t="str">
        <f>IF('[1]EF1-UPD'!$C21=Q$4,'[1]EF1-UPD'!$F21/1000,"")</f>
        <v/>
      </c>
      <c r="R49" s="22" t="str">
        <f>IF('[1]EF1-UPD'!$C21=R$4,'[1]EF1-UPD'!$F21/1000,"")</f>
        <v/>
      </c>
      <c r="S49" s="22" t="str">
        <f>IF('[1]EF1-UPD'!$C21=S$4,'[1]EF1-UPD'!$F21/1000,"")</f>
        <v/>
      </c>
      <c r="T49" s="22" t="str">
        <f>IF('[1]EF1-UPD'!$C21=T$4,'[1]EF1-UPD'!$F21/1000,"")</f>
        <v/>
      </c>
      <c r="U49" s="23" t="str">
        <f>IF('[1]EF1-UPD'!$C21=U$4,'[1]EF1-UPD'!$F21/1000,IF('[1]EF1-UPD'!$E21=U$4,'[1]EF1-UPD'!$F21/1000,""))</f>
        <v/>
      </c>
      <c r="V49" s="39" t="str">
        <f>[1]UNI_Grid!G23</f>
        <v>GI-FR-N1-IT-N1</v>
      </c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</row>
    <row r="50" spans="1:33">
      <c r="D50" t="s">
        <v>18</v>
      </c>
      <c r="E50" s="60" t="s">
        <v>114</v>
      </c>
      <c r="H50" s="22">
        <f>IF('[1]EF1-UPD'!$C22=H$4,'[1]EF1-UPD'!$F22/1000,"")</f>
        <v>1.4</v>
      </c>
      <c r="I50" s="22" t="str">
        <f>IF('[1]EF1-UPD'!$C22=I$4,'[1]EF1-UPD'!$F22/1000,"")</f>
        <v/>
      </c>
      <c r="J50" s="22" t="str">
        <f>IF('[1]EF1-UPD'!$C22=J$4,'[1]EF1-UPD'!$F22/1000,"")</f>
        <v/>
      </c>
      <c r="K50" s="22" t="str">
        <f>IF('[1]EF1-UPD'!$C22=K$4,'[1]EF1-UPD'!$F22/1000,"")</f>
        <v/>
      </c>
      <c r="L50" s="22" t="str">
        <f>IF('[1]EF1-UPD'!$C22=L$4,'[1]EF1-UPD'!$F22/1000,"")</f>
        <v/>
      </c>
      <c r="M50" s="22" t="str">
        <f>IF('[1]EF1-UPD'!$C22=M$4,'[1]EF1-UPD'!$F22/1000,"")</f>
        <v/>
      </c>
      <c r="N50" s="22" t="str">
        <f>IF('[1]EF1-UPD'!$C22=N$4,'[1]EF1-UPD'!$F22/1000,"")</f>
        <v/>
      </c>
      <c r="O50" s="22" t="str">
        <f>IF('[1]EF1-UPD'!$C22=O$4,'[1]EF1-UPD'!$F22/1000,"")</f>
        <v/>
      </c>
      <c r="P50" s="22" t="str">
        <f>IF('[1]EF1-UPD'!$C22=P$4,'[1]EF1-UPD'!$F22/1000,"")</f>
        <v/>
      </c>
      <c r="Q50" s="22" t="str">
        <f>IF('[1]EF1-UPD'!$C22=Q$4,'[1]EF1-UPD'!$F22/1000,"")</f>
        <v/>
      </c>
      <c r="R50" s="22" t="str">
        <f>IF('[1]EF1-UPD'!$C22=R$4,'[1]EF1-UPD'!$F22/1000,"")</f>
        <v/>
      </c>
      <c r="S50" s="22" t="str">
        <f>IF('[1]EF1-UPD'!$C22=S$4,'[1]EF1-UPD'!$F22/1000,"")</f>
        <v/>
      </c>
      <c r="T50" s="22" t="str">
        <f>IF('[1]EF1-UPD'!$C22=T$4,'[1]EF1-UPD'!$F22/1000,"")</f>
        <v/>
      </c>
      <c r="U50" s="23" t="str">
        <f>IF('[1]EF1-UPD'!$C22=U$4,'[1]EF1-UPD'!$F22/1000,IF('[1]EF1-UPD'!$E22=U$4,'[1]EF1-UPD'!$F22/1000,""))</f>
        <v/>
      </c>
      <c r="V50" s="39" t="str">
        <f>[1]UNI_Grid!G24</f>
        <v>GI-AT-N1-HU-N1</v>
      </c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</row>
    <row r="51" spans="1:33">
      <c r="D51" t="s">
        <v>18</v>
      </c>
      <c r="E51" s="60" t="s">
        <v>114</v>
      </c>
      <c r="H51" s="22" t="str">
        <f>IF('[1]EF1-UPD'!$C23=H$4,'[1]EF1-UPD'!$F23/1000,"")</f>
        <v/>
      </c>
      <c r="I51" s="22" t="str">
        <f>IF('[1]EF1-UPD'!$C23=I$4,'[1]EF1-UPD'!$F23/1000,"")</f>
        <v/>
      </c>
      <c r="J51" s="22" t="str">
        <f>IF('[1]EF1-UPD'!$C23=J$4,'[1]EF1-UPD'!$F23/1000,"")</f>
        <v/>
      </c>
      <c r="K51" s="22">
        <f>IF('[1]EF1-UPD'!$C23=K$4,'[1]EF1-UPD'!$F23/1000,"")</f>
        <v>2.4</v>
      </c>
      <c r="L51" s="22" t="str">
        <f>IF('[1]EF1-UPD'!$C23=L$4,'[1]EF1-UPD'!$F23/1000,"")</f>
        <v/>
      </c>
      <c r="M51" s="22" t="str">
        <f>IF('[1]EF1-UPD'!$C23=M$4,'[1]EF1-UPD'!$F23/1000,"")</f>
        <v/>
      </c>
      <c r="N51" s="22" t="str">
        <f>IF('[1]EF1-UPD'!$C23=N$4,'[1]EF1-UPD'!$F23/1000,"")</f>
        <v/>
      </c>
      <c r="O51" s="22" t="str">
        <f>IF('[1]EF1-UPD'!$C23=O$4,'[1]EF1-UPD'!$F23/1000,"")</f>
        <v/>
      </c>
      <c r="P51" s="22" t="str">
        <f>IF('[1]EF1-UPD'!$C23=P$4,'[1]EF1-UPD'!$F23/1000,"")</f>
        <v/>
      </c>
      <c r="Q51" s="22" t="str">
        <f>IF('[1]EF1-UPD'!$C23=Q$4,'[1]EF1-UPD'!$F23/1000,"")</f>
        <v/>
      </c>
      <c r="R51" s="22" t="str">
        <f>IF('[1]EF1-UPD'!$C23=R$4,'[1]EF1-UPD'!$F23/1000,"")</f>
        <v/>
      </c>
      <c r="S51" s="22" t="str">
        <f>IF('[1]EF1-UPD'!$C23=S$4,'[1]EF1-UPD'!$F23/1000,"")</f>
        <v/>
      </c>
      <c r="T51" s="22" t="str">
        <f>IF('[1]EF1-UPD'!$C23=T$4,'[1]EF1-UPD'!$F23/1000,"")</f>
        <v/>
      </c>
      <c r="U51" s="23" t="str">
        <f>IF('[1]EF1-UPD'!$C23=U$4,'[1]EF1-UPD'!$F23/1000,IF('[1]EF1-UPD'!$E23=U$4,'[1]EF1-UPD'!$F23/1000,""))</f>
        <v/>
      </c>
      <c r="V51" s="39" t="str">
        <f>[1]UNI_Grid!G25</f>
        <v>GI-DE-N1-PL-N1</v>
      </c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</row>
    <row r="52" spans="1:33" ht="13.5" thickBot="1">
      <c r="B52" s="49"/>
      <c r="C52" s="49"/>
      <c r="D52" s="49" t="s">
        <v>18</v>
      </c>
      <c r="E52" s="69" t="s">
        <v>114</v>
      </c>
      <c r="F52" s="49"/>
      <c r="G52" s="59"/>
      <c r="H52" s="70">
        <f>IF('[1]EF1-UPD'!$C24=H$4,'[1]EF1-UPD'!$F24/1000,"")</f>
        <v>0.25</v>
      </c>
      <c r="I52" s="70" t="str">
        <f>IF('[1]EF1-UPD'!$C24=I$4,'[1]EF1-UPD'!$F24/1000,"")</f>
        <v/>
      </c>
      <c r="J52" s="70" t="str">
        <f>IF('[1]EF1-UPD'!$C24=J$4,'[1]EF1-UPD'!$F24/1000,"")</f>
        <v/>
      </c>
      <c r="K52" s="70" t="str">
        <f>IF('[1]EF1-UPD'!$C24=K$4,'[1]EF1-UPD'!$F24/1000,"")</f>
        <v/>
      </c>
      <c r="L52" s="70" t="str">
        <f>IF('[1]EF1-UPD'!$C24=L$4,'[1]EF1-UPD'!$F24/1000,"")</f>
        <v/>
      </c>
      <c r="M52" s="70" t="str">
        <f>IF('[1]EF1-UPD'!$C24=M$4,'[1]EF1-UPD'!$F24/1000,"")</f>
        <v/>
      </c>
      <c r="N52" s="70" t="str">
        <f>IF('[1]EF1-UPD'!$C24=N$4,'[1]EF1-UPD'!$F24/1000,"")</f>
        <v/>
      </c>
      <c r="O52" s="70" t="str">
        <f>IF('[1]EF1-UPD'!$C24=O$4,'[1]EF1-UPD'!$F24/1000,"")</f>
        <v/>
      </c>
      <c r="P52" s="70" t="str">
        <f>IF('[1]EF1-UPD'!$C24=P$4,'[1]EF1-UPD'!$F24/1000,"")</f>
        <v/>
      </c>
      <c r="Q52" s="70" t="str">
        <f>IF('[1]EF1-UPD'!$C24=Q$4,'[1]EF1-UPD'!$F24/1000,"")</f>
        <v/>
      </c>
      <c r="R52" s="70" t="str">
        <f>IF('[1]EF1-UPD'!$C24=R$4,'[1]EF1-UPD'!$F24/1000,"")</f>
        <v/>
      </c>
      <c r="S52" s="70" t="str">
        <f>IF('[1]EF1-UPD'!$C24=S$4,'[1]EF1-UPD'!$F24/1000,"")</f>
        <v/>
      </c>
      <c r="T52" s="70" t="str">
        <f>IF('[1]EF1-UPD'!$C24=T$4,'[1]EF1-UPD'!$F24/1000,"")</f>
        <v/>
      </c>
      <c r="U52" s="47" t="str">
        <f>IF('[1]EF1-UPD'!$C24=U$4,'[1]EF1-UPD'!$F24/1000,IF('[1]EF1-UPD'!$E24=U$4,'[1]EF1-UPD'!$F24/1000,""))</f>
        <v/>
      </c>
      <c r="V52" s="48" t="str">
        <f>[1]UNI_Grid!G26</f>
        <v>GI-AT-N1-IT-N1</v>
      </c>
      <c r="W52" s="53"/>
      <c r="X52" s="10"/>
      <c r="Y52" s="10"/>
      <c r="Z52" s="10"/>
      <c r="AA52" s="10"/>
      <c r="AB52" s="10"/>
      <c r="AC52" s="10"/>
      <c r="AD52" s="10"/>
      <c r="AE52" s="10"/>
      <c r="AF52" s="10"/>
      <c r="AG52" s="10"/>
    </row>
    <row r="53" spans="1:33" ht="13.5" thickTop="1">
      <c r="A53" t="s">
        <v>74</v>
      </c>
      <c r="D53" s="15" t="s">
        <v>20</v>
      </c>
      <c r="E53" s="4">
        <v>2005</v>
      </c>
      <c r="H53" t="str">
        <f t="shared" ref="H53:T68" si="0">IF(H30="","",0)</f>
        <v/>
      </c>
      <c r="I53" t="str">
        <f t="shared" si="0"/>
        <v/>
      </c>
      <c r="J53" t="str">
        <f t="shared" si="0"/>
        <v/>
      </c>
      <c r="K53">
        <f t="shared" si="0"/>
        <v>0</v>
      </c>
      <c r="L53" t="str">
        <f t="shared" si="0"/>
        <v/>
      </c>
      <c r="M53" t="str">
        <f t="shared" si="0"/>
        <v/>
      </c>
      <c r="N53" t="str">
        <f t="shared" si="0"/>
        <v/>
      </c>
      <c r="O53" t="str">
        <f t="shared" si="0"/>
        <v/>
      </c>
      <c r="P53" t="str">
        <f t="shared" si="0"/>
        <v/>
      </c>
      <c r="Q53" t="str">
        <f t="shared" si="0"/>
        <v/>
      </c>
      <c r="R53" t="str">
        <f t="shared" si="0"/>
        <v/>
      </c>
      <c r="S53" t="str">
        <f t="shared" si="0"/>
        <v/>
      </c>
      <c r="T53" t="str">
        <f t="shared" si="0"/>
        <v/>
      </c>
      <c r="V53" s="4" t="str">
        <f>V30</f>
        <v>GI-DE-N1-LU-N1</v>
      </c>
    </row>
    <row r="54" spans="1:33">
      <c r="D54" s="15" t="s">
        <v>20</v>
      </c>
      <c r="E54" s="4">
        <v>2005</v>
      </c>
      <c r="H54" t="str">
        <f t="shared" si="0"/>
        <v/>
      </c>
      <c r="I54" t="str">
        <f t="shared" si="0"/>
        <v/>
      </c>
      <c r="J54" t="str">
        <f t="shared" si="0"/>
        <v/>
      </c>
      <c r="K54" t="str">
        <f t="shared" si="0"/>
        <v/>
      </c>
      <c r="L54" t="str">
        <f t="shared" si="0"/>
        <v/>
      </c>
      <c r="M54">
        <f t="shared" si="0"/>
        <v>0</v>
      </c>
      <c r="N54" t="str">
        <f t="shared" si="0"/>
        <v/>
      </c>
      <c r="O54" t="str">
        <f t="shared" si="0"/>
        <v/>
      </c>
      <c r="P54" t="str">
        <f t="shared" si="0"/>
        <v/>
      </c>
      <c r="Q54" t="str">
        <f t="shared" si="0"/>
        <v/>
      </c>
      <c r="R54" t="str">
        <f t="shared" si="0"/>
        <v/>
      </c>
      <c r="S54" t="str">
        <f t="shared" si="0"/>
        <v/>
      </c>
      <c r="T54" t="str">
        <f t="shared" si="0"/>
        <v/>
      </c>
      <c r="V54" s="4" t="str">
        <f t="shared" ref="V54:V75" si="1">V31</f>
        <v>GI-NL-N1-DE-N1</v>
      </c>
    </row>
    <row r="55" spans="1:33">
      <c r="D55" s="15" t="s">
        <v>20</v>
      </c>
      <c r="E55" s="4">
        <v>2005</v>
      </c>
      <c r="H55" t="str">
        <f t="shared" si="0"/>
        <v/>
      </c>
      <c r="I55" t="str">
        <f t="shared" si="0"/>
        <v/>
      </c>
      <c r="J55" t="str">
        <f t="shared" si="0"/>
        <v/>
      </c>
      <c r="K55" t="str">
        <f t="shared" si="0"/>
        <v/>
      </c>
      <c r="L55" t="str">
        <f t="shared" si="0"/>
        <v/>
      </c>
      <c r="M55">
        <f t="shared" si="0"/>
        <v>0</v>
      </c>
      <c r="N55" t="str">
        <f t="shared" si="0"/>
        <v/>
      </c>
      <c r="O55" t="str">
        <f t="shared" si="0"/>
        <v/>
      </c>
      <c r="P55" t="str">
        <f t="shared" si="0"/>
        <v/>
      </c>
      <c r="Q55" t="str">
        <f t="shared" si="0"/>
        <v/>
      </c>
      <c r="R55" t="str">
        <f t="shared" si="0"/>
        <v/>
      </c>
      <c r="S55" t="str">
        <f t="shared" si="0"/>
        <v/>
      </c>
      <c r="T55" t="str">
        <f t="shared" si="0"/>
        <v/>
      </c>
      <c r="V55" s="4" t="str">
        <f t="shared" si="1"/>
        <v>GI-NL-N1-BE-N1</v>
      </c>
    </row>
    <row r="56" spans="1:33">
      <c r="D56" s="15" t="s">
        <v>20</v>
      </c>
      <c r="E56" s="4">
        <v>2005</v>
      </c>
      <c r="H56" t="str">
        <f t="shared" si="0"/>
        <v/>
      </c>
      <c r="I56" t="str">
        <f t="shared" si="0"/>
        <v/>
      </c>
      <c r="J56" t="str">
        <f t="shared" si="0"/>
        <v/>
      </c>
      <c r="K56" t="str">
        <f t="shared" si="0"/>
        <v/>
      </c>
      <c r="L56">
        <f t="shared" si="0"/>
        <v>0</v>
      </c>
      <c r="M56" t="str">
        <f t="shared" si="0"/>
        <v/>
      </c>
      <c r="N56" t="str">
        <f t="shared" si="0"/>
        <v/>
      </c>
      <c r="O56" t="str">
        <f t="shared" si="0"/>
        <v/>
      </c>
      <c r="P56" t="str">
        <f t="shared" si="0"/>
        <v/>
      </c>
      <c r="Q56" t="str">
        <f t="shared" si="0"/>
        <v/>
      </c>
      <c r="R56" t="str">
        <f t="shared" si="0"/>
        <v/>
      </c>
      <c r="S56" t="str">
        <f t="shared" si="0"/>
        <v/>
      </c>
      <c r="T56" t="str">
        <f t="shared" si="0"/>
        <v/>
      </c>
      <c r="V56" s="4" t="str">
        <f t="shared" si="1"/>
        <v>GI-FR-N1-BE-N1</v>
      </c>
    </row>
    <row r="57" spans="1:33">
      <c r="D57" s="15" t="s">
        <v>20</v>
      </c>
      <c r="E57" s="4">
        <v>2005</v>
      </c>
      <c r="H57" t="str">
        <f t="shared" si="0"/>
        <v/>
      </c>
      <c r="I57">
        <f t="shared" si="0"/>
        <v>0</v>
      </c>
      <c r="J57" t="str">
        <f t="shared" si="0"/>
        <v/>
      </c>
      <c r="K57" t="str">
        <f t="shared" si="0"/>
        <v/>
      </c>
      <c r="L57" t="str">
        <f t="shared" si="0"/>
        <v/>
      </c>
      <c r="M57" t="str">
        <f t="shared" si="0"/>
        <v/>
      </c>
      <c r="N57" t="str">
        <f t="shared" si="0"/>
        <v/>
      </c>
      <c r="O57" t="str">
        <f t="shared" si="0"/>
        <v/>
      </c>
      <c r="P57" t="str">
        <f t="shared" si="0"/>
        <v/>
      </c>
      <c r="Q57" t="str">
        <f t="shared" si="0"/>
        <v/>
      </c>
      <c r="R57" t="str">
        <f t="shared" si="0"/>
        <v/>
      </c>
      <c r="S57" t="str">
        <f t="shared" si="0"/>
        <v/>
      </c>
      <c r="T57" t="str">
        <f t="shared" si="0"/>
        <v/>
      </c>
      <c r="V57" s="4" t="str">
        <f t="shared" si="1"/>
        <v>GI-BE-N1-LU-N1</v>
      </c>
    </row>
    <row r="58" spans="1:33">
      <c r="D58" s="15" t="s">
        <v>20</v>
      </c>
      <c r="E58" s="4">
        <v>2005</v>
      </c>
      <c r="H58" t="str">
        <f t="shared" si="0"/>
        <v/>
      </c>
      <c r="I58" t="str">
        <f t="shared" si="0"/>
        <v/>
      </c>
      <c r="J58" t="str">
        <f t="shared" si="0"/>
        <v/>
      </c>
      <c r="K58" t="str">
        <f t="shared" si="0"/>
        <v/>
      </c>
      <c r="L58">
        <f t="shared" si="0"/>
        <v>0</v>
      </c>
      <c r="M58" t="str">
        <f t="shared" si="0"/>
        <v/>
      </c>
      <c r="N58" t="str">
        <f t="shared" si="0"/>
        <v/>
      </c>
      <c r="O58" t="str">
        <f t="shared" si="0"/>
        <v/>
      </c>
      <c r="P58" t="str">
        <f t="shared" si="0"/>
        <v/>
      </c>
      <c r="Q58" t="str">
        <f t="shared" si="0"/>
        <v/>
      </c>
      <c r="R58" t="str">
        <f t="shared" si="0"/>
        <v/>
      </c>
      <c r="S58" t="str">
        <f t="shared" si="0"/>
        <v/>
      </c>
      <c r="T58" t="str">
        <f t="shared" si="0"/>
        <v/>
      </c>
      <c r="V58" s="4" t="str">
        <f t="shared" si="1"/>
        <v>GI-FR-N1-DE-N1</v>
      </c>
    </row>
    <row r="59" spans="1:33">
      <c r="D59" s="15" t="s">
        <v>20</v>
      </c>
      <c r="E59" s="4">
        <v>2005</v>
      </c>
      <c r="H59" t="str">
        <f t="shared" si="0"/>
        <v/>
      </c>
      <c r="I59" t="str">
        <f t="shared" si="0"/>
        <v/>
      </c>
      <c r="J59" t="str">
        <f t="shared" si="0"/>
        <v/>
      </c>
      <c r="K59" t="str">
        <f t="shared" si="0"/>
        <v/>
      </c>
      <c r="L59" t="str">
        <f t="shared" si="0"/>
        <v/>
      </c>
      <c r="M59" t="str">
        <f t="shared" si="0"/>
        <v/>
      </c>
      <c r="N59">
        <f t="shared" si="0"/>
        <v>0</v>
      </c>
      <c r="O59" t="str">
        <f t="shared" si="0"/>
        <v/>
      </c>
      <c r="P59" t="str">
        <f t="shared" si="0"/>
        <v/>
      </c>
      <c r="Q59" t="str">
        <f t="shared" si="0"/>
        <v/>
      </c>
      <c r="R59" t="str">
        <f t="shared" si="0"/>
        <v/>
      </c>
      <c r="S59" t="str">
        <f t="shared" si="0"/>
        <v/>
      </c>
      <c r="T59" t="str">
        <f t="shared" si="0"/>
        <v/>
      </c>
      <c r="V59" s="4" t="str">
        <f t="shared" si="1"/>
        <v>GI-PL-N1-CZ-N1</v>
      </c>
    </row>
    <row r="60" spans="1:33">
      <c r="D60" s="15" t="s">
        <v>20</v>
      </c>
      <c r="E60" s="4">
        <v>2005</v>
      </c>
      <c r="H60" t="str">
        <f t="shared" si="0"/>
        <v/>
      </c>
      <c r="I60" t="str">
        <f t="shared" si="0"/>
        <v/>
      </c>
      <c r="J60" t="str">
        <f t="shared" si="0"/>
        <v/>
      </c>
      <c r="K60" t="str">
        <f t="shared" si="0"/>
        <v/>
      </c>
      <c r="L60" t="str">
        <f t="shared" si="0"/>
        <v/>
      </c>
      <c r="M60" t="str">
        <f t="shared" si="0"/>
        <v/>
      </c>
      <c r="N60" t="str">
        <f t="shared" si="0"/>
        <v/>
      </c>
      <c r="O60" t="str">
        <f t="shared" si="0"/>
        <v/>
      </c>
      <c r="P60">
        <f t="shared" si="0"/>
        <v>0</v>
      </c>
      <c r="Q60" t="str">
        <f t="shared" si="0"/>
        <v/>
      </c>
      <c r="R60" t="str">
        <f t="shared" si="0"/>
        <v/>
      </c>
      <c r="S60" t="str">
        <f t="shared" si="0"/>
        <v/>
      </c>
      <c r="T60" t="str">
        <f t="shared" si="0"/>
        <v/>
      </c>
      <c r="V60" s="4" t="str">
        <f t="shared" si="1"/>
        <v>GI-SK-N1-CZ-N1</v>
      </c>
    </row>
    <row r="61" spans="1:33">
      <c r="D61" s="15" t="s">
        <v>20</v>
      </c>
      <c r="E61" s="4">
        <v>2005</v>
      </c>
      <c r="H61" t="str">
        <f t="shared" si="0"/>
        <v/>
      </c>
      <c r="I61" t="str">
        <f t="shared" si="0"/>
        <v/>
      </c>
      <c r="J61" t="str">
        <f t="shared" si="0"/>
        <v/>
      </c>
      <c r="K61" t="str">
        <f t="shared" si="0"/>
        <v/>
      </c>
      <c r="L61" t="str">
        <f t="shared" si="0"/>
        <v/>
      </c>
      <c r="M61" t="str">
        <f t="shared" si="0"/>
        <v/>
      </c>
      <c r="N61">
        <f t="shared" si="0"/>
        <v>0</v>
      </c>
      <c r="O61" t="str">
        <f t="shared" si="0"/>
        <v/>
      </c>
      <c r="P61" t="str">
        <f t="shared" si="0"/>
        <v/>
      </c>
      <c r="Q61" t="str">
        <f t="shared" si="0"/>
        <v/>
      </c>
      <c r="R61" t="str">
        <f t="shared" si="0"/>
        <v/>
      </c>
      <c r="S61" t="str">
        <f t="shared" si="0"/>
        <v/>
      </c>
      <c r="T61" t="str">
        <f t="shared" si="0"/>
        <v/>
      </c>
      <c r="V61" s="4" t="str">
        <f t="shared" si="1"/>
        <v>GI-PL-N1-SK-N1</v>
      </c>
    </row>
    <row r="62" spans="1:33">
      <c r="D62" s="15" t="s">
        <v>20</v>
      </c>
      <c r="E62" s="4">
        <v>2005</v>
      </c>
      <c r="H62" t="str">
        <f t="shared" si="0"/>
        <v/>
      </c>
      <c r="I62" t="str">
        <f t="shared" si="0"/>
        <v/>
      </c>
      <c r="J62" t="str">
        <f t="shared" si="0"/>
        <v/>
      </c>
      <c r="K62">
        <f t="shared" si="0"/>
        <v>0</v>
      </c>
      <c r="L62" t="str">
        <f t="shared" si="0"/>
        <v/>
      </c>
      <c r="M62" t="str">
        <f t="shared" si="0"/>
        <v/>
      </c>
      <c r="N62" t="str">
        <f t="shared" si="0"/>
        <v/>
      </c>
      <c r="O62" t="str">
        <f t="shared" si="0"/>
        <v/>
      </c>
      <c r="P62" t="str">
        <f t="shared" si="0"/>
        <v/>
      </c>
      <c r="Q62" t="str">
        <f t="shared" si="0"/>
        <v/>
      </c>
      <c r="R62" t="str">
        <f t="shared" si="0"/>
        <v/>
      </c>
      <c r="S62" t="str">
        <f t="shared" si="0"/>
        <v/>
      </c>
      <c r="T62" t="str">
        <f t="shared" si="0"/>
        <v/>
      </c>
      <c r="V62" s="4" t="str">
        <f t="shared" si="1"/>
        <v>GI-DE-N1-CZ-N1</v>
      </c>
    </row>
    <row r="63" spans="1:33">
      <c r="D63" s="15" t="s">
        <v>20</v>
      </c>
      <c r="E63" s="4">
        <v>2005</v>
      </c>
      <c r="H63" t="str">
        <f t="shared" si="0"/>
        <v/>
      </c>
      <c r="I63" t="str">
        <f t="shared" si="0"/>
        <v/>
      </c>
      <c r="J63" t="str">
        <f t="shared" si="0"/>
        <v/>
      </c>
      <c r="K63" t="str">
        <f t="shared" si="0"/>
        <v/>
      </c>
      <c r="L63" t="str">
        <f t="shared" si="0"/>
        <v/>
      </c>
      <c r="M63" t="str">
        <f t="shared" si="0"/>
        <v/>
      </c>
      <c r="N63" t="str">
        <f t="shared" si="0"/>
        <v/>
      </c>
      <c r="O63" t="str">
        <f t="shared" si="0"/>
        <v/>
      </c>
      <c r="P63">
        <f t="shared" si="0"/>
        <v>0</v>
      </c>
      <c r="Q63" t="str">
        <f t="shared" si="0"/>
        <v/>
      </c>
      <c r="R63" t="str">
        <f t="shared" si="0"/>
        <v/>
      </c>
      <c r="S63" t="str">
        <f t="shared" si="0"/>
        <v/>
      </c>
      <c r="T63" t="str">
        <f t="shared" si="0"/>
        <v/>
      </c>
      <c r="V63" s="4" t="str">
        <f t="shared" si="1"/>
        <v>GI-SK-N1-HU-N1</v>
      </c>
    </row>
    <row r="64" spans="1:33">
      <c r="D64" s="15" t="s">
        <v>20</v>
      </c>
      <c r="E64" s="4">
        <v>2005</v>
      </c>
      <c r="H64" t="str">
        <f t="shared" si="0"/>
        <v/>
      </c>
      <c r="I64" t="str">
        <f t="shared" si="0"/>
        <v/>
      </c>
      <c r="J64" t="str">
        <f t="shared" si="0"/>
        <v/>
      </c>
      <c r="K64" t="str">
        <f t="shared" si="0"/>
        <v/>
      </c>
      <c r="L64" t="str">
        <f t="shared" si="0"/>
        <v/>
      </c>
      <c r="M64" t="str">
        <f t="shared" si="0"/>
        <v/>
      </c>
      <c r="N64" t="str">
        <f t="shared" si="0"/>
        <v/>
      </c>
      <c r="O64">
        <f t="shared" si="0"/>
        <v>0</v>
      </c>
      <c r="P64" t="str">
        <f t="shared" si="0"/>
        <v/>
      </c>
      <c r="Q64" t="str">
        <f t="shared" si="0"/>
        <v/>
      </c>
      <c r="R64" t="str">
        <f t="shared" si="0"/>
        <v/>
      </c>
      <c r="S64" t="str">
        <f t="shared" si="0"/>
        <v/>
      </c>
      <c r="T64" t="str">
        <f t="shared" si="0"/>
        <v/>
      </c>
      <c r="V64" s="4" t="str">
        <f t="shared" si="1"/>
        <v>GI-SI-N1-AT-N1</v>
      </c>
    </row>
    <row r="65" spans="2:23">
      <c r="D65" s="15" t="s">
        <v>20</v>
      </c>
      <c r="E65" s="4">
        <v>2005</v>
      </c>
      <c r="H65" t="str">
        <f t="shared" si="0"/>
        <v/>
      </c>
      <c r="I65" t="str">
        <f t="shared" si="0"/>
        <v/>
      </c>
      <c r="J65">
        <f t="shared" si="0"/>
        <v>0</v>
      </c>
      <c r="K65" t="str">
        <f t="shared" si="0"/>
        <v/>
      </c>
      <c r="L65" t="str">
        <f t="shared" si="0"/>
        <v/>
      </c>
      <c r="M65" t="str">
        <f t="shared" si="0"/>
        <v/>
      </c>
      <c r="N65" t="str">
        <f t="shared" si="0"/>
        <v/>
      </c>
      <c r="O65" t="str">
        <f t="shared" si="0"/>
        <v/>
      </c>
      <c r="P65" t="str">
        <f t="shared" si="0"/>
        <v/>
      </c>
      <c r="Q65" t="str">
        <f t="shared" si="0"/>
        <v/>
      </c>
      <c r="R65" t="str">
        <f t="shared" si="0"/>
        <v/>
      </c>
      <c r="S65" t="str">
        <f t="shared" si="0"/>
        <v/>
      </c>
      <c r="T65" t="str">
        <f t="shared" si="0"/>
        <v/>
      </c>
      <c r="V65" s="4" t="str">
        <f t="shared" si="1"/>
        <v>GI-CH-N1-DE-N1</v>
      </c>
    </row>
    <row r="66" spans="2:23">
      <c r="D66" s="15" t="s">
        <v>20</v>
      </c>
      <c r="E66" s="4">
        <v>2005</v>
      </c>
      <c r="H66" t="str">
        <f t="shared" si="0"/>
        <v/>
      </c>
      <c r="I66" t="str">
        <f t="shared" si="0"/>
        <v/>
      </c>
      <c r="J66" t="str">
        <f t="shared" si="0"/>
        <v/>
      </c>
      <c r="K66" t="str">
        <f t="shared" si="0"/>
        <v/>
      </c>
      <c r="L66" t="str">
        <f t="shared" si="0"/>
        <v/>
      </c>
      <c r="M66" t="str">
        <f t="shared" si="0"/>
        <v/>
      </c>
      <c r="N66" t="str">
        <f t="shared" si="0"/>
        <v/>
      </c>
      <c r="O66" t="str">
        <f t="shared" si="0"/>
        <v/>
      </c>
      <c r="P66" t="str">
        <f t="shared" si="0"/>
        <v/>
      </c>
      <c r="Q66" t="str">
        <f t="shared" si="0"/>
        <v/>
      </c>
      <c r="R66" t="str">
        <f t="shared" si="0"/>
        <v/>
      </c>
      <c r="S66">
        <f t="shared" si="0"/>
        <v>0</v>
      </c>
      <c r="T66" t="str">
        <f t="shared" si="0"/>
        <v/>
      </c>
      <c r="V66" s="4" t="str">
        <f t="shared" si="1"/>
        <v>GI-IT-N1-SI-N1</v>
      </c>
    </row>
    <row r="67" spans="2:23">
      <c r="D67" s="15" t="s">
        <v>20</v>
      </c>
      <c r="E67" s="4">
        <v>2005</v>
      </c>
      <c r="H67" t="str">
        <f t="shared" si="0"/>
        <v/>
      </c>
      <c r="I67" t="str">
        <f t="shared" si="0"/>
        <v/>
      </c>
      <c r="J67" t="str">
        <f t="shared" si="0"/>
        <v/>
      </c>
      <c r="K67" t="str">
        <f t="shared" si="0"/>
        <v/>
      </c>
      <c r="L67">
        <f t="shared" si="0"/>
        <v>0</v>
      </c>
      <c r="M67" t="str">
        <f t="shared" si="0"/>
        <v/>
      </c>
      <c r="N67" t="str">
        <f t="shared" si="0"/>
        <v/>
      </c>
      <c r="O67" t="str">
        <f t="shared" si="0"/>
        <v/>
      </c>
      <c r="P67" t="str">
        <f t="shared" si="0"/>
        <v/>
      </c>
      <c r="Q67" t="str">
        <f t="shared" si="0"/>
        <v/>
      </c>
      <c r="R67" t="str">
        <f t="shared" si="0"/>
        <v/>
      </c>
      <c r="S67" t="str">
        <f t="shared" si="0"/>
        <v/>
      </c>
      <c r="T67" t="str">
        <f t="shared" si="0"/>
        <v/>
      </c>
      <c r="V67" s="4" t="str">
        <f t="shared" si="1"/>
        <v>GI-FR-N1-CH-N1</v>
      </c>
    </row>
    <row r="68" spans="2:23">
      <c r="D68" s="15" t="s">
        <v>20</v>
      </c>
      <c r="E68" s="4">
        <v>2005</v>
      </c>
      <c r="H68">
        <f t="shared" si="0"/>
        <v>0</v>
      </c>
      <c r="I68" t="str">
        <f t="shared" si="0"/>
        <v/>
      </c>
      <c r="J68" t="str">
        <f t="shared" si="0"/>
        <v/>
      </c>
      <c r="K68" t="str">
        <f t="shared" si="0"/>
        <v/>
      </c>
      <c r="L68" t="str">
        <f t="shared" si="0"/>
        <v/>
      </c>
      <c r="M68" t="str">
        <f t="shared" si="0"/>
        <v/>
      </c>
      <c r="N68" t="str">
        <f t="shared" si="0"/>
        <v/>
      </c>
      <c r="O68" t="str">
        <f t="shared" si="0"/>
        <v/>
      </c>
      <c r="P68" t="str">
        <f t="shared" si="0"/>
        <v/>
      </c>
      <c r="Q68" t="str">
        <f t="shared" si="0"/>
        <v/>
      </c>
      <c r="R68" t="str">
        <f t="shared" si="0"/>
        <v/>
      </c>
      <c r="S68" t="str">
        <f t="shared" si="0"/>
        <v/>
      </c>
      <c r="T68" t="str">
        <f t="shared" si="0"/>
        <v/>
      </c>
      <c r="V68" s="4" t="str">
        <f t="shared" si="1"/>
        <v>GI-AT-N1-CZ-N1</v>
      </c>
    </row>
    <row r="69" spans="2:23">
      <c r="D69" s="15" t="s">
        <v>20</v>
      </c>
      <c r="E69" s="4">
        <v>2005</v>
      </c>
      <c r="H69" t="str">
        <f t="shared" ref="H69:T75" si="2">IF(H46="","",0)</f>
        <v/>
      </c>
      <c r="I69" t="str">
        <f t="shared" si="2"/>
        <v/>
      </c>
      <c r="J69" t="str">
        <f t="shared" si="2"/>
        <v/>
      </c>
      <c r="K69">
        <f t="shared" si="2"/>
        <v>0</v>
      </c>
      <c r="L69" t="str">
        <f t="shared" si="2"/>
        <v/>
      </c>
      <c r="M69" t="str">
        <f t="shared" si="2"/>
        <v/>
      </c>
      <c r="N69" t="str">
        <f t="shared" si="2"/>
        <v/>
      </c>
      <c r="O69" t="str">
        <f t="shared" si="2"/>
        <v/>
      </c>
      <c r="P69" t="str">
        <f t="shared" si="2"/>
        <v/>
      </c>
      <c r="Q69" t="str">
        <f t="shared" si="2"/>
        <v/>
      </c>
      <c r="R69" t="str">
        <f t="shared" si="2"/>
        <v/>
      </c>
      <c r="S69" t="str">
        <f t="shared" si="2"/>
        <v/>
      </c>
      <c r="T69" t="str">
        <f t="shared" si="2"/>
        <v/>
      </c>
      <c r="V69" s="4" t="str">
        <f t="shared" si="1"/>
        <v>GI-DE-N1-AT-N1</v>
      </c>
    </row>
    <row r="70" spans="2:23">
      <c r="D70" s="15" t="s">
        <v>20</v>
      </c>
      <c r="E70" s="4">
        <v>2005</v>
      </c>
      <c r="H70" t="str">
        <f t="shared" si="2"/>
        <v/>
      </c>
      <c r="I70" t="str">
        <f t="shared" si="2"/>
        <v/>
      </c>
      <c r="J70">
        <f t="shared" si="2"/>
        <v>0</v>
      </c>
      <c r="K70" t="str">
        <f t="shared" si="2"/>
        <v/>
      </c>
      <c r="L70" t="str">
        <f t="shared" si="2"/>
        <v/>
      </c>
      <c r="M70" t="str">
        <f t="shared" si="2"/>
        <v/>
      </c>
      <c r="N70" t="str">
        <f t="shared" si="2"/>
        <v/>
      </c>
      <c r="O70" t="str">
        <f t="shared" si="2"/>
        <v/>
      </c>
      <c r="P70" t="str">
        <f t="shared" si="2"/>
        <v/>
      </c>
      <c r="Q70" t="str">
        <f t="shared" si="2"/>
        <v/>
      </c>
      <c r="R70" t="str">
        <f t="shared" si="2"/>
        <v/>
      </c>
      <c r="S70" t="str">
        <f t="shared" si="2"/>
        <v/>
      </c>
      <c r="T70" t="str">
        <f t="shared" si="2"/>
        <v/>
      </c>
      <c r="V70" s="4" t="str">
        <f t="shared" si="1"/>
        <v>GI-CH-N1-AT-N1</v>
      </c>
    </row>
    <row r="71" spans="2:23">
      <c r="D71" s="15" t="s">
        <v>20</v>
      </c>
      <c r="E71" s="4">
        <v>2005</v>
      </c>
      <c r="H71" t="str">
        <f t="shared" si="2"/>
        <v/>
      </c>
      <c r="I71" t="str">
        <f t="shared" si="2"/>
        <v/>
      </c>
      <c r="J71">
        <f t="shared" si="2"/>
        <v>0</v>
      </c>
      <c r="K71" t="str">
        <f t="shared" si="2"/>
        <v/>
      </c>
      <c r="L71" t="str">
        <f t="shared" si="2"/>
        <v/>
      </c>
      <c r="M71" t="str">
        <f t="shared" si="2"/>
        <v/>
      </c>
      <c r="N71" t="str">
        <f t="shared" si="2"/>
        <v/>
      </c>
      <c r="O71" t="str">
        <f t="shared" si="2"/>
        <v/>
      </c>
      <c r="P71" t="str">
        <f t="shared" si="2"/>
        <v/>
      </c>
      <c r="Q71" t="str">
        <f t="shared" si="2"/>
        <v/>
      </c>
      <c r="R71" t="str">
        <f t="shared" si="2"/>
        <v/>
      </c>
      <c r="S71" t="str">
        <f t="shared" si="2"/>
        <v/>
      </c>
      <c r="T71" t="str">
        <f t="shared" si="2"/>
        <v/>
      </c>
      <c r="V71" s="4" t="str">
        <f t="shared" si="1"/>
        <v>GI-CH-N1-IT-N1</v>
      </c>
    </row>
    <row r="72" spans="2:23">
      <c r="D72" s="15" t="s">
        <v>20</v>
      </c>
      <c r="E72" s="4">
        <v>2005</v>
      </c>
      <c r="H72" t="str">
        <f t="shared" si="2"/>
        <v/>
      </c>
      <c r="I72" t="str">
        <f t="shared" si="2"/>
        <v/>
      </c>
      <c r="J72" t="str">
        <f t="shared" si="2"/>
        <v/>
      </c>
      <c r="K72" t="str">
        <f t="shared" si="2"/>
        <v/>
      </c>
      <c r="L72">
        <f t="shared" si="2"/>
        <v>0</v>
      </c>
      <c r="M72" t="str">
        <f t="shared" si="2"/>
        <v/>
      </c>
      <c r="N72" t="str">
        <f t="shared" si="2"/>
        <v/>
      </c>
      <c r="O72" t="str">
        <f t="shared" si="2"/>
        <v/>
      </c>
      <c r="P72" t="str">
        <f t="shared" si="2"/>
        <v/>
      </c>
      <c r="Q72" t="str">
        <f t="shared" si="2"/>
        <v/>
      </c>
      <c r="R72" t="str">
        <f t="shared" si="2"/>
        <v/>
      </c>
      <c r="S72" t="str">
        <f t="shared" si="2"/>
        <v/>
      </c>
      <c r="T72" t="str">
        <f t="shared" si="2"/>
        <v/>
      </c>
      <c r="V72" s="4" t="str">
        <f t="shared" si="1"/>
        <v>GI-FR-N1-IT-N1</v>
      </c>
    </row>
    <row r="73" spans="2:23">
      <c r="D73" s="15" t="s">
        <v>20</v>
      </c>
      <c r="E73" s="4">
        <v>2005</v>
      </c>
      <c r="H73">
        <f t="shared" si="2"/>
        <v>0</v>
      </c>
      <c r="I73" t="str">
        <f t="shared" si="2"/>
        <v/>
      </c>
      <c r="J73" t="str">
        <f t="shared" si="2"/>
        <v/>
      </c>
      <c r="K73" t="str">
        <f t="shared" si="2"/>
        <v/>
      </c>
      <c r="L73" t="str">
        <f t="shared" si="2"/>
        <v/>
      </c>
      <c r="M73" t="str">
        <f t="shared" si="2"/>
        <v/>
      </c>
      <c r="N73" t="str">
        <f t="shared" si="2"/>
        <v/>
      </c>
      <c r="O73" t="str">
        <f t="shared" si="2"/>
        <v/>
      </c>
      <c r="P73" t="str">
        <f t="shared" si="2"/>
        <v/>
      </c>
      <c r="Q73" t="str">
        <f t="shared" si="2"/>
        <v/>
      </c>
      <c r="R73" t="str">
        <f t="shared" si="2"/>
        <v/>
      </c>
      <c r="S73" t="str">
        <f t="shared" si="2"/>
        <v/>
      </c>
      <c r="T73" t="str">
        <f t="shared" si="2"/>
        <v/>
      </c>
      <c r="V73" s="4" t="str">
        <f t="shared" si="1"/>
        <v>GI-AT-N1-HU-N1</v>
      </c>
    </row>
    <row r="74" spans="2:23">
      <c r="D74" s="15" t="s">
        <v>20</v>
      </c>
      <c r="E74" s="4">
        <v>2005</v>
      </c>
      <c r="H74" t="str">
        <f t="shared" si="2"/>
        <v/>
      </c>
      <c r="I74" t="str">
        <f t="shared" si="2"/>
        <v/>
      </c>
      <c r="J74" t="str">
        <f t="shared" si="2"/>
        <v/>
      </c>
      <c r="K74">
        <f t="shared" si="2"/>
        <v>0</v>
      </c>
      <c r="L74" t="str">
        <f t="shared" si="2"/>
        <v/>
      </c>
      <c r="M74" t="str">
        <f t="shared" si="2"/>
        <v/>
      </c>
      <c r="N74" t="str">
        <f t="shared" si="2"/>
        <v/>
      </c>
      <c r="O74" t="str">
        <f t="shared" si="2"/>
        <v/>
      </c>
      <c r="P74" t="str">
        <f t="shared" si="2"/>
        <v/>
      </c>
      <c r="Q74" t="str">
        <f t="shared" si="2"/>
        <v/>
      </c>
      <c r="R74" t="str">
        <f t="shared" si="2"/>
        <v/>
      </c>
      <c r="S74" t="str">
        <f t="shared" si="2"/>
        <v/>
      </c>
      <c r="T74" t="str">
        <f t="shared" si="2"/>
        <v/>
      </c>
      <c r="V74" s="4" t="str">
        <f t="shared" si="1"/>
        <v>GI-DE-N1-PL-N1</v>
      </c>
    </row>
    <row r="75" spans="2:23" ht="13.5" thickBot="1">
      <c r="B75" s="49"/>
      <c r="C75" s="49"/>
      <c r="D75" s="53" t="s">
        <v>20</v>
      </c>
      <c r="E75" s="59">
        <v>2005</v>
      </c>
      <c r="F75" s="49"/>
      <c r="G75" s="59"/>
      <c r="H75" s="49">
        <f t="shared" si="2"/>
        <v>0</v>
      </c>
      <c r="I75" s="49" t="str">
        <f t="shared" si="2"/>
        <v/>
      </c>
      <c r="J75" s="49" t="str">
        <f t="shared" si="2"/>
        <v/>
      </c>
      <c r="K75" s="49" t="str">
        <f t="shared" si="2"/>
        <v/>
      </c>
      <c r="L75" s="49" t="str">
        <f t="shared" si="2"/>
        <v/>
      </c>
      <c r="M75" s="49" t="str">
        <f t="shared" si="2"/>
        <v/>
      </c>
      <c r="N75" s="49" t="str">
        <f t="shared" si="2"/>
        <v/>
      </c>
      <c r="O75" s="49" t="str">
        <f t="shared" si="2"/>
        <v/>
      </c>
      <c r="P75" s="49" t="str">
        <f t="shared" si="2"/>
        <v/>
      </c>
      <c r="Q75" s="49" t="str">
        <f t="shared" si="2"/>
        <v/>
      </c>
      <c r="R75" s="49" t="str">
        <f t="shared" si="2"/>
        <v/>
      </c>
      <c r="S75" s="49" t="str">
        <f t="shared" si="2"/>
        <v/>
      </c>
      <c r="T75" s="49" t="str">
        <f t="shared" si="2"/>
        <v/>
      </c>
      <c r="U75" s="59"/>
      <c r="V75" s="59" t="str">
        <f t="shared" si="1"/>
        <v>GI-AT-N1-IT-N1</v>
      </c>
      <c r="W75" s="49"/>
    </row>
    <row r="76" spans="2:23" ht="13.5" thickTop="1">
      <c r="C76" t="s">
        <v>33</v>
      </c>
      <c r="D76" s="15" t="s">
        <v>47</v>
      </c>
      <c r="E76" s="60">
        <v>2010</v>
      </c>
      <c r="H76" s="22" t="s">
        <v>116</v>
      </c>
      <c r="I76" s="22" t="s">
        <v>116</v>
      </c>
      <c r="J76" s="22" t="s">
        <v>116</v>
      </c>
      <c r="K76" s="22">
        <v>2</v>
      </c>
      <c r="L76" s="22" t="s">
        <v>116</v>
      </c>
      <c r="M76" s="22" t="s">
        <v>116</v>
      </c>
      <c r="N76" s="22" t="s">
        <v>116</v>
      </c>
      <c r="O76" s="22" t="s">
        <v>116</v>
      </c>
      <c r="P76" s="22" t="s">
        <v>116</v>
      </c>
      <c r="Q76" s="22" t="s">
        <v>116</v>
      </c>
      <c r="R76" s="22" t="s">
        <v>116</v>
      </c>
      <c r="S76" s="22" t="s">
        <v>116</v>
      </c>
      <c r="T76" s="22" t="s">
        <v>116</v>
      </c>
      <c r="U76" s="23" t="s">
        <v>116</v>
      </c>
      <c r="V76" s="4" t="str">
        <f t="shared" ref="V76:V121" si="3">V30</f>
        <v>GI-DE-N1-LU-N1</v>
      </c>
    </row>
    <row r="77" spans="2:23">
      <c r="C77" t="s">
        <v>33</v>
      </c>
      <c r="D77" s="15" t="s">
        <v>47</v>
      </c>
      <c r="E77" s="60">
        <v>2010</v>
      </c>
      <c r="H77" s="22" t="s">
        <v>116</v>
      </c>
      <c r="I77" s="22" t="s">
        <v>116</v>
      </c>
      <c r="J77" s="22" t="s">
        <v>116</v>
      </c>
      <c r="K77" s="22" t="s">
        <v>116</v>
      </c>
      <c r="L77" s="22" t="s">
        <v>116</v>
      </c>
      <c r="M77" s="22">
        <v>5.0999999999999996</v>
      </c>
      <c r="N77" s="22" t="s">
        <v>116</v>
      </c>
      <c r="O77" s="22" t="s">
        <v>116</v>
      </c>
      <c r="P77" s="22" t="s">
        <v>116</v>
      </c>
      <c r="Q77" s="22" t="s">
        <v>116</v>
      </c>
      <c r="R77" s="22" t="s">
        <v>116</v>
      </c>
      <c r="S77" s="22" t="s">
        <v>116</v>
      </c>
      <c r="T77" s="22" t="s">
        <v>116</v>
      </c>
      <c r="U77" s="23" t="s">
        <v>116</v>
      </c>
      <c r="V77" s="4" t="str">
        <f t="shared" si="3"/>
        <v>GI-NL-N1-DE-N1</v>
      </c>
    </row>
    <row r="78" spans="2:23">
      <c r="C78" t="s">
        <v>33</v>
      </c>
      <c r="D78" s="15" t="s">
        <v>47</v>
      </c>
      <c r="E78" s="60">
        <v>2010</v>
      </c>
      <c r="H78" s="22" t="s">
        <v>116</v>
      </c>
      <c r="I78" s="22" t="s">
        <v>116</v>
      </c>
      <c r="J78" s="22" t="s">
        <v>116</v>
      </c>
      <c r="K78" s="22" t="s">
        <v>116</v>
      </c>
      <c r="L78" s="22" t="s">
        <v>116</v>
      </c>
      <c r="M78" s="22">
        <v>3.6</v>
      </c>
      <c r="N78" s="22" t="s">
        <v>116</v>
      </c>
      <c r="O78" s="22" t="s">
        <v>116</v>
      </c>
      <c r="P78" s="22" t="s">
        <v>116</v>
      </c>
      <c r="Q78" s="22" t="s">
        <v>116</v>
      </c>
      <c r="R78" s="22" t="s">
        <v>116</v>
      </c>
      <c r="S78" s="22" t="s">
        <v>116</v>
      </c>
      <c r="T78" s="22" t="s">
        <v>116</v>
      </c>
      <c r="U78" s="23" t="s">
        <v>116</v>
      </c>
      <c r="V78" s="4" t="str">
        <f t="shared" si="3"/>
        <v>GI-NL-N1-BE-N1</v>
      </c>
    </row>
    <row r="79" spans="2:23">
      <c r="C79" t="s">
        <v>33</v>
      </c>
      <c r="D79" s="15" t="s">
        <v>47</v>
      </c>
      <c r="E79" s="60">
        <v>2010</v>
      </c>
      <c r="H79" s="22" t="s">
        <v>116</v>
      </c>
      <c r="I79" s="22" t="s">
        <v>116</v>
      </c>
      <c r="J79" s="22" t="s">
        <v>116</v>
      </c>
      <c r="K79" s="22" t="s">
        <v>116</v>
      </c>
      <c r="L79" s="22">
        <v>5.0999999999999996</v>
      </c>
      <c r="M79" s="22" t="s">
        <v>116</v>
      </c>
      <c r="N79" s="22" t="s">
        <v>116</v>
      </c>
      <c r="O79" s="22" t="s">
        <v>116</v>
      </c>
      <c r="P79" s="22" t="s">
        <v>116</v>
      </c>
      <c r="Q79" s="22" t="s">
        <v>116</v>
      </c>
      <c r="R79" s="22" t="s">
        <v>116</v>
      </c>
      <c r="S79" s="22" t="s">
        <v>116</v>
      </c>
      <c r="T79" s="22" t="s">
        <v>116</v>
      </c>
      <c r="U79" s="23" t="s">
        <v>116</v>
      </c>
      <c r="V79" s="4" t="str">
        <f t="shared" si="3"/>
        <v>GI-FR-N1-BE-N1</v>
      </c>
    </row>
    <row r="80" spans="2:23">
      <c r="C80" t="s">
        <v>33</v>
      </c>
      <c r="D80" s="15" t="s">
        <v>47</v>
      </c>
      <c r="E80" s="60">
        <v>2010</v>
      </c>
      <c r="H80" s="22" t="s">
        <v>116</v>
      </c>
      <c r="I80" s="22">
        <v>0.36599999999999999</v>
      </c>
      <c r="J80" s="22" t="s">
        <v>116</v>
      </c>
      <c r="K80" s="22" t="s">
        <v>116</v>
      </c>
      <c r="L80" s="22" t="s">
        <v>116</v>
      </c>
      <c r="M80" s="22" t="s">
        <v>116</v>
      </c>
      <c r="N80" s="22" t="s">
        <v>116</v>
      </c>
      <c r="O80" s="22" t="s">
        <v>116</v>
      </c>
      <c r="P80" s="22" t="s">
        <v>116</v>
      </c>
      <c r="Q80" s="22" t="s">
        <v>116</v>
      </c>
      <c r="R80" s="22" t="s">
        <v>116</v>
      </c>
      <c r="S80" s="22" t="s">
        <v>116</v>
      </c>
      <c r="T80" s="22" t="s">
        <v>116</v>
      </c>
      <c r="U80" s="23" t="s">
        <v>116</v>
      </c>
      <c r="V80" s="4" t="str">
        <f t="shared" si="3"/>
        <v>GI-BE-N1-LU-N1</v>
      </c>
    </row>
    <row r="81" spans="3:22">
      <c r="C81" t="s">
        <v>33</v>
      </c>
      <c r="D81" s="15" t="s">
        <v>47</v>
      </c>
      <c r="E81" s="60">
        <v>2010</v>
      </c>
      <c r="H81" s="22" t="s">
        <v>116</v>
      </c>
      <c r="I81" s="22" t="s">
        <v>116</v>
      </c>
      <c r="J81" s="22" t="s">
        <v>116</v>
      </c>
      <c r="K81" s="22" t="s">
        <v>116</v>
      </c>
      <c r="L81" s="22">
        <v>5.6</v>
      </c>
      <c r="M81" s="22" t="s">
        <v>116</v>
      </c>
      <c r="N81" s="22" t="s">
        <v>116</v>
      </c>
      <c r="O81" s="22" t="s">
        <v>116</v>
      </c>
      <c r="P81" s="22" t="s">
        <v>116</v>
      </c>
      <c r="Q81" s="22" t="s">
        <v>116</v>
      </c>
      <c r="R81" s="22" t="s">
        <v>116</v>
      </c>
      <c r="S81" s="22" t="s">
        <v>116</v>
      </c>
      <c r="T81" s="22" t="s">
        <v>116</v>
      </c>
      <c r="U81" s="23" t="s">
        <v>116</v>
      </c>
      <c r="V81" s="4" t="str">
        <f t="shared" si="3"/>
        <v>GI-FR-N1-DE-N1</v>
      </c>
    </row>
    <row r="82" spans="3:22">
      <c r="C82" t="s">
        <v>33</v>
      </c>
      <c r="D82" s="15" t="s">
        <v>47</v>
      </c>
      <c r="E82" s="60">
        <v>2010</v>
      </c>
      <c r="H82" s="22" t="s">
        <v>116</v>
      </c>
      <c r="I82" s="22" t="s">
        <v>116</v>
      </c>
      <c r="J82" s="22" t="s">
        <v>116</v>
      </c>
      <c r="K82" s="22" t="s">
        <v>116</v>
      </c>
      <c r="L82" s="22" t="s">
        <v>116</v>
      </c>
      <c r="M82" s="22" t="s">
        <v>116</v>
      </c>
      <c r="N82" s="98">
        <f>3.4*2</f>
        <v>6.8</v>
      </c>
      <c r="O82" s="22" t="s">
        <v>116</v>
      </c>
      <c r="P82" s="22" t="s">
        <v>116</v>
      </c>
      <c r="Q82" s="22" t="s">
        <v>116</v>
      </c>
      <c r="R82" s="22" t="s">
        <v>116</v>
      </c>
      <c r="S82" s="22" t="s">
        <v>116</v>
      </c>
      <c r="T82" s="22" t="s">
        <v>116</v>
      </c>
      <c r="U82" s="23" t="s">
        <v>116</v>
      </c>
      <c r="V82" s="4" t="str">
        <f t="shared" si="3"/>
        <v>GI-PL-N1-CZ-N1</v>
      </c>
    </row>
    <row r="83" spans="3:22">
      <c r="C83" t="s">
        <v>33</v>
      </c>
      <c r="D83" s="15" t="s">
        <v>47</v>
      </c>
      <c r="E83" s="60">
        <v>2010</v>
      </c>
      <c r="H83" s="22" t="s">
        <v>116</v>
      </c>
      <c r="I83" s="22" t="s">
        <v>116</v>
      </c>
      <c r="J83" s="22" t="s">
        <v>116</v>
      </c>
      <c r="K83" s="22" t="s">
        <v>116</v>
      </c>
      <c r="L83" s="22" t="s">
        <v>116</v>
      </c>
      <c r="M83" s="22" t="s">
        <v>116</v>
      </c>
      <c r="N83" s="22" t="s">
        <v>116</v>
      </c>
      <c r="O83" s="22" t="s">
        <v>116</v>
      </c>
      <c r="P83" s="22">
        <v>3.4</v>
      </c>
      <c r="Q83" s="22" t="s">
        <v>116</v>
      </c>
      <c r="R83" s="22" t="s">
        <v>116</v>
      </c>
      <c r="S83" s="22" t="s">
        <v>116</v>
      </c>
      <c r="T83" s="22" t="s">
        <v>116</v>
      </c>
      <c r="U83" s="23" t="s">
        <v>116</v>
      </c>
      <c r="V83" s="4" t="str">
        <f t="shared" si="3"/>
        <v>GI-SK-N1-CZ-N1</v>
      </c>
    </row>
    <row r="84" spans="3:22">
      <c r="C84" t="s">
        <v>33</v>
      </c>
      <c r="D84" s="15" t="s">
        <v>47</v>
      </c>
      <c r="E84" s="60">
        <v>2010</v>
      </c>
      <c r="H84" s="22" t="s">
        <v>116</v>
      </c>
      <c r="I84" s="22" t="s">
        <v>116</v>
      </c>
      <c r="J84" s="22" t="s">
        <v>116</v>
      </c>
      <c r="K84" s="22" t="s">
        <v>116</v>
      </c>
      <c r="L84" s="22" t="s">
        <v>116</v>
      </c>
      <c r="M84" s="22" t="s">
        <v>116</v>
      </c>
      <c r="N84" s="22">
        <v>0.83299999999999996</v>
      </c>
      <c r="O84" s="22" t="s">
        <v>116</v>
      </c>
      <c r="P84" s="22" t="s">
        <v>116</v>
      </c>
      <c r="Q84" s="22" t="s">
        <v>116</v>
      </c>
      <c r="R84" s="22" t="s">
        <v>116</v>
      </c>
      <c r="S84" s="22" t="s">
        <v>116</v>
      </c>
      <c r="T84" s="22" t="s">
        <v>116</v>
      </c>
      <c r="U84" s="23" t="s">
        <v>116</v>
      </c>
      <c r="V84" s="4" t="str">
        <f t="shared" si="3"/>
        <v>GI-PL-N1-SK-N1</v>
      </c>
    </row>
    <row r="85" spans="3:22">
      <c r="C85" t="s">
        <v>33</v>
      </c>
      <c r="D85" s="15" t="s">
        <v>47</v>
      </c>
      <c r="E85" s="60">
        <v>2010</v>
      </c>
      <c r="H85" s="22" t="s">
        <v>116</v>
      </c>
      <c r="I85" s="22" t="s">
        <v>116</v>
      </c>
      <c r="J85" s="22" t="s">
        <v>116</v>
      </c>
      <c r="K85" s="22">
        <v>3.4</v>
      </c>
      <c r="L85" s="22" t="s">
        <v>116</v>
      </c>
      <c r="M85" s="22" t="s">
        <v>116</v>
      </c>
      <c r="N85" s="22" t="s">
        <v>116</v>
      </c>
      <c r="O85" s="22" t="s">
        <v>116</v>
      </c>
      <c r="P85" s="22" t="s">
        <v>116</v>
      </c>
      <c r="Q85" s="22" t="s">
        <v>116</v>
      </c>
      <c r="R85" s="22" t="s">
        <v>116</v>
      </c>
      <c r="S85" s="22" t="s">
        <v>116</v>
      </c>
      <c r="T85" s="22" t="s">
        <v>116</v>
      </c>
      <c r="U85" s="23" t="s">
        <v>116</v>
      </c>
      <c r="V85" s="4" t="str">
        <f t="shared" si="3"/>
        <v>GI-DE-N1-CZ-N1</v>
      </c>
    </row>
    <row r="86" spans="3:22">
      <c r="C86" t="s">
        <v>33</v>
      </c>
      <c r="D86" s="15" t="s">
        <v>47</v>
      </c>
      <c r="E86" s="60">
        <v>2010</v>
      </c>
      <c r="H86" s="22" t="s">
        <v>116</v>
      </c>
      <c r="I86" s="22" t="s">
        <v>116</v>
      </c>
      <c r="J86" s="22" t="s">
        <v>116</v>
      </c>
      <c r="K86" s="22" t="s">
        <v>116</v>
      </c>
      <c r="L86" s="22" t="s">
        <v>116</v>
      </c>
      <c r="M86" s="22" t="s">
        <v>116</v>
      </c>
      <c r="N86" s="22" t="s">
        <v>116</v>
      </c>
      <c r="O86" s="22" t="s">
        <v>116</v>
      </c>
      <c r="P86" s="22">
        <v>2.8</v>
      </c>
      <c r="Q86" s="22" t="s">
        <v>116</v>
      </c>
      <c r="R86" s="22" t="s">
        <v>116</v>
      </c>
      <c r="S86" s="22" t="s">
        <v>116</v>
      </c>
      <c r="T86" s="22" t="s">
        <v>116</v>
      </c>
      <c r="U86" s="23" t="s">
        <v>116</v>
      </c>
      <c r="V86" s="4" t="str">
        <f t="shared" si="3"/>
        <v>GI-SK-N1-HU-N1</v>
      </c>
    </row>
    <row r="87" spans="3:22">
      <c r="C87" t="s">
        <v>33</v>
      </c>
      <c r="D87" s="15" t="s">
        <v>47</v>
      </c>
      <c r="E87" s="60">
        <v>2010</v>
      </c>
      <c r="H87" s="22" t="s">
        <v>116</v>
      </c>
      <c r="I87" s="22" t="s">
        <v>116</v>
      </c>
      <c r="J87" s="22" t="s">
        <v>116</v>
      </c>
      <c r="K87" s="22" t="s">
        <v>116</v>
      </c>
      <c r="L87" s="22" t="s">
        <v>116</v>
      </c>
      <c r="M87" s="22" t="s">
        <v>116</v>
      </c>
      <c r="N87" s="22" t="s">
        <v>116</v>
      </c>
      <c r="O87" s="22">
        <v>1</v>
      </c>
      <c r="P87" s="22" t="s">
        <v>116</v>
      </c>
      <c r="Q87" s="22" t="s">
        <v>116</v>
      </c>
      <c r="R87" s="22" t="s">
        <v>116</v>
      </c>
      <c r="S87" s="22" t="s">
        <v>116</v>
      </c>
      <c r="T87" s="22" t="s">
        <v>116</v>
      </c>
      <c r="U87" s="23" t="s">
        <v>116</v>
      </c>
      <c r="V87" s="4" t="str">
        <f t="shared" si="3"/>
        <v>GI-SI-N1-AT-N1</v>
      </c>
    </row>
    <row r="88" spans="3:22">
      <c r="C88" t="s">
        <v>33</v>
      </c>
      <c r="D88" s="15" t="s">
        <v>47</v>
      </c>
      <c r="E88" s="60">
        <v>2010</v>
      </c>
      <c r="H88" s="22" t="s">
        <v>116</v>
      </c>
      <c r="I88" s="22" t="s">
        <v>116</v>
      </c>
      <c r="J88" s="22">
        <v>5.0999999999999996</v>
      </c>
      <c r="K88" s="22" t="s">
        <v>116</v>
      </c>
      <c r="L88" s="22" t="s">
        <v>116</v>
      </c>
      <c r="M88" s="22" t="s">
        <v>116</v>
      </c>
      <c r="N88" s="22" t="s">
        <v>116</v>
      </c>
      <c r="O88" s="22" t="s">
        <v>116</v>
      </c>
      <c r="P88" s="22" t="s">
        <v>116</v>
      </c>
      <c r="Q88" s="22" t="s">
        <v>116</v>
      </c>
      <c r="R88" s="22" t="s">
        <v>116</v>
      </c>
      <c r="S88" s="22" t="s">
        <v>116</v>
      </c>
      <c r="T88" s="22" t="s">
        <v>116</v>
      </c>
      <c r="U88" s="23" t="s">
        <v>116</v>
      </c>
      <c r="V88" s="4" t="str">
        <f t="shared" si="3"/>
        <v>GI-CH-N1-DE-N1</v>
      </c>
    </row>
    <row r="89" spans="3:22">
      <c r="C89" t="s">
        <v>33</v>
      </c>
      <c r="D89" s="15" t="s">
        <v>47</v>
      </c>
      <c r="E89" s="60">
        <v>2010</v>
      </c>
      <c r="H89" s="22" t="s">
        <v>116</v>
      </c>
      <c r="I89" s="22" t="s">
        <v>116</v>
      </c>
      <c r="J89" s="22" t="s">
        <v>116</v>
      </c>
      <c r="K89" s="22" t="s">
        <v>116</v>
      </c>
      <c r="L89" s="22" t="s">
        <v>116</v>
      </c>
      <c r="M89" s="22" t="s">
        <v>116</v>
      </c>
      <c r="N89" s="22" t="s">
        <v>116</v>
      </c>
      <c r="O89" s="22" t="s">
        <v>116</v>
      </c>
      <c r="P89" s="22" t="s">
        <v>116</v>
      </c>
      <c r="Q89" s="22" t="s">
        <v>116</v>
      </c>
      <c r="R89" s="22" t="s">
        <v>116</v>
      </c>
      <c r="S89" s="22">
        <v>0.76200000000000001</v>
      </c>
      <c r="T89" s="22" t="s">
        <v>116</v>
      </c>
      <c r="U89" s="23" t="s">
        <v>116</v>
      </c>
      <c r="V89" s="4" t="str">
        <f t="shared" si="3"/>
        <v>GI-IT-N1-SI-N1</v>
      </c>
    </row>
    <row r="90" spans="3:22">
      <c r="C90" t="s">
        <v>33</v>
      </c>
      <c r="D90" s="15" t="s">
        <v>47</v>
      </c>
      <c r="E90" s="60">
        <v>2010</v>
      </c>
      <c r="H90" s="22" t="s">
        <v>116</v>
      </c>
      <c r="I90" s="22" t="s">
        <v>116</v>
      </c>
      <c r="J90" s="22" t="s">
        <v>116</v>
      </c>
      <c r="K90" s="22" t="s">
        <v>116</v>
      </c>
      <c r="L90" s="22">
        <v>4.8</v>
      </c>
      <c r="M90" s="22" t="s">
        <v>116</v>
      </c>
      <c r="N90" s="22" t="s">
        <v>116</v>
      </c>
      <c r="O90" s="22" t="s">
        <v>116</v>
      </c>
      <c r="P90" s="22" t="s">
        <v>116</v>
      </c>
      <c r="Q90" s="22" t="s">
        <v>116</v>
      </c>
      <c r="R90" s="22" t="s">
        <v>116</v>
      </c>
      <c r="S90" s="22" t="s">
        <v>116</v>
      </c>
      <c r="T90" s="22" t="s">
        <v>116</v>
      </c>
      <c r="U90" s="23" t="s">
        <v>116</v>
      </c>
      <c r="V90" s="4" t="str">
        <f t="shared" si="3"/>
        <v>GI-FR-N1-CH-N1</v>
      </c>
    </row>
    <row r="91" spans="3:22">
      <c r="C91" t="s">
        <v>33</v>
      </c>
      <c r="D91" s="15" t="s">
        <v>47</v>
      </c>
      <c r="E91" s="60">
        <v>2010</v>
      </c>
      <c r="H91" s="22">
        <v>3.4</v>
      </c>
      <c r="I91" s="22" t="s">
        <v>116</v>
      </c>
      <c r="J91" s="22" t="s">
        <v>116</v>
      </c>
      <c r="K91" s="22" t="s">
        <v>116</v>
      </c>
      <c r="L91" s="22" t="s">
        <v>116</v>
      </c>
      <c r="M91" s="22" t="s">
        <v>116</v>
      </c>
      <c r="N91" s="22" t="s">
        <v>116</v>
      </c>
      <c r="O91" s="22" t="s">
        <v>116</v>
      </c>
      <c r="P91" s="22" t="s">
        <v>116</v>
      </c>
      <c r="Q91" s="22" t="s">
        <v>116</v>
      </c>
      <c r="R91" s="22" t="s">
        <v>116</v>
      </c>
      <c r="S91" s="22" t="s">
        <v>116</v>
      </c>
      <c r="T91" s="22" t="s">
        <v>116</v>
      </c>
      <c r="U91" s="23" t="s">
        <v>116</v>
      </c>
      <c r="V91" s="4" t="str">
        <f t="shared" si="3"/>
        <v>GI-AT-N1-CZ-N1</v>
      </c>
    </row>
    <row r="92" spans="3:22">
      <c r="C92" t="s">
        <v>33</v>
      </c>
      <c r="D92" s="15" t="s">
        <v>47</v>
      </c>
      <c r="E92" s="60">
        <v>2010</v>
      </c>
      <c r="H92" s="22" t="s">
        <v>116</v>
      </c>
      <c r="I92" s="22" t="s">
        <v>116</v>
      </c>
      <c r="J92" s="22" t="s">
        <v>116</v>
      </c>
      <c r="K92" s="22">
        <v>4.2</v>
      </c>
      <c r="L92" s="22" t="s">
        <v>116</v>
      </c>
      <c r="M92" s="22" t="s">
        <v>116</v>
      </c>
      <c r="N92" s="22" t="s">
        <v>116</v>
      </c>
      <c r="O92" s="22" t="s">
        <v>116</v>
      </c>
      <c r="P92" s="22" t="s">
        <v>116</v>
      </c>
      <c r="Q92" s="22" t="s">
        <v>116</v>
      </c>
      <c r="R92" s="22" t="s">
        <v>116</v>
      </c>
      <c r="S92" s="22" t="s">
        <v>116</v>
      </c>
      <c r="T92" s="22" t="s">
        <v>116</v>
      </c>
      <c r="U92" s="23" t="s">
        <v>116</v>
      </c>
      <c r="V92" s="4" t="str">
        <f t="shared" si="3"/>
        <v>GI-DE-N1-AT-N1</v>
      </c>
    </row>
    <row r="93" spans="3:22">
      <c r="C93" t="s">
        <v>33</v>
      </c>
      <c r="D93" s="15" t="s">
        <v>47</v>
      </c>
      <c r="E93" s="60">
        <v>2010</v>
      </c>
      <c r="H93" s="22" t="s">
        <v>116</v>
      </c>
      <c r="I93" s="22" t="s">
        <v>116</v>
      </c>
      <c r="J93" s="22">
        <v>2.4</v>
      </c>
      <c r="K93" s="22" t="s">
        <v>116</v>
      </c>
      <c r="L93" s="22" t="s">
        <v>116</v>
      </c>
      <c r="M93" s="22" t="s">
        <v>116</v>
      </c>
      <c r="N93" s="22" t="s">
        <v>116</v>
      </c>
      <c r="O93" s="22" t="s">
        <v>116</v>
      </c>
      <c r="P93" s="22" t="s">
        <v>116</v>
      </c>
      <c r="Q93" s="22" t="s">
        <v>116</v>
      </c>
      <c r="R93" s="22" t="s">
        <v>116</v>
      </c>
      <c r="S93" s="22" t="s">
        <v>116</v>
      </c>
      <c r="T93" s="22" t="s">
        <v>116</v>
      </c>
      <c r="U93" s="23" t="s">
        <v>116</v>
      </c>
      <c r="V93" s="4" t="str">
        <f t="shared" si="3"/>
        <v>GI-CH-N1-AT-N1</v>
      </c>
    </row>
    <row r="94" spans="3:22">
      <c r="C94" t="s">
        <v>33</v>
      </c>
      <c r="D94" s="15" t="s">
        <v>47</v>
      </c>
      <c r="E94" s="60">
        <v>2010</v>
      </c>
      <c r="H94" s="22" t="s">
        <v>116</v>
      </c>
      <c r="I94" s="22" t="s">
        <v>116</v>
      </c>
      <c r="J94" s="95">
        <f>G139</f>
        <v>4.6399999999999997</v>
      </c>
      <c r="K94" s="22" t="s">
        <v>116</v>
      </c>
      <c r="L94" s="22" t="s">
        <v>116</v>
      </c>
      <c r="M94" s="22" t="s">
        <v>116</v>
      </c>
      <c r="N94" s="22" t="s">
        <v>116</v>
      </c>
      <c r="O94" s="22" t="s">
        <v>116</v>
      </c>
      <c r="P94" s="22" t="s">
        <v>116</v>
      </c>
      <c r="Q94" s="22" t="s">
        <v>116</v>
      </c>
      <c r="R94" s="22" t="s">
        <v>116</v>
      </c>
      <c r="S94" s="22" t="s">
        <v>116</v>
      </c>
      <c r="T94" s="22" t="s">
        <v>116</v>
      </c>
      <c r="U94" s="23" t="s">
        <v>116</v>
      </c>
      <c r="V94" s="4" t="str">
        <f t="shared" si="3"/>
        <v>GI-CH-N1-IT-N1</v>
      </c>
    </row>
    <row r="95" spans="3:22">
      <c r="C95" t="s">
        <v>33</v>
      </c>
      <c r="D95" s="15" t="s">
        <v>47</v>
      </c>
      <c r="E95" s="60">
        <v>2010</v>
      </c>
      <c r="H95" s="22" t="s">
        <v>116</v>
      </c>
      <c r="I95" s="22" t="s">
        <v>116</v>
      </c>
      <c r="J95" s="22" t="s">
        <v>116</v>
      </c>
      <c r="K95" s="22" t="s">
        <v>116</v>
      </c>
      <c r="L95" s="22">
        <v>3.6</v>
      </c>
      <c r="M95" s="22" t="s">
        <v>116</v>
      </c>
      <c r="N95" s="22" t="s">
        <v>116</v>
      </c>
      <c r="O95" s="22" t="s">
        <v>116</v>
      </c>
      <c r="P95" s="22" t="s">
        <v>116</v>
      </c>
      <c r="Q95" s="22" t="s">
        <v>116</v>
      </c>
      <c r="R95" s="22" t="s">
        <v>116</v>
      </c>
      <c r="S95" s="22" t="s">
        <v>116</v>
      </c>
      <c r="T95" s="22" t="s">
        <v>116</v>
      </c>
      <c r="U95" s="23" t="s">
        <v>116</v>
      </c>
      <c r="V95" s="4" t="str">
        <f t="shared" si="3"/>
        <v>GI-FR-N1-IT-N1</v>
      </c>
    </row>
    <row r="96" spans="3:22">
      <c r="C96" t="s">
        <v>33</v>
      </c>
      <c r="D96" s="15" t="s">
        <v>47</v>
      </c>
      <c r="E96" s="60">
        <v>2010</v>
      </c>
      <c r="H96" s="22">
        <v>1.4</v>
      </c>
      <c r="I96" s="22" t="s">
        <v>116</v>
      </c>
      <c r="J96" s="22" t="s">
        <v>116</v>
      </c>
      <c r="K96" s="22" t="s">
        <v>116</v>
      </c>
      <c r="L96" s="22" t="s">
        <v>116</v>
      </c>
      <c r="M96" s="22" t="s">
        <v>116</v>
      </c>
      <c r="N96" s="22" t="s">
        <v>116</v>
      </c>
      <c r="O96" s="22" t="s">
        <v>116</v>
      </c>
      <c r="P96" s="22" t="s">
        <v>116</v>
      </c>
      <c r="Q96" s="22" t="s">
        <v>116</v>
      </c>
      <c r="R96" s="22" t="s">
        <v>116</v>
      </c>
      <c r="S96" s="22" t="s">
        <v>116</v>
      </c>
      <c r="T96" s="22" t="s">
        <v>116</v>
      </c>
      <c r="U96" s="23" t="s">
        <v>116</v>
      </c>
      <c r="V96" s="4" t="str">
        <f t="shared" si="3"/>
        <v>GI-AT-N1-HU-N1</v>
      </c>
    </row>
    <row r="97" spans="2:23">
      <c r="C97" t="s">
        <v>33</v>
      </c>
      <c r="D97" s="15" t="s">
        <v>47</v>
      </c>
      <c r="E97" s="60">
        <v>2010</v>
      </c>
      <c r="H97" s="22" t="s">
        <v>116</v>
      </c>
      <c r="I97" s="22" t="s">
        <v>116</v>
      </c>
      <c r="J97" s="22" t="s">
        <v>116</v>
      </c>
      <c r="K97" s="22">
        <v>2.4</v>
      </c>
      <c r="L97" s="22" t="s">
        <v>116</v>
      </c>
      <c r="M97" s="22" t="s">
        <v>116</v>
      </c>
      <c r="N97" s="22" t="s">
        <v>116</v>
      </c>
      <c r="O97" s="22" t="s">
        <v>116</v>
      </c>
      <c r="P97" s="22" t="s">
        <v>116</v>
      </c>
      <c r="Q97" s="22" t="s">
        <v>116</v>
      </c>
      <c r="R97" s="22" t="s">
        <v>116</v>
      </c>
      <c r="S97" s="22" t="s">
        <v>116</v>
      </c>
      <c r="T97" s="22" t="s">
        <v>116</v>
      </c>
      <c r="U97" s="23" t="s">
        <v>116</v>
      </c>
      <c r="V97" s="4" t="str">
        <f t="shared" si="3"/>
        <v>GI-DE-N1-PL-N1</v>
      </c>
    </row>
    <row r="98" spans="2:23" ht="13.5" thickBot="1">
      <c r="B98" s="49"/>
      <c r="C98" s="49" t="s">
        <v>33</v>
      </c>
      <c r="D98" s="49" t="s">
        <v>47</v>
      </c>
      <c r="E98" s="59">
        <v>2010</v>
      </c>
      <c r="F98" s="49"/>
      <c r="G98" s="59"/>
      <c r="H98" s="70">
        <v>0.25</v>
      </c>
      <c r="I98" s="70" t="s">
        <v>116</v>
      </c>
      <c r="J98" s="70" t="s">
        <v>116</v>
      </c>
      <c r="K98" s="70" t="s">
        <v>116</v>
      </c>
      <c r="L98" s="70" t="s">
        <v>116</v>
      </c>
      <c r="M98" s="70" t="s">
        <v>116</v>
      </c>
      <c r="N98" s="70" t="s">
        <v>116</v>
      </c>
      <c r="O98" s="70" t="s">
        <v>116</v>
      </c>
      <c r="P98" s="70" t="s">
        <v>116</v>
      </c>
      <c r="Q98" s="70" t="s">
        <v>116</v>
      </c>
      <c r="R98" s="70" t="s">
        <v>116</v>
      </c>
      <c r="S98" s="70" t="s">
        <v>116</v>
      </c>
      <c r="T98" s="70" t="s">
        <v>116</v>
      </c>
      <c r="U98" s="47" t="s">
        <v>116</v>
      </c>
      <c r="V98" s="59" t="str">
        <f t="shared" si="3"/>
        <v>GI-AT-N1-IT-N1</v>
      </c>
      <c r="W98" s="49"/>
    </row>
    <row r="99" spans="2:23" ht="13.5" thickTop="1">
      <c r="C99" t="s">
        <v>33</v>
      </c>
      <c r="D99" s="15" t="s">
        <v>47</v>
      </c>
      <c r="E99" s="60" t="s">
        <v>181</v>
      </c>
      <c r="H99" s="22" t="s">
        <v>116</v>
      </c>
      <c r="I99" s="22" t="s">
        <v>116</v>
      </c>
      <c r="J99" s="22" t="s">
        <v>116</v>
      </c>
      <c r="K99" s="22">
        <v>2</v>
      </c>
      <c r="L99" s="22" t="s">
        <v>116</v>
      </c>
      <c r="M99" s="22" t="s">
        <v>116</v>
      </c>
      <c r="N99" s="22" t="s">
        <v>116</v>
      </c>
      <c r="O99" s="22" t="s">
        <v>116</v>
      </c>
      <c r="P99" s="22" t="s">
        <v>116</v>
      </c>
      <c r="Q99" s="22" t="s">
        <v>116</v>
      </c>
      <c r="R99" s="22" t="s">
        <v>116</v>
      </c>
      <c r="S99" s="22" t="s">
        <v>116</v>
      </c>
      <c r="T99" s="22" t="s">
        <v>116</v>
      </c>
      <c r="U99" s="23" t="s">
        <v>116</v>
      </c>
      <c r="V99" s="4" t="str">
        <f t="shared" si="3"/>
        <v>GI-DE-N1-LU-N1</v>
      </c>
    </row>
    <row r="100" spans="2:23">
      <c r="C100" t="s">
        <v>33</v>
      </c>
      <c r="D100" s="15" t="s">
        <v>47</v>
      </c>
      <c r="E100" s="60" t="s">
        <v>181</v>
      </c>
      <c r="H100" s="22" t="s">
        <v>116</v>
      </c>
      <c r="I100" s="22" t="s">
        <v>116</v>
      </c>
      <c r="J100" s="22" t="s">
        <v>116</v>
      </c>
      <c r="K100" s="22" t="s">
        <v>116</v>
      </c>
      <c r="L100" s="22" t="s">
        <v>116</v>
      </c>
      <c r="M100" s="95">
        <f>H145</f>
        <v>5.35</v>
      </c>
      <c r="N100" s="22" t="s">
        <v>116</v>
      </c>
      <c r="O100" s="22" t="s">
        <v>116</v>
      </c>
      <c r="P100" s="22" t="s">
        <v>116</v>
      </c>
      <c r="Q100" s="22" t="s">
        <v>116</v>
      </c>
      <c r="R100" s="22" t="s">
        <v>116</v>
      </c>
      <c r="S100" s="22" t="s">
        <v>116</v>
      </c>
      <c r="T100" s="22" t="s">
        <v>116</v>
      </c>
      <c r="U100" s="23" t="s">
        <v>116</v>
      </c>
      <c r="V100" s="4" t="str">
        <f t="shared" si="3"/>
        <v>GI-NL-N1-DE-N1</v>
      </c>
    </row>
    <row r="101" spans="2:23">
      <c r="C101" t="s">
        <v>33</v>
      </c>
      <c r="D101" s="15" t="s">
        <v>47</v>
      </c>
      <c r="E101" s="60" t="s">
        <v>181</v>
      </c>
      <c r="H101" s="22" t="s">
        <v>116</v>
      </c>
      <c r="I101" s="22" t="s">
        <v>116</v>
      </c>
      <c r="J101" s="22" t="s">
        <v>116</v>
      </c>
      <c r="K101" s="22" t="s">
        <v>116</v>
      </c>
      <c r="L101" s="22" t="s">
        <v>116</v>
      </c>
      <c r="M101" s="22">
        <v>3.6</v>
      </c>
      <c r="N101" s="22" t="s">
        <v>116</v>
      </c>
      <c r="O101" s="22" t="s">
        <v>116</v>
      </c>
      <c r="P101" s="22" t="s">
        <v>116</v>
      </c>
      <c r="Q101" s="22" t="s">
        <v>116</v>
      </c>
      <c r="R101" s="22" t="s">
        <v>116</v>
      </c>
      <c r="S101" s="22" t="s">
        <v>116</v>
      </c>
      <c r="T101" s="22" t="s">
        <v>116</v>
      </c>
      <c r="U101" s="23" t="s">
        <v>116</v>
      </c>
      <c r="V101" s="4" t="str">
        <f t="shared" si="3"/>
        <v>GI-NL-N1-BE-N1</v>
      </c>
    </row>
    <row r="102" spans="2:23">
      <c r="C102" t="s">
        <v>33</v>
      </c>
      <c r="D102" s="15" t="s">
        <v>47</v>
      </c>
      <c r="E102" s="60" t="s">
        <v>181</v>
      </c>
      <c r="H102" s="22" t="s">
        <v>116</v>
      </c>
      <c r="I102" s="22" t="s">
        <v>116</v>
      </c>
      <c r="J102" s="22" t="s">
        <v>116</v>
      </c>
      <c r="K102" s="22" t="s">
        <v>116</v>
      </c>
      <c r="L102" s="22">
        <v>5.0999999999999996</v>
      </c>
      <c r="M102" s="22" t="s">
        <v>116</v>
      </c>
      <c r="N102" s="22" t="s">
        <v>116</v>
      </c>
      <c r="O102" s="22" t="s">
        <v>116</v>
      </c>
      <c r="P102" s="22" t="s">
        <v>116</v>
      </c>
      <c r="Q102" s="22" t="s">
        <v>116</v>
      </c>
      <c r="R102" s="22" t="s">
        <v>116</v>
      </c>
      <c r="S102" s="22" t="s">
        <v>116</v>
      </c>
      <c r="T102" s="22" t="s">
        <v>116</v>
      </c>
      <c r="U102" s="23" t="s">
        <v>116</v>
      </c>
      <c r="V102" s="4" t="str">
        <f t="shared" si="3"/>
        <v>GI-FR-N1-BE-N1</v>
      </c>
    </row>
    <row r="103" spans="2:23">
      <c r="C103" t="s">
        <v>33</v>
      </c>
      <c r="D103" s="15" t="s">
        <v>47</v>
      </c>
      <c r="E103" s="60" t="s">
        <v>181</v>
      </c>
      <c r="H103" s="22" t="s">
        <v>116</v>
      </c>
      <c r="I103" s="95">
        <f>H135</f>
        <v>0.6</v>
      </c>
      <c r="J103" s="22" t="s">
        <v>116</v>
      </c>
      <c r="K103" s="22" t="s">
        <v>116</v>
      </c>
      <c r="L103" s="22" t="s">
        <v>116</v>
      </c>
      <c r="M103" s="22" t="s">
        <v>116</v>
      </c>
      <c r="N103" s="22" t="s">
        <v>116</v>
      </c>
      <c r="O103" s="22" t="s">
        <v>116</v>
      </c>
      <c r="P103" s="22" t="s">
        <v>116</v>
      </c>
      <c r="Q103" s="22" t="s">
        <v>116</v>
      </c>
      <c r="R103" s="22" t="s">
        <v>116</v>
      </c>
      <c r="S103" s="22" t="s">
        <v>116</v>
      </c>
      <c r="T103" s="22" t="s">
        <v>116</v>
      </c>
      <c r="U103" s="23" t="s">
        <v>116</v>
      </c>
      <c r="V103" s="4" t="str">
        <f t="shared" si="3"/>
        <v>GI-BE-N1-LU-N1</v>
      </c>
    </row>
    <row r="104" spans="2:23">
      <c r="C104" t="s">
        <v>33</v>
      </c>
      <c r="D104" s="15" t="s">
        <v>47</v>
      </c>
      <c r="E104" s="60" t="s">
        <v>181</v>
      </c>
      <c r="H104" s="22" t="s">
        <v>116</v>
      </c>
      <c r="I104" s="22" t="s">
        <v>116</v>
      </c>
      <c r="J104" s="22" t="s">
        <v>116</v>
      </c>
      <c r="K104" s="22" t="s">
        <v>116</v>
      </c>
      <c r="L104" s="22">
        <v>5.6</v>
      </c>
      <c r="M104" s="22" t="s">
        <v>116</v>
      </c>
      <c r="N104" s="22" t="s">
        <v>116</v>
      </c>
      <c r="O104" s="22" t="s">
        <v>116</v>
      </c>
      <c r="P104" s="22" t="s">
        <v>116</v>
      </c>
      <c r="Q104" s="22" t="s">
        <v>116</v>
      </c>
      <c r="R104" s="22" t="s">
        <v>116</v>
      </c>
      <c r="S104" s="22" t="s">
        <v>116</v>
      </c>
      <c r="T104" s="22" t="s">
        <v>116</v>
      </c>
      <c r="U104" s="23" t="s">
        <v>116</v>
      </c>
      <c r="V104" s="4" t="str">
        <f t="shared" si="3"/>
        <v>GI-FR-N1-DE-N1</v>
      </c>
    </row>
    <row r="105" spans="2:23">
      <c r="C105" t="s">
        <v>33</v>
      </c>
      <c r="D105" s="15" t="s">
        <v>47</v>
      </c>
      <c r="E105" s="60" t="s">
        <v>181</v>
      </c>
      <c r="H105" s="22" t="s">
        <v>116</v>
      </c>
      <c r="I105" s="22" t="s">
        <v>116</v>
      </c>
      <c r="J105" s="22" t="s">
        <v>116</v>
      </c>
      <c r="K105" s="22" t="s">
        <v>116</v>
      </c>
      <c r="L105" s="22" t="s">
        <v>116</v>
      </c>
      <c r="M105" s="22" t="s">
        <v>116</v>
      </c>
      <c r="N105" s="98">
        <f>3.4*2+0.1</f>
        <v>6.8999999999999995</v>
      </c>
      <c r="O105" s="22" t="s">
        <v>116</v>
      </c>
      <c r="P105" s="22" t="s">
        <v>116</v>
      </c>
      <c r="Q105" s="22" t="s">
        <v>116</v>
      </c>
      <c r="R105" s="22" t="s">
        <v>116</v>
      </c>
      <c r="S105" s="22" t="s">
        <v>116</v>
      </c>
      <c r="T105" s="22" t="s">
        <v>116</v>
      </c>
      <c r="U105" s="23" t="s">
        <v>116</v>
      </c>
      <c r="V105" s="4" t="str">
        <f t="shared" si="3"/>
        <v>GI-PL-N1-CZ-N1</v>
      </c>
    </row>
    <row r="106" spans="2:23">
      <c r="C106" t="s">
        <v>33</v>
      </c>
      <c r="D106" s="15" t="s">
        <v>47</v>
      </c>
      <c r="E106" s="60" t="s">
        <v>181</v>
      </c>
      <c r="H106" s="22" t="s">
        <v>116</v>
      </c>
      <c r="I106" s="22" t="s">
        <v>116</v>
      </c>
      <c r="J106" s="22" t="s">
        <v>116</v>
      </c>
      <c r="K106" s="22" t="s">
        <v>116</v>
      </c>
      <c r="L106" s="22" t="s">
        <v>116</v>
      </c>
      <c r="M106" s="22" t="s">
        <v>116</v>
      </c>
      <c r="N106" s="22" t="s">
        <v>116</v>
      </c>
      <c r="O106" s="22" t="s">
        <v>116</v>
      </c>
      <c r="P106" s="22">
        <v>3.4</v>
      </c>
      <c r="Q106" s="22" t="s">
        <v>116</v>
      </c>
      <c r="R106" s="22" t="s">
        <v>116</v>
      </c>
      <c r="S106" s="22" t="s">
        <v>116</v>
      </c>
      <c r="T106" s="22" t="s">
        <v>116</v>
      </c>
      <c r="U106" s="23" t="s">
        <v>116</v>
      </c>
      <c r="V106" s="4" t="str">
        <f t="shared" si="3"/>
        <v>GI-SK-N1-CZ-N1</v>
      </c>
    </row>
    <row r="107" spans="2:23">
      <c r="C107" t="s">
        <v>33</v>
      </c>
      <c r="D107" s="15" t="s">
        <v>47</v>
      </c>
      <c r="E107" s="60" t="s">
        <v>181</v>
      </c>
      <c r="H107" s="22" t="s">
        <v>116</v>
      </c>
      <c r="I107" s="22" t="s">
        <v>116</v>
      </c>
      <c r="J107" s="22" t="s">
        <v>116</v>
      </c>
      <c r="K107" s="22" t="s">
        <v>116</v>
      </c>
      <c r="L107" s="22" t="s">
        <v>116</v>
      </c>
      <c r="M107" s="22" t="s">
        <v>116</v>
      </c>
      <c r="N107" s="95">
        <f>J150</f>
        <v>1.5</v>
      </c>
      <c r="O107" s="22" t="s">
        <v>116</v>
      </c>
      <c r="P107" s="22" t="s">
        <v>116</v>
      </c>
      <c r="Q107" s="22" t="s">
        <v>116</v>
      </c>
      <c r="R107" s="22" t="s">
        <v>116</v>
      </c>
      <c r="S107" s="22" t="s">
        <v>116</v>
      </c>
      <c r="T107" s="22" t="s">
        <v>116</v>
      </c>
      <c r="U107" s="23" t="s">
        <v>116</v>
      </c>
      <c r="V107" s="4" t="str">
        <f t="shared" si="3"/>
        <v>GI-PL-N1-SK-N1</v>
      </c>
    </row>
    <row r="108" spans="2:23">
      <c r="C108" t="s">
        <v>33</v>
      </c>
      <c r="D108" s="15" t="s">
        <v>47</v>
      </c>
      <c r="E108" s="60" t="s">
        <v>181</v>
      </c>
      <c r="H108" s="22" t="s">
        <v>116</v>
      </c>
      <c r="I108" s="22" t="s">
        <v>116</v>
      </c>
      <c r="J108" s="22" t="s">
        <v>116</v>
      </c>
      <c r="K108" s="95">
        <f>I140</f>
        <v>3.8</v>
      </c>
      <c r="L108" s="22" t="s">
        <v>116</v>
      </c>
      <c r="M108" s="22" t="s">
        <v>116</v>
      </c>
      <c r="N108" s="22" t="s">
        <v>116</v>
      </c>
      <c r="O108" s="22" t="s">
        <v>116</v>
      </c>
      <c r="P108" s="22" t="s">
        <v>116</v>
      </c>
      <c r="Q108" s="22" t="s">
        <v>116</v>
      </c>
      <c r="R108" s="22" t="s">
        <v>116</v>
      </c>
      <c r="S108" s="22" t="s">
        <v>116</v>
      </c>
      <c r="T108" s="22" t="s">
        <v>116</v>
      </c>
      <c r="U108" s="23" t="s">
        <v>116</v>
      </c>
      <c r="V108" s="4" t="str">
        <f t="shared" si="3"/>
        <v>GI-DE-N1-CZ-N1</v>
      </c>
    </row>
    <row r="109" spans="2:23">
      <c r="C109" t="s">
        <v>33</v>
      </c>
      <c r="D109" s="15" t="s">
        <v>47</v>
      </c>
      <c r="E109" s="60" t="s">
        <v>181</v>
      </c>
      <c r="H109" s="22" t="s">
        <v>116</v>
      </c>
      <c r="I109" s="22" t="s">
        <v>116</v>
      </c>
      <c r="J109" s="22" t="s">
        <v>116</v>
      </c>
      <c r="K109" s="22" t="s">
        <v>116</v>
      </c>
      <c r="L109" s="22" t="s">
        <v>116</v>
      </c>
      <c r="M109" s="22" t="s">
        <v>116</v>
      </c>
      <c r="N109" s="22" t="s">
        <v>116</v>
      </c>
      <c r="O109" s="22" t="s">
        <v>116</v>
      </c>
      <c r="P109" s="95">
        <f>I148</f>
        <v>3</v>
      </c>
      <c r="Q109" s="22" t="s">
        <v>116</v>
      </c>
      <c r="R109" s="22" t="s">
        <v>116</v>
      </c>
      <c r="S109" s="22" t="s">
        <v>116</v>
      </c>
      <c r="T109" s="22" t="s">
        <v>116</v>
      </c>
      <c r="U109" s="23" t="s">
        <v>116</v>
      </c>
      <c r="V109" s="4" t="str">
        <f t="shared" si="3"/>
        <v>GI-SK-N1-HU-N1</v>
      </c>
    </row>
    <row r="110" spans="2:23">
      <c r="C110" t="s">
        <v>33</v>
      </c>
      <c r="D110" s="15" t="s">
        <v>47</v>
      </c>
      <c r="E110" s="60" t="s">
        <v>181</v>
      </c>
      <c r="H110" s="22" t="s">
        <v>116</v>
      </c>
      <c r="I110" s="22" t="s">
        <v>116</v>
      </c>
      <c r="J110" s="22" t="s">
        <v>116</v>
      </c>
      <c r="K110" s="22" t="s">
        <v>116</v>
      </c>
      <c r="L110" s="22" t="s">
        <v>116</v>
      </c>
      <c r="M110" s="22" t="s">
        <v>116</v>
      </c>
      <c r="N110" s="22" t="s">
        <v>116</v>
      </c>
      <c r="O110" s="95">
        <f>I133</f>
        <v>1.2</v>
      </c>
      <c r="P110" s="22" t="s">
        <v>116</v>
      </c>
      <c r="Q110" s="22" t="s">
        <v>116</v>
      </c>
      <c r="R110" s="22" t="s">
        <v>116</v>
      </c>
      <c r="S110" s="22" t="s">
        <v>116</v>
      </c>
      <c r="T110" s="22" t="s">
        <v>116</v>
      </c>
      <c r="U110" s="23" t="s">
        <v>116</v>
      </c>
      <c r="V110" s="4" t="str">
        <f t="shared" si="3"/>
        <v>GI-SI-N1-AT-N1</v>
      </c>
    </row>
    <row r="111" spans="2:23">
      <c r="C111" t="s">
        <v>33</v>
      </c>
      <c r="D111" s="15" t="s">
        <v>47</v>
      </c>
      <c r="E111" s="60" t="s">
        <v>181</v>
      </c>
      <c r="H111" s="22" t="s">
        <v>116</v>
      </c>
      <c r="I111" s="22" t="s">
        <v>116</v>
      </c>
      <c r="J111" s="22">
        <v>5.0999999999999996</v>
      </c>
      <c r="K111" s="22" t="s">
        <v>116</v>
      </c>
      <c r="L111" s="22" t="s">
        <v>116</v>
      </c>
      <c r="M111" s="22" t="s">
        <v>116</v>
      </c>
      <c r="N111" s="22" t="s">
        <v>116</v>
      </c>
      <c r="O111" s="22" t="s">
        <v>116</v>
      </c>
      <c r="P111" s="22" t="s">
        <v>116</v>
      </c>
      <c r="Q111" s="22" t="s">
        <v>116</v>
      </c>
      <c r="R111" s="22" t="s">
        <v>116</v>
      </c>
      <c r="S111" s="22" t="s">
        <v>116</v>
      </c>
      <c r="T111" s="22" t="s">
        <v>116</v>
      </c>
      <c r="U111" s="23" t="s">
        <v>116</v>
      </c>
      <c r="V111" s="4" t="str">
        <f t="shared" si="3"/>
        <v>GI-CH-N1-DE-N1</v>
      </c>
    </row>
    <row r="112" spans="2:23">
      <c r="C112" t="s">
        <v>33</v>
      </c>
      <c r="D112" s="15" t="s">
        <v>47</v>
      </c>
      <c r="E112" s="60" t="s">
        <v>181</v>
      </c>
      <c r="H112" s="22" t="s">
        <v>116</v>
      </c>
      <c r="I112" s="22" t="s">
        <v>116</v>
      </c>
      <c r="J112" s="22" t="s">
        <v>116</v>
      </c>
      <c r="K112" s="22" t="s">
        <v>116</v>
      </c>
      <c r="L112" s="22" t="s">
        <v>116</v>
      </c>
      <c r="M112" s="22" t="s">
        <v>116</v>
      </c>
      <c r="N112" s="22" t="s">
        <v>116</v>
      </c>
      <c r="O112" s="22" t="s">
        <v>116</v>
      </c>
      <c r="P112" s="22" t="s">
        <v>116</v>
      </c>
      <c r="Q112" s="22" t="s">
        <v>116</v>
      </c>
      <c r="R112" s="22" t="s">
        <v>116</v>
      </c>
      <c r="S112" s="98">
        <v>2.5</v>
      </c>
      <c r="T112" s="22" t="s">
        <v>116</v>
      </c>
      <c r="U112" s="23" t="s">
        <v>116</v>
      </c>
      <c r="V112" s="4" t="str">
        <f t="shared" si="3"/>
        <v>GI-IT-N1-SI-N1</v>
      </c>
    </row>
    <row r="113" spans="2:156">
      <c r="C113" t="s">
        <v>33</v>
      </c>
      <c r="D113" s="15" t="s">
        <v>47</v>
      </c>
      <c r="E113" s="60" t="s">
        <v>181</v>
      </c>
      <c r="H113" s="22" t="s">
        <v>116</v>
      </c>
      <c r="I113" s="22" t="s">
        <v>116</v>
      </c>
      <c r="J113" s="22" t="s">
        <v>116</v>
      </c>
      <c r="K113" s="22" t="s">
        <v>116</v>
      </c>
      <c r="L113" s="22">
        <v>4.8</v>
      </c>
      <c r="M113" s="22" t="s">
        <v>116</v>
      </c>
      <c r="N113" s="22" t="s">
        <v>116</v>
      </c>
      <c r="O113" s="22" t="s">
        <v>116</v>
      </c>
      <c r="P113" s="22" t="s">
        <v>116</v>
      </c>
      <c r="Q113" s="22" t="s">
        <v>116</v>
      </c>
      <c r="R113" s="22" t="s">
        <v>116</v>
      </c>
      <c r="S113" s="22" t="s">
        <v>116</v>
      </c>
      <c r="T113" s="22" t="s">
        <v>116</v>
      </c>
      <c r="U113" s="23" t="s">
        <v>116</v>
      </c>
      <c r="V113" s="4" t="str">
        <f t="shared" si="3"/>
        <v>GI-FR-N1-CH-N1</v>
      </c>
    </row>
    <row r="114" spans="2:156">
      <c r="C114" t="s">
        <v>33</v>
      </c>
      <c r="D114" s="15" t="s">
        <v>47</v>
      </c>
      <c r="E114" s="60" t="s">
        <v>181</v>
      </c>
      <c r="H114" s="22">
        <v>3.4</v>
      </c>
      <c r="I114" s="22" t="s">
        <v>116</v>
      </c>
      <c r="J114" s="22" t="s">
        <v>116</v>
      </c>
      <c r="K114" s="22" t="s">
        <v>116</v>
      </c>
      <c r="L114" s="22" t="s">
        <v>116</v>
      </c>
      <c r="M114" s="22" t="s">
        <v>116</v>
      </c>
      <c r="N114" s="22" t="s">
        <v>116</v>
      </c>
      <c r="O114" s="22" t="s">
        <v>116</v>
      </c>
      <c r="P114" s="22" t="s">
        <v>116</v>
      </c>
      <c r="Q114" s="22" t="s">
        <v>116</v>
      </c>
      <c r="R114" s="22" t="s">
        <v>116</v>
      </c>
      <c r="S114" s="22" t="s">
        <v>116</v>
      </c>
      <c r="T114" s="22" t="s">
        <v>116</v>
      </c>
      <c r="U114" s="23" t="s">
        <v>116</v>
      </c>
      <c r="V114" s="4" t="str">
        <f t="shared" si="3"/>
        <v>GI-AT-N1-CZ-N1</v>
      </c>
    </row>
    <row r="115" spans="2:156">
      <c r="C115" t="s">
        <v>33</v>
      </c>
      <c r="D115" s="15" t="s">
        <v>47</v>
      </c>
      <c r="E115" s="60" t="s">
        <v>181</v>
      </c>
      <c r="H115" s="22" t="s">
        <v>116</v>
      </c>
      <c r="I115" s="22" t="s">
        <v>116</v>
      </c>
      <c r="J115" s="22" t="s">
        <v>116</v>
      </c>
      <c r="K115" s="95">
        <f>I130</f>
        <v>6.88</v>
      </c>
      <c r="L115" s="22" t="s">
        <v>116</v>
      </c>
      <c r="M115" s="22" t="s">
        <v>116</v>
      </c>
      <c r="N115" s="22" t="s">
        <v>116</v>
      </c>
      <c r="O115" s="22" t="s">
        <v>116</v>
      </c>
      <c r="P115" s="22" t="s">
        <v>116</v>
      </c>
      <c r="Q115" s="22" t="s">
        <v>116</v>
      </c>
      <c r="R115" s="22" t="s">
        <v>116</v>
      </c>
      <c r="S115" s="22" t="s">
        <v>116</v>
      </c>
      <c r="T115" s="22" t="s">
        <v>116</v>
      </c>
      <c r="U115" s="23" t="s">
        <v>116</v>
      </c>
      <c r="V115" s="4" t="str">
        <f t="shared" si="3"/>
        <v>GI-DE-N1-AT-N1</v>
      </c>
    </row>
    <row r="116" spans="2:156">
      <c r="C116" t="s">
        <v>33</v>
      </c>
      <c r="D116" s="15" t="s">
        <v>47</v>
      </c>
      <c r="E116" s="60" t="s">
        <v>181</v>
      </c>
      <c r="H116" s="22" t="s">
        <v>116</v>
      </c>
      <c r="I116" s="22" t="s">
        <v>116</v>
      </c>
      <c r="J116" s="22">
        <v>2.4</v>
      </c>
      <c r="K116" s="22" t="s">
        <v>116</v>
      </c>
      <c r="L116" s="22" t="s">
        <v>116</v>
      </c>
      <c r="M116" s="22" t="s">
        <v>116</v>
      </c>
      <c r="N116" s="22" t="s">
        <v>116</v>
      </c>
      <c r="O116" s="22" t="s">
        <v>116</v>
      </c>
      <c r="P116" s="22" t="s">
        <v>116</v>
      </c>
      <c r="Q116" s="22" t="s">
        <v>116</v>
      </c>
      <c r="R116" s="22" t="s">
        <v>116</v>
      </c>
      <c r="S116" s="22" t="s">
        <v>116</v>
      </c>
      <c r="T116" s="22" t="s">
        <v>116</v>
      </c>
      <c r="U116" s="23" t="s">
        <v>116</v>
      </c>
      <c r="V116" s="4" t="str">
        <f t="shared" si="3"/>
        <v>GI-CH-N1-AT-N1</v>
      </c>
    </row>
    <row r="117" spans="2:156">
      <c r="C117" t="s">
        <v>33</v>
      </c>
      <c r="D117" s="15" t="s">
        <v>47</v>
      </c>
      <c r="E117" s="60" t="s">
        <v>181</v>
      </c>
      <c r="H117" s="22" t="s">
        <v>116</v>
      </c>
      <c r="I117" s="22" t="s">
        <v>116</v>
      </c>
      <c r="J117" s="95">
        <f>I139</f>
        <v>5.64</v>
      </c>
      <c r="K117" s="22" t="s">
        <v>116</v>
      </c>
      <c r="L117" s="22" t="s">
        <v>116</v>
      </c>
      <c r="M117" s="22" t="s">
        <v>116</v>
      </c>
      <c r="N117" s="22" t="s">
        <v>116</v>
      </c>
      <c r="O117" s="22" t="s">
        <v>116</v>
      </c>
      <c r="P117" s="22" t="s">
        <v>116</v>
      </c>
      <c r="Q117" s="22" t="s">
        <v>116</v>
      </c>
      <c r="R117" s="22" t="s">
        <v>116</v>
      </c>
      <c r="S117" s="22" t="s">
        <v>116</v>
      </c>
      <c r="T117" s="22" t="s">
        <v>116</v>
      </c>
      <c r="U117" s="23" t="s">
        <v>116</v>
      </c>
      <c r="V117" s="4" t="str">
        <f t="shared" si="3"/>
        <v>GI-CH-N1-IT-N1</v>
      </c>
    </row>
    <row r="118" spans="2:156">
      <c r="C118" t="s">
        <v>33</v>
      </c>
      <c r="D118" s="15" t="s">
        <v>47</v>
      </c>
      <c r="E118" s="60" t="s">
        <v>181</v>
      </c>
      <c r="H118" s="22" t="s">
        <v>116</v>
      </c>
      <c r="I118" s="22" t="s">
        <v>116</v>
      </c>
      <c r="J118" s="22" t="s">
        <v>116</v>
      </c>
      <c r="K118" s="22" t="s">
        <v>116</v>
      </c>
      <c r="L118" s="95">
        <f>I147</f>
        <v>4.2</v>
      </c>
      <c r="M118" s="22" t="s">
        <v>116</v>
      </c>
      <c r="N118" s="22" t="s">
        <v>116</v>
      </c>
      <c r="O118" s="22" t="s">
        <v>116</v>
      </c>
      <c r="P118" s="22" t="s">
        <v>116</v>
      </c>
      <c r="Q118" s="22" t="s">
        <v>116</v>
      </c>
      <c r="R118" s="22" t="s">
        <v>116</v>
      </c>
      <c r="S118" s="22" t="s">
        <v>116</v>
      </c>
      <c r="T118" s="22" t="s">
        <v>116</v>
      </c>
      <c r="U118" s="23" t="s">
        <v>116</v>
      </c>
      <c r="V118" s="4" t="str">
        <f t="shared" si="3"/>
        <v>GI-FR-N1-IT-N1</v>
      </c>
    </row>
    <row r="119" spans="2:156">
      <c r="C119" t="s">
        <v>33</v>
      </c>
      <c r="D119" s="15" t="s">
        <v>47</v>
      </c>
      <c r="E119" s="60" t="s">
        <v>181</v>
      </c>
      <c r="H119" s="95">
        <f>H131</f>
        <v>1.5</v>
      </c>
      <c r="I119" s="22" t="s">
        <v>116</v>
      </c>
      <c r="J119" s="22" t="s">
        <v>116</v>
      </c>
      <c r="K119" s="22" t="s">
        <v>116</v>
      </c>
      <c r="L119" s="22" t="s">
        <v>116</v>
      </c>
      <c r="M119" s="22" t="s">
        <v>116</v>
      </c>
      <c r="N119" s="22" t="s">
        <v>116</v>
      </c>
      <c r="O119" s="22" t="s">
        <v>116</v>
      </c>
      <c r="P119" s="22" t="s">
        <v>116</v>
      </c>
      <c r="Q119" s="22" t="s">
        <v>116</v>
      </c>
      <c r="R119" s="22" t="s">
        <v>116</v>
      </c>
      <c r="S119" s="22" t="s">
        <v>116</v>
      </c>
      <c r="T119" s="22" t="s">
        <v>116</v>
      </c>
      <c r="U119" s="23" t="s">
        <v>116</v>
      </c>
      <c r="V119" s="4" t="str">
        <f t="shared" si="3"/>
        <v>GI-AT-N1-HU-N1</v>
      </c>
    </row>
    <row r="120" spans="2:156">
      <c r="C120" t="s">
        <v>33</v>
      </c>
      <c r="D120" s="15" t="s">
        <v>47</v>
      </c>
      <c r="E120" s="60" t="s">
        <v>181</v>
      </c>
      <c r="H120" s="22" t="s">
        <v>116</v>
      </c>
      <c r="I120" s="22" t="s">
        <v>116</v>
      </c>
      <c r="J120" s="22" t="s">
        <v>116</v>
      </c>
      <c r="K120" s="95">
        <f>I146</f>
        <v>3.1</v>
      </c>
      <c r="L120" s="22" t="s">
        <v>116</v>
      </c>
      <c r="M120" s="22" t="s">
        <v>116</v>
      </c>
      <c r="N120" s="22" t="s">
        <v>116</v>
      </c>
      <c r="O120" s="22" t="s">
        <v>116</v>
      </c>
      <c r="P120" s="22" t="s">
        <v>116</v>
      </c>
      <c r="Q120" s="22" t="s">
        <v>116</v>
      </c>
      <c r="R120" s="22" t="s">
        <v>116</v>
      </c>
      <c r="S120" s="22" t="s">
        <v>116</v>
      </c>
      <c r="T120" s="22" t="s">
        <v>116</v>
      </c>
      <c r="U120" s="23" t="s">
        <v>116</v>
      </c>
      <c r="V120" s="4" t="str">
        <f t="shared" si="3"/>
        <v>GI-DE-N1-PL-N1</v>
      </c>
    </row>
    <row r="121" spans="2:156" ht="13.5" thickBot="1">
      <c r="B121" s="49"/>
      <c r="C121" s="49" t="s">
        <v>33</v>
      </c>
      <c r="D121" s="49" t="s">
        <v>47</v>
      </c>
      <c r="E121" s="59" t="s">
        <v>181</v>
      </c>
      <c r="F121" s="49"/>
      <c r="G121" s="59"/>
      <c r="H121" s="96">
        <f>J132</f>
        <v>2.2000000000000002</v>
      </c>
      <c r="I121" s="70" t="s">
        <v>116</v>
      </c>
      <c r="J121" s="70" t="s">
        <v>116</v>
      </c>
      <c r="K121" s="70" t="s">
        <v>116</v>
      </c>
      <c r="L121" s="70" t="s">
        <v>116</v>
      </c>
      <c r="M121" s="70" t="s">
        <v>116</v>
      </c>
      <c r="N121" s="70" t="s">
        <v>116</v>
      </c>
      <c r="O121" s="70" t="s">
        <v>116</v>
      </c>
      <c r="P121" s="70" t="s">
        <v>116</v>
      </c>
      <c r="Q121" s="70" t="s">
        <v>116</v>
      </c>
      <c r="R121" s="70" t="s">
        <v>116</v>
      </c>
      <c r="S121" s="70" t="s">
        <v>116</v>
      </c>
      <c r="T121" s="70" t="s">
        <v>116</v>
      </c>
      <c r="U121" s="47" t="s">
        <v>116</v>
      </c>
      <c r="V121" s="59" t="str">
        <f t="shared" si="3"/>
        <v>GI-AT-N1-IT-N1</v>
      </c>
      <c r="W121" s="49"/>
    </row>
    <row r="122" spans="2:156" ht="13.5" thickTop="1">
      <c r="D122" s="15"/>
      <c r="K122"/>
    </row>
    <row r="123" spans="2:156">
      <c r="D123" s="15"/>
      <c r="K123"/>
    </row>
    <row r="125" spans="2:156">
      <c r="E125" s="4" t="s">
        <v>4</v>
      </c>
      <c r="F125" t="s">
        <v>124</v>
      </c>
      <c r="G125" s="4" t="s">
        <v>124</v>
      </c>
      <c r="H125" t="s">
        <v>124</v>
      </c>
      <c r="I125" s="4" t="s">
        <v>124</v>
      </c>
      <c r="J125" t="s">
        <v>33</v>
      </c>
      <c r="L125" t="s">
        <v>124</v>
      </c>
      <c r="M125" s="4" t="s">
        <v>124</v>
      </c>
      <c r="N125" t="s">
        <v>124</v>
      </c>
      <c r="O125" t="s">
        <v>124</v>
      </c>
      <c r="P125" t="s">
        <v>124</v>
      </c>
      <c r="Q125" s="4" t="s">
        <v>124</v>
      </c>
      <c r="R125" t="s">
        <v>124</v>
      </c>
      <c r="S125" t="s">
        <v>124</v>
      </c>
      <c r="T125" t="s">
        <v>124</v>
      </c>
      <c r="U125" t="s">
        <v>124</v>
      </c>
      <c r="V125" t="s">
        <v>124</v>
      </c>
      <c r="W125" t="s">
        <v>124</v>
      </c>
      <c r="X125" t="s">
        <v>124</v>
      </c>
      <c r="Y125" t="s">
        <v>124</v>
      </c>
      <c r="Z125" t="s">
        <v>124</v>
      </c>
      <c r="AA125" s="4" t="s">
        <v>124</v>
      </c>
      <c r="AB125" s="4" t="s">
        <v>124</v>
      </c>
      <c r="AC125" t="s">
        <v>124</v>
      </c>
      <c r="AD125" t="s">
        <v>124</v>
      </c>
      <c r="AE125" t="s">
        <v>124</v>
      </c>
      <c r="AF125" t="s">
        <v>124</v>
      </c>
      <c r="AG125" t="s">
        <v>124</v>
      </c>
      <c r="AH125" t="s">
        <v>124</v>
      </c>
      <c r="AI125" t="s">
        <v>124</v>
      </c>
      <c r="AJ125" t="s">
        <v>124</v>
      </c>
      <c r="AK125" t="s">
        <v>124</v>
      </c>
      <c r="AL125" t="s">
        <v>124</v>
      </c>
      <c r="AM125" t="s">
        <v>124</v>
      </c>
      <c r="AN125" t="s">
        <v>124</v>
      </c>
      <c r="AO125" t="s">
        <v>124</v>
      </c>
      <c r="AP125" t="s">
        <v>124</v>
      </c>
      <c r="AQ125" t="s">
        <v>124</v>
      </c>
      <c r="AR125" t="s">
        <v>124</v>
      </c>
      <c r="AS125" t="s">
        <v>124</v>
      </c>
      <c r="AT125" t="s">
        <v>124</v>
      </c>
      <c r="AU125" t="s">
        <v>124</v>
      </c>
      <c r="AV125" t="s">
        <v>124</v>
      </c>
      <c r="AW125" t="s">
        <v>124</v>
      </c>
      <c r="AX125" t="s">
        <v>124</v>
      </c>
      <c r="AY125" t="s">
        <v>124</v>
      </c>
      <c r="AZ125" t="s">
        <v>124</v>
      </c>
      <c r="BA125" t="s">
        <v>124</v>
      </c>
      <c r="BB125" t="s">
        <v>124</v>
      </c>
      <c r="BC125" t="s">
        <v>124</v>
      </c>
      <c r="BD125" t="s">
        <v>124</v>
      </c>
      <c r="BE125" t="s">
        <v>124</v>
      </c>
      <c r="BF125" t="s">
        <v>124</v>
      </c>
      <c r="BG125" t="s">
        <v>124</v>
      </c>
      <c r="BH125" t="s">
        <v>124</v>
      </c>
      <c r="BI125" t="s">
        <v>124</v>
      </c>
      <c r="BJ125" t="s">
        <v>124</v>
      </c>
      <c r="BK125" t="s">
        <v>124</v>
      </c>
      <c r="BL125" t="s">
        <v>124</v>
      </c>
      <c r="BM125" t="s">
        <v>124</v>
      </c>
      <c r="BN125" t="s">
        <v>124</v>
      </c>
      <c r="BO125" t="s">
        <v>124</v>
      </c>
      <c r="BP125" t="s">
        <v>124</v>
      </c>
      <c r="BQ125" t="s">
        <v>124</v>
      </c>
      <c r="BR125" t="s">
        <v>124</v>
      </c>
      <c r="BS125" t="s">
        <v>124</v>
      </c>
      <c r="BT125" t="s">
        <v>124</v>
      </c>
      <c r="BU125" t="s">
        <v>124</v>
      </c>
      <c r="BV125" t="s">
        <v>124</v>
      </c>
      <c r="BW125" t="s">
        <v>124</v>
      </c>
      <c r="BX125" t="s">
        <v>124</v>
      </c>
      <c r="BY125" t="s">
        <v>124</v>
      </c>
      <c r="BZ125" t="s">
        <v>124</v>
      </c>
      <c r="CA125" t="s">
        <v>124</v>
      </c>
      <c r="CB125" t="s">
        <v>124</v>
      </c>
      <c r="CC125" t="s">
        <v>124</v>
      </c>
      <c r="CD125" t="s">
        <v>124</v>
      </c>
      <c r="CE125" t="s">
        <v>124</v>
      </c>
      <c r="CF125" t="s">
        <v>124</v>
      </c>
      <c r="CG125" t="s">
        <v>124</v>
      </c>
      <c r="CH125" t="s">
        <v>124</v>
      </c>
      <c r="CI125" t="s">
        <v>124</v>
      </c>
      <c r="CJ125" t="s">
        <v>124</v>
      </c>
      <c r="CK125" t="s">
        <v>124</v>
      </c>
      <c r="CL125" t="s">
        <v>124</v>
      </c>
      <c r="CM125" t="s">
        <v>124</v>
      </c>
      <c r="CN125" t="s">
        <v>124</v>
      </c>
      <c r="CO125" t="s">
        <v>124</v>
      </c>
      <c r="CP125" t="s">
        <v>124</v>
      </c>
      <c r="CQ125" t="s">
        <v>124</v>
      </c>
      <c r="CR125" t="s">
        <v>124</v>
      </c>
      <c r="CS125" t="s">
        <v>124</v>
      </c>
      <c r="CT125" t="s">
        <v>124</v>
      </c>
      <c r="CU125" t="s">
        <v>124</v>
      </c>
      <c r="CV125" t="s">
        <v>124</v>
      </c>
      <c r="CW125" t="s">
        <v>124</v>
      </c>
      <c r="CX125" t="s">
        <v>124</v>
      </c>
      <c r="CY125" t="s">
        <v>124</v>
      </c>
      <c r="CZ125" t="s">
        <v>124</v>
      </c>
      <c r="DA125" t="s">
        <v>124</v>
      </c>
      <c r="DB125" t="s">
        <v>124</v>
      </c>
      <c r="DC125" t="s">
        <v>124</v>
      </c>
      <c r="DD125" t="s">
        <v>124</v>
      </c>
      <c r="DE125" t="s">
        <v>124</v>
      </c>
      <c r="DF125" t="s">
        <v>124</v>
      </c>
      <c r="DG125" t="s">
        <v>124</v>
      </c>
      <c r="DH125" t="s">
        <v>124</v>
      </c>
      <c r="DI125" t="s">
        <v>124</v>
      </c>
      <c r="DJ125" t="s">
        <v>124</v>
      </c>
      <c r="DK125" t="s">
        <v>124</v>
      </c>
      <c r="DL125" t="s">
        <v>124</v>
      </c>
      <c r="DM125" t="s">
        <v>124</v>
      </c>
      <c r="DN125" t="s">
        <v>124</v>
      </c>
      <c r="DO125" t="s">
        <v>124</v>
      </c>
      <c r="DP125" t="s">
        <v>124</v>
      </c>
      <c r="DQ125" t="s">
        <v>124</v>
      </c>
      <c r="DR125" t="s">
        <v>124</v>
      </c>
      <c r="DS125" t="s">
        <v>124</v>
      </c>
      <c r="DT125" t="s">
        <v>124</v>
      </c>
      <c r="DU125" t="s">
        <v>124</v>
      </c>
      <c r="DV125" t="s">
        <v>124</v>
      </c>
      <c r="DW125" t="s">
        <v>124</v>
      </c>
      <c r="DX125" t="s">
        <v>33</v>
      </c>
      <c r="DY125" t="s">
        <v>33</v>
      </c>
      <c r="DZ125" t="s">
        <v>33</v>
      </c>
      <c r="EA125" t="s">
        <v>33</v>
      </c>
      <c r="EB125" t="s">
        <v>33</v>
      </c>
      <c r="EC125" t="s">
        <v>33</v>
      </c>
      <c r="ED125" t="s">
        <v>33</v>
      </c>
      <c r="EE125" t="s">
        <v>33</v>
      </c>
      <c r="EF125" t="s">
        <v>33</v>
      </c>
      <c r="EG125" t="s">
        <v>33</v>
      </c>
      <c r="EH125" t="s">
        <v>33</v>
      </c>
      <c r="EI125" t="s">
        <v>33</v>
      </c>
      <c r="EJ125" t="s">
        <v>33</v>
      </c>
      <c r="EK125" t="s">
        <v>33</v>
      </c>
      <c r="EL125" t="s">
        <v>33</v>
      </c>
      <c r="EM125" t="s">
        <v>33</v>
      </c>
      <c r="EN125" t="s">
        <v>33</v>
      </c>
      <c r="EO125" t="s">
        <v>33</v>
      </c>
      <c r="EP125" t="s">
        <v>33</v>
      </c>
      <c r="EQ125" t="s">
        <v>33</v>
      </c>
      <c r="ER125" t="s">
        <v>33</v>
      </c>
      <c r="ES125" t="s">
        <v>33</v>
      </c>
      <c r="ET125" t="s">
        <v>33</v>
      </c>
      <c r="EU125" t="s">
        <v>33</v>
      </c>
      <c r="EV125" t="s">
        <v>33</v>
      </c>
      <c r="EW125" t="s">
        <v>33</v>
      </c>
      <c r="EX125" t="s">
        <v>33</v>
      </c>
      <c r="EY125" t="s">
        <v>33</v>
      </c>
      <c r="EZ125" t="s">
        <v>33</v>
      </c>
    </row>
    <row r="126" spans="2:156">
      <c r="E126" s="4" t="s">
        <v>6</v>
      </c>
      <c r="F126">
        <v>2005</v>
      </c>
      <c r="G126" s="4">
        <v>2010</v>
      </c>
      <c r="H126">
        <v>2015</v>
      </c>
      <c r="I126" s="4">
        <v>2020</v>
      </c>
      <c r="J126">
        <v>2025</v>
      </c>
      <c r="L126">
        <v>2005</v>
      </c>
      <c r="M126" s="4">
        <v>2005</v>
      </c>
      <c r="N126">
        <v>2005</v>
      </c>
      <c r="O126">
        <v>2005</v>
      </c>
      <c r="P126">
        <v>2005</v>
      </c>
      <c r="Q126" s="4">
        <v>2005</v>
      </c>
      <c r="R126">
        <v>2005</v>
      </c>
      <c r="S126">
        <v>2005</v>
      </c>
      <c r="T126">
        <v>2005</v>
      </c>
      <c r="U126">
        <v>2005</v>
      </c>
      <c r="V126">
        <v>2005</v>
      </c>
      <c r="W126">
        <v>2005</v>
      </c>
      <c r="X126">
        <v>2005</v>
      </c>
      <c r="Y126">
        <v>2005</v>
      </c>
      <c r="Z126">
        <v>2005</v>
      </c>
      <c r="AA126" s="4">
        <v>2005</v>
      </c>
      <c r="AB126" s="4">
        <v>2005</v>
      </c>
      <c r="AC126">
        <v>2005</v>
      </c>
      <c r="AD126">
        <v>2005</v>
      </c>
      <c r="AE126">
        <v>2005</v>
      </c>
      <c r="AF126">
        <v>2005</v>
      </c>
      <c r="AG126">
        <v>2005</v>
      </c>
      <c r="AH126">
        <v>2005</v>
      </c>
      <c r="AI126">
        <v>2005</v>
      </c>
      <c r="AJ126">
        <v>2005</v>
      </c>
      <c r="AK126">
        <v>2005</v>
      </c>
      <c r="AL126">
        <v>2005</v>
      </c>
      <c r="AM126">
        <v>2005</v>
      </c>
      <c r="AN126">
        <v>2005</v>
      </c>
      <c r="AO126">
        <v>2010</v>
      </c>
      <c r="AP126">
        <v>2010</v>
      </c>
      <c r="AQ126">
        <v>2010</v>
      </c>
      <c r="AR126">
        <v>2010</v>
      </c>
      <c r="AS126">
        <v>2010</v>
      </c>
      <c r="AT126">
        <v>2010</v>
      </c>
      <c r="AU126">
        <v>2010</v>
      </c>
      <c r="AV126">
        <v>2010</v>
      </c>
      <c r="AW126">
        <v>2010</v>
      </c>
      <c r="AX126">
        <v>2010</v>
      </c>
      <c r="AY126">
        <v>2010</v>
      </c>
      <c r="AZ126">
        <v>2010</v>
      </c>
      <c r="BA126">
        <v>2010</v>
      </c>
      <c r="BB126">
        <v>2010</v>
      </c>
      <c r="BC126">
        <v>2010</v>
      </c>
      <c r="BD126">
        <v>2010</v>
      </c>
      <c r="BE126">
        <v>2010</v>
      </c>
      <c r="BF126">
        <v>2010</v>
      </c>
      <c r="BG126">
        <v>2010</v>
      </c>
      <c r="BH126">
        <v>2010</v>
      </c>
      <c r="BI126">
        <v>2010</v>
      </c>
      <c r="BJ126">
        <v>2010</v>
      </c>
      <c r="BK126">
        <v>2010</v>
      </c>
      <c r="BL126">
        <v>2010</v>
      </c>
      <c r="BM126">
        <v>2010</v>
      </c>
      <c r="BN126">
        <v>2010</v>
      </c>
      <c r="BO126">
        <v>2010</v>
      </c>
      <c r="BP126">
        <v>2010</v>
      </c>
      <c r="BQ126">
        <v>2010</v>
      </c>
      <c r="BR126">
        <v>2015</v>
      </c>
      <c r="BS126">
        <v>2015</v>
      </c>
      <c r="BT126">
        <v>2015</v>
      </c>
      <c r="BU126">
        <v>2015</v>
      </c>
      <c r="BV126">
        <v>2015</v>
      </c>
      <c r="BW126">
        <v>2015</v>
      </c>
      <c r="BX126">
        <v>2015</v>
      </c>
      <c r="BY126">
        <v>2015</v>
      </c>
      <c r="BZ126">
        <v>2015</v>
      </c>
      <c r="CA126">
        <v>2015</v>
      </c>
      <c r="CB126">
        <v>2015</v>
      </c>
      <c r="CC126">
        <v>2015</v>
      </c>
      <c r="CD126">
        <v>2015</v>
      </c>
      <c r="CE126">
        <v>2015</v>
      </c>
      <c r="CF126">
        <v>2015</v>
      </c>
      <c r="CG126">
        <v>2015</v>
      </c>
      <c r="CH126">
        <v>2015</v>
      </c>
      <c r="CI126">
        <v>2015</v>
      </c>
      <c r="CJ126">
        <v>2015</v>
      </c>
      <c r="CK126">
        <v>2015</v>
      </c>
      <c r="CL126">
        <v>2015</v>
      </c>
      <c r="CM126">
        <v>2015</v>
      </c>
      <c r="CN126">
        <v>2015</v>
      </c>
      <c r="CO126">
        <v>2015</v>
      </c>
      <c r="CP126">
        <v>2015</v>
      </c>
      <c r="CQ126">
        <v>2015</v>
      </c>
      <c r="CR126">
        <v>2015</v>
      </c>
      <c r="CS126">
        <v>2015</v>
      </c>
      <c r="CT126">
        <v>2015</v>
      </c>
      <c r="CU126">
        <v>2020</v>
      </c>
      <c r="CV126">
        <v>2020</v>
      </c>
      <c r="CW126">
        <v>2020</v>
      </c>
      <c r="CX126">
        <v>2020</v>
      </c>
      <c r="CY126">
        <v>2020</v>
      </c>
      <c r="CZ126">
        <v>2020</v>
      </c>
      <c r="DA126">
        <v>2020</v>
      </c>
      <c r="DB126">
        <v>2020</v>
      </c>
      <c r="DC126">
        <v>2020</v>
      </c>
      <c r="DD126">
        <v>2020</v>
      </c>
      <c r="DE126">
        <v>2020</v>
      </c>
      <c r="DF126">
        <v>2020</v>
      </c>
      <c r="DG126">
        <v>2020</v>
      </c>
      <c r="DH126">
        <v>2020</v>
      </c>
      <c r="DI126">
        <v>2020</v>
      </c>
      <c r="DJ126">
        <v>2020</v>
      </c>
      <c r="DK126">
        <v>2020</v>
      </c>
      <c r="DL126">
        <v>2020</v>
      </c>
      <c r="DM126">
        <v>2020</v>
      </c>
      <c r="DN126">
        <v>2020</v>
      </c>
      <c r="DO126">
        <v>2020</v>
      </c>
      <c r="DP126">
        <v>2020</v>
      </c>
      <c r="DQ126">
        <v>2020</v>
      </c>
      <c r="DR126">
        <v>2020</v>
      </c>
      <c r="DS126">
        <v>2020</v>
      </c>
      <c r="DT126">
        <v>2020</v>
      </c>
      <c r="DU126">
        <v>2020</v>
      </c>
      <c r="DV126">
        <v>2020</v>
      </c>
      <c r="DW126">
        <v>2020</v>
      </c>
      <c r="DX126">
        <v>2025</v>
      </c>
      <c r="DY126">
        <v>2025</v>
      </c>
      <c r="DZ126">
        <v>2025</v>
      </c>
      <c r="EA126">
        <v>2025</v>
      </c>
      <c r="EB126">
        <v>2025</v>
      </c>
      <c r="EC126">
        <v>2025</v>
      </c>
      <c r="ED126">
        <v>2025</v>
      </c>
      <c r="EE126">
        <v>2025</v>
      </c>
      <c r="EF126">
        <v>2025</v>
      </c>
      <c r="EG126">
        <v>2025</v>
      </c>
      <c r="EH126">
        <v>2025</v>
      </c>
      <c r="EI126">
        <v>2025</v>
      </c>
      <c r="EJ126">
        <v>2025</v>
      </c>
      <c r="EK126">
        <v>2025</v>
      </c>
      <c r="EL126">
        <v>2025</v>
      </c>
      <c r="EM126">
        <v>2025</v>
      </c>
      <c r="EN126">
        <v>2025</v>
      </c>
      <c r="EO126">
        <v>2025</v>
      </c>
      <c r="EP126">
        <v>2025</v>
      </c>
      <c r="EQ126">
        <v>2025</v>
      </c>
      <c r="ER126">
        <v>2025</v>
      </c>
      <c r="ES126">
        <v>2025</v>
      </c>
      <c r="ET126">
        <v>2025</v>
      </c>
      <c r="EU126">
        <v>2025</v>
      </c>
      <c r="EV126">
        <v>2025</v>
      </c>
      <c r="EW126">
        <v>2025</v>
      </c>
      <c r="EX126">
        <v>2025</v>
      </c>
      <c r="EY126">
        <v>2025</v>
      </c>
      <c r="EZ126">
        <v>2025</v>
      </c>
    </row>
    <row r="127" spans="2:156">
      <c r="D127" t="s">
        <v>5</v>
      </c>
      <c r="E127" s="4" t="s">
        <v>180</v>
      </c>
      <c r="L127" t="s">
        <v>76</v>
      </c>
      <c r="M127" s="4" t="s">
        <v>77</v>
      </c>
      <c r="N127" t="s">
        <v>151</v>
      </c>
      <c r="O127" t="s">
        <v>78</v>
      </c>
      <c r="P127" t="s">
        <v>85</v>
      </c>
      <c r="Q127" s="4" t="s">
        <v>79</v>
      </c>
      <c r="R127" t="s">
        <v>160</v>
      </c>
      <c r="S127" t="s">
        <v>167</v>
      </c>
      <c r="T127" t="s">
        <v>170</v>
      </c>
      <c r="U127" t="s">
        <v>168</v>
      </c>
      <c r="V127" t="s">
        <v>80</v>
      </c>
      <c r="W127" t="s">
        <v>152</v>
      </c>
      <c r="X127" t="s">
        <v>87</v>
      </c>
      <c r="Y127" t="s">
        <v>172</v>
      </c>
      <c r="Z127" t="s">
        <v>175</v>
      </c>
      <c r="AA127" s="4" t="s">
        <v>86</v>
      </c>
      <c r="AB127" s="4" t="s">
        <v>178</v>
      </c>
      <c r="AC127" t="s">
        <v>96</v>
      </c>
      <c r="AD127" t="s">
        <v>169</v>
      </c>
      <c r="AE127" t="s">
        <v>176</v>
      </c>
      <c r="AF127" t="s">
        <v>81</v>
      </c>
      <c r="AG127" t="s">
        <v>164</v>
      </c>
      <c r="AH127" t="s">
        <v>82</v>
      </c>
      <c r="AI127" t="s">
        <v>171</v>
      </c>
      <c r="AJ127" t="s">
        <v>153</v>
      </c>
      <c r="AK127" t="s">
        <v>166</v>
      </c>
      <c r="AL127" t="s">
        <v>83</v>
      </c>
      <c r="AM127" t="s">
        <v>84</v>
      </c>
      <c r="AN127" t="s">
        <v>150</v>
      </c>
      <c r="AO127" t="s">
        <v>76</v>
      </c>
      <c r="AP127" t="s">
        <v>77</v>
      </c>
      <c r="AQ127" t="s">
        <v>151</v>
      </c>
      <c r="AR127" t="s">
        <v>78</v>
      </c>
      <c r="AS127" t="s">
        <v>85</v>
      </c>
      <c r="AT127" t="s">
        <v>79</v>
      </c>
      <c r="AU127" t="s">
        <v>160</v>
      </c>
      <c r="AV127" t="s">
        <v>167</v>
      </c>
      <c r="AW127" t="s">
        <v>170</v>
      </c>
      <c r="AX127" t="s">
        <v>168</v>
      </c>
      <c r="AY127" t="s">
        <v>80</v>
      </c>
      <c r="AZ127" t="s">
        <v>152</v>
      </c>
      <c r="BA127" t="s">
        <v>87</v>
      </c>
      <c r="BB127" t="s">
        <v>172</v>
      </c>
      <c r="BC127" t="s">
        <v>175</v>
      </c>
      <c r="BD127" t="s">
        <v>86</v>
      </c>
      <c r="BE127" t="s">
        <v>178</v>
      </c>
      <c r="BF127" t="s">
        <v>96</v>
      </c>
      <c r="BG127" t="s">
        <v>169</v>
      </c>
      <c r="BH127" t="s">
        <v>176</v>
      </c>
      <c r="BI127" t="s">
        <v>81</v>
      </c>
      <c r="BJ127" t="s">
        <v>164</v>
      </c>
      <c r="BK127" t="s">
        <v>82</v>
      </c>
      <c r="BL127" t="s">
        <v>171</v>
      </c>
      <c r="BM127" t="s">
        <v>153</v>
      </c>
      <c r="BN127" t="s">
        <v>166</v>
      </c>
      <c r="BO127" t="s">
        <v>83</v>
      </c>
      <c r="BP127" t="s">
        <v>84</v>
      </c>
      <c r="BQ127" t="s">
        <v>150</v>
      </c>
      <c r="BR127" t="s">
        <v>76</v>
      </c>
      <c r="BS127" t="s">
        <v>77</v>
      </c>
      <c r="BT127" t="s">
        <v>151</v>
      </c>
      <c r="BU127" t="s">
        <v>78</v>
      </c>
      <c r="BV127" t="s">
        <v>85</v>
      </c>
      <c r="BW127" t="s">
        <v>79</v>
      </c>
      <c r="BX127" t="s">
        <v>160</v>
      </c>
      <c r="BY127" t="s">
        <v>167</v>
      </c>
      <c r="BZ127" t="s">
        <v>170</v>
      </c>
      <c r="CA127" t="s">
        <v>168</v>
      </c>
      <c r="CB127" t="s">
        <v>80</v>
      </c>
      <c r="CC127" t="s">
        <v>152</v>
      </c>
      <c r="CD127" t="s">
        <v>87</v>
      </c>
      <c r="CE127" t="s">
        <v>172</v>
      </c>
      <c r="CF127" t="s">
        <v>175</v>
      </c>
      <c r="CG127" t="s">
        <v>86</v>
      </c>
      <c r="CH127" t="s">
        <v>178</v>
      </c>
      <c r="CI127" t="s">
        <v>96</v>
      </c>
      <c r="CJ127" t="s">
        <v>169</v>
      </c>
      <c r="CK127" t="s">
        <v>176</v>
      </c>
      <c r="CL127" t="s">
        <v>81</v>
      </c>
      <c r="CM127" t="s">
        <v>164</v>
      </c>
      <c r="CN127" t="s">
        <v>82</v>
      </c>
      <c r="CO127" t="s">
        <v>171</v>
      </c>
      <c r="CP127" t="s">
        <v>153</v>
      </c>
      <c r="CQ127" t="s">
        <v>166</v>
      </c>
      <c r="CR127" t="s">
        <v>83</v>
      </c>
      <c r="CS127" t="s">
        <v>84</v>
      </c>
      <c r="CT127" t="s">
        <v>150</v>
      </c>
      <c r="CU127" t="s">
        <v>76</v>
      </c>
      <c r="CV127" t="s">
        <v>77</v>
      </c>
      <c r="CW127" t="s">
        <v>151</v>
      </c>
      <c r="CX127" t="s">
        <v>78</v>
      </c>
      <c r="CY127" t="s">
        <v>85</v>
      </c>
      <c r="CZ127" t="s">
        <v>79</v>
      </c>
      <c r="DA127" t="s">
        <v>160</v>
      </c>
      <c r="DB127" t="s">
        <v>167</v>
      </c>
      <c r="DC127" t="s">
        <v>170</v>
      </c>
      <c r="DD127" t="s">
        <v>168</v>
      </c>
      <c r="DE127" t="s">
        <v>80</v>
      </c>
      <c r="DF127" t="s">
        <v>152</v>
      </c>
      <c r="DG127" t="s">
        <v>87</v>
      </c>
      <c r="DH127" t="s">
        <v>172</v>
      </c>
      <c r="DI127" t="s">
        <v>175</v>
      </c>
      <c r="DJ127" t="s">
        <v>86</v>
      </c>
      <c r="DK127" t="s">
        <v>178</v>
      </c>
      <c r="DL127" t="s">
        <v>96</v>
      </c>
      <c r="DM127" t="s">
        <v>169</v>
      </c>
      <c r="DN127" t="s">
        <v>176</v>
      </c>
      <c r="DO127" t="s">
        <v>81</v>
      </c>
      <c r="DP127" t="s">
        <v>164</v>
      </c>
      <c r="DQ127" t="s">
        <v>82</v>
      </c>
      <c r="DR127" t="s">
        <v>171</v>
      </c>
      <c r="DS127" t="s">
        <v>153</v>
      </c>
      <c r="DT127" t="s">
        <v>166</v>
      </c>
      <c r="DU127" t="s">
        <v>83</v>
      </c>
      <c r="DV127" t="s">
        <v>84</v>
      </c>
      <c r="DW127" t="s">
        <v>150</v>
      </c>
      <c r="DX127" t="s">
        <v>76</v>
      </c>
      <c r="DY127" t="s">
        <v>77</v>
      </c>
      <c r="DZ127" t="s">
        <v>151</v>
      </c>
      <c r="EA127" t="s">
        <v>78</v>
      </c>
      <c r="EB127" t="s">
        <v>85</v>
      </c>
      <c r="EC127" t="s">
        <v>79</v>
      </c>
      <c r="ED127" t="s">
        <v>160</v>
      </c>
      <c r="EE127" t="s">
        <v>167</v>
      </c>
      <c r="EF127" t="s">
        <v>170</v>
      </c>
      <c r="EG127" t="s">
        <v>168</v>
      </c>
      <c r="EH127" t="s">
        <v>80</v>
      </c>
      <c r="EI127" t="s">
        <v>152</v>
      </c>
      <c r="EJ127" t="s">
        <v>87</v>
      </c>
      <c r="EK127" t="s">
        <v>172</v>
      </c>
      <c r="EL127" t="s">
        <v>175</v>
      </c>
      <c r="EM127" t="s">
        <v>86</v>
      </c>
      <c r="EN127" t="s">
        <v>178</v>
      </c>
      <c r="EO127" t="s">
        <v>96</v>
      </c>
      <c r="EP127" t="s">
        <v>169</v>
      </c>
      <c r="EQ127" t="s">
        <v>176</v>
      </c>
      <c r="ER127" t="s">
        <v>81</v>
      </c>
      <c r="ES127" t="s">
        <v>164</v>
      </c>
      <c r="ET127" t="s">
        <v>82</v>
      </c>
      <c r="EU127" t="s">
        <v>171</v>
      </c>
      <c r="EV127" t="s">
        <v>153</v>
      </c>
      <c r="EW127" t="s">
        <v>166</v>
      </c>
      <c r="EX127" t="s">
        <v>83</v>
      </c>
      <c r="EY127" t="s">
        <v>84</v>
      </c>
      <c r="EZ127" t="s">
        <v>150</v>
      </c>
    </row>
    <row r="128" spans="2:156">
      <c r="D128" t="s">
        <v>47</v>
      </c>
      <c r="E128" s="18" t="s">
        <v>141</v>
      </c>
      <c r="F128" s="94">
        <f t="shared" ref="F128:F150" si="4">MAX(L128:AN128)</f>
        <v>1.2</v>
      </c>
      <c r="G128" s="94">
        <f t="shared" ref="G128:G150" si="5">MAX(AO128:BQ128)</f>
        <v>1.2</v>
      </c>
      <c r="H128" s="94">
        <f t="shared" ref="H128:H150" si="6">MAX(BR128:CT128)</f>
        <v>1.2</v>
      </c>
      <c r="I128" s="94">
        <f t="shared" ref="I128:I150" si="7">MAX(CU128:DW128)</f>
        <v>1.4</v>
      </c>
      <c r="J128" s="94">
        <f t="shared" ref="J128:J150" si="8">MAX(DX128:EZ128)</f>
        <v>1.4</v>
      </c>
      <c r="L128">
        <v>1.2</v>
      </c>
      <c r="M128" s="4"/>
      <c r="O128">
        <v>1.2</v>
      </c>
      <c r="Q128" s="4"/>
      <c r="U128"/>
      <c r="V128"/>
      <c r="AA128" s="4"/>
      <c r="AB128" s="4"/>
      <c r="AO128">
        <v>1.2</v>
      </c>
      <c r="AR128">
        <v>1.2</v>
      </c>
      <c r="BR128">
        <v>1.2</v>
      </c>
      <c r="BU128">
        <v>1.2</v>
      </c>
      <c r="CU128">
        <v>1.4</v>
      </c>
      <c r="CX128">
        <v>1.4</v>
      </c>
      <c r="DX128">
        <v>1.4</v>
      </c>
      <c r="EA128">
        <v>1.4</v>
      </c>
    </row>
    <row r="129" spans="4:155">
      <c r="D129" t="s">
        <v>47</v>
      </c>
      <c r="E129" s="18" t="s">
        <v>142</v>
      </c>
      <c r="F129" s="94">
        <f t="shared" si="4"/>
        <v>0.7</v>
      </c>
      <c r="G129" s="94">
        <f t="shared" si="5"/>
        <v>2.1800000000000002</v>
      </c>
      <c r="H129" s="94">
        <f t="shared" si="6"/>
        <v>2.1800000000000002</v>
      </c>
      <c r="I129" s="94">
        <f t="shared" si="7"/>
        <v>2.1800000000000002</v>
      </c>
      <c r="J129" s="94">
        <f t="shared" si="8"/>
        <v>2.1800000000000002</v>
      </c>
      <c r="L129">
        <v>0.6</v>
      </c>
      <c r="M129" s="4"/>
      <c r="P129">
        <v>0.7</v>
      </c>
      <c r="Q129" s="4"/>
      <c r="U129"/>
      <c r="V129"/>
      <c r="AA129" s="4"/>
      <c r="AB129" s="4"/>
      <c r="AO129">
        <v>1.2</v>
      </c>
      <c r="AS129">
        <v>2.1800000000000002</v>
      </c>
      <c r="BR129">
        <v>1.2</v>
      </c>
      <c r="BV129">
        <v>2.1800000000000002</v>
      </c>
      <c r="CU129">
        <v>1.2</v>
      </c>
      <c r="CY129">
        <v>2.1800000000000002</v>
      </c>
      <c r="DX129">
        <v>1.2</v>
      </c>
      <c r="EB129">
        <v>2.1800000000000002</v>
      </c>
    </row>
    <row r="130" spans="4:155">
      <c r="D130" t="s">
        <v>47</v>
      </c>
      <c r="E130" s="18" t="s">
        <v>143</v>
      </c>
      <c r="F130" s="94">
        <f t="shared" si="4"/>
        <v>1.6</v>
      </c>
      <c r="G130" s="94">
        <f t="shared" si="5"/>
        <v>2.2000000000000002</v>
      </c>
      <c r="H130" s="94">
        <f t="shared" si="6"/>
        <v>2.2000000000000002</v>
      </c>
      <c r="I130" s="94">
        <f t="shared" si="7"/>
        <v>6.88</v>
      </c>
      <c r="J130" s="94">
        <f t="shared" si="8"/>
        <v>6.88</v>
      </c>
      <c r="L130">
        <v>1.4</v>
      </c>
      <c r="M130" s="4"/>
      <c r="Q130" s="4">
        <v>1.6</v>
      </c>
      <c r="U130"/>
      <c r="V130"/>
      <c r="AA130" s="4"/>
      <c r="AB130" s="4"/>
      <c r="AO130">
        <v>2</v>
      </c>
      <c r="AT130">
        <v>2.2000000000000002</v>
      </c>
      <c r="BR130">
        <v>2</v>
      </c>
      <c r="BW130">
        <v>2.2000000000000002</v>
      </c>
      <c r="CU130">
        <v>6.88</v>
      </c>
      <c r="CZ130">
        <v>6.88</v>
      </c>
      <c r="DX130">
        <v>6.88</v>
      </c>
      <c r="EC130">
        <v>6.88</v>
      </c>
    </row>
    <row r="131" spans="4:155">
      <c r="D131" t="s">
        <v>47</v>
      </c>
      <c r="E131" s="18" t="s">
        <v>144</v>
      </c>
      <c r="F131" s="94">
        <f t="shared" si="4"/>
        <v>0.5</v>
      </c>
      <c r="G131" s="94">
        <f t="shared" si="5"/>
        <v>0.8</v>
      </c>
      <c r="H131" s="94">
        <f t="shared" si="6"/>
        <v>1.5</v>
      </c>
      <c r="I131" s="94">
        <f t="shared" si="7"/>
        <v>1.5</v>
      </c>
      <c r="J131" s="94">
        <f t="shared" si="8"/>
        <v>1.5</v>
      </c>
      <c r="L131">
        <v>0.5</v>
      </c>
      <c r="M131" s="4"/>
      <c r="Q131" s="4"/>
      <c r="U131"/>
      <c r="V131"/>
      <c r="X131">
        <v>0.5</v>
      </c>
      <c r="AA131" s="4"/>
      <c r="AB131" s="4"/>
      <c r="AO131">
        <v>0.7</v>
      </c>
      <c r="BA131">
        <v>0.8</v>
      </c>
      <c r="BR131">
        <v>1.5</v>
      </c>
      <c r="CD131">
        <v>1.2</v>
      </c>
      <c r="CU131">
        <v>1.5</v>
      </c>
      <c r="DG131">
        <v>1.2</v>
      </c>
      <c r="DX131">
        <v>1.5</v>
      </c>
      <c r="EJ131">
        <v>1.2</v>
      </c>
    </row>
    <row r="132" spans="4:155">
      <c r="D132" t="s">
        <v>47</v>
      </c>
      <c r="E132" s="18" t="s">
        <v>145</v>
      </c>
      <c r="F132" s="94">
        <f t="shared" si="4"/>
        <v>0.22</v>
      </c>
      <c r="G132" s="94">
        <f t="shared" si="5"/>
        <v>0.28499999999999998</v>
      </c>
      <c r="H132" s="94">
        <f t="shared" si="6"/>
        <v>0.3</v>
      </c>
      <c r="I132" s="94">
        <f t="shared" si="7"/>
        <v>0.3</v>
      </c>
      <c r="J132" s="94">
        <f t="shared" si="8"/>
        <v>2.2000000000000002</v>
      </c>
      <c r="L132">
        <v>0.22</v>
      </c>
      <c r="M132" s="4"/>
      <c r="Q132" s="4"/>
      <c r="U132"/>
      <c r="V132"/>
      <c r="AA132" s="4">
        <v>0</v>
      </c>
      <c r="AB132" s="4"/>
      <c r="AO132">
        <v>0.22</v>
      </c>
      <c r="BD132">
        <v>0.28499999999999998</v>
      </c>
      <c r="BR132">
        <v>0.3</v>
      </c>
      <c r="CG132">
        <v>0.28499999999999998</v>
      </c>
      <c r="CU132">
        <v>0.3</v>
      </c>
      <c r="DJ132">
        <v>0.3</v>
      </c>
      <c r="DX132">
        <v>2.2000000000000002</v>
      </c>
      <c r="EM132">
        <v>2.2000000000000002</v>
      </c>
    </row>
    <row r="133" spans="4:155">
      <c r="D133" t="s">
        <v>47</v>
      </c>
      <c r="E133" s="18" t="s">
        <v>146</v>
      </c>
      <c r="F133" s="94">
        <f t="shared" si="4"/>
        <v>0.65</v>
      </c>
      <c r="G133" s="94">
        <f t="shared" si="5"/>
        <v>0.9</v>
      </c>
      <c r="H133" s="94">
        <f t="shared" si="6"/>
        <v>0.9</v>
      </c>
      <c r="I133" s="94">
        <f t="shared" si="7"/>
        <v>1.2</v>
      </c>
      <c r="J133" s="94">
        <f t="shared" si="8"/>
        <v>1.2</v>
      </c>
      <c r="L133">
        <v>0.45</v>
      </c>
      <c r="M133" s="4"/>
      <c r="Q133" s="4"/>
      <c r="U133"/>
      <c r="V133"/>
      <c r="AA133" s="4"/>
      <c r="AB133" s="4"/>
      <c r="AL133">
        <v>0.65</v>
      </c>
      <c r="AO133">
        <v>0.9</v>
      </c>
      <c r="BO133">
        <v>0.9</v>
      </c>
      <c r="BR133">
        <v>0.9</v>
      </c>
      <c r="CR133">
        <v>0.9</v>
      </c>
      <c r="CU133">
        <v>1.2</v>
      </c>
      <c r="DU133">
        <v>1.2</v>
      </c>
      <c r="DX133">
        <v>1.2</v>
      </c>
      <c r="EX133">
        <v>1.2</v>
      </c>
    </row>
    <row r="134" spans="4:155">
      <c r="D134" t="s">
        <v>47</v>
      </c>
      <c r="E134" s="18" t="s">
        <v>147</v>
      </c>
      <c r="F134" s="94">
        <f t="shared" si="4"/>
        <v>3.2</v>
      </c>
      <c r="G134" s="94">
        <f t="shared" si="5"/>
        <v>3.4</v>
      </c>
      <c r="H134" s="94">
        <f t="shared" si="6"/>
        <v>3.7</v>
      </c>
      <c r="I134" s="94">
        <f t="shared" si="7"/>
        <v>3.7</v>
      </c>
      <c r="J134" s="94">
        <f t="shared" si="8"/>
        <v>3.7</v>
      </c>
      <c r="M134" s="4">
        <v>2.65</v>
      </c>
      <c r="Q134" s="4"/>
      <c r="U134"/>
      <c r="V134">
        <v>3.2</v>
      </c>
      <c r="AA134" s="4"/>
      <c r="AB134" s="4"/>
      <c r="AP134">
        <v>2.65</v>
      </c>
      <c r="AY134">
        <v>3.4</v>
      </c>
      <c r="BS134">
        <v>2.8</v>
      </c>
      <c r="CB134">
        <v>3.7</v>
      </c>
      <c r="CV134">
        <v>2.8</v>
      </c>
      <c r="DE134">
        <v>3.7</v>
      </c>
      <c r="DY134">
        <v>2.8</v>
      </c>
      <c r="EH134">
        <v>3.7</v>
      </c>
    </row>
    <row r="135" spans="4:155">
      <c r="D135" t="s">
        <v>47</v>
      </c>
      <c r="E135" s="18" t="s">
        <v>148</v>
      </c>
      <c r="F135" s="94">
        <f t="shared" si="4"/>
        <v>0</v>
      </c>
      <c r="G135" s="94">
        <f t="shared" si="5"/>
        <v>0.3</v>
      </c>
      <c r="H135" s="94">
        <f t="shared" si="6"/>
        <v>0.6</v>
      </c>
      <c r="I135" s="94">
        <f t="shared" si="7"/>
        <v>0.6</v>
      </c>
      <c r="J135" s="94">
        <f t="shared" si="8"/>
        <v>0.6</v>
      </c>
      <c r="M135" s="4">
        <v>0</v>
      </c>
      <c r="Q135" s="4"/>
      <c r="U135"/>
      <c r="V135"/>
      <c r="AA135" s="4"/>
      <c r="AB135" s="4"/>
      <c r="AC135">
        <v>0</v>
      </c>
      <c r="AP135">
        <v>0.3</v>
      </c>
      <c r="BF135">
        <v>0.3</v>
      </c>
      <c r="BS135">
        <v>0.6</v>
      </c>
      <c r="CI135">
        <v>0.6</v>
      </c>
      <c r="CV135">
        <v>0.6</v>
      </c>
      <c r="DL135">
        <v>0.6</v>
      </c>
      <c r="DY135">
        <v>0.6</v>
      </c>
      <c r="EO135">
        <v>0.6</v>
      </c>
    </row>
    <row r="136" spans="4:155">
      <c r="D136" t="s">
        <v>47</v>
      </c>
      <c r="E136" s="18" t="s">
        <v>149</v>
      </c>
      <c r="F136" s="94">
        <f t="shared" si="4"/>
        <v>2.4</v>
      </c>
      <c r="G136" s="94">
        <f t="shared" si="5"/>
        <v>2.4</v>
      </c>
      <c r="H136" s="94">
        <f t="shared" si="6"/>
        <v>2.4</v>
      </c>
      <c r="I136" s="94">
        <f t="shared" si="7"/>
        <v>2.4</v>
      </c>
      <c r="J136" s="94">
        <f t="shared" si="8"/>
        <v>2.4</v>
      </c>
      <c r="M136" s="4">
        <v>2.4</v>
      </c>
      <c r="Q136" s="4"/>
      <c r="U136"/>
      <c r="V136"/>
      <c r="AA136" s="4"/>
      <c r="AB136" s="4"/>
      <c r="AF136">
        <v>2.35</v>
      </c>
      <c r="AP136">
        <v>2.4</v>
      </c>
      <c r="BI136">
        <v>2.4</v>
      </c>
      <c r="BS136">
        <v>2.4</v>
      </c>
      <c r="CL136">
        <v>2.4</v>
      </c>
      <c r="CV136">
        <v>2.4</v>
      </c>
      <c r="DO136">
        <v>2.4</v>
      </c>
      <c r="DY136">
        <v>2.4</v>
      </c>
      <c r="ER136">
        <v>2.4</v>
      </c>
    </row>
    <row r="137" spans="4:155">
      <c r="D137" t="s">
        <v>47</v>
      </c>
      <c r="E137" s="18" t="s">
        <v>154</v>
      </c>
      <c r="F137" s="94">
        <f t="shared" si="4"/>
        <v>4.4000000000000004</v>
      </c>
      <c r="G137" s="94">
        <f t="shared" si="5"/>
        <v>4.4000000000000004</v>
      </c>
      <c r="H137" s="94">
        <f t="shared" si="6"/>
        <v>4.4000000000000004</v>
      </c>
      <c r="I137" s="94">
        <f t="shared" si="7"/>
        <v>4.4000000000000004</v>
      </c>
      <c r="J137" s="94">
        <f t="shared" si="8"/>
        <v>4.4000000000000004</v>
      </c>
      <c r="M137" s="4"/>
      <c r="O137">
        <v>4.4000000000000004</v>
      </c>
      <c r="Q137" s="4">
        <v>3.4</v>
      </c>
      <c r="U137"/>
      <c r="V137"/>
      <c r="AA137" s="4"/>
      <c r="AB137" s="4"/>
      <c r="AR137">
        <v>4.4000000000000004</v>
      </c>
      <c r="AT137">
        <v>3.4</v>
      </c>
      <c r="BU137">
        <v>4.4000000000000004</v>
      </c>
      <c r="BW137">
        <v>3.4</v>
      </c>
      <c r="CX137">
        <v>4.4000000000000004</v>
      </c>
      <c r="CZ137">
        <v>3.4</v>
      </c>
      <c r="EA137">
        <v>4.4000000000000004</v>
      </c>
      <c r="EC137">
        <v>3.4</v>
      </c>
    </row>
    <row r="138" spans="4:155">
      <c r="D138" t="s">
        <v>47</v>
      </c>
      <c r="E138" s="18" t="s">
        <v>155</v>
      </c>
      <c r="F138" s="94">
        <f t="shared" si="4"/>
        <v>3.5</v>
      </c>
      <c r="G138" s="94">
        <f t="shared" si="5"/>
        <v>3.5</v>
      </c>
      <c r="H138" s="94">
        <f t="shared" si="6"/>
        <v>3.5</v>
      </c>
      <c r="I138" s="94">
        <f t="shared" si="7"/>
        <v>3.5</v>
      </c>
      <c r="J138" s="94">
        <f t="shared" si="8"/>
        <v>3.5</v>
      </c>
      <c r="M138" s="4"/>
      <c r="O138">
        <v>3.5</v>
      </c>
      <c r="Q138" s="4"/>
      <c r="U138"/>
      <c r="V138">
        <v>3.2</v>
      </c>
      <c r="AA138" s="4"/>
      <c r="AB138" s="4"/>
      <c r="AR138">
        <v>3.5</v>
      </c>
      <c r="AY138">
        <v>3.2</v>
      </c>
      <c r="BU138">
        <v>3.5</v>
      </c>
      <c r="CB138">
        <v>3.2</v>
      </c>
      <c r="CX138">
        <v>3.5</v>
      </c>
      <c r="DE138">
        <v>3.2</v>
      </c>
      <c r="EA138">
        <v>3.5</v>
      </c>
      <c r="EH138">
        <v>3.2</v>
      </c>
    </row>
    <row r="139" spans="4:155">
      <c r="D139" t="s">
        <v>47</v>
      </c>
      <c r="E139" s="18" t="s">
        <v>156</v>
      </c>
      <c r="F139" s="94">
        <f t="shared" si="4"/>
        <v>3.85</v>
      </c>
      <c r="G139" s="94">
        <f t="shared" si="5"/>
        <v>4.6399999999999997</v>
      </c>
      <c r="H139" s="94">
        <f t="shared" si="6"/>
        <v>4.6399999999999997</v>
      </c>
      <c r="I139" s="94">
        <f t="shared" si="7"/>
        <v>5.64</v>
      </c>
      <c r="J139" s="94">
        <f t="shared" si="8"/>
        <v>6.54</v>
      </c>
      <c r="M139" s="4"/>
      <c r="O139">
        <v>3.85</v>
      </c>
      <c r="Q139" s="4"/>
      <c r="U139"/>
      <c r="V139"/>
      <c r="AA139" s="4">
        <v>0</v>
      </c>
      <c r="AB139" s="4"/>
      <c r="AR139">
        <v>4.6399999999999997</v>
      </c>
      <c r="BD139">
        <v>1.81</v>
      </c>
      <c r="BU139">
        <v>4.6399999999999997</v>
      </c>
      <c r="CG139">
        <v>1.81</v>
      </c>
      <c r="CX139">
        <v>5.64</v>
      </c>
      <c r="DJ139">
        <v>2.81</v>
      </c>
      <c r="EA139">
        <v>6.54</v>
      </c>
      <c r="EM139">
        <v>3.71</v>
      </c>
    </row>
    <row r="140" spans="4:155">
      <c r="D140" t="s">
        <v>47</v>
      </c>
      <c r="E140" s="18" t="s">
        <v>157</v>
      </c>
      <c r="F140" s="94">
        <f t="shared" si="4"/>
        <v>2.2999999999999998</v>
      </c>
      <c r="G140" s="94">
        <f t="shared" si="5"/>
        <v>2.2999999999999998</v>
      </c>
      <c r="H140" s="94">
        <f t="shared" si="6"/>
        <v>2.2999999999999998</v>
      </c>
      <c r="I140" s="94">
        <f t="shared" si="7"/>
        <v>3.8</v>
      </c>
      <c r="J140" s="94">
        <f t="shared" si="8"/>
        <v>3.8</v>
      </c>
      <c r="M140" s="4"/>
      <c r="P140">
        <v>2.2999999999999998</v>
      </c>
      <c r="Q140" s="4">
        <v>0.7</v>
      </c>
      <c r="U140"/>
      <c r="V140"/>
      <c r="AA140" s="4"/>
      <c r="AB140" s="4"/>
      <c r="AS140">
        <v>2.2999999999999998</v>
      </c>
      <c r="AT140">
        <v>0.8</v>
      </c>
      <c r="BV140">
        <v>2.2999999999999998</v>
      </c>
      <c r="BW140">
        <v>0.8</v>
      </c>
      <c r="CY140">
        <v>3.8</v>
      </c>
      <c r="CZ140">
        <v>2.2999999999999998</v>
      </c>
      <c r="EB140">
        <v>3.8</v>
      </c>
      <c r="EC140">
        <v>2.2999999999999998</v>
      </c>
    </row>
    <row r="141" spans="4:155">
      <c r="D141" t="s">
        <v>47</v>
      </c>
      <c r="E141" s="18" t="s">
        <v>158</v>
      </c>
      <c r="F141" s="94">
        <f t="shared" si="4"/>
        <v>1.8</v>
      </c>
      <c r="G141" s="94">
        <f t="shared" si="5"/>
        <v>2</v>
      </c>
      <c r="H141" s="94">
        <f t="shared" si="6"/>
        <v>2</v>
      </c>
      <c r="I141" s="94">
        <f t="shared" si="7"/>
        <v>2</v>
      </c>
      <c r="J141" s="94">
        <f t="shared" si="8"/>
        <v>2</v>
      </c>
      <c r="M141" s="4"/>
      <c r="P141">
        <v>0.8</v>
      </c>
      <c r="Q141" s="4"/>
      <c r="U141"/>
      <c r="V141"/>
      <c r="AA141" s="4"/>
      <c r="AB141" s="4"/>
      <c r="AH141">
        <v>1.8</v>
      </c>
      <c r="AS141">
        <v>0.8</v>
      </c>
      <c r="BK141">
        <v>2</v>
      </c>
      <c r="BV141">
        <v>0.8</v>
      </c>
      <c r="CN141">
        <v>2</v>
      </c>
      <c r="CY141">
        <v>0.8</v>
      </c>
      <c r="DQ141">
        <v>2</v>
      </c>
      <c r="EB141">
        <v>0.8</v>
      </c>
      <c r="ET141">
        <v>2</v>
      </c>
    </row>
    <row r="142" spans="4:155">
      <c r="D142" t="s">
        <v>47</v>
      </c>
      <c r="E142" s="18" t="s">
        <v>159</v>
      </c>
      <c r="F142" s="94">
        <f t="shared" si="4"/>
        <v>1.4</v>
      </c>
      <c r="G142" s="94">
        <f t="shared" si="5"/>
        <v>2</v>
      </c>
      <c r="H142" s="94">
        <f t="shared" si="6"/>
        <v>2</v>
      </c>
      <c r="I142" s="94">
        <f t="shared" si="7"/>
        <v>2</v>
      </c>
      <c r="J142" s="94">
        <f t="shared" si="8"/>
        <v>2</v>
      </c>
      <c r="M142" s="4"/>
      <c r="P142">
        <v>1.4</v>
      </c>
      <c r="Q142" s="4"/>
      <c r="U142"/>
      <c r="V142"/>
      <c r="AA142" s="4"/>
      <c r="AB142" s="4"/>
      <c r="AM142">
        <v>1.4</v>
      </c>
      <c r="AS142">
        <v>2</v>
      </c>
      <c r="BP142">
        <v>1.4</v>
      </c>
      <c r="BV142">
        <v>2</v>
      </c>
      <c r="CS142">
        <v>1.4</v>
      </c>
      <c r="CY142">
        <v>2</v>
      </c>
      <c r="DV142">
        <v>1.4</v>
      </c>
      <c r="EB142">
        <v>2</v>
      </c>
      <c r="EY142">
        <v>1.4</v>
      </c>
    </row>
    <row r="143" spans="4:155">
      <c r="D143" t="s">
        <v>47</v>
      </c>
      <c r="E143" s="18" t="s">
        <v>161</v>
      </c>
      <c r="F143" s="94">
        <f t="shared" si="4"/>
        <v>5.6</v>
      </c>
      <c r="G143" s="94">
        <f t="shared" si="5"/>
        <v>5.6</v>
      </c>
      <c r="H143" s="94">
        <f t="shared" si="6"/>
        <v>5.6</v>
      </c>
      <c r="I143" s="94">
        <f t="shared" si="7"/>
        <v>5.6</v>
      </c>
      <c r="J143" s="94">
        <f t="shared" si="8"/>
        <v>5.6</v>
      </c>
      <c r="M143" s="4"/>
      <c r="Q143" s="4">
        <v>5.6</v>
      </c>
      <c r="U143"/>
      <c r="V143">
        <v>2.85</v>
      </c>
      <c r="AA143" s="4"/>
      <c r="AB143" s="4"/>
      <c r="AT143">
        <v>5.6</v>
      </c>
      <c r="AY143">
        <v>2.9</v>
      </c>
      <c r="BW143">
        <v>5.6</v>
      </c>
      <c r="CB143">
        <v>2.9</v>
      </c>
      <c r="CZ143">
        <v>5.6</v>
      </c>
      <c r="DE143">
        <v>2.9</v>
      </c>
      <c r="EC143">
        <v>5.6</v>
      </c>
      <c r="EH143">
        <v>3.15</v>
      </c>
    </row>
    <row r="144" spans="4:155">
      <c r="D144" t="s">
        <v>47</v>
      </c>
      <c r="E144" s="18" t="s">
        <v>162</v>
      </c>
      <c r="F144" s="94">
        <f t="shared" si="4"/>
        <v>0</v>
      </c>
      <c r="G144" s="94">
        <f t="shared" si="5"/>
        <v>0.98</v>
      </c>
      <c r="H144" s="94">
        <f t="shared" si="6"/>
        <v>0.98</v>
      </c>
      <c r="I144" s="94">
        <f t="shared" si="7"/>
        <v>0.98</v>
      </c>
      <c r="J144" s="94">
        <f t="shared" si="8"/>
        <v>0.98</v>
      </c>
      <c r="M144" s="4"/>
      <c r="Q144" s="4">
        <v>0</v>
      </c>
      <c r="U144"/>
      <c r="V144"/>
      <c r="AA144" s="4"/>
      <c r="AB144" s="4"/>
      <c r="AC144">
        <v>0</v>
      </c>
      <c r="AT144">
        <v>0.98</v>
      </c>
      <c r="BF144">
        <v>0</v>
      </c>
      <c r="BW144">
        <v>0.98</v>
      </c>
      <c r="CI144">
        <v>0</v>
      </c>
      <c r="CZ144">
        <v>0.98</v>
      </c>
      <c r="DL144">
        <v>0</v>
      </c>
      <c r="EC144">
        <v>0.98</v>
      </c>
      <c r="EO144">
        <v>0</v>
      </c>
    </row>
    <row r="145" spans="4:155">
      <c r="D145" t="s">
        <v>47</v>
      </c>
      <c r="E145" s="18" t="s">
        <v>163</v>
      </c>
      <c r="F145" s="94">
        <f t="shared" si="4"/>
        <v>3.8</v>
      </c>
      <c r="G145" s="94">
        <f t="shared" si="5"/>
        <v>3.85</v>
      </c>
      <c r="H145" s="94">
        <f t="shared" si="6"/>
        <v>5.35</v>
      </c>
      <c r="I145" s="94">
        <f t="shared" si="7"/>
        <v>5.35</v>
      </c>
      <c r="J145" s="94">
        <f t="shared" si="8"/>
        <v>5.35</v>
      </c>
      <c r="M145" s="4"/>
      <c r="Q145" s="4">
        <v>3.8</v>
      </c>
      <c r="U145"/>
      <c r="V145"/>
      <c r="AA145" s="4"/>
      <c r="AB145" s="4"/>
      <c r="AF145">
        <v>3</v>
      </c>
      <c r="AT145">
        <v>3.85</v>
      </c>
      <c r="BI145">
        <v>3</v>
      </c>
      <c r="BW145">
        <v>5.35</v>
      </c>
      <c r="CL145">
        <v>4.5</v>
      </c>
      <c r="CZ145">
        <v>5.35</v>
      </c>
      <c r="DO145">
        <v>4.5</v>
      </c>
      <c r="EC145">
        <v>5.35</v>
      </c>
      <c r="ER145">
        <v>4.5</v>
      </c>
    </row>
    <row r="146" spans="4:155">
      <c r="D146" t="s">
        <v>47</v>
      </c>
      <c r="E146" s="18" t="s">
        <v>165</v>
      </c>
      <c r="F146" s="94">
        <f t="shared" si="4"/>
        <v>1.2</v>
      </c>
      <c r="G146" s="94">
        <f t="shared" si="5"/>
        <v>1.2</v>
      </c>
      <c r="H146" s="94">
        <f t="shared" si="6"/>
        <v>1.6</v>
      </c>
      <c r="I146" s="94">
        <f t="shared" si="7"/>
        <v>3.1</v>
      </c>
      <c r="J146" s="94">
        <f t="shared" si="8"/>
        <v>3.1</v>
      </c>
      <c r="M146" s="4"/>
      <c r="Q146" s="4">
        <v>1.2</v>
      </c>
      <c r="U146"/>
      <c r="V146"/>
      <c r="AA146" s="4"/>
      <c r="AB146" s="4"/>
      <c r="AH146">
        <v>1.1000000000000001</v>
      </c>
      <c r="AT146">
        <v>1.2</v>
      </c>
      <c r="BK146">
        <v>1.1000000000000001</v>
      </c>
      <c r="BW146">
        <v>1.6</v>
      </c>
      <c r="CN146">
        <v>1.5</v>
      </c>
      <c r="CZ146">
        <v>3.1</v>
      </c>
      <c r="DQ146">
        <v>3</v>
      </c>
      <c r="EC146">
        <v>3.1</v>
      </c>
      <c r="ET146">
        <v>3</v>
      </c>
    </row>
    <row r="147" spans="4:155">
      <c r="D147" t="s">
        <v>47</v>
      </c>
      <c r="E147" s="18" t="s">
        <v>173</v>
      </c>
      <c r="F147" s="94">
        <f t="shared" si="4"/>
        <v>2.65</v>
      </c>
      <c r="G147" s="94">
        <f t="shared" si="5"/>
        <v>2.65</v>
      </c>
      <c r="H147" s="94">
        <f t="shared" si="6"/>
        <v>3.25</v>
      </c>
      <c r="I147" s="94">
        <f t="shared" si="7"/>
        <v>4.2</v>
      </c>
      <c r="J147" s="94">
        <f t="shared" si="8"/>
        <v>4.2</v>
      </c>
      <c r="M147" s="4"/>
      <c r="Q147" s="4"/>
      <c r="U147"/>
      <c r="V147">
        <v>2.65</v>
      </c>
      <c r="AA147" s="4">
        <v>0</v>
      </c>
      <c r="AB147" s="4"/>
      <c r="AY147">
        <v>2.65</v>
      </c>
      <c r="BD147">
        <v>0.995</v>
      </c>
      <c r="CB147">
        <v>3.25</v>
      </c>
      <c r="CG147">
        <v>1.595</v>
      </c>
      <c r="DE147">
        <v>4.2</v>
      </c>
      <c r="DJ147">
        <v>2.5950000000000002</v>
      </c>
      <c r="EH147">
        <v>4.2</v>
      </c>
      <c r="EM147">
        <v>2.5950000000000002</v>
      </c>
    </row>
    <row r="148" spans="4:155">
      <c r="D148" t="s">
        <v>47</v>
      </c>
      <c r="E148" s="18" t="s">
        <v>174</v>
      </c>
      <c r="F148" s="94">
        <f t="shared" si="4"/>
        <v>0.9</v>
      </c>
      <c r="G148" s="94">
        <f t="shared" si="5"/>
        <v>1.5</v>
      </c>
      <c r="H148" s="94">
        <f t="shared" si="6"/>
        <v>1.5</v>
      </c>
      <c r="I148" s="94">
        <f t="shared" si="7"/>
        <v>3</v>
      </c>
      <c r="J148" s="94">
        <f t="shared" si="8"/>
        <v>3</v>
      </c>
      <c r="M148" s="4"/>
      <c r="Q148" s="4"/>
      <c r="U148"/>
      <c r="V148"/>
      <c r="X148">
        <v>0.8</v>
      </c>
      <c r="AA148" s="4"/>
      <c r="AB148" s="4"/>
      <c r="AM148">
        <v>0.9</v>
      </c>
      <c r="BA148">
        <v>0.8</v>
      </c>
      <c r="BP148">
        <v>1.5</v>
      </c>
      <c r="CD148">
        <v>0.8</v>
      </c>
      <c r="CS148">
        <v>1.5</v>
      </c>
      <c r="DG148">
        <v>2.1</v>
      </c>
      <c r="DV148">
        <v>3</v>
      </c>
      <c r="EJ148">
        <v>2.1</v>
      </c>
      <c r="EY148">
        <v>3</v>
      </c>
    </row>
    <row r="149" spans="4:155">
      <c r="D149" t="s">
        <v>47</v>
      </c>
      <c r="E149" s="18" t="s">
        <v>177</v>
      </c>
      <c r="F149" s="94">
        <f t="shared" si="4"/>
        <v>0.43</v>
      </c>
      <c r="G149" s="94">
        <f t="shared" si="5"/>
        <v>0.65</v>
      </c>
      <c r="H149" s="94">
        <f t="shared" si="6"/>
        <v>0.65</v>
      </c>
      <c r="I149" s="94">
        <f t="shared" si="7"/>
        <v>2.15</v>
      </c>
      <c r="J149" s="94">
        <f t="shared" si="8"/>
        <v>2.15</v>
      </c>
      <c r="M149" s="4"/>
      <c r="Q149" s="4"/>
      <c r="U149"/>
      <c r="V149"/>
      <c r="AA149" s="4">
        <v>0</v>
      </c>
      <c r="AB149" s="4"/>
      <c r="AL149">
        <v>0.43</v>
      </c>
      <c r="BD149">
        <v>0.65</v>
      </c>
      <c r="BO149">
        <v>0.65</v>
      </c>
      <c r="CG149">
        <v>0.65</v>
      </c>
      <c r="CR149">
        <v>0.65</v>
      </c>
      <c r="DJ149">
        <v>2.15</v>
      </c>
      <c r="DU149">
        <v>2.15</v>
      </c>
      <c r="EM149">
        <v>2.15</v>
      </c>
      <c r="EX149">
        <v>2.15</v>
      </c>
    </row>
    <row r="150" spans="4:155">
      <c r="D150" t="s">
        <v>47</v>
      </c>
      <c r="E150" s="18" t="s">
        <v>179</v>
      </c>
      <c r="F150" s="94">
        <f t="shared" si="4"/>
        <v>0.75</v>
      </c>
      <c r="G150" s="94">
        <f t="shared" si="5"/>
        <v>0.75</v>
      </c>
      <c r="H150" s="94">
        <f t="shared" si="6"/>
        <v>0.75</v>
      </c>
      <c r="I150" s="94">
        <f t="shared" si="7"/>
        <v>0.75</v>
      </c>
      <c r="J150" s="94">
        <f t="shared" si="8"/>
        <v>1.5</v>
      </c>
      <c r="M150" s="4"/>
      <c r="Q150" s="4"/>
      <c r="U150"/>
      <c r="V150"/>
      <c r="AA150" s="4"/>
      <c r="AB150" s="4"/>
      <c r="AH150">
        <v>0.75</v>
      </c>
      <c r="AM150">
        <v>0.75</v>
      </c>
      <c r="BK150">
        <v>0.75</v>
      </c>
      <c r="BP150">
        <v>0.75</v>
      </c>
      <c r="CN150">
        <v>0.75</v>
      </c>
      <c r="CS150">
        <v>0.75</v>
      </c>
      <c r="DQ150">
        <v>0.75</v>
      </c>
      <c r="DV150">
        <v>0.75</v>
      </c>
      <c r="ET150">
        <v>1.5</v>
      </c>
      <c r="EY150">
        <v>1.4</v>
      </c>
    </row>
    <row r="154" spans="4:155">
      <c r="E154"/>
      <c r="G154" s="4" t="s">
        <v>188</v>
      </c>
      <c r="H154" s="100" t="str">
        <f>IF(ISERROR(H76-H30),"",H76-H30)</f>
        <v/>
      </c>
      <c r="I154" s="100" t="str">
        <f t="shared" ref="I154:T154" si="9">IF(ISERROR(I76-I30),"",I76-I30)</f>
        <v/>
      </c>
      <c r="J154" s="100" t="str">
        <f t="shared" si="9"/>
        <v/>
      </c>
      <c r="K154" s="100">
        <f t="shared" si="9"/>
        <v>0</v>
      </c>
      <c r="L154" s="100" t="str">
        <f t="shared" si="9"/>
        <v/>
      </c>
      <c r="M154" s="100" t="str">
        <f t="shared" si="9"/>
        <v/>
      </c>
      <c r="N154" s="100" t="str">
        <f t="shared" si="9"/>
        <v/>
      </c>
      <c r="O154" s="100" t="str">
        <f t="shared" si="9"/>
        <v/>
      </c>
      <c r="P154" s="100" t="str">
        <f t="shared" si="9"/>
        <v/>
      </c>
      <c r="Q154" s="100" t="str">
        <f t="shared" si="9"/>
        <v/>
      </c>
      <c r="R154" s="100" t="str">
        <f t="shared" si="9"/>
        <v/>
      </c>
      <c r="S154" s="100" t="str">
        <f t="shared" si="9"/>
        <v/>
      </c>
      <c r="T154" s="100" t="str">
        <f t="shared" si="9"/>
        <v/>
      </c>
    </row>
    <row r="155" spans="4:155">
      <c r="E155"/>
      <c r="G155" s="4" t="s">
        <v>189</v>
      </c>
      <c r="H155" s="100" t="str">
        <f t="shared" ref="H155:T170" si="10">IF(ISERROR(H77-H31),"",H77-H31)</f>
        <v/>
      </c>
      <c r="I155" s="100" t="str">
        <f t="shared" si="10"/>
        <v/>
      </c>
      <c r="J155" s="100" t="str">
        <f t="shared" si="10"/>
        <v/>
      </c>
      <c r="K155" s="100" t="str">
        <f t="shared" si="10"/>
        <v/>
      </c>
      <c r="L155" s="100" t="str">
        <f t="shared" si="10"/>
        <v/>
      </c>
      <c r="M155" s="100">
        <f t="shared" si="10"/>
        <v>0</v>
      </c>
      <c r="N155" s="100" t="str">
        <f t="shared" si="10"/>
        <v/>
      </c>
      <c r="O155" s="100" t="str">
        <f t="shared" si="10"/>
        <v/>
      </c>
      <c r="P155" s="100" t="str">
        <f t="shared" si="10"/>
        <v/>
      </c>
      <c r="Q155" s="100" t="str">
        <f t="shared" si="10"/>
        <v/>
      </c>
      <c r="R155" s="100" t="str">
        <f t="shared" si="10"/>
        <v/>
      </c>
      <c r="S155" s="100" t="str">
        <f t="shared" si="10"/>
        <v/>
      </c>
      <c r="T155" s="100" t="str">
        <f t="shared" si="10"/>
        <v/>
      </c>
    </row>
    <row r="156" spans="4:155">
      <c r="E156"/>
      <c r="G156" s="4" t="s">
        <v>190</v>
      </c>
      <c r="H156" s="100" t="str">
        <f t="shared" si="10"/>
        <v/>
      </c>
      <c r="I156" s="100" t="str">
        <f t="shared" si="10"/>
        <v/>
      </c>
      <c r="J156" s="100" t="str">
        <f t="shared" si="10"/>
        <v/>
      </c>
      <c r="K156" s="100" t="str">
        <f t="shared" si="10"/>
        <v/>
      </c>
      <c r="L156" s="100" t="str">
        <f t="shared" si="10"/>
        <v/>
      </c>
      <c r="M156" s="100">
        <f t="shared" si="10"/>
        <v>0</v>
      </c>
      <c r="N156" s="100" t="str">
        <f t="shared" si="10"/>
        <v/>
      </c>
      <c r="O156" s="100" t="str">
        <f t="shared" si="10"/>
        <v/>
      </c>
      <c r="P156" s="100" t="str">
        <f t="shared" si="10"/>
        <v/>
      </c>
      <c r="Q156" s="100" t="str">
        <f t="shared" si="10"/>
        <v/>
      </c>
      <c r="R156" s="100" t="str">
        <f t="shared" si="10"/>
        <v/>
      </c>
      <c r="S156" s="100" t="str">
        <f t="shared" si="10"/>
        <v/>
      </c>
      <c r="T156" s="100" t="str">
        <f t="shared" si="10"/>
        <v/>
      </c>
    </row>
    <row r="157" spans="4:155">
      <c r="E157"/>
      <c r="G157" s="4" t="s">
        <v>191</v>
      </c>
      <c r="H157" s="100" t="str">
        <f t="shared" si="10"/>
        <v/>
      </c>
      <c r="I157" s="100" t="str">
        <f t="shared" si="10"/>
        <v/>
      </c>
      <c r="J157" s="100" t="str">
        <f t="shared" si="10"/>
        <v/>
      </c>
      <c r="K157" s="100" t="str">
        <f t="shared" si="10"/>
        <v/>
      </c>
      <c r="L157" s="100">
        <f t="shared" si="10"/>
        <v>0</v>
      </c>
      <c r="M157" s="100" t="str">
        <f t="shared" si="10"/>
        <v/>
      </c>
      <c r="N157" s="100" t="str">
        <f t="shared" si="10"/>
        <v/>
      </c>
      <c r="O157" s="100" t="str">
        <f t="shared" si="10"/>
        <v/>
      </c>
      <c r="P157" s="100" t="str">
        <f t="shared" si="10"/>
        <v/>
      </c>
      <c r="Q157" s="100" t="str">
        <f t="shared" si="10"/>
        <v/>
      </c>
      <c r="R157" s="100" t="str">
        <f t="shared" si="10"/>
        <v/>
      </c>
      <c r="S157" s="100" t="str">
        <f t="shared" si="10"/>
        <v/>
      </c>
      <c r="T157" s="100" t="str">
        <f t="shared" si="10"/>
        <v/>
      </c>
    </row>
    <row r="158" spans="4:155">
      <c r="E158" s="28"/>
      <c r="G158" s="4" t="s">
        <v>192</v>
      </c>
      <c r="H158" s="100" t="str">
        <f t="shared" si="10"/>
        <v/>
      </c>
      <c r="I158" s="102">
        <f>IF(ISERROR(I80-I34),"",I80-I34)</f>
        <v>0</v>
      </c>
      <c r="J158" s="100" t="str">
        <f t="shared" si="10"/>
        <v/>
      </c>
      <c r="K158" s="100" t="str">
        <f t="shared" si="10"/>
        <v/>
      </c>
      <c r="L158" s="100" t="str">
        <f t="shared" si="10"/>
        <v/>
      </c>
      <c r="M158" s="100" t="str">
        <f t="shared" si="10"/>
        <v/>
      </c>
      <c r="N158" s="100" t="str">
        <f t="shared" si="10"/>
        <v/>
      </c>
      <c r="O158" s="100" t="str">
        <f t="shared" si="10"/>
        <v/>
      </c>
      <c r="P158" s="100" t="str">
        <f t="shared" si="10"/>
        <v/>
      </c>
      <c r="Q158" s="100" t="str">
        <f t="shared" si="10"/>
        <v/>
      </c>
      <c r="R158" s="100" t="str">
        <f t="shared" si="10"/>
        <v/>
      </c>
      <c r="S158" s="100" t="str">
        <f t="shared" si="10"/>
        <v/>
      </c>
      <c r="T158" s="100" t="str">
        <f t="shared" si="10"/>
        <v/>
      </c>
    </row>
    <row r="159" spans="4:155">
      <c r="E159" s="28"/>
      <c r="G159" s="4" t="s">
        <v>193</v>
      </c>
      <c r="H159" s="100" t="str">
        <f t="shared" si="10"/>
        <v/>
      </c>
      <c r="I159" s="100" t="str">
        <f t="shared" si="10"/>
        <v/>
      </c>
      <c r="J159" s="100" t="str">
        <f t="shared" si="10"/>
        <v/>
      </c>
      <c r="K159" s="100" t="str">
        <f t="shared" si="10"/>
        <v/>
      </c>
      <c r="L159" s="100">
        <f t="shared" si="10"/>
        <v>0</v>
      </c>
      <c r="M159" s="100" t="str">
        <f t="shared" si="10"/>
        <v/>
      </c>
      <c r="N159" s="100" t="str">
        <f t="shared" si="10"/>
        <v/>
      </c>
      <c r="O159" s="100" t="str">
        <f t="shared" si="10"/>
        <v/>
      </c>
      <c r="P159" s="100" t="str">
        <f t="shared" si="10"/>
        <v/>
      </c>
      <c r="Q159" s="100" t="str">
        <f t="shared" si="10"/>
        <v/>
      </c>
      <c r="R159" s="100" t="str">
        <f t="shared" si="10"/>
        <v/>
      </c>
      <c r="S159" s="100" t="str">
        <f t="shared" si="10"/>
        <v/>
      </c>
      <c r="T159" s="100" t="str">
        <f t="shared" si="10"/>
        <v/>
      </c>
    </row>
    <row r="160" spans="4:155">
      <c r="E160" s="28"/>
      <c r="G160" s="4" t="s">
        <v>194</v>
      </c>
      <c r="H160" s="100" t="str">
        <f t="shared" si="10"/>
        <v/>
      </c>
      <c r="I160" s="100" t="str">
        <f t="shared" si="10"/>
        <v/>
      </c>
      <c r="J160" s="100" t="str">
        <f t="shared" si="10"/>
        <v/>
      </c>
      <c r="K160" s="100" t="str">
        <f t="shared" si="10"/>
        <v/>
      </c>
      <c r="L160" s="100" t="str">
        <f t="shared" si="10"/>
        <v/>
      </c>
      <c r="M160" s="100" t="str">
        <f t="shared" si="10"/>
        <v/>
      </c>
      <c r="N160" s="102">
        <f t="shared" si="10"/>
        <v>3.4</v>
      </c>
      <c r="O160" s="100" t="str">
        <f t="shared" si="10"/>
        <v/>
      </c>
      <c r="P160" s="100" t="str">
        <f t="shared" si="10"/>
        <v/>
      </c>
      <c r="Q160" s="100" t="str">
        <f t="shared" si="10"/>
        <v/>
      </c>
      <c r="R160" s="100" t="str">
        <f t="shared" si="10"/>
        <v/>
      </c>
      <c r="S160" s="100" t="str">
        <f t="shared" si="10"/>
        <v/>
      </c>
      <c r="T160" s="100" t="str">
        <f t="shared" si="10"/>
        <v/>
      </c>
    </row>
    <row r="161" spans="5:20">
      <c r="E161" s="28"/>
      <c r="G161" s="4" t="s">
        <v>195</v>
      </c>
      <c r="H161" s="100" t="str">
        <f t="shared" si="10"/>
        <v/>
      </c>
      <c r="I161" s="100" t="str">
        <f t="shared" si="10"/>
        <v/>
      </c>
      <c r="J161" s="100" t="str">
        <f t="shared" si="10"/>
        <v/>
      </c>
      <c r="K161" s="100" t="str">
        <f t="shared" si="10"/>
        <v/>
      </c>
      <c r="L161" s="100" t="str">
        <f t="shared" si="10"/>
        <v/>
      </c>
      <c r="M161" s="100" t="str">
        <f t="shared" si="10"/>
        <v/>
      </c>
      <c r="N161" s="100" t="str">
        <f t="shared" si="10"/>
        <v/>
      </c>
      <c r="O161" s="100" t="str">
        <f t="shared" si="10"/>
        <v/>
      </c>
      <c r="P161" s="100">
        <f t="shared" si="10"/>
        <v>0</v>
      </c>
      <c r="Q161" s="100" t="str">
        <f t="shared" si="10"/>
        <v/>
      </c>
      <c r="R161" s="100" t="str">
        <f t="shared" si="10"/>
        <v/>
      </c>
      <c r="S161" s="100" t="str">
        <f t="shared" si="10"/>
        <v/>
      </c>
      <c r="T161" s="100" t="str">
        <f t="shared" si="10"/>
        <v/>
      </c>
    </row>
    <row r="162" spans="5:20">
      <c r="E162" s="28"/>
      <c r="G162" s="4" t="s">
        <v>196</v>
      </c>
      <c r="H162" s="100" t="str">
        <f t="shared" si="10"/>
        <v/>
      </c>
      <c r="I162" s="100" t="str">
        <f t="shared" si="10"/>
        <v/>
      </c>
      <c r="J162" s="100" t="str">
        <f t="shared" si="10"/>
        <v/>
      </c>
      <c r="K162" s="100" t="str">
        <f t="shared" si="10"/>
        <v/>
      </c>
      <c r="L162" s="100" t="str">
        <f t="shared" si="10"/>
        <v/>
      </c>
      <c r="M162" s="100" t="str">
        <f t="shared" si="10"/>
        <v/>
      </c>
      <c r="N162" s="100">
        <f t="shared" si="10"/>
        <v>0</v>
      </c>
      <c r="O162" s="100" t="str">
        <f t="shared" si="10"/>
        <v/>
      </c>
      <c r="P162" s="100" t="str">
        <f t="shared" si="10"/>
        <v/>
      </c>
      <c r="Q162" s="100" t="str">
        <f t="shared" si="10"/>
        <v/>
      </c>
      <c r="R162" s="100" t="str">
        <f t="shared" si="10"/>
        <v/>
      </c>
      <c r="S162" s="100" t="str">
        <f t="shared" si="10"/>
        <v/>
      </c>
      <c r="T162" s="100" t="str">
        <f t="shared" si="10"/>
        <v/>
      </c>
    </row>
    <row r="163" spans="5:20">
      <c r="E163" s="28"/>
      <c r="G163" s="4" t="s">
        <v>197</v>
      </c>
      <c r="H163" s="100" t="str">
        <f t="shared" si="10"/>
        <v/>
      </c>
      <c r="I163" s="100" t="str">
        <f t="shared" si="10"/>
        <v/>
      </c>
      <c r="J163" s="100" t="str">
        <f t="shared" si="10"/>
        <v/>
      </c>
      <c r="K163" s="100">
        <f t="shared" si="10"/>
        <v>0</v>
      </c>
      <c r="L163" s="100" t="str">
        <f t="shared" si="10"/>
        <v/>
      </c>
      <c r="M163" s="100" t="str">
        <f t="shared" si="10"/>
        <v/>
      </c>
      <c r="N163" s="100" t="str">
        <f t="shared" si="10"/>
        <v/>
      </c>
      <c r="O163" s="100" t="str">
        <f t="shared" si="10"/>
        <v/>
      </c>
      <c r="P163" s="100" t="str">
        <f t="shared" si="10"/>
        <v/>
      </c>
      <c r="Q163" s="100" t="str">
        <f t="shared" si="10"/>
        <v/>
      </c>
      <c r="R163" s="100" t="str">
        <f t="shared" si="10"/>
        <v/>
      </c>
      <c r="S163" s="100" t="str">
        <f t="shared" si="10"/>
        <v/>
      </c>
      <c r="T163" s="100" t="str">
        <f t="shared" si="10"/>
        <v/>
      </c>
    </row>
    <row r="164" spans="5:20">
      <c r="E164" s="28"/>
      <c r="G164" s="4" t="s">
        <v>198</v>
      </c>
      <c r="H164" s="100" t="str">
        <f t="shared" si="10"/>
        <v/>
      </c>
      <c r="I164" s="100" t="str">
        <f t="shared" si="10"/>
        <v/>
      </c>
      <c r="J164" s="100" t="str">
        <f t="shared" si="10"/>
        <v/>
      </c>
      <c r="K164" s="100" t="str">
        <f t="shared" si="10"/>
        <v/>
      </c>
      <c r="L164" s="100" t="str">
        <f t="shared" si="10"/>
        <v/>
      </c>
      <c r="M164" s="100" t="str">
        <f t="shared" si="10"/>
        <v/>
      </c>
      <c r="N164" s="100" t="str">
        <f t="shared" si="10"/>
        <v/>
      </c>
      <c r="O164" s="100" t="str">
        <f t="shared" si="10"/>
        <v/>
      </c>
      <c r="P164" s="100">
        <f t="shared" si="10"/>
        <v>0</v>
      </c>
      <c r="Q164" s="100" t="str">
        <f t="shared" si="10"/>
        <v/>
      </c>
      <c r="R164" s="100" t="str">
        <f t="shared" si="10"/>
        <v/>
      </c>
      <c r="S164" s="100" t="str">
        <f t="shared" si="10"/>
        <v/>
      </c>
      <c r="T164" s="100" t="str">
        <f t="shared" si="10"/>
        <v/>
      </c>
    </row>
    <row r="165" spans="5:20">
      <c r="E165" s="28"/>
      <c r="G165" s="4" t="s">
        <v>199</v>
      </c>
      <c r="H165" s="100" t="str">
        <f t="shared" si="10"/>
        <v/>
      </c>
      <c r="I165" s="100" t="str">
        <f t="shared" si="10"/>
        <v/>
      </c>
      <c r="J165" s="100" t="str">
        <f t="shared" si="10"/>
        <v/>
      </c>
      <c r="K165" s="100" t="str">
        <f t="shared" si="10"/>
        <v/>
      </c>
      <c r="L165" s="100" t="str">
        <f t="shared" si="10"/>
        <v/>
      </c>
      <c r="M165" s="100" t="str">
        <f t="shared" si="10"/>
        <v/>
      </c>
      <c r="N165" s="100" t="str">
        <f t="shared" si="10"/>
        <v/>
      </c>
      <c r="O165" s="100">
        <f t="shared" si="10"/>
        <v>0</v>
      </c>
      <c r="P165" s="100" t="str">
        <f t="shared" si="10"/>
        <v/>
      </c>
      <c r="Q165" s="100" t="str">
        <f t="shared" si="10"/>
        <v/>
      </c>
      <c r="R165" s="100" t="str">
        <f t="shared" si="10"/>
        <v/>
      </c>
      <c r="S165" s="100" t="str">
        <f t="shared" si="10"/>
        <v/>
      </c>
      <c r="T165" s="100" t="str">
        <f t="shared" si="10"/>
        <v/>
      </c>
    </row>
    <row r="166" spans="5:20">
      <c r="E166" s="28"/>
      <c r="G166" s="4" t="s">
        <v>200</v>
      </c>
      <c r="H166" s="100" t="str">
        <f t="shared" si="10"/>
        <v/>
      </c>
      <c r="I166" s="100" t="str">
        <f t="shared" si="10"/>
        <v/>
      </c>
      <c r="J166" s="100">
        <f t="shared" si="10"/>
        <v>0</v>
      </c>
      <c r="K166" s="100" t="str">
        <f t="shared" si="10"/>
        <v/>
      </c>
      <c r="L166" s="100" t="str">
        <f t="shared" si="10"/>
        <v/>
      </c>
      <c r="M166" s="100" t="str">
        <f t="shared" si="10"/>
        <v/>
      </c>
      <c r="N166" s="100" t="str">
        <f t="shared" si="10"/>
        <v/>
      </c>
      <c r="O166" s="100" t="str">
        <f t="shared" si="10"/>
        <v/>
      </c>
      <c r="P166" s="100" t="str">
        <f t="shared" si="10"/>
        <v/>
      </c>
      <c r="Q166" s="100" t="str">
        <f t="shared" si="10"/>
        <v/>
      </c>
      <c r="R166" s="100" t="str">
        <f t="shared" si="10"/>
        <v/>
      </c>
      <c r="S166" s="100" t="str">
        <f t="shared" si="10"/>
        <v/>
      </c>
      <c r="T166" s="100" t="str">
        <f t="shared" si="10"/>
        <v/>
      </c>
    </row>
    <row r="167" spans="5:20">
      <c r="E167" s="28"/>
      <c r="G167" s="4" t="s">
        <v>201</v>
      </c>
      <c r="H167" s="100" t="str">
        <f t="shared" si="10"/>
        <v/>
      </c>
      <c r="I167" s="100" t="str">
        <f t="shared" si="10"/>
        <v/>
      </c>
      <c r="J167" s="100" t="str">
        <f t="shared" si="10"/>
        <v/>
      </c>
      <c r="K167" s="100" t="str">
        <f t="shared" si="10"/>
        <v/>
      </c>
      <c r="L167" s="100" t="str">
        <f t="shared" si="10"/>
        <v/>
      </c>
      <c r="M167" s="100" t="str">
        <f t="shared" si="10"/>
        <v/>
      </c>
      <c r="N167" s="100" t="str">
        <f t="shared" si="10"/>
        <v/>
      </c>
      <c r="O167" s="100" t="str">
        <f t="shared" si="10"/>
        <v/>
      </c>
      <c r="P167" s="100" t="str">
        <f t="shared" si="10"/>
        <v/>
      </c>
      <c r="Q167" s="100" t="str">
        <f t="shared" si="10"/>
        <v/>
      </c>
      <c r="R167" s="100" t="str">
        <f t="shared" si="10"/>
        <v/>
      </c>
      <c r="S167" s="102">
        <f t="shared" si="10"/>
        <v>0</v>
      </c>
      <c r="T167" s="100" t="str">
        <f t="shared" si="10"/>
        <v/>
      </c>
    </row>
    <row r="168" spans="5:20">
      <c r="E168" s="28"/>
      <c r="G168" s="4" t="s">
        <v>202</v>
      </c>
      <c r="H168" s="100" t="str">
        <f t="shared" si="10"/>
        <v/>
      </c>
      <c r="I168" s="100" t="str">
        <f t="shared" si="10"/>
        <v/>
      </c>
      <c r="J168" s="100" t="str">
        <f t="shared" si="10"/>
        <v/>
      </c>
      <c r="K168" s="100" t="str">
        <f t="shared" si="10"/>
        <v/>
      </c>
      <c r="L168" s="100">
        <f t="shared" si="10"/>
        <v>0</v>
      </c>
      <c r="M168" s="100" t="str">
        <f t="shared" si="10"/>
        <v/>
      </c>
      <c r="N168" s="100" t="str">
        <f t="shared" si="10"/>
        <v/>
      </c>
      <c r="O168" s="100" t="str">
        <f t="shared" si="10"/>
        <v/>
      </c>
      <c r="P168" s="100" t="str">
        <f t="shared" si="10"/>
        <v/>
      </c>
      <c r="Q168" s="100" t="str">
        <f t="shared" si="10"/>
        <v/>
      </c>
      <c r="R168" s="100" t="str">
        <f t="shared" si="10"/>
        <v/>
      </c>
      <c r="S168" s="100" t="str">
        <f t="shared" si="10"/>
        <v/>
      </c>
      <c r="T168" s="100" t="str">
        <f t="shared" si="10"/>
        <v/>
      </c>
    </row>
    <row r="169" spans="5:20">
      <c r="E169" s="28"/>
      <c r="G169" s="4" t="s">
        <v>203</v>
      </c>
      <c r="H169" s="100">
        <f t="shared" si="10"/>
        <v>0</v>
      </c>
      <c r="I169" s="100" t="str">
        <f t="shared" si="10"/>
        <v/>
      </c>
      <c r="J169" s="100" t="str">
        <f t="shared" si="10"/>
        <v/>
      </c>
      <c r="K169" s="100" t="str">
        <f t="shared" si="10"/>
        <v/>
      </c>
      <c r="L169" s="100" t="str">
        <f t="shared" si="10"/>
        <v/>
      </c>
      <c r="M169" s="100" t="str">
        <f t="shared" si="10"/>
        <v/>
      </c>
      <c r="N169" s="100" t="str">
        <f t="shared" si="10"/>
        <v/>
      </c>
      <c r="O169" s="100" t="str">
        <f t="shared" si="10"/>
        <v/>
      </c>
      <c r="P169" s="100" t="str">
        <f t="shared" si="10"/>
        <v/>
      </c>
      <c r="Q169" s="100" t="str">
        <f t="shared" si="10"/>
        <v/>
      </c>
      <c r="R169" s="100" t="str">
        <f t="shared" si="10"/>
        <v/>
      </c>
      <c r="S169" s="100" t="str">
        <f t="shared" si="10"/>
        <v/>
      </c>
      <c r="T169" s="100" t="str">
        <f t="shared" si="10"/>
        <v/>
      </c>
    </row>
    <row r="170" spans="5:20">
      <c r="E170" s="28"/>
      <c r="G170" s="4" t="s">
        <v>204</v>
      </c>
      <c r="H170" s="100" t="str">
        <f t="shared" si="10"/>
        <v/>
      </c>
      <c r="I170" s="100" t="str">
        <f t="shared" si="10"/>
        <v/>
      </c>
      <c r="J170" s="100" t="str">
        <f t="shared" si="10"/>
        <v/>
      </c>
      <c r="K170" s="102">
        <f t="shared" si="10"/>
        <v>0</v>
      </c>
      <c r="L170" s="100" t="str">
        <f t="shared" si="10"/>
        <v/>
      </c>
      <c r="M170" s="100" t="str">
        <f t="shared" si="10"/>
        <v/>
      </c>
      <c r="N170" s="100" t="str">
        <f t="shared" si="10"/>
        <v/>
      </c>
      <c r="O170" s="100" t="str">
        <f t="shared" si="10"/>
        <v/>
      </c>
      <c r="P170" s="100" t="str">
        <f t="shared" si="10"/>
        <v/>
      </c>
      <c r="Q170" s="100" t="str">
        <f t="shared" si="10"/>
        <v/>
      </c>
      <c r="R170" s="100" t="str">
        <f t="shared" si="10"/>
        <v/>
      </c>
      <c r="S170" s="100" t="str">
        <f t="shared" si="10"/>
        <v/>
      </c>
      <c r="T170" s="100" t="str">
        <f t="shared" si="10"/>
        <v/>
      </c>
    </row>
    <row r="171" spans="5:20">
      <c r="E171" s="28"/>
      <c r="G171" s="4" t="s">
        <v>205</v>
      </c>
      <c r="H171" s="100" t="str">
        <f t="shared" ref="H171:T176" si="11">IF(ISERROR(H93-H47),"",H93-H47)</f>
        <v/>
      </c>
      <c r="I171" s="100" t="str">
        <f t="shared" si="11"/>
        <v/>
      </c>
      <c r="J171" s="100">
        <f t="shared" si="11"/>
        <v>0</v>
      </c>
      <c r="K171" s="100" t="str">
        <f t="shared" si="11"/>
        <v/>
      </c>
      <c r="L171" s="100" t="str">
        <f t="shared" si="11"/>
        <v/>
      </c>
      <c r="M171" s="100" t="str">
        <f t="shared" si="11"/>
        <v/>
      </c>
      <c r="N171" s="100" t="str">
        <f t="shared" si="11"/>
        <v/>
      </c>
      <c r="O171" s="100" t="str">
        <f t="shared" si="11"/>
        <v/>
      </c>
      <c r="P171" s="100" t="str">
        <f t="shared" si="11"/>
        <v/>
      </c>
      <c r="Q171" s="100" t="str">
        <f t="shared" si="11"/>
        <v/>
      </c>
      <c r="R171" s="100" t="str">
        <f t="shared" si="11"/>
        <v/>
      </c>
      <c r="S171" s="100" t="str">
        <f t="shared" si="11"/>
        <v/>
      </c>
      <c r="T171" s="100" t="str">
        <f t="shared" si="11"/>
        <v/>
      </c>
    </row>
    <row r="172" spans="5:20">
      <c r="E172" s="28"/>
      <c r="G172" s="4" t="s">
        <v>206</v>
      </c>
      <c r="H172" s="100" t="str">
        <f t="shared" si="11"/>
        <v/>
      </c>
      <c r="I172" s="100" t="str">
        <f t="shared" si="11"/>
        <v/>
      </c>
      <c r="J172" s="102">
        <f t="shared" si="11"/>
        <v>0.4399999999999995</v>
      </c>
      <c r="K172" s="100" t="str">
        <f t="shared" si="11"/>
        <v/>
      </c>
      <c r="L172" s="100" t="str">
        <f t="shared" si="11"/>
        <v/>
      </c>
      <c r="M172" s="100" t="str">
        <f t="shared" si="11"/>
        <v/>
      </c>
      <c r="N172" s="100" t="str">
        <f t="shared" si="11"/>
        <v/>
      </c>
      <c r="O172" s="100" t="str">
        <f t="shared" si="11"/>
        <v/>
      </c>
      <c r="P172" s="100" t="str">
        <f t="shared" si="11"/>
        <v/>
      </c>
      <c r="Q172" s="100" t="str">
        <f t="shared" si="11"/>
        <v/>
      </c>
      <c r="R172" s="100" t="str">
        <f t="shared" si="11"/>
        <v/>
      </c>
      <c r="S172" s="100" t="str">
        <f t="shared" si="11"/>
        <v/>
      </c>
      <c r="T172" s="100" t="str">
        <f t="shared" si="11"/>
        <v/>
      </c>
    </row>
    <row r="173" spans="5:20">
      <c r="E173"/>
      <c r="G173" s="4" t="s">
        <v>207</v>
      </c>
      <c r="H173" s="100" t="str">
        <f t="shared" si="11"/>
        <v/>
      </c>
      <c r="I173" s="100" t="str">
        <f t="shared" si="11"/>
        <v/>
      </c>
      <c r="J173" s="100" t="str">
        <f t="shared" si="11"/>
        <v/>
      </c>
      <c r="K173" s="100" t="str">
        <f t="shared" si="11"/>
        <v/>
      </c>
      <c r="L173" s="100">
        <f t="shared" si="11"/>
        <v>0</v>
      </c>
      <c r="M173" s="100" t="str">
        <f t="shared" si="11"/>
        <v/>
      </c>
      <c r="N173" s="100" t="str">
        <f t="shared" si="11"/>
        <v/>
      </c>
      <c r="O173" s="100" t="str">
        <f t="shared" si="11"/>
        <v/>
      </c>
      <c r="P173" s="100" t="str">
        <f t="shared" si="11"/>
        <v/>
      </c>
      <c r="Q173" s="100" t="str">
        <f t="shared" si="11"/>
        <v/>
      </c>
      <c r="R173" s="100" t="str">
        <f t="shared" si="11"/>
        <v/>
      </c>
      <c r="S173" s="100" t="str">
        <f t="shared" si="11"/>
        <v/>
      </c>
      <c r="T173" s="100" t="str">
        <f t="shared" si="11"/>
        <v/>
      </c>
    </row>
    <row r="174" spans="5:20">
      <c r="E174"/>
      <c r="G174" s="4" t="s">
        <v>208</v>
      </c>
      <c r="H174" s="100">
        <f t="shared" si="11"/>
        <v>0</v>
      </c>
      <c r="I174" s="100" t="str">
        <f t="shared" si="11"/>
        <v/>
      </c>
      <c r="J174" s="100" t="str">
        <f t="shared" si="11"/>
        <v/>
      </c>
      <c r="K174" s="100" t="str">
        <f t="shared" si="11"/>
        <v/>
      </c>
      <c r="L174" s="100" t="str">
        <f t="shared" si="11"/>
        <v/>
      </c>
      <c r="M174" s="100" t="str">
        <f t="shared" si="11"/>
        <v/>
      </c>
      <c r="N174" s="100" t="str">
        <f t="shared" si="11"/>
        <v/>
      </c>
      <c r="O174" s="100" t="str">
        <f t="shared" si="11"/>
        <v/>
      </c>
      <c r="P174" s="100" t="str">
        <f t="shared" si="11"/>
        <v/>
      </c>
      <c r="Q174" s="100" t="str">
        <f t="shared" si="11"/>
        <v/>
      </c>
      <c r="R174" s="100" t="str">
        <f t="shared" si="11"/>
        <v/>
      </c>
      <c r="S174" s="100" t="str">
        <f t="shared" si="11"/>
        <v/>
      </c>
      <c r="T174" s="100" t="str">
        <f t="shared" si="11"/>
        <v/>
      </c>
    </row>
    <row r="175" spans="5:20">
      <c r="E175"/>
      <c r="G175" s="4" t="s">
        <v>209</v>
      </c>
      <c r="H175" s="100" t="str">
        <f t="shared" si="11"/>
        <v/>
      </c>
      <c r="I175" s="100" t="str">
        <f t="shared" si="11"/>
        <v/>
      </c>
      <c r="J175" s="100" t="str">
        <f t="shared" si="11"/>
        <v/>
      </c>
      <c r="K175" s="100">
        <f t="shared" si="11"/>
        <v>0</v>
      </c>
      <c r="L175" s="100" t="str">
        <f t="shared" si="11"/>
        <v/>
      </c>
      <c r="M175" s="100" t="str">
        <f t="shared" si="11"/>
        <v/>
      </c>
      <c r="N175" s="100" t="str">
        <f t="shared" si="11"/>
        <v/>
      </c>
      <c r="O175" s="100" t="str">
        <f t="shared" si="11"/>
        <v/>
      </c>
      <c r="P175" s="100" t="str">
        <f t="shared" si="11"/>
        <v/>
      </c>
      <c r="Q175" s="100" t="str">
        <f t="shared" si="11"/>
        <v/>
      </c>
      <c r="R175" s="100" t="str">
        <f t="shared" si="11"/>
        <v/>
      </c>
      <c r="S175" s="100" t="str">
        <f t="shared" si="11"/>
        <v/>
      </c>
      <c r="T175" s="100" t="str">
        <f t="shared" si="11"/>
        <v/>
      </c>
    </row>
    <row r="176" spans="5:20" ht="13.5" thickBot="1">
      <c r="E176"/>
      <c r="G176" s="59" t="s">
        <v>210</v>
      </c>
      <c r="H176" s="100">
        <f t="shared" si="11"/>
        <v>0</v>
      </c>
      <c r="I176" s="100" t="str">
        <f t="shared" si="11"/>
        <v/>
      </c>
      <c r="J176" s="100" t="str">
        <f t="shared" si="11"/>
        <v/>
      </c>
      <c r="K176" s="100" t="str">
        <f t="shared" si="11"/>
        <v/>
      </c>
      <c r="L176" s="100" t="str">
        <f t="shared" si="11"/>
        <v/>
      </c>
      <c r="M176" s="100" t="str">
        <f t="shared" si="11"/>
        <v/>
      </c>
      <c r="N176" s="100" t="str">
        <f t="shared" si="11"/>
        <v/>
      </c>
      <c r="O176" s="100" t="str">
        <f t="shared" si="11"/>
        <v/>
      </c>
      <c r="P176" s="100" t="str">
        <f t="shared" si="11"/>
        <v/>
      </c>
      <c r="Q176" s="100" t="str">
        <f t="shared" si="11"/>
        <v/>
      </c>
      <c r="R176" s="100" t="str">
        <f t="shared" si="11"/>
        <v/>
      </c>
      <c r="S176" s="100" t="str">
        <f t="shared" si="11"/>
        <v/>
      </c>
      <c r="T176" s="100" t="str">
        <f t="shared" si="11"/>
        <v/>
      </c>
    </row>
    <row r="177" spans="5:20" ht="13.5" thickTop="1"/>
    <row r="178" spans="5:20">
      <c r="E178"/>
      <c r="G178" s="4" t="s">
        <v>188</v>
      </c>
      <c r="H178" s="100" t="str">
        <f>IF(ISERROR(H99-H30),"",H99-H30)</f>
        <v/>
      </c>
      <c r="I178" s="100" t="str">
        <f t="shared" ref="I178:T178" si="12">IF(ISERROR(I99-I30),"",I99-I30)</f>
        <v/>
      </c>
      <c r="J178" s="100" t="str">
        <f t="shared" si="12"/>
        <v/>
      </c>
      <c r="K178" s="100">
        <f t="shared" si="12"/>
        <v>0</v>
      </c>
      <c r="L178" s="100" t="str">
        <f t="shared" si="12"/>
        <v/>
      </c>
      <c r="M178" s="100" t="str">
        <f t="shared" si="12"/>
        <v/>
      </c>
      <c r="N178" s="100" t="str">
        <f t="shared" si="12"/>
        <v/>
      </c>
      <c r="O178" s="100" t="str">
        <f t="shared" si="12"/>
        <v/>
      </c>
      <c r="P178" s="100" t="str">
        <f t="shared" si="12"/>
        <v/>
      </c>
      <c r="Q178" s="100" t="str">
        <f t="shared" si="12"/>
        <v/>
      </c>
      <c r="R178" s="100" t="str">
        <f t="shared" si="12"/>
        <v/>
      </c>
      <c r="S178" s="100" t="str">
        <f t="shared" si="12"/>
        <v/>
      </c>
      <c r="T178" s="100" t="str">
        <f t="shared" si="12"/>
        <v/>
      </c>
    </row>
    <row r="179" spans="5:20">
      <c r="E179"/>
      <c r="G179" s="4" t="s">
        <v>189</v>
      </c>
      <c r="H179" s="100" t="str">
        <f t="shared" ref="H179:T194" si="13">IF(ISERROR(H100-H31),"",H100-H31)</f>
        <v/>
      </c>
      <c r="I179" s="100" t="str">
        <f t="shared" si="13"/>
        <v/>
      </c>
      <c r="J179" s="100" t="str">
        <f t="shared" si="13"/>
        <v/>
      </c>
      <c r="K179" s="100" t="str">
        <f t="shared" si="13"/>
        <v/>
      </c>
      <c r="L179" s="100" t="str">
        <f t="shared" si="13"/>
        <v/>
      </c>
      <c r="M179" s="100">
        <f t="shared" si="13"/>
        <v>0.25</v>
      </c>
      <c r="N179" s="100" t="str">
        <f t="shared" si="13"/>
        <v/>
      </c>
      <c r="O179" s="100" t="str">
        <f t="shared" si="13"/>
        <v/>
      </c>
      <c r="P179" s="100" t="str">
        <f t="shared" si="13"/>
        <v/>
      </c>
      <c r="Q179" s="100" t="str">
        <f t="shared" si="13"/>
        <v/>
      </c>
      <c r="R179" s="100" t="str">
        <f t="shared" si="13"/>
        <v/>
      </c>
      <c r="S179" s="100" t="str">
        <f t="shared" si="13"/>
        <v/>
      </c>
      <c r="T179" s="100" t="str">
        <f t="shared" si="13"/>
        <v/>
      </c>
    </row>
    <row r="180" spans="5:20">
      <c r="E180"/>
      <c r="G180" s="4" t="s">
        <v>190</v>
      </c>
      <c r="H180" s="100" t="str">
        <f t="shared" si="13"/>
        <v/>
      </c>
      <c r="I180" s="100" t="str">
        <f t="shared" si="13"/>
        <v/>
      </c>
      <c r="J180" s="100" t="str">
        <f t="shared" si="13"/>
        <v/>
      </c>
      <c r="K180" s="100" t="str">
        <f t="shared" si="13"/>
        <v/>
      </c>
      <c r="L180" s="100" t="str">
        <f t="shared" si="13"/>
        <v/>
      </c>
      <c r="M180" s="100">
        <f t="shared" si="13"/>
        <v>0</v>
      </c>
      <c r="N180" s="100" t="str">
        <f t="shared" si="13"/>
        <v/>
      </c>
      <c r="O180" s="100" t="str">
        <f t="shared" si="13"/>
        <v/>
      </c>
      <c r="P180" s="100" t="str">
        <f t="shared" si="13"/>
        <v/>
      </c>
      <c r="Q180" s="100" t="str">
        <f t="shared" si="13"/>
        <v/>
      </c>
      <c r="R180" s="100" t="str">
        <f t="shared" si="13"/>
        <v/>
      </c>
      <c r="S180" s="100" t="str">
        <f t="shared" si="13"/>
        <v/>
      </c>
      <c r="T180" s="100" t="str">
        <f t="shared" si="13"/>
        <v/>
      </c>
    </row>
    <row r="181" spans="5:20">
      <c r="E181"/>
      <c r="G181" s="4" t="s">
        <v>191</v>
      </c>
      <c r="H181" s="100" t="str">
        <f t="shared" si="13"/>
        <v/>
      </c>
      <c r="I181" s="100" t="str">
        <f t="shared" si="13"/>
        <v/>
      </c>
      <c r="J181" s="100" t="str">
        <f t="shared" si="13"/>
        <v/>
      </c>
      <c r="K181" s="100" t="str">
        <f t="shared" si="13"/>
        <v/>
      </c>
      <c r="L181" s="100">
        <f t="shared" si="13"/>
        <v>0</v>
      </c>
      <c r="M181" s="100" t="str">
        <f t="shared" si="13"/>
        <v/>
      </c>
      <c r="N181" s="100" t="str">
        <f t="shared" si="13"/>
        <v/>
      </c>
      <c r="O181" s="100" t="str">
        <f t="shared" si="13"/>
        <v/>
      </c>
      <c r="P181" s="100" t="str">
        <f t="shared" si="13"/>
        <v/>
      </c>
      <c r="Q181" s="100" t="str">
        <f t="shared" si="13"/>
        <v/>
      </c>
      <c r="R181" s="100" t="str">
        <f t="shared" si="13"/>
        <v/>
      </c>
      <c r="S181" s="100" t="str">
        <f t="shared" si="13"/>
        <v/>
      </c>
      <c r="T181" s="100" t="str">
        <f t="shared" si="13"/>
        <v/>
      </c>
    </row>
    <row r="182" spans="5:20">
      <c r="E182" s="28"/>
      <c r="G182" s="4" t="s">
        <v>192</v>
      </c>
      <c r="H182" s="100" t="str">
        <f t="shared" si="13"/>
        <v/>
      </c>
      <c r="I182" s="102">
        <f t="shared" si="13"/>
        <v>0.23399999999999999</v>
      </c>
      <c r="J182" s="100" t="str">
        <f t="shared" si="13"/>
        <v/>
      </c>
      <c r="K182" s="100" t="str">
        <f t="shared" si="13"/>
        <v/>
      </c>
      <c r="L182" s="100" t="str">
        <f t="shared" si="13"/>
        <v/>
      </c>
      <c r="M182" s="100" t="str">
        <f t="shared" si="13"/>
        <v/>
      </c>
      <c r="N182" s="100" t="str">
        <f t="shared" si="13"/>
        <v/>
      </c>
      <c r="O182" s="100" t="str">
        <f t="shared" si="13"/>
        <v/>
      </c>
      <c r="P182" s="100" t="str">
        <f t="shared" si="13"/>
        <v/>
      </c>
      <c r="Q182" s="100" t="str">
        <f t="shared" si="13"/>
        <v/>
      </c>
      <c r="R182" s="100" t="str">
        <f t="shared" si="13"/>
        <v/>
      </c>
      <c r="S182" s="100" t="str">
        <f t="shared" si="13"/>
        <v/>
      </c>
      <c r="T182" s="100" t="str">
        <f t="shared" si="13"/>
        <v/>
      </c>
    </row>
    <row r="183" spans="5:20">
      <c r="E183" s="28"/>
      <c r="G183" s="4" t="s">
        <v>193</v>
      </c>
      <c r="H183" s="100" t="str">
        <f t="shared" si="13"/>
        <v/>
      </c>
      <c r="I183" s="102" t="str">
        <f t="shared" si="13"/>
        <v/>
      </c>
      <c r="J183" s="100" t="str">
        <f t="shared" si="13"/>
        <v/>
      </c>
      <c r="K183" s="100" t="str">
        <f t="shared" si="13"/>
        <v/>
      </c>
      <c r="L183" s="100">
        <f t="shared" si="13"/>
        <v>0</v>
      </c>
      <c r="M183" s="100" t="str">
        <f t="shared" si="13"/>
        <v/>
      </c>
      <c r="N183" s="100" t="str">
        <f t="shared" si="13"/>
        <v/>
      </c>
      <c r="O183" s="100" t="str">
        <f t="shared" si="13"/>
        <v/>
      </c>
      <c r="P183" s="100" t="str">
        <f t="shared" si="13"/>
        <v/>
      </c>
      <c r="Q183" s="100" t="str">
        <f t="shared" si="13"/>
        <v/>
      </c>
      <c r="R183" s="100" t="str">
        <f t="shared" si="13"/>
        <v/>
      </c>
      <c r="S183" s="100" t="str">
        <f t="shared" si="13"/>
        <v/>
      </c>
      <c r="T183" s="100" t="str">
        <f t="shared" si="13"/>
        <v/>
      </c>
    </row>
    <row r="184" spans="5:20">
      <c r="E184" s="28"/>
      <c r="G184" s="4" t="s">
        <v>194</v>
      </c>
      <c r="H184" s="100" t="str">
        <f t="shared" si="13"/>
        <v/>
      </c>
      <c r="I184" s="100" t="str">
        <f t="shared" si="13"/>
        <v/>
      </c>
      <c r="J184" s="100" t="str">
        <f t="shared" si="13"/>
        <v/>
      </c>
      <c r="K184" s="100" t="str">
        <f t="shared" si="13"/>
        <v/>
      </c>
      <c r="L184" s="100" t="str">
        <f t="shared" si="13"/>
        <v/>
      </c>
      <c r="M184" s="100" t="str">
        <f t="shared" si="13"/>
        <v/>
      </c>
      <c r="N184" s="102">
        <f t="shared" si="13"/>
        <v>3.4999999999999996</v>
      </c>
      <c r="O184" s="100" t="str">
        <f t="shared" si="13"/>
        <v/>
      </c>
      <c r="P184" s="100" t="str">
        <f t="shared" si="13"/>
        <v/>
      </c>
      <c r="Q184" s="100" t="str">
        <f t="shared" si="13"/>
        <v/>
      </c>
      <c r="R184" s="100" t="str">
        <f t="shared" si="13"/>
        <v/>
      </c>
      <c r="S184" s="100" t="str">
        <f t="shared" si="13"/>
        <v/>
      </c>
      <c r="T184" s="100" t="str">
        <f t="shared" si="13"/>
        <v/>
      </c>
    </row>
    <row r="185" spans="5:20">
      <c r="E185" s="28"/>
      <c r="G185" s="4" t="s">
        <v>195</v>
      </c>
      <c r="H185" s="100" t="str">
        <f t="shared" si="13"/>
        <v/>
      </c>
      <c r="I185" s="100" t="str">
        <f t="shared" si="13"/>
        <v/>
      </c>
      <c r="J185" s="100" t="str">
        <f t="shared" si="13"/>
        <v/>
      </c>
      <c r="K185" s="100" t="str">
        <f t="shared" si="13"/>
        <v/>
      </c>
      <c r="L185" s="100" t="str">
        <f t="shared" si="13"/>
        <v/>
      </c>
      <c r="M185" s="100" t="str">
        <f t="shared" si="13"/>
        <v/>
      </c>
      <c r="N185" s="101" t="str">
        <f t="shared" si="13"/>
        <v/>
      </c>
      <c r="O185" s="100" t="str">
        <f t="shared" si="13"/>
        <v/>
      </c>
      <c r="P185" s="100">
        <f t="shared" si="13"/>
        <v>0</v>
      </c>
      <c r="Q185" s="100" t="str">
        <f t="shared" si="13"/>
        <v/>
      </c>
      <c r="R185" s="100" t="str">
        <f t="shared" si="13"/>
        <v/>
      </c>
      <c r="S185" s="100" t="str">
        <f t="shared" si="13"/>
        <v/>
      </c>
      <c r="T185" s="100" t="str">
        <f t="shared" si="13"/>
        <v/>
      </c>
    </row>
    <row r="186" spans="5:20">
      <c r="E186" s="28"/>
      <c r="G186" s="4" t="s">
        <v>196</v>
      </c>
      <c r="H186" s="100" t="str">
        <f t="shared" si="13"/>
        <v/>
      </c>
      <c r="I186" s="100" t="str">
        <f t="shared" si="13"/>
        <v/>
      </c>
      <c r="J186" s="100" t="str">
        <f t="shared" si="13"/>
        <v/>
      </c>
      <c r="K186" s="100" t="str">
        <f t="shared" si="13"/>
        <v/>
      </c>
      <c r="L186" s="100" t="str">
        <f t="shared" si="13"/>
        <v/>
      </c>
      <c r="M186" s="100" t="str">
        <f t="shared" si="13"/>
        <v/>
      </c>
      <c r="N186" s="100">
        <f t="shared" si="13"/>
        <v>0.66700000000000004</v>
      </c>
      <c r="O186" s="100" t="str">
        <f t="shared" si="13"/>
        <v/>
      </c>
      <c r="P186" s="100" t="str">
        <f t="shared" si="13"/>
        <v/>
      </c>
      <c r="Q186" s="100" t="str">
        <f t="shared" si="13"/>
        <v/>
      </c>
      <c r="R186" s="100" t="str">
        <f t="shared" si="13"/>
        <v/>
      </c>
      <c r="S186" s="100" t="str">
        <f t="shared" si="13"/>
        <v/>
      </c>
      <c r="T186" s="100" t="str">
        <f t="shared" si="13"/>
        <v/>
      </c>
    </row>
    <row r="187" spans="5:20">
      <c r="E187" s="28"/>
      <c r="G187" s="4" t="s">
        <v>197</v>
      </c>
      <c r="H187" s="100" t="str">
        <f t="shared" si="13"/>
        <v/>
      </c>
      <c r="I187" s="100" t="str">
        <f t="shared" si="13"/>
        <v/>
      </c>
      <c r="J187" s="100" t="str">
        <f t="shared" si="13"/>
        <v/>
      </c>
      <c r="K187" s="100">
        <f t="shared" si="13"/>
        <v>0.39999999999999991</v>
      </c>
      <c r="L187" s="100" t="str">
        <f t="shared" si="13"/>
        <v/>
      </c>
      <c r="M187" s="100" t="str">
        <f t="shared" si="13"/>
        <v/>
      </c>
      <c r="N187" s="100" t="str">
        <f t="shared" si="13"/>
        <v/>
      </c>
      <c r="O187" s="100" t="str">
        <f t="shared" si="13"/>
        <v/>
      </c>
      <c r="P187" s="100" t="str">
        <f t="shared" si="13"/>
        <v/>
      </c>
      <c r="Q187" s="100" t="str">
        <f t="shared" si="13"/>
        <v/>
      </c>
      <c r="R187" s="100" t="str">
        <f t="shared" si="13"/>
        <v/>
      </c>
      <c r="S187" s="100" t="str">
        <f t="shared" si="13"/>
        <v/>
      </c>
      <c r="T187" s="100" t="str">
        <f t="shared" si="13"/>
        <v/>
      </c>
    </row>
    <row r="188" spans="5:20">
      <c r="E188" s="28"/>
      <c r="G188" s="4" t="s">
        <v>198</v>
      </c>
      <c r="H188" s="100" t="str">
        <f t="shared" si="13"/>
        <v/>
      </c>
      <c r="I188" s="100" t="str">
        <f t="shared" si="13"/>
        <v/>
      </c>
      <c r="J188" s="100" t="str">
        <f t="shared" si="13"/>
        <v/>
      </c>
      <c r="K188" s="100" t="str">
        <f t="shared" si="13"/>
        <v/>
      </c>
      <c r="L188" s="100" t="str">
        <f t="shared" si="13"/>
        <v/>
      </c>
      <c r="M188" s="100" t="str">
        <f t="shared" si="13"/>
        <v/>
      </c>
      <c r="N188" s="100" t="str">
        <f t="shared" si="13"/>
        <v/>
      </c>
      <c r="O188" s="100" t="str">
        <f t="shared" si="13"/>
        <v/>
      </c>
      <c r="P188" s="100">
        <f t="shared" si="13"/>
        <v>0.20000000000000018</v>
      </c>
      <c r="Q188" s="100" t="str">
        <f t="shared" si="13"/>
        <v/>
      </c>
      <c r="R188" s="100" t="str">
        <f t="shared" si="13"/>
        <v/>
      </c>
      <c r="S188" s="100" t="str">
        <f t="shared" si="13"/>
        <v/>
      </c>
      <c r="T188" s="100" t="str">
        <f t="shared" si="13"/>
        <v/>
      </c>
    </row>
    <row r="189" spans="5:20">
      <c r="E189" s="28"/>
      <c r="G189" s="4" t="s">
        <v>199</v>
      </c>
      <c r="H189" s="100" t="str">
        <f t="shared" si="13"/>
        <v/>
      </c>
      <c r="I189" s="100" t="str">
        <f t="shared" si="13"/>
        <v/>
      </c>
      <c r="J189" s="100" t="str">
        <f t="shared" si="13"/>
        <v/>
      </c>
      <c r="K189" s="100" t="str">
        <f t="shared" si="13"/>
        <v/>
      </c>
      <c r="L189" s="100" t="str">
        <f t="shared" si="13"/>
        <v/>
      </c>
      <c r="M189" s="100" t="str">
        <f t="shared" si="13"/>
        <v/>
      </c>
      <c r="N189" s="100" t="str">
        <f t="shared" si="13"/>
        <v/>
      </c>
      <c r="O189" s="100">
        <f t="shared" si="13"/>
        <v>0.19999999999999996</v>
      </c>
      <c r="P189" s="100" t="str">
        <f t="shared" si="13"/>
        <v/>
      </c>
      <c r="Q189" s="100" t="str">
        <f t="shared" si="13"/>
        <v/>
      </c>
      <c r="R189" s="100" t="str">
        <f t="shared" si="13"/>
        <v/>
      </c>
      <c r="S189" s="100" t="str">
        <f t="shared" si="13"/>
        <v/>
      </c>
      <c r="T189" s="100" t="str">
        <f t="shared" si="13"/>
        <v/>
      </c>
    </row>
    <row r="190" spans="5:20">
      <c r="E190" s="28"/>
      <c r="G190" s="4" t="s">
        <v>200</v>
      </c>
      <c r="H190" s="100" t="str">
        <f t="shared" si="13"/>
        <v/>
      </c>
      <c r="I190" s="100" t="str">
        <f t="shared" si="13"/>
        <v/>
      </c>
      <c r="J190" s="100">
        <f t="shared" si="13"/>
        <v>0</v>
      </c>
      <c r="K190" s="100" t="str">
        <f t="shared" si="13"/>
        <v/>
      </c>
      <c r="L190" s="100" t="str">
        <f t="shared" si="13"/>
        <v/>
      </c>
      <c r="M190" s="100" t="str">
        <f t="shared" si="13"/>
        <v/>
      </c>
      <c r="N190" s="100" t="str">
        <f t="shared" si="13"/>
        <v/>
      </c>
      <c r="O190" s="100" t="str">
        <f t="shared" si="13"/>
        <v/>
      </c>
      <c r="P190" s="100" t="str">
        <f t="shared" si="13"/>
        <v/>
      </c>
      <c r="Q190" s="100" t="str">
        <f t="shared" si="13"/>
        <v/>
      </c>
      <c r="R190" s="100" t="str">
        <f t="shared" si="13"/>
        <v/>
      </c>
      <c r="S190" s="100" t="str">
        <f t="shared" si="13"/>
        <v/>
      </c>
      <c r="T190" s="100" t="str">
        <f t="shared" si="13"/>
        <v/>
      </c>
    </row>
    <row r="191" spans="5:20">
      <c r="E191" s="28"/>
      <c r="G191" s="4" t="s">
        <v>201</v>
      </c>
      <c r="H191" s="100" t="str">
        <f t="shared" si="13"/>
        <v/>
      </c>
      <c r="I191" s="100" t="str">
        <f t="shared" si="13"/>
        <v/>
      </c>
      <c r="J191" s="100" t="str">
        <f t="shared" si="13"/>
        <v/>
      </c>
      <c r="K191" s="100" t="str">
        <f t="shared" si="13"/>
        <v/>
      </c>
      <c r="L191" s="100" t="str">
        <f t="shared" si="13"/>
        <v/>
      </c>
      <c r="M191" s="100" t="str">
        <f t="shared" si="13"/>
        <v/>
      </c>
      <c r="N191" s="100" t="str">
        <f t="shared" si="13"/>
        <v/>
      </c>
      <c r="O191" s="100" t="str">
        <f t="shared" si="13"/>
        <v/>
      </c>
      <c r="P191" s="100" t="str">
        <f t="shared" si="13"/>
        <v/>
      </c>
      <c r="Q191" s="100" t="str">
        <f t="shared" si="13"/>
        <v/>
      </c>
      <c r="R191" s="100" t="str">
        <f t="shared" si="13"/>
        <v/>
      </c>
      <c r="S191" s="102">
        <f t="shared" si="13"/>
        <v>1.738</v>
      </c>
      <c r="T191" s="100" t="str">
        <f t="shared" si="13"/>
        <v/>
      </c>
    </row>
    <row r="192" spans="5:20">
      <c r="E192" s="28"/>
      <c r="G192" s="4" t="s">
        <v>202</v>
      </c>
      <c r="H192" s="100" t="str">
        <f t="shared" si="13"/>
        <v/>
      </c>
      <c r="I192" s="100" t="str">
        <f t="shared" si="13"/>
        <v/>
      </c>
      <c r="J192" s="100" t="str">
        <f t="shared" si="13"/>
        <v/>
      </c>
      <c r="K192" s="100" t="str">
        <f t="shared" si="13"/>
        <v/>
      </c>
      <c r="L192" s="100">
        <f t="shared" si="13"/>
        <v>0</v>
      </c>
      <c r="M192" s="100" t="str">
        <f t="shared" si="13"/>
        <v/>
      </c>
      <c r="N192" s="100" t="str">
        <f t="shared" si="13"/>
        <v/>
      </c>
      <c r="O192" s="100" t="str">
        <f t="shared" si="13"/>
        <v/>
      </c>
      <c r="P192" s="100" t="str">
        <f t="shared" si="13"/>
        <v/>
      </c>
      <c r="Q192" s="100" t="str">
        <f t="shared" si="13"/>
        <v/>
      </c>
      <c r="R192" s="100" t="str">
        <f t="shared" si="13"/>
        <v/>
      </c>
      <c r="S192" s="101" t="str">
        <f t="shared" si="13"/>
        <v/>
      </c>
      <c r="T192" s="100" t="str">
        <f t="shared" si="13"/>
        <v/>
      </c>
    </row>
    <row r="193" spans="5:20">
      <c r="E193" s="28"/>
      <c r="G193" s="4" t="s">
        <v>203</v>
      </c>
      <c r="H193" s="100">
        <f t="shared" si="13"/>
        <v>0</v>
      </c>
      <c r="I193" s="100" t="str">
        <f t="shared" si="13"/>
        <v/>
      </c>
      <c r="J193" s="100" t="str">
        <f t="shared" si="13"/>
        <v/>
      </c>
      <c r="K193" s="100" t="str">
        <f t="shared" si="13"/>
        <v/>
      </c>
      <c r="L193" s="100" t="str">
        <f t="shared" si="13"/>
        <v/>
      </c>
      <c r="M193" s="100" t="str">
        <f t="shared" si="13"/>
        <v/>
      </c>
      <c r="N193" s="100" t="str">
        <f t="shared" si="13"/>
        <v/>
      </c>
      <c r="O193" s="100" t="str">
        <f t="shared" si="13"/>
        <v/>
      </c>
      <c r="P193" s="100" t="str">
        <f t="shared" si="13"/>
        <v/>
      </c>
      <c r="Q193" s="100" t="str">
        <f t="shared" si="13"/>
        <v/>
      </c>
      <c r="R193" s="100" t="str">
        <f t="shared" si="13"/>
        <v/>
      </c>
      <c r="S193" s="100" t="str">
        <f t="shared" si="13"/>
        <v/>
      </c>
      <c r="T193" s="100" t="str">
        <f t="shared" si="13"/>
        <v/>
      </c>
    </row>
    <row r="194" spans="5:20">
      <c r="E194" s="28"/>
      <c r="G194" s="4" t="s">
        <v>204</v>
      </c>
      <c r="H194" s="100" t="str">
        <f t="shared" si="13"/>
        <v/>
      </c>
      <c r="I194" s="100" t="str">
        <f t="shared" si="13"/>
        <v/>
      </c>
      <c r="J194" s="100" t="str">
        <f t="shared" si="13"/>
        <v/>
      </c>
      <c r="K194" s="102">
        <f t="shared" si="13"/>
        <v>2.6799999999999997</v>
      </c>
      <c r="L194" s="100" t="str">
        <f t="shared" si="13"/>
        <v/>
      </c>
      <c r="M194" s="100" t="str">
        <f t="shared" si="13"/>
        <v/>
      </c>
      <c r="N194" s="100" t="str">
        <f t="shared" si="13"/>
        <v/>
      </c>
      <c r="O194" s="100" t="str">
        <f t="shared" si="13"/>
        <v/>
      </c>
      <c r="P194" s="100" t="str">
        <f t="shared" si="13"/>
        <v/>
      </c>
      <c r="Q194" s="100" t="str">
        <f t="shared" si="13"/>
        <v/>
      </c>
      <c r="R194" s="100" t="str">
        <f t="shared" si="13"/>
        <v/>
      </c>
      <c r="S194" s="100" t="str">
        <f t="shared" si="13"/>
        <v/>
      </c>
      <c r="T194" s="100" t="str">
        <f t="shared" si="13"/>
        <v/>
      </c>
    </row>
    <row r="195" spans="5:20">
      <c r="E195" s="28"/>
      <c r="G195" s="4" t="s">
        <v>205</v>
      </c>
      <c r="H195" s="100" t="str">
        <f t="shared" ref="H195:T200" si="14">IF(ISERROR(H116-H47),"",H116-H47)</f>
        <v/>
      </c>
      <c r="I195" s="100" t="str">
        <f t="shared" si="14"/>
        <v/>
      </c>
      <c r="J195" s="100">
        <f t="shared" si="14"/>
        <v>0</v>
      </c>
      <c r="K195" s="101" t="str">
        <f t="shared" si="14"/>
        <v/>
      </c>
      <c r="L195" s="100" t="str">
        <f t="shared" si="14"/>
        <v/>
      </c>
      <c r="M195" s="100" t="str">
        <f t="shared" si="14"/>
        <v/>
      </c>
      <c r="N195" s="100" t="str">
        <f t="shared" si="14"/>
        <v/>
      </c>
      <c r="O195" s="100" t="str">
        <f t="shared" si="14"/>
        <v/>
      </c>
      <c r="P195" s="100" t="str">
        <f t="shared" si="14"/>
        <v/>
      </c>
      <c r="Q195" s="100" t="str">
        <f t="shared" si="14"/>
        <v/>
      </c>
      <c r="R195" s="100" t="str">
        <f t="shared" si="14"/>
        <v/>
      </c>
      <c r="S195" s="100" t="str">
        <f t="shared" si="14"/>
        <v/>
      </c>
      <c r="T195" s="100" t="str">
        <f t="shared" si="14"/>
        <v/>
      </c>
    </row>
    <row r="196" spans="5:20">
      <c r="E196" s="28"/>
      <c r="G196" s="4" t="s">
        <v>206</v>
      </c>
      <c r="H196" s="100" t="str">
        <f t="shared" si="14"/>
        <v/>
      </c>
      <c r="I196" s="100" t="str">
        <f t="shared" si="14"/>
        <v/>
      </c>
      <c r="J196" s="102">
        <f t="shared" si="14"/>
        <v>1.4399999999999995</v>
      </c>
      <c r="K196" s="100" t="str">
        <f t="shared" si="14"/>
        <v/>
      </c>
      <c r="L196" s="100" t="str">
        <f t="shared" si="14"/>
        <v/>
      </c>
      <c r="M196" s="100" t="str">
        <f t="shared" si="14"/>
        <v/>
      </c>
      <c r="N196" s="100" t="str">
        <f t="shared" si="14"/>
        <v/>
      </c>
      <c r="O196" s="100" t="str">
        <f t="shared" si="14"/>
        <v/>
      </c>
      <c r="P196" s="100" t="str">
        <f t="shared" si="14"/>
        <v/>
      </c>
      <c r="Q196" s="100" t="str">
        <f t="shared" si="14"/>
        <v/>
      </c>
      <c r="R196" s="100" t="str">
        <f t="shared" si="14"/>
        <v/>
      </c>
      <c r="S196" s="100" t="str">
        <f t="shared" si="14"/>
        <v/>
      </c>
      <c r="T196" s="100" t="str">
        <f t="shared" si="14"/>
        <v/>
      </c>
    </row>
    <row r="197" spans="5:20">
      <c r="E197"/>
      <c r="G197" s="4" t="s">
        <v>207</v>
      </c>
      <c r="H197" s="100" t="str">
        <f t="shared" si="14"/>
        <v/>
      </c>
      <c r="I197" s="100" t="str">
        <f t="shared" si="14"/>
        <v/>
      </c>
      <c r="J197" s="101" t="str">
        <f t="shared" si="14"/>
        <v/>
      </c>
      <c r="K197" s="100" t="str">
        <f t="shared" si="14"/>
        <v/>
      </c>
      <c r="L197" s="100">
        <f t="shared" si="14"/>
        <v>0.60000000000000009</v>
      </c>
      <c r="M197" s="100" t="str">
        <f t="shared" si="14"/>
        <v/>
      </c>
      <c r="N197" s="100" t="str">
        <f t="shared" si="14"/>
        <v/>
      </c>
      <c r="O197" s="100" t="str">
        <f t="shared" si="14"/>
        <v/>
      </c>
      <c r="P197" s="100" t="str">
        <f t="shared" si="14"/>
        <v/>
      </c>
      <c r="Q197" s="100" t="str">
        <f t="shared" si="14"/>
        <v/>
      </c>
      <c r="R197" s="100" t="str">
        <f t="shared" si="14"/>
        <v/>
      </c>
      <c r="S197" s="100" t="str">
        <f t="shared" si="14"/>
        <v/>
      </c>
      <c r="T197" s="100" t="str">
        <f t="shared" si="14"/>
        <v/>
      </c>
    </row>
    <row r="198" spans="5:20">
      <c r="E198"/>
      <c r="G198" s="4" t="s">
        <v>208</v>
      </c>
      <c r="H198" s="100">
        <f t="shared" si="14"/>
        <v>0.10000000000000009</v>
      </c>
      <c r="I198" s="100" t="str">
        <f t="shared" si="14"/>
        <v/>
      </c>
      <c r="J198" s="100" t="str">
        <f t="shared" si="14"/>
        <v/>
      </c>
      <c r="K198" s="100" t="str">
        <f t="shared" si="14"/>
        <v/>
      </c>
      <c r="L198" s="100" t="str">
        <f t="shared" si="14"/>
        <v/>
      </c>
      <c r="M198" s="100" t="str">
        <f t="shared" si="14"/>
        <v/>
      </c>
      <c r="N198" s="100" t="str">
        <f t="shared" si="14"/>
        <v/>
      </c>
      <c r="O198" s="100" t="str">
        <f t="shared" si="14"/>
        <v/>
      </c>
      <c r="P198" s="100" t="str">
        <f t="shared" si="14"/>
        <v/>
      </c>
      <c r="Q198" s="100" t="str">
        <f t="shared" si="14"/>
        <v/>
      </c>
      <c r="R198" s="100" t="str">
        <f t="shared" si="14"/>
        <v/>
      </c>
      <c r="S198" s="100" t="str">
        <f t="shared" si="14"/>
        <v/>
      </c>
      <c r="T198" s="100" t="str">
        <f t="shared" si="14"/>
        <v/>
      </c>
    </row>
    <row r="199" spans="5:20">
      <c r="E199"/>
      <c r="G199" s="4" t="s">
        <v>209</v>
      </c>
      <c r="H199" s="100" t="str">
        <f t="shared" si="14"/>
        <v/>
      </c>
      <c r="I199" s="100" t="str">
        <f t="shared" si="14"/>
        <v/>
      </c>
      <c r="J199" s="100" t="str">
        <f t="shared" si="14"/>
        <v/>
      </c>
      <c r="K199" s="100">
        <f t="shared" si="14"/>
        <v>0.70000000000000018</v>
      </c>
      <c r="L199" s="100" t="str">
        <f t="shared" si="14"/>
        <v/>
      </c>
      <c r="M199" s="100" t="str">
        <f t="shared" si="14"/>
        <v/>
      </c>
      <c r="N199" s="100" t="str">
        <f t="shared" si="14"/>
        <v/>
      </c>
      <c r="O199" s="100" t="str">
        <f t="shared" si="14"/>
        <v/>
      </c>
      <c r="P199" s="100" t="str">
        <f t="shared" si="14"/>
        <v/>
      </c>
      <c r="Q199" s="100" t="str">
        <f t="shared" si="14"/>
        <v/>
      </c>
      <c r="R199" s="100" t="str">
        <f t="shared" si="14"/>
        <v/>
      </c>
      <c r="S199" s="100" t="str">
        <f t="shared" si="14"/>
        <v/>
      </c>
      <c r="T199" s="100" t="str">
        <f t="shared" si="14"/>
        <v/>
      </c>
    </row>
    <row r="200" spans="5:20" ht="13.5" thickBot="1">
      <c r="E200"/>
      <c r="G200" s="59" t="s">
        <v>210</v>
      </c>
      <c r="H200" s="100">
        <f t="shared" si="14"/>
        <v>1.9500000000000002</v>
      </c>
      <c r="I200" s="100" t="str">
        <f t="shared" si="14"/>
        <v/>
      </c>
      <c r="J200" s="100" t="str">
        <f t="shared" si="14"/>
        <v/>
      </c>
      <c r="K200" s="100" t="str">
        <f t="shared" si="14"/>
        <v/>
      </c>
      <c r="L200" s="100" t="str">
        <f t="shared" si="14"/>
        <v/>
      </c>
      <c r="M200" s="100" t="str">
        <f t="shared" si="14"/>
        <v/>
      </c>
      <c r="N200" s="100" t="str">
        <f t="shared" si="14"/>
        <v/>
      </c>
      <c r="O200" s="100" t="str">
        <f t="shared" si="14"/>
        <v/>
      </c>
      <c r="P200" s="100" t="str">
        <f t="shared" si="14"/>
        <v/>
      </c>
      <c r="Q200" s="100" t="str">
        <f t="shared" si="14"/>
        <v/>
      </c>
      <c r="R200" s="100" t="str">
        <f t="shared" si="14"/>
        <v/>
      </c>
      <c r="S200" s="100" t="str">
        <f t="shared" si="14"/>
        <v/>
      </c>
      <c r="T200" s="100" t="str">
        <f t="shared" si="14"/>
        <v/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80"/>
  <sheetViews>
    <sheetView zoomScaleNormal="100" workbookViewId="0">
      <pane ySplit="4" topLeftCell="A5" activePane="bottomLeft" state="frozen"/>
      <selection pane="bottomLeft" activeCell="I15" sqref="I15"/>
    </sheetView>
  </sheetViews>
  <sheetFormatPr defaultRowHeight="12.75"/>
  <cols>
    <col min="1" max="1" width="5.28515625" customWidth="1"/>
    <col min="2" max="2" width="7.5703125" customWidth="1"/>
    <col min="3" max="3" width="8.5703125" style="4" customWidth="1"/>
    <col min="4" max="4" width="20" style="4" customWidth="1"/>
    <col min="5" max="5" width="10.42578125" style="4" customWidth="1"/>
    <col min="6" max="6" width="15" style="4" bestFit="1" customWidth="1"/>
    <col min="7" max="7" width="6.85546875" customWidth="1"/>
    <col min="8" max="8" width="12" style="4" customWidth="1"/>
    <col min="9" max="11" width="9.140625" style="4"/>
    <col min="12" max="12" width="10.7109375" style="4" customWidth="1"/>
    <col min="13" max="13" width="11.5703125" style="4" bestFit="1" customWidth="1"/>
    <col min="14" max="14" width="14.7109375" style="4" customWidth="1"/>
    <col min="15" max="20" width="9.140625" style="4"/>
    <col min="21" max="21" width="10.85546875" customWidth="1"/>
    <col min="22" max="22" width="20" customWidth="1"/>
    <col min="23" max="23" width="11.42578125" bestFit="1" customWidth="1"/>
    <col min="24" max="24" width="25.5703125" style="4" customWidth="1"/>
  </cols>
  <sheetData>
    <row r="1" spans="1:24">
      <c r="A1" s="20" t="s">
        <v>45</v>
      </c>
    </row>
    <row r="3" spans="1:24">
      <c r="B3" s="5" t="s">
        <v>2</v>
      </c>
      <c r="C3" s="9"/>
    </row>
    <row r="4" spans="1:24" ht="13.5" thickBot="1">
      <c r="B4" s="11" t="s">
        <v>3</v>
      </c>
      <c r="C4" s="11" t="s">
        <v>4</v>
      </c>
      <c r="D4" s="26" t="s">
        <v>5</v>
      </c>
      <c r="E4" s="26" t="s">
        <v>6</v>
      </c>
      <c r="F4" s="11" t="s">
        <v>0</v>
      </c>
      <c r="G4" s="11" t="s">
        <v>1</v>
      </c>
      <c r="H4" s="6" t="s">
        <v>76</v>
      </c>
      <c r="I4" s="6" t="s">
        <v>77</v>
      </c>
      <c r="J4" s="6" t="s">
        <v>78</v>
      </c>
      <c r="K4" s="6" t="s">
        <v>79</v>
      </c>
      <c r="L4" s="6" t="s">
        <v>80</v>
      </c>
      <c r="M4" s="6" t="s">
        <v>81</v>
      </c>
      <c r="N4" s="6" t="s">
        <v>82</v>
      </c>
      <c r="O4" s="6" t="s">
        <v>83</v>
      </c>
      <c r="P4" s="6" t="s">
        <v>84</v>
      </c>
      <c r="Q4" s="6" t="s">
        <v>96</v>
      </c>
      <c r="R4" s="6" t="s">
        <v>85</v>
      </c>
      <c r="S4" s="6" t="s">
        <v>86</v>
      </c>
      <c r="T4" s="6" t="s">
        <v>87</v>
      </c>
      <c r="U4" s="11" t="s">
        <v>7</v>
      </c>
      <c r="V4" s="11" t="s">
        <v>8</v>
      </c>
      <c r="W4" s="26" t="s">
        <v>11</v>
      </c>
      <c r="X4" s="26" t="s">
        <v>12</v>
      </c>
    </row>
    <row r="5" spans="1:24">
      <c r="A5" s="19" t="s">
        <v>41</v>
      </c>
      <c r="C5" s="18" t="s">
        <v>33</v>
      </c>
      <c r="D5" s="18" t="s">
        <v>31</v>
      </c>
      <c r="E5" s="27" t="s">
        <v>115</v>
      </c>
      <c r="F5" s="10"/>
      <c r="G5" s="107">
        <v>0.5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0" t="str">
        <f>[1]UNI_Grid!G4</f>
        <v>GI-DE-N1-LU-N1</v>
      </c>
    </row>
    <row r="6" spans="1:24">
      <c r="C6" s="4" t="s">
        <v>33</v>
      </c>
      <c r="D6" s="4" t="s">
        <v>31</v>
      </c>
      <c r="E6" s="27" t="s">
        <v>115</v>
      </c>
      <c r="F6"/>
      <c r="G6" s="107">
        <v>0.66666700000000001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0" t="str">
        <f>[1]UNI_Grid!G5</f>
        <v>GI-NL-N1-DE-N1</v>
      </c>
    </row>
    <row r="7" spans="1:24">
      <c r="C7" s="4" t="s">
        <v>33</v>
      </c>
      <c r="D7" s="4" t="s">
        <v>31</v>
      </c>
      <c r="E7" s="27" t="s">
        <v>115</v>
      </c>
      <c r="F7"/>
      <c r="G7" s="107">
        <v>0.66666700000000001</v>
      </c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0" t="str">
        <f>[1]UNI_Grid!G6</f>
        <v>GI-NL-N1-BE-N1</v>
      </c>
    </row>
    <row r="8" spans="1:24">
      <c r="C8" s="4" t="s">
        <v>33</v>
      </c>
      <c r="D8" s="4" t="s">
        <v>31</v>
      </c>
      <c r="E8" s="27" t="s">
        <v>115</v>
      </c>
      <c r="F8"/>
      <c r="G8" s="107">
        <v>0.66666700000000001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0" t="str">
        <f>[1]UNI_Grid!G7</f>
        <v>GI-FR-N1-BE-N1</v>
      </c>
    </row>
    <row r="9" spans="1:24">
      <c r="C9" s="4" t="s">
        <v>33</v>
      </c>
      <c r="D9" s="4" t="s">
        <v>31</v>
      </c>
      <c r="E9" s="27" t="s">
        <v>115</v>
      </c>
      <c r="F9"/>
      <c r="G9" s="107">
        <v>0.5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0" t="str">
        <f>[1]UNI_Grid!G8</f>
        <v>GI-BE-N1-LU-N1</v>
      </c>
    </row>
    <row r="10" spans="1:24">
      <c r="B10" s="10"/>
      <c r="C10" s="18" t="s">
        <v>33</v>
      </c>
      <c r="D10" s="18" t="s">
        <v>31</v>
      </c>
      <c r="E10" s="27" t="s">
        <v>115</v>
      </c>
      <c r="F10" s="10"/>
      <c r="G10" s="107">
        <v>0.75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0" t="str">
        <f>[1]UNI_Grid!G9</f>
        <v>GI-FR-N1-DE-N1</v>
      </c>
    </row>
    <row r="11" spans="1:24">
      <c r="B11" s="10"/>
      <c r="C11" s="18" t="s">
        <v>33</v>
      </c>
      <c r="D11" s="18" t="s">
        <v>31</v>
      </c>
      <c r="E11" s="27" t="s">
        <v>115</v>
      </c>
      <c r="F11" s="10"/>
      <c r="G11" s="107">
        <v>0.5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0" t="str">
        <f>[1]UNI_Grid!G10</f>
        <v>GI-PL-N1-CZ-N1</v>
      </c>
    </row>
    <row r="12" spans="1:24">
      <c r="B12" s="10"/>
      <c r="C12" s="18" t="s">
        <v>33</v>
      </c>
      <c r="D12" s="18" t="s">
        <v>31</v>
      </c>
      <c r="E12" s="27" t="s">
        <v>115</v>
      </c>
      <c r="F12" s="10"/>
      <c r="G12" s="107">
        <v>0.5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0" t="str">
        <f>[1]UNI_Grid!G11</f>
        <v>GI-SK-N1-CZ-N1</v>
      </c>
    </row>
    <row r="13" spans="1:24">
      <c r="B13" s="10"/>
      <c r="C13" s="18" t="s">
        <v>33</v>
      </c>
      <c r="D13" s="18" t="s">
        <v>31</v>
      </c>
      <c r="E13" s="27" t="s">
        <v>115</v>
      </c>
      <c r="F13" s="10"/>
      <c r="G13" s="107">
        <v>0.9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0" t="str">
        <f>[1]UNI_Grid!G12</f>
        <v>GI-PL-N1-SK-N1</v>
      </c>
    </row>
    <row r="14" spans="1:24">
      <c r="B14" s="10"/>
      <c r="C14" s="18" t="s">
        <v>33</v>
      </c>
      <c r="D14" s="18" t="s">
        <v>31</v>
      </c>
      <c r="E14" s="27" t="s">
        <v>115</v>
      </c>
      <c r="F14" s="10"/>
      <c r="G14" s="107">
        <v>0.5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0" t="str">
        <f>[1]UNI_Grid!G13</f>
        <v>GI-DE-N1-CZ-N1</v>
      </c>
    </row>
    <row r="15" spans="1:24">
      <c r="B15" s="10"/>
      <c r="C15" s="18" t="s">
        <v>33</v>
      </c>
      <c r="D15" s="18" t="s">
        <v>31</v>
      </c>
      <c r="E15" s="27" t="s">
        <v>115</v>
      </c>
      <c r="F15" s="10"/>
      <c r="G15" s="107">
        <v>0.5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0" t="str">
        <f>[1]UNI_Grid!G14</f>
        <v>GI-SK-N1-HU-N1</v>
      </c>
    </row>
    <row r="16" spans="1:24" s="10" customFormat="1">
      <c r="C16" s="18" t="s">
        <v>33</v>
      </c>
      <c r="D16" s="18" t="s">
        <v>31</v>
      </c>
      <c r="E16" s="27" t="s">
        <v>115</v>
      </c>
      <c r="G16" s="107">
        <v>0.9</v>
      </c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0" t="str">
        <f>[1]UNI_Grid!G15</f>
        <v>GI-SI-N1-AT-N1</v>
      </c>
      <c r="X16" s="18"/>
    </row>
    <row r="17" spans="1:47" s="10" customFormat="1">
      <c r="C17" s="18" t="s">
        <v>33</v>
      </c>
      <c r="D17" s="18" t="s">
        <v>31</v>
      </c>
      <c r="E17" s="27" t="s">
        <v>115</v>
      </c>
      <c r="G17" s="107">
        <v>0.66666700000000001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0" t="str">
        <f>[1]UNI_Grid!G16</f>
        <v>GI-CH-N1-DE-N1</v>
      </c>
      <c r="X17" s="18"/>
    </row>
    <row r="18" spans="1:47" s="10" customFormat="1">
      <c r="C18" s="18" t="s">
        <v>33</v>
      </c>
      <c r="D18" s="18" t="s">
        <v>31</v>
      </c>
      <c r="E18" s="27" t="s">
        <v>115</v>
      </c>
      <c r="G18" s="107">
        <v>0.5</v>
      </c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0" t="str">
        <f>[1]UNI_Grid!G17</f>
        <v>GI-IT-N1-SI-N1</v>
      </c>
      <c r="X18" s="18"/>
    </row>
    <row r="19" spans="1:47" s="10" customFormat="1">
      <c r="C19" s="18" t="s">
        <v>33</v>
      </c>
      <c r="D19" s="18" t="s">
        <v>31</v>
      </c>
      <c r="E19" s="27" t="s">
        <v>115</v>
      </c>
      <c r="G19" s="107">
        <v>0.66666700000000001</v>
      </c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0" t="str">
        <f>[1]UNI_Grid!G18</f>
        <v>GI-FR-N1-CH-N1</v>
      </c>
      <c r="X19" s="18"/>
    </row>
    <row r="20" spans="1:47" s="10" customFormat="1">
      <c r="C20" s="18" t="s">
        <v>33</v>
      </c>
      <c r="D20" s="18" t="s">
        <v>31</v>
      </c>
      <c r="E20" s="27" t="s">
        <v>115</v>
      </c>
      <c r="G20" s="107">
        <v>0.5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30" t="str">
        <f>[1]UNI_Grid!G19</f>
        <v>GI-AT-N1-CZ-N1</v>
      </c>
      <c r="X20" s="18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</row>
    <row r="21" spans="1:47" s="10" customFormat="1">
      <c r="C21" s="18" t="s">
        <v>33</v>
      </c>
      <c r="D21" s="18" t="s">
        <v>31</v>
      </c>
      <c r="E21" s="27" t="s">
        <v>115</v>
      </c>
      <c r="G21" s="107">
        <v>0.5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30" t="str">
        <f>[1]UNI_Grid!G20</f>
        <v>GI-DE-N1-AT-N1</v>
      </c>
      <c r="X21" s="18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</row>
    <row r="22" spans="1:47">
      <c r="B22" s="10"/>
      <c r="C22" s="18" t="s">
        <v>33</v>
      </c>
      <c r="D22" s="18" t="s">
        <v>31</v>
      </c>
      <c r="E22" s="27" t="s">
        <v>115</v>
      </c>
      <c r="F22" s="10"/>
      <c r="G22" s="107">
        <v>0.5</v>
      </c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30" t="str">
        <f>[1]UNI_Grid!G21</f>
        <v>GI-CH-N1-AT-N1</v>
      </c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</row>
    <row r="23" spans="1:47">
      <c r="B23" s="10"/>
      <c r="C23" s="18" t="s">
        <v>33</v>
      </c>
      <c r="D23" s="18" t="s">
        <v>31</v>
      </c>
      <c r="E23" s="27" t="s">
        <v>115</v>
      </c>
      <c r="F23" s="10"/>
      <c r="G23" s="107">
        <v>0.66666700000000001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30" t="str">
        <f>[1]UNI_Grid!G22</f>
        <v>GI-CH-N1-IT-N1</v>
      </c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</row>
    <row r="24" spans="1:47">
      <c r="B24" s="10"/>
      <c r="C24" s="18" t="s">
        <v>33</v>
      </c>
      <c r="D24" s="18" t="s">
        <v>31</v>
      </c>
      <c r="E24" s="27" t="s">
        <v>115</v>
      </c>
      <c r="F24" s="10"/>
      <c r="G24" s="107">
        <v>0.66666700000000001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30" t="str">
        <f>[1]UNI_Grid!G23</f>
        <v>GI-FR-N1-IT-N1</v>
      </c>
      <c r="AE24" s="33"/>
      <c r="AF24" s="15"/>
      <c r="AG24" s="14"/>
      <c r="AH24" s="15"/>
      <c r="AI24" s="14"/>
      <c r="AJ24" s="32"/>
      <c r="AK24" s="15"/>
      <c r="AL24" s="14"/>
      <c r="AM24" s="14"/>
      <c r="AN24" s="14"/>
      <c r="AO24" s="14"/>
      <c r="AP24" s="17"/>
      <c r="AQ24" s="15"/>
      <c r="AR24" t="s">
        <v>26</v>
      </c>
    </row>
    <row r="25" spans="1:47">
      <c r="B25" s="10"/>
      <c r="C25" s="18" t="s">
        <v>33</v>
      </c>
      <c r="D25" s="18" t="s">
        <v>31</v>
      </c>
      <c r="E25" s="27" t="s">
        <v>115</v>
      </c>
      <c r="F25" s="10"/>
      <c r="G25" s="107">
        <v>0.5</v>
      </c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30" t="str">
        <f>[1]UNI_Grid!G24</f>
        <v>GI-AT-N1-HU-N1</v>
      </c>
      <c r="AE25" s="33"/>
      <c r="AF25" s="15"/>
      <c r="AG25" s="14"/>
      <c r="AH25" s="15"/>
      <c r="AI25" s="14"/>
      <c r="AJ25" s="32"/>
      <c r="AK25" s="15"/>
      <c r="AL25" s="14"/>
      <c r="AM25" s="14"/>
      <c r="AN25" s="14"/>
      <c r="AO25" s="14"/>
      <c r="AP25" s="17"/>
      <c r="AQ25" s="15"/>
    </row>
    <row r="26" spans="1:47">
      <c r="B26" s="10"/>
      <c r="C26" s="18" t="s">
        <v>33</v>
      </c>
      <c r="D26" s="18" t="s">
        <v>31</v>
      </c>
      <c r="E26" s="27" t="s">
        <v>115</v>
      </c>
      <c r="F26" s="10"/>
      <c r="G26" s="107">
        <v>0.5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30" t="str">
        <f>[1]UNI_Grid!G25</f>
        <v>GI-DE-N1-PL-N1</v>
      </c>
      <c r="AE26" s="15"/>
      <c r="AF26" s="15"/>
      <c r="AG26" s="14"/>
      <c r="AH26" s="15"/>
      <c r="AI26" s="14"/>
      <c r="AJ26" s="32"/>
      <c r="AK26" s="15"/>
      <c r="AL26" s="14"/>
      <c r="AM26" s="14"/>
      <c r="AN26" s="14"/>
      <c r="AO26" s="14"/>
      <c r="AP26" s="17"/>
      <c r="AQ26" s="15"/>
      <c r="AR26" t="s">
        <v>27</v>
      </c>
    </row>
    <row r="27" spans="1:47" ht="13.5" thickBot="1">
      <c r="A27" s="49"/>
      <c r="B27" s="53"/>
      <c r="C27" s="50" t="s">
        <v>33</v>
      </c>
      <c r="D27" s="50" t="s">
        <v>31</v>
      </c>
      <c r="E27" s="62" t="s">
        <v>115</v>
      </c>
      <c r="F27" s="53"/>
      <c r="G27" s="107">
        <v>0.9</v>
      </c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4" t="str">
        <f>[1]UNI_Grid!G26</f>
        <v>GI-AT-N1-IT-N1</v>
      </c>
      <c r="W27" s="49"/>
      <c r="X27" s="59"/>
      <c r="AE27" s="15"/>
      <c r="AF27" s="15"/>
      <c r="AG27" s="14"/>
      <c r="AH27" s="15"/>
      <c r="AI27" s="14"/>
      <c r="AJ27" s="32"/>
      <c r="AK27" s="15"/>
      <c r="AL27" s="14"/>
      <c r="AM27" s="14"/>
      <c r="AN27" s="14"/>
      <c r="AO27" s="14"/>
      <c r="AP27" s="17"/>
      <c r="AQ27" s="15"/>
      <c r="AR27" s="13" t="s">
        <v>28</v>
      </c>
    </row>
    <row r="28" spans="1:47" s="10" customFormat="1" ht="13.5" thickTop="1">
      <c r="A28" s="71" t="s">
        <v>36</v>
      </c>
      <c r="B28" s="15"/>
      <c r="C28" s="14"/>
      <c r="D28" s="14" t="s">
        <v>22</v>
      </c>
      <c r="E28" s="27" t="s">
        <v>115</v>
      </c>
      <c r="F28" s="15"/>
      <c r="G28" s="15"/>
      <c r="H28" s="61" t="str">
        <f>IF('[1]EF1-UPD'!$C2=H$4,'[1]EF1-UPD'!$H2,"")</f>
        <v/>
      </c>
      <c r="I28" s="61" t="str">
        <f>IF('[1]EF1-UPD'!$C2=I$4,'[1]EF1-UPD'!$H2,"")</f>
        <v/>
      </c>
      <c r="J28" s="61" t="str">
        <f>IF('[1]EF1-UPD'!$C2=J$4,'[1]EF1-UPD'!$H2,"")</f>
        <v/>
      </c>
      <c r="K28" s="61">
        <f>IF('[1]EF1-UPD'!$C2=K$4,'[1]EF1-UPD'!$H2,"")</f>
        <v>1.2727273787878799E-2</v>
      </c>
      <c r="L28" s="61" t="str">
        <f>IF('[1]EF1-UPD'!$C2=L$4,'[1]EF1-UPD'!$H2,"")</f>
        <v/>
      </c>
      <c r="M28" s="61" t="str">
        <f>IF('[1]EF1-UPD'!$C2=M$4,'[1]EF1-UPD'!$H2,"")</f>
        <v/>
      </c>
      <c r="N28" s="61" t="str">
        <f>IF('[1]EF1-UPD'!$C2=N$4,'[1]EF1-UPD'!$H2,"")</f>
        <v/>
      </c>
      <c r="O28" s="61" t="str">
        <f>IF('[1]EF1-UPD'!$C2=O$4,'[1]EF1-UPD'!$H2,"")</f>
        <v/>
      </c>
      <c r="P28" s="61" t="str">
        <f>IF('[1]EF1-UPD'!$C2=P$4,'[1]EF1-UPD'!$H2,"")</f>
        <v/>
      </c>
      <c r="Q28" s="61" t="str">
        <f>IF('[1]EF1-UPD'!$C2=Q$4,'[1]EF1-UPD'!$H2,"")</f>
        <v/>
      </c>
      <c r="R28" s="61" t="str">
        <f>IF('[1]EF1-UPD'!$C2=R$4,'[1]EF1-UPD'!$H2,"")</f>
        <v/>
      </c>
      <c r="S28" s="61" t="str">
        <f>IF('[1]EF1-UPD'!$C2=S$4,'[1]EF1-UPD'!$H2,"")</f>
        <v/>
      </c>
      <c r="T28" s="61" t="str">
        <f>IF('[1]EF1-UPD'!$C2=T$4,'[1]EF1-UPD'!$H2,"")</f>
        <v/>
      </c>
      <c r="U28" s="61" t="str">
        <f>IF('[1]EF1-UPD'!$C2=U$4,'[1]EF1-UPD'!$I2,IF('[1]EF1-UPD'!$E2=U$4,'[1]EF1-UPD'!$I2,""))</f>
        <v/>
      </c>
      <c r="V28" s="31" t="str">
        <f>[1]UNI_Grid!G4</f>
        <v>GI-DE-N1-LU-N1</v>
      </c>
      <c r="X28" s="18"/>
      <c r="AE28" s="13"/>
      <c r="AF28" s="13"/>
      <c r="AG28" s="16"/>
      <c r="AH28" s="13"/>
      <c r="AI28" s="16"/>
      <c r="AJ28" s="34"/>
      <c r="AK28" s="13"/>
      <c r="AL28" s="35"/>
      <c r="AM28" s="16"/>
      <c r="AN28" s="16"/>
      <c r="AO28" s="16"/>
      <c r="AP28" s="36"/>
      <c r="AQ28" s="13"/>
      <c r="AR28" s="13"/>
      <c r="AS28" s="15"/>
      <c r="AT28" s="15"/>
      <c r="AU28" s="15"/>
    </row>
    <row r="29" spans="1:47" s="10" customFormat="1">
      <c r="C29" s="18"/>
      <c r="D29" s="18" t="s">
        <v>22</v>
      </c>
      <c r="E29" s="27" t="s">
        <v>115</v>
      </c>
      <c r="H29" s="61" t="str">
        <f>IF('[1]EF1-UPD'!$C3=H$4,'[1]EF1-UPD'!$H3,"")</f>
        <v/>
      </c>
      <c r="I29" s="61" t="str">
        <f>IF('[1]EF1-UPD'!$C3=I$4,'[1]EF1-UPD'!$H3,"")</f>
        <v/>
      </c>
      <c r="J29" s="61" t="str">
        <f>IF('[1]EF1-UPD'!$C3=J$4,'[1]EF1-UPD'!$H3,"")</f>
        <v/>
      </c>
      <c r="K29" s="61" t="str">
        <f>IF('[1]EF1-UPD'!$C3=K$4,'[1]EF1-UPD'!$H3,"")</f>
        <v/>
      </c>
      <c r="L29" s="61" t="str">
        <f>IF('[1]EF1-UPD'!$C3=L$4,'[1]EF1-UPD'!$H3,"")</f>
        <v/>
      </c>
      <c r="M29" s="61">
        <f>IF('[1]EF1-UPD'!$C3=M$4,'[1]EF1-UPD'!$H3,"")</f>
        <v>2.99798004781146E-3</v>
      </c>
      <c r="N29" s="61" t="str">
        <f>IF('[1]EF1-UPD'!$C3=N$4,'[1]EF1-UPD'!$H3,"")</f>
        <v/>
      </c>
      <c r="O29" s="61" t="str">
        <f>IF('[1]EF1-UPD'!$C3=O$4,'[1]EF1-UPD'!$H3,"")</f>
        <v/>
      </c>
      <c r="P29" s="61" t="str">
        <f>IF('[1]EF1-UPD'!$C3=P$4,'[1]EF1-UPD'!$H3,"")</f>
        <v/>
      </c>
      <c r="Q29" s="61" t="str">
        <f>IF('[1]EF1-UPD'!$C3=Q$4,'[1]EF1-UPD'!$H3,"")</f>
        <v/>
      </c>
      <c r="R29" s="61" t="str">
        <f>IF('[1]EF1-UPD'!$C3=R$4,'[1]EF1-UPD'!$H3,"")</f>
        <v/>
      </c>
      <c r="S29" s="61" t="str">
        <f>IF('[1]EF1-UPD'!$C3=S$4,'[1]EF1-UPD'!$H3,"")</f>
        <v/>
      </c>
      <c r="T29" s="61" t="str">
        <f>IF('[1]EF1-UPD'!$C3=T$4,'[1]EF1-UPD'!$H3,"")</f>
        <v/>
      </c>
      <c r="U29" s="61" t="str">
        <f>IF('[1]EF1-UPD'!$C3=U$4,'[1]EF1-UPD'!$I3,IF('[1]EF1-UPD'!$E3=U$4,'[1]EF1-UPD'!$I3,""))</f>
        <v/>
      </c>
      <c r="V29" s="30" t="str">
        <f>[1]UNI_Grid!G5</f>
        <v>GI-NL-N1-DE-N1</v>
      </c>
      <c r="X29" s="18"/>
      <c r="AE29" s="13"/>
      <c r="AF29" s="13"/>
      <c r="AG29" s="16"/>
      <c r="AH29" s="13"/>
      <c r="AI29" s="16"/>
      <c r="AJ29" s="34"/>
      <c r="AK29" s="13"/>
      <c r="AL29" s="35"/>
      <c r="AM29" s="16"/>
      <c r="AN29" s="16"/>
      <c r="AO29" s="16"/>
      <c r="AP29" s="36"/>
      <c r="AQ29" s="13"/>
      <c r="AR29" s="13"/>
      <c r="AS29" s="15"/>
      <c r="AT29" s="15"/>
      <c r="AU29" s="15"/>
    </row>
    <row r="30" spans="1:47" s="10" customFormat="1">
      <c r="C30" s="18"/>
      <c r="D30" s="18" t="s">
        <v>22</v>
      </c>
      <c r="E30" s="27" t="s">
        <v>115</v>
      </c>
      <c r="H30" s="61" t="str">
        <f>IF('[1]EF1-UPD'!$C4=H$4,'[1]EF1-UPD'!$H4,"")</f>
        <v/>
      </c>
      <c r="I30" s="61" t="str">
        <f>IF('[1]EF1-UPD'!$C4=I$4,'[1]EF1-UPD'!$H4,"")</f>
        <v/>
      </c>
      <c r="J30" s="61" t="str">
        <f>IF('[1]EF1-UPD'!$C4=J$4,'[1]EF1-UPD'!$H4,"")</f>
        <v/>
      </c>
      <c r="K30" s="61" t="str">
        <f>IF('[1]EF1-UPD'!$C4=K$4,'[1]EF1-UPD'!$H4,"")</f>
        <v/>
      </c>
      <c r="L30" s="61" t="str">
        <f>IF('[1]EF1-UPD'!$C4=L$4,'[1]EF1-UPD'!$H4,"")</f>
        <v/>
      </c>
      <c r="M30" s="61">
        <f>IF('[1]EF1-UPD'!$C4=M$4,'[1]EF1-UPD'!$H4,"")</f>
        <v>4.24242459595962E-3</v>
      </c>
      <c r="N30" s="61" t="str">
        <f>IF('[1]EF1-UPD'!$C4=N$4,'[1]EF1-UPD'!$H4,"")</f>
        <v/>
      </c>
      <c r="O30" s="61" t="str">
        <f>IF('[1]EF1-UPD'!$C4=O$4,'[1]EF1-UPD'!$H4,"")</f>
        <v/>
      </c>
      <c r="P30" s="61" t="str">
        <f>IF('[1]EF1-UPD'!$C4=P$4,'[1]EF1-UPD'!$H4,"")</f>
        <v/>
      </c>
      <c r="Q30" s="61" t="str">
        <f>IF('[1]EF1-UPD'!$C4=Q$4,'[1]EF1-UPD'!$H4,"")</f>
        <v/>
      </c>
      <c r="R30" s="61" t="str">
        <f>IF('[1]EF1-UPD'!$C4=R$4,'[1]EF1-UPD'!$H4,"")</f>
        <v/>
      </c>
      <c r="S30" s="61" t="str">
        <f>IF('[1]EF1-UPD'!$C4=S$4,'[1]EF1-UPD'!$H4,"")</f>
        <v/>
      </c>
      <c r="T30" s="61" t="str">
        <f>IF('[1]EF1-UPD'!$C4=T$4,'[1]EF1-UPD'!$H4,"")</f>
        <v/>
      </c>
      <c r="U30" s="61" t="str">
        <f>IF('[1]EF1-UPD'!$C4=U$4,'[1]EF1-UPD'!$I4,IF('[1]EF1-UPD'!$E4=U$4,'[1]EF1-UPD'!$I4,""))</f>
        <v/>
      </c>
      <c r="V30" s="30" t="str">
        <f>[1]UNI_Grid!G6</f>
        <v>GI-NL-N1-BE-N1</v>
      </c>
      <c r="X30" s="18"/>
      <c r="AE30" s="13"/>
      <c r="AF30" s="13"/>
      <c r="AG30" s="16"/>
      <c r="AH30" s="13"/>
      <c r="AI30" s="16"/>
      <c r="AJ30" s="34"/>
      <c r="AK30" s="13"/>
      <c r="AL30" s="35"/>
      <c r="AM30" s="16"/>
      <c r="AN30" s="16"/>
      <c r="AO30" s="16"/>
      <c r="AP30" s="36"/>
      <c r="AQ30" s="13"/>
      <c r="AR30" s="13"/>
      <c r="AS30" s="15"/>
      <c r="AT30" s="15"/>
      <c r="AU30" s="15"/>
    </row>
    <row r="31" spans="1:47" s="10" customFormat="1">
      <c r="C31" s="18"/>
      <c r="D31" s="18" t="s">
        <v>22</v>
      </c>
      <c r="E31" s="27" t="s">
        <v>115</v>
      </c>
      <c r="H31" s="61" t="str">
        <f>IF('[1]EF1-UPD'!$C5=H$4,'[1]EF1-UPD'!$H5,"")</f>
        <v/>
      </c>
      <c r="I31" s="61" t="str">
        <f>IF('[1]EF1-UPD'!$C5=I$4,'[1]EF1-UPD'!$H5,"")</f>
        <v/>
      </c>
      <c r="J31" s="61" t="str">
        <f>IF('[1]EF1-UPD'!$C5=J$4,'[1]EF1-UPD'!$H5,"")</f>
        <v/>
      </c>
      <c r="K31" s="61" t="str">
        <f>IF('[1]EF1-UPD'!$C5=K$4,'[1]EF1-UPD'!$H5,"")</f>
        <v/>
      </c>
      <c r="L31" s="61">
        <f>IF('[1]EF1-UPD'!$C5=L$4,'[1]EF1-UPD'!$H5,"")</f>
        <v>2.80000023333335E-3</v>
      </c>
      <c r="M31" s="61" t="str">
        <f>IF('[1]EF1-UPD'!$C5=M$4,'[1]EF1-UPD'!$H5,"")</f>
        <v/>
      </c>
      <c r="N31" s="61" t="str">
        <f>IF('[1]EF1-UPD'!$C5=N$4,'[1]EF1-UPD'!$H5,"")</f>
        <v/>
      </c>
      <c r="O31" s="61" t="str">
        <f>IF('[1]EF1-UPD'!$C5=O$4,'[1]EF1-UPD'!$H5,"")</f>
        <v/>
      </c>
      <c r="P31" s="61" t="str">
        <f>IF('[1]EF1-UPD'!$C5=P$4,'[1]EF1-UPD'!$H5,"")</f>
        <v/>
      </c>
      <c r="Q31" s="61" t="str">
        <f>IF('[1]EF1-UPD'!$C5=Q$4,'[1]EF1-UPD'!$H5,"")</f>
        <v/>
      </c>
      <c r="R31" s="61" t="str">
        <f>IF('[1]EF1-UPD'!$C5=R$4,'[1]EF1-UPD'!$H5,"")</f>
        <v/>
      </c>
      <c r="S31" s="61" t="str">
        <f>IF('[1]EF1-UPD'!$C5=S$4,'[1]EF1-UPD'!$H5,"")</f>
        <v/>
      </c>
      <c r="T31" s="61" t="str">
        <f>IF('[1]EF1-UPD'!$C5=T$4,'[1]EF1-UPD'!$H5,"")</f>
        <v/>
      </c>
      <c r="U31" s="61" t="str">
        <f>IF('[1]EF1-UPD'!$C5=U$4,'[1]EF1-UPD'!$I5,IF('[1]EF1-UPD'!$E5=U$4,'[1]EF1-UPD'!$I5,""))</f>
        <v/>
      </c>
      <c r="V31" s="30" t="str">
        <f>[1]UNI_Grid!G7</f>
        <v>GI-FR-N1-BE-N1</v>
      </c>
      <c r="X31" s="18"/>
      <c r="AE31" s="13"/>
      <c r="AF31" s="13"/>
      <c r="AG31" s="16"/>
      <c r="AH31" s="13"/>
      <c r="AI31" s="16"/>
      <c r="AJ31" s="34"/>
      <c r="AK31" s="13"/>
      <c r="AL31" s="35"/>
      <c r="AM31" s="16"/>
      <c r="AN31" s="16"/>
      <c r="AO31" s="16"/>
      <c r="AP31" s="36"/>
      <c r="AQ31" s="13"/>
      <c r="AR31" s="13"/>
      <c r="AS31" s="15"/>
      <c r="AT31" s="15"/>
      <c r="AU31" s="15"/>
    </row>
    <row r="32" spans="1:47" s="10" customFormat="1">
      <c r="C32" s="18"/>
      <c r="D32" s="18" t="s">
        <v>22</v>
      </c>
      <c r="E32" s="27" t="s">
        <v>115</v>
      </c>
      <c r="H32" s="61" t="str">
        <f>IF('[1]EF1-UPD'!$C6=H$4,'[1]EF1-UPD'!$H6,"")</f>
        <v/>
      </c>
      <c r="I32" s="61">
        <f>IF('[1]EF1-UPD'!$C6=I$4,'[1]EF1-UPD'!$H6,"")</f>
        <v>7.9757582404040902E-3</v>
      </c>
      <c r="J32" s="61" t="str">
        <f>IF('[1]EF1-UPD'!$C6=J$4,'[1]EF1-UPD'!$H6,"")</f>
        <v/>
      </c>
      <c r="K32" s="61" t="str">
        <f>IF('[1]EF1-UPD'!$C6=K$4,'[1]EF1-UPD'!$H6,"")</f>
        <v/>
      </c>
      <c r="L32" s="61" t="str">
        <f>IF('[1]EF1-UPD'!$C6=L$4,'[1]EF1-UPD'!$H6,"")</f>
        <v/>
      </c>
      <c r="M32" s="61" t="str">
        <f>IF('[1]EF1-UPD'!$C6=M$4,'[1]EF1-UPD'!$H6,"")</f>
        <v/>
      </c>
      <c r="N32" s="61" t="str">
        <f>IF('[1]EF1-UPD'!$C6=N$4,'[1]EF1-UPD'!$H6,"")</f>
        <v/>
      </c>
      <c r="O32" s="61" t="str">
        <f>IF('[1]EF1-UPD'!$C6=O$4,'[1]EF1-UPD'!$H6,"")</f>
        <v/>
      </c>
      <c r="P32" s="61" t="str">
        <f>IF('[1]EF1-UPD'!$C6=P$4,'[1]EF1-UPD'!$H6,"")</f>
        <v/>
      </c>
      <c r="Q32" s="61" t="str">
        <f>IF('[1]EF1-UPD'!$C6=Q$4,'[1]EF1-UPD'!$H6,"")</f>
        <v/>
      </c>
      <c r="R32" s="61" t="str">
        <f>IF('[1]EF1-UPD'!$C6=R$4,'[1]EF1-UPD'!$H6,"")</f>
        <v/>
      </c>
      <c r="S32" s="61" t="str">
        <f>IF('[1]EF1-UPD'!$C6=S$4,'[1]EF1-UPD'!$H6,"")</f>
        <v/>
      </c>
      <c r="T32" s="61" t="str">
        <f>IF('[1]EF1-UPD'!$C6=T$4,'[1]EF1-UPD'!$H6,"")</f>
        <v/>
      </c>
      <c r="U32" s="61" t="str">
        <f>IF('[1]EF1-UPD'!$C6=U$4,'[1]EF1-UPD'!$I6,IF('[1]EF1-UPD'!$E6=U$4,'[1]EF1-UPD'!$I6,""))</f>
        <v/>
      </c>
      <c r="V32" s="30" t="str">
        <f>[1]UNI_Grid!G8</f>
        <v>GI-BE-N1-LU-N1</v>
      </c>
      <c r="X32" s="18"/>
      <c r="AE32" s="13"/>
      <c r="AF32" s="13"/>
      <c r="AG32" s="16"/>
      <c r="AH32" s="13"/>
      <c r="AI32" s="16"/>
      <c r="AJ32" s="34"/>
      <c r="AK32" s="13"/>
      <c r="AL32" s="35"/>
      <c r="AM32" s="16"/>
      <c r="AN32" s="16"/>
      <c r="AO32" s="16"/>
      <c r="AP32" s="36"/>
      <c r="AQ32" s="13"/>
      <c r="AR32" s="13"/>
      <c r="AS32" s="15"/>
      <c r="AT32" s="15"/>
      <c r="AU32" s="15"/>
    </row>
    <row r="33" spans="3:47" s="10" customFormat="1">
      <c r="C33" s="18"/>
      <c r="D33" s="18" t="s">
        <v>22</v>
      </c>
      <c r="E33" s="27" t="s">
        <v>115</v>
      </c>
      <c r="F33" s="18"/>
      <c r="G33" s="18"/>
      <c r="H33" s="61" t="str">
        <f>IF('[1]EF1-UPD'!$C7=H$4,'[1]EF1-UPD'!$H7,"")</f>
        <v/>
      </c>
      <c r="I33" s="61" t="str">
        <f>IF('[1]EF1-UPD'!$C7=I$4,'[1]EF1-UPD'!$H7,"")</f>
        <v/>
      </c>
      <c r="J33" s="61" t="str">
        <f>IF('[1]EF1-UPD'!$C7=J$4,'[1]EF1-UPD'!$H7,"")</f>
        <v/>
      </c>
      <c r="K33" s="61" t="str">
        <f>IF('[1]EF1-UPD'!$C7=K$4,'[1]EF1-UPD'!$H7,"")</f>
        <v/>
      </c>
      <c r="L33" s="61">
        <f>IF('[1]EF1-UPD'!$C7=L$4,'[1]EF1-UPD'!$H7,"")</f>
        <v>3.3939396767676999E-3</v>
      </c>
      <c r="M33" s="61" t="str">
        <f>IF('[1]EF1-UPD'!$C7=M$4,'[1]EF1-UPD'!$H7,"")</f>
        <v/>
      </c>
      <c r="N33" s="61" t="str">
        <f>IF('[1]EF1-UPD'!$C7=N$4,'[1]EF1-UPD'!$H7,"")</f>
        <v/>
      </c>
      <c r="O33" s="61" t="str">
        <f>IF('[1]EF1-UPD'!$C7=O$4,'[1]EF1-UPD'!$H7,"")</f>
        <v/>
      </c>
      <c r="P33" s="61" t="str">
        <f>IF('[1]EF1-UPD'!$C7=P$4,'[1]EF1-UPD'!$H7,"")</f>
        <v/>
      </c>
      <c r="Q33" s="61" t="str">
        <f>IF('[1]EF1-UPD'!$C7=Q$4,'[1]EF1-UPD'!$H7,"")</f>
        <v/>
      </c>
      <c r="R33" s="61" t="str">
        <f>IF('[1]EF1-UPD'!$C7=R$4,'[1]EF1-UPD'!$H7,"")</f>
        <v/>
      </c>
      <c r="S33" s="61" t="str">
        <f>IF('[1]EF1-UPD'!$C7=S$4,'[1]EF1-UPD'!$H7,"")</f>
        <v/>
      </c>
      <c r="T33" s="61" t="str">
        <f>IF('[1]EF1-UPD'!$C7=T$4,'[1]EF1-UPD'!$H7,"")</f>
        <v/>
      </c>
      <c r="U33" s="61" t="str">
        <f>IF('[1]EF1-UPD'!$C7=U$4,'[1]EF1-UPD'!$I7,IF('[1]EF1-UPD'!$E7=U$4,'[1]EF1-UPD'!$I7,""))</f>
        <v/>
      </c>
      <c r="V33" s="30" t="str">
        <f>[1]UNI_Grid!G9</f>
        <v>GI-FR-N1-DE-N1</v>
      </c>
      <c r="X33" s="18"/>
      <c r="AE33" s="13"/>
      <c r="AF33" s="13"/>
      <c r="AG33" s="16"/>
      <c r="AH33" s="13"/>
      <c r="AI33" s="16"/>
      <c r="AJ33" s="34"/>
      <c r="AK33" s="13"/>
      <c r="AL33" s="35"/>
      <c r="AM33" s="16"/>
      <c r="AN33" s="16"/>
      <c r="AO33" s="16"/>
      <c r="AP33" s="36"/>
      <c r="AQ33" s="13"/>
      <c r="AR33" s="13"/>
      <c r="AS33" s="15"/>
      <c r="AT33" s="15"/>
      <c r="AU33" s="15"/>
    </row>
    <row r="34" spans="3:47" s="10" customFormat="1">
      <c r="C34" s="18"/>
      <c r="D34" s="18" t="s">
        <v>22</v>
      </c>
      <c r="E34" s="27" t="s">
        <v>115</v>
      </c>
      <c r="F34" s="18"/>
      <c r="G34" s="18"/>
      <c r="H34" s="61" t="str">
        <f>IF('[1]EF1-UPD'!$C8=H$4,'[1]EF1-UPD'!$H8,"")</f>
        <v/>
      </c>
      <c r="I34" s="61" t="str">
        <f>IF('[1]EF1-UPD'!$C8=I$4,'[1]EF1-UPD'!$H8,"")</f>
        <v/>
      </c>
      <c r="J34" s="61" t="str">
        <f>IF('[1]EF1-UPD'!$C8=J$4,'[1]EF1-UPD'!$H8,"")</f>
        <v/>
      </c>
      <c r="K34" s="61" t="str">
        <f>IF('[1]EF1-UPD'!$C8=K$4,'[1]EF1-UPD'!$H8,"")</f>
        <v/>
      </c>
      <c r="L34" s="61" t="str">
        <f>IF('[1]EF1-UPD'!$C8=L$4,'[1]EF1-UPD'!$H8,"")</f>
        <v/>
      </c>
      <c r="M34" s="61" t="str">
        <f>IF('[1]EF1-UPD'!$C8=M$4,'[1]EF1-UPD'!$H8,"")</f>
        <v/>
      </c>
      <c r="N34" s="61">
        <f>IF('[1]EF1-UPD'!$C8=N$4,'[1]EF1-UPD'!$H8,"")</f>
        <v>3.9454548742424503E-3</v>
      </c>
      <c r="O34" s="61" t="str">
        <f>IF('[1]EF1-UPD'!$C8=O$4,'[1]EF1-UPD'!$H8,"")</f>
        <v/>
      </c>
      <c r="P34" s="61" t="str">
        <f>IF('[1]EF1-UPD'!$C8=P$4,'[1]EF1-UPD'!$H8,"")</f>
        <v/>
      </c>
      <c r="Q34" s="61" t="str">
        <f>IF('[1]EF1-UPD'!$C8=Q$4,'[1]EF1-UPD'!$H8,"")</f>
        <v/>
      </c>
      <c r="R34" s="61" t="str">
        <f>IF('[1]EF1-UPD'!$C8=R$4,'[1]EF1-UPD'!$H8,"")</f>
        <v/>
      </c>
      <c r="S34" s="61" t="str">
        <f>IF('[1]EF1-UPD'!$C8=S$4,'[1]EF1-UPD'!$H8,"")</f>
        <v/>
      </c>
      <c r="T34" s="61" t="str">
        <f>IF('[1]EF1-UPD'!$C8=T$4,'[1]EF1-UPD'!$H8,"")</f>
        <v/>
      </c>
      <c r="U34" s="61" t="str">
        <f>IF('[1]EF1-UPD'!$C8=U$4,'[1]EF1-UPD'!$I8,IF('[1]EF1-UPD'!$E8=U$4,'[1]EF1-UPD'!$I8,""))</f>
        <v/>
      </c>
      <c r="V34" s="30" t="str">
        <f>[1]UNI_Grid!G10</f>
        <v>GI-PL-N1-CZ-N1</v>
      </c>
      <c r="X34" s="18"/>
      <c r="AE34" s="13"/>
      <c r="AF34" s="13"/>
      <c r="AG34" s="16"/>
      <c r="AH34" s="13"/>
      <c r="AI34" s="16"/>
      <c r="AJ34" s="34"/>
      <c r="AK34" s="13"/>
      <c r="AL34" s="35"/>
      <c r="AM34" s="16"/>
      <c r="AN34" s="16"/>
      <c r="AO34" s="16"/>
      <c r="AP34" s="36"/>
      <c r="AQ34" s="13"/>
      <c r="AR34" s="13"/>
      <c r="AS34" s="15"/>
      <c r="AT34" s="15"/>
      <c r="AU34" s="15"/>
    </row>
    <row r="35" spans="3:47" s="10" customFormat="1">
      <c r="C35" s="18"/>
      <c r="D35" s="18" t="s">
        <v>22</v>
      </c>
      <c r="E35" s="27" t="s">
        <v>115</v>
      </c>
      <c r="F35" s="18"/>
      <c r="G35" s="18"/>
      <c r="H35" s="61" t="str">
        <f>IF('[1]EF1-UPD'!$C9=H$4,'[1]EF1-UPD'!$H9,"")</f>
        <v/>
      </c>
      <c r="I35" s="61" t="str">
        <f>IF('[1]EF1-UPD'!$C9=I$4,'[1]EF1-UPD'!$H9,"")</f>
        <v/>
      </c>
      <c r="J35" s="61" t="str">
        <f>IF('[1]EF1-UPD'!$C9=J$4,'[1]EF1-UPD'!$H9,"")</f>
        <v/>
      </c>
      <c r="K35" s="61" t="str">
        <f>IF('[1]EF1-UPD'!$C9=K$4,'[1]EF1-UPD'!$H9,"")</f>
        <v/>
      </c>
      <c r="L35" s="61" t="str">
        <f>IF('[1]EF1-UPD'!$C9=L$4,'[1]EF1-UPD'!$H9,"")</f>
        <v/>
      </c>
      <c r="M35" s="61" t="str">
        <f>IF('[1]EF1-UPD'!$C9=M$4,'[1]EF1-UPD'!$H9,"")</f>
        <v/>
      </c>
      <c r="N35" s="61" t="str">
        <f>IF('[1]EF1-UPD'!$C9=N$4,'[1]EF1-UPD'!$H9,"")</f>
        <v/>
      </c>
      <c r="O35" s="61" t="str">
        <f>IF('[1]EF1-UPD'!$C9=O$4,'[1]EF1-UPD'!$H9,"")</f>
        <v/>
      </c>
      <c r="P35" s="61">
        <f>IF('[1]EF1-UPD'!$C9=P$4,'[1]EF1-UPD'!$H9,"")</f>
        <v>5.8969701883838802E-3</v>
      </c>
      <c r="Q35" s="61" t="str">
        <f>IF('[1]EF1-UPD'!$C9=Q$4,'[1]EF1-UPD'!$H9,"")</f>
        <v/>
      </c>
      <c r="R35" s="61" t="str">
        <f>IF('[1]EF1-UPD'!$C9=R$4,'[1]EF1-UPD'!$H9,"")</f>
        <v/>
      </c>
      <c r="S35" s="61" t="str">
        <f>IF('[1]EF1-UPD'!$C9=S$4,'[1]EF1-UPD'!$H9,"")</f>
        <v/>
      </c>
      <c r="T35" s="61" t="str">
        <f>IF('[1]EF1-UPD'!$C9=T$4,'[1]EF1-UPD'!$H9,"")</f>
        <v/>
      </c>
      <c r="U35" s="61" t="str">
        <f>IF('[1]EF1-UPD'!$C9=U$4,'[1]EF1-UPD'!$I9,IF('[1]EF1-UPD'!$E9=U$4,'[1]EF1-UPD'!$I9,""))</f>
        <v/>
      </c>
      <c r="V35" s="30" t="str">
        <f>[1]UNI_Grid!G11</f>
        <v>GI-SK-N1-CZ-N1</v>
      </c>
      <c r="X35" s="18"/>
      <c r="AE35" s="13"/>
      <c r="AF35" s="13"/>
      <c r="AG35" s="16"/>
      <c r="AH35" s="13"/>
      <c r="AI35" s="16"/>
      <c r="AJ35" s="34"/>
      <c r="AK35" s="13"/>
      <c r="AL35" s="35"/>
      <c r="AM35" s="16"/>
      <c r="AN35" s="16"/>
      <c r="AO35" s="16"/>
      <c r="AP35" s="36"/>
      <c r="AQ35" s="13"/>
      <c r="AR35" s="13"/>
      <c r="AS35" s="15"/>
      <c r="AT35" s="15"/>
      <c r="AU35" s="15"/>
    </row>
    <row r="36" spans="3:47" s="10" customFormat="1">
      <c r="C36" s="18"/>
      <c r="D36" s="18" t="s">
        <v>22</v>
      </c>
      <c r="E36" s="27" t="s">
        <v>115</v>
      </c>
      <c r="F36" s="18"/>
      <c r="H36" s="61" t="str">
        <f>IF('[1]EF1-UPD'!$C10=H$4,'[1]EF1-UPD'!$H10,"")</f>
        <v/>
      </c>
      <c r="I36" s="61" t="str">
        <f>IF('[1]EF1-UPD'!$C10=I$4,'[1]EF1-UPD'!$H10,"")</f>
        <v/>
      </c>
      <c r="J36" s="61" t="str">
        <f>IF('[1]EF1-UPD'!$C10=J$4,'[1]EF1-UPD'!$H10,"")</f>
        <v/>
      </c>
      <c r="K36" s="61" t="str">
        <f>IF('[1]EF1-UPD'!$C10=K$4,'[1]EF1-UPD'!$H10,"")</f>
        <v/>
      </c>
      <c r="L36" s="61" t="str">
        <f>IF('[1]EF1-UPD'!$C10=L$4,'[1]EF1-UPD'!$H10,"")</f>
        <v/>
      </c>
      <c r="M36" s="61" t="str">
        <f>IF('[1]EF1-UPD'!$C10=M$4,'[1]EF1-UPD'!$H10,"")</f>
        <v/>
      </c>
      <c r="N36" s="61">
        <f>IF('[1]EF1-UPD'!$C10=N$4,'[1]EF1-UPD'!$H10,"")</f>
        <v>2.8848487252525399E-2</v>
      </c>
      <c r="O36" s="61" t="str">
        <f>IF('[1]EF1-UPD'!$C10=O$4,'[1]EF1-UPD'!$H10,"")</f>
        <v/>
      </c>
      <c r="P36" s="61" t="str">
        <f>IF('[1]EF1-UPD'!$C10=P$4,'[1]EF1-UPD'!$H10,"")</f>
        <v/>
      </c>
      <c r="Q36" s="61" t="str">
        <f>IF('[1]EF1-UPD'!$C10=Q$4,'[1]EF1-UPD'!$H10,"")</f>
        <v/>
      </c>
      <c r="R36" s="61" t="str">
        <f>IF('[1]EF1-UPD'!$C10=R$4,'[1]EF1-UPD'!$H10,"")</f>
        <v/>
      </c>
      <c r="S36" s="61" t="str">
        <f>IF('[1]EF1-UPD'!$C10=S$4,'[1]EF1-UPD'!$H10,"")</f>
        <v/>
      </c>
      <c r="T36" s="61" t="str">
        <f>IF('[1]EF1-UPD'!$C10=T$4,'[1]EF1-UPD'!$H10,"")</f>
        <v/>
      </c>
      <c r="U36" s="61" t="str">
        <f>IF('[1]EF1-UPD'!$C10=U$4,'[1]EF1-UPD'!$I10,IF('[1]EF1-UPD'!$E10=U$4,'[1]EF1-UPD'!$I10,""))</f>
        <v/>
      </c>
      <c r="V36" s="30" t="str">
        <f>[1]UNI_Grid!G12</f>
        <v>GI-PL-N1-SK-N1</v>
      </c>
      <c r="X36" s="18"/>
      <c r="AE36" s="13"/>
      <c r="AF36" s="13"/>
      <c r="AG36" s="16"/>
      <c r="AH36" s="13"/>
      <c r="AI36" s="16"/>
      <c r="AJ36" s="37"/>
      <c r="AK36" s="13"/>
      <c r="AL36" s="38"/>
      <c r="AM36" s="16"/>
      <c r="AN36" s="16"/>
      <c r="AO36" s="16"/>
      <c r="AP36" s="36"/>
      <c r="AQ36" s="13"/>
      <c r="AR36" s="13"/>
      <c r="AS36" s="15"/>
      <c r="AT36" s="15"/>
      <c r="AU36" s="15"/>
    </row>
    <row r="37" spans="3:47" s="10" customFormat="1">
      <c r="C37" s="18"/>
      <c r="D37" s="18" t="s">
        <v>22</v>
      </c>
      <c r="E37" s="27" t="s">
        <v>115</v>
      </c>
      <c r="F37" s="18"/>
      <c r="H37" s="61" t="str">
        <f>IF('[1]EF1-UPD'!$C11=H$4,'[1]EF1-UPD'!$H11,"")</f>
        <v/>
      </c>
      <c r="I37" s="61" t="str">
        <f>IF('[1]EF1-UPD'!$C11=I$4,'[1]EF1-UPD'!$H11,"")</f>
        <v/>
      </c>
      <c r="J37" s="61" t="str">
        <f>IF('[1]EF1-UPD'!$C11=J$4,'[1]EF1-UPD'!$H11,"")</f>
        <v/>
      </c>
      <c r="K37" s="61">
        <f>IF('[1]EF1-UPD'!$C11=K$4,'[1]EF1-UPD'!$H11,"")</f>
        <v>7.9333339944444997E-3</v>
      </c>
      <c r="L37" s="61" t="str">
        <f>IF('[1]EF1-UPD'!$C11=L$4,'[1]EF1-UPD'!$H11,"")</f>
        <v/>
      </c>
      <c r="M37" s="61" t="str">
        <f>IF('[1]EF1-UPD'!$C11=M$4,'[1]EF1-UPD'!$H11,"")</f>
        <v/>
      </c>
      <c r="N37" s="61" t="str">
        <f>IF('[1]EF1-UPD'!$C11=N$4,'[1]EF1-UPD'!$H11,"")</f>
        <v/>
      </c>
      <c r="O37" s="61" t="str">
        <f>IF('[1]EF1-UPD'!$C11=O$4,'[1]EF1-UPD'!$H11,"")</f>
        <v/>
      </c>
      <c r="P37" s="61" t="str">
        <f>IF('[1]EF1-UPD'!$C11=P$4,'[1]EF1-UPD'!$H11,"")</f>
        <v/>
      </c>
      <c r="Q37" s="61" t="str">
        <f>IF('[1]EF1-UPD'!$C11=Q$4,'[1]EF1-UPD'!$H11,"")</f>
        <v/>
      </c>
      <c r="R37" s="61" t="str">
        <f>IF('[1]EF1-UPD'!$C11=R$4,'[1]EF1-UPD'!$H11,"")</f>
        <v/>
      </c>
      <c r="S37" s="61" t="str">
        <f>IF('[1]EF1-UPD'!$C11=S$4,'[1]EF1-UPD'!$H11,"")</f>
        <v/>
      </c>
      <c r="T37" s="61" t="str">
        <f>IF('[1]EF1-UPD'!$C11=T$4,'[1]EF1-UPD'!$H11,"")</f>
        <v/>
      </c>
      <c r="U37" s="61" t="str">
        <f>IF('[1]EF1-UPD'!$C11=U$4,'[1]EF1-UPD'!$I11,IF('[1]EF1-UPD'!$E11=U$4,'[1]EF1-UPD'!$I11,""))</f>
        <v/>
      </c>
      <c r="V37" s="30" t="str">
        <f>[1]UNI_Grid!G13</f>
        <v>GI-DE-N1-CZ-N1</v>
      </c>
      <c r="X37" s="18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</row>
    <row r="38" spans="3:47" s="10" customFormat="1">
      <c r="C38" s="18"/>
      <c r="D38" s="18" t="s">
        <v>22</v>
      </c>
      <c r="E38" s="27" t="s">
        <v>115</v>
      </c>
      <c r="F38" s="18"/>
      <c r="H38" s="61" t="str">
        <f>IF('[1]EF1-UPD'!$C12=H$4,'[1]EF1-UPD'!$H12,"")</f>
        <v/>
      </c>
      <c r="I38" s="61" t="str">
        <f>IF('[1]EF1-UPD'!$C12=I$4,'[1]EF1-UPD'!$H12,"")</f>
        <v/>
      </c>
      <c r="J38" s="61" t="str">
        <f>IF('[1]EF1-UPD'!$C12=J$4,'[1]EF1-UPD'!$H12,"")</f>
        <v/>
      </c>
      <c r="K38" s="61" t="str">
        <f>IF('[1]EF1-UPD'!$C12=K$4,'[1]EF1-UPD'!$H12,"")</f>
        <v/>
      </c>
      <c r="L38" s="61" t="str">
        <f>IF('[1]EF1-UPD'!$C12=L$4,'[1]EF1-UPD'!$H12,"")</f>
        <v/>
      </c>
      <c r="M38" s="61" t="str">
        <f>IF('[1]EF1-UPD'!$C12=M$4,'[1]EF1-UPD'!$H12,"")</f>
        <v/>
      </c>
      <c r="N38" s="61" t="str">
        <f>IF('[1]EF1-UPD'!$C12=N$4,'[1]EF1-UPD'!$H12,"")</f>
        <v/>
      </c>
      <c r="O38" s="61" t="str">
        <f>IF('[1]EF1-UPD'!$C12=O$4,'[1]EF1-UPD'!$H12,"")</f>
        <v/>
      </c>
      <c r="P38" s="61">
        <f>IF('[1]EF1-UPD'!$C12=P$4,'[1]EF1-UPD'!$H12,"")</f>
        <v>5.5151519747475104E-3</v>
      </c>
      <c r="Q38" s="61" t="str">
        <f>IF('[1]EF1-UPD'!$C12=Q$4,'[1]EF1-UPD'!$H12,"")</f>
        <v/>
      </c>
      <c r="R38" s="61" t="str">
        <f>IF('[1]EF1-UPD'!$C12=R$4,'[1]EF1-UPD'!$H12,"")</f>
        <v/>
      </c>
      <c r="S38" s="61" t="str">
        <f>IF('[1]EF1-UPD'!$C12=S$4,'[1]EF1-UPD'!$H12,"")</f>
        <v/>
      </c>
      <c r="T38" s="61" t="str">
        <f>IF('[1]EF1-UPD'!$C12=T$4,'[1]EF1-UPD'!$H12,"")</f>
        <v/>
      </c>
      <c r="U38" s="61" t="str">
        <f>IF('[1]EF1-UPD'!$C12=U$4,'[1]EF1-UPD'!$I12,IF('[1]EF1-UPD'!$E12=U$4,'[1]EF1-UPD'!$I12,""))</f>
        <v/>
      </c>
      <c r="V38" s="30" t="str">
        <f>[1]UNI_Grid!G14</f>
        <v>GI-SK-N1-HU-N1</v>
      </c>
      <c r="X38" s="18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</row>
    <row r="39" spans="3:47" s="10" customFormat="1">
      <c r="C39" s="18"/>
      <c r="D39" s="18" t="s">
        <v>22</v>
      </c>
      <c r="E39" s="27" t="s">
        <v>115</v>
      </c>
      <c r="F39" s="18"/>
      <c r="H39" s="61" t="str">
        <f>IF('[1]EF1-UPD'!$C13=H$4,'[1]EF1-UPD'!$H13,"")</f>
        <v/>
      </c>
      <c r="I39" s="61" t="str">
        <f>IF('[1]EF1-UPD'!$C13=I$4,'[1]EF1-UPD'!$H13,"")</f>
        <v/>
      </c>
      <c r="J39" s="61" t="str">
        <f>IF('[1]EF1-UPD'!$C13=J$4,'[1]EF1-UPD'!$H13,"")</f>
        <v/>
      </c>
      <c r="K39" s="61" t="str">
        <f>IF('[1]EF1-UPD'!$C13=K$4,'[1]EF1-UPD'!$H13,"")</f>
        <v/>
      </c>
      <c r="L39" s="61" t="str">
        <f>IF('[1]EF1-UPD'!$C13=L$4,'[1]EF1-UPD'!$H13,"")</f>
        <v/>
      </c>
      <c r="M39" s="61" t="str">
        <f>IF('[1]EF1-UPD'!$C13=M$4,'[1]EF1-UPD'!$H13,"")</f>
        <v/>
      </c>
      <c r="N39" s="61" t="str">
        <f>IF('[1]EF1-UPD'!$C13=N$4,'[1]EF1-UPD'!$H13,"")</f>
        <v/>
      </c>
      <c r="O39" s="61">
        <f>IF('[1]EF1-UPD'!$C13=O$4,'[1]EF1-UPD'!$H13,"")</f>
        <v>4.1321215564646699E-2</v>
      </c>
      <c r="P39" s="61" t="str">
        <f>IF('[1]EF1-UPD'!$C13=P$4,'[1]EF1-UPD'!$H13,"")</f>
        <v/>
      </c>
      <c r="Q39" s="61" t="str">
        <f>IF('[1]EF1-UPD'!$C13=Q$4,'[1]EF1-UPD'!$H13,"")</f>
        <v/>
      </c>
      <c r="R39" s="61" t="str">
        <f>IF('[1]EF1-UPD'!$C13=R$4,'[1]EF1-UPD'!$H13,"")</f>
        <v/>
      </c>
      <c r="S39" s="61" t="str">
        <f>IF('[1]EF1-UPD'!$C13=S$4,'[1]EF1-UPD'!$H13,"")</f>
        <v/>
      </c>
      <c r="T39" s="61" t="str">
        <f>IF('[1]EF1-UPD'!$C13=T$4,'[1]EF1-UPD'!$H13,"")</f>
        <v/>
      </c>
      <c r="U39" s="61" t="str">
        <f>IF('[1]EF1-UPD'!$C13=U$4,'[1]EF1-UPD'!$I13,IF('[1]EF1-UPD'!$E13=U$4,'[1]EF1-UPD'!$I13,""))</f>
        <v/>
      </c>
      <c r="V39" s="30" t="str">
        <f>[1]UNI_Grid!G15</f>
        <v>GI-SI-N1-AT-N1</v>
      </c>
      <c r="X39" s="18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</row>
    <row r="40" spans="3:47" s="10" customFormat="1">
      <c r="C40" s="18"/>
      <c r="D40" s="18" t="s">
        <v>22</v>
      </c>
      <c r="E40" s="27" t="s">
        <v>115</v>
      </c>
      <c r="F40" s="18"/>
      <c r="H40" s="61" t="str">
        <f>IF('[1]EF1-UPD'!$C14=H$4,'[1]EF1-UPD'!$H14,"")</f>
        <v/>
      </c>
      <c r="I40" s="61" t="str">
        <f>IF('[1]EF1-UPD'!$C14=I$4,'[1]EF1-UPD'!$H14,"")</f>
        <v/>
      </c>
      <c r="J40" s="61">
        <f>IF('[1]EF1-UPD'!$C14=J$4,'[1]EF1-UPD'!$H14,"")</f>
        <v>2.7717174026936201E-3</v>
      </c>
      <c r="K40" s="61" t="str">
        <f>IF('[1]EF1-UPD'!$C14=K$4,'[1]EF1-UPD'!$H14,"")</f>
        <v/>
      </c>
      <c r="L40" s="61" t="str">
        <f>IF('[1]EF1-UPD'!$C14=L$4,'[1]EF1-UPD'!$H14,"")</f>
        <v/>
      </c>
      <c r="M40" s="61" t="str">
        <f>IF('[1]EF1-UPD'!$C14=M$4,'[1]EF1-UPD'!$H14,"")</f>
        <v/>
      </c>
      <c r="N40" s="61" t="str">
        <f>IF('[1]EF1-UPD'!$C14=N$4,'[1]EF1-UPD'!$H14,"")</f>
        <v/>
      </c>
      <c r="O40" s="61" t="str">
        <f>IF('[1]EF1-UPD'!$C14=O$4,'[1]EF1-UPD'!$H14,"")</f>
        <v/>
      </c>
      <c r="P40" s="61" t="str">
        <f>IF('[1]EF1-UPD'!$C14=P$4,'[1]EF1-UPD'!$H14,"")</f>
        <v/>
      </c>
      <c r="Q40" s="61" t="str">
        <f>IF('[1]EF1-UPD'!$C14=Q$4,'[1]EF1-UPD'!$H14,"")</f>
        <v/>
      </c>
      <c r="R40" s="61" t="str">
        <f>IF('[1]EF1-UPD'!$C14=R$4,'[1]EF1-UPD'!$H14,"")</f>
        <v/>
      </c>
      <c r="S40" s="61" t="str">
        <f>IF('[1]EF1-UPD'!$C14=S$4,'[1]EF1-UPD'!$H14,"")</f>
        <v/>
      </c>
      <c r="T40" s="61" t="str">
        <f>IF('[1]EF1-UPD'!$C14=T$4,'[1]EF1-UPD'!$H14,"")</f>
        <v/>
      </c>
      <c r="U40" s="61" t="str">
        <f>IF('[1]EF1-UPD'!$C14=U$4,'[1]EF1-UPD'!$I14,IF('[1]EF1-UPD'!$E14=U$4,'[1]EF1-UPD'!$I14,""))</f>
        <v/>
      </c>
      <c r="V40" s="30" t="str">
        <f>[1]UNI_Grid!G16</f>
        <v>GI-CH-N1-DE-N1</v>
      </c>
      <c r="X40" s="18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</row>
    <row r="41" spans="3:47" s="10" customFormat="1">
      <c r="C41" s="18"/>
      <c r="D41" s="18" t="s">
        <v>22</v>
      </c>
      <c r="E41" s="27" t="s">
        <v>115</v>
      </c>
      <c r="F41" s="18"/>
      <c r="H41" s="61" t="str">
        <f>IF('[1]EF1-UPD'!$C15=H$4,'[1]EF1-UPD'!$H15,"")</f>
        <v/>
      </c>
      <c r="I41" s="61" t="str">
        <f>IF('[1]EF1-UPD'!$C15=I$4,'[1]EF1-UPD'!$H15,"")</f>
        <v/>
      </c>
      <c r="J41" s="61" t="str">
        <f>IF('[1]EF1-UPD'!$C15=J$4,'[1]EF1-UPD'!$H15,"")</f>
        <v/>
      </c>
      <c r="K41" s="61" t="str">
        <f>IF('[1]EF1-UPD'!$C15=K$4,'[1]EF1-UPD'!$H15,"")</f>
        <v/>
      </c>
      <c r="L41" s="61" t="str">
        <f>IF('[1]EF1-UPD'!$C15=L$4,'[1]EF1-UPD'!$H15,"")</f>
        <v/>
      </c>
      <c r="M41" s="61" t="str">
        <f>IF('[1]EF1-UPD'!$C15=M$4,'[1]EF1-UPD'!$H15,"")</f>
        <v/>
      </c>
      <c r="N41" s="61" t="str">
        <f>IF('[1]EF1-UPD'!$C15=N$4,'[1]EF1-UPD'!$H15,"")</f>
        <v/>
      </c>
      <c r="O41" s="61" t="str">
        <f>IF('[1]EF1-UPD'!$C15=O$4,'[1]EF1-UPD'!$H15,"")</f>
        <v/>
      </c>
      <c r="P41" s="61" t="str">
        <f>IF('[1]EF1-UPD'!$C15=P$4,'[1]EF1-UPD'!$H15,"")</f>
        <v/>
      </c>
      <c r="Q41" s="61" t="str">
        <f>IF('[1]EF1-UPD'!$C15=Q$4,'[1]EF1-UPD'!$H15,"")</f>
        <v/>
      </c>
      <c r="R41" s="61" t="str">
        <f>IF('[1]EF1-UPD'!$C15=R$4,'[1]EF1-UPD'!$H15,"")</f>
        <v/>
      </c>
      <c r="S41" s="61">
        <f>IF('[1]EF1-UPD'!$C15=S$4,'[1]EF1-UPD'!$H15,"")</f>
        <v>9.5030310949495607E-3</v>
      </c>
      <c r="T41" s="61" t="str">
        <f>IF('[1]EF1-UPD'!$C15=T$4,'[1]EF1-UPD'!$H15,"")</f>
        <v/>
      </c>
      <c r="U41" s="61" t="str">
        <f>IF('[1]EF1-UPD'!$C15=U$4,'[1]EF1-UPD'!$I15,IF('[1]EF1-UPD'!$E15=U$4,'[1]EF1-UPD'!$I15,""))</f>
        <v/>
      </c>
      <c r="V41" s="30" t="str">
        <f>[1]UNI_Grid!G17</f>
        <v>GI-IT-N1-SI-N1</v>
      </c>
      <c r="X41" s="18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</row>
    <row r="42" spans="3:47" s="10" customFormat="1">
      <c r="C42" s="18"/>
      <c r="D42" s="18" t="s">
        <v>22</v>
      </c>
      <c r="E42" s="27" t="s">
        <v>115</v>
      </c>
      <c r="F42" s="18"/>
      <c r="H42" s="61" t="str">
        <f>IF('[1]EF1-UPD'!$C16=H$4,'[1]EF1-UPD'!$H16,"")</f>
        <v/>
      </c>
      <c r="I42" s="61" t="str">
        <f>IF('[1]EF1-UPD'!$C16=I$4,'[1]EF1-UPD'!$H16,"")</f>
        <v/>
      </c>
      <c r="J42" s="61" t="str">
        <f>IF('[1]EF1-UPD'!$C16=J$4,'[1]EF1-UPD'!$H16,"")</f>
        <v/>
      </c>
      <c r="K42" s="61" t="str">
        <f>IF('[1]EF1-UPD'!$C16=K$4,'[1]EF1-UPD'!$H16,"")</f>
        <v/>
      </c>
      <c r="L42" s="61">
        <f>IF('[1]EF1-UPD'!$C16=L$4,'[1]EF1-UPD'!$H16,"")</f>
        <v>2.99798004781146E-3</v>
      </c>
      <c r="M42" s="61" t="str">
        <f>IF('[1]EF1-UPD'!$C16=M$4,'[1]EF1-UPD'!$H16,"")</f>
        <v/>
      </c>
      <c r="N42" s="61" t="str">
        <f>IF('[1]EF1-UPD'!$C16=N$4,'[1]EF1-UPD'!$H16,"")</f>
        <v/>
      </c>
      <c r="O42" s="61" t="str">
        <f>IF('[1]EF1-UPD'!$C16=O$4,'[1]EF1-UPD'!$H16,"")</f>
        <v/>
      </c>
      <c r="P42" s="61" t="str">
        <f>IF('[1]EF1-UPD'!$C16=P$4,'[1]EF1-UPD'!$H16,"")</f>
        <v/>
      </c>
      <c r="Q42" s="61" t="str">
        <f>IF('[1]EF1-UPD'!$C16=Q$4,'[1]EF1-UPD'!$H16,"")</f>
        <v/>
      </c>
      <c r="R42" s="61" t="str">
        <f>IF('[1]EF1-UPD'!$C16=R$4,'[1]EF1-UPD'!$H16,"")</f>
        <v/>
      </c>
      <c r="S42" s="61" t="str">
        <f>IF('[1]EF1-UPD'!$C16=S$4,'[1]EF1-UPD'!$H16,"")</f>
        <v/>
      </c>
      <c r="T42" s="61" t="str">
        <f>IF('[1]EF1-UPD'!$C16=T$4,'[1]EF1-UPD'!$H16,"")</f>
        <v/>
      </c>
      <c r="U42" s="61" t="str">
        <f>IF('[1]EF1-UPD'!$C16=U$4,'[1]EF1-UPD'!$I16,IF('[1]EF1-UPD'!$E16=U$4,'[1]EF1-UPD'!$I16,""))</f>
        <v/>
      </c>
      <c r="V42" s="30" t="str">
        <f>[1]UNI_Grid!G18</f>
        <v>GI-FR-N1-CH-N1</v>
      </c>
      <c r="X42" s="18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</row>
    <row r="43" spans="3:47" s="10" customFormat="1">
      <c r="C43" s="18"/>
      <c r="D43" s="18" t="s">
        <v>22</v>
      </c>
      <c r="E43" s="27" t="s">
        <v>115</v>
      </c>
      <c r="F43" s="18"/>
      <c r="H43" s="61">
        <f>IF('[1]EF1-UPD'!$C17=H$4,'[1]EF1-UPD'!$H17,"")</f>
        <v>8.0606067323232902E-3</v>
      </c>
      <c r="I43" s="61" t="str">
        <f>IF('[1]EF1-UPD'!$C17=I$4,'[1]EF1-UPD'!$H17,"")</f>
        <v/>
      </c>
      <c r="J43" s="61" t="str">
        <f>IF('[1]EF1-UPD'!$C17=J$4,'[1]EF1-UPD'!$H17,"")</f>
        <v/>
      </c>
      <c r="K43" s="61" t="str">
        <f>IF('[1]EF1-UPD'!$C17=K$4,'[1]EF1-UPD'!$H17,"")</f>
        <v/>
      </c>
      <c r="L43" s="61" t="str">
        <f>IF('[1]EF1-UPD'!$C17=L$4,'[1]EF1-UPD'!$H17,"")</f>
        <v/>
      </c>
      <c r="M43" s="61" t="str">
        <f>IF('[1]EF1-UPD'!$C17=M$4,'[1]EF1-UPD'!$H17,"")</f>
        <v/>
      </c>
      <c r="N43" s="61" t="str">
        <f>IF('[1]EF1-UPD'!$C17=N$4,'[1]EF1-UPD'!$H17,"")</f>
        <v/>
      </c>
      <c r="O43" s="61" t="str">
        <f>IF('[1]EF1-UPD'!$C17=O$4,'[1]EF1-UPD'!$H17,"")</f>
        <v/>
      </c>
      <c r="P43" s="61" t="str">
        <f>IF('[1]EF1-UPD'!$C17=P$4,'[1]EF1-UPD'!$H17,"")</f>
        <v/>
      </c>
      <c r="Q43" s="61" t="str">
        <f>IF('[1]EF1-UPD'!$C17=Q$4,'[1]EF1-UPD'!$H17,"")</f>
        <v/>
      </c>
      <c r="R43" s="61" t="str">
        <f>IF('[1]EF1-UPD'!$C17=R$4,'[1]EF1-UPD'!$H17,"")</f>
        <v/>
      </c>
      <c r="S43" s="61" t="str">
        <f>IF('[1]EF1-UPD'!$C17=S$4,'[1]EF1-UPD'!$H17,"")</f>
        <v/>
      </c>
      <c r="T43" s="61" t="str">
        <f>IF('[1]EF1-UPD'!$C17=T$4,'[1]EF1-UPD'!$H17,"")</f>
        <v/>
      </c>
      <c r="U43" s="61" t="str">
        <f>IF('[1]EF1-UPD'!$C17=U$4,'[1]EF1-UPD'!$I17,IF('[1]EF1-UPD'!$E17=U$4,'[1]EF1-UPD'!$I17,""))</f>
        <v/>
      </c>
      <c r="V43" s="30" t="str">
        <f>[1]UNI_Grid!G19</f>
        <v>GI-AT-N1-CZ-N1</v>
      </c>
      <c r="X43" s="18"/>
    </row>
    <row r="44" spans="3:47" s="10" customFormat="1">
      <c r="C44" s="18"/>
      <c r="D44" s="18" t="s">
        <v>22</v>
      </c>
      <c r="E44" s="27" t="s">
        <v>115</v>
      </c>
      <c r="F44" s="18"/>
      <c r="H44" s="61" t="str">
        <f>IF('[1]EF1-UPD'!$C18=H$4,'[1]EF1-UPD'!$H18,"")</f>
        <v/>
      </c>
      <c r="I44" s="61" t="str">
        <f>IF('[1]EF1-UPD'!$C18=I$4,'[1]EF1-UPD'!$H18,"")</f>
        <v/>
      </c>
      <c r="J44" s="61" t="str">
        <f>IF('[1]EF1-UPD'!$C18=J$4,'[1]EF1-UPD'!$H18,"")</f>
        <v/>
      </c>
      <c r="K44" s="61">
        <f>IF('[1]EF1-UPD'!$C18=K$4,'[1]EF1-UPD'!$H18,"")</f>
        <v>3.8181821363636602E-3</v>
      </c>
      <c r="L44" s="61" t="str">
        <f>IF('[1]EF1-UPD'!$C18=L$4,'[1]EF1-UPD'!$H18,"")</f>
        <v/>
      </c>
      <c r="M44" s="61" t="str">
        <f>IF('[1]EF1-UPD'!$C18=M$4,'[1]EF1-UPD'!$H18,"")</f>
        <v/>
      </c>
      <c r="N44" s="61" t="str">
        <f>IF('[1]EF1-UPD'!$C18=N$4,'[1]EF1-UPD'!$H18,"")</f>
        <v/>
      </c>
      <c r="O44" s="61" t="str">
        <f>IF('[1]EF1-UPD'!$C18=O$4,'[1]EF1-UPD'!$H18,"")</f>
        <v/>
      </c>
      <c r="P44" s="61" t="str">
        <f>IF('[1]EF1-UPD'!$C18=P$4,'[1]EF1-UPD'!$H18,"")</f>
        <v/>
      </c>
      <c r="Q44" s="61" t="str">
        <f>IF('[1]EF1-UPD'!$C18=Q$4,'[1]EF1-UPD'!$H18,"")</f>
        <v/>
      </c>
      <c r="R44" s="61" t="str">
        <f>IF('[1]EF1-UPD'!$C18=R$4,'[1]EF1-UPD'!$H18,"")</f>
        <v/>
      </c>
      <c r="S44" s="61" t="str">
        <f>IF('[1]EF1-UPD'!$C18=S$4,'[1]EF1-UPD'!$H18,"")</f>
        <v/>
      </c>
      <c r="T44" s="61" t="str">
        <f>IF('[1]EF1-UPD'!$C18=T$4,'[1]EF1-UPD'!$H18,"")</f>
        <v/>
      </c>
      <c r="U44" s="61" t="str">
        <f>IF('[1]EF1-UPD'!$C18=U$4,'[1]EF1-UPD'!$I18,IF('[1]EF1-UPD'!$E18=U$4,'[1]EF1-UPD'!$I18,""))</f>
        <v/>
      </c>
      <c r="V44" s="30" t="str">
        <f>[1]UNI_Grid!G20</f>
        <v>GI-DE-N1-AT-N1</v>
      </c>
      <c r="X44" s="18"/>
    </row>
    <row r="45" spans="3:47" s="10" customFormat="1">
      <c r="C45" s="18"/>
      <c r="D45" s="18" t="s">
        <v>22</v>
      </c>
      <c r="E45" s="27" t="s">
        <v>115</v>
      </c>
      <c r="F45" s="18"/>
      <c r="H45" s="61" t="str">
        <f>IF('[1]EF1-UPD'!$C19=H$4,'[1]EF1-UPD'!$H19,"")</f>
        <v/>
      </c>
      <c r="I45" s="61" t="str">
        <f>IF('[1]EF1-UPD'!$C19=I$4,'[1]EF1-UPD'!$H19,"")</f>
        <v/>
      </c>
      <c r="J45" s="61">
        <f>IF('[1]EF1-UPD'!$C19=J$4,'[1]EF1-UPD'!$H19,"")</f>
        <v>1.23030313282829E-2</v>
      </c>
      <c r="K45" s="61" t="str">
        <f>IF('[1]EF1-UPD'!$C19=K$4,'[1]EF1-UPD'!$H19,"")</f>
        <v/>
      </c>
      <c r="L45" s="61" t="str">
        <f>IF('[1]EF1-UPD'!$C19=L$4,'[1]EF1-UPD'!$H19,"")</f>
        <v/>
      </c>
      <c r="M45" s="61" t="str">
        <f>IF('[1]EF1-UPD'!$C19=M$4,'[1]EF1-UPD'!$H19,"")</f>
        <v/>
      </c>
      <c r="N45" s="61" t="str">
        <f>IF('[1]EF1-UPD'!$C19=N$4,'[1]EF1-UPD'!$H19,"")</f>
        <v/>
      </c>
      <c r="O45" s="61" t="str">
        <f>IF('[1]EF1-UPD'!$C19=O$4,'[1]EF1-UPD'!$H19,"")</f>
        <v/>
      </c>
      <c r="P45" s="61" t="str">
        <f>IF('[1]EF1-UPD'!$C19=P$4,'[1]EF1-UPD'!$H19,"")</f>
        <v/>
      </c>
      <c r="Q45" s="61" t="str">
        <f>IF('[1]EF1-UPD'!$C19=Q$4,'[1]EF1-UPD'!$H19,"")</f>
        <v/>
      </c>
      <c r="R45" s="61" t="str">
        <f>IF('[1]EF1-UPD'!$C19=R$4,'[1]EF1-UPD'!$H19,"")</f>
        <v/>
      </c>
      <c r="S45" s="61" t="str">
        <f>IF('[1]EF1-UPD'!$C19=S$4,'[1]EF1-UPD'!$H19,"")</f>
        <v/>
      </c>
      <c r="T45" s="61" t="str">
        <f>IF('[1]EF1-UPD'!$C19=T$4,'[1]EF1-UPD'!$H19,"")</f>
        <v/>
      </c>
      <c r="U45" s="61" t="str">
        <f>IF('[1]EF1-UPD'!$C19=U$4,'[1]EF1-UPD'!$I19,IF('[1]EF1-UPD'!$E19=U$4,'[1]EF1-UPD'!$I19,""))</f>
        <v/>
      </c>
      <c r="V45" s="30" t="str">
        <f>[1]UNI_Grid!G21</f>
        <v>GI-CH-N1-AT-N1</v>
      </c>
      <c r="X45" s="18"/>
    </row>
    <row r="46" spans="3:47" s="10" customFormat="1">
      <c r="C46" s="18"/>
      <c r="D46" s="18" t="s">
        <v>22</v>
      </c>
      <c r="E46" s="27" t="s">
        <v>115</v>
      </c>
      <c r="F46" s="18"/>
      <c r="H46" s="61" t="str">
        <f>IF('[1]EF1-UPD'!$C20=H$4,'[1]EF1-UPD'!$H20,"")</f>
        <v/>
      </c>
      <c r="I46" s="61" t="str">
        <f>IF('[1]EF1-UPD'!$C20=I$4,'[1]EF1-UPD'!$H20,"")</f>
        <v/>
      </c>
      <c r="J46" s="61">
        <f>IF('[1]EF1-UPD'!$C20=J$4,'[1]EF1-UPD'!$H20,"")</f>
        <v>3.95959628956231E-3</v>
      </c>
      <c r="K46" s="61" t="str">
        <f>IF('[1]EF1-UPD'!$C20=K$4,'[1]EF1-UPD'!$H20,"")</f>
        <v/>
      </c>
      <c r="L46" s="61" t="str">
        <f>IF('[1]EF1-UPD'!$C20=L$4,'[1]EF1-UPD'!$H20,"")</f>
        <v/>
      </c>
      <c r="M46" s="61" t="str">
        <f>IF('[1]EF1-UPD'!$C20=M$4,'[1]EF1-UPD'!$H20,"")</f>
        <v/>
      </c>
      <c r="N46" s="61" t="str">
        <f>IF('[1]EF1-UPD'!$C20=N$4,'[1]EF1-UPD'!$H20,"")</f>
        <v/>
      </c>
      <c r="O46" s="61" t="str">
        <f>IF('[1]EF1-UPD'!$C20=O$4,'[1]EF1-UPD'!$H20,"")</f>
        <v/>
      </c>
      <c r="P46" s="61" t="str">
        <f>IF('[1]EF1-UPD'!$C20=P$4,'[1]EF1-UPD'!$H20,"")</f>
        <v/>
      </c>
      <c r="Q46" s="61" t="str">
        <f>IF('[1]EF1-UPD'!$C20=Q$4,'[1]EF1-UPD'!$H20,"")</f>
        <v/>
      </c>
      <c r="R46" s="61" t="str">
        <f>IF('[1]EF1-UPD'!$C20=R$4,'[1]EF1-UPD'!$H20,"")</f>
        <v/>
      </c>
      <c r="S46" s="61" t="str">
        <f>IF('[1]EF1-UPD'!$C20=S$4,'[1]EF1-UPD'!$H20,"")</f>
        <v/>
      </c>
      <c r="T46" s="61" t="str">
        <f>IF('[1]EF1-UPD'!$C20=T$4,'[1]EF1-UPD'!$H20,"")</f>
        <v/>
      </c>
      <c r="U46" s="61" t="str">
        <f>IF('[1]EF1-UPD'!$C20=U$4,'[1]EF1-UPD'!$I20,IF('[1]EF1-UPD'!$E20=U$4,'[1]EF1-UPD'!$I20,""))</f>
        <v/>
      </c>
      <c r="V46" s="30" t="str">
        <f>[1]UNI_Grid!G22</f>
        <v>GI-CH-N1-IT-N1</v>
      </c>
      <c r="X46" s="18"/>
    </row>
    <row r="47" spans="3:47" s="10" customFormat="1">
      <c r="C47" s="18"/>
      <c r="D47" s="18" t="s">
        <v>22</v>
      </c>
      <c r="E47" s="27" t="s">
        <v>115</v>
      </c>
      <c r="F47" s="18"/>
      <c r="H47" s="61" t="str">
        <f>IF('[1]EF1-UPD'!$C21=H$4,'[1]EF1-UPD'!$H21,"")</f>
        <v/>
      </c>
      <c r="I47" s="61" t="str">
        <f>IF('[1]EF1-UPD'!$C21=I$4,'[1]EF1-UPD'!$H21,"")</f>
        <v/>
      </c>
      <c r="J47" s="61" t="str">
        <f>IF('[1]EF1-UPD'!$C21=J$4,'[1]EF1-UPD'!$H21,"")</f>
        <v/>
      </c>
      <c r="K47" s="61" t="str">
        <f>IF('[1]EF1-UPD'!$C21=K$4,'[1]EF1-UPD'!$H21,"")</f>
        <v/>
      </c>
      <c r="L47" s="61">
        <f>IF('[1]EF1-UPD'!$C21=L$4,'[1]EF1-UPD'!$H21,"")</f>
        <v>6.5050510471380898E-3</v>
      </c>
      <c r="M47" s="61" t="str">
        <f>IF('[1]EF1-UPD'!$C21=M$4,'[1]EF1-UPD'!$H21,"")</f>
        <v/>
      </c>
      <c r="N47" s="61" t="str">
        <f>IF('[1]EF1-UPD'!$C21=N$4,'[1]EF1-UPD'!$H21,"")</f>
        <v/>
      </c>
      <c r="O47" s="61" t="str">
        <f>IF('[1]EF1-UPD'!$C21=O$4,'[1]EF1-UPD'!$H21,"")</f>
        <v/>
      </c>
      <c r="P47" s="61" t="str">
        <f>IF('[1]EF1-UPD'!$C21=P$4,'[1]EF1-UPD'!$H21,"")</f>
        <v/>
      </c>
      <c r="Q47" s="61" t="str">
        <f>IF('[1]EF1-UPD'!$C21=Q$4,'[1]EF1-UPD'!$H21,"")</f>
        <v/>
      </c>
      <c r="R47" s="61" t="str">
        <f>IF('[1]EF1-UPD'!$C21=R$4,'[1]EF1-UPD'!$H21,"")</f>
        <v/>
      </c>
      <c r="S47" s="61" t="str">
        <f>IF('[1]EF1-UPD'!$C21=S$4,'[1]EF1-UPD'!$H21,"")</f>
        <v/>
      </c>
      <c r="T47" s="61" t="str">
        <f>IF('[1]EF1-UPD'!$C21=T$4,'[1]EF1-UPD'!$H21,"")</f>
        <v/>
      </c>
      <c r="U47" s="61" t="str">
        <f>IF('[1]EF1-UPD'!$C21=U$4,'[1]EF1-UPD'!$I21,IF('[1]EF1-UPD'!$E21=U$4,'[1]EF1-UPD'!$I21,""))</f>
        <v/>
      </c>
      <c r="V47" s="30" t="str">
        <f>[1]UNI_Grid!G23</f>
        <v>GI-FR-N1-IT-N1</v>
      </c>
      <c r="X47" s="18"/>
    </row>
    <row r="48" spans="3:47" s="10" customFormat="1">
      <c r="C48" s="18"/>
      <c r="D48" s="18" t="s">
        <v>22</v>
      </c>
      <c r="E48" s="27" t="s">
        <v>115</v>
      </c>
      <c r="F48" s="18"/>
      <c r="H48" s="61">
        <f>IF('[1]EF1-UPD'!$C22=H$4,'[1]EF1-UPD'!$H22,"")</f>
        <v>0.99857214382040604</v>
      </c>
      <c r="I48" s="61" t="str">
        <f>IF('[1]EF1-UPD'!$C22=I$4,'[1]EF1-UPD'!$H22,"")</f>
        <v/>
      </c>
      <c r="J48" s="61" t="str">
        <f>IF('[1]EF1-UPD'!$C22=J$4,'[1]EF1-UPD'!$H22,"")</f>
        <v/>
      </c>
      <c r="K48" s="61" t="str">
        <f>IF('[1]EF1-UPD'!$C22=K$4,'[1]EF1-UPD'!$H22,"")</f>
        <v/>
      </c>
      <c r="L48" s="61" t="str">
        <f>IF('[1]EF1-UPD'!$C22=L$4,'[1]EF1-UPD'!$H22,"")</f>
        <v/>
      </c>
      <c r="M48" s="61" t="str">
        <f>IF('[1]EF1-UPD'!$C22=M$4,'[1]EF1-UPD'!$H22,"")</f>
        <v/>
      </c>
      <c r="N48" s="61" t="str">
        <f>IF('[1]EF1-UPD'!$C22=N$4,'[1]EF1-UPD'!$H22,"")</f>
        <v/>
      </c>
      <c r="O48" s="61" t="str">
        <f>IF('[1]EF1-UPD'!$C22=O$4,'[1]EF1-UPD'!$H22,"")</f>
        <v/>
      </c>
      <c r="P48" s="61" t="str">
        <f>IF('[1]EF1-UPD'!$C22=P$4,'[1]EF1-UPD'!$H22,"")</f>
        <v/>
      </c>
      <c r="Q48" s="61" t="str">
        <f>IF('[1]EF1-UPD'!$C22=Q$4,'[1]EF1-UPD'!$H22,"")</f>
        <v/>
      </c>
      <c r="R48" s="61" t="str">
        <f>IF('[1]EF1-UPD'!$C22=R$4,'[1]EF1-UPD'!$H22,"")</f>
        <v/>
      </c>
      <c r="S48" s="61" t="str">
        <f>IF('[1]EF1-UPD'!$C22=S$4,'[1]EF1-UPD'!$H22,"")</f>
        <v/>
      </c>
      <c r="T48" s="61" t="str">
        <f>IF('[1]EF1-UPD'!$C22=T$4,'[1]EF1-UPD'!$H22,"")</f>
        <v/>
      </c>
      <c r="U48" s="61" t="str">
        <f>IF('[1]EF1-UPD'!$C22=U$4,'[1]EF1-UPD'!$I22,IF('[1]EF1-UPD'!$E22=U$4,'[1]EF1-UPD'!$I22,""))</f>
        <v/>
      </c>
      <c r="V48" s="30" t="str">
        <f>[1]UNI_Grid!G24</f>
        <v>GI-AT-N1-HU-N1</v>
      </c>
      <c r="X48" s="18"/>
    </row>
    <row r="49" spans="1:24" s="10" customFormat="1">
      <c r="C49" s="18"/>
      <c r="D49" s="18" t="s">
        <v>22</v>
      </c>
      <c r="E49" s="27" t="s">
        <v>115</v>
      </c>
      <c r="F49" s="18"/>
      <c r="H49" s="61" t="str">
        <f>IF('[1]EF1-UPD'!$C23=H$4,'[1]EF1-UPD'!$H23,"")</f>
        <v/>
      </c>
      <c r="I49" s="61" t="str">
        <f>IF('[1]EF1-UPD'!$C23=I$4,'[1]EF1-UPD'!$H23,"")</f>
        <v/>
      </c>
      <c r="J49" s="61" t="str">
        <f>IF('[1]EF1-UPD'!$C23=J$4,'[1]EF1-UPD'!$H23,"")</f>
        <v/>
      </c>
      <c r="K49" s="61">
        <f>IF('[1]EF1-UPD'!$C23=K$4,'[1]EF1-UPD'!$H23,"")</f>
        <v>1</v>
      </c>
      <c r="L49" s="61" t="str">
        <f>IF('[1]EF1-UPD'!$C23=L$4,'[1]EF1-UPD'!$H23,"")</f>
        <v/>
      </c>
      <c r="M49" s="61" t="str">
        <f>IF('[1]EF1-UPD'!$C23=M$4,'[1]EF1-UPD'!$H23,"")</f>
        <v/>
      </c>
      <c r="N49" s="61" t="str">
        <f>IF('[1]EF1-UPD'!$C23=N$4,'[1]EF1-UPD'!$H23,"")</f>
        <v/>
      </c>
      <c r="O49" s="61" t="str">
        <f>IF('[1]EF1-UPD'!$C23=O$4,'[1]EF1-UPD'!$H23,"")</f>
        <v/>
      </c>
      <c r="P49" s="61" t="str">
        <f>IF('[1]EF1-UPD'!$C23=P$4,'[1]EF1-UPD'!$H23,"")</f>
        <v/>
      </c>
      <c r="Q49" s="61" t="str">
        <f>IF('[1]EF1-UPD'!$C23=Q$4,'[1]EF1-UPD'!$H23,"")</f>
        <v/>
      </c>
      <c r="R49" s="61" t="str">
        <f>IF('[1]EF1-UPD'!$C23=R$4,'[1]EF1-UPD'!$H23,"")</f>
        <v/>
      </c>
      <c r="S49" s="61" t="str">
        <f>IF('[1]EF1-UPD'!$C23=S$4,'[1]EF1-UPD'!$H23,"")</f>
        <v/>
      </c>
      <c r="T49" s="61" t="str">
        <f>IF('[1]EF1-UPD'!$C23=T$4,'[1]EF1-UPD'!$H23,"")</f>
        <v/>
      </c>
      <c r="U49" s="61" t="str">
        <f>IF('[1]EF1-UPD'!$C23=U$4,'[1]EF1-UPD'!$I23,IF('[1]EF1-UPD'!$E23=U$4,'[1]EF1-UPD'!$I23,""))</f>
        <v/>
      </c>
      <c r="V49" s="30" t="str">
        <f>[1]UNI_Grid!G25</f>
        <v>GI-DE-N1-PL-N1</v>
      </c>
      <c r="X49" s="18"/>
    </row>
    <row r="50" spans="1:24" s="10" customFormat="1" ht="13.5" thickBot="1">
      <c r="A50" s="53"/>
      <c r="B50" s="53"/>
      <c r="C50" s="50"/>
      <c r="D50" s="50" t="s">
        <v>22</v>
      </c>
      <c r="E50" s="62" t="s">
        <v>115</v>
      </c>
      <c r="F50" s="50"/>
      <c r="G50" s="53"/>
      <c r="H50" s="65">
        <f>IF('[1]EF1-UPD'!$C24=H$4,'[1]EF1-UPD'!$H24,"")</f>
        <v>0.98273001613659205</v>
      </c>
      <c r="I50" s="65" t="str">
        <f>IF('[1]EF1-UPD'!$C24=I$4,'[1]EF1-UPD'!$H24,"")</f>
        <v/>
      </c>
      <c r="J50" s="65" t="str">
        <f>IF('[1]EF1-UPD'!$C24=J$4,'[1]EF1-UPD'!$H24,"")</f>
        <v/>
      </c>
      <c r="K50" s="65" t="str">
        <f>IF('[1]EF1-UPD'!$C24=K$4,'[1]EF1-UPD'!$H24,"")</f>
        <v/>
      </c>
      <c r="L50" s="65" t="str">
        <f>IF('[1]EF1-UPD'!$C24=L$4,'[1]EF1-UPD'!$H24,"")</f>
        <v/>
      </c>
      <c r="M50" s="65" t="str">
        <f>IF('[1]EF1-UPD'!$C24=M$4,'[1]EF1-UPD'!$H24,"")</f>
        <v/>
      </c>
      <c r="N50" s="65" t="str">
        <f>IF('[1]EF1-UPD'!$C24=N$4,'[1]EF1-UPD'!$H24,"")</f>
        <v/>
      </c>
      <c r="O50" s="65" t="str">
        <f>IF('[1]EF1-UPD'!$C24=O$4,'[1]EF1-UPD'!$H24,"")</f>
        <v/>
      </c>
      <c r="P50" s="65" t="str">
        <f>IF('[1]EF1-UPD'!$C24=P$4,'[1]EF1-UPD'!$H24,"")</f>
        <v/>
      </c>
      <c r="Q50" s="65" t="str">
        <f>IF('[1]EF1-UPD'!$C24=Q$4,'[1]EF1-UPD'!$H24,"")</f>
        <v/>
      </c>
      <c r="R50" s="65" t="str">
        <f>IF('[1]EF1-UPD'!$C24=R$4,'[1]EF1-UPD'!$H24,"")</f>
        <v/>
      </c>
      <c r="S50" s="65" t="str">
        <f>IF('[1]EF1-UPD'!$C24=S$4,'[1]EF1-UPD'!$H24,"")</f>
        <v/>
      </c>
      <c r="T50" s="65" t="str">
        <f>IF('[1]EF1-UPD'!$C24=T$4,'[1]EF1-UPD'!$H24,"")</f>
        <v/>
      </c>
      <c r="U50" s="65" t="str">
        <f>IF('[1]EF1-UPD'!$C24=U$4,'[1]EF1-UPD'!$I24,IF('[1]EF1-UPD'!$E24=U$4,'[1]EF1-UPD'!$I24,""))</f>
        <v/>
      </c>
      <c r="V50" s="64" t="str">
        <f>[1]UNI_Grid!G26</f>
        <v>GI-AT-N1-IT-N1</v>
      </c>
      <c r="W50" s="53"/>
      <c r="X50" s="50"/>
    </row>
    <row r="51" spans="1:24" ht="14.25" thickTop="1" thickBot="1">
      <c r="A51" s="51" t="s">
        <v>42</v>
      </c>
      <c r="B51" s="51"/>
      <c r="C51" s="51"/>
      <c r="D51" s="52" t="s">
        <v>23</v>
      </c>
      <c r="E51" s="52"/>
      <c r="F51" s="51"/>
      <c r="G51" s="50"/>
      <c r="H51" s="52">
        <v>1</v>
      </c>
      <c r="I51" s="52">
        <v>1</v>
      </c>
      <c r="J51" s="52">
        <v>1</v>
      </c>
      <c r="K51" s="52">
        <v>1</v>
      </c>
      <c r="L51" s="52">
        <v>1</v>
      </c>
      <c r="M51" s="52">
        <v>1</v>
      </c>
      <c r="N51" s="52">
        <v>1</v>
      </c>
      <c r="O51" s="52">
        <v>1</v>
      </c>
      <c r="P51" s="52">
        <v>1</v>
      </c>
      <c r="Q51" s="52">
        <v>1</v>
      </c>
      <c r="R51" s="52">
        <v>1</v>
      </c>
      <c r="S51" s="52">
        <v>1</v>
      </c>
      <c r="T51" s="52">
        <v>1</v>
      </c>
      <c r="U51" s="51"/>
      <c r="V51" s="51"/>
      <c r="W51" s="51"/>
      <c r="X51" s="74" t="s">
        <v>185</v>
      </c>
    </row>
    <row r="52" spans="1:24" ht="13.5" thickTop="1">
      <c r="A52" t="s">
        <v>21</v>
      </c>
      <c r="D52" s="4" t="s">
        <v>25</v>
      </c>
      <c r="E52" s="4">
        <v>2005</v>
      </c>
      <c r="F52" s="4" t="str">
        <f>GenMAP!C6</f>
        <v>IMPEXP</v>
      </c>
      <c r="G52" s="4"/>
      <c r="H52" s="4">
        <v>1</v>
      </c>
      <c r="I52" s="4">
        <v>1</v>
      </c>
      <c r="J52" s="4">
        <v>1</v>
      </c>
      <c r="K52" s="4">
        <v>1</v>
      </c>
      <c r="L52" s="4">
        <v>1</v>
      </c>
      <c r="M52" s="4">
        <v>1</v>
      </c>
      <c r="N52" s="4">
        <v>1</v>
      </c>
      <c r="O52" s="4">
        <v>1</v>
      </c>
      <c r="P52" s="4">
        <v>1</v>
      </c>
      <c r="Q52" s="4">
        <v>1</v>
      </c>
      <c r="R52" s="4">
        <v>1</v>
      </c>
      <c r="S52" s="4">
        <v>1</v>
      </c>
      <c r="T52" s="4">
        <v>1</v>
      </c>
      <c r="U52" s="10" t="str">
        <f>IF(ISERROR(VLOOKUP(U$4&amp;$F52&amp;$X52,#REF!,6,FALSE)),"",IF(VLOOKUP(U$4&amp;$F52&amp;$X52,#REF!,6,FALSE)=0,"",VLOOKUP(U$4&amp;$F52&amp;$X52,#REF!,6,FALSE)))</f>
        <v/>
      </c>
      <c r="V52" s="10" t="str">
        <f>IF(ISERROR(VLOOKUP(V$4&amp;$F52&amp;$X52,#REF!,6,FALSE)),"",IF(VLOOKUP(V$4&amp;$F52&amp;$X52,#REF!,6,FALSE)=0,"",VLOOKUP(V$4&amp;$F52&amp;$X52,#REF!,6,FALSE)))</f>
        <v/>
      </c>
      <c r="X52" s="75" t="s">
        <v>26</v>
      </c>
    </row>
    <row r="53" spans="1:24">
      <c r="D53" s="4" t="s">
        <v>25</v>
      </c>
      <c r="E53" s="4">
        <v>2005</v>
      </c>
      <c r="F53" s="4" t="str">
        <f>GenMAP!C7</f>
        <v>COA</v>
      </c>
      <c r="G53" s="4"/>
      <c r="H53" s="4">
        <v>1</v>
      </c>
      <c r="I53" s="4">
        <v>1</v>
      </c>
      <c r="J53" s="4">
        <v>1</v>
      </c>
      <c r="K53" s="4">
        <v>1</v>
      </c>
      <c r="L53" s="4">
        <v>1</v>
      </c>
      <c r="M53" s="4">
        <v>1</v>
      </c>
      <c r="N53" s="4">
        <v>1</v>
      </c>
      <c r="O53" s="4">
        <v>1</v>
      </c>
      <c r="P53" s="4">
        <v>1</v>
      </c>
      <c r="Q53" s="4">
        <v>1</v>
      </c>
      <c r="R53" s="4">
        <v>1</v>
      </c>
      <c r="S53" s="4">
        <v>1</v>
      </c>
      <c r="T53" s="4">
        <v>1</v>
      </c>
      <c r="U53" s="10"/>
      <c r="V53" s="10"/>
      <c r="X53" s="16" t="s">
        <v>26</v>
      </c>
    </row>
    <row r="54" spans="1:24">
      <c r="D54" s="4" t="s">
        <v>25</v>
      </c>
      <c r="E54" s="4">
        <v>2005</v>
      </c>
      <c r="F54" s="4" t="str">
        <f>GenMAP!C8</f>
        <v>LIGN</v>
      </c>
      <c r="G54" s="4"/>
      <c r="H54" s="4">
        <v>1</v>
      </c>
      <c r="I54" s="4">
        <v>1</v>
      </c>
      <c r="J54" s="4">
        <v>1</v>
      </c>
      <c r="K54" s="4">
        <v>1</v>
      </c>
      <c r="L54" s="4">
        <v>1</v>
      </c>
      <c r="M54" s="4">
        <v>1</v>
      </c>
      <c r="N54" s="4">
        <v>1</v>
      </c>
      <c r="O54" s="4">
        <v>1</v>
      </c>
      <c r="P54" s="4">
        <v>1</v>
      </c>
      <c r="Q54" s="4">
        <v>1</v>
      </c>
      <c r="R54" s="4">
        <v>1</v>
      </c>
      <c r="S54" s="4">
        <v>1</v>
      </c>
      <c r="T54" s="4">
        <v>1</v>
      </c>
      <c r="U54" s="10"/>
      <c r="V54" s="10"/>
      <c r="X54" s="16" t="s">
        <v>26</v>
      </c>
    </row>
    <row r="55" spans="1:24">
      <c r="D55" s="4" t="s">
        <v>25</v>
      </c>
      <c r="E55" s="4">
        <v>2005</v>
      </c>
      <c r="F55" s="4" t="str">
        <f>GenMAP!C9</f>
        <v>NGOC</v>
      </c>
      <c r="G55" s="4"/>
      <c r="H55" s="4">
        <v>1</v>
      </c>
      <c r="I55" s="4">
        <v>1</v>
      </c>
      <c r="J55" s="4">
        <v>1</v>
      </c>
      <c r="K55" s="4">
        <v>1</v>
      </c>
      <c r="L55" s="4">
        <v>1</v>
      </c>
      <c r="M55" s="4">
        <v>1</v>
      </c>
      <c r="N55" s="4">
        <v>1</v>
      </c>
      <c r="O55" s="4">
        <v>1</v>
      </c>
      <c r="P55" s="4">
        <v>1</v>
      </c>
      <c r="Q55" s="4">
        <v>1</v>
      </c>
      <c r="R55" s="4">
        <v>1</v>
      </c>
      <c r="S55" s="4">
        <v>1</v>
      </c>
      <c r="T55" s="4">
        <v>1</v>
      </c>
      <c r="U55" s="72"/>
      <c r="V55" s="10"/>
      <c r="X55" s="16" t="s">
        <v>26</v>
      </c>
    </row>
    <row r="56" spans="1:24">
      <c r="D56" s="4" t="s">
        <v>25</v>
      </c>
      <c r="E56" s="4">
        <v>2005</v>
      </c>
      <c r="F56" s="4" t="str">
        <f>GenMAP!C10</f>
        <v>NGCC</v>
      </c>
      <c r="G56" s="4"/>
      <c r="H56" s="4">
        <v>1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1</v>
      </c>
      <c r="Q56" s="4">
        <v>1</v>
      </c>
      <c r="R56" s="4">
        <v>1</v>
      </c>
      <c r="S56" s="4">
        <v>1</v>
      </c>
      <c r="T56" s="4">
        <v>1</v>
      </c>
      <c r="U56" s="73"/>
      <c r="V56" s="10"/>
      <c r="X56" s="16" t="s">
        <v>26</v>
      </c>
    </row>
    <row r="57" spans="1:24">
      <c r="D57" s="4" t="s">
        <v>25</v>
      </c>
      <c r="E57" s="4">
        <v>2005</v>
      </c>
      <c r="F57" s="4" t="str">
        <f>GenMAP!C11</f>
        <v>SMHYDRO</v>
      </c>
      <c r="G57" s="4"/>
      <c r="H57" s="4">
        <v>1</v>
      </c>
      <c r="I57" s="4">
        <v>1</v>
      </c>
      <c r="J57" s="4">
        <v>1</v>
      </c>
      <c r="K57" s="4">
        <v>1</v>
      </c>
      <c r="L57" s="4">
        <v>1</v>
      </c>
      <c r="M57" s="4">
        <v>1</v>
      </c>
      <c r="N57" s="4">
        <v>1</v>
      </c>
      <c r="O57" s="4">
        <v>1</v>
      </c>
      <c r="P57" s="4">
        <v>1</v>
      </c>
      <c r="Q57" s="4">
        <v>1</v>
      </c>
      <c r="R57" s="4">
        <v>1</v>
      </c>
      <c r="S57" s="4">
        <v>1</v>
      </c>
      <c r="T57" s="4">
        <v>1</v>
      </c>
      <c r="U57" s="73"/>
      <c r="V57" s="10"/>
      <c r="X57" s="16" t="s">
        <v>26</v>
      </c>
    </row>
    <row r="58" spans="1:24">
      <c r="D58" s="4" t="s">
        <v>25</v>
      </c>
      <c r="E58" s="4">
        <v>2005</v>
      </c>
      <c r="F58" s="4" t="str">
        <f>GenMAP!C12</f>
        <v>HYDRO</v>
      </c>
      <c r="G58" s="4"/>
      <c r="H58" s="4">
        <v>1</v>
      </c>
      <c r="I58" s="4">
        <v>1</v>
      </c>
      <c r="J58" s="4">
        <v>1</v>
      </c>
      <c r="K58" s="4">
        <v>1</v>
      </c>
      <c r="L58" s="4">
        <v>1</v>
      </c>
      <c r="M58" s="4">
        <v>1</v>
      </c>
      <c r="N58" s="4">
        <v>1</v>
      </c>
      <c r="O58" s="4">
        <v>1</v>
      </c>
      <c r="P58" s="4">
        <v>1</v>
      </c>
      <c r="Q58" s="4">
        <v>1</v>
      </c>
      <c r="R58" s="4">
        <v>1</v>
      </c>
      <c r="S58" s="4">
        <v>1</v>
      </c>
      <c r="T58" s="4">
        <v>1</v>
      </c>
      <c r="U58" s="73"/>
      <c r="V58" s="10"/>
      <c r="X58" s="16" t="s">
        <v>26</v>
      </c>
    </row>
    <row r="59" spans="1:24">
      <c r="D59" s="4" t="s">
        <v>25</v>
      </c>
      <c r="E59" s="4">
        <v>2005</v>
      </c>
      <c r="F59" s="4" t="str">
        <f>GenMAP!C13</f>
        <v>HFO</v>
      </c>
      <c r="G59" s="4"/>
      <c r="H59" s="4">
        <v>1</v>
      </c>
      <c r="I59" s="4">
        <v>1</v>
      </c>
      <c r="J59" s="4">
        <v>1</v>
      </c>
      <c r="K59" s="4">
        <v>1</v>
      </c>
      <c r="L59" s="4">
        <v>1</v>
      </c>
      <c r="M59" s="4">
        <v>1</v>
      </c>
      <c r="N59" s="4">
        <v>1</v>
      </c>
      <c r="O59" s="4">
        <v>1</v>
      </c>
      <c r="P59" s="4">
        <v>1</v>
      </c>
      <c r="Q59" s="4">
        <v>1</v>
      </c>
      <c r="R59" s="4">
        <v>1</v>
      </c>
      <c r="S59" s="4">
        <v>1</v>
      </c>
      <c r="T59" s="4">
        <v>1</v>
      </c>
      <c r="U59" s="10"/>
      <c r="V59" s="10"/>
      <c r="X59" s="16" t="s">
        <v>26</v>
      </c>
    </row>
    <row r="60" spans="1:24">
      <c r="D60" s="4" t="s">
        <v>25</v>
      </c>
      <c r="E60" s="4">
        <v>2005</v>
      </c>
      <c r="F60" s="4" t="str">
        <f>GenMAP!C14</f>
        <v>PV</v>
      </c>
      <c r="G60" s="4"/>
      <c r="H60" s="4">
        <v>1</v>
      </c>
      <c r="I60" s="4">
        <v>1</v>
      </c>
      <c r="J60" s="4">
        <v>1</v>
      </c>
      <c r="K60" s="4">
        <v>1</v>
      </c>
      <c r="L60" s="4">
        <v>1</v>
      </c>
      <c r="M60" s="4">
        <v>1</v>
      </c>
      <c r="N60" s="4">
        <v>1</v>
      </c>
      <c r="O60" s="4">
        <v>1</v>
      </c>
      <c r="P60" s="4">
        <v>1</v>
      </c>
      <c r="Q60" s="4">
        <v>1</v>
      </c>
      <c r="R60" s="4">
        <v>1</v>
      </c>
      <c r="S60" s="4">
        <v>1</v>
      </c>
      <c r="T60" s="4">
        <v>1</v>
      </c>
      <c r="U60" s="10"/>
      <c r="V60" s="10"/>
      <c r="X60" s="16" t="s">
        <v>26</v>
      </c>
    </row>
    <row r="61" spans="1:24">
      <c r="D61" s="4" t="s">
        <v>25</v>
      </c>
      <c r="E61" s="4">
        <v>2005</v>
      </c>
      <c r="F61" s="4" t="str">
        <f>GenMAP!C15</f>
        <v>CSP</v>
      </c>
      <c r="G61" s="4"/>
      <c r="H61" s="4">
        <v>1</v>
      </c>
      <c r="I61" s="4">
        <v>1</v>
      </c>
      <c r="J61" s="4">
        <v>1</v>
      </c>
      <c r="K61" s="4">
        <v>1</v>
      </c>
      <c r="L61" s="4">
        <v>1</v>
      </c>
      <c r="M61" s="4">
        <v>1</v>
      </c>
      <c r="N61" s="4">
        <v>1</v>
      </c>
      <c r="O61" s="4">
        <v>1</v>
      </c>
      <c r="P61" s="4">
        <v>1</v>
      </c>
      <c r="Q61" s="4">
        <v>1</v>
      </c>
      <c r="R61" s="4">
        <v>1</v>
      </c>
      <c r="S61" s="4">
        <v>1</v>
      </c>
      <c r="T61" s="4">
        <v>1</v>
      </c>
      <c r="U61" s="10"/>
      <c r="V61" s="10"/>
      <c r="X61" s="16" t="s">
        <v>26</v>
      </c>
    </row>
    <row r="62" spans="1:24">
      <c r="D62" s="4" t="s">
        <v>25</v>
      </c>
      <c r="E62" s="4">
        <v>2005</v>
      </c>
      <c r="F62" s="4" t="str">
        <f>GenMAP!C16</f>
        <v>WIND</v>
      </c>
      <c r="G62" s="4"/>
      <c r="H62" s="4">
        <v>1</v>
      </c>
      <c r="I62" s="4">
        <v>1</v>
      </c>
      <c r="J62" s="4">
        <v>1</v>
      </c>
      <c r="K62" s="4">
        <v>1</v>
      </c>
      <c r="L62" s="4">
        <v>1</v>
      </c>
      <c r="M62" s="4">
        <v>1</v>
      </c>
      <c r="N62" s="4">
        <v>1</v>
      </c>
      <c r="O62" s="4">
        <v>1</v>
      </c>
      <c r="P62" s="4">
        <v>1</v>
      </c>
      <c r="Q62" s="4">
        <v>1</v>
      </c>
      <c r="R62" s="4">
        <v>1</v>
      </c>
      <c r="S62" s="4">
        <v>1</v>
      </c>
      <c r="T62" s="4">
        <v>1</v>
      </c>
      <c r="U62" s="10"/>
      <c r="V62" s="10"/>
      <c r="X62" s="16" t="s">
        <v>26</v>
      </c>
    </row>
    <row r="63" spans="1:24">
      <c r="D63" s="4" t="s">
        <v>25</v>
      </c>
      <c r="E63" s="4">
        <v>2005</v>
      </c>
      <c r="F63" s="4" t="str">
        <f>GenMAP!C17</f>
        <v>BIO</v>
      </c>
      <c r="G63" s="4"/>
      <c r="H63" s="4">
        <v>1</v>
      </c>
      <c r="I63" s="4">
        <v>1</v>
      </c>
      <c r="J63" s="4">
        <v>1</v>
      </c>
      <c r="K63" s="4">
        <v>1</v>
      </c>
      <c r="L63" s="4">
        <v>1</v>
      </c>
      <c r="M63" s="4">
        <v>1</v>
      </c>
      <c r="N63" s="4">
        <v>1</v>
      </c>
      <c r="O63" s="4">
        <v>1</v>
      </c>
      <c r="P63" s="4">
        <v>1</v>
      </c>
      <c r="Q63" s="4">
        <v>1</v>
      </c>
      <c r="R63" s="4">
        <v>1</v>
      </c>
      <c r="S63" s="4">
        <v>1</v>
      </c>
      <c r="T63" s="4">
        <v>1</v>
      </c>
      <c r="U63" s="10"/>
      <c r="V63" s="10"/>
      <c r="X63" s="16" t="s">
        <v>26</v>
      </c>
    </row>
    <row r="64" spans="1:24">
      <c r="D64" s="4" t="s">
        <v>25</v>
      </c>
      <c r="E64" s="4">
        <v>2005</v>
      </c>
      <c r="F64" s="4" t="str">
        <f>GenMAP!C18</f>
        <v>GEO</v>
      </c>
      <c r="G64" s="4"/>
      <c r="H64" s="4">
        <v>1</v>
      </c>
      <c r="I64" s="4">
        <v>1</v>
      </c>
      <c r="J64" s="4">
        <v>1</v>
      </c>
      <c r="K64" s="4">
        <v>1</v>
      </c>
      <c r="L64" s="4">
        <v>1</v>
      </c>
      <c r="M64" s="4">
        <v>1</v>
      </c>
      <c r="N64" s="4">
        <v>1</v>
      </c>
      <c r="O64" s="4">
        <v>1</v>
      </c>
      <c r="P64" s="4">
        <v>1</v>
      </c>
      <c r="Q64" s="4">
        <v>1</v>
      </c>
      <c r="R64" s="4">
        <v>1</v>
      </c>
      <c r="S64" s="4">
        <v>1</v>
      </c>
      <c r="T64" s="4">
        <v>1</v>
      </c>
      <c r="U64" s="10"/>
      <c r="V64" s="10"/>
      <c r="X64" s="16" t="s">
        <v>26</v>
      </c>
    </row>
    <row r="65" spans="1:26">
      <c r="D65" s="4" t="s">
        <v>25</v>
      </c>
      <c r="E65" s="4">
        <v>2005</v>
      </c>
      <c r="F65" s="4" t="str">
        <f>GenMAP!C19</f>
        <v>CHPE</v>
      </c>
      <c r="G65" s="4"/>
      <c r="H65" s="4">
        <v>1</v>
      </c>
      <c r="I65" s="4">
        <v>1</v>
      </c>
      <c r="J65" s="4">
        <v>1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1</v>
      </c>
      <c r="Q65" s="4">
        <v>1</v>
      </c>
      <c r="R65" s="4">
        <v>1</v>
      </c>
      <c r="S65" s="4">
        <v>1</v>
      </c>
      <c r="T65" s="4">
        <v>1</v>
      </c>
      <c r="U65" s="10"/>
      <c r="V65" s="10"/>
      <c r="X65" s="16" t="s">
        <v>26</v>
      </c>
    </row>
    <row r="66" spans="1:26">
      <c r="D66" s="4" t="s">
        <v>25</v>
      </c>
      <c r="E66" s="4">
        <v>2005</v>
      </c>
      <c r="F66" s="4" t="str">
        <f>GenMAP!C20</f>
        <v>NUC</v>
      </c>
      <c r="G66" s="4"/>
      <c r="H66" s="4">
        <v>1</v>
      </c>
      <c r="I66" s="4">
        <v>1</v>
      </c>
      <c r="J66" s="4">
        <v>1</v>
      </c>
      <c r="K66" s="4">
        <v>1</v>
      </c>
      <c r="L66" s="4">
        <v>1</v>
      </c>
      <c r="M66" s="4">
        <v>1</v>
      </c>
      <c r="N66" s="4">
        <v>1</v>
      </c>
      <c r="O66" s="4">
        <v>1</v>
      </c>
      <c r="P66" s="4">
        <v>1</v>
      </c>
      <c r="Q66" s="4">
        <v>1</v>
      </c>
      <c r="R66" s="4">
        <v>1</v>
      </c>
      <c r="S66" s="4">
        <v>1</v>
      </c>
      <c r="T66" s="4">
        <v>1</v>
      </c>
      <c r="U66" s="10"/>
      <c r="V66" s="10"/>
      <c r="X66" s="16" t="s">
        <v>26</v>
      </c>
    </row>
    <row r="67" spans="1:26">
      <c r="D67" s="4" t="s">
        <v>25</v>
      </c>
      <c r="E67" s="4">
        <v>2005</v>
      </c>
      <c r="F67" s="4" t="str">
        <f>GenMAP!C21</f>
        <v>MULTI</v>
      </c>
      <c r="G67" s="4"/>
      <c r="H67" s="4">
        <v>1</v>
      </c>
      <c r="I67" s="4">
        <v>1</v>
      </c>
      <c r="J67" s="4">
        <v>1</v>
      </c>
      <c r="K67" s="4">
        <v>1</v>
      </c>
      <c r="L67" s="4">
        <v>1</v>
      </c>
      <c r="M67" s="4">
        <v>1</v>
      </c>
      <c r="N67" s="4">
        <v>1</v>
      </c>
      <c r="O67" s="4">
        <v>1</v>
      </c>
      <c r="P67" s="4">
        <v>1</v>
      </c>
      <c r="Q67" s="4">
        <v>1</v>
      </c>
      <c r="R67" s="4">
        <v>1</v>
      </c>
      <c r="S67" s="4">
        <v>1</v>
      </c>
      <c r="T67" s="4">
        <v>1</v>
      </c>
      <c r="U67" s="10"/>
      <c r="V67" s="10"/>
      <c r="X67" s="16" t="s">
        <v>26</v>
      </c>
    </row>
    <row r="68" spans="1:26" ht="13.5" thickBot="1">
      <c r="A68" s="49"/>
      <c r="B68" s="49"/>
      <c r="C68" s="59"/>
      <c r="D68" s="59" t="s">
        <v>25</v>
      </c>
      <c r="E68" s="59">
        <v>2005</v>
      </c>
      <c r="F68" s="59" t="str">
        <f>GenMAP!C22</f>
        <v>STG</v>
      </c>
      <c r="G68" s="59"/>
      <c r="H68" s="59">
        <v>1</v>
      </c>
      <c r="I68" s="59">
        <v>1</v>
      </c>
      <c r="J68" s="59">
        <v>1</v>
      </c>
      <c r="K68" s="59">
        <v>1</v>
      </c>
      <c r="L68" s="59">
        <v>1</v>
      </c>
      <c r="M68" s="59">
        <v>1</v>
      </c>
      <c r="N68" s="59">
        <v>1</v>
      </c>
      <c r="O68" s="59">
        <v>1</v>
      </c>
      <c r="P68" s="59">
        <v>1</v>
      </c>
      <c r="Q68" s="59">
        <v>1</v>
      </c>
      <c r="R68" s="59">
        <v>1</v>
      </c>
      <c r="S68" s="59">
        <v>1</v>
      </c>
      <c r="T68" s="59">
        <v>1</v>
      </c>
      <c r="U68" s="53"/>
      <c r="V68" s="53"/>
      <c r="W68" s="49"/>
      <c r="X68" s="59" t="s">
        <v>26</v>
      </c>
    </row>
    <row r="69" spans="1:26" ht="13.5" thickTop="1">
      <c r="D69" s="4" t="s">
        <v>29</v>
      </c>
      <c r="E69" s="4">
        <v>2005</v>
      </c>
      <c r="F69" s="4" t="s">
        <v>185</v>
      </c>
      <c r="G69" s="4"/>
      <c r="H69" s="4">
        <v>1</v>
      </c>
      <c r="I69" s="4">
        <v>1</v>
      </c>
      <c r="J69" s="4">
        <v>1</v>
      </c>
      <c r="K69" s="4">
        <v>1</v>
      </c>
      <c r="L69" s="4">
        <v>1</v>
      </c>
      <c r="M69" s="4">
        <v>1</v>
      </c>
      <c r="N69" s="4">
        <v>1</v>
      </c>
      <c r="O69" s="4">
        <v>1</v>
      </c>
      <c r="P69" s="4">
        <v>1</v>
      </c>
      <c r="Q69" s="4">
        <v>1</v>
      </c>
      <c r="R69" s="4">
        <v>1</v>
      </c>
      <c r="S69" s="4">
        <v>1</v>
      </c>
      <c r="T69" s="4">
        <v>1</v>
      </c>
      <c r="U69" s="12"/>
      <c r="X69" s="4" t="s">
        <v>26</v>
      </c>
    </row>
    <row r="70" spans="1:26">
      <c r="G70" s="4"/>
      <c r="U70" s="12"/>
    </row>
    <row r="71" spans="1:26">
      <c r="D71" s="4" t="s">
        <v>29</v>
      </c>
      <c r="E71" s="4">
        <v>2005</v>
      </c>
      <c r="F71" s="4" t="s">
        <v>59</v>
      </c>
      <c r="G71" s="4"/>
      <c r="H71" s="4">
        <v>1</v>
      </c>
      <c r="I71" s="4">
        <v>1</v>
      </c>
      <c r="J71" s="4">
        <v>1</v>
      </c>
      <c r="K71" s="4">
        <v>1</v>
      </c>
      <c r="L71" s="4">
        <v>1</v>
      </c>
      <c r="M71" s="4">
        <v>1</v>
      </c>
      <c r="N71" s="4">
        <v>1</v>
      </c>
      <c r="O71" s="4">
        <v>1</v>
      </c>
      <c r="P71" s="4">
        <v>1</v>
      </c>
      <c r="Q71" s="4">
        <v>1</v>
      </c>
      <c r="R71" s="4">
        <v>1</v>
      </c>
      <c r="S71" s="4">
        <v>1</v>
      </c>
      <c r="T71" s="4">
        <v>1</v>
      </c>
      <c r="U71" s="12"/>
      <c r="X71" s="4" t="s">
        <v>26</v>
      </c>
    </row>
    <row r="72" spans="1:26">
      <c r="D72" s="4" t="s">
        <v>29</v>
      </c>
      <c r="E72" s="4">
        <v>2005</v>
      </c>
      <c r="F72" s="4" t="s">
        <v>37</v>
      </c>
      <c r="G72" s="4"/>
      <c r="H72" s="4">
        <v>1</v>
      </c>
      <c r="I72" s="4">
        <v>1</v>
      </c>
      <c r="J72" s="4">
        <v>1</v>
      </c>
      <c r="K72" s="4">
        <v>1</v>
      </c>
      <c r="L72" s="4">
        <v>1</v>
      </c>
      <c r="M72" s="4">
        <v>1</v>
      </c>
      <c r="N72" s="4">
        <v>1</v>
      </c>
      <c r="O72" s="4">
        <v>1</v>
      </c>
      <c r="P72" s="4">
        <v>1</v>
      </c>
      <c r="Q72" s="4">
        <v>1</v>
      </c>
      <c r="R72" s="4">
        <v>1</v>
      </c>
      <c r="S72" s="4">
        <v>1</v>
      </c>
      <c r="T72" s="4">
        <v>1</v>
      </c>
      <c r="U72" s="12"/>
      <c r="X72" s="4" t="s">
        <v>26</v>
      </c>
    </row>
    <row r="73" spans="1:26">
      <c r="D73" s="4" t="s">
        <v>29</v>
      </c>
      <c r="E73" s="4">
        <v>2005</v>
      </c>
      <c r="F73" s="4" t="s">
        <v>60</v>
      </c>
      <c r="G73" s="4"/>
      <c r="H73" s="4">
        <v>1</v>
      </c>
      <c r="I73" s="4">
        <v>1</v>
      </c>
      <c r="J73" s="4">
        <v>1</v>
      </c>
      <c r="K73" s="4">
        <v>1</v>
      </c>
      <c r="L73" s="4">
        <v>1</v>
      </c>
      <c r="M73" s="4">
        <v>1</v>
      </c>
      <c r="N73" s="4">
        <v>1</v>
      </c>
      <c r="O73" s="4">
        <v>1</v>
      </c>
      <c r="P73" s="4">
        <v>1</v>
      </c>
      <c r="Q73" s="4">
        <v>1</v>
      </c>
      <c r="R73" s="4">
        <v>1</v>
      </c>
      <c r="S73" s="4">
        <v>1</v>
      </c>
      <c r="T73" s="4">
        <v>1</v>
      </c>
      <c r="U73" s="12"/>
      <c r="X73" s="4" t="s">
        <v>26</v>
      </c>
    </row>
    <row r="74" spans="1:26">
      <c r="D74" s="4" t="s">
        <v>29</v>
      </c>
      <c r="E74" s="4">
        <v>2005</v>
      </c>
      <c r="F74" s="4" t="s">
        <v>61</v>
      </c>
      <c r="G74" s="4"/>
      <c r="H74" s="4">
        <v>1</v>
      </c>
      <c r="I74" s="4">
        <v>1</v>
      </c>
      <c r="J74" s="4">
        <v>1</v>
      </c>
      <c r="K74" s="4">
        <v>1</v>
      </c>
      <c r="L74" s="4">
        <v>1</v>
      </c>
      <c r="M74" s="4">
        <v>1</v>
      </c>
      <c r="N74" s="4">
        <v>1</v>
      </c>
      <c r="O74" s="4">
        <v>1</v>
      </c>
      <c r="P74" s="4">
        <v>1</v>
      </c>
      <c r="Q74" s="4">
        <v>1</v>
      </c>
      <c r="R74" s="4">
        <v>1</v>
      </c>
      <c r="S74" s="4">
        <v>1</v>
      </c>
      <c r="T74" s="4">
        <v>1</v>
      </c>
      <c r="U74" s="12"/>
      <c r="X74" s="4" t="s">
        <v>26</v>
      </c>
    </row>
    <row r="75" spans="1:26" ht="13.5" thickBot="1">
      <c r="A75" s="49"/>
      <c r="B75" s="49"/>
      <c r="C75" s="59"/>
      <c r="D75" s="59" t="s">
        <v>29</v>
      </c>
      <c r="E75" s="59">
        <v>2005</v>
      </c>
      <c r="F75" s="59" t="s">
        <v>70</v>
      </c>
      <c r="G75" s="59"/>
      <c r="H75" s="59">
        <v>1</v>
      </c>
      <c r="I75" s="59">
        <v>1</v>
      </c>
      <c r="J75" s="59">
        <v>1</v>
      </c>
      <c r="K75" s="59">
        <v>1</v>
      </c>
      <c r="L75" s="59">
        <v>1</v>
      </c>
      <c r="M75" s="59">
        <v>1</v>
      </c>
      <c r="N75" s="59">
        <v>1</v>
      </c>
      <c r="O75" s="59">
        <v>1</v>
      </c>
      <c r="P75" s="59">
        <v>1</v>
      </c>
      <c r="Q75" s="59">
        <v>1</v>
      </c>
      <c r="R75" s="59">
        <v>1</v>
      </c>
      <c r="S75" s="59">
        <v>1</v>
      </c>
      <c r="T75" s="59">
        <v>1</v>
      </c>
      <c r="U75" s="53"/>
      <c r="V75" s="53"/>
      <c r="W75" s="49"/>
      <c r="X75" s="59" t="s">
        <v>26</v>
      </c>
    </row>
    <row r="76" spans="1:26" ht="13.5" thickTop="1"/>
    <row r="78" spans="1:26" ht="13.5" thickBot="1">
      <c r="A78" s="51"/>
      <c r="B78" s="51"/>
      <c r="C78" s="51"/>
      <c r="D78" s="52" t="s">
        <v>23</v>
      </c>
      <c r="E78" s="52"/>
      <c r="F78" s="51"/>
      <c r="G78" s="50"/>
      <c r="H78" s="52">
        <v>3</v>
      </c>
      <c r="I78" s="52">
        <v>3</v>
      </c>
      <c r="J78" s="52">
        <v>3</v>
      </c>
      <c r="K78" s="52">
        <v>3</v>
      </c>
      <c r="L78" s="52">
        <v>3</v>
      </c>
      <c r="M78" s="52">
        <v>3</v>
      </c>
      <c r="N78" s="52">
        <v>3</v>
      </c>
      <c r="O78" s="52">
        <v>3</v>
      </c>
      <c r="P78" s="52">
        <v>3</v>
      </c>
      <c r="Q78" s="52">
        <v>3</v>
      </c>
      <c r="R78" s="52">
        <v>3</v>
      </c>
      <c r="S78" s="52">
        <v>3</v>
      </c>
      <c r="T78" s="52">
        <v>3</v>
      </c>
      <c r="U78" s="51"/>
      <c r="V78" s="51"/>
      <c r="W78" s="51"/>
      <c r="X78" s="74" t="s">
        <v>72</v>
      </c>
      <c r="Z78" s="89"/>
    </row>
    <row r="79" spans="1:26" ht="13.5" thickTop="1"/>
    <row r="80" spans="1:26"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</row>
  </sheetData>
  <phoneticPr fontId="7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44"/>
  <sheetViews>
    <sheetView tabSelected="1" topLeftCell="E7" zoomScale="130" zoomScaleNormal="130" workbookViewId="0">
      <selection activeCell="H18" sqref="H18"/>
    </sheetView>
  </sheetViews>
  <sheetFormatPr defaultRowHeight="12.75"/>
  <cols>
    <col min="1" max="1" width="10.42578125" customWidth="1"/>
    <col min="2" max="2" width="36.28515625" style="4" customWidth="1"/>
    <col min="3" max="3" width="25" style="4" customWidth="1"/>
    <col min="4" max="4" width="15" style="4" customWidth="1"/>
    <col min="5" max="5" width="14.5703125" style="4" customWidth="1"/>
    <col min="6" max="6" width="54" style="4" customWidth="1"/>
    <col min="7" max="7" width="12" style="10" customWidth="1"/>
    <col min="8" max="8" width="40.28515625" customWidth="1"/>
    <col min="9" max="9" width="10.42578125" customWidth="1"/>
  </cols>
  <sheetData>
    <row r="1" spans="1:9">
      <c r="B1" s="20" t="s">
        <v>43</v>
      </c>
      <c r="C1" s="20"/>
      <c r="D1" s="20"/>
    </row>
    <row r="4" spans="1:9">
      <c r="B4" s="9" t="s">
        <v>2</v>
      </c>
    </row>
    <row r="5" spans="1:9" ht="13.5" thickBot="1">
      <c r="B5" s="6" t="s">
        <v>5</v>
      </c>
      <c r="C5" s="6" t="s">
        <v>0</v>
      </c>
      <c r="D5" s="6" t="s">
        <v>1</v>
      </c>
      <c r="E5" s="6" t="s">
        <v>7</v>
      </c>
      <c r="F5" s="6" t="s">
        <v>8</v>
      </c>
      <c r="G5" s="6" t="s">
        <v>62</v>
      </c>
      <c r="H5" s="6" t="s">
        <v>100</v>
      </c>
      <c r="I5" s="6" t="s">
        <v>186</v>
      </c>
    </row>
    <row r="6" spans="1:9" ht="165.75" customHeight="1">
      <c r="A6" t="s">
        <v>21</v>
      </c>
      <c r="B6" s="4" t="s">
        <v>24</v>
      </c>
      <c r="C6" t="s">
        <v>52</v>
      </c>
      <c r="D6" s="4">
        <v>1</v>
      </c>
      <c r="F6" s="99" t="str">
        <f>"TB_ELCHIG*,EXPELC-HR,EXPELC-RS,EXPELC-HR,EXPELC-UA,IMPELC-HR,IMPELC-RS,IMPELC-UA,IMPELC-BY,IMPELC-UA,IMPELC-HR,EXPELC-AL,EXPELC-BY,EXPELC-MA,EXPELC-MK,EXPELC-RU,IMPELC-AG,IMPELC-AL,IMPELC-DESTEC,IMPELC-MD,IMPELC-MK,IMPELC-RU,IMPELC-TN,IMPELC-TR,-*"&amp;MID(ActivateGrid!X19,10,7)&amp;"*,-*"&amp;MID(ActivateGrid!X20,10,7)&amp;"*,-*"&amp;MID(ActivateGrid!X21,10,7)&amp;"*,-*"&amp;MID(ActivateGrid!X22,10,7)&amp;"*,-*"&amp;MID(ActivateGrid!X23,10,7)&amp;"*,-*"&amp;MID(ActivateGrid!X24,10,7)&amp;"*,-*"&amp;MID(ActivateGrid!X25,10,7)&amp;"*,-*"&amp;MID(ActivateGrid!X26,10,7)&amp;"*,-*"&amp;MID(ActivateGrid!X27,10,7)&amp;"*,-*"&amp;MID(ActivateGrid!X28,10,7)&amp;"*,-*"&amp;MID(ActivateGrid!X29,10,7)&amp;"*,-*"&amp;MID(ActivateGrid!X30,10,7)&amp;"*,-*"&amp;MID(ActivateGrid!X31,10,7)&amp;"*,-*"&amp;MID(ActivateGrid!X32,10,7)&amp;"*,-*"&amp;MID(ActivateGrid!X33,10,7)&amp;"*,-*"&amp;MID(ActivateGrid!X34,10,7)&amp;"*,-*"&amp;MID(ActivateGrid!X35,10,7)&amp;"*,-*"&amp;MID(ActivateGrid!X36,10,7)&amp;"*,-*"&amp;MID(ActivateGrid!X37,10,7)&amp;"*,-*"&amp;MID(ActivateGrid!X38,10,7)&amp;"*,-*"&amp;MID(ActivateGrid!X39,10,7)&amp;"*,-*"&amp;MID(ActivateGrid!X40,10,7)&amp;"*,-*"&amp;MID(ActivateGrid!X41,10,7)&amp;"*"</f>
        <v>TB_ELCHIG*,EXPELC-HR,EXPELC-RS,EXPELC-HR,EXPELC-UA,IMPELC-HR,IMPELC-RS,IMPELC-UA,IMPELC-BY,IMPELC-UA,IMPELC-HR,EXPELC-AL,EXPELC-BY,EXPELC-MA,EXPELC-MK,EXPELC-RU,IMPELC-AG,IMPELC-AL,IMPELC-DESTEC,IMPELC-MD,IMPELC-MK,IMPELC-RU,IMPELC-TN,IMPELC-TR,-*_DE_LU_*,-*_DE_NL_*,-*_BE_NL_*,-*_BE_FR_*,-*_BE_LU_*,-*_DE_FR_*,-*_CZ_PL_*,-*_CZ_SK_*,-*_PL_SK_*,-*_CZ_DE_*,-*_HU_SK_*,-*_AT_SI_*,-*_CH_DE_*,-*_IT_SI_*,-*_CH_FR_*,-*_AT_CZ_*,-*_AT_DE_*,-*_AT_CH_*,-*_CH_IT_*,-*_FR_IT_*,-*_AT_HU_*,-*_DE_PL_*,-*_AT_IT_*</v>
      </c>
    </row>
    <row r="7" spans="1:9">
      <c r="B7" s="4" t="s">
        <v>24</v>
      </c>
      <c r="C7" s="19" t="s">
        <v>53</v>
      </c>
      <c r="D7" s="4">
        <v>1</v>
      </c>
      <c r="F7" s="83" t="s">
        <v>125</v>
      </c>
      <c r="H7" s="86" t="s">
        <v>102</v>
      </c>
      <c r="I7" s="7" t="s">
        <v>185</v>
      </c>
    </row>
    <row r="8" spans="1:9">
      <c r="B8" s="4" t="s">
        <v>24</v>
      </c>
      <c r="C8" t="s">
        <v>54</v>
      </c>
      <c r="D8" s="4">
        <v>1</v>
      </c>
      <c r="F8" s="83" t="s">
        <v>125</v>
      </c>
      <c r="H8" s="86" t="s">
        <v>103</v>
      </c>
      <c r="I8" s="7" t="s">
        <v>185</v>
      </c>
    </row>
    <row r="9" spans="1:9">
      <c r="B9" s="4" t="s">
        <v>24</v>
      </c>
      <c r="C9" t="s">
        <v>55</v>
      </c>
      <c r="D9" s="4">
        <v>1</v>
      </c>
      <c r="F9" s="83" t="s">
        <v>126</v>
      </c>
      <c r="G9" s="29"/>
      <c r="H9" s="84" t="s">
        <v>108</v>
      </c>
      <c r="I9" s="7" t="s">
        <v>185</v>
      </c>
    </row>
    <row r="10" spans="1:9">
      <c r="B10" s="4" t="s">
        <v>24</v>
      </c>
      <c r="C10" t="s">
        <v>56</v>
      </c>
      <c r="D10" s="4">
        <v>1</v>
      </c>
      <c r="F10" s="83" t="s">
        <v>127</v>
      </c>
      <c r="G10" s="24"/>
      <c r="H10" s="84" t="s">
        <v>101</v>
      </c>
      <c r="I10" s="7" t="s">
        <v>185</v>
      </c>
    </row>
    <row r="11" spans="1:9">
      <c r="B11" s="4" t="s">
        <v>24</v>
      </c>
      <c r="C11" s="19" t="s">
        <v>65</v>
      </c>
      <c r="D11" s="4">
        <v>1</v>
      </c>
      <c r="F11" s="19" t="s">
        <v>63</v>
      </c>
      <c r="I11" s="7" t="s">
        <v>185</v>
      </c>
    </row>
    <row r="12" spans="1:9">
      <c r="B12" s="4" t="s">
        <v>24</v>
      </c>
      <c r="C12" s="19" t="s">
        <v>66</v>
      </c>
      <c r="D12" s="4">
        <v>1</v>
      </c>
      <c r="F12" s="67" t="s">
        <v>183</v>
      </c>
      <c r="I12" s="7" t="s">
        <v>185</v>
      </c>
    </row>
    <row r="13" spans="1:9">
      <c r="B13" s="4" t="s">
        <v>24</v>
      </c>
      <c r="C13" t="s">
        <v>57</v>
      </c>
      <c r="D13" s="4">
        <v>1</v>
      </c>
      <c r="F13" s="83" t="s">
        <v>125</v>
      </c>
      <c r="H13" s="84" t="s">
        <v>107</v>
      </c>
      <c r="I13" s="7" t="s">
        <v>185</v>
      </c>
    </row>
    <row r="14" spans="1:9">
      <c r="B14" s="4" t="s">
        <v>24</v>
      </c>
      <c r="C14" t="s">
        <v>58</v>
      </c>
      <c r="D14" s="4">
        <v>1</v>
      </c>
      <c r="F14" s="83" t="s">
        <v>123</v>
      </c>
      <c r="H14" t="s">
        <v>110</v>
      </c>
      <c r="I14" s="7" t="s">
        <v>185</v>
      </c>
    </row>
    <row r="15" spans="1:9">
      <c r="B15" s="4" t="s">
        <v>24</v>
      </c>
      <c r="C15" s="19" t="s">
        <v>64</v>
      </c>
      <c r="D15" s="4">
        <v>1</v>
      </c>
      <c r="F15" s="83" t="s">
        <v>111</v>
      </c>
      <c r="H15" t="s">
        <v>110</v>
      </c>
      <c r="I15" s="7" t="s">
        <v>185</v>
      </c>
    </row>
    <row r="16" spans="1:9">
      <c r="B16" s="4" t="s">
        <v>24</v>
      </c>
      <c r="C16" s="19" t="s">
        <v>67</v>
      </c>
      <c r="D16" s="4">
        <v>1</v>
      </c>
      <c r="F16" s="83" t="s">
        <v>109</v>
      </c>
      <c r="H16" t="s">
        <v>221</v>
      </c>
      <c r="I16" s="7" t="s">
        <v>185</v>
      </c>
    </row>
    <row r="17" spans="2:9">
      <c r="B17" s="4" t="s">
        <v>24</v>
      </c>
      <c r="C17" s="19" t="s">
        <v>68</v>
      </c>
      <c r="D17" s="4">
        <v>1</v>
      </c>
      <c r="F17" s="83" t="s">
        <v>125</v>
      </c>
      <c r="H17" s="84" t="s">
        <v>106</v>
      </c>
      <c r="I17" s="7" t="s">
        <v>185</v>
      </c>
    </row>
    <row r="18" spans="2:9">
      <c r="B18" s="4" t="s">
        <v>24</v>
      </c>
      <c r="C18" s="19" t="s">
        <v>69</v>
      </c>
      <c r="D18" s="4">
        <v>1</v>
      </c>
      <c r="F18" s="83" t="s">
        <v>109</v>
      </c>
      <c r="H18" t="s">
        <v>112</v>
      </c>
      <c r="I18" s="7" t="s">
        <v>185</v>
      </c>
    </row>
    <row r="19" spans="2:9">
      <c r="B19" s="4" t="s">
        <v>24</v>
      </c>
      <c r="C19" s="19" t="s">
        <v>71</v>
      </c>
      <c r="D19" s="4">
        <v>1</v>
      </c>
      <c r="F19" s="83" t="s">
        <v>187</v>
      </c>
      <c r="I19" s="7" t="s">
        <v>185</v>
      </c>
    </row>
    <row r="20" spans="2:9">
      <c r="B20" s="4" t="s">
        <v>24</v>
      </c>
      <c r="C20" s="67" t="s">
        <v>105</v>
      </c>
      <c r="D20" s="4">
        <v>1</v>
      </c>
      <c r="F20" s="83" t="s">
        <v>130</v>
      </c>
      <c r="H20" t="s">
        <v>113</v>
      </c>
      <c r="I20" s="7" t="s">
        <v>185</v>
      </c>
    </row>
    <row r="21" spans="2:9">
      <c r="B21" s="4" t="s">
        <v>24</v>
      </c>
      <c r="C21" s="67" t="s">
        <v>128</v>
      </c>
      <c r="D21" s="4">
        <v>1</v>
      </c>
      <c r="F21" s="83" t="s">
        <v>129</v>
      </c>
      <c r="I21" s="7" t="s">
        <v>185</v>
      </c>
    </row>
    <row r="22" spans="2:9" ht="15">
      <c r="B22" s="4" t="s">
        <v>24</v>
      </c>
      <c r="C22" s="19" t="s">
        <v>182</v>
      </c>
      <c r="D22" s="4">
        <v>1</v>
      </c>
      <c r="F22" s="97" t="s">
        <v>184</v>
      </c>
      <c r="I22" s="7" t="s">
        <v>185</v>
      </c>
    </row>
    <row r="23" spans="2:9" ht="15">
      <c r="F23" s="97"/>
    </row>
    <row r="24" spans="2:9">
      <c r="F24" s="85" t="s">
        <v>104</v>
      </c>
    </row>
    <row r="25" spans="2:9">
      <c r="F25" s="67" t="s">
        <v>92</v>
      </c>
    </row>
    <row r="26" spans="2:9">
      <c r="F26" s="67" t="s">
        <v>93</v>
      </c>
    </row>
    <row r="27" spans="2:9">
      <c r="F27" s="67" t="s">
        <v>120</v>
      </c>
    </row>
    <row r="28" spans="2:9">
      <c r="F28" s="67" t="s">
        <v>121</v>
      </c>
    </row>
    <row r="29" spans="2:9">
      <c r="F29" s="19" t="s">
        <v>63</v>
      </c>
    </row>
    <row r="30" spans="2:9" ht="15.75">
      <c r="D30" s="92" t="s">
        <v>132</v>
      </c>
      <c r="F30" s="67" t="s">
        <v>119</v>
      </c>
    </row>
    <row r="31" spans="2:9" ht="15.75">
      <c r="C31" s="85" t="str">
        <f>D30&amp;","&amp;D31</f>
        <v>EXPELC-HR,EXPELC-RS</v>
      </c>
      <c r="D31" s="92" t="s">
        <v>133</v>
      </c>
      <c r="F31" s="67" t="s">
        <v>97</v>
      </c>
    </row>
    <row r="32" spans="2:9" ht="15.75">
      <c r="C32" s="85" t="str">
        <f>C31&amp;","&amp;D32</f>
        <v>EXPELC-HR,EXPELC-RS,EXPELC-HR</v>
      </c>
      <c r="D32" s="92" t="s">
        <v>132</v>
      </c>
      <c r="F32" s="67" t="s">
        <v>98</v>
      </c>
    </row>
    <row r="33" spans="2:6" ht="15.75">
      <c r="C33" s="85" t="str">
        <f t="shared" ref="C33:C39" si="0">C32&amp;","&amp;D33</f>
        <v>EXPELC-HR,EXPELC-RS,EXPELC-HR,EXPELC-UA</v>
      </c>
      <c r="D33" s="92" t="s">
        <v>134</v>
      </c>
      <c r="F33" s="67" t="s">
        <v>94</v>
      </c>
    </row>
    <row r="34" spans="2:6" ht="15.75">
      <c r="C34" s="85" t="str">
        <f t="shared" si="0"/>
        <v>EXPELC-HR,EXPELC-RS,EXPELC-HR,EXPELC-UA,IMPELC-HR</v>
      </c>
      <c r="D34" s="92" t="s">
        <v>135</v>
      </c>
      <c r="F34" s="67" t="s">
        <v>99</v>
      </c>
    </row>
    <row r="35" spans="2:6" ht="15.75">
      <c r="C35" s="85" t="str">
        <f t="shared" si="0"/>
        <v>EXPELC-HR,EXPELC-RS,EXPELC-HR,EXPELC-UA,IMPELC-HR,IMPELC-RS</v>
      </c>
      <c r="D35" s="92" t="s">
        <v>136</v>
      </c>
      <c r="F35" s="67" t="s">
        <v>91</v>
      </c>
    </row>
    <row r="36" spans="2:6" ht="15.75">
      <c r="C36" s="85" t="str">
        <f t="shared" si="0"/>
        <v>EXPELC-HR,EXPELC-RS,EXPELC-HR,EXPELC-UA,IMPELC-HR,IMPELC-RS,IMPELC-UA</v>
      </c>
      <c r="D36" s="92" t="s">
        <v>137</v>
      </c>
      <c r="F36" s="67" t="s">
        <v>95</v>
      </c>
    </row>
    <row r="37" spans="2:6" ht="15.75">
      <c r="C37" s="85" t="str">
        <f t="shared" si="0"/>
        <v>EXPELC-HR,EXPELC-RS,EXPELC-HR,EXPELC-UA,IMPELC-HR,IMPELC-RS,IMPELC-UA,IMPELC-BY</v>
      </c>
      <c r="D37" s="92" t="s">
        <v>138</v>
      </c>
      <c r="F37" s="19" t="s">
        <v>122</v>
      </c>
    </row>
    <row r="38" spans="2:6" ht="15.75">
      <c r="C38" s="85" t="str">
        <f t="shared" si="0"/>
        <v>EXPELC-HR,EXPELC-RS,EXPELC-HR,EXPELC-UA,IMPELC-HR,IMPELC-RS,IMPELC-UA,IMPELC-BY,IMPELC-UA</v>
      </c>
      <c r="D38" s="92" t="s">
        <v>137</v>
      </c>
    </row>
    <row r="39" spans="2:6" ht="15.75">
      <c r="C39" s="85" t="str">
        <f t="shared" si="0"/>
        <v>EXPELC-HR,EXPELC-RS,EXPELC-HR,EXPELC-UA,IMPELC-HR,IMPELC-RS,IMPELC-UA,IMPELC-BY,IMPELC-UA,IMPELC-HR</v>
      </c>
      <c r="D39" s="92" t="s">
        <v>135</v>
      </c>
    </row>
    <row r="40" spans="2:6">
      <c r="C40" s="85" t="s">
        <v>139</v>
      </c>
    </row>
    <row r="42" spans="2:6">
      <c r="B42" s="85"/>
    </row>
    <row r="43" spans="2:6">
      <c r="F43" s="85"/>
    </row>
    <row r="44" spans="2:6">
      <c r="F44" s="90"/>
    </row>
  </sheetData>
  <phoneticPr fontId="38" type="noConversion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ActivateGrid</vt:lpstr>
      <vt:lpstr>TechParams</vt:lpstr>
      <vt:lpstr>TechParams orig</vt:lpstr>
      <vt:lpstr>GridParams</vt:lpstr>
      <vt:lpstr>GenMAP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ese-veda05</dc:creator>
  <cp:lastModifiedBy>Amit Kanudia</cp:lastModifiedBy>
  <dcterms:created xsi:type="dcterms:W3CDTF">2013-03-28T08:40:11Z</dcterms:created>
  <dcterms:modified xsi:type="dcterms:W3CDTF">2020-04-22T08:49:36Z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507053852081299</vt:lpwstr>
  </property>
</Properties>
</file>
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EA0D0FF1-0FCF-4003-9BCB-3F6A556D7C50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<sst xmlns="http://schemas.openxmlformats.org/spreadsheetml/2006/main" count="87472" uniqueCount="1532">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</sst>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4"/>
  <sheetViews>
    <sheetView tabSelected="1" zoomScaleNormal="100" workbookViewId="0">
      <pane ySplit="2" topLeftCell="A3" activePane="bottomLeft" state="frozen"/>
      <selection pane="bottomLeft" activeCell="R14" sqref="R14"/>
    </sheetView>
  </sheetViews>
  <sheetFormatPr defaultRowHeight="15"/>
  <cols>
    <col min="1" max="1" width="13.85546875" bestFit="1" customWidth="1"/>
    <col min="2" max="2" width="13.710937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12.28515625" bestFit="1" customWidth="1"/>
    <col min="11" max="11" width="8.5703125" bestFit="1" customWidth="1"/>
    <col min="12" max="12" width="15.14062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J4" s="2"/>
      <c r="L4" t="s">
        <v>1503</v>
      </c>
      <c r="O4" t="s">
        <v>1504</v>
      </c>
      <c r="R4" t="s">
        <v>147</v>
      </c>
    </row>
    <row r="5" spans="1:19">
      <c r="A5" t="s">
        <v>35</v>
      </c>
      <c r="E5" t="s">
        <v>1513</v>
      </c>
      <c r="H5" t="s">
        <v>270</v>
      </c>
      <c r="J5" t="s">
        <v>1514</v>
      </c>
      <c r="L5" t="str">
        <f>"kt_"&amp;J5</f>
        <v>kt_BIOBTLFTDSL</v>
      </c>
      <c r="O5" t="s">
        <v>1519</v>
      </c>
      <c r="R5" t="s">
        <v>1520</v>
      </c>
    </row>
    <row r="6" spans="1:19">
      <c r="A6" t="s">
        <v>35</v>
      </c>
      <c r="E6" t="s">
        <v>1513</v>
      </c>
      <c r="H6" t="s">
        <v>270</v>
      </c>
      <c r="J6" t="s">
        <v>589</v>
      </c>
      <c r="L6" t="str">
        <f t="shared" ref="L6:L14" si="0">"kt_"&amp;J6</f>
        <v>kt_BIOEMHV</v>
      </c>
      <c r="O6" t="s">
        <v>1519</v>
      </c>
      <c r="R6" t="s">
        <v>1520</v>
      </c>
    </row>
    <row r="7" spans="1:19">
      <c r="A7" t="s">
        <v>35</v>
      </c>
      <c r="E7" t="s">
        <v>1513</v>
      </c>
      <c r="H7" t="s">
        <v>270</v>
      </c>
      <c r="J7" t="s">
        <v>909</v>
      </c>
      <c r="L7" t="str">
        <f t="shared" si="0"/>
        <v>kt_BIOETBE</v>
      </c>
      <c r="O7" t="s">
        <v>1519</v>
      </c>
      <c r="R7" t="s">
        <v>1520</v>
      </c>
    </row>
    <row r="8" spans="1:19">
      <c r="A8" t="s">
        <v>35</v>
      </c>
      <c r="E8" t="s">
        <v>1513</v>
      </c>
      <c r="H8" t="s">
        <v>270</v>
      </c>
      <c r="J8" t="s">
        <v>588</v>
      </c>
      <c r="L8" t="str">
        <f t="shared" si="0"/>
        <v>kt_BIOETHA</v>
      </c>
      <c r="O8" t="s">
        <v>1519</v>
      </c>
      <c r="R8" t="s">
        <v>1520</v>
      </c>
    </row>
    <row r="9" spans="1:19">
      <c r="A9" t="s">
        <v>35</v>
      </c>
      <c r="E9" t="s">
        <v>1513</v>
      </c>
      <c r="H9" t="s">
        <v>270</v>
      </c>
      <c r="J9" t="s">
        <v>703</v>
      </c>
      <c r="L9" t="str">
        <f t="shared" si="0"/>
        <v>kt_BIOHVO</v>
      </c>
      <c r="O9" t="s">
        <v>1519</v>
      </c>
      <c r="R9" t="s">
        <v>1520</v>
      </c>
    </row>
    <row r="10" spans="1:19">
      <c r="A10" t="s">
        <v>35</v>
      </c>
      <c r="E10" t="s">
        <v>1513</v>
      </c>
      <c r="H10" t="s">
        <v>270</v>
      </c>
      <c r="J10" t="s">
        <v>1515</v>
      </c>
      <c r="L10" t="str">
        <f t="shared" si="0"/>
        <v>kt_OILDSTkt</v>
      </c>
      <c r="O10" t="s">
        <v>1519</v>
      </c>
      <c r="R10" t="s">
        <v>1520</v>
      </c>
    </row>
    <row r="11" spans="1:19">
      <c r="A11" t="s">
        <v>35</v>
      </c>
      <c r="E11" t="s">
        <v>1513</v>
      </c>
      <c r="H11" t="s">
        <v>270</v>
      </c>
      <c r="J11" t="s">
        <v>1516</v>
      </c>
      <c r="L11" t="str">
        <f t="shared" si="0"/>
        <v>kt_OILGSLkt</v>
      </c>
      <c r="O11" t="s">
        <v>1519</v>
      </c>
      <c r="R11" t="s">
        <v>1520</v>
      </c>
    </row>
    <row r="12" spans="1:19">
      <c r="A12" t="s">
        <v>35</v>
      </c>
      <c r="E12" t="s">
        <v>1513</v>
      </c>
      <c r="H12" t="s">
        <v>270</v>
      </c>
      <c r="J12" t="s">
        <v>1517</v>
      </c>
      <c r="L12" t="str">
        <f t="shared" si="0"/>
        <v>kt_OILKERkt</v>
      </c>
      <c r="O12" t="s">
        <v>1519</v>
      </c>
      <c r="R12" t="s">
        <v>1520</v>
      </c>
    </row>
    <row r="13" spans="1:19">
      <c r="A13" t="s">
        <v>35</v>
      </c>
      <c r="E13" t="s">
        <v>1513</v>
      </c>
      <c r="H13" t="s">
        <v>270</v>
      </c>
      <c r="J13" t="s">
        <v>1518</v>
      </c>
      <c r="L13" t="str">
        <f t="shared" si="0"/>
        <v>kt_SYNDSTkt</v>
      </c>
      <c r="O13" t="s">
        <v>1519</v>
      </c>
      <c r="R13" t="s">
        <v>1520</v>
      </c>
    </row>
    <row r="14" spans="1:19">
      <c r="A14" t="s">
        <v>45</v>
      </c>
      <c r="B14" t="s">
        <v>632</v>
      </c>
      <c r="J14" t="s">
        <v>191</v>
      </c>
      <c r="L14" t="s">
        <v>1503</v>
      </c>
      <c r="O14" t="s">
        <v>1531</v>
      </c>
      <c r="R14" t="s">
        <v>1530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zoomScale="110" zoomScaleNormal="110" workbookViewId="0">
      <selection activeCell="A26" sqref="A26"/>
    </sheetView>
  </sheetViews>
  <sheetFormatPr defaultRowHeight="15"/>
  <cols>
    <col min="1" max="1" width="13.7109375" bestFit="1" customWidth="1"/>
    <col min="2" max="2" width="18.28515625" customWidth="1"/>
    <col min="3" max="3" width="18" customWidth="1"/>
    <col min="4" max="4" width="10.85546875" bestFit="1" customWidth="1"/>
  </cols>
  <sheetData>
    <row r="1" spans="1:7">
      <c r="A1" t="s">
        <v>150</v>
      </c>
    </row>
    <row r="2" spans="1:7">
      <c r="A2" t="s">
        <v>100</v>
      </c>
      <c r="B2" t="s">
        <v>101</v>
      </c>
      <c r="C2" t="s">
        <v>102</v>
      </c>
      <c r="D2" t="s">
        <v>1501</v>
      </c>
      <c r="E2" t="s">
        <v>1510</v>
      </c>
      <c r="F2" t="s">
        <v>1511</v>
      </c>
      <c r="G2" t="s">
        <v>1512</v>
      </c>
    </row>
    <row r="3" spans="1:7">
      <c r="A3" t="s">
        <v>1502</v>
      </c>
      <c r="C3" t="s">
        <v>1508</v>
      </c>
      <c r="D3" t="s">
        <v>1509</v>
      </c>
    </row>
    <row r="4" spans="1:7">
      <c r="A4" t="s">
        <v>1502</v>
      </c>
      <c r="C4" t="s">
        <v>154</v>
      </c>
      <c r="D4" t="s">
        <v>153</v>
      </c>
    </row>
    <row r="5" spans="1:7">
      <c r="A5" t="s">
        <v>1502</v>
      </c>
      <c r="C5" t="s">
        <v>156</v>
      </c>
      <c r="D5" t="s">
        <v>155</v>
      </c>
    </row>
    <row r="6" spans="1:7">
      <c r="A6" t="s">
        <v>1502</v>
      </c>
      <c r="C6" t="s">
        <v>158</v>
      </c>
      <c r="D6" t="s">
        <v>157</v>
      </c>
    </row>
    <row r="7" spans="1:7">
      <c r="A7" t="s">
        <v>1502</v>
      </c>
      <c r="C7" t="s">
        <v>160</v>
      </c>
      <c r="D7" t="s">
        <v>159</v>
      </c>
    </row>
    <row r="8" spans="1:7">
      <c r="A8" t="s">
        <v>1502</v>
      </c>
      <c r="C8" t="s">
        <v>162</v>
      </c>
      <c r="D8" t="s">
        <v>161</v>
      </c>
    </row>
    <row r="9" spans="1:7">
      <c r="A9" t="s">
        <v>1502</v>
      </c>
      <c r="C9" t="s">
        <v>164</v>
      </c>
      <c r="D9" t="s">
        <v>163</v>
      </c>
    </row>
    <row r="10" spans="1:7">
      <c r="A10" t="s">
        <v>1502</v>
      </c>
      <c r="C10" t="s">
        <v>166</v>
      </c>
      <c r="D10" t="s">
        <v>165</v>
      </c>
    </row>
    <row r="11" spans="1:7">
      <c r="A11" t="s">
        <v>1502</v>
      </c>
      <c r="C11" t="s">
        <v>168</v>
      </c>
      <c r="D11" t="s">
        <v>167</v>
      </c>
    </row>
    <row r="12" spans="1:7">
      <c r="A12" t="s">
        <v>1502</v>
      </c>
      <c r="C12" t="s">
        <v>170</v>
      </c>
      <c r="D12" t="s">
        <v>169</v>
      </c>
    </row>
    <row r="13" spans="1:7">
      <c r="A13" t="s">
        <v>1502</v>
      </c>
      <c r="C13" t="s">
        <v>172</v>
      </c>
      <c r="D13" t="s">
        <v>171</v>
      </c>
    </row>
    <row r="14" spans="1:7">
      <c r="A14" t="s">
        <v>1502</v>
      </c>
      <c r="C14" t="s">
        <v>174</v>
      </c>
      <c r="D14" t="s">
        <v>173</v>
      </c>
    </row>
    <row r="15" spans="1:7">
      <c r="A15" t="s">
        <v>1502</v>
      </c>
      <c r="C15" t="s">
        <v>176</v>
      </c>
      <c r="D15" t="s">
        <v>175</v>
      </c>
    </row>
    <row r="16" spans="1:7">
      <c r="A16" t="s">
        <v>1502</v>
      </c>
      <c r="C16" t="s">
        <v>613</v>
      </c>
      <c r="D16" t="s">
        <v>543</v>
      </c>
    </row>
    <row r="17" spans="1:4">
      <c r="A17" t="s">
        <v>1502</v>
      </c>
      <c r="C17" t="s">
        <v>178</v>
      </c>
      <c r="D17" t="s">
        <v>177</v>
      </c>
    </row>
    <row r="18" spans="1:4">
      <c r="A18" t="s">
        <v>1502</v>
      </c>
      <c r="C18" t="s">
        <v>180</v>
      </c>
      <c r="D18" t="s">
        <v>179</v>
      </c>
    </row>
    <row r="19" spans="1:4">
      <c r="A19" t="s">
        <v>1502</v>
      </c>
      <c r="C19" t="s">
        <v>182</v>
      </c>
      <c r="D19" t="s">
        <v>181</v>
      </c>
    </row>
    <row r="20" spans="1:4">
      <c r="A20" t="s">
        <v>1502</v>
      </c>
      <c r="C20" t="s">
        <v>184</v>
      </c>
      <c r="D20" t="s">
        <v>183</v>
      </c>
    </row>
    <row r="21" spans="1:4">
      <c r="A21" t="s">
        <v>1502</v>
      </c>
      <c r="C21" t="s">
        <v>186</v>
      </c>
      <c r="D21" t="s">
        <v>185</v>
      </c>
    </row>
    <row r="22" spans="1:4">
      <c r="A22" t="s">
        <v>1505</v>
      </c>
      <c r="C22" t="s">
        <v>1506</v>
      </c>
      <c r="D22" t="s">
        <v>748</v>
      </c>
    </row>
    <row r="23" spans="1:4">
      <c r="A23" t="s">
        <v>1505</v>
      </c>
      <c r="C23" t="s">
        <v>455</v>
      </c>
      <c r="D23" t="s">
        <v>750</v>
      </c>
    </row>
    <row r="24" spans="1:4">
      <c r="A24" t="s">
        <v>1505</v>
      </c>
      <c r="C24" t="s">
        <v>1507</v>
      </c>
      <c r="D24" t="s">
        <v>519</v>
      </c>
    </row>
    <row r="25" spans="1:4">
      <c r="A25" t="s">
        <v>1505</v>
      </c>
      <c r="C25" t="s">
        <v>69</v>
      </c>
      <c r="D25" t="s">
        <v>464</v>
      </c>
    </row>
    <row r="33" spans="1:8">
      <c r="A33" t="s">
        <v>416</v>
      </c>
      <c r="B33" t="str">
        <f t="shared" ref="B33:B38" si="0">"*[_]"&amp;G33&amp;"[_]*"</f>
        <v>*[_]car[_]*</v>
      </c>
      <c r="C33" t="s">
        <v>208</v>
      </c>
      <c r="G33" s="3" t="s">
        <v>202</v>
      </c>
      <c r="H33" s="3"/>
    </row>
    <row r="34" spans="1:8">
      <c r="A34" t="s">
        <v>416</v>
      </c>
      <c r="B34" t="str">
        <f t="shared" si="0"/>
        <v>*[_]bus[_]*</v>
      </c>
      <c r="C34" t="s">
        <v>209</v>
      </c>
      <c r="G34" s="3" t="s">
        <v>203</v>
      </c>
      <c r="H34" s="3"/>
    </row>
    <row r="35" spans="1:8">
      <c r="A35" t="s">
        <v>416</v>
      </c>
      <c r="B35" t="str">
        <f t="shared" si="0"/>
        <v>*[_]hdt[_]*</v>
      </c>
      <c r="C35" t="s">
        <v>210</v>
      </c>
      <c r="G35" s="3" t="s">
        <v>204</v>
      </c>
      <c r="H35" s="3"/>
    </row>
    <row r="36" spans="1:8">
      <c r="A36" t="s">
        <v>416</v>
      </c>
      <c r="B36" t="str">
        <f t="shared" si="0"/>
        <v>*[_]lcv[_]*</v>
      </c>
      <c r="C36" t="s">
        <v>211</v>
      </c>
      <c r="G36" s="3" t="s">
        <v>205</v>
      </c>
      <c r="H36" s="3"/>
    </row>
    <row r="37" spans="1:8">
      <c r="A37" t="s">
        <v>416</v>
      </c>
      <c r="B37" t="str">
        <f t="shared" si="0"/>
        <v>*[_]mot[_]*</v>
      </c>
      <c r="C37" t="s">
        <v>212</v>
      </c>
      <c r="G37" s="3" t="s">
        <v>206</v>
      </c>
      <c r="H37" s="3"/>
    </row>
    <row r="38" spans="1:8">
      <c r="A38" t="s">
        <v>416</v>
      </c>
      <c r="B38" t="str">
        <f t="shared" si="0"/>
        <v>*[_]mop[_]*</v>
      </c>
      <c r="C38" t="s">
        <v>213</v>
      </c>
      <c r="G38" s="3" t="s">
        <v>207</v>
      </c>
      <c r="H38" s="3"/>
    </row>
    <row r="39" spans="1:8">
      <c r="A39" t="s">
        <v>214</v>
      </c>
      <c r="B39" t="str">
        <f>"*[_]"&amp;G39&amp;"*"</f>
        <v>*[_]Exe*</v>
      </c>
      <c r="C39" t="s">
        <v>221</v>
      </c>
      <c r="G39" s="3" t="s">
        <v>215</v>
      </c>
      <c r="H39" s="3"/>
    </row>
    <row r="40" spans="1:8">
      <c r="A40" t="s">
        <v>214</v>
      </c>
      <c r="B40" t="str">
        <f>"*[_]"&amp;G40&amp;"*"</f>
        <v>*[_]Lom*</v>
      </c>
      <c r="C40" t="s">
        <v>222</v>
      </c>
      <c r="G40" s="3" t="s">
        <v>216</v>
      </c>
      <c r="H40" s="3"/>
    </row>
    <row r="41" spans="1:8">
      <c r="A41" t="s">
        <v>214</v>
      </c>
      <c r="B41" t="str">
        <f>"*[_]"&amp;G41&amp;"*"</f>
        <v>*[_]Upm*</v>
      </c>
      <c r="C41" t="s">
        <v>223</v>
      </c>
      <c r="G41" s="3" t="s">
        <v>217</v>
      </c>
      <c r="H41" s="3"/>
    </row>
    <row r="42" spans="1:8">
      <c r="A42" t="s">
        <v>214</v>
      </c>
      <c r="B42" t="str">
        <f>"*[_]"&amp;G42&amp;"*"</f>
        <v>*[_]Sma*</v>
      </c>
      <c r="C42" t="s">
        <v>224</v>
      </c>
      <c r="G42" s="3" t="s">
        <v>218</v>
      </c>
      <c r="H42" s="3"/>
    </row>
    <row r="43" spans="1:8">
      <c r="A43" t="s">
        <v>214</v>
      </c>
      <c r="B43" t="str">
        <f>"*Bus*[_]"&amp;G43&amp;"*"</f>
        <v>*Bus*[_]Coa*</v>
      </c>
      <c r="C43" t="s">
        <v>225</v>
      </c>
      <c r="G43" s="3" t="s">
        <v>219</v>
      </c>
      <c r="H43" s="3"/>
    </row>
    <row r="44" spans="1:8">
      <c r="A44" t="s">
        <v>214</v>
      </c>
      <c r="B44" t="str">
        <f>"*Bus*[_]"&amp;G44&amp;"*"</f>
        <v>*Bus*[_]Urb*</v>
      </c>
      <c r="C44" t="s">
        <v>226</v>
      </c>
      <c r="G44" s="3" t="s">
        <v>220</v>
      </c>
      <c r="H44" s="3"/>
    </row>
    <row r="45" spans="1:8">
      <c r="A45" t="s">
        <v>236</v>
      </c>
      <c r="B45" t="str">
        <f>"*[_]"&amp;G45&amp;"[_]*,*[_]"&amp;G45</f>
        <v>*[_]Dis[_]*,*[_]Dis</v>
      </c>
      <c r="C45" t="s">
        <v>237</v>
      </c>
      <c r="G45" t="s">
        <v>227</v>
      </c>
    </row>
    <row r="46" spans="1:8">
      <c r="A46" t="s">
        <v>236</v>
      </c>
      <c r="B46" t="str">
        <f t="shared" ref="B46:B54" si="1">"*[_]"&amp;G46&amp;"[_]*,*[_]"&amp;G46</f>
        <v>*[_]Gas[_]*,*[_]Gas</v>
      </c>
      <c r="C46" t="s">
        <v>238</v>
      </c>
      <c r="G46" t="s">
        <v>158</v>
      </c>
    </row>
    <row r="47" spans="1:8">
      <c r="A47" t="s">
        <v>236</v>
      </c>
      <c r="B47" t="str">
        <f t="shared" si="1"/>
        <v>*[_]Eth[_]*,*[_]Eth</v>
      </c>
      <c r="C47" t="s">
        <v>239</v>
      </c>
      <c r="G47" t="s">
        <v>228</v>
      </c>
    </row>
    <row r="48" spans="1:8">
      <c r="A48" t="s">
        <v>236</v>
      </c>
      <c r="B48" t="str">
        <f t="shared" si="1"/>
        <v>*[_]Cng[_]*,*[_]Cng</v>
      </c>
      <c r="C48" t="s">
        <v>240</v>
      </c>
      <c r="G48" t="s">
        <v>229</v>
      </c>
    </row>
    <row r="49" spans="1:7">
      <c r="A49" t="s">
        <v>236</v>
      </c>
      <c r="B49" t="str">
        <f t="shared" si="1"/>
        <v>*[_]GH2[_]*,*[_]GH2</v>
      </c>
      <c r="C49" t="s">
        <v>241</v>
      </c>
      <c r="G49" t="s">
        <v>230</v>
      </c>
    </row>
    <row r="50" spans="1:7">
      <c r="A50" t="s">
        <v>236</v>
      </c>
      <c r="B50" t="str">
        <f t="shared" si="1"/>
        <v>*[_]LH2[_]*,*[_]LH2</v>
      </c>
      <c r="C50" t="s">
        <v>242</v>
      </c>
      <c r="G50" t="s">
        <v>231</v>
      </c>
    </row>
    <row r="51" spans="1:7">
      <c r="A51" t="s">
        <v>236</v>
      </c>
      <c r="B51" t="str">
        <f t="shared" si="1"/>
        <v>*[_]Elc[_]*,*[_]Elc</v>
      </c>
      <c r="C51" t="s">
        <v>243</v>
      </c>
      <c r="G51" t="s">
        <v>232</v>
      </c>
    </row>
    <row r="52" spans="1:7">
      <c r="A52" t="s">
        <v>236</v>
      </c>
      <c r="B52" t="str">
        <f t="shared" si="1"/>
        <v>*[_]Lpg[_]*,*[_]Lpg</v>
      </c>
      <c r="C52" t="s">
        <v>244</v>
      </c>
      <c r="G52" t="s">
        <v>233</v>
      </c>
    </row>
    <row r="53" spans="1:7">
      <c r="A53" t="s">
        <v>236</v>
      </c>
      <c r="B53" t="str">
        <f t="shared" si="1"/>
        <v>*[_]PIH[_]*,*[_]PIH</v>
      </c>
      <c r="C53" t="s">
        <v>245</v>
      </c>
      <c r="G53" t="s">
        <v>234</v>
      </c>
    </row>
    <row r="54" spans="1:7">
      <c r="A54" t="s">
        <v>236</v>
      </c>
      <c r="B54" t="str">
        <f t="shared" si="1"/>
        <v>*[_]Fle[_]*,*[_]Fle</v>
      </c>
      <c r="C54" t="s">
        <v>246</v>
      </c>
      <c r="G54" t="s">
        <v>235</v>
      </c>
    </row>
    <row r="55" spans="1:7">
      <c r="A55" t="s">
        <v>236</v>
      </c>
      <c r="B55" t="str">
        <f>"*[_]"&amp;G55&amp;"[_]*,*[_]"&amp;G55</f>
        <v>*[_]Oth[_]*,*[_]Oth</v>
      </c>
      <c r="C55" t="s">
        <v>356</v>
      </c>
      <c r="G55" t="s">
        <v>452</v>
      </c>
    </row>
    <row r="56" spans="1:7">
      <c r="A56" t="s">
        <v>277</v>
      </c>
      <c r="B56" t="s">
        <v>417</v>
      </c>
      <c r="C56" t="s">
        <v>422</v>
      </c>
    </row>
    <row r="57" spans="1:7">
      <c r="A57" t="s">
        <v>277</v>
      </c>
      <c r="B57" t="s">
        <v>418</v>
      </c>
      <c r="C57" t="s">
        <v>422</v>
      </c>
    </row>
    <row r="58" spans="1:7">
      <c r="A58" t="s">
        <v>277</v>
      </c>
      <c r="B58" t="str">
        <f>"*-"&amp;G58&amp;"[_]*,DET*"</f>
        <v>*-DH[_]*,DET*</v>
      </c>
      <c r="C58" t="s">
        <v>278</v>
      </c>
      <c r="G58" t="s">
        <v>273</v>
      </c>
    </row>
    <row r="59" spans="1:7">
      <c r="A59" t="s">
        <v>277</v>
      </c>
      <c r="B59" t="str">
        <f t="shared" ref="B59:B67" si="2">"*-"&amp;G59&amp;"[_]*"</f>
        <v>*-DH-70[_]*</v>
      </c>
      <c r="C59" t="s">
        <v>279</v>
      </c>
      <c r="G59" t="s">
        <v>274</v>
      </c>
    </row>
    <row r="60" spans="1:7">
      <c r="A60" t="s">
        <v>277</v>
      </c>
      <c r="B60" t="str">
        <f>"*-"&amp;G60&amp;"[_]*,SDE*"</f>
        <v>*-SD[_]*,SDE*</v>
      </c>
      <c r="C60" t="s">
        <v>280</v>
      </c>
      <c r="G60" t="s">
        <v>275</v>
      </c>
    </row>
    <row r="61" spans="1:7">
      <c r="A61" t="s">
        <v>277</v>
      </c>
      <c r="B61" t="str">
        <f>"*-"&amp;G61&amp;"[_]*,FLT*"</f>
        <v>*-FL[_]*,FLT*</v>
      </c>
      <c r="C61" t="s">
        <v>281</v>
      </c>
      <c r="G61" t="s">
        <v>276</v>
      </c>
    </row>
    <row r="62" spans="1:7">
      <c r="A62" t="s">
        <v>277</v>
      </c>
      <c r="B62" t="str">
        <f t="shared" si="2"/>
        <v>*-HO[_]*</v>
      </c>
      <c r="C62" t="s">
        <v>296</v>
      </c>
      <c r="G62" t="s">
        <v>289</v>
      </c>
    </row>
    <row r="63" spans="1:7">
      <c r="A63" t="s">
        <v>277</v>
      </c>
      <c r="B63" t="str">
        <f t="shared" si="2"/>
        <v>*-HR[_]*</v>
      </c>
      <c r="C63" t="s">
        <v>297</v>
      </c>
      <c r="G63" t="s">
        <v>290</v>
      </c>
    </row>
    <row r="64" spans="1:7">
      <c r="A64" t="s">
        <v>277</v>
      </c>
      <c r="B64" t="str">
        <f t="shared" si="2"/>
        <v>*-OF[_]*</v>
      </c>
      <c r="C64" t="s">
        <v>295</v>
      </c>
      <c r="G64" t="s">
        <v>291</v>
      </c>
    </row>
    <row r="65" spans="1:7">
      <c r="A65" t="s">
        <v>277</v>
      </c>
      <c r="B65" t="str">
        <f t="shared" si="2"/>
        <v>*-SL[_]*</v>
      </c>
      <c r="C65" t="s">
        <v>298</v>
      </c>
      <c r="G65" t="s">
        <v>292</v>
      </c>
    </row>
    <row r="66" spans="1:7">
      <c r="A66" t="s">
        <v>277</v>
      </c>
      <c r="B66" t="str">
        <f t="shared" si="2"/>
        <v>*-SR[_]*</v>
      </c>
      <c r="C66" t="s">
        <v>299</v>
      </c>
      <c r="G66" t="s">
        <v>293</v>
      </c>
    </row>
    <row r="67" spans="1:7">
      <c r="A67" t="s">
        <v>277</v>
      </c>
      <c r="B67" t="str">
        <f t="shared" si="2"/>
        <v>*-SS[_]*</v>
      </c>
      <c r="C67" t="s">
        <v>300</v>
      </c>
      <c r="G67" t="s">
        <v>294</v>
      </c>
    </row>
    <row r="68" spans="1:7">
      <c r="A68" t="s">
        <v>285</v>
      </c>
      <c r="B68" t="str">
        <f>"*"&amp;G68</f>
        <v>*MG?</v>
      </c>
      <c r="C68" t="s">
        <v>286</v>
      </c>
      <c r="G68" t="s">
        <v>282</v>
      </c>
    </row>
    <row r="69" spans="1:7">
      <c r="A69" t="s">
        <v>285</v>
      </c>
      <c r="B69" t="str">
        <f>"*"&amp;G69</f>
        <v>*MR?</v>
      </c>
      <c r="C69" t="s">
        <v>287</v>
      </c>
      <c r="G69" t="s">
        <v>283</v>
      </c>
    </row>
    <row r="70" spans="1:7">
      <c r="A70" t="s">
        <v>285</v>
      </c>
      <c r="B70" t="str">
        <f>"*"&amp;G70</f>
        <v>*MW?</v>
      </c>
      <c r="C70" t="s">
        <v>288</v>
      </c>
      <c r="G70" t="s">
        <v>284</v>
      </c>
    </row>
    <row r="71" spans="1:7">
      <c r="A71" t="s">
        <v>416</v>
      </c>
      <c r="B71" t="s">
        <v>417</v>
      </c>
      <c r="C71" t="s">
        <v>424</v>
      </c>
    </row>
    <row r="72" spans="1:7">
      <c r="A72" t="s">
        <v>416</v>
      </c>
      <c r="B72" t="s">
        <v>418</v>
      </c>
      <c r="C72" t="s">
        <v>423</v>
      </c>
    </row>
    <row r="73" spans="1:7">
      <c r="A73" t="s">
        <v>416</v>
      </c>
      <c r="B73" t="s">
        <v>454</v>
      </c>
      <c r="C73" t="s">
        <v>455</v>
      </c>
    </row>
    <row r="74" spans="1:7">
      <c r="A74" t="s">
        <v>416</v>
      </c>
      <c r="B74" t="str">
        <f>"*-"&amp;G74&amp;"-*"</f>
        <v>*-CK-*</v>
      </c>
      <c r="C74" t="s">
        <v>308</v>
      </c>
      <c r="G74" t="s">
        <v>304</v>
      </c>
    </row>
    <row r="75" spans="1:7">
      <c r="A75" t="s">
        <v>416</v>
      </c>
      <c r="B75" t="str">
        <f>"*-"&amp;G75&amp;"-*"</f>
        <v>*-SC-*</v>
      </c>
      <c r="C75" t="s">
        <v>309</v>
      </c>
      <c r="G75" t="s">
        <v>305</v>
      </c>
    </row>
    <row r="76" spans="1:7">
      <c r="A76" t="s">
        <v>416</v>
      </c>
      <c r="B76" t="str">
        <f>"*-"&amp;G76&amp;"-*,*-M??"</f>
        <v>*-SH-*,*-M??</v>
      </c>
      <c r="C76" t="s">
        <v>310</v>
      </c>
      <c r="G76" t="s">
        <v>306</v>
      </c>
    </row>
    <row r="77" spans="1:7">
      <c r="A77" t="s">
        <v>416</v>
      </c>
      <c r="B77" t="str">
        <f>"*-"&amp;G77&amp;"-*"</f>
        <v>*-WH-*</v>
      </c>
      <c r="C77" t="s">
        <v>311</v>
      </c>
      <c r="G77" t="s">
        <v>307</v>
      </c>
    </row>
    <row r="78" spans="1:7">
      <c r="A78" t="s">
        <v>416</v>
      </c>
      <c r="B78" t="s">
        <v>769</v>
      </c>
      <c r="C78" t="s">
        <v>354</v>
      </c>
    </row>
    <row r="79" spans="1:7">
      <c r="A79" t="s">
        <v>416</v>
      </c>
      <c r="B79" t="s">
        <v>770</v>
      </c>
      <c r="C79" t="s">
        <v>355</v>
      </c>
    </row>
    <row r="80" spans="1:7">
      <c r="A80" t="s">
        <v>416</v>
      </c>
      <c r="B80" t="s">
        <v>771</v>
      </c>
      <c r="C80" t="s">
        <v>358</v>
      </c>
    </row>
    <row r="81" spans="1:3">
      <c r="A81" t="s">
        <v>416</v>
      </c>
      <c r="B81" t="s">
        <v>772</v>
      </c>
      <c r="C81" t="s">
        <v>359</v>
      </c>
    </row>
    <row r="82" spans="1:3">
      <c r="A82" t="s">
        <v>416</v>
      </c>
      <c r="B82" t="s">
        <v>773</v>
      </c>
      <c r="C82" t="s">
        <v>356</v>
      </c>
    </row>
    <row r="83" spans="1:3">
      <c r="A83" t="s">
        <v>416</v>
      </c>
      <c r="B83" t="s">
        <v>774</v>
      </c>
      <c r="C83" t="s">
        <v>360</v>
      </c>
    </row>
    <row r="84" spans="1:3">
      <c r="A84" t="s">
        <v>416</v>
      </c>
      <c r="B84" t="s">
        <v>775</v>
      </c>
      <c r="C84" t="s">
        <v>357</v>
      </c>
    </row>
    <row r="85" spans="1:3">
      <c r="A85" t="s">
        <v>416</v>
      </c>
      <c r="B85" t="s">
        <v>742</v>
      </c>
      <c r="C85" t="s">
        <v>399</v>
      </c>
    </row>
    <row r="86" spans="1:3">
      <c r="A86" t="s">
        <v>522</v>
      </c>
      <c r="B86" t="s">
        <v>471</v>
      </c>
      <c r="C86" t="s">
        <v>472</v>
      </c>
    </row>
    <row r="87" spans="1:3">
      <c r="A87" t="s">
        <v>522</v>
      </c>
      <c r="B87" t="s">
        <v>473</v>
      </c>
      <c r="C87" t="s">
        <v>474</v>
      </c>
    </row>
    <row r="88" spans="1:3">
      <c r="A88" t="s">
        <v>522</v>
      </c>
      <c r="B88" t="s">
        <v>475</v>
      </c>
      <c r="C88" t="s">
        <v>476</v>
      </c>
    </row>
    <row r="89" spans="1:3">
      <c r="A89" t="s">
        <v>522</v>
      </c>
      <c r="B89" t="s">
        <v>477</v>
      </c>
      <c r="C89" t="s">
        <v>478</v>
      </c>
    </row>
    <row r="90" spans="1:3">
      <c r="A90" t="s">
        <v>522</v>
      </c>
      <c r="B90" t="s">
        <v>479</v>
      </c>
      <c r="C90" t="s">
        <v>476</v>
      </c>
    </row>
    <row r="91" spans="1:3">
      <c r="A91" t="s">
        <v>522</v>
      </c>
      <c r="B91" t="s">
        <v>480</v>
      </c>
      <c r="C91" t="s">
        <v>476</v>
      </c>
    </row>
    <row r="92" spans="1:3">
      <c r="A92" t="s">
        <v>522</v>
      </c>
      <c r="B92" t="s">
        <v>481</v>
      </c>
      <c r="C92" t="s">
        <v>478</v>
      </c>
    </row>
    <row r="93" spans="1:3">
      <c r="A93" t="s">
        <v>522</v>
      </c>
      <c r="B93" t="s">
        <v>482</v>
      </c>
      <c r="C93" t="s">
        <v>483</v>
      </c>
    </row>
    <row r="94" spans="1:3">
      <c r="A94" t="s">
        <v>522</v>
      </c>
      <c r="B94" t="s">
        <v>484</v>
      </c>
      <c r="C94" t="s">
        <v>485</v>
      </c>
    </row>
    <row r="95" spans="1:3">
      <c r="A95" t="s">
        <v>522</v>
      </c>
      <c r="B95" t="s">
        <v>486</v>
      </c>
      <c r="C95" t="s">
        <v>487</v>
      </c>
    </row>
    <row r="96" spans="1:3">
      <c r="A96" t="s">
        <v>522</v>
      </c>
      <c r="B96" t="s">
        <v>488</v>
      </c>
      <c r="C96" t="s">
        <v>489</v>
      </c>
    </row>
    <row r="97" spans="1:3">
      <c r="A97" t="s">
        <v>522</v>
      </c>
      <c r="B97" t="s">
        <v>490</v>
      </c>
      <c r="C97" t="s">
        <v>472</v>
      </c>
    </row>
    <row r="98" spans="1:3">
      <c r="A98" t="s">
        <v>522</v>
      </c>
      <c r="B98" t="s">
        <v>491</v>
      </c>
      <c r="C98" t="s">
        <v>472</v>
      </c>
    </row>
    <row r="99" spans="1:3">
      <c r="A99" t="s">
        <v>522</v>
      </c>
      <c r="B99" t="s">
        <v>492</v>
      </c>
      <c r="C99" t="s">
        <v>478</v>
      </c>
    </row>
    <row r="100" spans="1:3">
      <c r="A100" t="s">
        <v>522</v>
      </c>
      <c r="B100" t="s">
        <v>497</v>
      </c>
      <c r="C100" t="s">
        <v>498</v>
      </c>
    </row>
    <row r="101" spans="1:3">
      <c r="A101" t="s">
        <v>522</v>
      </c>
      <c r="B101" t="s">
        <v>494</v>
      </c>
      <c r="C101" t="s">
        <v>453</v>
      </c>
    </row>
    <row r="102" spans="1:3">
      <c r="A102" t="s">
        <v>522</v>
      </c>
      <c r="B102" t="s">
        <v>495</v>
      </c>
      <c r="C102" t="s">
        <v>361</v>
      </c>
    </row>
    <row r="103" spans="1:3">
      <c r="A103" t="s">
        <v>522</v>
      </c>
      <c r="B103" t="s">
        <v>496</v>
      </c>
      <c r="C103" t="s">
        <v>499</v>
      </c>
    </row>
    <row r="104" spans="1:3">
      <c r="A104" t="s">
        <v>522</v>
      </c>
      <c r="B104" t="s">
        <v>500</v>
      </c>
      <c r="C104" t="s">
        <v>501</v>
      </c>
    </row>
    <row r="105" spans="1:3">
      <c r="A105" t="s">
        <v>746</v>
      </c>
      <c r="B105" t="s">
        <v>747</v>
      </c>
      <c r="C105" t="s">
        <v>748</v>
      </c>
    </row>
    <row r="106" spans="1:3">
      <c r="A106" t="s">
        <v>746</v>
      </c>
      <c r="B106" t="s">
        <v>749</v>
      </c>
      <c r="C106" t="s">
        <v>750</v>
      </c>
    </row>
    <row r="107" spans="1:3">
      <c r="A107" t="s">
        <v>746</v>
      </c>
      <c r="B107" t="s">
        <v>751</v>
      </c>
      <c r="C107" t="s">
        <v>750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workbookViewId="0">
      <selection activeCell="B4" sqref="B4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5" spans="1:14">
      <c r="A5" t="s">
        <v>111</v>
      </c>
      <c r="B5" t="s">
        <v>766</v>
      </c>
      <c r="C5" t="s">
        <v>154</v>
      </c>
      <c r="L5" t="s">
        <v>111</v>
      </c>
      <c r="M5" t="s">
        <v>247</v>
      </c>
      <c r="N5" t="s">
        <v>237</v>
      </c>
    </row>
    <row r="6" spans="1:14">
      <c r="A6" t="s">
        <v>111</v>
      </c>
      <c r="B6" t="s">
        <v>767</v>
      </c>
      <c r="C6" t="s">
        <v>258</v>
      </c>
      <c r="L6" t="s">
        <v>111</v>
      </c>
      <c r="M6" t="s">
        <v>248</v>
      </c>
      <c r="N6" t="s">
        <v>258</v>
      </c>
    </row>
    <row r="7" spans="1:14">
      <c r="A7" t="s">
        <v>111</v>
      </c>
      <c r="B7" t="s">
        <v>768</v>
      </c>
      <c r="C7" t="s">
        <v>158</v>
      </c>
      <c r="L7" t="s">
        <v>111</v>
      </c>
      <c r="M7" t="s">
        <v>249</v>
      </c>
      <c r="N7" t="s">
        <v>258</v>
      </c>
    </row>
    <row r="8" spans="1:14">
      <c r="A8" t="s">
        <v>111</v>
      </c>
      <c r="B8" t="s">
        <v>363</v>
      </c>
      <c r="C8" t="s">
        <v>362</v>
      </c>
      <c r="L8" t="s">
        <v>111</v>
      </c>
      <c r="M8" t="s">
        <v>250</v>
      </c>
      <c r="N8" t="s">
        <v>258</v>
      </c>
    </row>
    <row r="9" spans="1:14">
      <c r="A9" t="s">
        <v>111</v>
      </c>
      <c r="B9" t="s">
        <v>364</v>
      </c>
      <c r="C9" t="s">
        <v>244</v>
      </c>
      <c r="L9" t="s">
        <v>111</v>
      </c>
      <c r="M9" t="s">
        <v>251</v>
      </c>
      <c r="N9" t="s">
        <v>239</v>
      </c>
    </row>
    <row r="10" spans="1:14">
      <c r="A10" t="s">
        <v>111</v>
      </c>
      <c r="B10" t="s">
        <v>365</v>
      </c>
      <c r="C10" t="s">
        <v>237</v>
      </c>
      <c r="L10" t="s">
        <v>111</v>
      </c>
      <c r="M10" t="s">
        <v>252</v>
      </c>
      <c r="N10" t="s">
        <v>259</v>
      </c>
    </row>
    <row r="11" spans="1:14">
      <c r="A11" t="s">
        <v>111</v>
      </c>
      <c r="B11" t="s">
        <v>366</v>
      </c>
      <c r="C11" t="s">
        <v>238</v>
      </c>
      <c r="L11" t="s">
        <v>111</v>
      </c>
      <c r="M11" t="s">
        <v>253</v>
      </c>
      <c r="N11" t="s">
        <v>263</v>
      </c>
    </row>
    <row r="12" spans="1:14">
      <c r="A12" t="s">
        <v>111</v>
      </c>
      <c r="B12" t="s">
        <v>367</v>
      </c>
      <c r="C12" t="s">
        <v>386</v>
      </c>
      <c r="L12" t="s">
        <v>111</v>
      </c>
      <c r="M12" t="s">
        <v>254</v>
      </c>
      <c r="N12" t="s">
        <v>260</v>
      </c>
    </row>
    <row r="13" spans="1:14">
      <c r="A13" t="s">
        <v>111</v>
      </c>
      <c r="B13" t="s">
        <v>368</v>
      </c>
      <c r="C13" t="s">
        <v>168</v>
      </c>
      <c r="L13" t="s">
        <v>111</v>
      </c>
      <c r="M13" t="s">
        <v>255</v>
      </c>
      <c r="N13" t="s">
        <v>261</v>
      </c>
    </row>
    <row r="14" spans="1:14">
      <c r="A14" t="s">
        <v>111</v>
      </c>
      <c r="B14" t="s">
        <v>370</v>
      </c>
      <c r="C14" t="s">
        <v>369</v>
      </c>
      <c r="L14" t="s">
        <v>111</v>
      </c>
      <c r="M14" t="s">
        <v>256</v>
      </c>
      <c r="N14" t="s">
        <v>262</v>
      </c>
    </row>
    <row r="15" spans="1:14">
      <c r="A15" t="s">
        <v>111</v>
      </c>
      <c r="B15" t="s">
        <v>372</v>
      </c>
      <c r="C15" t="s">
        <v>371</v>
      </c>
      <c r="L15" t="s">
        <v>111</v>
      </c>
      <c r="M15" t="s">
        <v>257</v>
      </c>
      <c r="N15" t="s">
        <v>264</v>
      </c>
    </row>
    <row r="16" spans="1:14">
      <c r="A16" t="s">
        <v>111</v>
      </c>
      <c r="B16" t="s">
        <v>373</v>
      </c>
      <c r="C16" t="s">
        <v>176</v>
      </c>
    </row>
    <row r="17" spans="1:4">
      <c r="A17" t="s">
        <v>111</v>
      </c>
      <c r="B17" t="s">
        <v>374</v>
      </c>
      <c r="C17" t="s">
        <v>178</v>
      </c>
    </row>
    <row r="18" spans="1:4">
      <c r="A18" t="s">
        <v>111</v>
      </c>
      <c r="B18" t="s">
        <v>375</v>
      </c>
      <c r="C18" t="s">
        <v>182</v>
      </c>
    </row>
    <row r="19" spans="1:4">
      <c r="A19" t="s">
        <v>111</v>
      </c>
      <c r="B19" t="s">
        <v>377</v>
      </c>
      <c r="C19" t="s">
        <v>376</v>
      </c>
    </row>
    <row r="20" spans="1:4">
      <c r="A20" t="s">
        <v>111</v>
      </c>
      <c r="B20" t="s">
        <v>378</v>
      </c>
      <c r="C20" t="s">
        <v>180</v>
      </c>
    </row>
    <row r="21" spans="1:4">
      <c r="A21" t="s">
        <v>111</v>
      </c>
      <c r="B21" t="s">
        <v>380</v>
      </c>
      <c r="C21" t="s">
        <v>379</v>
      </c>
    </row>
    <row r="22" spans="1:4">
      <c r="A22" t="s">
        <v>111</v>
      </c>
      <c r="B22" t="s">
        <v>382</v>
      </c>
      <c r="C22" t="s">
        <v>381</v>
      </c>
    </row>
    <row r="23" spans="1:4">
      <c r="A23" t="s">
        <v>111</v>
      </c>
      <c r="B23" t="s">
        <v>384</v>
      </c>
      <c r="C23" t="s">
        <v>383</v>
      </c>
    </row>
    <row r="24" spans="1:4">
      <c r="A24" t="s">
        <v>111</v>
      </c>
      <c r="B24" t="s">
        <v>385</v>
      </c>
      <c r="C24" t="s">
        <v>387</v>
      </c>
    </row>
    <row r="25" spans="1:4">
      <c r="A25" t="s">
        <v>111</v>
      </c>
      <c r="B25" t="s">
        <v>421</v>
      </c>
      <c r="C25" t="s">
        <v>396</v>
      </c>
    </row>
    <row r="26" spans="1:4">
      <c r="A26" t="s">
        <v>111</v>
      </c>
      <c r="B26" t="s">
        <v>645</v>
      </c>
      <c r="C26" t="s">
        <v>646</v>
      </c>
    </row>
    <row r="27" spans="1:4">
      <c r="A27" t="s">
        <v>698</v>
      </c>
      <c r="C27" t="s">
        <v>154</v>
      </c>
      <c r="D27" t="s">
        <v>559</v>
      </c>
    </row>
    <row r="28" spans="1:4">
      <c r="A28" t="s">
        <v>698</v>
      </c>
      <c r="C28" t="s">
        <v>258</v>
      </c>
      <c r="D28" t="s">
        <v>560</v>
      </c>
    </row>
    <row r="29" spans="1:4">
      <c r="A29" t="s">
        <v>698</v>
      </c>
      <c r="C29" t="s">
        <v>158</v>
      </c>
      <c r="D29" t="s">
        <v>561</v>
      </c>
    </row>
    <row r="30" spans="1:4">
      <c r="A30" t="s">
        <v>698</v>
      </c>
      <c r="C30" t="s">
        <v>164</v>
      </c>
      <c r="D30" t="s">
        <v>562</v>
      </c>
    </row>
    <row r="31" spans="1:4">
      <c r="A31" t="s">
        <v>698</v>
      </c>
      <c r="C31" t="s">
        <v>568</v>
      </c>
      <c r="D31" t="s">
        <v>587</v>
      </c>
    </row>
    <row r="32" spans="1:4">
      <c r="A32" t="s">
        <v>698</v>
      </c>
      <c r="C32" t="s">
        <v>569</v>
      </c>
      <c r="D32" t="s">
        <v>563</v>
      </c>
    </row>
    <row r="33" spans="1:7">
      <c r="A33" t="s">
        <v>698</v>
      </c>
      <c r="C33" t="s">
        <v>178</v>
      </c>
      <c r="D33" t="s">
        <v>564</v>
      </c>
    </row>
    <row r="34" spans="1:7">
      <c r="A34" t="s">
        <v>698</v>
      </c>
      <c r="C34" t="s">
        <v>182</v>
      </c>
      <c r="D34" t="s">
        <v>565</v>
      </c>
    </row>
    <row r="35" spans="1:7">
      <c r="A35" t="s">
        <v>698</v>
      </c>
      <c r="C35" t="s">
        <v>376</v>
      </c>
      <c r="D35" t="s">
        <v>566</v>
      </c>
    </row>
    <row r="36" spans="1:7">
      <c r="A36" t="s">
        <v>698</v>
      </c>
      <c r="C36" t="s">
        <v>697</v>
      </c>
      <c r="D36" t="s">
        <v>696</v>
      </c>
    </row>
    <row r="37" spans="1:7">
      <c r="A37" t="s">
        <v>698</v>
      </c>
      <c r="C37" t="s">
        <v>180</v>
      </c>
      <c r="D37" t="s">
        <v>567</v>
      </c>
    </row>
    <row r="38" spans="1:7">
      <c r="A38" t="s">
        <v>698</v>
      </c>
      <c r="C38" t="s">
        <v>381</v>
      </c>
      <c r="D38" t="s">
        <v>584</v>
      </c>
    </row>
    <row r="39" spans="1:7">
      <c r="A39" t="s">
        <v>737</v>
      </c>
      <c r="B39" t="str">
        <f t="shared" ref="B39:B46" si="0">G39&amp;"*CO2*"</f>
        <v>AGR*CO2*</v>
      </c>
      <c r="C39" t="s">
        <v>738</v>
      </c>
      <c r="G39" s="3" t="s">
        <v>729</v>
      </c>
    </row>
    <row r="40" spans="1:7">
      <c r="A40" t="s">
        <v>737</v>
      </c>
      <c r="B40" t="str">
        <f t="shared" si="0"/>
        <v>COM*CO2*</v>
      </c>
      <c r="C40" t="s">
        <v>394</v>
      </c>
      <c r="G40" s="3" t="s">
        <v>730</v>
      </c>
    </row>
    <row r="41" spans="1:7">
      <c r="A41" t="s">
        <v>737</v>
      </c>
      <c r="B41" t="str">
        <f t="shared" si="0"/>
        <v>ELC*CO2*</v>
      </c>
      <c r="C41" t="s">
        <v>258</v>
      </c>
      <c r="G41" s="3" t="s">
        <v>731</v>
      </c>
    </row>
    <row r="42" spans="1:7">
      <c r="A42" t="s">
        <v>737</v>
      </c>
      <c r="B42" t="str">
        <f t="shared" si="0"/>
        <v>IND*CO2*</v>
      </c>
      <c r="C42" t="s">
        <v>361</v>
      </c>
      <c r="G42" s="3" t="s">
        <v>732</v>
      </c>
    </row>
    <row r="43" spans="1:7">
      <c r="A43" t="s">
        <v>737</v>
      </c>
      <c r="B43" t="str">
        <f t="shared" si="0"/>
        <v>RSD*CO2*</v>
      </c>
      <c r="C43" t="s">
        <v>395</v>
      </c>
      <c r="G43" s="3" t="s">
        <v>733</v>
      </c>
    </row>
    <row r="44" spans="1:7">
      <c r="A44" t="s">
        <v>737</v>
      </c>
      <c r="B44" t="str">
        <f t="shared" si="0"/>
        <v>SE_TRA*CO2*</v>
      </c>
      <c r="C44" t="s">
        <v>393</v>
      </c>
      <c r="G44" s="3" t="s">
        <v>736</v>
      </c>
    </row>
    <row r="45" spans="1:7">
      <c r="A45" t="s">
        <v>737</v>
      </c>
      <c r="B45" t="str">
        <f t="shared" si="0"/>
        <v>SNK*CO2*</v>
      </c>
      <c r="C45" t="s">
        <v>69</v>
      </c>
      <c r="G45" s="3" t="s">
        <v>734</v>
      </c>
    </row>
    <row r="46" spans="1:7">
      <c r="A46" t="s">
        <v>737</v>
      </c>
      <c r="B46" t="str">
        <f t="shared" si="0"/>
        <v>SUP*CO2*</v>
      </c>
      <c r="C46" t="s">
        <v>499</v>
      </c>
      <c r="G46" s="3" t="s">
        <v>735</v>
      </c>
    </row>
    <row r="47" spans="1:7">
      <c r="A47" t="s">
        <v>739</v>
      </c>
      <c r="B47" t="s">
        <v>312</v>
      </c>
      <c r="C47" t="s">
        <v>127</v>
      </c>
    </row>
    <row r="48" spans="1:7">
      <c r="A48" t="s">
        <v>739</v>
      </c>
      <c r="B48" t="s">
        <v>740</v>
      </c>
      <c r="C48" t="s">
        <v>743</v>
      </c>
    </row>
    <row r="49" spans="1:3">
      <c r="A49" t="s">
        <v>739</v>
      </c>
      <c r="B49" t="s">
        <v>741</v>
      </c>
      <c r="C49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6"/>
  <sheetViews>
    <sheetView zoomScaleNormal="100" workbookViewId="0">
      <selection activeCell="G33" sqref="G33"/>
    </sheetView>
  </sheetViews>
  <sheetFormatPr defaultRowHeight="15"/>
  <cols>
    <col min="1" max="1" width="10.140625" bestFit="1" customWidth="1"/>
    <col min="2" max="2" width="15.140625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  <row r="18" spans="1:4">
      <c r="A18" t="s">
        <v>345</v>
      </c>
      <c r="B18" t="s">
        <v>1521</v>
      </c>
      <c r="C18" t="s">
        <v>188</v>
      </c>
      <c r="D18">
        <v>0.5</v>
      </c>
    </row>
    <row r="19" spans="1:4">
      <c r="A19" t="s">
        <v>345</v>
      </c>
      <c r="B19" t="s">
        <v>1522</v>
      </c>
      <c r="C19" t="s">
        <v>188</v>
      </c>
      <c r="D19">
        <v>0.5</v>
      </c>
    </row>
    <row r="20" spans="1:4">
      <c r="A20" t="s">
        <v>345</v>
      </c>
      <c r="B20" t="s">
        <v>1523</v>
      </c>
      <c r="C20" t="s">
        <v>188</v>
      </c>
      <c r="D20">
        <v>0.5</v>
      </c>
    </row>
    <row r="21" spans="1:4">
      <c r="A21" t="s">
        <v>345</v>
      </c>
      <c r="B21" t="s">
        <v>1524</v>
      </c>
      <c r="C21" t="s">
        <v>188</v>
      </c>
      <c r="D21">
        <v>0.5</v>
      </c>
    </row>
    <row r="22" spans="1:4">
      <c r="A22" t="s">
        <v>345</v>
      </c>
      <c r="B22" t="s">
        <v>1525</v>
      </c>
      <c r="C22" t="s">
        <v>188</v>
      </c>
      <c r="D22">
        <v>0.5</v>
      </c>
    </row>
    <row r="23" spans="1:4">
      <c r="A23" t="s">
        <v>345</v>
      </c>
      <c r="B23" t="s">
        <v>1526</v>
      </c>
      <c r="C23" t="s">
        <v>188</v>
      </c>
      <c r="D23">
        <v>2</v>
      </c>
    </row>
    <row r="24" spans="1:4">
      <c r="A24" t="s">
        <v>345</v>
      </c>
      <c r="B24" t="s">
        <v>1527</v>
      </c>
      <c r="C24" t="s">
        <v>188</v>
      </c>
      <c r="D24">
        <v>2</v>
      </c>
    </row>
    <row r="25" spans="1:4">
      <c r="A25" t="s">
        <v>345</v>
      </c>
      <c r="B25" t="s">
        <v>1528</v>
      </c>
      <c r="C25" t="s">
        <v>188</v>
      </c>
      <c r="D25">
        <v>2</v>
      </c>
    </row>
    <row r="26" spans="1:4">
      <c r="A26" t="s">
        <v>345</v>
      </c>
      <c r="B26" t="s">
        <v>1529</v>
      </c>
      <c r="C26" t="s">
        <v>188</v>
      </c>
      <c r="D26"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2022-09-27T11:33:12Z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
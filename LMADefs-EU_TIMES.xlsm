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JSW\GitHub\EU_TIMES_Veda2.0\"/>
    </mc:Choice>
  </mc:AlternateContent>
  <xr:revisionPtr revIDLastSave="0" documentId="13_ncr:1_{56CE0AB9-DBF3-40A4-BF12-DAE651DC79DA}" xr6:coauthVersionLast="45" xr6:coauthVersionMax="47" xr10:uidLastSave="{00000000-0000-0000-0000-000000000000}"/>
  <bookViews>
    <workbookView xWindow="-108" yWindow="-108" windowWidth="23256" windowHeight="12576" firstSheet="7" activeTab="14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59" l="1"/>
  <c r="D29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7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5" i="59"/>
  <c r="D13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11" i="59"/>
  <c r="D10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5" i="59"/>
  <c r="D6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<sst xmlns="http://schemas.openxmlformats.org/spreadsheetml/2006/main" count="87503" uniqueCount="1544">
  <si>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</si>
  <si>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</si>
  <si>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</si>
  <si>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</si>
  <si>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</si>
  <si>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</si>
  <si>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</si>
  <si>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</si>
  <si>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</si>
  <si>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</si>
  <si>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</si>
  <si>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</si>
  <si>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</si>
  <si>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</si>
  <si>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</si>
  <si>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</si>
  <si>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</si>
  <si>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</si>
  <si>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</si>
  <si>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</si>
  <si>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</si>
  <si>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</si>
  <si>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</si>
  <si>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</si>
  <si>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</si>
  <si>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</si>
  <si>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</si>
  <si>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</si>
  <si>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</si>
  <si>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</si>
  <si>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</si>
  <si>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</si>
  <si>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</si>
  <si>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</si>
  <si>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</si>
  <si>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</si>
  <si>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</si>
  <si>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</si>
  <si>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</si>
  <si>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</si>
  <si>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</si>
  <si>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</si>
  <si>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</si>
  <si>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</si>
  <si>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</si>
  <si>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</si>
  <si>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</si>
  <si>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</si>
  <si>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</si>
  <si>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</si>
  <si>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</si>
  <si>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</si>
  <si>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</si>
  <si>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</si>
  <si>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</si>
  <si>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</si>
  <si>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</si>
  <si>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</si>
  <si>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</si>
  <si>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</si>
  <si>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</si>
  <si>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</si>
  <si>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</si>
  <si>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</si>
  <si>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</si>
  <si>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</si>
  <si>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</si>
  <si>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</si>
  <si>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</si>
  <si>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</si>
  <si>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</si>
  <si>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</si>
  <si>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</si>
  <si>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</si>
  <si>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</si>
  <si>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</si>
  <si>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</si>
  <si>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</si>
  <si>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</si>
  <si>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</si>
  <si>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</si>
  <si>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</si>
  <si>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</si>
  <si>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</si>
  <si>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</si>
  <si>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</si>
  <si>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</si>
  <si>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</si>
  <si>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</si>
  <si>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</si>
  <si>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</si>
  <si>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</si>
  <si>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</si>
  <si>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</si>
  <si>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</si>
  <si>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</si>
  <si>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</si>
  <si>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</si>
  <si>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</si>
  <si>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</si>
  <si>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</si>
  <si>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</si>
  <si>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</si>
  <si>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</si>
  <si>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</si>
  <si>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</si>
  <si>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</si>
  <si>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</si>
  <si>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</si>
  <si>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</si>
  <si>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</si>
  <si>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</si>
  <si>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</si>
  <si>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</si>
  <si>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</si>
  <si>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</si>
  <si>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</si>
  <si>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</si>
  <si>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</si>
  <si>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</si>
  <si>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</si>
  <si>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</si>
  <si>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</si>
  <si>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</si>
  <si>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</si>
  <si>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</si>
  <si>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</si>
  <si>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</si>
  <si>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</si>
  <si>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</si>
  <si>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</si>
  <si>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</si>
  <si>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</si>
  <si>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</si>
  <si>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</si>
  <si>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</si>
  <si>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</si>
  <si>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</si>
  <si>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</si>
  <si>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</si>
  <si>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</si>
  <si>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</si>
  <si>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</si>
  <si>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</si>
  <si>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</si>
  <si>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</si>
  <si>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</si>
  <si>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</si>
  <si>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</si>
  <si>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</si>
  <si>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</si>
  <si>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</si>
  <si>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</si>
  <si>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</si>
  <si>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</si>
  <si>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</si>
  <si>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</si>
  <si>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</si>
  <si>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</si>
  <si>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</si>
  <si>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</si>
  <si>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</si>
  <si>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</si>
  <si>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</si>
  <si>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</si>
  <si>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</si>
  <si>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</si>
  <si>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</si>
  <si>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</si>
  <si>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</si>
  <si>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</si>
  <si>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</si>
  <si>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</si>
  <si>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</si>
  <si>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</si>
  <si>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</si>
  <si>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</si>
  <si>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</si>
  <si>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</si>
  <si>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</si>
  <si>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</si>
  <si>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</si>
  <si>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</si>
  <si>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</si>
  <si>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</si>
  <si>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</si>
  <si>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</si>
  <si>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</si>
  <si>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</si>
  <si>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</si>
  <si>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</si>
  <si>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</si>
  <si>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</si>
  <si>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</si>
  <si>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</si>
  <si>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</si>
  <si>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</si>
  <si>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</si>
  <si>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</si>
  <si>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</si>
  <si>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</si>
  <si>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</si>
  <si>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</si>
  <si>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</si>
  <si>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</si>
  <si>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</si>
  <si>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</si>
  <si>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</si>
  <si>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</si>
  <si>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</si>
  <si>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</si>
  <si>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</si>
  <si>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</si>
  <si>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</si>
  <si>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</si>
  <si>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</si>
  <si>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</si>
  <si>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</si>
  <si>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</si>
  <si>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</si>
  <si>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</si>
  <si>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</si>
  <si>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</si>
  <si>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</si>
  <si>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</si>
  <si>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</si>
  <si>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</si>
  <si>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</si>
  <si>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</si>
  <si>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</si>
  <si>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</si>
  <si>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</si>
  <si>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</si>
  <si>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</si>
  <si>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</si>
  <si>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</si>
  <si>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</si>
  <si>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</si>
  <si>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</si>
  <si>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</si>
  <si>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</si>
  <si>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</si>
  <si>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</si>
  <si>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</si>
  <si>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</si>
  <si>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</si>
  <si>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</si>
  <si>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</si>
  <si>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</si>
  <si>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</si>
  <si>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</si>
  <si>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</si>
  <si>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</si>
  <si>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</si>
  <si>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</si>
  <si>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</si>
  <si>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</si>
  <si>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</si>
  <si>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</si>
  <si>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</si>
  <si>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</si>
  <si>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</si>
  <si>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</si>
  <si>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</si>
  <si>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</si>
  <si>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</si>
  <si>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</si>
  <si>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</si>
  <si>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</si>
  <si>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</si>
  <si>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</si>
  <si>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</si>
  <si>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</si>
  <si>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</si>
  <si>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</si>
  <si>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</si>
  <si>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</si>
  <si>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</si>
  <si>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</si>
  <si>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</si>
  <si>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</si>
  <si>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</si>
  <si>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</si>
  <si>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</si>
  <si>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</si>
  <si>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</si>
  <si>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</si>
  <si>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</si>
  <si>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</si>
  <si>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</si>
  <si>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</si>
  <si>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</si>
  <si>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</si>
  <si>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</si>
  <si>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</si>
  <si>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</si>
  <si>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</si>
  <si>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</si>
  <si>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</si>
  <si>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</si>
  <si>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</si>
  <si>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</si>
  <si>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</si>
  <si>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</si>
  <si>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</si>
  <si>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</si>
  <si>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</si>
  <si>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</si>
  <si>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</si>
  <si>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</si>
  <si>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</si>
  <si>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</si>
  <si>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</si>
  <si>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</si>
  <si>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</si>
  <si>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</si>
  <si>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</si>
  <si>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</si>
  <si>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</si>
  <si>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</si>
  <si>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</si>
  <si>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</si>
  <si>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</si>
  <si>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</si>
  <si>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</si>
  <si>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</si>
  <si>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</si>
  <si>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</si>
  <si>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</si>
  <si>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</si>
  <si>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</si>
  <si>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</si>
  <si>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</si>
  <si>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</si>
  <si>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</si>
  <si>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</si>
  <si>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</si>
  <si>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</si>
  <si>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</si>
  <si>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</si>
  <si>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</si>
  <si>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</si>
  <si>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</si>
  <si>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</si>
  <si>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</si>
  <si>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</si>
  <si>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</si>
  <si>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</si>
  <si>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</si>
  <si>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</si>
  <si>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</si>
  <si>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</si>
  <si>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</si>
  <si>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</si>
  <si>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</si>
  <si>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</si>
  <si>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</si>
  <si>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</si>
  <si>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</si>
  <si>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</si>
  <si>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</si>
  <si>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</si>
  <si>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</si>
  <si>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</si>
  <si>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</si>
  <si>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</si>
  <si>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</si>
  <si>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</si>
  <si>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</si>
  <si>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</si>
  <si>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</si>
  <si>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</si>
  <si>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</si>
  <si>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</si>
  <si>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</si>
  <si>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</si>
  <si>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</si>
  <si>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</si>
  <si>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</si>
  <si>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</si>
  <si>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</si>
  <si>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</si>
  <si>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</si>
  <si>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</si>
  <si>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</si>
  <si>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</si>
  <si>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</si>
  <si>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</si>
  <si>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</si>
  <si>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</si>
  <si>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</si>
  <si>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</si>
  <si>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</si>
  <si>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</si>
  <si>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</si>
  <si>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</si>
  <si>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</si>
  <si>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</si>
  <si>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</si>
  <si>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</si>
  <si>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</si>
  <si>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</si>
  <si>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</si>
  <si>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</si>
  <si>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</si>
  <si>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</si>
  <si>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</si>
  <si>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</si>
  <si>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</si>
  <si>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</si>
  <si>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</si>
  <si>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</si>
  <si>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</si>
  <si>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</si>
  <si>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</si>
  <si>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</si>
  <si>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</si>
  <si>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</si>
  <si>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</si>
  <si>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</si>
  <si>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</si>
  <si>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</si>
  <si>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</si>
  <si>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</si>
  <si>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</si>
  <si>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</si>
  <si>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</si>
  <si>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</si>
  <si>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</si>
  <si>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</si>
  <si>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</si>
  <si>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</si>
  <si>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</si>
  <si>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</si>
  <si>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</si>
  <si>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</si>
  <si>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</si>
  <si>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</si>
  <si>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</si>
  <si>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</si>
  <si>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</si>
  <si>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</si>
  <si>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</si>
  <si>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</si>
  <si>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</si>
  <si>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</si>
  <si>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</si>
  <si>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</si>
  <si>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</si>
  <si>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</si>
  <si>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</si>
  <si>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</si>
  <si>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</si>
  <si>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</si>
  <si>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</si>
  <si>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</si>
  <si>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</si>
  <si>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</si>
  <si>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</si>
  <si>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</si>
  <si>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</si>
  <si>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</si>
  <si>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</si>
  <si>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</si>
  <si>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</si>
  <si>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</si>
  <si>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</si>
  <si>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</si>
  <si>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</si>
  <si>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</si>
  <si>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</si>
  <si>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</si>
  <si>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</si>
  <si>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</si>
  <si>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</si>
  <si>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</si>
  <si>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</si>
  <si>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</si>
  <si>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</si>
  <si>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</si>
  <si>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</si>
  <si>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</si>
  <si>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</si>
  <si>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</si>
  <si>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</si>
  <si>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</si>
  <si>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</si>
  <si>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</si>
  <si>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</si>
  <si>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</si>
  <si>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</si>
  <si>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</si>
  <si>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</si>
  <si>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</si>
  <si>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</si>
  <si>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</si>
  <si>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</si>
  <si>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</si>
  <si>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</si>
  <si>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</si>
  <si>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</si>
  <si>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</si>
  <si>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</si>
  <si>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</si>
  <si>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</si>
  <si>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</si>
  <si>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</si>
  <si>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</si>
  <si>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</si>
  <si>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</si>
  <si>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</si>
  <si>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</si>
  <si>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</si>
  <si>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</si>
  <si>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</si>
  <si>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</si>
  <si>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</si>
  <si>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</si>
  <si>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</si>
  <si>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</si>
  <si>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</si>
  <si>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</si>
  <si>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</si>
  <si>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</si>
  <si>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</si>
  <si>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</si>
  <si>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</si>
  <si>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</si>
  <si>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</si>
  <si>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</si>
  <si>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</si>
  <si>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</si>
  <si>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</si>
  <si>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</si>
  <si>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</si>
  <si>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</si>
  <si>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</si>
  <si>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</si>
  <si>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</si>
  <si>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</si>
  <si>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</si>
  <si>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</si>
  <si>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</si>
  <si>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</si>
  <si>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</si>
  <si>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</si>
  <si>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</si>
  <si>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</si>
  <si>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</si>
  <si>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</si>
  <si>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</si>
  <si>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</si>
  <si>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</si>
  <si>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</si>
  <si>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</si>
  <si>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</si>
  <si>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</si>
  <si>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</si>
  <si>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</si>
  <si>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</si>
  <si>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</si>
  <si>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</si>
  <si>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</si>
  <si>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</si>
  <si>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</si>
  <si>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</si>
  <si>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</si>
  <si>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</si>
  <si>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</si>
  <si>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</si>
  <si>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</si>
  <si>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</si>
  <si>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</si>
  <si>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</si>
  <si>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</si>
  <si>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</si>
  <si>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</si>
  <si>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</si>
  <si>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</si>
  <si>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</si>
  <si>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</si>
  <si>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</si>
  <si>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</si>
  <si>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</si>
  <si>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</si>
  <si>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</si>
  <si>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</si>
  <si>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</si>
  <si>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</si>
  <si>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</si>
  <si>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</si>
  <si>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</si>
  <si>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</si>
  <si>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</si>
  <si>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</si>
  <si>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</si>
  <si>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</si>
  <si>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</si>
  <si>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</si>
  <si>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</si>
  <si>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</si>
  <si>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</si>
  <si>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</si>
  <si>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</si>
  <si>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</si>
  <si>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</si>
  <si>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</si>
  <si>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</si>
  <si>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</si>
  <si>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</si>
  <si>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</si>
  <si>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</si>
  <si>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</si>
  <si>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</si>
  <si>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</si>
  <si>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</si>
  <si>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</si>
  <si>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</si>
  <si>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</si>
  <si>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</si>
  <si>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</si>
  <si>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</si>
  <si>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</si>
  <si>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</si>
  <si>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</si>
  <si>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</si>
  <si>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</si>
  <si>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</si>
  <si>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</si>
  <si>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</si>
  <si>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</si>
  <si>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</si>
  <si>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</si>
  <si>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</si>
  <si>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</si>
  <si>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</si>
  <si>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</si>
  <si>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</si>
  <si>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</si>
  <si>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</si>
  <si>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</si>
  <si>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</si>
  <si>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</si>
  <si>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</si>
  <si>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</si>
  <si>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</si>
  <si>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</si>
  <si>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</si>
  <si>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</si>
  <si>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</si>
  <si>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</si>
  <si>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</si>
  <si>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</si>
  <si>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</si>
  <si>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</si>
  <si>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</si>
  <si>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</si>
  <si>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</si>
  <si>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</si>
  <si>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</si>
  <si>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</si>
  <si>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</si>
  <si>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</si>
  <si>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</si>
  <si>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</si>
  <si>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</si>
  <si>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</si>
  <si>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</si>
  <si>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</si>
  <si>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</si>
  <si>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</si>
  <si>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</si>
  <si>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</si>
  <si>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</si>
  <si>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</si>
  <si>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</si>
  <si>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</si>
  <si>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</si>
  <si>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</si>
  <si>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</si>
  <si>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</si>
  <si>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</si>
  <si>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</si>
  <si>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</si>
  <si>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</si>
  <si>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</si>
  <si>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</si>
  <si>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</si>
  <si>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</si>
  <si>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</si>
  <si>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</si>
  <si>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</si>
  <si>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</si>
  <si>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</si>
  <si>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</si>
  <si>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</si>
  <si>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</si>
  <si>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</si>
  <si>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</si>
  <si>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</si>
  <si>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</si>
  <si>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</si>
  <si>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</si>
  <si>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</si>
  <si>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</si>
  <si>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</si>
  <si>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</si>
  <si>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</si>
  <si>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</si>
  <si>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</si>
  <si>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</si>
  <si>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</si>
  <si>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</si>
  <si>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</si>
  <si>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</si>
  <si>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</si>
  <si>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</si>
  <si>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</si>
  <si>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</si>
  <si>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</si>
  <si>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</si>
  <si>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</si>
  <si>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</si>
  <si>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</si>
  <si>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</si>
  <si>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</si>
  <si>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</si>
  <si>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</si>
  <si>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</si>
  <si>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</si>
  <si>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</si>
  <si>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</si>
  <si>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</si>
  <si>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</si>
  <si>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</si>
  <si>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</si>
  <si>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</si>
  <si>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</si>
  <si>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</si>
  <si>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</si>
  <si>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</si>
  <si>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</si>
  <si>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</si>
  <si>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</si>
  <si>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</si>
  <si>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</si>
  <si>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</si>
  <si>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</si>
  <si>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</si>
  <si>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</si>
  <si>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</si>
  <si>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</si>
  <si>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</si>
  <si>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</si>
  <si>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</si>
  <si>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</si>
  <si>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</si>
  <si>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</si>
  <si>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</si>
  <si>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</si>
  <si>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</si>
  <si>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</si>
  <si>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</si>
  <si>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</si>
  <si>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</si>
  <si>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</si>
  <si>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</si>
  <si>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</si>
  <si>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</si>
  <si>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</si>
  <si>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</si>
  <si>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</si>
  <si>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</si>
  <si>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</si>
  <si>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</si>
  <si>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</si>
  <si>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</si>
  <si>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</si>
  <si>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</si>
  <si>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</si>
  <si>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</si>
  <si>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</si>
  <si>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</si>
  <si>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</si>
  <si>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</si>
  <si>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</si>
  <si>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</si>
  <si>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</si>
  <si>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</si>
  <si>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</si>
  <si>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</si>
  <si>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</si>
  <si>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</si>
  <si>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</si>
  <si>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</si>
  <si>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</si>
  <si>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</si>
  <si>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</si>
  <si>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</si>
  <si>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</si>
  <si>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</si>
  <si>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</si>
  <si>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</si>
  <si>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</si>
  <si>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</si>
  <si>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</si>
  <si>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</si>
  <si>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</si>
  <si>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</si>
  <si>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</si>
  <si>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</si>
  <si>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</si>
  <si>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</si>
  <si>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</si>
  <si>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</si>
  <si>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</si>
  <si>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</si>
  <si>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</si>
  <si>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</si>
  <si>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</si>
  <si>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</si>
  <si>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</si>
  <si>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</si>
  <si>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</si>
  <si>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</si>
  <si>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</si>
  <si>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</si>
  <si>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</si>
  <si>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</si>
  <si>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</si>
  <si>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</si>
  <si>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</si>
  <si>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</si>
  <si>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</si>
  <si>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</si>
  <si>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</si>
  <si>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</si>
  <si>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</si>
  <si>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</si>
  <si>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</si>
  <si>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</si>
  <si>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</si>
  <si>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</si>
  <si>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</si>
  <si>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</si>
  <si>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</si>
  <si>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</si>
  <si>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</si>
  <si>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</si>
  <si>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</si>
  <si>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</si>
  <si>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</si>
  <si>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</si>
  <si>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</si>
  <si>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</si>
  <si>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</si>
  <si>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</si>
  <si>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</si>
  <si>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</si>
  <si>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</si>
  <si>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</si>
  <si>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</si>
  <si>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</si>
  <si>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</si>
  <si>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</si>
  <si>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</si>
  <si>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</si>
  <si>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</si>
  <si>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</si>
  <si>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</si>
  <si>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</si>
  <si>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</si>
  <si>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</si>
  <si>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</si>
  <si>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</si>
  <si>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</si>
  <si>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</si>
  <si>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</si>
  <si>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</si>
  <si>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</si>
  <si>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</si>
  <si>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</si>
  <si>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</si>
  <si>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</si>
  <si>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</si>
  <si>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</si>
  <si>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</si>
  <si>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</si>
  <si>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</si>
  <si>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</si>
  <si>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</si>
  <si>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</si>
  <si>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</si>
  <si>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</si>
  <si>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</si>
  <si>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</si>
  <si>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</si>
  <si>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</si>
  <si>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</si>
  <si>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</si>
  <si>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</si>
  <si>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</si>
  <si>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</si>
  <si>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</si>
  <si>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</si>
  <si>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</si>
  <si>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</si>
  <si>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</si>
  <si>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</si>
  <si>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</si>
  <si>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</si>
  <si>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</si>
  <si>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</si>
  <si>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</si>
  <si>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</si>
  <si>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</si>
  <si>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</si>
  <si>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</si>
  <si>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</si>
  <si>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</si>
  <si>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</si>
  <si>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</si>
  <si>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</si>
  <si>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</si>
  <si>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</si>
  <si>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</si>
  <si>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</si>
  <si>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</si>
  <si>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</si>
  <si>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</si>
  <si>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</si>
  <si>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</si>
  <si>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</si>
  <si>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</si>
  <si>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</si>
  <si>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</si>
  <si>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</si>
  <si>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</si>
  <si>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</si>
  <si>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</si>
  <si>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</si>
  <si>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</si>
  <si>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</si>
  <si>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</si>
  <si>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</si>
  <si>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</si>
  <si>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</si>
  <si>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</si>
  <si>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</si>
  <si>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</si>
  <si>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</si>
  <si>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</si>
  <si>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</si>
  <si>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</si>
  <si>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</si>
  <si>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</si>
  <si>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</si>
  <si>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</si>
  <si>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</si>
  <si>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</si>
  <si>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</si>
  <si>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</si>
  <si>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</si>
  <si>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</si>
  <si>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</si>
  <si>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</si>
  <si>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</si>
  <si>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</si>
  <si>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</si>
  <si>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</si>
  <si>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</si>
  <si>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</si>
  <si>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</si>
  <si>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</si>
  <si>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</si>
  <si>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</si>
  <si>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</si>
  <si>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</si>
  <si>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</si>
  <si>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</si>
  <si>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</si>
  <si>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</si>
  <si>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</si>
  <si>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</si>
  <si>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</si>
  <si>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</si>
  <si>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</si>
  <si>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</si>
  <si>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</si>
  <si>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</si>
  <si>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</si>
  <si>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</si>
  <si>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</si>
  <si>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</si>
  <si>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</si>
  <si>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</si>
  <si>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</si>
  <si>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</si>
  <si>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</si>
  <si>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</si>
  <si>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</si>
  <si>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</si>
  <si>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</si>
  <si>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</si>
  <si>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</si>
  <si>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</si>
  <si>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</si>
  <si>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</si>
  <si>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</si>
  <si>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</si>
  <si>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</si>
  <si>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</si>
  <si>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</si>
  <si>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</si>
  <si>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</si>
  <si>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</si>
  <si>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</si>
  <si>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</si>
  <si>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</si>
  <si>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</si>
  <si>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</si>
  <si>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</si>
  <si>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</si>
  <si>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</si>
  <si>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</si>
  <si>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</si>
  <si>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</si>
  <si>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</si>
  <si>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</si>
  <si>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</si>
  <si>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</si>
  <si>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</si>
  <si>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</si>
  <si>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</si>
  <si>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</si>
  <si>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</si>
  <si>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</si>
  <si>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</si>
  <si>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</si>
  <si>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</si>
  <si>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</si>
  <si>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</si>
  <si>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</si>
  <si>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</si>
  <si>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</si>
  <si>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</si>
  <si>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</si>
  <si>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</si>
  <si>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</si>
  <si>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</si>
  <si>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</si>
  <si>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</si>
  <si>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</si>
  <si>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</si>
  <si>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</si>
  <si>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</si>
  <si>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</si>
  <si>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</si>
  <si>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</si>
  <si>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</si>
  <si>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</si>
  <si>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</si>
  <si>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</si>
  <si>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</si>
  <si>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</si>
  <si>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</si>
  <si>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</si>
  <si>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</si>
  <si>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</si>
  <si>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</si>
  <si>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</si>
  <si>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</si>
  <si>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</si>
  <si>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</si>
  <si>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</si>
  <si>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</si>
  <si>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</si>
  <si>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</si>
  <si>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</si>
  <si>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</si>
  <si>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</si>
  <si>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</si>
  <si>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</si>
  <si>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</si>
  <si>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</si>
  <si>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</si>
  <si>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</si>
  <si>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</si>
  <si>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</si>
  <si>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</si>
  <si>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</si>
  <si>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</si>
  <si>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</si>
  <si>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</si>
  <si>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</si>
  <si>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</si>
  <si>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</si>
  <si>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</si>
  <si>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</si>
  <si>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</si>
  <si>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</si>
  <si>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</si>
  <si>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</si>
  <si>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</si>
  <si>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</si>
  <si>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</si>
  <si>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</si>
  <si>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</si>
  <si>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</si>
  <si>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</si>
  <si>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</si>
  <si>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</si>
  <si>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</si>
  <si>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</si>
  <si>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</si>
  <si>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</si>
  <si>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</si>
  <si>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</si>
  <si>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</si>
  <si>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</si>
  <si>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</si>
  <si>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</si>
  <si>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</si>
  <si>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</si>
  <si>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</si>
  <si>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</si>
  <si>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</si>
  <si>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</si>
  <si>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</si>
  <si>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</si>
  <si>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</si>
  <si>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</si>
  <si>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</si>
  <si>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</si>
  <si>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</si>
  <si>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</si>
  <si>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</si>
  <si>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</si>
  <si>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</si>
  <si>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</si>
  <si>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</si>
  <si>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</si>
  <si>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</si>
  <si>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</si>
  <si>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</si>
  <si>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</si>
  <si>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</si>
  <si>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</si>
  <si>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</si>
  <si>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</si>
  <si>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</si>
  <si>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</si>
  <si>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</si>
  <si>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</si>
  <si>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</si>
  <si>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</si>
  <si>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</si>
  <si>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</si>
  <si>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</si>
  <si>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</si>
  <si>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</si>
  <si>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</si>
  <si>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</si>
  <si>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</si>
  <si>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</si>
  <si>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</si>
  <si>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</si>
  <si>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</si>
  <si>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</si>
  <si>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</si>
  <si>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</si>
  <si>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</si>
  <si>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</si>
  <si>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</si>
  <si>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</si>
  <si>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</si>
  <si>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</si>
  <si>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</si>
  <si>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</si>
  <si>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</si>
  <si>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</si>
  <si>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</si>
  <si>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</si>
  <si>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</si>
  <si>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</si>
  <si>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</si>
  <si>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</si>
  <si>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</si>
  <si>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</si>
  <si>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</si>
  <si>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</si>
  <si>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</si>
  <si>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</si>
  <si>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</si>
  <si>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</si>
  <si>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</si>
  <si>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</si>
  <si>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</si>
  <si>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</si>
  <si>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</si>
  <si>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</si>
  <si>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</si>
  <si>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</si>
  <si>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</si>
  <si>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</si>
  <si>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</si>
  <si>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</si>
  <si>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</si>
  <si>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</si>
  <si>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</si>
  <si>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</si>
  <si>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</si>
  <si>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</si>
  <si>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</si>
  <si>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</si>
  <si>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</si>
  <si>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</si>
  <si>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</si>
  <si>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</si>
  <si>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</si>
  <si>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</si>
  <si>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</si>
  <si>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</si>
  <si>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</si>
  <si>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</si>
  <si>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</si>
  <si>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</si>
  <si>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</si>
  <si>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</si>
  <si>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</si>
  <si>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</si>
  <si>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</si>
  <si>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</si>
  <si>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</si>
  <si>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</si>
  <si>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</si>
  <si>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</si>
  <si>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</si>
  <si>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</si>
  <si>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</si>
  <si>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</si>
  <si>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</si>
  <si>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</si>
  <si>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</si>
  <si>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</si>
  <si>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</si>
  <si>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</si>
  <si>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</si>
  <si>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</si>
  <si>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</si>
  <si>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</si>
  <si>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</si>
  <si>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</si>
  <si>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</si>
  <si>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</si>
  <si>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</si>
  <si>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</si>
  <si>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</si>
  <si>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</si>
  <si>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</si>
  <si>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</si>
  <si>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</si>
  <si>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</si>
  <si>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</si>
  <si>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</si>
  <si>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</si>
  <si>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</si>
  <si>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</si>
  <si>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</si>
  <si>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</si>
  <si>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</si>
  <si>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</si>
  <si>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</si>
  <si>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</si>
  <si>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</si>
  <si>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</si>
  <si>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</si>
  <si>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</si>
  <si>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</si>
  <si>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</si>
  <si>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</si>
  <si>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</si>
  <si>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</si>
  <si>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</si>
  <si>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</si>
  <si>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</si>
  <si>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</si>
  <si>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</si>
  <si>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</si>
  <si>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</si>
  <si>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</si>
  <si>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</si>
  <si>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</si>
  <si>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</si>
  <si>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</si>
  <si>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</si>
  <si>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</si>
  <si>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</si>
  <si>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</si>
  <si>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</si>
  <si>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</si>
  <si>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</si>
  <si>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</si>
  <si>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</si>
  <si>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</si>
  <si>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</si>
  <si>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</si>
  <si>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</si>
  <si>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</si>
  <si>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</si>
  <si>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</si>
  <si>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</si>
  <si>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</si>
  <si>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</si>
  <si>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</si>
  <si>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</si>
  <si>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</si>
  <si>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</si>
  <si>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</si>
  <si>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</si>
  <si>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</si>
  <si>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</si>
  <si>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</si>
  <si>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</si>
  <si>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</si>
  <si>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</si>
  <si>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</si>
  <si>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</si>
  <si>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</si>
  <si>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</si>
  <si>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</si>
  <si>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</si>
  <si>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</si>
  <si>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</si>
  <si>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</si>
  <si>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</si>
  <si>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</si>
  <si>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</si>
  <si>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</si>
  <si>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</si>
  <si>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</si>
  <si>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</si>
  <si>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</si>
  <si>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</si>
  <si>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</si>
  <si>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</si>
  <si>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</si>
  <si>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</si>
  <si>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</si>
  <si>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</si>
  <si>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</si>
  <si>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</si>
  <si>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</si>
  <si>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</si>
  <si>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</si>
  <si>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</si>
  <si>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</si>
  <si>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</si>
  <si>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</si>
  <si>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</si>
  <si>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</si>
  <si>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</si>
  <si>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</si>
  <si>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</si>
  <si>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</si>
  <si>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</si>
  <si>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</si>
  <si>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</si>
  <si>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</si>
  <si>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</si>
  <si>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</si>
  <si>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</si>
  <si>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</si>
  <si>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</si>
  <si>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</si>
  <si>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</si>
  <si>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</si>
  <si>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</si>
  <si>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</si>
  <si>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</si>
  <si>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</si>
  <si>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</si>
  <si>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</si>
  <si>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</si>
  <si>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</si>
  <si>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</si>
  <si>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</si>
  <si>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</si>
  <si>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</si>
  <si>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</si>
  <si>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</si>
  <si>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</si>
  <si>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</si>
  <si>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</si>
  <si>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</si>
  <si>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</si>
  <si>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</si>
  <si>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</si>
  <si>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</si>
  <si>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</si>
  <si>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</si>
  <si>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</si>
  <si>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</si>
  <si>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</si>
  <si>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</si>
  <si>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</si>
  <si>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</si>
  <si>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</si>
  <si>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</si>
  <si>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</si>
  <si>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</si>
  <si>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</si>
  <si>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</si>
  <si>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</si>
  <si>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</si>
  <si>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</si>
  <si>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</si>
  <si>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</si>
  <si>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</si>
  <si>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</si>
  <si>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</si>
  <si>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</si>
  <si>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</si>
  <si>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</si>
  <si>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</si>
  <si>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</si>
  <si>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</si>
  <si>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</si>
  <si>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</si>
  <si>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</si>
  <si>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</si>
  <si>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</si>
  <si>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</si>
  <si>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</si>
  <si>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</si>
  <si>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</si>
  <si>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</si>
  <si>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</si>
  <si>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</si>
  <si>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</si>
  <si>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</si>
  <si>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</si>
  <si>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</si>
  <si>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</si>
  <si>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</si>
  <si>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</si>
  <si>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</si>
  <si>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</si>
  <si>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</si>
  <si>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</si>
  <si>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</si>
  <si>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</si>
  <si>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</si>
  <si>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</si>
  <si>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</si>
  <si>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</si>
  <si>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</si>
  <si>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</si>
  <si>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</si>
  <si>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</si>
  <si>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</si>
  <si>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</si>
  <si>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</si>
  <si>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</si>
  <si>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</si>
  <si>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</si>
  <si>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</si>
  <si>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</si>
  <si>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</si>
  <si>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</si>
  <si>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</si>
  <si>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</si>
  <si>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</si>
  <si>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</si>
  <si>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</si>
  <si>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</si>
  <si>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</si>
  <si>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</si>
  <si>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</si>
  <si>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</si>
  <si>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</si>
  <si>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</si>
  <si>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</si>
  <si>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</si>
  <si>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</si>
  <si>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</si>
  <si>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</si>
  <si>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</si>
  <si>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</si>
  <si>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</si>
  <si>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</si>
  <si>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</si>
  <si>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</si>
  <si>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</si>
  <si>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</si>
  <si>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</si>
  <si>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</si>
  <si>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</si>
  <si>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</si>
  <si>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</si>
  <si>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</si>
  <si>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</si>
  <si>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</si>
  <si>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</si>
  <si>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</si>
  <si>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</si>
  <si>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</si>
  <si>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</si>
  <si>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</si>
  <si>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</si>
  <si>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</si>
  <si>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</si>
  <si>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</si>
  <si>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</si>
  <si>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</si>
  <si>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</si>
  <si>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</si>
  <si>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</si>
  <si>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</si>
  <si>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</si>
  <si>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</si>
  <si>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</si>
  <si>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</si>
  <si>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</si>
  <si>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</si>
  <si>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</si>
  <si>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</si>
  <si>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</si>
  <si>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</si>
  <si>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</si>
  <si>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</si>
  <si>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</si>
  <si>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</si>
  <si>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</si>
  <si>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</si>
  <si>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</si>
  <si>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</si>
  <si>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</si>
  <si>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</si>
  <si>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</si>
  <si>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</si>
  <si>
    <t>Electr_Generation</t>
  </si>
  <si>
    <t>ELE,CHP</t>
  </si>
  <si>
    <t>TWh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</si>
</sst>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4.4"/>
  <cols>
    <col min="1" max="1" width="10" bestFit="1" customWidth="1"/>
    <col min="2" max="2" width="21.6640625" bestFit="1" customWidth="1"/>
    <col min="3" max="5" width="24.88671875" bestFit="1" customWidth="1"/>
    <col min="7" max="7" width="2" bestFit="1" customWidth="1"/>
    <col min="8" max="8" width="14.33203125" bestFit="1" customWidth="1"/>
    <col min="9" max="9" width="15.5546875" bestFit="1" customWidth="1"/>
    <col min="10" max="10" width="16" bestFit="1" customWidth="1"/>
    <col min="11" max="11" width="16" customWidth="1"/>
    <col min="12" max="12" width="18.33203125" bestFit="1" customWidth="1"/>
    <col min="13" max="14" width="18.33203125" customWidth="1"/>
    <col min="15" max="16" width="19.109375" customWidth="1"/>
  </cols>
  <sheetData>
    <row r="1" spans="1:20">
      <c r="B1" t="s">
        <v>838</v>
      </c>
      <c r="C1" t="s">
        <v>837</v>
      </c>
      <c r="I1" t="s">
        <v>829</v>
      </c>
      <c r="J1" t="s">
        <v>832</v>
      </c>
      <c r="K1" t="s">
        <v>64</v>
      </c>
      <c r="L1" t="s">
        <v>834</v>
      </c>
      <c r="O1" t="s">
        <v>70</v>
      </c>
    </row>
    <row r="2" spans="1:20">
      <c r="I2" t="s">
        <v>829</v>
      </c>
      <c r="J2" t="s">
        <v>830</v>
      </c>
      <c r="K2" t="s">
        <v>831</v>
      </c>
      <c r="L2" t="s">
        <v>833</v>
      </c>
      <c r="O2" t="s">
        <v>69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829</v>
      </c>
      <c r="P5" t="s">
        <v>830</v>
      </c>
      <c r="Q5" t="s">
        <v>831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840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839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830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830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830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830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830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835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835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835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835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835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835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835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835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835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835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836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836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836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836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905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905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905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905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894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894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897</v>
      </c>
    </row>
    <row r="33" spans="1:12">
      <c r="A33">
        <v>1</v>
      </c>
      <c r="B33" t="s">
        <v>895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895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897</v>
      </c>
    </row>
    <row r="34" spans="1:12">
      <c r="A34">
        <v>1</v>
      </c>
      <c r="B34" t="s">
        <v>896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896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5"/>
  <sheetViews>
    <sheetView zoomScaleNormal="100" workbookViewId="0">
      <pane ySplit="2" topLeftCell="A3" activePane="bottomLeft" state="frozen"/>
      <selection pane="bottomLeft" activeCell="L8" sqref="L8"/>
    </sheetView>
  </sheetViews>
  <sheetFormatPr defaultRowHeight="14.4"/>
  <cols>
    <col min="1" max="1" width="13.88671875" bestFit="1" customWidth="1"/>
    <col min="2" max="2" width="13.6640625" bestFit="1" customWidth="1"/>
    <col min="3" max="3" width="7.88671875" bestFit="1" customWidth="1"/>
    <col min="4" max="4" width="15.88671875" bestFit="1" customWidth="1"/>
    <col min="5" max="5" width="8.6640625" bestFit="1" customWidth="1"/>
    <col min="6" max="6" width="8.5546875" bestFit="1" customWidth="1"/>
    <col min="7" max="7" width="7.88671875" bestFit="1" customWidth="1"/>
    <col min="8" max="8" width="8.6640625" bestFit="1" customWidth="1"/>
    <col min="9" max="9" width="9" bestFit="1" customWidth="1"/>
    <col min="10" max="10" width="12.33203125" bestFit="1" customWidth="1"/>
    <col min="11" max="11" width="8.5546875" bestFit="1" customWidth="1"/>
    <col min="12" max="12" width="15.109375" bestFit="1" customWidth="1"/>
    <col min="13" max="13" width="3" bestFit="1" customWidth="1"/>
    <col min="14" max="14" width="6" bestFit="1" customWidth="1"/>
    <col min="15" max="15" width="16" bestFit="1" customWidth="1"/>
    <col min="16" max="16" width="5.109375" bestFit="1" customWidth="1"/>
    <col min="17" max="17" width="5.88671875" bestFit="1" customWidth="1"/>
    <col min="18" max="18" width="9.5546875" bestFit="1" customWidth="1"/>
    <col min="19" max="19" width="6.6640625" bestFit="1" customWidth="1"/>
    <col min="20" max="20" width="11.5546875" bestFit="1" customWidth="1"/>
    <col min="25" max="25" width="14.44140625" bestFit="1" customWidth="1"/>
    <col min="26" max="26" width="12.6640625" bestFit="1" customWidth="1"/>
    <col min="27" max="27" width="107.664062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84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1305</v>
      </c>
      <c r="S2" s="1" t="s">
        <v>1499</v>
      </c>
    </row>
    <row r="3" spans="1:19">
      <c r="A3" t="s">
        <v>7</v>
      </c>
      <c r="D3" t="s">
        <v>1497</v>
      </c>
      <c r="L3" t="s">
        <v>8</v>
      </c>
      <c r="O3" t="s">
        <v>1498</v>
      </c>
      <c r="R3" t="s">
        <v>147</v>
      </c>
    </row>
    <row r="4" spans="1:19">
      <c r="A4" t="s">
        <v>4</v>
      </c>
      <c r="D4" t="s">
        <v>1497</v>
      </c>
      <c r="I4" t="s">
        <v>36</v>
      </c>
      <c r="J4" s="2"/>
      <c r="L4" t="s">
        <v>1502</v>
      </c>
      <c r="O4" t="s">
        <v>1503</v>
      </c>
      <c r="R4" t="s">
        <v>146</v>
      </c>
    </row>
    <row r="5" spans="1:19">
      <c r="A5" t="s">
        <v>35</v>
      </c>
      <c r="E5" t="s">
        <v>1512</v>
      </c>
      <c r="H5" t="s">
        <v>269</v>
      </c>
      <c r="J5" t="s">
        <v>1513</v>
      </c>
      <c r="L5" t="str">
        <f>"kt_"&amp;J5</f>
        <v>kt_BIOBTLFTDSL</v>
      </c>
      <c r="O5" t="s">
        <v>1518</v>
      </c>
      <c r="R5" t="s">
        <v>1519</v>
      </c>
    </row>
    <row r="6" spans="1:19">
      <c r="A6" t="s">
        <v>35</v>
      </c>
      <c r="E6" t="s">
        <v>1512</v>
      </c>
      <c r="H6" t="s">
        <v>269</v>
      </c>
      <c r="J6" t="s">
        <v>588</v>
      </c>
      <c r="L6" t="str">
        <f t="shared" ref="L6:L13" si="0">"kt_"&amp;J6</f>
        <v>kt_BIOEMHV</v>
      </c>
      <c r="O6" t="s">
        <v>1518</v>
      </c>
      <c r="R6" t="s">
        <v>1519</v>
      </c>
    </row>
    <row r="7" spans="1:19">
      <c r="A7" t="s">
        <v>35</v>
      </c>
      <c r="E7" t="s">
        <v>1512</v>
      </c>
      <c r="H7" t="s">
        <v>269</v>
      </c>
      <c r="J7" t="s">
        <v>908</v>
      </c>
      <c r="L7" t="str">
        <f t="shared" si="0"/>
        <v>kt_BIOETBE</v>
      </c>
      <c r="O7" t="s">
        <v>1518</v>
      </c>
      <c r="R7" t="s">
        <v>1519</v>
      </c>
    </row>
    <row r="8" spans="1:19">
      <c r="A8" t="s">
        <v>35</v>
      </c>
      <c r="E8" t="s">
        <v>1512</v>
      </c>
      <c r="H8" t="s">
        <v>269</v>
      </c>
      <c r="J8" t="s">
        <v>587</v>
      </c>
      <c r="L8" t="str">
        <f t="shared" si="0"/>
        <v>kt_BIOETHA</v>
      </c>
      <c r="O8" t="s">
        <v>1518</v>
      </c>
      <c r="R8" t="s">
        <v>1519</v>
      </c>
    </row>
    <row r="9" spans="1:19">
      <c r="A9" t="s">
        <v>35</v>
      </c>
      <c r="E9" t="s">
        <v>1512</v>
      </c>
      <c r="H9" t="s">
        <v>269</v>
      </c>
      <c r="J9" t="s">
        <v>702</v>
      </c>
      <c r="L9" t="str">
        <f t="shared" si="0"/>
        <v>kt_BIOHVO</v>
      </c>
      <c r="O9" t="s">
        <v>1518</v>
      </c>
      <c r="R9" t="s">
        <v>1519</v>
      </c>
    </row>
    <row r="10" spans="1:19">
      <c r="A10" t="s">
        <v>35</v>
      </c>
      <c r="E10" t="s">
        <v>1512</v>
      </c>
      <c r="H10" t="s">
        <v>269</v>
      </c>
      <c r="J10" t="s">
        <v>1514</v>
      </c>
      <c r="L10" t="str">
        <f t="shared" si="0"/>
        <v>kt_OILDSTkt</v>
      </c>
      <c r="O10" t="s">
        <v>1518</v>
      </c>
      <c r="R10" t="s">
        <v>1519</v>
      </c>
    </row>
    <row r="11" spans="1:19">
      <c r="A11" t="s">
        <v>35</v>
      </c>
      <c r="E11" t="s">
        <v>1512</v>
      </c>
      <c r="H11" t="s">
        <v>269</v>
      </c>
      <c r="J11" t="s">
        <v>1515</v>
      </c>
      <c r="L11" t="str">
        <f t="shared" si="0"/>
        <v>kt_OILGSLkt</v>
      </c>
      <c r="O11" t="s">
        <v>1518</v>
      </c>
      <c r="R11" t="s">
        <v>1519</v>
      </c>
    </row>
    <row r="12" spans="1:19">
      <c r="A12" t="s">
        <v>35</v>
      </c>
      <c r="E12" t="s">
        <v>1512</v>
      </c>
      <c r="H12" t="s">
        <v>269</v>
      </c>
      <c r="J12" t="s">
        <v>1516</v>
      </c>
      <c r="L12" t="str">
        <f t="shared" si="0"/>
        <v>kt_OILKERkt</v>
      </c>
      <c r="O12" t="s">
        <v>1518</v>
      </c>
      <c r="R12" t="s">
        <v>1519</v>
      </c>
    </row>
    <row r="13" spans="1:19">
      <c r="A13" t="s">
        <v>35</v>
      </c>
      <c r="E13" t="s">
        <v>1512</v>
      </c>
      <c r="H13" t="s">
        <v>269</v>
      </c>
      <c r="J13" t="s">
        <v>1517</v>
      </c>
      <c r="L13" t="str">
        <f t="shared" si="0"/>
        <v>kt_SYNDSTkt</v>
      </c>
      <c r="O13" t="s">
        <v>1518</v>
      </c>
      <c r="R13" t="s">
        <v>1519</v>
      </c>
    </row>
    <row r="14" spans="1:19">
      <c r="A14" t="s">
        <v>45</v>
      </c>
      <c r="B14" t="s">
        <v>631</v>
      </c>
      <c r="J14" t="s">
        <v>190</v>
      </c>
      <c r="L14" t="s">
        <v>1502</v>
      </c>
      <c r="O14" t="s">
        <v>1530</v>
      </c>
      <c r="R14" t="s">
        <v>1529</v>
      </c>
    </row>
    <row r="15" spans="1:19">
      <c r="A15" t="s">
        <v>4</v>
      </c>
      <c r="D15" t="s">
        <v>1542</v>
      </c>
      <c r="I15" t="s">
        <v>559</v>
      </c>
      <c r="L15" t="s">
        <v>1543</v>
      </c>
      <c r="O15" t="s">
        <v>1541</v>
      </c>
      <c r="R15" t="s">
        <v>147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I9" sqref="I9"/>
    </sheetView>
  </sheetViews>
  <sheetFormatPr defaultRowHeight="14.4"/>
  <cols>
    <col min="3" max="3" width="16.33203125" bestFit="1" customWidth="1"/>
    <col min="4" max="4" width="16" bestFit="1" customWidth="1"/>
    <col min="5" max="5" width="14.6640625" bestFit="1" customWidth="1"/>
    <col min="6" max="6" width="6.88671875" bestFit="1" customWidth="1"/>
    <col min="7" max="7" width="9.5546875" bestFit="1" customWidth="1"/>
    <col min="9" max="10" width="12" bestFit="1" customWidth="1"/>
  </cols>
  <sheetData>
    <row r="2" spans="3:10">
      <c r="C2" t="s">
        <v>1531</v>
      </c>
    </row>
    <row r="3" spans="3:10">
      <c r="C3" t="s">
        <v>1532</v>
      </c>
      <c r="D3" t="s">
        <v>1533</v>
      </c>
      <c r="E3" t="s">
        <v>2</v>
      </c>
      <c r="F3" t="s">
        <v>0</v>
      </c>
      <c r="G3" t="s">
        <v>1305</v>
      </c>
      <c r="H3" t="s">
        <v>1534</v>
      </c>
      <c r="I3" t="s">
        <v>1535</v>
      </c>
      <c r="J3" t="s">
        <v>1536</v>
      </c>
    </row>
    <row r="4" spans="3:10">
      <c r="C4" t="s">
        <v>1503</v>
      </c>
      <c r="D4" t="s">
        <v>1498</v>
      </c>
      <c r="E4" t="s">
        <v>1537</v>
      </c>
      <c r="F4" t="s">
        <v>1538</v>
      </c>
      <c r="G4" t="s">
        <v>147</v>
      </c>
      <c r="I4" t="s">
        <v>1539</v>
      </c>
      <c r="J4" t="s">
        <v>147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12.664062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9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2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63</v>
      </c>
      <c r="R3" t="s">
        <v>31</v>
      </c>
      <c r="S3" t="s">
        <v>32</v>
      </c>
      <c r="T3" t="s">
        <v>147</v>
      </c>
    </row>
    <row r="4" spans="1:20" ht="1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5.6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190</v>
      </c>
      <c r="N5" t="s">
        <v>186</v>
      </c>
      <c r="Q5" t="s">
        <v>62</v>
      </c>
      <c r="R5" t="s">
        <v>34</v>
      </c>
      <c r="S5" t="s">
        <v>33</v>
      </c>
      <c r="T5" t="s">
        <v>698</v>
      </c>
    </row>
    <row r="6" spans="1:20" ht="15.6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76</v>
      </c>
      <c r="N6" t="s">
        <v>186</v>
      </c>
      <c r="Q6" t="s">
        <v>78</v>
      </c>
      <c r="R6" t="s">
        <v>79</v>
      </c>
      <c r="S6" t="s">
        <v>77</v>
      </c>
    </row>
    <row r="7" spans="1:20" ht="15.6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147</v>
      </c>
    </row>
    <row r="8" spans="1:20" ht="15.6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433</v>
      </c>
      <c r="N8" t="s">
        <v>5</v>
      </c>
      <c r="Q8" t="s">
        <v>65</v>
      </c>
      <c r="R8" t="s">
        <v>66</v>
      </c>
      <c r="S8" t="s">
        <v>67</v>
      </c>
      <c r="T8" t="s">
        <v>147</v>
      </c>
    </row>
    <row r="9" spans="1:20" ht="15.6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187</v>
      </c>
      <c r="Q9" t="s">
        <v>37</v>
      </c>
      <c r="R9" t="s">
        <v>38</v>
      </c>
      <c r="S9" t="s">
        <v>39</v>
      </c>
      <c r="T9" t="s">
        <v>191</v>
      </c>
    </row>
    <row r="10" spans="1:20" ht="15.6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75</v>
      </c>
      <c r="N11" t="s">
        <v>345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503</v>
      </c>
      <c r="G12" s="2"/>
      <c r="N12" t="s">
        <v>187</v>
      </c>
      <c r="Q12" t="s">
        <v>802</v>
      </c>
      <c r="R12" t="str">
        <f>Q12</f>
        <v>Imports (endo)</v>
      </c>
      <c r="S12" t="str">
        <f>R12</f>
        <v>Imports (endo)</v>
      </c>
      <c r="T12" t="s">
        <v>191</v>
      </c>
    </row>
    <row r="13" spans="1:20">
      <c r="B13">
        <f t="shared" si="1"/>
        <v>11</v>
      </c>
      <c r="C13" t="s">
        <v>35</v>
      </c>
      <c r="F13" t="s">
        <v>503</v>
      </c>
      <c r="G13" s="2"/>
      <c r="N13" t="s">
        <v>450</v>
      </c>
      <c r="Q13" t="s">
        <v>803</v>
      </c>
      <c r="R13" t="str">
        <f>Q13</f>
        <v>Exports (endo)</v>
      </c>
      <c r="S13" t="str">
        <f>R13</f>
        <v>Exports (endo)</v>
      </c>
      <c r="T13" t="s">
        <v>191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188</v>
      </c>
      <c r="Q14" t="s">
        <v>80</v>
      </c>
      <c r="R14" t="s">
        <v>81</v>
      </c>
      <c r="S14" t="s">
        <v>82</v>
      </c>
      <c r="T14" t="s">
        <v>83</v>
      </c>
    </row>
    <row r="15" spans="1:20" ht="15" thickBot="1">
      <c r="B15">
        <f t="shared" si="1"/>
        <v>13</v>
      </c>
      <c r="C15" t="s">
        <v>85</v>
      </c>
      <c r="F15" s="5" t="str">
        <f>$F$3</f>
        <v>E_COA,E_COA-CCS,E_GAS,E_GAS-CCS,E_GAS-Syn,E_OIL,E_OIL-CCS,E_NUC,E_BGS,E_BIO,E_BIO-CCS,E_GEO,E_H2FC,E_HYD,E_OCE,E_SOL,E_WIN-OF,E_WIN-ON</v>
      </c>
      <c r="N15" t="s">
        <v>189</v>
      </c>
      <c r="Q15" t="s">
        <v>137</v>
      </c>
      <c r="R15" t="s">
        <v>86</v>
      </c>
      <c r="S15" t="s">
        <v>87</v>
      </c>
    </row>
    <row r="16" spans="1:20" ht="15.6" thickTop="1" thickBot="1">
      <c r="B16">
        <f t="shared" si="1"/>
        <v>14</v>
      </c>
      <c r="C16" t="s">
        <v>88</v>
      </c>
      <c r="F16" s="5" t="str">
        <f>$F$3</f>
        <v>E_COA,E_COA-CCS,E_GAS,E_GAS-CCS,E_GAS-Syn,E_OIL,E_OIL-CCS,E_NUC,E_BGS,E_BIO,E_BIO-CCS,E_GEO,E_H2FC,E_HYD,E_OCE,E_SOL,E_WIN-OF,E_WIN-ON</v>
      </c>
      <c r="N16" t="s">
        <v>189</v>
      </c>
      <c r="Q16" t="s">
        <v>138</v>
      </c>
      <c r="R16" t="s">
        <v>89</v>
      </c>
      <c r="S16" t="s">
        <v>90</v>
      </c>
    </row>
    <row r="17" spans="2:20" ht="15.6" thickTop="1" thickBot="1">
      <c r="B17">
        <f t="shared" si="1"/>
        <v>15</v>
      </c>
      <c r="C17" t="s">
        <v>91</v>
      </c>
      <c r="F17" s="5" t="str">
        <f>$F$3</f>
        <v>E_COA,E_COA-CCS,E_GAS,E_GAS-CCS,E_GAS-Syn,E_OIL,E_OIL-CCS,E_NUC,E_BGS,E_BIO,E_BIO-CCS,E_GEO,E_H2FC,E_HYD,E_OCE,E_SOL,E_WIN-OF,E_WIN-ON</v>
      </c>
      <c r="N17" t="s">
        <v>189</v>
      </c>
      <c r="Q17" t="s">
        <v>139</v>
      </c>
      <c r="R17" t="s">
        <v>92</v>
      </c>
      <c r="S17" t="s">
        <v>93</v>
      </c>
    </row>
    <row r="18" spans="2:20" ht="15.6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189</v>
      </c>
      <c r="Q18" t="s">
        <v>140</v>
      </c>
      <c r="R18" t="s">
        <v>94</v>
      </c>
      <c r="S18" t="s">
        <v>95</v>
      </c>
    </row>
    <row r="19" spans="2:20" ht="15.6" thickTop="1" thickBot="1">
      <c r="B19">
        <f t="shared" si="1"/>
        <v>17</v>
      </c>
      <c r="C19" t="s">
        <v>96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192</v>
      </c>
      <c r="N19" t="s">
        <v>189</v>
      </c>
      <c r="Q19" t="s">
        <v>141</v>
      </c>
      <c r="R19" t="s">
        <v>97</v>
      </c>
      <c r="S19" t="s">
        <v>98</v>
      </c>
    </row>
    <row r="20" spans="2:20" ht="15" thickTop="1">
      <c r="B20">
        <f t="shared" si="1"/>
        <v>18</v>
      </c>
      <c r="C20" t="s">
        <v>117</v>
      </c>
      <c r="N20" t="s">
        <v>189</v>
      </c>
      <c r="P20" t="s">
        <v>103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117</v>
      </c>
      <c r="N21" t="s">
        <v>189</v>
      </c>
      <c r="P21" t="s">
        <v>104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117</v>
      </c>
      <c r="N22" t="s">
        <v>189</v>
      </c>
      <c r="P22" t="s">
        <v>105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117</v>
      </c>
      <c r="N23" t="s">
        <v>189</v>
      </c>
      <c r="P23" t="s">
        <v>106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117</v>
      </c>
      <c r="N24" t="s">
        <v>189</v>
      </c>
      <c r="P24" t="s">
        <v>898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118</v>
      </c>
      <c r="N25" t="s">
        <v>189</v>
      </c>
      <c r="P25" t="s">
        <v>103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119</v>
      </c>
    </row>
    <row r="26" spans="2:20">
      <c r="B26">
        <f t="shared" si="1"/>
        <v>24</v>
      </c>
      <c r="C26" t="s">
        <v>118</v>
      </c>
      <c r="N26" t="s">
        <v>189</v>
      </c>
      <c r="P26" t="s">
        <v>104</v>
      </c>
      <c r="Q26" t="str">
        <f t="shared" si="2"/>
        <v>ACost_INV</v>
      </c>
      <c r="R26" t="str">
        <f t="shared" si="3"/>
        <v>INV_ACost</v>
      </c>
      <c r="S26" t="s">
        <v>119</v>
      </c>
    </row>
    <row r="27" spans="2:20">
      <c r="B27">
        <f t="shared" si="1"/>
        <v>25</v>
      </c>
      <c r="C27" t="s">
        <v>118</v>
      </c>
      <c r="N27" t="s">
        <v>189</v>
      </c>
      <c r="P27" t="s">
        <v>105</v>
      </c>
      <c r="Q27" t="str">
        <f t="shared" si="2"/>
        <v>ACost_VAR</v>
      </c>
      <c r="R27" t="str">
        <f t="shared" si="3"/>
        <v>VAR_ACost</v>
      </c>
      <c r="S27" t="s">
        <v>119</v>
      </c>
    </row>
    <row r="28" spans="2:20">
      <c r="B28">
        <f t="shared" si="1"/>
        <v>26</v>
      </c>
      <c r="C28" t="s">
        <v>118</v>
      </c>
      <c r="N28" t="s">
        <v>189</v>
      </c>
      <c r="P28" t="s">
        <v>106</v>
      </c>
      <c r="Q28" t="str">
        <f t="shared" si="2"/>
        <v>ACost_VARX</v>
      </c>
      <c r="R28" t="str">
        <f t="shared" si="3"/>
        <v>VARX_ACost</v>
      </c>
      <c r="S28" t="s">
        <v>119</v>
      </c>
    </row>
    <row r="29" spans="2:20">
      <c r="B29">
        <f t="shared" si="1"/>
        <v>27</v>
      </c>
      <c r="C29" t="s">
        <v>118</v>
      </c>
      <c r="N29" t="s">
        <v>189</v>
      </c>
      <c r="P29" t="s">
        <v>71</v>
      </c>
      <c r="Q29" t="str">
        <f t="shared" si="2"/>
        <v>ACost_IRE</v>
      </c>
      <c r="R29" t="str">
        <f t="shared" si="3"/>
        <v>IRE_ACost</v>
      </c>
      <c r="S29" t="s">
        <v>119</v>
      </c>
    </row>
    <row r="30" spans="2:20">
      <c r="B30">
        <f t="shared" si="1"/>
        <v>28</v>
      </c>
      <c r="C30" t="s">
        <v>118</v>
      </c>
      <c r="N30" t="s">
        <v>189</v>
      </c>
      <c r="P30" t="s">
        <v>898</v>
      </c>
      <c r="Q30" t="str">
        <f t="shared" si="2"/>
        <v>ACost_ELS</v>
      </c>
      <c r="R30" t="str">
        <f t="shared" si="3"/>
        <v>ELS_ACost</v>
      </c>
      <c r="S30" t="s">
        <v>119</v>
      </c>
    </row>
    <row r="31" spans="2:20">
      <c r="B31">
        <f t="shared" si="1"/>
        <v>29</v>
      </c>
      <c r="C31" t="s">
        <v>4</v>
      </c>
      <c r="G31" t="s">
        <v>143</v>
      </c>
      <c r="N31" t="s">
        <v>187</v>
      </c>
      <c r="Q31" t="s">
        <v>144</v>
      </c>
      <c r="R31" t="s">
        <v>144</v>
      </c>
      <c r="S31" t="s">
        <v>145</v>
      </c>
      <c r="T31" t="s">
        <v>146</v>
      </c>
    </row>
    <row r="32" spans="2:20">
      <c r="B32">
        <f t="shared" si="1"/>
        <v>30</v>
      </c>
      <c r="C32" t="s">
        <v>4</v>
      </c>
      <c r="F32" t="s">
        <v>199</v>
      </c>
      <c r="J32" t="s">
        <v>195</v>
      </c>
      <c r="K32" t="s">
        <v>196</v>
      </c>
      <c r="N32" t="s">
        <v>197</v>
      </c>
      <c r="Q32" t="s">
        <v>402</v>
      </c>
      <c r="R32" t="s">
        <v>324</v>
      </c>
      <c r="S32" t="s">
        <v>324</v>
      </c>
      <c r="T32" t="s">
        <v>191</v>
      </c>
    </row>
    <row r="33" spans="2:20">
      <c r="B33">
        <f t="shared" si="1"/>
        <v>31</v>
      </c>
      <c r="C33" t="s">
        <v>35</v>
      </c>
      <c r="F33" t="s">
        <v>199</v>
      </c>
      <c r="J33" t="s">
        <v>195</v>
      </c>
      <c r="K33" t="s">
        <v>36</v>
      </c>
      <c r="N33" t="s">
        <v>187</v>
      </c>
      <c r="Q33" t="s">
        <v>401</v>
      </c>
      <c r="R33" t="s">
        <v>325</v>
      </c>
      <c r="S33" t="s">
        <v>325</v>
      </c>
      <c r="T33" t="s">
        <v>191</v>
      </c>
    </row>
    <row r="34" spans="2:20">
      <c r="B34">
        <f t="shared" si="1"/>
        <v>32</v>
      </c>
      <c r="C34" t="s">
        <v>4</v>
      </c>
      <c r="F34" t="s">
        <v>199</v>
      </c>
      <c r="J34" t="s">
        <v>195</v>
      </c>
      <c r="K34" t="s">
        <v>198</v>
      </c>
      <c r="L34" t="s">
        <v>311</v>
      </c>
      <c r="N34" t="s">
        <v>5</v>
      </c>
      <c r="Q34" t="s">
        <v>405</v>
      </c>
      <c r="R34" t="s">
        <v>326</v>
      </c>
      <c r="S34" t="s">
        <v>326</v>
      </c>
      <c r="T34" t="s">
        <v>191</v>
      </c>
    </row>
    <row r="35" spans="2:20">
      <c r="B35">
        <f t="shared" si="1"/>
        <v>33</v>
      </c>
      <c r="C35" t="s">
        <v>7</v>
      </c>
      <c r="F35" t="s">
        <v>199</v>
      </c>
      <c r="J35" t="s">
        <v>195</v>
      </c>
      <c r="N35" t="s">
        <v>200</v>
      </c>
      <c r="Q35" t="s">
        <v>327</v>
      </c>
      <c r="R35" t="s">
        <v>327</v>
      </c>
      <c r="S35" t="s">
        <v>327</v>
      </c>
      <c r="T35" t="s">
        <v>147</v>
      </c>
    </row>
    <row r="36" spans="2:20">
      <c r="B36">
        <f t="shared" si="1"/>
        <v>34</v>
      </c>
      <c r="C36" t="s">
        <v>85</v>
      </c>
      <c r="F36" t="s">
        <v>1320</v>
      </c>
      <c r="G36" s="2" t="s">
        <v>300</v>
      </c>
      <c r="J36" t="str">
        <f>J51&amp;","&amp;J52</f>
        <v>R[_]ES*,RCDR,RCWA,RDWA,RLIG,ROEL,RREF,NR[_]ES*,NR_ICTM,NR_Refrig,NR_StLight,NR_BuildLight,NR_BuildTech,NR_Vent</v>
      </c>
      <c r="N36" t="s">
        <v>189</v>
      </c>
      <c r="Q36" t="s">
        <v>1311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88</v>
      </c>
      <c r="F37" t="s">
        <v>1320</v>
      </c>
      <c r="G37" s="2" t="s">
        <v>300</v>
      </c>
      <c r="J37" t="str">
        <f>J36</f>
        <v>R[_]ES*,RCDR,RCWA,RDWA,RLIG,ROEL,RREF,NR[_]ES*,NR_ICTM,NR_Refrig,NR_StLight,NR_BuildLight,NR_BuildTech,NR_Vent</v>
      </c>
      <c r="N37" t="s">
        <v>189</v>
      </c>
      <c r="Q37" t="s">
        <v>1312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91</v>
      </c>
      <c r="F38" t="s">
        <v>1320</v>
      </c>
      <c r="G38" s="2" t="s">
        <v>300</v>
      </c>
      <c r="J38" t="str">
        <f t="shared" ref="J38:J40" si="6">J37</f>
        <v>R[_]ES*,RCDR,RCWA,RDWA,RLIG,ROEL,RREF,NR[_]ES*,NR_ICTM,NR_Refrig,NR_StLight,NR_BuildLight,NR_BuildTech,NR_Vent</v>
      </c>
      <c r="N38" t="s">
        <v>189</v>
      </c>
      <c r="Q38" t="s">
        <v>1313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1320</v>
      </c>
      <c r="G39" s="2" t="s">
        <v>300</v>
      </c>
      <c r="J39" t="str">
        <f t="shared" si="6"/>
        <v>R[_]ES*,RCDR,RCWA,RDWA,RLIG,ROEL,RREF,NR[_]ES*,NR_ICTM,NR_Refrig,NR_StLight,NR_BuildLight,NR_BuildTech,NR_Vent</v>
      </c>
      <c r="N39" t="s">
        <v>189</v>
      </c>
      <c r="Q39" t="s">
        <v>1314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96</v>
      </c>
      <c r="F40" t="s">
        <v>1320</v>
      </c>
      <c r="G40" s="2" t="s">
        <v>300</v>
      </c>
      <c r="J40" t="str">
        <f t="shared" si="6"/>
        <v>R[_]ES*,RCDR,RCWA,RDWA,RLIG,ROEL,RREF,NR[_]ES*,NR_ICTM,NR_Refrig,NR_StLight,NR_BuildLight,NR_BuildTech,NR_Vent</v>
      </c>
      <c r="L40" t="s">
        <v>1317</v>
      </c>
      <c r="N40" t="s">
        <v>189</v>
      </c>
      <c r="Q40" t="s">
        <v>1315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85</v>
      </c>
      <c r="F41" t="s">
        <v>1319</v>
      </c>
      <c r="G41" t="s">
        <v>1318</v>
      </c>
      <c r="N41" t="s">
        <v>189</v>
      </c>
      <c r="Q41" t="s">
        <v>1306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88</v>
      </c>
      <c r="F42" t="s">
        <v>1319</v>
      </c>
      <c r="G42" t="s">
        <v>1318</v>
      </c>
      <c r="N42" t="s">
        <v>189</v>
      </c>
      <c r="Q42" t="s">
        <v>1307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91</v>
      </c>
      <c r="F43" t="s">
        <v>1319</v>
      </c>
      <c r="G43" t="s">
        <v>1318</v>
      </c>
      <c r="N43" t="s">
        <v>189</v>
      </c>
      <c r="Q43" t="s">
        <v>1308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1319</v>
      </c>
      <c r="G44" t="s">
        <v>1318</v>
      </c>
      <c r="N44" t="s">
        <v>189</v>
      </c>
      <c r="Q44" t="s">
        <v>1309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96</v>
      </c>
      <c r="F45" t="s">
        <v>1319</v>
      </c>
      <c r="G45" t="s">
        <v>1318</v>
      </c>
      <c r="L45" t="s">
        <v>1316</v>
      </c>
      <c r="N45" t="s">
        <v>189</v>
      </c>
      <c r="Q45" t="s">
        <v>1310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85</v>
      </c>
      <c r="F46" t="s">
        <v>199</v>
      </c>
      <c r="J46" t="s">
        <v>195</v>
      </c>
      <c r="N46" t="s">
        <v>189</v>
      </c>
      <c r="Q46" t="s">
        <v>328</v>
      </c>
      <c r="R46" t="s">
        <v>333</v>
      </c>
      <c r="S46" t="s">
        <v>334</v>
      </c>
    </row>
    <row r="47" spans="2:20">
      <c r="B47">
        <f t="shared" si="1"/>
        <v>35</v>
      </c>
      <c r="C47" t="s">
        <v>88</v>
      </c>
      <c r="F47" t="s">
        <v>199</v>
      </c>
      <c r="J47" t="s">
        <v>195</v>
      </c>
      <c r="N47" t="s">
        <v>189</v>
      </c>
      <c r="Q47" t="s">
        <v>329</v>
      </c>
      <c r="R47" t="s">
        <v>335</v>
      </c>
      <c r="S47" t="s">
        <v>336</v>
      </c>
    </row>
    <row r="48" spans="2:20">
      <c r="B48">
        <f t="shared" si="1"/>
        <v>36</v>
      </c>
      <c r="C48" t="s">
        <v>91</v>
      </c>
      <c r="F48" t="s">
        <v>199</v>
      </c>
      <c r="J48" t="s">
        <v>195</v>
      </c>
      <c r="N48" t="s">
        <v>189</v>
      </c>
      <c r="Q48" t="s">
        <v>330</v>
      </c>
      <c r="R48" t="s">
        <v>337</v>
      </c>
      <c r="S48" t="s">
        <v>338</v>
      </c>
    </row>
    <row r="49" spans="2:20">
      <c r="B49">
        <f t="shared" si="1"/>
        <v>37</v>
      </c>
      <c r="C49" t="s">
        <v>46</v>
      </c>
      <c r="F49" t="s">
        <v>199</v>
      </c>
      <c r="J49" t="s">
        <v>195</v>
      </c>
      <c r="N49" t="s">
        <v>189</v>
      </c>
      <c r="Q49" t="s">
        <v>331</v>
      </c>
      <c r="R49" t="s">
        <v>339</v>
      </c>
      <c r="S49" t="s">
        <v>340</v>
      </c>
    </row>
    <row r="50" spans="2:20">
      <c r="B50">
        <f t="shared" si="1"/>
        <v>38</v>
      </c>
      <c r="C50" t="s">
        <v>96</v>
      </c>
      <c r="F50" t="s">
        <v>199</v>
      </c>
      <c r="J50" t="s">
        <v>195</v>
      </c>
      <c r="K50" t="s">
        <v>36</v>
      </c>
      <c r="L50" s="2" t="s">
        <v>269</v>
      </c>
      <c r="N50" t="s">
        <v>189</v>
      </c>
      <c r="Q50" t="s">
        <v>332</v>
      </c>
      <c r="R50" t="s">
        <v>341</v>
      </c>
      <c r="S50" t="s">
        <v>342</v>
      </c>
    </row>
    <row r="51" spans="2:20">
      <c r="B51">
        <f t="shared" si="1"/>
        <v>39</v>
      </c>
      <c r="C51" t="s">
        <v>4</v>
      </c>
      <c r="G51" s="2" t="s">
        <v>300</v>
      </c>
      <c r="J51" t="s">
        <v>414</v>
      </c>
      <c r="L51" t="str">
        <f>J51</f>
        <v>R[_]ES*,RCDR,RCWA,RDWA,RLIG,ROEL,RREF</v>
      </c>
      <c r="N51" t="s">
        <v>187</v>
      </c>
      <c r="Q51" t="s">
        <v>407</v>
      </c>
      <c r="R51" t="str">
        <f t="shared" ref="R51:S59" si="7">Q51</f>
        <v>RBldg_service</v>
      </c>
      <c r="S51" t="str">
        <f t="shared" si="7"/>
        <v>RBldg_service</v>
      </c>
      <c r="T51" t="s">
        <v>147</v>
      </c>
    </row>
    <row r="52" spans="2:20">
      <c r="B52">
        <f t="shared" si="1"/>
        <v>40</v>
      </c>
      <c r="C52" t="s">
        <v>4</v>
      </c>
      <c r="J52" t="s">
        <v>413</v>
      </c>
      <c r="L52" t="str">
        <f>J52</f>
        <v>NR[_]ES*,NR_ICTM,NR_Refrig,NR_StLight,NR_BuildLight,NR_BuildTech,NR_Vent</v>
      </c>
      <c r="N52" t="s">
        <v>187</v>
      </c>
      <c r="Q52" t="s">
        <v>408</v>
      </c>
      <c r="R52" t="str">
        <f t="shared" si="7"/>
        <v>NRBldg_service</v>
      </c>
      <c r="S52" t="str">
        <f t="shared" si="7"/>
        <v>NRBldg_service</v>
      </c>
      <c r="T52" t="s">
        <v>147</v>
      </c>
    </row>
    <row r="53" spans="2:20">
      <c r="B53">
        <f t="shared" si="1"/>
        <v>41</v>
      </c>
      <c r="C53" t="s">
        <v>35</v>
      </c>
      <c r="G53" s="2" t="s">
        <v>300</v>
      </c>
      <c r="J53" t="str">
        <f>J51</f>
        <v>R[_]ES*,RCDR,RCWA,RDWA,RLIG,ROEL,RREF</v>
      </c>
      <c r="K53" t="s">
        <v>36</v>
      </c>
      <c r="L53" t="s">
        <v>301</v>
      </c>
      <c r="N53" t="s">
        <v>187</v>
      </c>
      <c r="Q53" t="s">
        <v>409</v>
      </c>
      <c r="R53" t="str">
        <f t="shared" si="7"/>
        <v>RBldg_fuel</v>
      </c>
      <c r="S53" t="str">
        <f t="shared" si="7"/>
        <v>RBldg_fuel</v>
      </c>
      <c r="T53" t="s">
        <v>191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302</v>
      </c>
      <c r="N54" t="s">
        <v>187</v>
      </c>
      <c r="Q54" t="s">
        <v>410</v>
      </c>
      <c r="R54" t="str">
        <f t="shared" si="7"/>
        <v>NRBldg_fuel</v>
      </c>
      <c r="S54" t="str">
        <f t="shared" si="7"/>
        <v>NRBldg_fuel</v>
      </c>
      <c r="T54" t="s">
        <v>191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198</v>
      </c>
      <c r="L55" t="s">
        <v>311</v>
      </c>
      <c r="N55" t="s">
        <v>5</v>
      </c>
      <c r="Q55" t="s">
        <v>418</v>
      </c>
      <c r="R55" t="str">
        <f t="shared" si="7"/>
        <v>RBldg_emission</v>
      </c>
      <c r="S55" t="str">
        <f t="shared" si="7"/>
        <v>RBldg_emission</v>
      </c>
      <c r="T55" t="s">
        <v>191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198</v>
      </c>
      <c r="L56" t="s">
        <v>311</v>
      </c>
      <c r="N56" t="s">
        <v>5</v>
      </c>
      <c r="Q56" t="s">
        <v>419</v>
      </c>
      <c r="R56" t="str">
        <f>Q56</f>
        <v>NRBldg_emission</v>
      </c>
      <c r="S56" t="str">
        <f>R56</f>
        <v>NRBldg_emission</v>
      </c>
      <c r="T56" t="s">
        <v>191</v>
      </c>
    </row>
    <row r="57" spans="2:20" ht="1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396</v>
      </c>
      <c r="N57" t="s">
        <v>187</v>
      </c>
      <c r="Q57" t="s">
        <v>387</v>
      </c>
      <c r="R57" t="str">
        <f t="shared" si="7"/>
        <v>Industry_fuel</v>
      </c>
      <c r="S57" t="str">
        <f t="shared" si="7"/>
        <v>Industry_fuel</v>
      </c>
      <c r="T57" t="s">
        <v>191</v>
      </c>
    </row>
    <row r="58" spans="2:20" ht="15.6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196</v>
      </c>
      <c r="N58" t="s">
        <v>390</v>
      </c>
      <c r="Q58" t="s">
        <v>388</v>
      </c>
      <c r="R58" t="str">
        <f t="shared" si="7"/>
        <v>Industry_service</v>
      </c>
      <c r="S58" t="str">
        <f t="shared" si="7"/>
        <v>Industry_service</v>
      </c>
      <c r="T58" t="s">
        <v>191</v>
      </c>
    </row>
    <row r="59" spans="2:20" ht="15.6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198</v>
      </c>
      <c r="L59" t="s">
        <v>399</v>
      </c>
      <c r="N59" t="s">
        <v>5</v>
      </c>
      <c r="Q59" t="s">
        <v>389</v>
      </c>
      <c r="R59" t="str">
        <f t="shared" si="7"/>
        <v>Industry_emission</v>
      </c>
      <c r="S59" t="str">
        <f t="shared" si="7"/>
        <v>Industry_emission</v>
      </c>
      <c r="T59" t="s">
        <v>191</v>
      </c>
    </row>
    <row r="60" spans="2:20" ht="15.6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198</v>
      </c>
      <c r="L60" t="s">
        <v>456</v>
      </c>
      <c r="N60" t="s">
        <v>5</v>
      </c>
      <c r="Q60" t="s">
        <v>400</v>
      </c>
      <c r="R60" t="str">
        <f>Q60</f>
        <v>Industry_CCS</v>
      </c>
      <c r="S60" t="str">
        <f>R60</f>
        <v>Industry_CCS</v>
      </c>
      <c r="T60" t="s">
        <v>191</v>
      </c>
    </row>
    <row r="61" spans="2:20" ht="1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699</v>
      </c>
      <c r="Q61" t="s">
        <v>440</v>
      </c>
      <c r="R61" t="s">
        <v>31</v>
      </c>
      <c r="S61" t="s">
        <v>32</v>
      </c>
      <c r="T61" t="s">
        <v>147</v>
      </c>
    </row>
    <row r="62" spans="2:20" ht="1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436</v>
      </c>
      <c r="R62" t="s">
        <v>57</v>
      </c>
      <c r="S62" t="s">
        <v>58</v>
      </c>
    </row>
    <row r="63" spans="2:20" ht="15.6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265</v>
      </c>
      <c r="N63" t="s">
        <v>187</v>
      </c>
      <c r="Q63" t="s">
        <v>441</v>
      </c>
      <c r="R63" t="s">
        <v>437</v>
      </c>
      <c r="S63" t="s">
        <v>444</v>
      </c>
      <c r="T63" t="s">
        <v>191</v>
      </c>
    </row>
    <row r="64" spans="2:20" ht="15.6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434</v>
      </c>
      <c r="N64" t="s">
        <v>5</v>
      </c>
      <c r="Q64" t="s">
        <v>439</v>
      </c>
      <c r="R64" t="s">
        <v>438</v>
      </c>
      <c r="S64" t="s">
        <v>445</v>
      </c>
      <c r="T64" t="s">
        <v>147</v>
      </c>
    </row>
    <row r="65" spans="2:20" ht="15.6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435</v>
      </c>
      <c r="N65" t="s">
        <v>5</v>
      </c>
      <c r="Q65" t="s">
        <v>442</v>
      </c>
      <c r="R65" t="s">
        <v>443</v>
      </c>
      <c r="S65" t="s">
        <v>446</v>
      </c>
      <c r="T65" t="s">
        <v>147</v>
      </c>
    </row>
    <row r="66" spans="2:20" ht="15.6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187</v>
      </c>
      <c r="Q66" t="s">
        <v>447</v>
      </c>
      <c r="R66" t="s">
        <v>38</v>
      </c>
      <c r="S66" t="s">
        <v>39</v>
      </c>
      <c r="T66" t="s">
        <v>191</v>
      </c>
    </row>
    <row r="67" spans="2:20" ht="15" thickTop="1">
      <c r="B67">
        <f t="shared" si="1"/>
        <v>55</v>
      </c>
      <c r="C67" t="s">
        <v>35</v>
      </c>
      <c r="F67" t="s">
        <v>463</v>
      </c>
      <c r="K67" t="s">
        <v>36</v>
      </c>
      <c r="N67" t="s">
        <v>464</v>
      </c>
      <c r="Q67" t="s">
        <v>465</v>
      </c>
      <c r="R67" t="s">
        <v>465</v>
      </c>
      <c r="S67" t="s">
        <v>467</v>
      </c>
      <c r="T67" t="s">
        <v>469</v>
      </c>
    </row>
    <row r="68" spans="2:20">
      <c r="B68">
        <f t="shared" si="1"/>
        <v>56</v>
      </c>
      <c r="C68" t="s">
        <v>4</v>
      </c>
      <c r="F68" t="s">
        <v>463</v>
      </c>
      <c r="K68" t="s">
        <v>36</v>
      </c>
      <c r="N68" t="s">
        <v>187</v>
      </c>
      <c r="Q68" t="s">
        <v>466</v>
      </c>
      <c r="R68" t="s">
        <v>466</v>
      </c>
      <c r="S68" t="s">
        <v>468</v>
      </c>
      <c r="T68" t="s">
        <v>469</v>
      </c>
    </row>
    <row r="69" spans="2:20">
      <c r="B69">
        <f t="shared" ref="B69:B72" si="8">B68+1</f>
        <v>57</v>
      </c>
      <c r="C69" t="s">
        <v>4</v>
      </c>
      <c r="F69" t="s">
        <v>199</v>
      </c>
      <c r="K69" t="s">
        <v>196</v>
      </c>
      <c r="N69" t="s">
        <v>390</v>
      </c>
      <c r="Q69" t="s">
        <v>1493</v>
      </c>
      <c r="R69" t="str">
        <f>Q69</f>
        <v>dmd_out</v>
      </c>
      <c r="S69" t="str">
        <f t="shared" ref="S69:S72" si="9">R69</f>
        <v>dmd_out</v>
      </c>
      <c r="T69" t="s">
        <v>146</v>
      </c>
    </row>
    <row r="70" spans="2:20">
      <c r="B70">
        <f t="shared" si="8"/>
        <v>58</v>
      </c>
      <c r="C70" t="s">
        <v>35</v>
      </c>
      <c r="F70" t="s">
        <v>199</v>
      </c>
      <c r="K70" t="s">
        <v>36</v>
      </c>
      <c r="N70" t="s">
        <v>187</v>
      </c>
      <c r="Q70" t="s">
        <v>1494</v>
      </c>
      <c r="R70" t="str">
        <f t="shared" ref="R70" si="10">Q70</f>
        <v>dmd_in</v>
      </c>
      <c r="S70" t="str">
        <f t="shared" si="9"/>
        <v>dmd_in</v>
      </c>
      <c r="T70" t="s">
        <v>146</v>
      </c>
    </row>
    <row r="71" spans="2:20">
      <c r="B71">
        <f t="shared" si="8"/>
        <v>59</v>
      </c>
      <c r="C71" t="s">
        <v>4</v>
      </c>
      <c r="G71" t="s">
        <v>1495</v>
      </c>
      <c r="K71" t="s">
        <v>36</v>
      </c>
      <c r="N71" t="s">
        <v>187</v>
      </c>
      <c r="Q71" t="s">
        <v>1493</v>
      </c>
      <c r="R71" t="str">
        <f>Q71</f>
        <v>dmd_out</v>
      </c>
      <c r="S71" t="str">
        <f t="shared" si="9"/>
        <v>dmd_out</v>
      </c>
      <c r="T71" t="s">
        <v>191</v>
      </c>
    </row>
    <row r="72" spans="2:20">
      <c r="B72">
        <f t="shared" si="8"/>
        <v>60</v>
      </c>
      <c r="C72" t="s">
        <v>35</v>
      </c>
      <c r="G72" t="s">
        <v>1495</v>
      </c>
      <c r="K72" t="s">
        <v>36</v>
      </c>
      <c r="N72" t="s">
        <v>187</v>
      </c>
      <c r="Q72" t="s">
        <v>1494</v>
      </c>
      <c r="R72" t="str">
        <f t="shared" ref="R72" si="11">Q72</f>
        <v>dmd_in</v>
      </c>
      <c r="S72" t="str">
        <f t="shared" si="9"/>
        <v>dmd_in</v>
      </c>
      <c r="T72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9" activePane="bottomLeft" state="frozen"/>
      <selection pane="bottomLeft" activeCell="K32" sqref="K32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23.8867187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25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12.109375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84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1305</v>
      </c>
      <c r="U2" s="1" t="s">
        <v>639</v>
      </c>
    </row>
    <row r="3" spans="1:21">
      <c r="B3">
        <v>1</v>
      </c>
      <c r="C3" t="s">
        <v>35</v>
      </c>
      <c r="L3" t="s">
        <v>501</v>
      </c>
      <c r="N3" t="s">
        <v>502</v>
      </c>
      <c r="Q3" t="s">
        <v>539</v>
      </c>
      <c r="T3" t="s">
        <v>147</v>
      </c>
    </row>
    <row r="4" spans="1:21">
      <c r="B4">
        <f>MAX($B$3:B3)+1</f>
        <v>2</v>
      </c>
      <c r="C4" t="s">
        <v>4</v>
      </c>
      <c r="L4" t="s">
        <v>501</v>
      </c>
      <c r="N4" t="s">
        <v>5</v>
      </c>
      <c r="Q4" t="s">
        <v>540</v>
      </c>
      <c r="T4" t="s">
        <v>147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265</v>
      </c>
      <c r="N5" t="s">
        <v>450</v>
      </c>
      <c r="Q5" t="s">
        <v>507</v>
      </c>
      <c r="R5" t="s">
        <v>508</v>
      </c>
      <c r="S5" t="s">
        <v>509</v>
      </c>
      <c r="T5" t="s">
        <v>147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265</v>
      </c>
      <c r="N6" t="s">
        <v>187</v>
      </c>
      <c r="Q6" t="s">
        <v>504</v>
      </c>
      <c r="R6" t="s">
        <v>505</v>
      </c>
      <c r="S6" t="s">
        <v>506</v>
      </c>
      <c r="T6" t="s">
        <v>147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525</v>
      </c>
      <c r="L7" t="s">
        <v>526</v>
      </c>
      <c r="N7" t="s">
        <v>450</v>
      </c>
      <c r="Q7" t="s">
        <v>533</v>
      </c>
      <c r="R7" t="s">
        <v>534</v>
      </c>
      <c r="S7" t="s">
        <v>535</v>
      </c>
      <c r="T7" t="s">
        <v>147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525</v>
      </c>
      <c r="L8" t="s">
        <v>526</v>
      </c>
      <c r="N8" t="s">
        <v>187</v>
      </c>
      <c r="Q8" t="s">
        <v>527</v>
      </c>
      <c r="R8" t="s">
        <v>528</v>
      </c>
      <c r="S8" t="s">
        <v>529</v>
      </c>
      <c r="T8" t="s">
        <v>147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825</v>
      </c>
      <c r="N9" t="s">
        <v>450</v>
      </c>
      <c r="Q9" t="s">
        <v>545</v>
      </c>
      <c r="R9" t="s">
        <v>546</v>
      </c>
      <c r="S9" t="s">
        <v>547</v>
      </c>
      <c r="T9" t="s">
        <v>147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605</v>
      </c>
      <c r="N10" t="s">
        <v>187</v>
      </c>
      <c r="Q10" t="s">
        <v>602</v>
      </c>
      <c r="R10" t="s">
        <v>603</v>
      </c>
      <c r="S10" t="s">
        <v>604</v>
      </c>
      <c r="T10" t="s">
        <v>147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548</v>
      </c>
      <c r="N11" t="s">
        <v>450</v>
      </c>
      <c r="Q11" t="s">
        <v>549</v>
      </c>
      <c r="R11" t="s">
        <v>550</v>
      </c>
      <c r="S11" t="s">
        <v>551</v>
      </c>
      <c r="T11" t="s">
        <v>147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548</v>
      </c>
      <c r="N12" t="s">
        <v>187</v>
      </c>
      <c r="Q12" t="s">
        <v>592</v>
      </c>
      <c r="R12" t="s">
        <v>593</v>
      </c>
      <c r="S12" t="s">
        <v>594</v>
      </c>
      <c r="T12" t="s">
        <v>147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826</v>
      </c>
      <c r="N13" t="s">
        <v>450</v>
      </c>
      <c r="Q13" t="s">
        <v>552</v>
      </c>
      <c r="R13" t="s">
        <v>553</v>
      </c>
      <c r="S13" t="s">
        <v>617</v>
      </c>
      <c r="T13" t="s">
        <v>191</v>
      </c>
    </row>
    <row r="14" spans="1:21">
      <c r="B14">
        <f>MAX($B$3:B13)+1</f>
        <v>12</v>
      </c>
      <c r="C14" t="s">
        <v>35</v>
      </c>
      <c r="F14" t="s">
        <v>851</v>
      </c>
      <c r="G14" s="2"/>
      <c r="L14" t="s">
        <v>587</v>
      </c>
      <c r="N14" t="s">
        <v>589</v>
      </c>
      <c r="Q14" t="s">
        <v>882</v>
      </c>
      <c r="R14" t="s">
        <v>883</v>
      </c>
      <c r="S14" t="s">
        <v>881</v>
      </c>
      <c r="T14" t="s">
        <v>191</v>
      </c>
    </row>
    <row r="15" spans="1:21">
      <c r="B15">
        <f>MAX($B$3:B14)+1</f>
        <v>13</v>
      </c>
      <c r="C15" t="s">
        <v>35</v>
      </c>
      <c r="F15" t="s">
        <v>851</v>
      </c>
      <c r="G15" s="2"/>
      <c r="L15" t="s">
        <v>588</v>
      </c>
      <c r="N15" t="s">
        <v>590</v>
      </c>
      <c r="Q15" t="s">
        <v>882</v>
      </c>
      <c r="R15" t="s">
        <v>883</v>
      </c>
      <c r="S15" t="s">
        <v>881</v>
      </c>
      <c r="T15" t="s">
        <v>191</v>
      </c>
    </row>
    <row r="16" spans="1:21">
      <c r="B16">
        <f>MAX($B$3:B15)+1</f>
        <v>14</v>
      </c>
      <c r="C16" t="s">
        <v>35</v>
      </c>
      <c r="F16" t="s">
        <v>851</v>
      </c>
      <c r="G16" s="2"/>
      <c r="L16" t="s">
        <v>702</v>
      </c>
      <c r="N16" t="s">
        <v>701</v>
      </c>
      <c r="Q16" t="s">
        <v>882</v>
      </c>
      <c r="R16" t="s">
        <v>883</v>
      </c>
      <c r="S16" t="s">
        <v>881</v>
      </c>
      <c r="T16" t="s">
        <v>191</v>
      </c>
    </row>
    <row r="17" spans="2:20">
      <c r="B17">
        <f>MAX($B$3:B16)+1</f>
        <v>15</v>
      </c>
      <c r="C17" t="s">
        <v>35</v>
      </c>
      <c r="F17" t="s">
        <v>851</v>
      </c>
      <c r="G17" s="2"/>
      <c r="L17" t="s">
        <v>908</v>
      </c>
      <c r="N17" t="s">
        <v>907</v>
      </c>
      <c r="Q17" t="s">
        <v>882</v>
      </c>
      <c r="R17" t="s">
        <v>883</v>
      </c>
      <c r="S17" t="s">
        <v>881</v>
      </c>
      <c r="T17" t="s">
        <v>191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613</v>
      </c>
      <c r="N18" t="s">
        <v>187</v>
      </c>
      <c r="Q18" t="s">
        <v>614</v>
      </c>
      <c r="R18" t="s">
        <v>615</v>
      </c>
      <c r="S18" t="s">
        <v>616</v>
      </c>
      <c r="T18" t="s">
        <v>191</v>
      </c>
    </row>
    <row r="19" spans="2:20">
      <c r="B19">
        <f>MAX($B$3:B18)+1</f>
        <v>17</v>
      </c>
      <c r="C19" t="s">
        <v>4</v>
      </c>
      <c r="F19" t="s">
        <v>877</v>
      </c>
      <c r="G19" s="2"/>
      <c r="L19" t="s">
        <v>587</v>
      </c>
      <c r="N19" t="s">
        <v>584</v>
      </c>
      <c r="Q19" t="s">
        <v>878</v>
      </c>
      <c r="R19" t="s">
        <v>879</v>
      </c>
      <c r="S19" t="s">
        <v>880</v>
      </c>
      <c r="T19" t="s">
        <v>191</v>
      </c>
    </row>
    <row r="20" spans="2:20">
      <c r="B20">
        <f>MAX($B$3:B19)+1</f>
        <v>18</v>
      </c>
      <c r="C20" t="s">
        <v>4</v>
      </c>
      <c r="F20" t="s">
        <v>877</v>
      </c>
      <c r="G20" s="2"/>
      <c r="L20" t="s">
        <v>588</v>
      </c>
      <c r="N20" t="s">
        <v>585</v>
      </c>
      <c r="Q20" t="s">
        <v>878</v>
      </c>
      <c r="R20" t="s">
        <v>879</v>
      </c>
      <c r="S20" t="s">
        <v>880</v>
      </c>
      <c r="T20" t="s">
        <v>191</v>
      </c>
    </row>
    <row r="21" spans="2:20">
      <c r="B21">
        <f>MAX($B$3:B20)+1</f>
        <v>19</v>
      </c>
      <c r="C21" t="s">
        <v>4</v>
      </c>
      <c r="F21" t="s">
        <v>877</v>
      </c>
      <c r="G21" s="2"/>
      <c r="L21" t="s">
        <v>702</v>
      </c>
      <c r="N21" t="s">
        <v>700</v>
      </c>
      <c r="Q21" t="s">
        <v>878</v>
      </c>
      <c r="R21" t="s">
        <v>879</v>
      </c>
      <c r="S21" t="s">
        <v>880</v>
      </c>
      <c r="T21" t="s">
        <v>191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827</v>
      </c>
      <c r="N22" t="s">
        <v>450</v>
      </c>
      <c r="Q22" t="s">
        <v>620</v>
      </c>
      <c r="R22" t="s">
        <v>621</v>
      </c>
      <c r="S22" t="s">
        <v>624</v>
      </c>
      <c r="T22" t="s">
        <v>191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619</v>
      </c>
      <c r="N23" t="s">
        <v>187</v>
      </c>
      <c r="Q23" t="s">
        <v>622</v>
      </c>
      <c r="R23" t="s">
        <v>623</v>
      </c>
      <c r="S23" t="s">
        <v>625</v>
      </c>
      <c r="T23" t="s">
        <v>191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859</v>
      </c>
      <c r="N24" t="s">
        <v>450</v>
      </c>
      <c r="Q24" t="s">
        <v>853</v>
      </c>
      <c r="R24" t="s">
        <v>855</v>
      </c>
      <c r="S24" t="s">
        <v>857</v>
      </c>
      <c r="T24" t="s">
        <v>191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859</v>
      </c>
      <c r="N25" t="s">
        <v>187</v>
      </c>
      <c r="Q25" t="s">
        <v>854</v>
      </c>
      <c r="R25" t="s">
        <v>856</v>
      </c>
      <c r="S25" t="s">
        <v>858</v>
      </c>
      <c r="T25" t="s">
        <v>191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828</v>
      </c>
      <c r="N26" t="s">
        <v>450</v>
      </c>
      <c r="Q26" t="s">
        <v>860</v>
      </c>
      <c r="R26" t="s">
        <v>861</v>
      </c>
      <c r="S26" t="s">
        <v>864</v>
      </c>
      <c r="T26" t="s">
        <v>191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866</v>
      </c>
      <c r="N27" t="s">
        <v>187</v>
      </c>
      <c r="Q27" t="s">
        <v>862</v>
      </c>
      <c r="R27" t="s">
        <v>863</v>
      </c>
      <c r="S27" t="s">
        <v>865</v>
      </c>
      <c r="T27" t="s">
        <v>191</v>
      </c>
    </row>
    <row r="28" spans="2:20">
      <c r="B28">
        <f>MAX($B$3:B27)+1</f>
        <v>26</v>
      </c>
      <c r="C28" t="s">
        <v>35</v>
      </c>
      <c r="F28" t="s">
        <v>572</v>
      </c>
      <c r="K28" t="str">
        <f>CSet_MAP!$F$13</f>
        <v>ALLCOA,ALLELC,ALLGAS,ALLOIL,ALLBIOpj,ALLGEO,ALLHYD,ALLSOL,ALLWIN,ALLAHT,ALLOCE</v>
      </c>
      <c r="N28" t="s">
        <v>450</v>
      </c>
      <c r="Q28" t="s">
        <v>570</v>
      </c>
      <c r="R28" t="str">
        <f>"&lt;Cset&gt;_"&amp;LEFT(Q28,6)</f>
        <v>&lt;Cset&gt;_PriExp</v>
      </c>
      <c r="S28" t="s">
        <v>571</v>
      </c>
      <c r="T28" t="s">
        <v>191</v>
      </c>
    </row>
    <row r="29" spans="2:20">
      <c r="B29">
        <f>MAX($B$3:B28)+1</f>
        <v>27</v>
      </c>
      <c r="C29" t="s">
        <v>4</v>
      </c>
      <c r="F29" t="s">
        <v>573</v>
      </c>
      <c r="K29" t="str">
        <f>CSet_MAP!$F$13</f>
        <v>ALLCOA,ALLELC,ALLGAS,ALLOIL,ALLBIOpj,ALLGEO,ALLHYD,ALLSOL,ALLWIN,ALLAHT,ALLOCE</v>
      </c>
      <c r="N29" t="s">
        <v>187</v>
      </c>
      <c r="Q29" t="s">
        <v>575</v>
      </c>
      <c r="R29" t="str">
        <f>"&lt;Cset&gt;_"&amp;LEFT(Q29,6)</f>
        <v>&lt;Cset&gt;_PriImp</v>
      </c>
      <c r="S29" t="s">
        <v>576</v>
      </c>
      <c r="T29" t="s">
        <v>191</v>
      </c>
    </row>
    <row r="30" spans="2:20">
      <c r="B30">
        <f>MAX($B$3:B29)+1</f>
        <v>28</v>
      </c>
      <c r="C30" t="s">
        <v>4</v>
      </c>
      <c r="F30" t="s">
        <v>574</v>
      </c>
      <c r="K30" t="str">
        <f>CSet_MAP!$F$13</f>
        <v>ALLCOA,ALLELC,ALLGAS,ALLOIL,ALLBIOpj,ALLGEO,ALLHYD,ALLSOL,ALLWIN,ALLAHT,ALLOCE</v>
      </c>
      <c r="N30" t="s">
        <v>187</v>
      </c>
      <c r="Q30" t="s">
        <v>577</v>
      </c>
      <c r="R30" t="str">
        <f>"&lt;Cset&gt;_"&amp;LEFT(Q30,6)</f>
        <v>&lt;Cset&gt;_PriMin</v>
      </c>
      <c r="S30" t="s">
        <v>578</v>
      </c>
      <c r="T30" t="s">
        <v>146</v>
      </c>
    </row>
    <row r="31" spans="2:20">
      <c r="B31">
        <f>MAX($B$3:B30)+1</f>
        <v>29</v>
      </c>
      <c r="C31" t="s">
        <v>35</v>
      </c>
      <c r="F31" t="s">
        <v>503</v>
      </c>
      <c r="K31" t="str">
        <f>CSet_MAP!$F$14</f>
        <v>ALLCOA,ALLELC,ALLGAS,ALLOIL,ALLBIOpj,ALLGEO,ALLHYD,ALLSOL,ALLWIN,ALLAHT,ALLOCE,AllH2</v>
      </c>
      <c r="N31" t="s">
        <v>450</v>
      </c>
      <c r="Q31" t="s">
        <v>579</v>
      </c>
      <c r="R31" t="str">
        <f>"&lt;Cset&gt;_"&amp;LEFT(Q31,8)</f>
        <v>&lt;Cset&gt;_PriExpEU</v>
      </c>
      <c r="S31" t="s">
        <v>581</v>
      </c>
      <c r="T31" t="s">
        <v>191</v>
      </c>
    </row>
    <row r="32" spans="2:20">
      <c r="B32">
        <f>MAX($B$3:B31)+1</f>
        <v>30</v>
      </c>
      <c r="C32" t="s">
        <v>4</v>
      </c>
      <c r="F32" t="s">
        <v>503</v>
      </c>
      <c r="K32" t="str">
        <f>CSet_MAP!$F$14</f>
        <v>ALLCOA,ALLELC,ALLGAS,ALLOIL,ALLBIOpj,ALLGEO,ALLHYD,ALLSOL,ALLWIN,ALLAHT,ALLOCE,AllH2</v>
      </c>
      <c r="N32" t="s">
        <v>187</v>
      </c>
      <c r="Q32" t="s">
        <v>580</v>
      </c>
      <c r="R32" t="str">
        <f>"&lt;Cset&gt;_"&amp;LEFT(Q32,8)</f>
        <v>&lt;Cset&gt;_PriImpEU</v>
      </c>
      <c r="S32" t="s">
        <v>582</v>
      </c>
      <c r="T32" t="s">
        <v>191</v>
      </c>
    </row>
    <row r="33" spans="2:21">
      <c r="B33">
        <f>MAX($B$3:B32)+1</f>
        <v>31</v>
      </c>
      <c r="C33" t="s">
        <v>4</v>
      </c>
      <c r="F33" t="s">
        <v>573</v>
      </c>
      <c r="L33" t="s">
        <v>587</v>
      </c>
      <c r="N33" t="s">
        <v>584</v>
      </c>
      <c r="Q33" t="s">
        <v>842</v>
      </c>
      <c r="R33" t="s">
        <v>843</v>
      </c>
      <c r="S33" t="s">
        <v>844</v>
      </c>
      <c r="T33" t="s">
        <v>191</v>
      </c>
    </row>
    <row r="34" spans="2:21">
      <c r="B34">
        <f>MAX($B$3:B33)+1</f>
        <v>32</v>
      </c>
      <c r="C34" t="s">
        <v>4</v>
      </c>
      <c r="F34" t="s">
        <v>573</v>
      </c>
      <c r="L34" t="s">
        <v>588</v>
      </c>
      <c r="N34" t="s">
        <v>585</v>
      </c>
      <c r="Q34" t="s">
        <v>842</v>
      </c>
      <c r="R34" t="s">
        <v>843</v>
      </c>
      <c r="S34" t="s">
        <v>844</v>
      </c>
      <c r="T34" t="s">
        <v>191</v>
      </c>
    </row>
    <row r="35" spans="2:21">
      <c r="B35">
        <f>MAX($B$3:B34)+1</f>
        <v>33</v>
      </c>
      <c r="C35" t="s">
        <v>4</v>
      </c>
      <c r="F35" t="s">
        <v>503</v>
      </c>
      <c r="L35" t="s">
        <v>587</v>
      </c>
      <c r="N35" t="s">
        <v>584</v>
      </c>
      <c r="Q35" t="s">
        <v>845</v>
      </c>
      <c r="R35" t="s">
        <v>846</v>
      </c>
      <c r="S35" t="s">
        <v>847</v>
      </c>
      <c r="T35" t="s">
        <v>191</v>
      </c>
    </row>
    <row r="36" spans="2:21">
      <c r="B36">
        <f>MAX($B$3:B35)+1</f>
        <v>34</v>
      </c>
      <c r="C36" t="s">
        <v>4</v>
      </c>
      <c r="F36" t="s">
        <v>503</v>
      </c>
      <c r="L36" t="s">
        <v>588</v>
      </c>
      <c r="N36" t="s">
        <v>585</v>
      </c>
      <c r="Q36" t="s">
        <v>845</v>
      </c>
      <c r="R36" t="s">
        <v>846</v>
      </c>
      <c r="S36" t="s">
        <v>847</v>
      </c>
      <c r="T36" t="s">
        <v>191</v>
      </c>
    </row>
    <row r="37" spans="2:21">
      <c r="B37">
        <f>MAX($B$3:B36)+1</f>
        <v>35</v>
      </c>
      <c r="C37" t="s">
        <v>4</v>
      </c>
      <c r="F37" t="s">
        <v>503</v>
      </c>
      <c r="L37" t="s">
        <v>702</v>
      </c>
      <c r="N37" t="s">
        <v>700</v>
      </c>
      <c r="Q37" t="s">
        <v>845</v>
      </c>
      <c r="R37" t="s">
        <v>846</v>
      </c>
      <c r="S37" t="s">
        <v>847</v>
      </c>
      <c r="T37" t="s">
        <v>191</v>
      </c>
    </row>
    <row r="38" spans="2:21">
      <c r="B38">
        <f>MAX($B$3:B37)+1</f>
        <v>36</v>
      </c>
      <c r="C38" t="s">
        <v>35</v>
      </c>
      <c r="F38" t="s">
        <v>503</v>
      </c>
      <c r="L38" t="s">
        <v>587</v>
      </c>
      <c r="N38" t="s">
        <v>589</v>
      </c>
      <c r="Q38" t="s">
        <v>848</v>
      </c>
      <c r="R38" t="s">
        <v>849</v>
      </c>
      <c r="S38" t="s">
        <v>850</v>
      </c>
      <c r="T38" t="s">
        <v>191</v>
      </c>
    </row>
    <row r="39" spans="2:21">
      <c r="B39">
        <f>MAX($B$3:B38)+1</f>
        <v>37</v>
      </c>
      <c r="C39" t="s">
        <v>35</v>
      </c>
      <c r="F39" t="s">
        <v>503</v>
      </c>
      <c r="L39" t="s">
        <v>588</v>
      </c>
      <c r="N39" t="s">
        <v>590</v>
      </c>
      <c r="Q39" t="s">
        <v>848</v>
      </c>
      <c r="R39" t="s">
        <v>849</v>
      </c>
      <c r="S39" t="s">
        <v>850</v>
      </c>
      <c r="T39" t="s">
        <v>191</v>
      </c>
    </row>
    <row r="40" spans="2:21">
      <c r="B40">
        <f>MAX($B$3:B39)+1</f>
        <v>38</v>
      </c>
      <c r="C40" t="s">
        <v>35</v>
      </c>
      <c r="F40" t="s">
        <v>503</v>
      </c>
      <c r="L40" t="s">
        <v>702</v>
      </c>
      <c r="N40" t="s">
        <v>701</v>
      </c>
      <c r="Q40" t="s">
        <v>848</v>
      </c>
      <c r="R40" t="s">
        <v>849</v>
      </c>
      <c r="S40" t="s">
        <v>850</v>
      </c>
      <c r="T40" t="s">
        <v>191</v>
      </c>
    </row>
    <row r="41" spans="2:21">
      <c r="B41">
        <f>MAX($B$3:B40)+1</f>
        <v>39</v>
      </c>
      <c r="C41" t="s">
        <v>631</v>
      </c>
      <c r="K41" t="s">
        <v>629</v>
      </c>
      <c r="L41" s="2" t="s">
        <v>910</v>
      </c>
      <c r="N41" t="s">
        <v>5</v>
      </c>
      <c r="Q41" t="s">
        <v>633</v>
      </c>
      <c r="R41" t="s">
        <v>633</v>
      </c>
      <c r="S41" t="s">
        <v>633</v>
      </c>
      <c r="T41" t="s">
        <v>146</v>
      </c>
    </row>
    <row r="42" spans="2:21">
      <c r="B42">
        <f>MAX($B$3:B41)+1</f>
        <v>40</v>
      </c>
      <c r="C42" t="s">
        <v>35</v>
      </c>
      <c r="F42" s="2" t="s">
        <v>635</v>
      </c>
      <c r="G42" s="2" t="s">
        <v>638</v>
      </c>
      <c r="K42" t="s">
        <v>630</v>
      </c>
      <c r="N42" t="s">
        <v>502</v>
      </c>
      <c r="Q42" t="s">
        <v>634</v>
      </c>
      <c r="R42" t="s">
        <v>634</v>
      </c>
      <c r="S42" t="s">
        <v>634</v>
      </c>
      <c r="T42" t="s">
        <v>191</v>
      </c>
      <c r="U42" s="10" t="s">
        <v>640</v>
      </c>
    </row>
    <row r="43" spans="2:21">
      <c r="B43">
        <f>MAX($B$3:B42)+1</f>
        <v>41</v>
      </c>
      <c r="C43" t="s">
        <v>4</v>
      </c>
      <c r="F43" t="s">
        <v>71</v>
      </c>
      <c r="L43" t="s">
        <v>501</v>
      </c>
      <c r="N43" t="s">
        <v>5</v>
      </c>
      <c r="Q43" t="s">
        <v>636</v>
      </c>
      <c r="R43" t="s">
        <v>636</v>
      </c>
      <c r="S43" t="s">
        <v>636</v>
      </c>
      <c r="T43" t="s">
        <v>191</v>
      </c>
    </row>
    <row r="44" spans="2:21">
      <c r="B44">
        <f>MAX($B$3:B43)+1</f>
        <v>42</v>
      </c>
      <c r="C44" t="s">
        <v>35</v>
      </c>
      <c r="F44" t="s">
        <v>71</v>
      </c>
      <c r="L44" t="s">
        <v>501</v>
      </c>
      <c r="N44" t="s">
        <v>502</v>
      </c>
      <c r="Q44" t="s">
        <v>636</v>
      </c>
      <c r="R44" t="s">
        <v>636</v>
      </c>
      <c r="S44" t="s">
        <v>636</v>
      </c>
      <c r="T44" t="s">
        <v>191</v>
      </c>
    </row>
    <row r="45" spans="2:21">
      <c r="B45">
        <f>MAX($B$3:B44)+1</f>
        <v>43</v>
      </c>
      <c r="C45" t="s">
        <v>4</v>
      </c>
      <c r="F45" s="2" t="s">
        <v>899</v>
      </c>
      <c r="K45" t="s">
        <v>629</v>
      </c>
      <c r="L45" s="2" t="s">
        <v>910</v>
      </c>
      <c r="N45" t="s">
        <v>5</v>
      </c>
      <c r="Q45" t="s">
        <v>891</v>
      </c>
      <c r="R45" t="str">
        <f>Q45</f>
        <v>CO2_Src_reg</v>
      </c>
      <c r="S45" t="str">
        <f>R45</f>
        <v>CO2_Src_reg</v>
      </c>
      <c r="T45" t="s">
        <v>146</v>
      </c>
    </row>
    <row r="46" spans="2:21">
      <c r="B46">
        <f>MAX($B$3:B45)+1</f>
        <v>44</v>
      </c>
      <c r="C46" t="s">
        <v>4</v>
      </c>
      <c r="F46" t="s">
        <v>889</v>
      </c>
      <c r="K46" t="s">
        <v>629</v>
      </c>
      <c r="N46" t="s">
        <v>5</v>
      </c>
      <c r="Q46" t="s">
        <v>890</v>
      </c>
      <c r="R46" t="str">
        <f>Q46</f>
        <v>CO2_Src_beccs</v>
      </c>
      <c r="S46" t="str">
        <f>R46</f>
        <v>CO2_Src_beccs</v>
      </c>
      <c r="T46" t="s">
        <v>146</v>
      </c>
    </row>
    <row r="47" spans="2:21">
      <c r="B47">
        <f>MAX($B$3:B46)+1</f>
        <v>45</v>
      </c>
      <c r="C47" t="s">
        <v>45</v>
      </c>
      <c r="L47" t="s">
        <v>690</v>
      </c>
      <c r="N47" t="s">
        <v>188</v>
      </c>
      <c r="Q47" t="s">
        <v>136</v>
      </c>
      <c r="R47" t="s">
        <v>136</v>
      </c>
      <c r="S47" t="s">
        <v>136</v>
      </c>
      <c r="T47" t="s">
        <v>83</v>
      </c>
    </row>
    <row r="48" spans="2:21">
      <c r="B48">
        <f>MAX($B$3:B47)+1</f>
        <v>46</v>
      </c>
      <c r="C48" t="s">
        <v>45</v>
      </c>
      <c r="L48" t="s">
        <v>641</v>
      </c>
      <c r="N48" t="s">
        <v>691</v>
      </c>
      <c r="Q48" t="s">
        <v>136</v>
      </c>
      <c r="R48" t="s">
        <v>136</v>
      </c>
      <c r="S48" t="s">
        <v>136</v>
      </c>
      <c r="T48" t="s">
        <v>146</v>
      </c>
    </row>
    <row r="49" spans="2:20">
      <c r="B49">
        <f>MAX($B$3:B48)+1</f>
        <v>47</v>
      </c>
      <c r="C49" t="s">
        <v>4</v>
      </c>
      <c r="L49" t="s">
        <v>694</v>
      </c>
      <c r="N49" t="s">
        <v>187</v>
      </c>
      <c r="Q49" t="s">
        <v>693</v>
      </c>
      <c r="R49" t="s">
        <v>693</v>
      </c>
      <c r="S49" t="s">
        <v>693</v>
      </c>
      <c r="T49" t="s">
        <v>146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265</v>
      </c>
      <c r="N50" t="s">
        <v>187</v>
      </c>
      <c r="Q50" t="s">
        <v>703</v>
      </c>
      <c r="R50" t="s">
        <v>704</v>
      </c>
      <c r="S50" t="s">
        <v>705</v>
      </c>
      <c r="T50" t="s">
        <v>146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525</v>
      </c>
      <c r="L51" t="s">
        <v>526</v>
      </c>
      <c r="N51" t="s">
        <v>187</v>
      </c>
      <c r="Q51" t="s">
        <v>706</v>
      </c>
      <c r="R51" t="s">
        <v>707</v>
      </c>
      <c r="S51" t="s">
        <v>708</v>
      </c>
      <c r="T51" t="s">
        <v>146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544</v>
      </c>
      <c r="N52" t="s">
        <v>187</v>
      </c>
      <c r="Q52" t="s">
        <v>709</v>
      </c>
      <c r="R52" t="s">
        <v>710</v>
      </c>
      <c r="S52" t="s">
        <v>711</v>
      </c>
      <c r="T52" t="s">
        <v>146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548</v>
      </c>
      <c r="N53" t="s">
        <v>187</v>
      </c>
      <c r="Q53" t="s">
        <v>712</v>
      </c>
      <c r="R53" t="s">
        <v>713</v>
      </c>
      <c r="S53" t="s">
        <v>714</v>
      </c>
      <c r="T53" t="s">
        <v>146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613</v>
      </c>
      <c r="N54" t="s">
        <v>187</v>
      </c>
      <c r="Q54" t="s">
        <v>715</v>
      </c>
      <c r="R54" t="s">
        <v>716</v>
      </c>
      <c r="S54" t="s">
        <v>717</v>
      </c>
      <c r="T54" t="s">
        <v>146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619</v>
      </c>
      <c r="N55" t="s">
        <v>187</v>
      </c>
      <c r="Q55" t="s">
        <v>718</v>
      </c>
      <c r="R55" t="s">
        <v>719</v>
      </c>
      <c r="S55" t="s">
        <v>720</v>
      </c>
      <c r="T55" t="s">
        <v>146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628</v>
      </c>
      <c r="N56" t="s">
        <v>187</v>
      </c>
      <c r="Q56" t="s">
        <v>721</v>
      </c>
      <c r="R56" t="s">
        <v>722</v>
      </c>
      <c r="S56" t="s">
        <v>723</v>
      </c>
      <c r="T56" t="s">
        <v>146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744</v>
      </c>
      <c r="N57" t="s">
        <v>187</v>
      </c>
      <c r="Q57" t="s">
        <v>760</v>
      </c>
      <c r="R57" t="s">
        <v>761</v>
      </c>
      <c r="S57" t="s">
        <v>762</v>
      </c>
      <c r="T57" t="s">
        <v>146</v>
      </c>
    </row>
    <row r="58" spans="2:20" ht="1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791</v>
      </c>
      <c r="R58" t="s">
        <v>31</v>
      </c>
      <c r="S58" t="s">
        <v>32</v>
      </c>
    </row>
    <row r="59" spans="2:20" ht="15.6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548</v>
      </c>
      <c r="N59" t="s">
        <v>187</v>
      </c>
      <c r="Q59" t="s">
        <v>792</v>
      </c>
      <c r="R59" t="s">
        <v>437</v>
      </c>
      <c r="S59" t="s">
        <v>444</v>
      </c>
      <c r="T59" t="s">
        <v>191</v>
      </c>
    </row>
    <row r="60" spans="2:20" ht="15.6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796</v>
      </c>
      <c r="N60" t="s">
        <v>5</v>
      </c>
      <c r="Q60" t="s">
        <v>793</v>
      </c>
      <c r="R60" t="s">
        <v>438</v>
      </c>
      <c r="S60" t="s">
        <v>445</v>
      </c>
      <c r="T60" t="s">
        <v>147</v>
      </c>
    </row>
    <row r="61" spans="2:20" ht="15.6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797</v>
      </c>
      <c r="N61" t="s">
        <v>5</v>
      </c>
      <c r="Q61" t="s">
        <v>794</v>
      </c>
      <c r="R61" t="s">
        <v>443</v>
      </c>
      <c r="S61" t="s">
        <v>446</v>
      </c>
      <c r="T61" t="s">
        <v>147</v>
      </c>
    </row>
    <row r="62" spans="2:20" ht="15.6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187</v>
      </c>
      <c r="Q62" t="s">
        <v>795</v>
      </c>
      <c r="R62" t="s">
        <v>38</v>
      </c>
      <c r="S62" t="s">
        <v>39</v>
      </c>
      <c r="T62" t="s">
        <v>146</v>
      </c>
    </row>
    <row r="63" spans="2:20" ht="15" thickTop="1">
      <c r="B63">
        <f>MAX($B$3:B62)+1</f>
        <v>61</v>
      </c>
      <c r="C63" t="s">
        <v>7</v>
      </c>
      <c r="F63" t="s">
        <v>893</v>
      </c>
      <c r="N63" t="s">
        <v>8</v>
      </c>
      <c r="Q63" t="s">
        <v>819</v>
      </c>
      <c r="R63" t="s">
        <v>820</v>
      </c>
      <c r="S63" t="s">
        <v>820</v>
      </c>
    </row>
    <row r="64" spans="2:20">
      <c r="B64">
        <f>MAX($B$3:B63)+1</f>
        <v>62</v>
      </c>
      <c r="C64" t="s">
        <v>35</v>
      </c>
      <c r="F64" s="2" t="s">
        <v>635</v>
      </c>
      <c r="K64" t="s">
        <v>903</v>
      </c>
      <c r="L64" t="s">
        <v>909</v>
      </c>
      <c r="N64" t="s">
        <v>892</v>
      </c>
      <c r="Q64" t="s">
        <v>902</v>
      </c>
      <c r="R64" t="str">
        <f>Q64</f>
        <v>Cons_MAT</v>
      </c>
      <c r="S64" t="s">
        <v>900</v>
      </c>
      <c r="T64" t="s">
        <v>191</v>
      </c>
    </row>
    <row r="65" spans="2:20">
      <c r="B65">
        <f>MAX($B$3:B64)+1</f>
        <v>63</v>
      </c>
      <c r="C65" t="s">
        <v>4</v>
      </c>
      <c r="F65" s="2" t="s">
        <v>635</v>
      </c>
      <c r="K65" t="s">
        <v>903</v>
      </c>
      <c r="L65" t="s">
        <v>909</v>
      </c>
      <c r="N65" t="s">
        <v>892</v>
      </c>
      <c r="Q65" t="s">
        <v>901</v>
      </c>
      <c r="R65" t="str">
        <f>Q65</f>
        <v>Prod_MAT</v>
      </c>
      <c r="S65" t="s">
        <v>900</v>
      </c>
      <c r="T65" t="s">
        <v>191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63</v>
      </c>
      <c r="R68" t="s">
        <v>31</v>
      </c>
      <c r="S68" t="s">
        <v>32</v>
      </c>
      <c r="T68" t="s">
        <v>147</v>
      </c>
    </row>
    <row r="69" spans="2:20" ht="1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5.6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190</v>
      </c>
      <c r="N70" t="s">
        <v>186</v>
      </c>
      <c r="Q70" t="s">
        <v>62</v>
      </c>
      <c r="R70" t="s">
        <v>34</v>
      </c>
      <c r="S70" t="s">
        <v>33</v>
      </c>
      <c r="T70" t="s">
        <v>698</v>
      </c>
    </row>
    <row r="71" spans="2:20" ht="15.6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76</v>
      </c>
      <c r="N71" t="s">
        <v>186</v>
      </c>
      <c r="Q71" t="s">
        <v>78</v>
      </c>
      <c r="R71" t="s">
        <v>79</v>
      </c>
      <c r="S71" t="s">
        <v>77</v>
      </c>
    </row>
    <row r="72" spans="2:20" ht="15.6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147</v>
      </c>
    </row>
    <row r="73" spans="2:20" ht="15.6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433</v>
      </c>
      <c r="N73" t="s">
        <v>5</v>
      </c>
      <c r="Q73" t="s">
        <v>65</v>
      </c>
      <c r="R73" t="s">
        <v>66</v>
      </c>
      <c r="S73" t="s">
        <v>67</v>
      </c>
      <c r="T73" t="s">
        <v>147</v>
      </c>
    </row>
    <row r="74" spans="2:20" ht="15.6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187</v>
      </c>
      <c r="Q74" t="s">
        <v>37</v>
      </c>
      <c r="R74" t="s">
        <v>38</v>
      </c>
      <c r="S74" t="s">
        <v>39</v>
      </c>
      <c r="T74" t="s">
        <v>191</v>
      </c>
    </row>
    <row r="75" spans="2:20" ht="15.6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3.88671875" customWidth="1"/>
    <col min="5" max="6" width="16.88671875" bestFit="1" customWidth="1"/>
    <col min="7" max="7" width="8.5546875" bestFit="1" customWidth="1"/>
    <col min="8" max="8" width="7.88671875" bestFit="1" customWidth="1"/>
    <col min="9" max="9" width="8.6640625" bestFit="1" customWidth="1"/>
    <col min="10" max="10" width="16.6640625" bestFit="1" customWidth="1"/>
    <col min="11" max="11" width="16.109375" bestFit="1" customWidth="1"/>
    <col min="12" max="12" width="8.5546875" bestFit="1" customWidth="1"/>
    <col min="13" max="13" width="7" bestFit="1" customWidth="1"/>
    <col min="14" max="14" width="4.33203125" bestFit="1" customWidth="1"/>
    <col min="15" max="15" width="4.33203125" customWidth="1"/>
    <col min="16" max="17" width="14.5546875" bestFit="1" customWidth="1"/>
    <col min="18" max="18" width="30.6640625" bestFit="1" customWidth="1"/>
    <col min="19" max="19" width="9.33203125" bestFit="1" customWidth="1"/>
    <col min="20" max="20" width="14.10937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804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805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1305</v>
      </c>
      <c r="T2" s="1" t="s">
        <v>639</v>
      </c>
    </row>
    <row r="3" spans="1:20">
      <c r="B3">
        <v>1</v>
      </c>
      <c r="C3" t="s">
        <v>35</v>
      </c>
      <c r="E3" s="2" t="s">
        <v>635</v>
      </c>
      <c r="J3" t="s">
        <v>903</v>
      </c>
      <c r="K3" t="s">
        <v>904</v>
      </c>
      <c r="M3" t="s">
        <v>892</v>
      </c>
      <c r="P3" t="s">
        <v>902</v>
      </c>
      <c r="Q3" t="str">
        <f>P3</f>
        <v>Cons_MAT</v>
      </c>
      <c r="R3" t="s">
        <v>900</v>
      </c>
      <c r="S3" t="s">
        <v>191</v>
      </c>
    </row>
    <row r="4" spans="1:20">
      <c r="B4">
        <v>2</v>
      </c>
      <c r="C4" t="s">
        <v>4</v>
      </c>
      <c r="E4" s="2" t="s">
        <v>635</v>
      </c>
      <c r="J4" t="s">
        <v>903</v>
      </c>
      <c r="K4" t="s">
        <v>904</v>
      </c>
      <c r="M4" t="s">
        <v>892</v>
      </c>
      <c r="P4" t="s">
        <v>901</v>
      </c>
      <c r="Q4" t="str">
        <f>P4</f>
        <v>Prod_MAT</v>
      </c>
      <c r="R4" t="s">
        <v>900</v>
      </c>
      <c r="S4" t="s">
        <v>191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4.4"/>
  <cols>
    <col min="1" max="1" width="15.44140625" bestFit="1" customWidth="1"/>
    <col min="2" max="3" width="17.332031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152</v>
      </c>
      <c r="B3" t="s">
        <v>153</v>
      </c>
      <c r="C3" t="str">
        <f>B3</f>
        <v>Coal</v>
      </c>
      <c r="F3" s="3" t="str">
        <f>$A3</f>
        <v>E_COA</v>
      </c>
    </row>
    <row r="4" spans="1:6">
      <c r="A4" t="s">
        <v>154</v>
      </c>
      <c r="B4" t="s">
        <v>155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156</v>
      </c>
      <c r="B5" t="s">
        <v>157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158</v>
      </c>
      <c r="B6" t="s">
        <v>159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160</v>
      </c>
      <c r="B7" t="s">
        <v>161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162</v>
      </c>
      <c r="B8" t="s">
        <v>163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164</v>
      </c>
      <c r="B9" t="s">
        <v>165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166</v>
      </c>
      <c r="B10" t="s">
        <v>167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168</v>
      </c>
      <c r="B11" t="s">
        <v>169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170</v>
      </c>
      <c r="B12" t="s">
        <v>171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172</v>
      </c>
      <c r="B13" t="s">
        <v>173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174</v>
      </c>
      <c r="B14" t="s">
        <v>175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542</v>
      </c>
      <c r="B15" t="s">
        <v>612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176</v>
      </c>
      <c r="B16" t="s">
        <v>177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178</v>
      </c>
      <c r="B17" t="s">
        <v>179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180</v>
      </c>
      <c r="B18" t="s">
        <v>181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182</v>
      </c>
      <c r="B19" t="s">
        <v>183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184</v>
      </c>
      <c r="B20" t="s">
        <v>185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503</v>
      </c>
      <c r="B21" t="s">
        <v>113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591</v>
      </c>
      <c r="B22" t="s">
        <v>68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530</v>
      </c>
      <c r="B23" t="s">
        <v>531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543</v>
      </c>
      <c r="B24" t="s">
        <v>876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519</v>
      </c>
      <c r="B25" t="s">
        <v>488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524</v>
      </c>
      <c r="B26" t="s">
        <v>523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775</v>
      </c>
      <c r="B27" t="s">
        <v>782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776</v>
      </c>
      <c r="B28" t="s">
        <v>783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777</v>
      </c>
      <c r="B29" t="s">
        <v>784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778</v>
      </c>
      <c r="B30" t="s">
        <v>785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786</v>
      </c>
      <c r="B31" t="s">
        <v>787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779</v>
      </c>
      <c r="B32" t="s">
        <v>788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780</v>
      </c>
      <c r="B33" t="s">
        <v>789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781</v>
      </c>
      <c r="B34" t="s">
        <v>790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312</v>
      </c>
      <c r="B35" t="s">
        <v>319</v>
      </c>
      <c r="C35" t="str">
        <f t="shared" si="0"/>
        <v>Aviation</v>
      </c>
      <c r="F35" s="3" t="str">
        <f>A35</f>
        <v>TRA_AIR</v>
      </c>
    </row>
    <row r="36" spans="1:20">
      <c r="A36" t="s">
        <v>313</v>
      </c>
      <c r="B36" t="s">
        <v>208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314</v>
      </c>
      <c r="B37" t="s">
        <v>320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315</v>
      </c>
      <c r="B38" t="s">
        <v>211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316</v>
      </c>
      <c r="B39" t="s">
        <v>321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317</v>
      </c>
      <c r="B40" t="s">
        <v>322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318</v>
      </c>
      <c r="B41" t="s">
        <v>323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346</v>
      </c>
      <c r="B42" t="s">
        <v>353</v>
      </c>
      <c r="C42" t="str">
        <f>B42</f>
        <v>Chemicals</v>
      </c>
      <c r="F42" s="3" t="str">
        <f>A42</f>
        <v>IND_ICH</v>
      </c>
    </row>
    <row r="43" spans="1:20">
      <c r="A43" t="s">
        <v>347</v>
      </c>
      <c r="B43" t="s">
        <v>354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348</v>
      </c>
      <c r="B44" t="s">
        <v>357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349</v>
      </c>
      <c r="B45" t="s">
        <v>358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350</v>
      </c>
      <c r="B46" t="s">
        <v>355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351</v>
      </c>
      <c r="B47" t="s">
        <v>359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352</v>
      </c>
      <c r="B48" t="s">
        <v>356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397</v>
      </c>
      <c r="B49" t="s">
        <v>398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424</v>
      </c>
      <c r="B50" t="s">
        <v>171</v>
      </c>
      <c r="C50" t="str">
        <f>B50</f>
        <v>Biomass</v>
      </c>
      <c r="F50" s="3" t="str">
        <f>A50</f>
        <v>S_H2P_BIO</v>
      </c>
    </row>
    <row r="51" spans="1:6">
      <c r="A51" t="s">
        <v>425</v>
      </c>
      <c r="B51" t="s">
        <v>173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426</v>
      </c>
      <c r="B52" t="s">
        <v>153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427</v>
      </c>
      <c r="B53" t="s">
        <v>155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428</v>
      </c>
      <c r="B54" t="s">
        <v>257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429</v>
      </c>
      <c r="B55" t="s">
        <v>157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430</v>
      </c>
      <c r="B56" t="s">
        <v>159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431</v>
      </c>
      <c r="B57" t="s">
        <v>163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432</v>
      </c>
      <c r="B58" t="s">
        <v>167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503</v>
      </c>
      <c r="B59" t="s">
        <v>113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520</v>
      </c>
      <c r="B60" t="s">
        <v>360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591</v>
      </c>
      <c r="B61" t="s">
        <v>68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510</v>
      </c>
      <c r="B62" t="s">
        <v>511</v>
      </c>
      <c r="C62" t="str">
        <f t="shared" si="5"/>
        <v>Agriculture</v>
      </c>
      <c r="F62" s="3" t="str">
        <f>A62</f>
        <v>FT-AGR</v>
      </c>
    </row>
    <row r="63" spans="1:6">
      <c r="A63" t="s">
        <v>512</v>
      </c>
      <c r="B63" t="s">
        <v>393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513</v>
      </c>
      <c r="B64" t="s">
        <v>360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514</v>
      </c>
      <c r="B65" t="s">
        <v>517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515</v>
      </c>
      <c r="B66" t="s">
        <v>394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516</v>
      </c>
      <c r="B67" t="s">
        <v>392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542</v>
      </c>
      <c r="B68" t="s">
        <v>612</v>
      </c>
      <c r="C68" t="str">
        <f t="shared" si="5"/>
        <v>H2 FC</v>
      </c>
      <c r="F68" s="3" t="str">
        <f t="shared" si="1"/>
        <v>FT-AGR,FT-COM,FT-IND,FT-NE,FT-RSD,FT-TRA,E_H2FC</v>
      </c>
      <c r="U68" t="s">
        <v>510</v>
      </c>
    </row>
    <row r="69" spans="1:21">
      <c r="A69" t="s">
        <v>821</v>
      </c>
      <c r="B69" t="s">
        <v>823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512</v>
      </c>
    </row>
    <row r="70" spans="1:21">
      <c r="A70" t="s">
        <v>822</v>
      </c>
      <c r="B70" t="s">
        <v>824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618</v>
      </c>
      <c r="B71" t="s">
        <v>498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518</v>
      </c>
      <c r="B72" t="s">
        <v>368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522</v>
      </c>
    </row>
    <row r="73" spans="1:21">
      <c r="A73" t="s">
        <v>503</v>
      </c>
      <c r="B73" t="s">
        <v>113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513</v>
      </c>
    </row>
    <row r="74" spans="1:21">
      <c r="A74" t="s">
        <v>591</v>
      </c>
      <c r="B74" t="s">
        <v>68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519</v>
      </c>
      <c r="B75" t="s">
        <v>488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515</v>
      </c>
    </row>
    <row r="76" spans="1:21">
      <c r="A76" t="s">
        <v>530</v>
      </c>
      <c r="B76" t="s">
        <v>531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618</v>
      </c>
    </row>
    <row r="77" spans="1:21">
      <c r="A77" t="s">
        <v>532</v>
      </c>
      <c r="B77" t="s">
        <v>497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76</v>
      </c>
      <c r="B78" t="s">
        <v>536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524</v>
      </c>
      <c r="B79" t="s">
        <v>523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543</v>
      </c>
      <c r="B80" t="s">
        <v>876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755</v>
      </c>
      <c r="B81" t="s">
        <v>852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851</v>
      </c>
      <c r="B82" t="s">
        <v>392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596</v>
      </c>
      <c r="B83" t="s">
        <v>600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524</v>
      </c>
      <c r="B84" t="s">
        <v>523</v>
      </c>
      <c r="C84" t="str">
        <f t="shared" si="7"/>
        <v>Trade (Exo)</v>
      </c>
      <c r="F84" s="3" t="str">
        <f>A84</f>
        <v>TRADEEXOG</v>
      </c>
    </row>
    <row r="85" spans="1:6">
      <c r="A85" t="s">
        <v>595</v>
      </c>
      <c r="B85" t="s">
        <v>598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503</v>
      </c>
      <c r="B86" t="s">
        <v>113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574</v>
      </c>
      <c r="B87" t="s">
        <v>599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591</v>
      </c>
      <c r="B88" t="s">
        <v>68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596</v>
      </c>
      <c r="B89" t="s">
        <v>600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597</v>
      </c>
      <c r="B90" t="s">
        <v>601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755</v>
      </c>
      <c r="B91" t="s">
        <v>852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519</v>
      </c>
      <c r="B92" t="s">
        <v>488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751</v>
      </c>
      <c r="B93" t="s">
        <v>756</v>
      </c>
      <c r="C93" t="str">
        <f t="shared" si="8"/>
        <v>CO2 storage</v>
      </c>
      <c r="F93" s="3" t="str">
        <f>A93</f>
        <v>S_CO2storage</v>
      </c>
    </row>
    <row r="94" spans="1:6">
      <c r="A94" t="s">
        <v>752</v>
      </c>
      <c r="B94" t="s">
        <v>757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753</v>
      </c>
      <c r="B95" t="s">
        <v>758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754</v>
      </c>
      <c r="B96" t="s">
        <v>360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755</v>
      </c>
      <c r="B97" t="s">
        <v>852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543</v>
      </c>
      <c r="B98" t="s">
        <v>876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851</v>
      </c>
      <c r="B99" t="s">
        <v>392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F7" sqref="F7"/>
    </sheetView>
  </sheetViews>
  <sheetFormatPr defaultRowHeight="14.4"/>
  <cols>
    <col min="1" max="1" width="15.44140625" bestFit="1" customWidth="1"/>
    <col min="2" max="3" width="9.6640625" bestFit="1" customWidth="1"/>
    <col min="6" max="6" width="11" bestFit="1" customWidth="1"/>
  </cols>
  <sheetData>
    <row r="1" spans="1:6">
      <c r="A1" s="1" t="s">
        <v>569</v>
      </c>
    </row>
    <row r="2" spans="1:6">
      <c r="A2" t="s">
        <v>557</v>
      </c>
      <c r="B2" t="s">
        <v>1</v>
      </c>
      <c r="C2" t="s">
        <v>11</v>
      </c>
    </row>
    <row r="3" spans="1:6">
      <c r="A3" t="s">
        <v>558</v>
      </c>
      <c r="B3" t="s">
        <v>153</v>
      </c>
      <c r="C3" t="str">
        <f>B3</f>
        <v>Coal</v>
      </c>
      <c r="F3" s="3" t="str">
        <f>A3</f>
        <v>ALLCOA</v>
      </c>
    </row>
    <row r="4" spans="1:6">
      <c r="A4" t="s">
        <v>559</v>
      </c>
      <c r="B4" t="s">
        <v>257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560</v>
      </c>
      <c r="B5" t="s">
        <v>157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561</v>
      </c>
      <c r="B6" t="s">
        <v>163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586</v>
      </c>
      <c r="B7" t="s">
        <v>567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562</v>
      </c>
      <c r="B8" t="s">
        <v>568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563</v>
      </c>
      <c r="B9" t="s">
        <v>177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564</v>
      </c>
      <c r="B10" t="s">
        <v>181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565</v>
      </c>
      <c r="B11" t="s">
        <v>375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695</v>
      </c>
      <c r="B12" t="s">
        <v>696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566</v>
      </c>
      <c r="B13" t="s">
        <v>179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583</v>
      </c>
      <c r="B14" t="s">
        <v>380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4.4"/>
  <cols>
    <col min="1" max="1" width="11.5546875" bestFit="1" customWidth="1"/>
    <col min="2" max="2" width="45.5546875" customWidth="1"/>
    <col min="3" max="3" width="17.44140625" bestFit="1" customWidth="1"/>
    <col min="8" max="8" width="12.5546875" bestFit="1" customWidth="1"/>
    <col min="9" max="9" width="16.109375" bestFit="1" customWidth="1"/>
    <col min="12" max="12" width="14.88671875" bestFit="1" customWidth="1"/>
  </cols>
  <sheetData>
    <row r="1" spans="1:3">
      <c r="A1" t="s">
        <v>148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102</v>
      </c>
      <c r="B3" t="s">
        <v>103</v>
      </c>
      <c r="C3" t="s">
        <v>111</v>
      </c>
    </row>
    <row r="4" spans="1:3">
      <c r="A4" t="s">
        <v>102</v>
      </c>
      <c r="B4" t="s">
        <v>104</v>
      </c>
      <c r="C4" t="s">
        <v>112</v>
      </c>
    </row>
    <row r="5" spans="1:3">
      <c r="A5" t="s">
        <v>102</v>
      </c>
      <c r="B5" t="s">
        <v>71</v>
      </c>
      <c r="C5" t="s">
        <v>113</v>
      </c>
    </row>
    <row r="6" spans="1:3">
      <c r="A6" t="s">
        <v>102</v>
      </c>
      <c r="B6" t="s">
        <v>105</v>
      </c>
      <c r="C6" t="s">
        <v>114</v>
      </c>
    </row>
    <row r="7" spans="1:3">
      <c r="A7" t="s">
        <v>102</v>
      </c>
      <c r="B7" t="s">
        <v>106</v>
      </c>
      <c r="C7" t="s">
        <v>115</v>
      </c>
    </row>
    <row r="8" spans="1:3">
      <c r="A8" t="s">
        <v>102</v>
      </c>
      <c r="B8" t="s">
        <v>107</v>
      </c>
      <c r="C8" t="s">
        <v>114</v>
      </c>
    </row>
    <row r="9" spans="1:3">
      <c r="A9" t="s">
        <v>102</v>
      </c>
      <c r="B9" t="s">
        <v>108</v>
      </c>
      <c r="C9" t="s">
        <v>116</v>
      </c>
    </row>
    <row r="10" spans="1:3">
      <c r="A10" t="s">
        <v>102</v>
      </c>
      <c r="B10" t="s">
        <v>109</v>
      </c>
      <c r="C10" t="s">
        <v>111</v>
      </c>
    </row>
    <row r="11" spans="1:3">
      <c r="A11" t="s">
        <v>102</v>
      </c>
      <c r="B11" t="s">
        <v>271</v>
      </c>
      <c r="C11" t="s">
        <v>110</v>
      </c>
    </row>
    <row r="12" spans="1:3">
      <c r="A12" t="s">
        <v>120</v>
      </c>
      <c r="B12" t="s">
        <v>121</v>
      </c>
      <c r="C12" t="s">
        <v>122</v>
      </c>
    </row>
    <row r="13" spans="1:3">
      <c r="A13" t="s">
        <v>120</v>
      </c>
      <c r="B13" t="s">
        <v>270</v>
      </c>
      <c r="C13" t="s">
        <v>142</v>
      </c>
    </row>
    <row r="14" spans="1:3">
      <c r="A14" t="s">
        <v>120</v>
      </c>
      <c r="B14" t="s">
        <v>123</v>
      </c>
      <c r="C14" t="s">
        <v>124</v>
      </c>
    </row>
    <row r="15" spans="1:3">
      <c r="A15" t="s">
        <v>120</v>
      </c>
      <c r="B15" t="s">
        <v>727</v>
      </c>
      <c r="C15" t="s">
        <v>130</v>
      </c>
    </row>
    <row r="16" spans="1:3">
      <c r="A16" t="s">
        <v>120</v>
      </c>
      <c r="B16" t="s">
        <v>125</v>
      </c>
      <c r="C16" t="s">
        <v>131</v>
      </c>
    </row>
    <row r="17" spans="1:3">
      <c r="A17" t="s">
        <v>120</v>
      </c>
      <c r="B17" t="s">
        <v>798</v>
      </c>
      <c r="C17" t="s">
        <v>132</v>
      </c>
    </row>
    <row r="18" spans="1:3">
      <c r="A18" t="s">
        <v>120</v>
      </c>
      <c r="B18" t="s">
        <v>126</v>
      </c>
      <c r="C18" t="s">
        <v>133</v>
      </c>
    </row>
    <row r="19" spans="1:3">
      <c r="A19" t="s">
        <v>120</v>
      </c>
      <c r="B19" t="s">
        <v>455</v>
      </c>
      <c r="C19" t="s">
        <v>799</v>
      </c>
    </row>
    <row r="20" spans="1:3">
      <c r="A20" t="s">
        <v>120</v>
      </c>
      <c r="B20" t="s">
        <v>127</v>
      </c>
      <c r="C20" t="s">
        <v>134</v>
      </c>
    </row>
    <row r="21" spans="1:3">
      <c r="A21" t="s">
        <v>120</v>
      </c>
      <c r="B21" t="s">
        <v>128</v>
      </c>
      <c r="C21" t="s">
        <v>135</v>
      </c>
    </row>
    <row r="22" spans="1:3">
      <c r="A22" t="s">
        <v>120</v>
      </c>
      <c r="B22" t="s">
        <v>129</v>
      </c>
      <c r="C22" t="s">
        <v>136</v>
      </c>
    </row>
    <row r="23" spans="1:3">
      <c r="A23" t="s">
        <v>120</v>
      </c>
      <c r="B23" t="s">
        <v>642</v>
      </c>
      <c r="C23" t="s">
        <v>643</v>
      </c>
    </row>
    <row r="24" spans="1:3">
      <c r="A24" t="s">
        <v>120</v>
      </c>
      <c r="B24" t="s">
        <v>266</v>
      </c>
      <c r="C24" t="s">
        <v>113</v>
      </c>
    </row>
    <row r="25" spans="1:3">
      <c r="A25" t="s">
        <v>120</v>
      </c>
      <c r="B25" t="s">
        <v>267</v>
      </c>
      <c r="C25" t="s">
        <v>113</v>
      </c>
    </row>
    <row r="26" spans="1:3">
      <c r="A26" t="s">
        <v>120</v>
      </c>
      <c r="B26" t="s">
        <v>404</v>
      </c>
      <c r="C26" t="s">
        <v>151</v>
      </c>
    </row>
    <row r="27" spans="1:3">
      <c r="A27" t="s">
        <v>120</v>
      </c>
      <c r="B27" t="s">
        <v>403</v>
      </c>
      <c r="C27" t="s">
        <v>134</v>
      </c>
    </row>
    <row r="28" spans="1:3">
      <c r="A28" t="s">
        <v>120</v>
      </c>
      <c r="B28" t="s">
        <v>412</v>
      </c>
      <c r="C28" t="s">
        <v>130</v>
      </c>
    </row>
    <row r="29" spans="1:3">
      <c r="A29" t="s">
        <v>120</v>
      </c>
      <c r="B29" t="s">
        <v>411</v>
      </c>
      <c r="C29" t="s">
        <v>268</v>
      </c>
    </row>
    <row r="30" spans="1:3">
      <c r="A30" t="s">
        <v>120</v>
      </c>
      <c r="B30" t="s">
        <v>406</v>
      </c>
      <c r="C30" t="s">
        <v>133</v>
      </c>
    </row>
    <row r="31" spans="1:3">
      <c r="A31" t="s">
        <v>120</v>
      </c>
      <c r="B31" t="s">
        <v>457</v>
      </c>
      <c r="C31" t="s">
        <v>458</v>
      </c>
    </row>
    <row r="32" spans="1:3">
      <c r="A32" t="s">
        <v>120</v>
      </c>
      <c r="B32" t="s">
        <v>459</v>
      </c>
      <c r="C32" t="s">
        <v>460</v>
      </c>
    </row>
    <row r="33" spans="1:3">
      <c r="A33" t="s">
        <v>120</v>
      </c>
      <c r="B33" t="s">
        <v>461</v>
      </c>
      <c r="C33" t="s">
        <v>462</v>
      </c>
    </row>
    <row r="34" spans="1:3">
      <c r="A34" t="s">
        <v>120</v>
      </c>
      <c r="B34" t="s">
        <v>537</v>
      </c>
      <c r="C34" t="s">
        <v>606</v>
      </c>
    </row>
    <row r="35" spans="1:3">
      <c r="A35" t="s">
        <v>120</v>
      </c>
      <c r="B35" t="s">
        <v>538</v>
      </c>
      <c r="C35" t="s">
        <v>607</v>
      </c>
    </row>
    <row r="36" spans="1:3">
      <c r="A36" t="s">
        <v>120</v>
      </c>
      <c r="B36" t="s">
        <v>541</v>
      </c>
      <c r="C36" t="s">
        <v>611</v>
      </c>
    </row>
    <row r="37" spans="1:3">
      <c r="A37" t="s">
        <v>120</v>
      </c>
      <c r="B37" t="s">
        <v>554</v>
      </c>
      <c r="C37" t="s">
        <v>608</v>
      </c>
    </row>
    <row r="38" spans="1:3">
      <c r="A38" t="s">
        <v>120</v>
      </c>
      <c r="B38" t="s">
        <v>555</v>
      </c>
      <c r="C38" t="s">
        <v>609</v>
      </c>
    </row>
    <row r="39" spans="1:3">
      <c r="A39" t="s">
        <v>120</v>
      </c>
      <c r="B39" t="s">
        <v>556</v>
      </c>
      <c r="C39" t="s">
        <v>610</v>
      </c>
    </row>
    <row r="40" spans="1:3">
      <c r="A40" t="s">
        <v>120</v>
      </c>
      <c r="B40" t="s">
        <v>887</v>
      </c>
      <c r="C40" t="s">
        <v>888</v>
      </c>
    </row>
    <row r="41" spans="1:3">
      <c r="A41" t="s">
        <v>120</v>
      </c>
      <c r="B41" t="s">
        <v>626</v>
      </c>
      <c r="C41" t="s">
        <v>627</v>
      </c>
    </row>
    <row r="42" spans="1:3">
      <c r="A42" t="s">
        <v>120</v>
      </c>
      <c r="B42" t="s">
        <v>867</v>
      </c>
      <c r="C42" t="s">
        <v>869</v>
      </c>
    </row>
    <row r="43" spans="1:3">
      <c r="A43" t="s">
        <v>120</v>
      </c>
      <c r="B43" t="s">
        <v>868</v>
      </c>
      <c r="C43" t="s">
        <v>870</v>
      </c>
    </row>
    <row r="44" spans="1:3">
      <c r="A44" t="s">
        <v>120</v>
      </c>
      <c r="B44" t="s">
        <v>637</v>
      </c>
      <c r="C44" t="s">
        <v>632</v>
      </c>
    </row>
    <row r="45" spans="1:3">
      <c r="A45" t="s">
        <v>120</v>
      </c>
      <c r="B45" t="s">
        <v>1304</v>
      </c>
      <c r="C45" t="s">
        <v>724</v>
      </c>
    </row>
    <row r="46" spans="1:3">
      <c r="A46" t="s">
        <v>120</v>
      </c>
      <c r="B46" t="s">
        <v>763</v>
      </c>
      <c r="C46" t="s">
        <v>764</v>
      </c>
    </row>
    <row r="47" spans="1:3">
      <c r="A47" t="s">
        <v>448</v>
      </c>
      <c r="B47" t="s">
        <v>153</v>
      </c>
      <c r="C47" t="str">
        <f>B47</f>
        <v>Coal</v>
      </c>
    </row>
    <row r="48" spans="1:3">
      <c r="A48" t="s">
        <v>448</v>
      </c>
      <c r="B48" t="s">
        <v>155</v>
      </c>
      <c r="C48" t="str">
        <f t="shared" ref="C48:C58" si="0">B48</f>
        <v>Coal CCS</v>
      </c>
    </row>
    <row r="49" spans="1:5">
      <c r="A49" t="s">
        <v>448</v>
      </c>
      <c r="B49" t="s">
        <v>157</v>
      </c>
      <c r="C49" t="str">
        <f t="shared" si="0"/>
        <v>Gas</v>
      </c>
    </row>
    <row r="50" spans="1:5">
      <c r="A50" t="s">
        <v>448</v>
      </c>
      <c r="B50" t="s">
        <v>159</v>
      </c>
      <c r="C50" t="str">
        <f t="shared" si="0"/>
        <v>Gas CCS</v>
      </c>
    </row>
    <row r="51" spans="1:5">
      <c r="A51" t="s">
        <v>448</v>
      </c>
      <c r="B51" t="s">
        <v>161</v>
      </c>
      <c r="C51" t="s">
        <v>193</v>
      </c>
    </row>
    <row r="52" spans="1:5">
      <c r="A52" t="s">
        <v>448</v>
      </c>
      <c r="B52" t="s">
        <v>163</v>
      </c>
      <c r="C52" t="str">
        <f t="shared" si="0"/>
        <v>Oil</v>
      </c>
    </row>
    <row r="53" spans="1:5">
      <c r="A53" t="s">
        <v>448</v>
      </c>
      <c r="B53" t="s">
        <v>165</v>
      </c>
      <c r="C53" t="str">
        <f t="shared" si="0"/>
        <v>Oil CCS</v>
      </c>
    </row>
    <row r="54" spans="1:5">
      <c r="A54" t="s">
        <v>448</v>
      </c>
      <c r="B54" t="s">
        <v>167</v>
      </c>
      <c r="C54" t="str">
        <f t="shared" si="0"/>
        <v>Nuclear</v>
      </c>
    </row>
    <row r="55" spans="1:5">
      <c r="A55" t="s">
        <v>448</v>
      </c>
      <c r="B55" t="s">
        <v>612</v>
      </c>
      <c r="C55" t="str">
        <f t="shared" si="0"/>
        <v>H2 FC</v>
      </c>
    </row>
    <row r="56" spans="1:5">
      <c r="A56" t="s">
        <v>448</v>
      </c>
      <c r="B56" t="s">
        <v>169</v>
      </c>
      <c r="C56" t="s">
        <v>194</v>
      </c>
    </row>
    <row r="57" spans="1:5">
      <c r="A57" t="s">
        <v>448</v>
      </c>
      <c r="B57" t="s">
        <v>171</v>
      </c>
      <c r="C57" t="str">
        <f t="shared" si="0"/>
        <v>Biomass</v>
      </c>
    </row>
    <row r="58" spans="1:5">
      <c r="A58" t="s">
        <v>448</v>
      </c>
      <c r="B58" t="s">
        <v>173</v>
      </c>
      <c r="C58" t="str">
        <f t="shared" si="0"/>
        <v>Biomass CCS</v>
      </c>
    </row>
    <row r="59" spans="1:5">
      <c r="A59" t="s">
        <v>448</v>
      </c>
      <c r="B59" t="s">
        <v>175</v>
      </c>
      <c r="C59" t="str">
        <f t="shared" ref="C59:C64" si="1">B59</f>
        <v>Geothermal</v>
      </c>
    </row>
    <row r="60" spans="1:5">
      <c r="A60" t="s">
        <v>448</v>
      </c>
      <c r="B60" t="s">
        <v>177</v>
      </c>
      <c r="C60" t="str">
        <f t="shared" si="1"/>
        <v>Hydro</v>
      </c>
    </row>
    <row r="61" spans="1:5">
      <c r="A61" t="s">
        <v>448</v>
      </c>
      <c r="B61" t="s">
        <v>179</v>
      </c>
      <c r="C61" t="str">
        <f t="shared" si="1"/>
        <v>Ocean</v>
      </c>
      <c r="E61" t="s">
        <v>171</v>
      </c>
    </row>
    <row r="62" spans="1:5">
      <c r="A62" t="s">
        <v>448</v>
      </c>
      <c r="B62" t="s">
        <v>181</v>
      </c>
      <c r="C62" t="str">
        <f t="shared" si="1"/>
        <v>Solar</v>
      </c>
      <c r="E62" t="s">
        <v>173</v>
      </c>
    </row>
    <row r="63" spans="1:5">
      <c r="A63" t="s">
        <v>448</v>
      </c>
      <c r="B63" t="s">
        <v>183</v>
      </c>
      <c r="C63" t="str">
        <f t="shared" si="1"/>
        <v>Wind Offshore</v>
      </c>
      <c r="E63" t="s">
        <v>153</v>
      </c>
    </row>
    <row r="64" spans="1:5">
      <c r="A64" t="s">
        <v>448</v>
      </c>
      <c r="B64" t="s">
        <v>185</v>
      </c>
      <c r="C64" t="str">
        <f t="shared" si="1"/>
        <v>Wind Onshore</v>
      </c>
      <c r="E64" t="s">
        <v>155</v>
      </c>
    </row>
    <row r="65" spans="1:13">
      <c r="A65" t="s">
        <v>448</v>
      </c>
      <c r="B65" t="s">
        <v>257</v>
      </c>
      <c r="C65" t="s">
        <v>257</v>
      </c>
    </row>
    <row r="66" spans="1:13">
      <c r="A66" t="s">
        <v>391</v>
      </c>
      <c r="B66" t="s">
        <v>1322</v>
      </c>
      <c r="C66" t="s">
        <v>452</v>
      </c>
    </row>
    <row r="67" spans="1:13">
      <c r="A67" t="s">
        <v>391</v>
      </c>
      <c r="B67" t="s">
        <v>800</v>
      </c>
      <c r="C67" t="s">
        <v>380</v>
      </c>
      <c r="L67" t="s">
        <v>916</v>
      </c>
      <c r="M67" t="s">
        <v>917</v>
      </c>
    </row>
    <row r="68" spans="1:13">
      <c r="A68" t="s">
        <v>391</v>
      </c>
      <c r="B68" t="s">
        <v>801</v>
      </c>
      <c r="C68" t="s">
        <v>368</v>
      </c>
      <c r="L68" t="s">
        <v>918</v>
      </c>
      <c r="M68" t="s">
        <v>919</v>
      </c>
    </row>
    <row r="69" spans="1:13">
      <c r="A69" t="s">
        <v>391</v>
      </c>
      <c r="B69" t="s">
        <v>1486</v>
      </c>
      <c r="C69" t="s">
        <v>394</v>
      </c>
      <c r="E69" t="s">
        <v>257</v>
      </c>
      <c r="L69" t="s">
        <v>926</v>
      </c>
      <c r="M69" t="s">
        <v>927</v>
      </c>
    </row>
    <row r="70" spans="1:13">
      <c r="A70" t="s">
        <v>391</v>
      </c>
      <c r="B70" t="s">
        <v>1487</v>
      </c>
      <c r="C70" t="s">
        <v>393</v>
      </c>
      <c r="E70" t="s">
        <v>157</v>
      </c>
      <c r="H70" t="s">
        <v>511</v>
      </c>
      <c r="L70" t="s">
        <v>952</v>
      </c>
      <c r="M70" t="s">
        <v>953</v>
      </c>
    </row>
    <row r="71" spans="1:13">
      <c r="A71" t="s">
        <v>391</v>
      </c>
      <c r="B71" t="s">
        <v>1488</v>
      </c>
      <c r="C71" t="s">
        <v>360</v>
      </c>
      <c r="E71" t="s">
        <v>159</v>
      </c>
      <c r="H71" t="s">
        <v>393</v>
      </c>
      <c r="L71" t="s">
        <v>954</v>
      </c>
      <c r="M71" t="s">
        <v>955</v>
      </c>
    </row>
    <row r="72" spans="1:13">
      <c r="A72" t="s">
        <v>391</v>
      </c>
      <c r="B72" t="s">
        <v>1489</v>
      </c>
      <c r="C72" t="s">
        <v>517</v>
      </c>
      <c r="E72" t="s">
        <v>163</v>
      </c>
      <c r="H72" t="s">
        <v>360</v>
      </c>
      <c r="L72" t="s">
        <v>956</v>
      </c>
      <c r="M72" t="s">
        <v>957</v>
      </c>
    </row>
    <row r="73" spans="1:13">
      <c r="A73" t="s">
        <v>391</v>
      </c>
      <c r="B73" t="s">
        <v>1490</v>
      </c>
      <c r="C73" t="s">
        <v>392</v>
      </c>
      <c r="E73" t="s">
        <v>63</v>
      </c>
      <c r="H73" t="s">
        <v>517</v>
      </c>
      <c r="L73" t="s">
        <v>960</v>
      </c>
      <c r="M73" t="s">
        <v>961</v>
      </c>
    </row>
    <row r="74" spans="1:13">
      <c r="A74" t="s">
        <v>391</v>
      </c>
      <c r="B74" t="str">
        <f>LEFT(E73,FIND("_",E73))&amp;"*"</f>
        <v>ECap_*</v>
      </c>
      <c r="C74" t="s">
        <v>452</v>
      </c>
      <c r="E74" t="s">
        <v>56</v>
      </c>
      <c r="H74" t="s">
        <v>394</v>
      </c>
      <c r="L74" t="s">
        <v>962</v>
      </c>
      <c r="M74" t="s">
        <v>963</v>
      </c>
    </row>
    <row r="75" spans="1:13">
      <c r="A75" t="s">
        <v>391</v>
      </c>
      <c r="B75" t="str">
        <f>LEFT(E74,FIND("_",E74,10))&amp;"*"</f>
        <v>NewCap_Elec_*</v>
      </c>
      <c r="C75" t="s">
        <v>452</v>
      </c>
      <c r="E75" t="s">
        <v>62</v>
      </c>
      <c r="H75" t="s">
        <v>392</v>
      </c>
      <c r="L75" t="s">
        <v>964</v>
      </c>
      <c r="M75" t="s">
        <v>965</v>
      </c>
    </row>
    <row r="76" spans="1:13">
      <c r="A76" t="s">
        <v>391</v>
      </c>
      <c r="B76" t="str">
        <f>LEFT(E75,FIND("_",E75))&amp;"*"</f>
        <v>EProd_*</v>
      </c>
      <c r="C76" t="s">
        <v>452</v>
      </c>
      <c r="E76" t="s">
        <v>47</v>
      </c>
      <c r="L76" t="s">
        <v>966</v>
      </c>
      <c r="M76" t="s">
        <v>967</v>
      </c>
    </row>
    <row r="77" spans="1:13">
      <c r="A77" t="s">
        <v>391</v>
      </c>
      <c r="B77" t="str">
        <f>LEFT(E76,FIND("_",E76,6))&amp;"*"</f>
        <v>Emi_ElcCO2_*</v>
      </c>
      <c r="C77" t="s">
        <v>452</v>
      </c>
      <c r="E77" t="s">
        <v>65</v>
      </c>
      <c r="L77" t="s">
        <v>972</v>
      </c>
      <c r="M77" t="s">
        <v>973</v>
      </c>
    </row>
    <row r="78" spans="1:13">
      <c r="A78" t="s">
        <v>391</v>
      </c>
      <c r="B78" t="str">
        <f>LEFT(E77,FIND("_",E77,6))&amp;"*"</f>
        <v>Emi_CO2Cap_*</v>
      </c>
      <c r="C78" t="s">
        <v>452</v>
      </c>
      <c r="E78" t="s">
        <v>37</v>
      </c>
      <c r="L78" t="s">
        <v>988</v>
      </c>
      <c r="M78" t="s">
        <v>989</v>
      </c>
    </row>
    <row r="79" spans="1:13">
      <c r="A79" t="s">
        <v>391</v>
      </c>
      <c r="B79" t="str">
        <f>LEFT(E78,FIND("_",E78))&amp;"*"</f>
        <v>EFuel_*</v>
      </c>
      <c r="C79" t="s">
        <v>452</v>
      </c>
      <c r="E79" t="s">
        <v>42</v>
      </c>
      <c r="L79" t="s">
        <v>998</v>
      </c>
      <c r="M79" t="s">
        <v>999</v>
      </c>
    </row>
    <row r="80" spans="1:13">
      <c r="A80" t="s">
        <v>391</v>
      </c>
      <c r="B80" t="str">
        <f>LEFT(E79,FIND("_",E79))&amp;"*"</f>
        <v>RetCap_*</v>
      </c>
      <c r="C80" t="s">
        <v>452</v>
      </c>
      <c r="L80" t="s">
        <v>1012</v>
      </c>
      <c r="M80" t="s">
        <v>1013</v>
      </c>
    </row>
    <row r="81" spans="1:13">
      <c r="A81" t="s">
        <v>391</v>
      </c>
      <c r="B81" t="s">
        <v>725</v>
      </c>
      <c r="C81" t="s">
        <v>452</v>
      </c>
      <c r="L81" t="s">
        <v>1016</v>
      </c>
      <c r="M81" t="s">
        <v>1017</v>
      </c>
    </row>
    <row r="82" spans="1:13">
      <c r="A82" t="s">
        <v>391</v>
      </c>
      <c r="B82" t="s">
        <v>459</v>
      </c>
      <c r="C82" t="s">
        <v>452</v>
      </c>
      <c r="L82" t="s">
        <v>1032</v>
      </c>
      <c r="M82" t="s">
        <v>1033</v>
      </c>
    </row>
    <row r="83" spans="1:13">
      <c r="A83" t="s">
        <v>391</v>
      </c>
      <c r="B83" t="s">
        <v>461</v>
      </c>
      <c r="C83" t="s">
        <v>452</v>
      </c>
      <c r="L83" t="s">
        <v>1058</v>
      </c>
      <c r="M83" t="s">
        <v>1059</v>
      </c>
    </row>
    <row r="84" spans="1:13">
      <c r="A84" t="s">
        <v>391</v>
      </c>
      <c r="B84" t="s">
        <v>1491</v>
      </c>
      <c r="C84" t="s">
        <v>511</v>
      </c>
      <c r="L84" t="s">
        <v>1078</v>
      </c>
      <c r="M84" t="s">
        <v>1079</v>
      </c>
    </row>
    <row r="85" spans="1:13">
      <c r="A85" t="s">
        <v>391</v>
      </c>
      <c r="B85" t="s">
        <v>1323</v>
      </c>
      <c r="C85" t="s">
        <v>1324</v>
      </c>
      <c r="L85" t="s">
        <v>1130</v>
      </c>
      <c r="M85" t="s">
        <v>1131</v>
      </c>
    </row>
    <row r="86" spans="1:13">
      <c r="A86" t="s">
        <v>492</v>
      </c>
      <c r="B86" t="str">
        <f t="shared" ref="B86:B133" si="2">"*[_]"&amp;C86</f>
        <v>*[_]Coal</v>
      </c>
      <c r="C86" t="s">
        <v>153</v>
      </c>
      <c r="L86" t="s">
        <v>974</v>
      </c>
      <c r="M86" t="s">
        <v>975</v>
      </c>
    </row>
    <row r="87" spans="1:13">
      <c r="A87" t="s">
        <v>492</v>
      </c>
      <c r="B87" t="str">
        <f t="shared" si="2"/>
        <v>*[_]Coal CCS</v>
      </c>
      <c r="C87" t="s">
        <v>155</v>
      </c>
      <c r="L87" t="s">
        <v>1014</v>
      </c>
      <c r="M87" t="s">
        <v>1015</v>
      </c>
    </row>
    <row r="88" spans="1:13">
      <c r="A88" t="s">
        <v>492</v>
      </c>
      <c r="B88" t="str">
        <f t="shared" si="2"/>
        <v>*[_]Gas</v>
      </c>
      <c r="C88" t="s">
        <v>157</v>
      </c>
      <c r="L88" t="s">
        <v>1108</v>
      </c>
      <c r="M88" t="s">
        <v>1109</v>
      </c>
    </row>
    <row r="89" spans="1:13">
      <c r="A89" t="s">
        <v>492</v>
      </c>
      <c r="B89" t="str">
        <f t="shared" si="2"/>
        <v>*[_]Gas CCS</v>
      </c>
      <c r="C89" t="s">
        <v>159</v>
      </c>
    </row>
    <row r="90" spans="1:13">
      <c r="A90" t="s">
        <v>492</v>
      </c>
      <c r="B90" t="str">
        <f t="shared" si="2"/>
        <v>*[_]Manufactured Gas</v>
      </c>
      <c r="C90" t="s">
        <v>161</v>
      </c>
    </row>
    <row r="91" spans="1:13">
      <c r="A91" t="s">
        <v>492</v>
      </c>
      <c r="B91" t="str">
        <f t="shared" si="2"/>
        <v>*[_]Oil</v>
      </c>
      <c r="C91" t="s">
        <v>163</v>
      </c>
    </row>
    <row r="92" spans="1:13">
      <c r="A92" t="s">
        <v>492</v>
      </c>
      <c r="B92" t="str">
        <f t="shared" si="2"/>
        <v>*[_]Oil CCS</v>
      </c>
      <c r="C92" t="s">
        <v>165</v>
      </c>
    </row>
    <row r="93" spans="1:13">
      <c r="A93" t="s">
        <v>492</v>
      </c>
      <c r="B93" t="str">
        <f t="shared" si="2"/>
        <v>*[_]Nuclear</v>
      </c>
      <c r="C93" t="s">
        <v>167</v>
      </c>
    </row>
    <row r="94" spans="1:13">
      <c r="A94" t="s">
        <v>492</v>
      </c>
      <c r="B94" t="str">
        <f t="shared" si="2"/>
        <v>*[_]Biogas and Waste</v>
      </c>
      <c r="C94" t="s">
        <v>169</v>
      </c>
    </row>
    <row r="95" spans="1:13">
      <c r="A95" t="s">
        <v>492</v>
      </c>
      <c r="B95" t="str">
        <f t="shared" si="2"/>
        <v>*[_]Biomass</v>
      </c>
      <c r="C95" t="s">
        <v>171</v>
      </c>
    </row>
    <row r="96" spans="1:13">
      <c r="A96" t="s">
        <v>492</v>
      </c>
      <c r="B96" t="str">
        <f t="shared" si="2"/>
        <v>*[_]Biomass CCS</v>
      </c>
      <c r="C96" t="s">
        <v>173</v>
      </c>
    </row>
    <row r="97" spans="1:3">
      <c r="A97" t="s">
        <v>492</v>
      </c>
      <c r="B97" t="str">
        <f t="shared" si="2"/>
        <v>*[_]Geothermal</v>
      </c>
      <c r="C97" t="s">
        <v>175</v>
      </c>
    </row>
    <row r="98" spans="1:3">
      <c r="A98" t="s">
        <v>492</v>
      </c>
      <c r="B98" t="str">
        <f t="shared" si="2"/>
        <v>*[_]H2 FC</v>
      </c>
      <c r="C98" t="s">
        <v>612</v>
      </c>
    </row>
    <row r="99" spans="1:3">
      <c r="A99" t="s">
        <v>492</v>
      </c>
      <c r="B99" t="str">
        <f t="shared" si="2"/>
        <v>*[_]Hydro</v>
      </c>
      <c r="C99" t="s">
        <v>177</v>
      </c>
    </row>
    <row r="100" spans="1:3">
      <c r="A100" t="s">
        <v>492</v>
      </c>
      <c r="B100" t="str">
        <f t="shared" si="2"/>
        <v>*[_]Ocean</v>
      </c>
      <c r="C100" t="s">
        <v>179</v>
      </c>
    </row>
    <row r="101" spans="1:3">
      <c r="A101" t="s">
        <v>492</v>
      </c>
      <c r="B101" t="str">
        <f t="shared" si="2"/>
        <v>*[_]Solar</v>
      </c>
      <c r="C101" t="s">
        <v>181</v>
      </c>
    </row>
    <row r="102" spans="1:3">
      <c r="A102" t="s">
        <v>492</v>
      </c>
      <c r="B102" t="str">
        <f t="shared" si="2"/>
        <v>*[_]Wind Offshore</v>
      </c>
      <c r="C102" t="s">
        <v>183</v>
      </c>
    </row>
    <row r="103" spans="1:3">
      <c r="A103" t="s">
        <v>492</v>
      </c>
      <c r="B103" t="str">
        <f t="shared" si="2"/>
        <v>*[_]Wind Onshore</v>
      </c>
      <c r="C103" t="s">
        <v>185</v>
      </c>
    </row>
    <row r="104" spans="1:3">
      <c r="A104" t="s">
        <v>492</v>
      </c>
      <c r="B104" t="str">
        <f t="shared" si="2"/>
        <v>*[_]Trade</v>
      </c>
      <c r="C104" t="s">
        <v>113</v>
      </c>
    </row>
    <row r="105" spans="1:3">
      <c r="A105" t="s">
        <v>492</v>
      </c>
      <c r="B105" t="str">
        <f t="shared" si="2"/>
        <v>*[_]Storage</v>
      </c>
      <c r="C105" t="s">
        <v>68</v>
      </c>
    </row>
    <row r="106" spans="1:3">
      <c r="A106" t="s">
        <v>492</v>
      </c>
      <c r="B106" t="str">
        <f t="shared" si="2"/>
        <v>*[_]H2 production</v>
      </c>
      <c r="C106" t="s">
        <v>531</v>
      </c>
    </row>
    <row r="107" spans="1:3">
      <c r="A107" t="s">
        <v>492</v>
      </c>
      <c r="B107" t="str">
        <f t="shared" si="2"/>
        <v>*[_]BioRef-blending</v>
      </c>
      <c r="C107" t="s">
        <v>841</v>
      </c>
    </row>
    <row r="108" spans="1:3">
      <c r="A108" t="s">
        <v>492</v>
      </c>
      <c r="B108" t="str">
        <f>"*[_]"&amp;C108</f>
        <v>*[_]Conv Refinery</v>
      </c>
      <c r="C108" t="s">
        <v>852</v>
      </c>
    </row>
    <row r="109" spans="1:3">
      <c r="A109" t="s">
        <v>492</v>
      </c>
      <c r="B109" t="str">
        <f>"*[_]"&amp;C109</f>
        <v>*[_]Biorefineries</v>
      </c>
      <c r="C109" t="s">
        <v>876</v>
      </c>
    </row>
    <row r="110" spans="1:3">
      <c r="A110" t="s">
        <v>492</v>
      </c>
      <c r="B110" t="str">
        <f t="shared" si="2"/>
        <v>*[_]CCU</v>
      </c>
      <c r="C110" t="s">
        <v>488</v>
      </c>
    </row>
    <row r="111" spans="1:3">
      <c r="A111" t="s">
        <v>492</v>
      </c>
      <c r="B111" t="str">
        <f t="shared" si="2"/>
        <v>*[_]Trade (Exo)</v>
      </c>
      <c r="C111" t="s">
        <v>523</v>
      </c>
    </row>
    <row r="112" spans="1:3">
      <c r="A112" t="s">
        <v>492</v>
      </c>
      <c r="B112" t="str">
        <f t="shared" si="2"/>
        <v>*[_]Electricity</v>
      </c>
      <c r="C112" t="s">
        <v>257</v>
      </c>
    </row>
    <row r="113" spans="1:3">
      <c r="A113" t="s">
        <v>492</v>
      </c>
      <c r="B113" t="str">
        <f t="shared" si="2"/>
        <v>*[_]Hydrogen</v>
      </c>
      <c r="C113" t="s">
        <v>380</v>
      </c>
    </row>
    <row r="114" spans="1:3">
      <c r="A114" t="s">
        <v>492</v>
      </c>
      <c r="B114" t="str">
        <f t="shared" si="2"/>
        <v>*[_]Other</v>
      </c>
      <c r="C114" t="s">
        <v>355</v>
      </c>
    </row>
    <row r="115" spans="1:3">
      <c r="A115" t="s">
        <v>492</v>
      </c>
      <c r="B115" t="str">
        <f t="shared" si="2"/>
        <v>*[_]Non-Energy</v>
      </c>
      <c r="C115" t="s">
        <v>359</v>
      </c>
    </row>
    <row r="116" spans="1:3">
      <c r="A116" t="s">
        <v>492</v>
      </c>
      <c r="B116" t="str">
        <f t="shared" si="2"/>
        <v>*[_]Pulp&amp;Paper</v>
      </c>
      <c r="C116" t="s">
        <v>356</v>
      </c>
    </row>
    <row r="117" spans="1:3">
      <c r="A117" t="s">
        <v>492</v>
      </c>
      <c r="B117" t="str">
        <f t="shared" si="2"/>
        <v>*[_]Autoproduction</v>
      </c>
      <c r="C117" t="s">
        <v>398</v>
      </c>
    </row>
    <row r="118" spans="1:3">
      <c r="A118" t="s">
        <v>492</v>
      </c>
      <c r="B118" t="str">
        <f t="shared" si="2"/>
        <v>*[_]Industry</v>
      </c>
      <c r="C118" t="s">
        <v>360</v>
      </c>
    </row>
    <row r="119" spans="1:3">
      <c r="A119" t="s">
        <v>492</v>
      </c>
      <c r="B119" t="str">
        <f t="shared" si="2"/>
        <v>*[_]Agriculture</v>
      </c>
      <c r="C119" t="s">
        <v>511</v>
      </c>
    </row>
    <row r="120" spans="1:3">
      <c r="A120" t="s">
        <v>492</v>
      </c>
      <c r="B120" t="str">
        <f t="shared" si="2"/>
        <v>*[_]Commercial</v>
      </c>
      <c r="C120" t="s">
        <v>393</v>
      </c>
    </row>
    <row r="121" spans="1:3">
      <c r="A121" t="s">
        <v>492</v>
      </c>
      <c r="B121" t="str">
        <f t="shared" si="2"/>
        <v>*[_]Industry (NE)</v>
      </c>
      <c r="C121" t="s">
        <v>517</v>
      </c>
    </row>
    <row r="122" spans="1:3">
      <c r="A122" t="s">
        <v>492</v>
      </c>
      <c r="B122" t="str">
        <f t="shared" si="2"/>
        <v>*[_]Residential</v>
      </c>
      <c r="C122" t="s">
        <v>394</v>
      </c>
    </row>
    <row r="123" spans="1:3">
      <c r="A123" t="s">
        <v>492</v>
      </c>
      <c r="B123" t="str">
        <f t="shared" si="2"/>
        <v>*[_]Transport</v>
      </c>
      <c r="C123" t="s">
        <v>392</v>
      </c>
    </row>
    <row r="124" spans="1:3">
      <c r="A124" t="s">
        <v>492</v>
      </c>
      <c r="B124" t="str">
        <f t="shared" si="2"/>
        <v>*[_]Th heat and power</v>
      </c>
      <c r="C124" t="s">
        <v>823</v>
      </c>
    </row>
    <row r="125" spans="1:3">
      <c r="A125" t="s">
        <v>492</v>
      </c>
      <c r="B125" t="str">
        <f>"*[_]"&amp;C125</f>
        <v>*[_]Th heat and power-CCS</v>
      </c>
      <c r="C125" t="s">
        <v>824</v>
      </c>
    </row>
    <row r="126" spans="1:3">
      <c r="A126" t="s">
        <v>492</v>
      </c>
      <c r="B126" t="str">
        <f t="shared" si="2"/>
        <v>*[_]Energy</v>
      </c>
      <c r="C126" t="s">
        <v>498</v>
      </c>
    </row>
    <row r="127" spans="1:3">
      <c r="A127" t="s">
        <v>492</v>
      </c>
      <c r="B127" t="str">
        <f t="shared" si="2"/>
        <v>*[_]Heat</v>
      </c>
      <c r="C127" t="s">
        <v>368</v>
      </c>
    </row>
    <row r="128" spans="1:3">
      <c r="A128" t="s">
        <v>492</v>
      </c>
      <c r="B128" t="str">
        <f t="shared" si="2"/>
        <v>*[_]DAC</v>
      </c>
      <c r="C128" t="s">
        <v>497</v>
      </c>
    </row>
    <row r="129" spans="1:3">
      <c r="A129" t="s">
        <v>492</v>
      </c>
      <c r="B129" t="str">
        <f t="shared" si="2"/>
        <v>*[_]Curtailment</v>
      </c>
      <c r="C129" t="s">
        <v>536</v>
      </c>
    </row>
    <row r="130" spans="1:3">
      <c r="A130" t="s">
        <v>492</v>
      </c>
      <c r="B130" t="str">
        <f t="shared" si="2"/>
        <v>*[_]Coal gasification</v>
      </c>
      <c r="C130" t="s">
        <v>600</v>
      </c>
    </row>
    <row r="131" spans="1:3">
      <c r="A131" t="s">
        <v>492</v>
      </c>
      <c r="B131" t="str">
        <f t="shared" si="2"/>
        <v>*[_]Regasification</v>
      </c>
      <c r="C131" t="s">
        <v>598</v>
      </c>
    </row>
    <row r="132" spans="1:3">
      <c r="A132" t="s">
        <v>492</v>
      </c>
      <c r="B132" t="str">
        <f t="shared" si="2"/>
        <v>*[_]Mining</v>
      </c>
      <c r="C132" t="s">
        <v>599</v>
      </c>
    </row>
    <row r="133" spans="1:3">
      <c r="A133" t="s">
        <v>492</v>
      </c>
      <c r="B133" t="str">
        <f t="shared" si="2"/>
        <v>*[_]CBM</v>
      </c>
      <c r="C133" t="s">
        <v>601</v>
      </c>
    </row>
    <row r="134" spans="1:3">
      <c r="A134" t="s">
        <v>492</v>
      </c>
      <c r="B134" t="s">
        <v>646</v>
      </c>
      <c r="C134" t="s">
        <v>599</v>
      </c>
    </row>
    <row r="135" spans="1:3">
      <c r="A135" t="s">
        <v>492</v>
      </c>
      <c r="B135" t="s">
        <v>647</v>
      </c>
      <c r="C135" t="s">
        <v>649</v>
      </c>
    </row>
    <row r="136" spans="1:3">
      <c r="A136" t="s">
        <v>492</v>
      </c>
      <c r="B136" t="s">
        <v>648</v>
      </c>
      <c r="C136" t="s">
        <v>650</v>
      </c>
    </row>
    <row r="137" spans="1:3">
      <c r="A137" t="s">
        <v>492</v>
      </c>
      <c r="B137" t="str">
        <f>"*[_]"&amp;C137</f>
        <v>*[_]CO2 storage</v>
      </c>
      <c r="C137" t="s">
        <v>756</v>
      </c>
    </row>
    <row r="138" spans="1:3">
      <c r="A138" t="s">
        <v>492</v>
      </c>
      <c r="B138" t="str">
        <f>"*[_]"&amp;C138</f>
        <v>*[_]Extraction</v>
      </c>
      <c r="C138" t="s">
        <v>757</v>
      </c>
    </row>
    <row r="139" spans="1:3">
      <c r="A139" t="s">
        <v>492</v>
      </c>
      <c r="B139" t="str">
        <f>"*[_]"&amp;C139</f>
        <v>*[_]Pipelines</v>
      </c>
      <c r="C139" t="s">
        <v>758</v>
      </c>
    </row>
    <row r="140" spans="1:3">
      <c r="A140" t="s">
        <v>492</v>
      </c>
      <c r="B140" t="str">
        <f>"*[_]"&amp;C140</f>
        <v>*[_]Refinery</v>
      </c>
      <c r="C140" t="s">
        <v>759</v>
      </c>
    </row>
    <row r="141" spans="1:3">
      <c r="A141" t="s">
        <v>492</v>
      </c>
      <c r="B141" t="str">
        <f t="shared" ref="B141:B148" si="3">"*[_]"&amp;C141</f>
        <v>*[_]Bio-Waste-Ht</v>
      </c>
      <c r="C141" t="s">
        <v>782</v>
      </c>
    </row>
    <row r="142" spans="1:3">
      <c r="A142" t="s">
        <v>492</v>
      </c>
      <c r="B142" t="str">
        <f t="shared" si="3"/>
        <v>*[_]Bio-Ht</v>
      </c>
      <c r="C142" t="s">
        <v>783</v>
      </c>
    </row>
    <row r="143" spans="1:3">
      <c r="A143" t="s">
        <v>492</v>
      </c>
      <c r="B143" t="str">
        <f t="shared" si="3"/>
        <v>*[_]Coal-Ht</v>
      </c>
      <c r="C143" t="s">
        <v>784</v>
      </c>
    </row>
    <row r="144" spans="1:3">
      <c r="A144" t="s">
        <v>492</v>
      </c>
      <c r="B144" t="str">
        <f t="shared" si="3"/>
        <v>*[_]Electricity-Ht</v>
      </c>
      <c r="C144" t="s">
        <v>785</v>
      </c>
    </row>
    <row r="145" spans="1:10">
      <c r="A145" t="s">
        <v>492</v>
      </c>
      <c r="B145" t="str">
        <f t="shared" si="3"/>
        <v>*[_]Hydrogen-Ht</v>
      </c>
      <c r="C145" t="s">
        <v>787</v>
      </c>
    </row>
    <row r="146" spans="1:10">
      <c r="A146" t="s">
        <v>492</v>
      </c>
      <c r="B146" t="str">
        <f t="shared" si="3"/>
        <v>*[_]Gas-Ht</v>
      </c>
      <c r="C146" t="s">
        <v>788</v>
      </c>
    </row>
    <row r="147" spans="1:10">
      <c r="A147" t="s">
        <v>492</v>
      </c>
      <c r="B147" t="str">
        <f t="shared" si="3"/>
        <v>*[_]Geothermal-Ht</v>
      </c>
      <c r="C147" t="s">
        <v>789</v>
      </c>
    </row>
    <row r="148" spans="1:10">
      <c r="A148" t="s">
        <v>492</v>
      </c>
      <c r="B148" t="str">
        <f t="shared" si="3"/>
        <v>*[_]Oil-Ht</v>
      </c>
      <c r="C148" t="s">
        <v>790</v>
      </c>
    </row>
    <row r="149" spans="1:10">
      <c r="A149" t="s">
        <v>726</v>
      </c>
      <c r="B149" t="str">
        <f>LEFT(E150,FIND("_",E150))&amp;"*"</f>
        <v>H2_*</v>
      </c>
      <c r="C149" t="s">
        <v>380</v>
      </c>
    </row>
    <row r="150" spans="1:10">
      <c r="A150" t="s">
        <v>726</v>
      </c>
      <c r="B150" t="str">
        <f>LEFT(E151,FIND("_",E151))&amp;"*,*^"&amp;I151</f>
        <v>Elc_*,*^E7000</v>
      </c>
      <c r="C150" t="s">
        <v>257</v>
      </c>
      <c r="E150" s="3" t="s">
        <v>703</v>
      </c>
    </row>
    <row r="151" spans="1:10">
      <c r="A151" t="s">
        <v>726</v>
      </c>
      <c r="B151" t="str">
        <f>LEFT(E152,FIND("_",E152))&amp;"*,*^"&amp;I152</f>
        <v>Gas_*,*^G3000</v>
      </c>
      <c r="C151" t="s">
        <v>157</v>
      </c>
      <c r="E151" s="3" t="s">
        <v>706</v>
      </c>
      <c r="I151" t="s">
        <v>1216</v>
      </c>
      <c r="J151" t="s">
        <v>257</v>
      </c>
    </row>
    <row r="152" spans="1:10">
      <c r="A152" t="s">
        <v>726</v>
      </c>
      <c r="B152" t="str">
        <f>LEFT(E153,FIND("_",E153))&amp;"*,*^"&amp;I153</f>
        <v>Het_*,*^H8000</v>
      </c>
      <c r="C152" t="s">
        <v>368</v>
      </c>
      <c r="E152" s="3" t="s">
        <v>709</v>
      </c>
      <c r="I152" t="s">
        <v>1219</v>
      </c>
      <c r="J152" t="s">
        <v>1220</v>
      </c>
    </row>
    <row r="153" spans="1:10">
      <c r="A153" t="s">
        <v>726</v>
      </c>
      <c r="B153" t="str">
        <f>LEFT(E154,FIND("_",E154)-1)&amp;"*,*^"&amp;I154&amp;",*^W6100_6220"</f>
        <v>Bio*,*^BIOE,*^W6100_6220</v>
      </c>
      <c r="C153" t="s">
        <v>370</v>
      </c>
      <c r="E153" s="3" t="s">
        <v>712</v>
      </c>
      <c r="I153" t="s">
        <v>1221</v>
      </c>
      <c r="J153" t="s">
        <v>368</v>
      </c>
    </row>
    <row r="154" spans="1:10">
      <c r="A154" t="s">
        <v>726</v>
      </c>
      <c r="B154" t="str">
        <f>LEFT(E155,FIND("_",E155))&amp;"*,*^"&amp;I155</f>
        <v>Coa_*,*^C0000X0350-0370</v>
      </c>
      <c r="C154" t="s">
        <v>153</v>
      </c>
      <c r="E154" s="3" t="s">
        <v>715</v>
      </c>
      <c r="I154" t="s">
        <v>1191</v>
      </c>
      <c r="J154" t="s">
        <v>370</v>
      </c>
    </row>
    <row r="155" spans="1:10">
      <c r="A155" t="s">
        <v>726</v>
      </c>
      <c r="B155" t="str">
        <f>LEFT(E156,FIND("_",E156))&amp;"*,*^"&amp;I156</f>
        <v>Oil_*,*^O4000XBIO</v>
      </c>
      <c r="C155" t="s">
        <v>163</v>
      </c>
      <c r="E155" s="3" t="s">
        <v>718</v>
      </c>
      <c r="I155" t="s">
        <v>1192</v>
      </c>
      <c r="J155" t="s">
        <v>1193</v>
      </c>
    </row>
    <row r="156" spans="1:10">
      <c r="A156" t="s">
        <v>1492</v>
      </c>
      <c r="B156" t="str">
        <f t="shared" ref="B156:B173" si="4">E157&amp;"*"</f>
        <v>H2[_]Snk[_]*</v>
      </c>
      <c r="C156" t="s">
        <v>380</v>
      </c>
      <c r="E156" s="3" t="s">
        <v>721</v>
      </c>
      <c r="I156" t="s">
        <v>1224</v>
      </c>
      <c r="J156" t="s">
        <v>1225</v>
      </c>
    </row>
    <row r="157" spans="1:10">
      <c r="A157" t="s">
        <v>806</v>
      </c>
      <c r="B157" t="str">
        <f t="shared" si="4"/>
        <v>H2[_]Src[_]*</v>
      </c>
      <c r="C157" t="s">
        <v>380</v>
      </c>
      <c r="E157" t="s">
        <v>807</v>
      </c>
      <c r="I157" t="s">
        <v>1222</v>
      </c>
      <c r="J157" t="s">
        <v>1223</v>
      </c>
    </row>
    <row r="158" spans="1:10">
      <c r="A158" t="str">
        <f>A156</f>
        <v>Source</v>
      </c>
      <c r="B158" t="str">
        <f t="shared" si="4"/>
        <v>Elc[_]Snk[_]*</v>
      </c>
      <c r="C158" t="s">
        <v>257</v>
      </c>
      <c r="E158" t="s">
        <v>808</v>
      </c>
      <c r="I158" t="s">
        <v>1262</v>
      </c>
      <c r="J158" t="s">
        <v>1263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257</v>
      </c>
      <c r="E159" t="s">
        <v>809</v>
      </c>
      <c r="I159" t="s">
        <v>1264</v>
      </c>
      <c r="J159" t="s">
        <v>1265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157</v>
      </c>
      <c r="E160" t="s">
        <v>810</v>
      </c>
      <c r="I160" t="s">
        <v>1266</v>
      </c>
      <c r="J160" t="s">
        <v>1267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157</v>
      </c>
      <c r="E161" t="s">
        <v>811</v>
      </c>
      <c r="I161" t="s">
        <v>1268</v>
      </c>
      <c r="J161" t="s">
        <v>1269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368</v>
      </c>
      <c r="E162" t="s">
        <v>812</v>
      </c>
      <c r="I162" t="s">
        <v>1270</v>
      </c>
      <c r="J162" t="s">
        <v>1271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368</v>
      </c>
      <c r="E163" t="s">
        <v>813</v>
      </c>
      <c r="I163" t="s">
        <v>1272</v>
      </c>
      <c r="J163" t="s">
        <v>1273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171</v>
      </c>
      <c r="E164" t="s">
        <v>814</v>
      </c>
      <c r="I164" t="s">
        <v>1274</v>
      </c>
      <c r="J164" t="s">
        <v>1275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171</v>
      </c>
      <c r="E165" t="s">
        <v>815</v>
      </c>
      <c r="I165" t="s">
        <v>1278</v>
      </c>
      <c r="J165" t="s">
        <v>177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886</v>
      </c>
      <c r="E166" t="s">
        <v>816</v>
      </c>
      <c r="I166" t="s">
        <v>1279</v>
      </c>
      <c r="J166" t="s">
        <v>175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886</v>
      </c>
      <c r="E167" t="s">
        <v>884</v>
      </c>
      <c r="I167" t="s">
        <v>1280</v>
      </c>
      <c r="J167" t="s">
        <v>375</v>
      </c>
    </row>
    <row r="168" spans="1:10">
      <c r="A168" t="str">
        <f>A164</f>
        <v>Source</v>
      </c>
      <c r="B168" t="str">
        <f t="shared" si="4"/>
        <v>Coa[_]Snk[_]*</v>
      </c>
      <c r="C168" t="s">
        <v>153</v>
      </c>
      <c r="E168" t="s">
        <v>885</v>
      </c>
      <c r="I168" t="s">
        <v>1281</v>
      </c>
      <c r="J168" t="s">
        <v>1282</v>
      </c>
    </row>
    <row r="169" spans="1:10">
      <c r="A169" t="str">
        <f>A165</f>
        <v>Target</v>
      </c>
      <c r="B169" t="str">
        <f t="shared" si="4"/>
        <v>Coa[_]Src[_]*</v>
      </c>
      <c r="C169" t="s">
        <v>153</v>
      </c>
      <c r="E169" t="s">
        <v>817</v>
      </c>
      <c r="I169" t="s">
        <v>1283</v>
      </c>
      <c r="J169" t="s">
        <v>1284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645</v>
      </c>
      <c r="E170" t="s">
        <v>818</v>
      </c>
      <c r="I170" t="s">
        <v>1285</v>
      </c>
      <c r="J170" t="s">
        <v>1286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645</v>
      </c>
      <c r="E171" t="s">
        <v>873</v>
      </c>
      <c r="I171" t="s">
        <v>1291</v>
      </c>
      <c r="J171" t="s">
        <v>1292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875</v>
      </c>
      <c r="E172" t="s">
        <v>874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875</v>
      </c>
      <c r="E173" t="s">
        <v>871</v>
      </c>
    </row>
    <row r="174" spans="1:10">
      <c r="E174" t="s">
        <v>872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topLeftCell="A10" zoomScale="110" zoomScaleNormal="110" workbookViewId="0">
      <selection activeCell="A26" sqref="A26"/>
    </sheetView>
  </sheetViews>
  <sheetFormatPr defaultRowHeight="14.4"/>
  <cols>
    <col min="1" max="1" width="13.6640625" bestFit="1" customWidth="1"/>
    <col min="2" max="2" width="18.33203125" customWidth="1"/>
    <col min="3" max="3" width="18" customWidth="1"/>
    <col min="4" max="4" width="10.88671875" bestFit="1" customWidth="1"/>
  </cols>
  <sheetData>
    <row r="1" spans="1:7">
      <c r="A1" t="s">
        <v>149</v>
      </c>
    </row>
    <row r="2" spans="1:7">
      <c r="A2" t="s">
        <v>99</v>
      </c>
      <c r="B2" t="s">
        <v>100</v>
      </c>
      <c r="C2" t="s">
        <v>101</v>
      </c>
      <c r="D2" t="s">
        <v>1500</v>
      </c>
      <c r="E2" t="s">
        <v>1509</v>
      </c>
      <c r="F2" t="s">
        <v>1510</v>
      </c>
      <c r="G2" t="s">
        <v>1511</v>
      </c>
    </row>
    <row r="3" spans="1:7">
      <c r="A3" t="s">
        <v>1501</v>
      </c>
      <c r="C3" t="s">
        <v>1507</v>
      </c>
      <c r="D3" t="s">
        <v>1508</v>
      </c>
    </row>
    <row r="4" spans="1:7">
      <c r="A4" t="s">
        <v>1501</v>
      </c>
      <c r="C4" t="s">
        <v>153</v>
      </c>
      <c r="D4" t="s">
        <v>152</v>
      </c>
    </row>
    <row r="5" spans="1:7">
      <c r="A5" t="s">
        <v>1501</v>
      </c>
      <c r="C5" t="s">
        <v>155</v>
      </c>
      <c r="D5" t="s">
        <v>154</v>
      </c>
    </row>
    <row r="6" spans="1:7">
      <c r="A6" t="s">
        <v>1501</v>
      </c>
      <c r="C6" t="s">
        <v>157</v>
      </c>
      <c r="D6" t="s">
        <v>156</v>
      </c>
    </row>
    <row r="7" spans="1:7">
      <c r="A7" t="s">
        <v>1501</v>
      </c>
      <c r="C7" t="s">
        <v>159</v>
      </c>
      <c r="D7" t="s">
        <v>158</v>
      </c>
    </row>
    <row r="8" spans="1:7">
      <c r="A8" t="s">
        <v>1501</v>
      </c>
      <c r="C8" t="s">
        <v>161</v>
      </c>
      <c r="D8" t="s">
        <v>160</v>
      </c>
    </row>
    <row r="9" spans="1:7">
      <c r="A9" t="s">
        <v>1501</v>
      </c>
      <c r="C9" t="s">
        <v>163</v>
      </c>
      <c r="D9" t="s">
        <v>162</v>
      </c>
    </row>
    <row r="10" spans="1:7">
      <c r="A10" t="s">
        <v>1501</v>
      </c>
      <c r="C10" t="s">
        <v>165</v>
      </c>
      <c r="D10" t="s">
        <v>164</v>
      </c>
    </row>
    <row r="11" spans="1:7">
      <c r="A11" t="s">
        <v>1501</v>
      </c>
      <c r="C11" t="s">
        <v>167</v>
      </c>
      <c r="D11" t="s">
        <v>166</v>
      </c>
    </row>
    <row r="12" spans="1:7">
      <c r="A12" t="s">
        <v>1501</v>
      </c>
      <c r="C12" t="s">
        <v>169</v>
      </c>
      <c r="D12" t="s">
        <v>168</v>
      </c>
    </row>
    <row r="13" spans="1:7">
      <c r="A13" t="s">
        <v>1501</v>
      </c>
      <c r="C13" t="s">
        <v>171</v>
      </c>
      <c r="D13" t="s">
        <v>170</v>
      </c>
    </row>
    <row r="14" spans="1:7">
      <c r="A14" t="s">
        <v>1501</v>
      </c>
      <c r="C14" t="s">
        <v>173</v>
      </c>
      <c r="D14" t="s">
        <v>172</v>
      </c>
    </row>
    <row r="15" spans="1:7">
      <c r="A15" t="s">
        <v>1501</v>
      </c>
      <c r="C15" t="s">
        <v>175</v>
      </c>
      <c r="D15" t="s">
        <v>174</v>
      </c>
    </row>
    <row r="16" spans="1:7">
      <c r="A16" t="s">
        <v>1501</v>
      </c>
      <c r="C16" t="s">
        <v>612</v>
      </c>
      <c r="D16" t="s">
        <v>542</v>
      </c>
    </row>
    <row r="17" spans="1:4">
      <c r="A17" t="s">
        <v>1501</v>
      </c>
      <c r="C17" t="s">
        <v>177</v>
      </c>
      <c r="D17" t="s">
        <v>176</v>
      </c>
    </row>
    <row r="18" spans="1:4">
      <c r="A18" t="s">
        <v>1501</v>
      </c>
      <c r="C18" t="s">
        <v>179</v>
      </c>
      <c r="D18" t="s">
        <v>178</v>
      </c>
    </row>
    <row r="19" spans="1:4">
      <c r="A19" t="s">
        <v>1501</v>
      </c>
      <c r="C19" t="s">
        <v>181</v>
      </c>
      <c r="D19" t="s">
        <v>180</v>
      </c>
    </row>
    <row r="20" spans="1:4">
      <c r="A20" t="s">
        <v>1501</v>
      </c>
      <c r="C20" t="s">
        <v>183</v>
      </c>
      <c r="D20" t="s">
        <v>182</v>
      </c>
    </row>
    <row r="21" spans="1:4">
      <c r="A21" t="s">
        <v>1501</v>
      </c>
      <c r="C21" t="s">
        <v>185</v>
      </c>
      <c r="D21" t="s">
        <v>184</v>
      </c>
    </row>
    <row r="22" spans="1:4">
      <c r="A22" t="s">
        <v>1504</v>
      </c>
      <c r="C22" t="s">
        <v>1505</v>
      </c>
      <c r="D22" t="s">
        <v>747</v>
      </c>
    </row>
    <row r="23" spans="1:4">
      <c r="A23" t="s">
        <v>1504</v>
      </c>
      <c r="C23" t="s">
        <v>454</v>
      </c>
      <c r="D23" t="s">
        <v>749</v>
      </c>
    </row>
    <row r="24" spans="1:4">
      <c r="A24" t="s">
        <v>1504</v>
      </c>
      <c r="C24" t="s">
        <v>1506</v>
      </c>
      <c r="D24" t="s">
        <v>518</v>
      </c>
    </row>
    <row r="25" spans="1:4">
      <c r="A25" t="s">
        <v>1504</v>
      </c>
      <c r="C25" t="s">
        <v>68</v>
      </c>
      <c r="D25" t="s">
        <v>463</v>
      </c>
    </row>
    <row r="33" spans="1:8">
      <c r="A33" t="s">
        <v>415</v>
      </c>
      <c r="B33" t="str">
        <f t="shared" ref="B33:B38" si="0">"*[_]"&amp;G33&amp;"[_]*"</f>
        <v>*[_]car[_]*</v>
      </c>
      <c r="C33" t="s">
        <v>207</v>
      </c>
      <c r="G33" s="3" t="s">
        <v>201</v>
      </c>
      <c r="H33" s="3"/>
    </row>
    <row r="34" spans="1:8">
      <c r="A34" t="s">
        <v>415</v>
      </c>
      <c r="B34" t="str">
        <f t="shared" si="0"/>
        <v>*[_]bus[_]*</v>
      </c>
      <c r="C34" t="s">
        <v>208</v>
      </c>
      <c r="G34" s="3" t="s">
        <v>202</v>
      </c>
      <c r="H34" s="3"/>
    </row>
    <row r="35" spans="1:8">
      <c r="A35" t="s">
        <v>415</v>
      </c>
      <c r="B35" t="str">
        <f t="shared" si="0"/>
        <v>*[_]hdt[_]*</v>
      </c>
      <c r="C35" t="s">
        <v>209</v>
      </c>
      <c r="G35" s="3" t="s">
        <v>203</v>
      </c>
      <c r="H35" s="3"/>
    </row>
    <row r="36" spans="1:8">
      <c r="A36" t="s">
        <v>415</v>
      </c>
      <c r="B36" t="str">
        <f t="shared" si="0"/>
        <v>*[_]lcv[_]*</v>
      </c>
      <c r="C36" t="s">
        <v>210</v>
      </c>
      <c r="G36" s="3" t="s">
        <v>204</v>
      </c>
      <c r="H36" s="3"/>
    </row>
    <row r="37" spans="1:8">
      <c r="A37" t="s">
        <v>415</v>
      </c>
      <c r="B37" t="str">
        <f t="shared" si="0"/>
        <v>*[_]mot[_]*</v>
      </c>
      <c r="C37" t="s">
        <v>211</v>
      </c>
      <c r="G37" s="3" t="s">
        <v>205</v>
      </c>
      <c r="H37" s="3"/>
    </row>
    <row r="38" spans="1:8">
      <c r="A38" t="s">
        <v>415</v>
      </c>
      <c r="B38" t="str">
        <f t="shared" si="0"/>
        <v>*[_]mop[_]*</v>
      </c>
      <c r="C38" t="s">
        <v>212</v>
      </c>
      <c r="G38" s="3" t="s">
        <v>206</v>
      </c>
      <c r="H38" s="3"/>
    </row>
    <row r="39" spans="1:8">
      <c r="A39" t="s">
        <v>213</v>
      </c>
      <c r="B39" t="str">
        <f>"*[_]"&amp;G39&amp;"*"</f>
        <v>*[_]Exe*</v>
      </c>
      <c r="C39" t="s">
        <v>220</v>
      </c>
      <c r="G39" s="3" t="s">
        <v>214</v>
      </c>
      <c r="H39" s="3"/>
    </row>
    <row r="40" spans="1:8">
      <c r="A40" t="s">
        <v>213</v>
      </c>
      <c r="B40" t="str">
        <f>"*[_]"&amp;G40&amp;"*"</f>
        <v>*[_]Lom*</v>
      </c>
      <c r="C40" t="s">
        <v>221</v>
      </c>
      <c r="G40" s="3" t="s">
        <v>215</v>
      </c>
      <c r="H40" s="3"/>
    </row>
    <row r="41" spans="1:8">
      <c r="A41" t="s">
        <v>213</v>
      </c>
      <c r="B41" t="str">
        <f>"*[_]"&amp;G41&amp;"*"</f>
        <v>*[_]Upm*</v>
      </c>
      <c r="C41" t="s">
        <v>222</v>
      </c>
      <c r="G41" s="3" t="s">
        <v>216</v>
      </c>
      <c r="H41" s="3"/>
    </row>
    <row r="42" spans="1:8">
      <c r="A42" t="s">
        <v>213</v>
      </c>
      <c r="B42" t="str">
        <f>"*[_]"&amp;G42&amp;"*"</f>
        <v>*[_]Sma*</v>
      </c>
      <c r="C42" t="s">
        <v>223</v>
      </c>
      <c r="G42" s="3" t="s">
        <v>217</v>
      </c>
      <c r="H42" s="3"/>
    </row>
    <row r="43" spans="1:8">
      <c r="A43" t="s">
        <v>213</v>
      </c>
      <c r="B43" t="str">
        <f>"*Bus*[_]"&amp;G43&amp;"*"</f>
        <v>*Bus*[_]Coa*</v>
      </c>
      <c r="C43" t="s">
        <v>224</v>
      </c>
      <c r="G43" s="3" t="s">
        <v>218</v>
      </c>
      <c r="H43" s="3"/>
    </row>
    <row r="44" spans="1:8">
      <c r="A44" t="s">
        <v>213</v>
      </c>
      <c r="B44" t="str">
        <f>"*Bus*[_]"&amp;G44&amp;"*"</f>
        <v>*Bus*[_]Urb*</v>
      </c>
      <c r="C44" t="s">
        <v>225</v>
      </c>
      <c r="G44" s="3" t="s">
        <v>219</v>
      </c>
      <c r="H44" s="3"/>
    </row>
    <row r="45" spans="1:8">
      <c r="A45" t="s">
        <v>235</v>
      </c>
      <c r="B45" t="str">
        <f>"*[_]"&amp;G45&amp;"[_]*,*[_]"&amp;G45</f>
        <v>*[_]Dis[_]*,*[_]Dis</v>
      </c>
      <c r="C45" t="s">
        <v>236</v>
      </c>
      <c r="G45" t="s">
        <v>226</v>
      </c>
    </row>
    <row r="46" spans="1:8">
      <c r="A46" t="s">
        <v>235</v>
      </c>
      <c r="B46" t="str">
        <f t="shared" ref="B46:B54" si="1">"*[_]"&amp;G46&amp;"[_]*,*[_]"&amp;G46</f>
        <v>*[_]Gas[_]*,*[_]Gas</v>
      </c>
      <c r="C46" t="s">
        <v>237</v>
      </c>
      <c r="G46" t="s">
        <v>157</v>
      </c>
    </row>
    <row r="47" spans="1:8">
      <c r="A47" t="s">
        <v>235</v>
      </c>
      <c r="B47" t="str">
        <f t="shared" si="1"/>
        <v>*[_]Eth[_]*,*[_]Eth</v>
      </c>
      <c r="C47" t="s">
        <v>238</v>
      </c>
      <c r="G47" t="s">
        <v>227</v>
      </c>
    </row>
    <row r="48" spans="1:8">
      <c r="A48" t="s">
        <v>235</v>
      </c>
      <c r="B48" t="str">
        <f t="shared" si="1"/>
        <v>*[_]Cng[_]*,*[_]Cng</v>
      </c>
      <c r="C48" t="s">
        <v>239</v>
      </c>
      <c r="G48" t="s">
        <v>228</v>
      </c>
    </row>
    <row r="49" spans="1:7">
      <c r="A49" t="s">
        <v>235</v>
      </c>
      <c r="B49" t="str">
        <f t="shared" si="1"/>
        <v>*[_]GH2[_]*,*[_]GH2</v>
      </c>
      <c r="C49" t="s">
        <v>240</v>
      </c>
      <c r="G49" t="s">
        <v>229</v>
      </c>
    </row>
    <row r="50" spans="1:7">
      <c r="A50" t="s">
        <v>235</v>
      </c>
      <c r="B50" t="str">
        <f t="shared" si="1"/>
        <v>*[_]LH2[_]*,*[_]LH2</v>
      </c>
      <c r="C50" t="s">
        <v>241</v>
      </c>
      <c r="G50" t="s">
        <v>230</v>
      </c>
    </row>
    <row r="51" spans="1:7">
      <c r="A51" t="s">
        <v>235</v>
      </c>
      <c r="B51" t="str">
        <f t="shared" si="1"/>
        <v>*[_]Elc[_]*,*[_]Elc</v>
      </c>
      <c r="C51" t="s">
        <v>242</v>
      </c>
      <c r="G51" t="s">
        <v>231</v>
      </c>
    </row>
    <row r="52" spans="1:7">
      <c r="A52" t="s">
        <v>235</v>
      </c>
      <c r="B52" t="str">
        <f t="shared" si="1"/>
        <v>*[_]Lpg[_]*,*[_]Lpg</v>
      </c>
      <c r="C52" t="s">
        <v>243</v>
      </c>
      <c r="G52" t="s">
        <v>232</v>
      </c>
    </row>
    <row r="53" spans="1:7">
      <c r="A53" t="s">
        <v>235</v>
      </c>
      <c r="B53" t="str">
        <f t="shared" si="1"/>
        <v>*[_]PIH[_]*,*[_]PIH</v>
      </c>
      <c r="C53" t="s">
        <v>244</v>
      </c>
      <c r="G53" t="s">
        <v>233</v>
      </c>
    </row>
    <row r="54" spans="1:7">
      <c r="A54" t="s">
        <v>235</v>
      </c>
      <c r="B54" t="str">
        <f t="shared" si="1"/>
        <v>*[_]Fle[_]*,*[_]Fle</v>
      </c>
      <c r="C54" t="s">
        <v>245</v>
      </c>
      <c r="G54" t="s">
        <v>234</v>
      </c>
    </row>
    <row r="55" spans="1:7">
      <c r="A55" t="s">
        <v>235</v>
      </c>
      <c r="B55" t="str">
        <f>"*[_]"&amp;G55&amp;"[_]*,*[_]"&amp;G55</f>
        <v>*[_]Oth[_]*,*[_]Oth</v>
      </c>
      <c r="C55" t="s">
        <v>355</v>
      </c>
      <c r="G55" t="s">
        <v>451</v>
      </c>
    </row>
    <row r="56" spans="1:7">
      <c r="A56" t="s">
        <v>276</v>
      </c>
      <c r="B56" t="s">
        <v>416</v>
      </c>
      <c r="C56" t="s">
        <v>421</v>
      </c>
    </row>
    <row r="57" spans="1:7">
      <c r="A57" t="s">
        <v>276</v>
      </c>
      <c r="B57" t="s">
        <v>417</v>
      </c>
      <c r="C57" t="s">
        <v>421</v>
      </c>
    </row>
    <row r="58" spans="1:7">
      <c r="A58" t="s">
        <v>276</v>
      </c>
      <c r="B58" t="str">
        <f>"*-"&amp;G58&amp;"[_]*,DET*"</f>
        <v>*-DH[_]*,DET*</v>
      </c>
      <c r="C58" t="s">
        <v>277</v>
      </c>
      <c r="G58" t="s">
        <v>272</v>
      </c>
    </row>
    <row r="59" spans="1:7">
      <c r="A59" t="s">
        <v>276</v>
      </c>
      <c r="B59" t="str">
        <f t="shared" ref="B59:B67" si="2">"*-"&amp;G59&amp;"[_]*"</f>
        <v>*-DH-70[_]*</v>
      </c>
      <c r="C59" t="s">
        <v>278</v>
      </c>
      <c r="G59" t="s">
        <v>273</v>
      </c>
    </row>
    <row r="60" spans="1:7">
      <c r="A60" t="s">
        <v>276</v>
      </c>
      <c r="B60" t="str">
        <f>"*-"&amp;G60&amp;"[_]*,SDE*"</f>
        <v>*-SD[_]*,SDE*</v>
      </c>
      <c r="C60" t="s">
        <v>279</v>
      </c>
      <c r="G60" t="s">
        <v>274</v>
      </c>
    </row>
    <row r="61" spans="1:7">
      <c r="A61" t="s">
        <v>276</v>
      </c>
      <c r="B61" t="str">
        <f>"*-"&amp;G61&amp;"[_]*,FLT*"</f>
        <v>*-FL[_]*,FLT*</v>
      </c>
      <c r="C61" t="s">
        <v>280</v>
      </c>
      <c r="G61" t="s">
        <v>275</v>
      </c>
    </row>
    <row r="62" spans="1:7">
      <c r="A62" t="s">
        <v>276</v>
      </c>
      <c r="B62" t="str">
        <f t="shared" si="2"/>
        <v>*-HO[_]*</v>
      </c>
      <c r="C62" t="s">
        <v>295</v>
      </c>
      <c r="G62" t="s">
        <v>288</v>
      </c>
    </row>
    <row r="63" spans="1:7">
      <c r="A63" t="s">
        <v>276</v>
      </c>
      <c r="B63" t="str">
        <f t="shared" si="2"/>
        <v>*-HR[_]*</v>
      </c>
      <c r="C63" t="s">
        <v>296</v>
      </c>
      <c r="G63" t="s">
        <v>289</v>
      </c>
    </row>
    <row r="64" spans="1:7">
      <c r="A64" t="s">
        <v>276</v>
      </c>
      <c r="B64" t="str">
        <f t="shared" si="2"/>
        <v>*-OF[_]*</v>
      </c>
      <c r="C64" t="s">
        <v>294</v>
      </c>
      <c r="G64" t="s">
        <v>290</v>
      </c>
    </row>
    <row r="65" spans="1:7">
      <c r="A65" t="s">
        <v>276</v>
      </c>
      <c r="B65" t="str">
        <f t="shared" si="2"/>
        <v>*-SL[_]*</v>
      </c>
      <c r="C65" t="s">
        <v>297</v>
      </c>
      <c r="G65" t="s">
        <v>291</v>
      </c>
    </row>
    <row r="66" spans="1:7">
      <c r="A66" t="s">
        <v>276</v>
      </c>
      <c r="B66" t="str">
        <f t="shared" si="2"/>
        <v>*-SR[_]*</v>
      </c>
      <c r="C66" t="s">
        <v>298</v>
      </c>
      <c r="G66" t="s">
        <v>292</v>
      </c>
    </row>
    <row r="67" spans="1:7">
      <c r="A67" t="s">
        <v>276</v>
      </c>
      <c r="B67" t="str">
        <f t="shared" si="2"/>
        <v>*-SS[_]*</v>
      </c>
      <c r="C67" t="s">
        <v>299</v>
      </c>
      <c r="G67" t="s">
        <v>293</v>
      </c>
    </row>
    <row r="68" spans="1:7">
      <c r="A68" t="s">
        <v>284</v>
      </c>
      <c r="B68" t="str">
        <f>"*"&amp;G68</f>
        <v>*MG?</v>
      </c>
      <c r="C68" t="s">
        <v>285</v>
      </c>
      <c r="G68" t="s">
        <v>281</v>
      </c>
    </row>
    <row r="69" spans="1:7">
      <c r="A69" t="s">
        <v>284</v>
      </c>
      <c r="B69" t="str">
        <f>"*"&amp;G69</f>
        <v>*MR?</v>
      </c>
      <c r="C69" t="s">
        <v>286</v>
      </c>
      <c r="G69" t="s">
        <v>282</v>
      </c>
    </row>
    <row r="70" spans="1:7">
      <c r="A70" t="s">
        <v>284</v>
      </c>
      <c r="B70" t="str">
        <f>"*"&amp;G70</f>
        <v>*MW?</v>
      </c>
      <c r="C70" t="s">
        <v>287</v>
      </c>
      <c r="G70" t="s">
        <v>283</v>
      </c>
    </row>
    <row r="71" spans="1:7">
      <c r="A71" t="s">
        <v>415</v>
      </c>
      <c r="B71" t="s">
        <v>416</v>
      </c>
      <c r="C71" t="s">
        <v>423</v>
      </c>
    </row>
    <row r="72" spans="1:7">
      <c r="A72" t="s">
        <v>415</v>
      </c>
      <c r="B72" t="s">
        <v>417</v>
      </c>
      <c r="C72" t="s">
        <v>422</v>
      </c>
    </row>
    <row r="73" spans="1:7">
      <c r="A73" t="s">
        <v>415</v>
      </c>
      <c r="B73" t="s">
        <v>453</v>
      </c>
      <c r="C73" t="s">
        <v>454</v>
      </c>
    </row>
    <row r="74" spans="1:7">
      <c r="A74" t="s">
        <v>415</v>
      </c>
      <c r="B74" t="str">
        <f>"*-"&amp;G74&amp;"-*"</f>
        <v>*-CK-*</v>
      </c>
      <c r="C74" t="s">
        <v>307</v>
      </c>
      <c r="G74" t="s">
        <v>303</v>
      </c>
    </row>
    <row r="75" spans="1:7">
      <c r="A75" t="s">
        <v>415</v>
      </c>
      <c r="B75" t="str">
        <f>"*-"&amp;G75&amp;"-*"</f>
        <v>*-SC-*</v>
      </c>
      <c r="C75" t="s">
        <v>308</v>
      </c>
      <c r="G75" t="s">
        <v>304</v>
      </c>
    </row>
    <row r="76" spans="1:7">
      <c r="A76" t="s">
        <v>415</v>
      </c>
      <c r="B76" t="str">
        <f>"*-"&amp;G76&amp;"-*,*-M??"</f>
        <v>*-SH-*,*-M??</v>
      </c>
      <c r="C76" t="s">
        <v>309</v>
      </c>
      <c r="G76" t="s">
        <v>305</v>
      </c>
    </row>
    <row r="77" spans="1:7">
      <c r="A77" t="s">
        <v>415</v>
      </c>
      <c r="B77" t="str">
        <f>"*-"&amp;G77&amp;"-*"</f>
        <v>*-WH-*</v>
      </c>
      <c r="C77" t="s">
        <v>310</v>
      </c>
      <c r="G77" t="s">
        <v>306</v>
      </c>
    </row>
    <row r="78" spans="1:7">
      <c r="A78" t="s">
        <v>415</v>
      </c>
      <c r="B78" t="s">
        <v>768</v>
      </c>
      <c r="C78" t="s">
        <v>353</v>
      </c>
    </row>
    <row r="79" spans="1:7">
      <c r="A79" t="s">
        <v>415</v>
      </c>
      <c r="B79" t="s">
        <v>769</v>
      </c>
      <c r="C79" t="s">
        <v>354</v>
      </c>
    </row>
    <row r="80" spans="1:7">
      <c r="A80" t="s">
        <v>415</v>
      </c>
      <c r="B80" t="s">
        <v>770</v>
      </c>
      <c r="C80" t="s">
        <v>357</v>
      </c>
    </row>
    <row r="81" spans="1:3">
      <c r="A81" t="s">
        <v>415</v>
      </c>
      <c r="B81" t="s">
        <v>771</v>
      </c>
      <c r="C81" t="s">
        <v>358</v>
      </c>
    </row>
    <row r="82" spans="1:3">
      <c r="A82" t="s">
        <v>415</v>
      </c>
      <c r="B82" t="s">
        <v>772</v>
      </c>
      <c r="C82" t="s">
        <v>355</v>
      </c>
    </row>
    <row r="83" spans="1:3">
      <c r="A83" t="s">
        <v>415</v>
      </c>
      <c r="B83" t="s">
        <v>773</v>
      </c>
      <c r="C83" t="s">
        <v>359</v>
      </c>
    </row>
    <row r="84" spans="1:3">
      <c r="A84" t="s">
        <v>415</v>
      </c>
      <c r="B84" t="s">
        <v>774</v>
      </c>
      <c r="C84" t="s">
        <v>356</v>
      </c>
    </row>
    <row r="85" spans="1:3">
      <c r="A85" t="s">
        <v>415</v>
      </c>
      <c r="B85" t="s">
        <v>741</v>
      </c>
      <c r="C85" t="s">
        <v>398</v>
      </c>
    </row>
    <row r="86" spans="1:3">
      <c r="A86" t="s">
        <v>521</v>
      </c>
      <c r="B86" t="s">
        <v>470</v>
      </c>
      <c r="C86" t="s">
        <v>471</v>
      </c>
    </row>
    <row r="87" spans="1:3">
      <c r="A87" t="s">
        <v>521</v>
      </c>
      <c r="B87" t="s">
        <v>472</v>
      </c>
      <c r="C87" t="s">
        <v>473</v>
      </c>
    </row>
    <row r="88" spans="1:3">
      <c r="A88" t="s">
        <v>521</v>
      </c>
      <c r="B88" t="s">
        <v>474</v>
      </c>
      <c r="C88" t="s">
        <v>475</v>
      </c>
    </row>
    <row r="89" spans="1:3">
      <c r="A89" t="s">
        <v>521</v>
      </c>
      <c r="B89" t="s">
        <v>476</v>
      </c>
      <c r="C89" t="s">
        <v>477</v>
      </c>
    </row>
    <row r="90" spans="1:3">
      <c r="A90" t="s">
        <v>521</v>
      </c>
      <c r="B90" t="s">
        <v>478</v>
      </c>
      <c r="C90" t="s">
        <v>475</v>
      </c>
    </row>
    <row r="91" spans="1:3">
      <c r="A91" t="s">
        <v>521</v>
      </c>
      <c r="B91" t="s">
        <v>479</v>
      </c>
      <c r="C91" t="s">
        <v>475</v>
      </c>
    </row>
    <row r="92" spans="1:3">
      <c r="A92" t="s">
        <v>521</v>
      </c>
      <c r="B92" t="s">
        <v>480</v>
      </c>
      <c r="C92" t="s">
        <v>477</v>
      </c>
    </row>
    <row r="93" spans="1:3">
      <c r="A93" t="s">
        <v>521</v>
      </c>
      <c r="B93" t="s">
        <v>481</v>
      </c>
      <c r="C93" t="s">
        <v>482</v>
      </c>
    </row>
    <row r="94" spans="1:3">
      <c r="A94" t="s">
        <v>521</v>
      </c>
      <c r="B94" t="s">
        <v>483</v>
      </c>
      <c r="C94" t="s">
        <v>484</v>
      </c>
    </row>
    <row r="95" spans="1:3">
      <c r="A95" t="s">
        <v>521</v>
      </c>
      <c r="B95" t="s">
        <v>485</v>
      </c>
      <c r="C95" t="s">
        <v>486</v>
      </c>
    </row>
    <row r="96" spans="1:3">
      <c r="A96" t="s">
        <v>521</v>
      </c>
      <c r="B96" t="s">
        <v>487</v>
      </c>
      <c r="C96" t="s">
        <v>488</v>
      </c>
    </row>
    <row r="97" spans="1:3">
      <c r="A97" t="s">
        <v>521</v>
      </c>
      <c r="B97" t="s">
        <v>489</v>
      </c>
      <c r="C97" t="s">
        <v>471</v>
      </c>
    </row>
    <row r="98" spans="1:3">
      <c r="A98" t="s">
        <v>521</v>
      </c>
      <c r="B98" t="s">
        <v>490</v>
      </c>
      <c r="C98" t="s">
        <v>471</v>
      </c>
    </row>
    <row r="99" spans="1:3">
      <c r="A99" t="s">
        <v>521</v>
      </c>
      <c r="B99" t="s">
        <v>491</v>
      </c>
      <c r="C99" t="s">
        <v>477</v>
      </c>
    </row>
    <row r="100" spans="1:3">
      <c r="A100" t="s">
        <v>521</v>
      </c>
      <c r="B100" t="s">
        <v>496</v>
      </c>
      <c r="C100" t="s">
        <v>497</v>
      </c>
    </row>
    <row r="101" spans="1:3">
      <c r="A101" t="s">
        <v>521</v>
      </c>
      <c r="B101" t="s">
        <v>493</v>
      </c>
      <c r="C101" t="s">
        <v>452</v>
      </c>
    </row>
    <row r="102" spans="1:3">
      <c r="A102" t="s">
        <v>521</v>
      </c>
      <c r="B102" t="s">
        <v>494</v>
      </c>
      <c r="C102" t="s">
        <v>360</v>
      </c>
    </row>
    <row r="103" spans="1:3">
      <c r="A103" t="s">
        <v>521</v>
      </c>
      <c r="B103" t="s">
        <v>495</v>
      </c>
      <c r="C103" t="s">
        <v>498</v>
      </c>
    </row>
    <row r="104" spans="1:3">
      <c r="A104" t="s">
        <v>521</v>
      </c>
      <c r="B104" t="s">
        <v>499</v>
      </c>
      <c r="C104" t="s">
        <v>500</v>
      </c>
    </row>
    <row r="105" spans="1:3">
      <c r="A105" t="s">
        <v>745</v>
      </c>
      <c r="B105" t="s">
        <v>746</v>
      </c>
      <c r="C105" t="s">
        <v>747</v>
      </c>
    </row>
    <row r="106" spans="1:3">
      <c r="A106" t="s">
        <v>745</v>
      </c>
      <c r="B106" t="s">
        <v>748</v>
      </c>
      <c r="C106" t="s">
        <v>749</v>
      </c>
    </row>
    <row r="107" spans="1:3">
      <c r="A107" t="s">
        <v>745</v>
      </c>
      <c r="B107" t="s">
        <v>750</v>
      </c>
      <c r="C107" t="s">
        <v>749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topLeftCell="A3" workbookViewId="0">
      <selection activeCell="E22" sqref="E22"/>
    </sheetView>
  </sheetViews>
  <sheetFormatPr defaultRowHeight="14.4"/>
  <cols>
    <col min="1" max="1" width="17" bestFit="1" customWidth="1"/>
    <col min="2" max="2" width="50.5546875" customWidth="1"/>
    <col min="3" max="3" width="13.88671875" bestFit="1" customWidth="1"/>
  </cols>
  <sheetData>
    <row r="1" spans="1:14">
      <c r="A1" t="s">
        <v>264</v>
      </c>
    </row>
    <row r="2" spans="1:14">
      <c r="A2" t="s">
        <v>99</v>
      </c>
      <c r="B2" t="s">
        <v>100</v>
      </c>
      <c r="C2" t="s">
        <v>101</v>
      </c>
      <c r="D2" t="s">
        <v>1496</v>
      </c>
    </row>
    <row r="5" spans="1:14">
      <c r="A5" t="s">
        <v>110</v>
      </c>
      <c r="B5" t="s">
        <v>765</v>
      </c>
      <c r="C5" t="s">
        <v>153</v>
      </c>
      <c r="L5" t="s">
        <v>110</v>
      </c>
      <c r="M5" t="s">
        <v>246</v>
      </c>
      <c r="N5" t="s">
        <v>236</v>
      </c>
    </row>
    <row r="6" spans="1:14">
      <c r="A6" t="s">
        <v>110</v>
      </c>
      <c r="B6" t="s">
        <v>766</v>
      </c>
      <c r="C6" t="s">
        <v>257</v>
      </c>
      <c r="L6" t="s">
        <v>110</v>
      </c>
      <c r="M6" t="s">
        <v>247</v>
      </c>
      <c r="N6" t="s">
        <v>257</v>
      </c>
    </row>
    <row r="7" spans="1:14">
      <c r="A7" t="s">
        <v>110</v>
      </c>
      <c r="B7" t="s">
        <v>767</v>
      </c>
      <c r="C7" t="s">
        <v>157</v>
      </c>
      <c r="L7" t="s">
        <v>110</v>
      </c>
      <c r="M7" t="s">
        <v>248</v>
      </c>
      <c r="N7" t="s">
        <v>257</v>
      </c>
    </row>
    <row r="8" spans="1:14">
      <c r="A8" t="s">
        <v>110</v>
      </c>
      <c r="B8" t="s">
        <v>362</v>
      </c>
      <c r="C8" t="s">
        <v>361</v>
      </c>
      <c r="L8" t="s">
        <v>110</v>
      </c>
      <c r="M8" t="s">
        <v>249</v>
      </c>
      <c r="N8" t="s">
        <v>257</v>
      </c>
    </row>
    <row r="9" spans="1:14">
      <c r="A9" t="s">
        <v>110</v>
      </c>
      <c r="B9" t="s">
        <v>363</v>
      </c>
      <c r="C9" t="s">
        <v>243</v>
      </c>
      <c r="L9" t="s">
        <v>110</v>
      </c>
      <c r="M9" t="s">
        <v>250</v>
      </c>
      <c r="N9" t="s">
        <v>238</v>
      </c>
    </row>
    <row r="10" spans="1:14">
      <c r="A10" t="s">
        <v>110</v>
      </c>
      <c r="B10" t="s">
        <v>364</v>
      </c>
      <c r="C10" t="s">
        <v>236</v>
      </c>
      <c r="L10" t="s">
        <v>110</v>
      </c>
      <c r="M10" t="s">
        <v>251</v>
      </c>
      <c r="N10" t="s">
        <v>258</v>
      </c>
    </row>
    <row r="11" spans="1:14">
      <c r="A11" t="s">
        <v>110</v>
      </c>
      <c r="B11" t="s">
        <v>365</v>
      </c>
      <c r="C11" t="s">
        <v>237</v>
      </c>
      <c r="L11" t="s">
        <v>110</v>
      </c>
      <c r="M11" t="s">
        <v>252</v>
      </c>
      <c r="N11" t="s">
        <v>262</v>
      </c>
    </row>
    <row r="12" spans="1:14">
      <c r="A12" t="s">
        <v>110</v>
      </c>
      <c r="B12" t="s">
        <v>366</v>
      </c>
      <c r="C12" t="s">
        <v>385</v>
      </c>
      <c r="L12" t="s">
        <v>110</v>
      </c>
      <c r="M12" t="s">
        <v>253</v>
      </c>
      <c r="N12" t="s">
        <v>259</v>
      </c>
    </row>
    <row r="13" spans="1:14">
      <c r="A13" t="s">
        <v>110</v>
      </c>
      <c r="B13" t="s">
        <v>367</v>
      </c>
      <c r="C13" t="s">
        <v>167</v>
      </c>
      <c r="L13" t="s">
        <v>110</v>
      </c>
      <c r="M13" t="s">
        <v>254</v>
      </c>
      <c r="N13" t="s">
        <v>260</v>
      </c>
    </row>
    <row r="14" spans="1:14">
      <c r="A14" t="s">
        <v>110</v>
      </c>
      <c r="B14" t="s">
        <v>369</v>
      </c>
      <c r="C14" t="s">
        <v>368</v>
      </c>
      <c r="L14" t="s">
        <v>110</v>
      </c>
      <c r="M14" t="s">
        <v>255</v>
      </c>
      <c r="N14" t="s">
        <v>261</v>
      </c>
    </row>
    <row r="15" spans="1:14">
      <c r="A15" t="s">
        <v>110</v>
      </c>
      <c r="B15" t="s">
        <v>371</v>
      </c>
      <c r="C15" t="s">
        <v>370</v>
      </c>
      <c r="L15" t="s">
        <v>110</v>
      </c>
      <c r="M15" t="s">
        <v>256</v>
      </c>
      <c r="N15" t="s">
        <v>263</v>
      </c>
    </row>
    <row r="16" spans="1:14">
      <c r="A16" t="s">
        <v>110</v>
      </c>
      <c r="B16" t="s">
        <v>372</v>
      </c>
      <c r="C16" t="s">
        <v>175</v>
      </c>
    </row>
    <row r="17" spans="1:4">
      <c r="A17" t="s">
        <v>110</v>
      </c>
      <c r="B17" t="s">
        <v>373</v>
      </c>
      <c r="C17" t="s">
        <v>177</v>
      </c>
    </row>
    <row r="18" spans="1:4">
      <c r="A18" t="s">
        <v>110</v>
      </c>
      <c r="B18" t="s">
        <v>374</v>
      </c>
      <c r="C18" t="s">
        <v>181</v>
      </c>
    </row>
    <row r="19" spans="1:4">
      <c r="A19" t="s">
        <v>110</v>
      </c>
      <c r="B19" t="s">
        <v>376</v>
      </c>
      <c r="C19" t="s">
        <v>375</v>
      </c>
    </row>
    <row r="20" spans="1:4">
      <c r="A20" t="s">
        <v>110</v>
      </c>
      <c r="B20" t="s">
        <v>377</v>
      </c>
      <c r="C20" t="s">
        <v>179</v>
      </c>
    </row>
    <row r="21" spans="1:4">
      <c r="A21" t="s">
        <v>110</v>
      </c>
      <c r="B21" t="s">
        <v>379</v>
      </c>
      <c r="C21" t="s">
        <v>378</v>
      </c>
    </row>
    <row r="22" spans="1:4">
      <c r="A22" t="s">
        <v>110</v>
      </c>
      <c r="B22" t="s">
        <v>381</v>
      </c>
      <c r="C22" t="s">
        <v>380</v>
      </c>
    </row>
    <row r="23" spans="1:4">
      <c r="A23" t="s">
        <v>110</v>
      </c>
      <c r="B23" t="s">
        <v>383</v>
      </c>
      <c r="C23" t="s">
        <v>382</v>
      </c>
    </row>
    <row r="24" spans="1:4">
      <c r="A24" t="s">
        <v>110</v>
      </c>
      <c r="B24" t="s">
        <v>384</v>
      </c>
      <c r="C24" t="s">
        <v>386</v>
      </c>
    </row>
    <row r="25" spans="1:4">
      <c r="A25" t="s">
        <v>110</v>
      </c>
      <c r="B25" t="s">
        <v>420</v>
      </c>
      <c r="C25" t="s">
        <v>395</v>
      </c>
    </row>
    <row r="26" spans="1:4">
      <c r="A26" t="s">
        <v>110</v>
      </c>
      <c r="B26" t="s">
        <v>644</v>
      </c>
      <c r="C26" t="s">
        <v>645</v>
      </c>
    </row>
    <row r="27" spans="1:4">
      <c r="A27" t="s">
        <v>697</v>
      </c>
      <c r="C27" t="s">
        <v>153</v>
      </c>
      <c r="D27" t="s">
        <v>558</v>
      </c>
    </row>
    <row r="28" spans="1:4">
      <c r="A28" t="s">
        <v>697</v>
      </c>
      <c r="C28" t="s">
        <v>257</v>
      </c>
      <c r="D28" t="s">
        <v>559</v>
      </c>
    </row>
    <row r="29" spans="1:4">
      <c r="A29" t="s">
        <v>697</v>
      </c>
      <c r="C29" t="s">
        <v>157</v>
      </c>
      <c r="D29" t="s">
        <v>560</v>
      </c>
    </row>
    <row r="30" spans="1:4">
      <c r="A30" t="s">
        <v>697</v>
      </c>
      <c r="C30" t="s">
        <v>163</v>
      </c>
      <c r="D30" t="s">
        <v>561</v>
      </c>
    </row>
    <row r="31" spans="1:4">
      <c r="A31" t="s">
        <v>697</v>
      </c>
      <c r="C31" t="s">
        <v>567</v>
      </c>
      <c r="D31" t="s">
        <v>586</v>
      </c>
    </row>
    <row r="32" spans="1:4">
      <c r="A32" t="s">
        <v>697</v>
      </c>
      <c r="C32" t="s">
        <v>568</v>
      </c>
      <c r="D32" t="s">
        <v>562</v>
      </c>
    </row>
    <row r="33" spans="1:7">
      <c r="A33" t="s">
        <v>697</v>
      </c>
      <c r="C33" t="s">
        <v>177</v>
      </c>
      <c r="D33" t="s">
        <v>563</v>
      </c>
    </row>
    <row r="34" spans="1:7">
      <c r="A34" t="s">
        <v>697</v>
      </c>
      <c r="C34" t="s">
        <v>181</v>
      </c>
      <c r="D34" t="s">
        <v>564</v>
      </c>
    </row>
    <row r="35" spans="1:7">
      <c r="A35" t="s">
        <v>697</v>
      </c>
      <c r="C35" t="s">
        <v>375</v>
      </c>
      <c r="D35" t="s">
        <v>565</v>
      </c>
    </row>
    <row r="36" spans="1:7">
      <c r="A36" t="s">
        <v>697</v>
      </c>
      <c r="C36" t="s">
        <v>696</v>
      </c>
      <c r="D36" t="s">
        <v>695</v>
      </c>
    </row>
    <row r="37" spans="1:7">
      <c r="A37" t="s">
        <v>697</v>
      </c>
      <c r="C37" t="s">
        <v>179</v>
      </c>
      <c r="D37" t="s">
        <v>566</v>
      </c>
    </row>
    <row r="38" spans="1:7">
      <c r="A38" t="s">
        <v>697</v>
      </c>
      <c r="C38" t="s">
        <v>380</v>
      </c>
      <c r="D38" t="s">
        <v>583</v>
      </c>
    </row>
    <row r="39" spans="1:7">
      <c r="A39" t="s">
        <v>736</v>
      </c>
      <c r="B39" t="str">
        <f t="shared" ref="B39:B46" si="0">G39&amp;"*CO2*"</f>
        <v>AGR*CO2*</v>
      </c>
      <c r="C39" t="s">
        <v>737</v>
      </c>
      <c r="G39" s="3" t="s">
        <v>728</v>
      </c>
    </row>
    <row r="40" spans="1:7">
      <c r="A40" t="s">
        <v>736</v>
      </c>
      <c r="B40" t="str">
        <f t="shared" si="0"/>
        <v>COM*CO2*</v>
      </c>
      <c r="C40" t="s">
        <v>393</v>
      </c>
      <c r="G40" s="3" t="s">
        <v>729</v>
      </c>
    </row>
    <row r="41" spans="1:7">
      <c r="A41" t="s">
        <v>736</v>
      </c>
      <c r="B41" t="str">
        <f t="shared" si="0"/>
        <v>ELC*CO2*</v>
      </c>
      <c r="C41" t="s">
        <v>257</v>
      </c>
      <c r="G41" s="3" t="s">
        <v>730</v>
      </c>
    </row>
    <row r="42" spans="1:7">
      <c r="A42" t="s">
        <v>736</v>
      </c>
      <c r="B42" t="str">
        <f t="shared" si="0"/>
        <v>IND*CO2*</v>
      </c>
      <c r="C42" t="s">
        <v>360</v>
      </c>
      <c r="G42" s="3" t="s">
        <v>731</v>
      </c>
    </row>
    <row r="43" spans="1:7">
      <c r="A43" t="s">
        <v>736</v>
      </c>
      <c r="B43" t="str">
        <f t="shared" si="0"/>
        <v>RSD*CO2*</v>
      </c>
      <c r="C43" t="s">
        <v>394</v>
      </c>
      <c r="G43" s="3" t="s">
        <v>732</v>
      </c>
    </row>
    <row r="44" spans="1:7">
      <c r="A44" t="s">
        <v>736</v>
      </c>
      <c r="B44" t="str">
        <f t="shared" si="0"/>
        <v>SE_TRA*CO2*</v>
      </c>
      <c r="C44" t="s">
        <v>392</v>
      </c>
      <c r="G44" s="3" t="s">
        <v>735</v>
      </c>
    </row>
    <row r="45" spans="1:7">
      <c r="A45" t="s">
        <v>736</v>
      </c>
      <c r="B45" t="str">
        <f t="shared" si="0"/>
        <v>SNK*CO2*</v>
      </c>
      <c r="C45" t="s">
        <v>68</v>
      </c>
      <c r="G45" s="3" t="s">
        <v>733</v>
      </c>
    </row>
    <row r="46" spans="1:7">
      <c r="A46" t="s">
        <v>736</v>
      </c>
      <c r="B46" t="str">
        <f t="shared" si="0"/>
        <v>SUP*CO2*</v>
      </c>
      <c r="C46" t="s">
        <v>498</v>
      </c>
      <c r="G46" s="3" t="s">
        <v>734</v>
      </c>
    </row>
    <row r="47" spans="1:7">
      <c r="A47" t="s">
        <v>738</v>
      </c>
      <c r="B47" t="s">
        <v>311</v>
      </c>
      <c r="C47" t="s">
        <v>126</v>
      </c>
    </row>
    <row r="48" spans="1:7">
      <c r="A48" t="s">
        <v>738</v>
      </c>
      <c r="B48" t="s">
        <v>739</v>
      </c>
      <c r="C48" t="s">
        <v>742</v>
      </c>
    </row>
    <row r="49" spans="1:3">
      <c r="A49" t="s">
        <v>738</v>
      </c>
      <c r="B49" t="s">
        <v>740</v>
      </c>
      <c r="C49" t="s">
        <v>743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4.4"/>
  <cols>
    <col min="1" max="1" width="12.5546875" bestFit="1" customWidth="1"/>
    <col min="2" max="2" width="6" bestFit="1" customWidth="1"/>
    <col min="3" max="3" width="11" bestFit="1" customWidth="1"/>
  </cols>
  <sheetData>
    <row r="1" spans="1:3">
      <c r="A1" t="s">
        <v>150</v>
      </c>
    </row>
    <row r="2" spans="1:3">
      <c r="A2" t="s">
        <v>99</v>
      </c>
      <c r="B2" t="s">
        <v>100</v>
      </c>
      <c r="C2" t="s">
        <v>101</v>
      </c>
    </row>
    <row r="3" spans="1:3">
      <c r="A3" t="s">
        <v>687</v>
      </c>
      <c r="B3" t="s">
        <v>681</v>
      </c>
      <c r="C3" t="s">
        <v>911</v>
      </c>
    </row>
    <row r="4" spans="1:3">
      <c r="A4" t="s">
        <v>687</v>
      </c>
      <c r="B4" t="s">
        <v>651</v>
      </c>
      <c r="C4" t="s">
        <v>688</v>
      </c>
    </row>
    <row r="5" spans="1:3">
      <c r="A5" t="s">
        <v>687</v>
      </c>
      <c r="B5" t="s">
        <v>682</v>
      </c>
      <c r="C5" t="s">
        <v>911</v>
      </c>
    </row>
    <row r="6" spans="1:3">
      <c r="A6" t="s">
        <v>687</v>
      </c>
      <c r="B6" t="s">
        <v>652</v>
      </c>
      <c r="C6" t="s">
        <v>688</v>
      </c>
    </row>
    <row r="7" spans="1:3">
      <c r="A7" t="s">
        <v>687</v>
      </c>
      <c r="B7" t="s">
        <v>653</v>
      </c>
      <c r="C7" t="s">
        <v>688</v>
      </c>
    </row>
    <row r="8" spans="1:3">
      <c r="A8" t="s">
        <v>687</v>
      </c>
      <c r="B8" t="s">
        <v>678</v>
      </c>
      <c r="C8" t="s">
        <v>689</v>
      </c>
    </row>
    <row r="9" spans="1:3">
      <c r="A9" t="s">
        <v>687</v>
      </c>
      <c r="B9" t="s">
        <v>654</v>
      </c>
      <c r="C9" t="s">
        <v>688</v>
      </c>
    </row>
    <row r="10" spans="1:3">
      <c r="A10" t="s">
        <v>687</v>
      </c>
      <c r="B10" t="s">
        <v>655</v>
      </c>
      <c r="C10" t="s">
        <v>688</v>
      </c>
    </row>
    <row r="11" spans="1:3">
      <c r="A11" t="s">
        <v>687</v>
      </c>
      <c r="B11" t="s">
        <v>656</v>
      </c>
      <c r="C11" t="s">
        <v>688</v>
      </c>
    </row>
    <row r="12" spans="1:3">
      <c r="A12" t="s">
        <v>687</v>
      </c>
      <c r="B12" t="s">
        <v>657</v>
      </c>
      <c r="C12" t="s">
        <v>688</v>
      </c>
    </row>
    <row r="13" spans="1:3">
      <c r="A13" t="s">
        <v>687</v>
      </c>
      <c r="B13" t="s">
        <v>658</v>
      </c>
      <c r="C13" t="s">
        <v>688</v>
      </c>
    </row>
    <row r="14" spans="1:3">
      <c r="A14" t="s">
        <v>687</v>
      </c>
      <c r="B14" t="s">
        <v>662</v>
      </c>
      <c r="C14" t="s">
        <v>688</v>
      </c>
    </row>
    <row r="15" spans="1:3">
      <c r="A15" t="s">
        <v>687</v>
      </c>
      <c r="B15" t="s">
        <v>659</v>
      </c>
      <c r="C15" t="s">
        <v>688</v>
      </c>
    </row>
    <row r="16" spans="1:3">
      <c r="A16" t="s">
        <v>687</v>
      </c>
      <c r="B16" t="s">
        <v>660</v>
      </c>
      <c r="C16" t="s">
        <v>688</v>
      </c>
    </row>
    <row r="17" spans="1:3">
      <c r="A17" t="s">
        <v>687</v>
      </c>
      <c r="B17" t="s">
        <v>661</v>
      </c>
      <c r="C17" t="s">
        <v>688</v>
      </c>
    </row>
    <row r="18" spans="1:3">
      <c r="A18" t="s">
        <v>687</v>
      </c>
      <c r="B18" t="s">
        <v>289</v>
      </c>
      <c r="C18" t="s">
        <v>688</v>
      </c>
    </row>
    <row r="19" spans="1:3">
      <c r="A19" t="s">
        <v>687</v>
      </c>
      <c r="B19" t="s">
        <v>663</v>
      </c>
      <c r="C19" t="s">
        <v>688</v>
      </c>
    </row>
    <row r="20" spans="1:3">
      <c r="A20" t="s">
        <v>687</v>
      </c>
      <c r="B20" t="s">
        <v>664</v>
      </c>
      <c r="C20" t="s">
        <v>688</v>
      </c>
    </row>
    <row r="21" spans="1:3">
      <c r="A21" t="s">
        <v>687</v>
      </c>
      <c r="B21" t="s">
        <v>680</v>
      </c>
      <c r="C21" t="s">
        <v>689</v>
      </c>
    </row>
    <row r="22" spans="1:3">
      <c r="A22" t="s">
        <v>687</v>
      </c>
      <c r="B22" t="s">
        <v>665</v>
      </c>
      <c r="C22" t="s">
        <v>688</v>
      </c>
    </row>
    <row r="23" spans="1:3">
      <c r="A23" t="s">
        <v>687</v>
      </c>
      <c r="B23" t="s">
        <v>683</v>
      </c>
      <c r="C23" t="s">
        <v>911</v>
      </c>
    </row>
    <row r="24" spans="1:3">
      <c r="A24" t="s">
        <v>687</v>
      </c>
      <c r="B24" t="s">
        <v>666</v>
      </c>
      <c r="C24" t="s">
        <v>688</v>
      </c>
    </row>
    <row r="25" spans="1:3">
      <c r="A25" t="s">
        <v>687</v>
      </c>
      <c r="B25" t="s">
        <v>667</v>
      </c>
      <c r="C25" t="s">
        <v>688</v>
      </c>
    </row>
    <row r="26" spans="1:3">
      <c r="A26" t="s">
        <v>687</v>
      </c>
      <c r="B26" t="s">
        <v>668</v>
      </c>
      <c r="C26" t="s">
        <v>688</v>
      </c>
    </row>
    <row r="27" spans="1:3">
      <c r="A27" t="s">
        <v>687</v>
      </c>
      <c r="B27" t="s">
        <v>684</v>
      </c>
      <c r="C27" t="s">
        <v>911</v>
      </c>
    </row>
    <row r="28" spans="1:3">
      <c r="A28" t="s">
        <v>687</v>
      </c>
      <c r="B28" t="s">
        <v>685</v>
      </c>
      <c r="C28" t="s">
        <v>911</v>
      </c>
    </row>
    <row r="29" spans="1:3">
      <c r="A29" t="s">
        <v>687</v>
      </c>
      <c r="B29" t="s">
        <v>669</v>
      </c>
      <c r="C29" t="s">
        <v>688</v>
      </c>
    </row>
    <row r="30" spans="1:3">
      <c r="A30" t="s">
        <v>687</v>
      </c>
      <c r="B30" t="s">
        <v>670</v>
      </c>
      <c r="C30" t="s">
        <v>688</v>
      </c>
    </row>
    <row r="31" spans="1:3">
      <c r="A31" t="s">
        <v>687</v>
      </c>
      <c r="B31" t="s">
        <v>679</v>
      </c>
      <c r="C31" t="s">
        <v>689</v>
      </c>
    </row>
    <row r="32" spans="1:3">
      <c r="A32" t="s">
        <v>687</v>
      </c>
      <c r="B32" t="s">
        <v>671</v>
      </c>
      <c r="C32" t="s">
        <v>688</v>
      </c>
    </row>
    <row r="33" spans="1:3">
      <c r="A33" t="s">
        <v>687</v>
      </c>
      <c r="B33" t="s">
        <v>672</v>
      </c>
      <c r="C33" t="s">
        <v>688</v>
      </c>
    </row>
    <row r="34" spans="1:3">
      <c r="A34" t="s">
        <v>687</v>
      </c>
      <c r="B34" t="s">
        <v>673</v>
      </c>
      <c r="C34" t="s">
        <v>688</v>
      </c>
    </row>
    <row r="35" spans="1:3">
      <c r="A35" t="s">
        <v>687</v>
      </c>
      <c r="B35" t="s">
        <v>686</v>
      </c>
      <c r="C35" t="s">
        <v>911</v>
      </c>
    </row>
    <row r="36" spans="1:3">
      <c r="A36" t="s">
        <v>687</v>
      </c>
      <c r="B36" t="s">
        <v>674</v>
      </c>
      <c r="C36" t="s">
        <v>688</v>
      </c>
    </row>
    <row r="37" spans="1:3">
      <c r="A37" t="s">
        <v>687</v>
      </c>
      <c r="B37" t="s">
        <v>675</v>
      </c>
      <c r="C37" t="s">
        <v>688</v>
      </c>
    </row>
    <row r="38" spans="1:3">
      <c r="A38" t="s">
        <v>687</v>
      </c>
      <c r="B38" t="s">
        <v>676</v>
      </c>
      <c r="C38" t="s">
        <v>688</v>
      </c>
    </row>
    <row r="39" spans="1:3">
      <c r="A39" t="s">
        <v>687</v>
      </c>
      <c r="B39" t="s">
        <v>677</v>
      </c>
      <c r="C39" t="s">
        <v>689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4.4"/>
  <cols>
    <col min="1" max="1" width="13.5546875" bestFit="1" customWidth="1"/>
    <col min="2" max="2" width="14.109375" bestFit="1" customWidth="1"/>
    <col min="3" max="3" width="36.441406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4.4"/>
  <cols>
    <col min="1" max="1" width="8.33203125" bestFit="1" customWidth="1"/>
    <col min="2" max="2" width="7.33203125" bestFit="1" customWidth="1"/>
    <col min="3" max="3" width="7.109375" bestFit="1" customWidth="1"/>
    <col min="4" max="4" width="11.88671875" bestFit="1" customWidth="1"/>
    <col min="5" max="5" width="7.88671875" bestFit="1" customWidth="1"/>
    <col min="6" max="6" width="4.88671875" bestFit="1" customWidth="1"/>
    <col min="7" max="7" width="7" bestFit="1" customWidth="1"/>
    <col min="8" max="8" width="16.109375" bestFit="1" customWidth="1"/>
    <col min="9" max="9" width="51" bestFit="1" customWidth="1"/>
    <col min="10" max="10" width="14.88671875" bestFit="1" customWidth="1"/>
    <col min="11" max="11" width="72.88671875" bestFit="1" customWidth="1"/>
  </cols>
  <sheetData>
    <row r="1" spans="1:7">
      <c r="A1" t="s">
        <v>1321</v>
      </c>
    </row>
    <row r="2" spans="1:7">
      <c r="A2" t="s">
        <v>51</v>
      </c>
      <c r="B2" t="s">
        <v>9</v>
      </c>
      <c r="C2" t="s">
        <v>72</v>
      </c>
      <c r="D2" t="s">
        <v>3</v>
      </c>
      <c r="E2" t="s">
        <v>0</v>
      </c>
      <c r="F2" t="s">
        <v>73</v>
      </c>
      <c r="G2" t="s">
        <v>74</v>
      </c>
    </row>
    <row r="7" spans="1:7">
      <c r="A7" t="s">
        <v>1297</v>
      </c>
      <c r="B7" t="s">
        <v>1298</v>
      </c>
      <c r="C7" t="s">
        <v>664</v>
      </c>
      <c r="D7" t="s">
        <v>1325</v>
      </c>
      <c r="E7" t="s">
        <v>187</v>
      </c>
      <c r="F7" s="2">
        <v>2005</v>
      </c>
      <c r="G7">
        <v>3.6992999999999998E-2</v>
      </c>
    </row>
    <row r="8" spans="1:7">
      <c r="A8" t="s">
        <v>1297</v>
      </c>
      <c r="B8" t="s">
        <v>1298</v>
      </c>
      <c r="C8" t="s">
        <v>664</v>
      </c>
      <c r="D8" t="s">
        <v>1325</v>
      </c>
      <c r="E8" t="s">
        <v>187</v>
      </c>
      <c r="F8">
        <v>2010</v>
      </c>
      <c r="G8">
        <v>8.3764000000000005E-2</v>
      </c>
    </row>
    <row r="9" spans="1:7">
      <c r="A9" t="s">
        <v>1297</v>
      </c>
      <c r="B9" t="s">
        <v>1298</v>
      </c>
      <c r="C9" t="s">
        <v>664</v>
      </c>
      <c r="D9" t="s">
        <v>1325</v>
      </c>
      <c r="E9" t="s">
        <v>187</v>
      </c>
      <c r="F9">
        <v>2012</v>
      </c>
      <c r="G9">
        <v>0.116712</v>
      </c>
    </row>
    <row r="10" spans="1:7">
      <c r="A10" t="s">
        <v>1297</v>
      </c>
      <c r="B10" t="s">
        <v>1298</v>
      </c>
      <c r="C10" t="s">
        <v>664</v>
      </c>
      <c r="D10" t="s">
        <v>1325</v>
      </c>
      <c r="E10" t="s">
        <v>187</v>
      </c>
      <c r="F10">
        <v>2016</v>
      </c>
      <c r="G10">
        <v>0.171072</v>
      </c>
    </row>
    <row r="11" spans="1:7">
      <c r="A11" t="s">
        <v>1297</v>
      </c>
      <c r="B11" t="s">
        <v>1298</v>
      </c>
      <c r="C11" t="s">
        <v>664</v>
      </c>
      <c r="D11" t="s">
        <v>1325</v>
      </c>
      <c r="E11" t="s">
        <v>187</v>
      </c>
      <c r="F11">
        <v>2020</v>
      </c>
      <c r="G11">
        <v>0.225438</v>
      </c>
    </row>
    <row r="12" spans="1:7">
      <c r="A12" t="s">
        <v>1297</v>
      </c>
      <c r="B12" t="s">
        <v>1298</v>
      </c>
      <c r="C12" t="s">
        <v>657</v>
      </c>
      <c r="D12" t="s">
        <v>1325</v>
      </c>
      <c r="E12" t="s">
        <v>187</v>
      </c>
      <c r="F12">
        <v>2005</v>
      </c>
      <c r="G12">
        <v>7.6271149999999999</v>
      </c>
    </row>
    <row r="13" spans="1:7">
      <c r="A13" t="s">
        <v>1297</v>
      </c>
      <c r="B13" t="s">
        <v>1298</v>
      </c>
      <c r="C13" t="s">
        <v>657</v>
      </c>
      <c r="D13" t="s">
        <v>1325</v>
      </c>
      <c r="E13" t="s">
        <v>187</v>
      </c>
      <c r="F13">
        <v>2010</v>
      </c>
      <c r="G13">
        <v>11.435604</v>
      </c>
    </row>
    <row r="14" spans="1:7">
      <c r="A14" t="s">
        <v>1297</v>
      </c>
      <c r="B14" t="s">
        <v>1298</v>
      </c>
      <c r="C14" t="s">
        <v>657</v>
      </c>
      <c r="D14" t="s">
        <v>1325</v>
      </c>
      <c r="E14" t="s">
        <v>187</v>
      </c>
      <c r="F14">
        <v>2012</v>
      </c>
      <c r="G14">
        <v>12.209296</v>
      </c>
    </row>
    <row r="15" spans="1:7">
      <c r="A15" t="s">
        <v>1297</v>
      </c>
      <c r="B15" t="s">
        <v>1298</v>
      </c>
      <c r="C15" t="s">
        <v>657</v>
      </c>
      <c r="D15" t="s">
        <v>1325</v>
      </c>
      <c r="E15" t="s">
        <v>187</v>
      </c>
      <c r="F15">
        <v>2016</v>
      </c>
      <c r="G15">
        <v>14.400062999999999</v>
      </c>
    </row>
    <row r="16" spans="1:7">
      <c r="A16" t="s">
        <v>1297</v>
      </c>
      <c r="B16" t="s">
        <v>1298</v>
      </c>
      <c r="C16" t="s">
        <v>657</v>
      </c>
      <c r="D16" t="s">
        <v>1325</v>
      </c>
      <c r="E16" t="s">
        <v>187</v>
      </c>
      <c r="F16">
        <v>2020</v>
      </c>
      <c r="G16">
        <v>17.524609999999999</v>
      </c>
    </row>
    <row r="17" spans="1:7">
      <c r="A17" t="s">
        <v>1297</v>
      </c>
      <c r="B17" t="s">
        <v>1298</v>
      </c>
      <c r="C17" t="s">
        <v>674</v>
      </c>
      <c r="D17" t="s">
        <v>1325</v>
      </c>
      <c r="E17" t="s">
        <v>187</v>
      </c>
      <c r="F17">
        <v>2005</v>
      </c>
      <c r="G17">
        <v>13.054220000000001</v>
      </c>
    </row>
    <row r="18" spans="1:7">
      <c r="A18" t="s">
        <v>1297</v>
      </c>
      <c r="B18" t="s">
        <v>1298</v>
      </c>
      <c r="C18" t="s">
        <v>674</v>
      </c>
      <c r="D18" t="s">
        <v>1325</v>
      </c>
      <c r="E18" t="s">
        <v>187</v>
      </c>
      <c r="F18">
        <v>2010</v>
      </c>
      <c r="G18">
        <v>20.012398999999998</v>
      </c>
    </row>
    <row r="19" spans="1:7">
      <c r="A19" t="s">
        <v>1297</v>
      </c>
      <c r="B19" t="s">
        <v>1298</v>
      </c>
      <c r="C19" t="s">
        <v>674</v>
      </c>
      <c r="D19" t="s">
        <v>1325</v>
      </c>
      <c r="E19" t="s">
        <v>187</v>
      </c>
      <c r="F19">
        <v>2012</v>
      </c>
      <c r="G19">
        <v>20.911200000000001</v>
      </c>
    </row>
    <row r="20" spans="1:7">
      <c r="A20" t="s">
        <v>1297</v>
      </c>
      <c r="B20" t="s">
        <v>1298</v>
      </c>
      <c r="C20" t="s">
        <v>674</v>
      </c>
      <c r="D20" t="s">
        <v>1325</v>
      </c>
      <c r="E20" t="s">
        <v>187</v>
      </c>
      <c r="F20">
        <v>2016</v>
      </c>
      <c r="G20">
        <v>21.801591999999999</v>
      </c>
    </row>
    <row r="21" spans="1:7">
      <c r="A21" t="s">
        <v>1297</v>
      </c>
      <c r="B21" t="s">
        <v>1298</v>
      </c>
      <c r="C21" t="s">
        <v>674</v>
      </c>
      <c r="D21" t="s">
        <v>1325</v>
      </c>
      <c r="E21" t="s">
        <v>187</v>
      </c>
      <c r="F21">
        <v>2020</v>
      </c>
      <c r="G21">
        <v>22.226748000000001</v>
      </c>
    </row>
    <row r="22" spans="1:7">
      <c r="A22" t="s">
        <v>1297</v>
      </c>
      <c r="B22" t="s">
        <v>1298</v>
      </c>
      <c r="C22" t="s">
        <v>672</v>
      </c>
      <c r="D22" t="s">
        <v>1325</v>
      </c>
      <c r="E22" t="s">
        <v>187</v>
      </c>
      <c r="F22">
        <v>2005</v>
      </c>
      <c r="G22">
        <v>0.54719200000000001</v>
      </c>
    </row>
    <row r="23" spans="1:7">
      <c r="A23" t="s">
        <v>1297</v>
      </c>
      <c r="B23" t="s">
        <v>1298</v>
      </c>
      <c r="C23" t="s">
        <v>672</v>
      </c>
      <c r="D23" t="s">
        <v>1325</v>
      </c>
      <c r="E23" t="s">
        <v>187</v>
      </c>
      <c r="F23">
        <v>2010</v>
      </c>
      <c r="G23">
        <v>0.74458999999999997</v>
      </c>
    </row>
    <row r="24" spans="1:7">
      <c r="A24" t="s">
        <v>1297</v>
      </c>
      <c r="B24" t="s">
        <v>1298</v>
      </c>
      <c r="C24" t="s">
        <v>672</v>
      </c>
      <c r="D24" t="s">
        <v>1325</v>
      </c>
      <c r="E24" t="s">
        <v>187</v>
      </c>
      <c r="F24">
        <v>2012</v>
      </c>
      <c r="G24">
        <v>1.072684</v>
      </c>
    </row>
    <row r="25" spans="1:7">
      <c r="A25" t="s">
        <v>1297</v>
      </c>
      <c r="B25" t="s">
        <v>1298</v>
      </c>
      <c r="C25" t="s">
        <v>672</v>
      </c>
      <c r="D25" t="s">
        <v>1325</v>
      </c>
      <c r="E25" t="s">
        <v>187</v>
      </c>
      <c r="F25">
        <v>2016</v>
      </c>
      <c r="G25">
        <v>0.89800599999999997</v>
      </c>
    </row>
    <row r="26" spans="1:7">
      <c r="A26" t="s">
        <v>1297</v>
      </c>
      <c r="B26" t="s">
        <v>1298</v>
      </c>
      <c r="C26" t="s">
        <v>672</v>
      </c>
      <c r="D26" t="s">
        <v>1325</v>
      </c>
      <c r="E26" t="s">
        <v>187</v>
      </c>
      <c r="F26">
        <v>2020</v>
      </c>
      <c r="G26">
        <v>1.1269940000000001</v>
      </c>
    </row>
    <row r="27" spans="1:7">
      <c r="A27" t="s">
        <v>1297</v>
      </c>
      <c r="B27" t="s">
        <v>1298</v>
      </c>
      <c r="C27" t="s">
        <v>651</v>
      </c>
      <c r="D27" t="s">
        <v>1325</v>
      </c>
      <c r="E27" t="s">
        <v>187</v>
      </c>
      <c r="F27">
        <v>2016</v>
      </c>
      <c r="G27">
        <v>6.5490199999999996</v>
      </c>
    </row>
    <row r="28" spans="1:7">
      <c r="A28" t="s">
        <v>1297</v>
      </c>
      <c r="B28" t="s">
        <v>1298</v>
      </c>
      <c r="C28" t="s">
        <v>651</v>
      </c>
      <c r="D28" t="s">
        <v>1325</v>
      </c>
      <c r="E28" t="s">
        <v>187</v>
      </c>
      <c r="F28">
        <v>2020</v>
      </c>
      <c r="G28">
        <v>6.8380109999999998</v>
      </c>
    </row>
    <row r="29" spans="1:7">
      <c r="A29" t="s">
        <v>1297</v>
      </c>
      <c r="B29" t="s">
        <v>1298</v>
      </c>
      <c r="C29" t="s">
        <v>676</v>
      </c>
      <c r="D29" t="s">
        <v>1325</v>
      </c>
      <c r="E29" t="s">
        <v>187</v>
      </c>
      <c r="F29">
        <v>2005</v>
      </c>
      <c r="G29">
        <v>0.22234100000000001</v>
      </c>
    </row>
    <row r="30" spans="1:7">
      <c r="A30" t="s">
        <v>1297</v>
      </c>
      <c r="B30" t="s">
        <v>1298</v>
      </c>
      <c r="C30" t="s">
        <v>676</v>
      </c>
      <c r="D30" t="s">
        <v>1325</v>
      </c>
      <c r="E30" t="s">
        <v>187</v>
      </c>
      <c r="F30">
        <v>2010</v>
      </c>
      <c r="G30">
        <v>0.69916900000000004</v>
      </c>
    </row>
    <row r="31" spans="1:7">
      <c r="A31" t="s">
        <v>1297</v>
      </c>
      <c r="B31" t="s">
        <v>1298</v>
      </c>
      <c r="C31" t="s">
        <v>676</v>
      </c>
      <c r="D31" t="s">
        <v>1325</v>
      </c>
      <c r="E31" t="s">
        <v>187</v>
      </c>
      <c r="F31">
        <v>2012</v>
      </c>
      <c r="G31">
        <v>1.1932700000000001</v>
      </c>
    </row>
    <row r="32" spans="1:7">
      <c r="A32" t="s">
        <v>1297</v>
      </c>
      <c r="B32" t="s">
        <v>1298</v>
      </c>
      <c r="C32" t="s">
        <v>676</v>
      </c>
      <c r="D32" t="s">
        <v>1325</v>
      </c>
      <c r="E32" t="s">
        <v>187</v>
      </c>
      <c r="F32">
        <v>2016</v>
      </c>
      <c r="G32">
        <v>1.0620799999999999</v>
      </c>
    </row>
    <row r="33" spans="1:7">
      <c r="A33" t="s">
        <v>1297</v>
      </c>
      <c r="B33" t="s">
        <v>1298</v>
      </c>
      <c r="C33" t="s">
        <v>676</v>
      </c>
      <c r="D33" t="s">
        <v>1325</v>
      </c>
      <c r="E33" t="s">
        <v>187</v>
      </c>
      <c r="F33">
        <v>2020</v>
      </c>
      <c r="G33">
        <v>1.212466</v>
      </c>
    </row>
    <row r="34" spans="1:7">
      <c r="A34" t="s">
        <v>1297</v>
      </c>
      <c r="B34" t="s">
        <v>1298</v>
      </c>
      <c r="C34" t="s">
        <v>652</v>
      </c>
      <c r="D34" t="s">
        <v>1325</v>
      </c>
      <c r="E34" t="s">
        <v>187</v>
      </c>
      <c r="F34">
        <v>2005</v>
      </c>
      <c r="G34">
        <v>0.38669799999999999</v>
      </c>
    </row>
    <row r="35" spans="1:7">
      <c r="A35" t="s">
        <v>1297</v>
      </c>
      <c r="B35" t="s">
        <v>1298</v>
      </c>
      <c r="C35" t="s">
        <v>652</v>
      </c>
      <c r="D35" t="s">
        <v>1325</v>
      </c>
      <c r="E35" t="s">
        <v>187</v>
      </c>
      <c r="F35">
        <v>2010</v>
      </c>
      <c r="G35">
        <v>0.70712399999999997</v>
      </c>
    </row>
    <row r="36" spans="1:7">
      <c r="A36" t="s">
        <v>1297</v>
      </c>
      <c r="B36" t="s">
        <v>1298</v>
      </c>
      <c r="C36" t="s">
        <v>652</v>
      </c>
      <c r="D36" t="s">
        <v>1325</v>
      </c>
      <c r="E36" t="s">
        <v>187</v>
      </c>
      <c r="F36">
        <v>2012</v>
      </c>
      <c r="G36">
        <v>0.96459600000000001</v>
      </c>
    </row>
    <row r="37" spans="1:7">
      <c r="A37" t="s">
        <v>1297</v>
      </c>
      <c r="B37" t="s">
        <v>1298</v>
      </c>
      <c r="C37" t="s">
        <v>652</v>
      </c>
      <c r="D37" t="s">
        <v>1325</v>
      </c>
      <c r="E37" t="s">
        <v>187</v>
      </c>
      <c r="F37">
        <v>2016</v>
      </c>
      <c r="G37">
        <v>0.97602599999999995</v>
      </c>
    </row>
    <row r="38" spans="1:7">
      <c r="A38" t="s">
        <v>1297</v>
      </c>
      <c r="B38" t="s">
        <v>1298</v>
      </c>
      <c r="C38" t="s">
        <v>652</v>
      </c>
      <c r="D38" t="s">
        <v>1325</v>
      </c>
      <c r="E38" t="s">
        <v>187</v>
      </c>
      <c r="F38">
        <v>2020</v>
      </c>
      <c r="G38">
        <v>0.81353699999999995</v>
      </c>
    </row>
    <row r="39" spans="1:7">
      <c r="A39" t="s">
        <v>1297</v>
      </c>
      <c r="B39" t="s">
        <v>1298</v>
      </c>
      <c r="C39" t="s">
        <v>658</v>
      </c>
      <c r="D39" t="s">
        <v>1325</v>
      </c>
      <c r="E39" t="s">
        <v>187</v>
      </c>
      <c r="F39">
        <v>2005</v>
      </c>
      <c r="G39">
        <v>0.51878299999999999</v>
      </c>
    </row>
    <row r="40" spans="1:7">
      <c r="A40" t="s">
        <v>1297</v>
      </c>
      <c r="B40" t="s">
        <v>1298</v>
      </c>
      <c r="C40" t="s">
        <v>658</v>
      </c>
      <c r="D40" t="s">
        <v>1325</v>
      </c>
      <c r="E40" t="s">
        <v>187</v>
      </c>
      <c r="F40">
        <v>2010</v>
      </c>
      <c r="G40">
        <v>0.869784</v>
      </c>
    </row>
    <row r="41" spans="1:7">
      <c r="A41" t="s">
        <v>1297</v>
      </c>
      <c r="B41" t="s">
        <v>1298</v>
      </c>
      <c r="C41" t="s">
        <v>658</v>
      </c>
      <c r="D41" t="s">
        <v>1325</v>
      </c>
      <c r="E41" t="s">
        <v>187</v>
      </c>
      <c r="F41">
        <v>2012</v>
      </c>
      <c r="G41">
        <v>1.346859</v>
      </c>
    </row>
    <row r="42" spans="1:7">
      <c r="A42" t="s">
        <v>1297</v>
      </c>
      <c r="B42" t="s">
        <v>1298</v>
      </c>
      <c r="C42" t="s">
        <v>658</v>
      </c>
      <c r="D42" t="s">
        <v>1325</v>
      </c>
      <c r="E42" t="s">
        <v>187</v>
      </c>
      <c r="F42">
        <v>2016</v>
      </c>
      <c r="G42">
        <v>2.0080499999999999</v>
      </c>
    </row>
    <row r="43" spans="1:7">
      <c r="A43" t="s">
        <v>1297</v>
      </c>
      <c r="B43" t="s">
        <v>1298</v>
      </c>
      <c r="C43" t="s">
        <v>658</v>
      </c>
      <c r="D43" t="s">
        <v>1325</v>
      </c>
      <c r="E43" t="s">
        <v>187</v>
      </c>
      <c r="F43">
        <v>2020</v>
      </c>
      <c r="G43">
        <v>1.9290689999999999</v>
      </c>
    </row>
    <row r="44" spans="1:7">
      <c r="A44" t="s">
        <v>1297</v>
      </c>
      <c r="B44" t="s">
        <v>1298</v>
      </c>
      <c r="C44" t="s">
        <v>661</v>
      </c>
      <c r="D44" t="s">
        <v>1325</v>
      </c>
      <c r="E44" t="s">
        <v>187</v>
      </c>
      <c r="F44">
        <v>2005</v>
      </c>
      <c r="G44">
        <v>0.68302200000000002</v>
      </c>
    </row>
    <row r="45" spans="1:7">
      <c r="A45" t="s">
        <v>1297</v>
      </c>
      <c r="B45" t="s">
        <v>1298</v>
      </c>
      <c r="C45" t="s">
        <v>661</v>
      </c>
      <c r="D45" t="s">
        <v>1325</v>
      </c>
      <c r="E45" t="s">
        <v>187</v>
      </c>
      <c r="F45">
        <v>2010</v>
      </c>
      <c r="G45">
        <v>7.1027820000000004</v>
      </c>
    </row>
    <row r="46" spans="1:7">
      <c r="A46" t="s">
        <v>1297</v>
      </c>
      <c r="B46" t="s">
        <v>1298</v>
      </c>
      <c r="C46" t="s">
        <v>661</v>
      </c>
      <c r="D46" t="s">
        <v>1325</v>
      </c>
      <c r="E46" t="s">
        <v>187</v>
      </c>
      <c r="F46">
        <v>2012</v>
      </c>
      <c r="G46">
        <v>3.7625109999999999</v>
      </c>
    </row>
    <row r="47" spans="1:7">
      <c r="A47" t="s">
        <v>1297</v>
      </c>
      <c r="B47" t="s">
        <v>1298</v>
      </c>
      <c r="C47" t="s">
        <v>661</v>
      </c>
      <c r="D47" t="s">
        <v>1325</v>
      </c>
      <c r="E47" t="s">
        <v>187</v>
      </c>
      <c r="F47">
        <v>2016</v>
      </c>
      <c r="G47">
        <v>6.5541130000000001</v>
      </c>
    </row>
    <row r="48" spans="1:7">
      <c r="A48" t="s">
        <v>1297</v>
      </c>
      <c r="B48" t="s">
        <v>1298</v>
      </c>
      <c r="C48" t="s">
        <v>661</v>
      </c>
      <c r="D48" t="s">
        <v>1325</v>
      </c>
      <c r="E48" t="s">
        <v>187</v>
      </c>
      <c r="F48">
        <v>2020</v>
      </c>
      <c r="G48">
        <v>7.7398009999999999</v>
      </c>
    </row>
    <row r="49" spans="1:7">
      <c r="A49" t="s">
        <v>1297</v>
      </c>
      <c r="B49" t="s">
        <v>1298</v>
      </c>
      <c r="C49" t="s">
        <v>1301</v>
      </c>
      <c r="D49" t="s">
        <v>1325</v>
      </c>
      <c r="E49" t="s">
        <v>187</v>
      </c>
      <c r="F49">
        <v>2005</v>
      </c>
      <c r="G49">
        <v>1.8180000000000002E-2</v>
      </c>
    </row>
    <row r="50" spans="1:7">
      <c r="A50" t="s">
        <v>1297</v>
      </c>
      <c r="B50" t="s">
        <v>1298</v>
      </c>
      <c r="C50" t="s">
        <v>1301</v>
      </c>
      <c r="D50" t="s">
        <v>1325</v>
      </c>
      <c r="E50" t="s">
        <v>187</v>
      </c>
      <c r="F50">
        <v>2010</v>
      </c>
      <c r="G50">
        <v>0.17157800000000001</v>
      </c>
    </row>
    <row r="51" spans="1:7">
      <c r="A51" t="s">
        <v>1297</v>
      </c>
      <c r="B51" t="s">
        <v>1298</v>
      </c>
      <c r="C51" t="s">
        <v>1301</v>
      </c>
      <c r="D51" t="s">
        <v>1325</v>
      </c>
      <c r="E51" t="s">
        <v>187</v>
      </c>
      <c r="F51">
        <v>2012</v>
      </c>
      <c r="G51">
        <v>0.31741200000000003</v>
      </c>
    </row>
    <row r="52" spans="1:7">
      <c r="A52" t="s">
        <v>1297</v>
      </c>
      <c r="B52" t="s">
        <v>1298</v>
      </c>
      <c r="C52" t="s">
        <v>1301</v>
      </c>
      <c r="D52" t="s">
        <v>1325</v>
      </c>
      <c r="E52" t="s">
        <v>187</v>
      </c>
      <c r="F52">
        <v>2016</v>
      </c>
      <c r="G52">
        <v>0.76571500000000003</v>
      </c>
    </row>
    <row r="53" spans="1:7">
      <c r="A53" t="s">
        <v>1297</v>
      </c>
      <c r="B53" t="s">
        <v>1298</v>
      </c>
      <c r="C53" t="s">
        <v>682</v>
      </c>
      <c r="D53" t="s">
        <v>1325</v>
      </c>
      <c r="E53" t="s">
        <v>187</v>
      </c>
      <c r="F53">
        <v>2016</v>
      </c>
      <c r="G53">
        <v>3.5871E-2</v>
      </c>
    </row>
    <row r="54" spans="1:7">
      <c r="A54" t="s">
        <v>1297</v>
      </c>
      <c r="B54" t="s">
        <v>1298</v>
      </c>
      <c r="C54" t="s">
        <v>682</v>
      </c>
      <c r="D54" t="s">
        <v>1325</v>
      </c>
      <c r="E54" t="s">
        <v>187</v>
      </c>
      <c r="F54">
        <v>2020</v>
      </c>
      <c r="G54">
        <v>9.6529000000000004E-2</v>
      </c>
    </row>
    <row r="55" spans="1:7">
      <c r="A55" t="s">
        <v>1297</v>
      </c>
      <c r="B55" t="s">
        <v>1298</v>
      </c>
      <c r="C55" t="s">
        <v>1300</v>
      </c>
      <c r="D55" t="s">
        <v>1325</v>
      </c>
      <c r="E55" t="s">
        <v>187</v>
      </c>
      <c r="F55">
        <v>2010</v>
      </c>
      <c r="G55">
        <v>3.8303999999999998E-2</v>
      </c>
    </row>
    <row r="56" spans="1:7">
      <c r="A56" t="s">
        <v>1297</v>
      </c>
      <c r="B56" t="s">
        <v>1298</v>
      </c>
      <c r="C56" t="s">
        <v>1300</v>
      </c>
      <c r="D56" t="s">
        <v>1325</v>
      </c>
      <c r="E56" t="s">
        <v>187</v>
      </c>
      <c r="F56">
        <v>2012</v>
      </c>
      <c r="G56">
        <v>2.7407999999999998E-2</v>
      </c>
    </row>
    <row r="57" spans="1:7">
      <c r="A57" t="s">
        <v>1297</v>
      </c>
      <c r="B57" t="s">
        <v>1298</v>
      </c>
      <c r="C57" t="s">
        <v>1300</v>
      </c>
      <c r="D57" t="s">
        <v>1325</v>
      </c>
      <c r="E57" t="s">
        <v>187</v>
      </c>
      <c r="F57">
        <v>2016</v>
      </c>
      <c r="G57">
        <v>7.0666999999999994E-2</v>
      </c>
    </row>
    <row r="58" spans="1:7">
      <c r="A58" t="s">
        <v>1297</v>
      </c>
      <c r="B58" t="s">
        <v>1298</v>
      </c>
      <c r="C58" t="s">
        <v>1300</v>
      </c>
      <c r="D58" t="s">
        <v>1325</v>
      </c>
      <c r="E58" t="s">
        <v>187</v>
      </c>
      <c r="F58">
        <v>2020</v>
      </c>
      <c r="G58">
        <v>0.105198</v>
      </c>
    </row>
    <row r="59" spans="1:7">
      <c r="A59" t="s">
        <v>1297</v>
      </c>
      <c r="B59" t="s">
        <v>1298</v>
      </c>
      <c r="C59" t="s">
        <v>655</v>
      </c>
      <c r="D59" t="s">
        <v>1325</v>
      </c>
      <c r="E59" t="s">
        <v>187</v>
      </c>
      <c r="F59">
        <v>2005</v>
      </c>
      <c r="G59">
        <v>0.73089999999999999</v>
      </c>
    </row>
    <row r="60" spans="1:7">
      <c r="A60" t="s">
        <v>1297</v>
      </c>
      <c r="B60" t="s">
        <v>1298</v>
      </c>
      <c r="C60" t="s">
        <v>655</v>
      </c>
      <c r="D60" t="s">
        <v>1325</v>
      </c>
      <c r="E60" t="s">
        <v>187</v>
      </c>
      <c r="F60">
        <v>2010</v>
      </c>
      <c r="G60">
        <v>0.59046600000000005</v>
      </c>
    </row>
    <row r="61" spans="1:7">
      <c r="A61" t="s">
        <v>1297</v>
      </c>
      <c r="B61" t="s">
        <v>1298</v>
      </c>
      <c r="C61" t="s">
        <v>655</v>
      </c>
      <c r="D61" t="s">
        <v>1325</v>
      </c>
      <c r="E61" t="s">
        <v>187</v>
      </c>
      <c r="F61">
        <v>2012</v>
      </c>
      <c r="G61">
        <v>0.81879100000000005</v>
      </c>
    </row>
    <row r="62" spans="1:7">
      <c r="A62" t="s">
        <v>1297</v>
      </c>
      <c r="B62" t="s">
        <v>1298</v>
      </c>
      <c r="C62" t="s">
        <v>655</v>
      </c>
      <c r="D62" t="s">
        <v>1325</v>
      </c>
      <c r="E62" t="s">
        <v>187</v>
      </c>
      <c r="F62">
        <v>2016</v>
      </c>
      <c r="G62">
        <v>1.3385860000000001</v>
      </c>
    </row>
    <row r="63" spans="1:7">
      <c r="A63" t="s">
        <v>1297</v>
      </c>
      <c r="B63" t="s">
        <v>1298</v>
      </c>
      <c r="C63" t="s">
        <v>655</v>
      </c>
      <c r="D63" t="s">
        <v>1325</v>
      </c>
      <c r="E63" t="s">
        <v>187</v>
      </c>
      <c r="F63">
        <v>2020</v>
      </c>
      <c r="G63">
        <v>1.4359580000000001</v>
      </c>
    </row>
    <row r="64" spans="1:7">
      <c r="A64" t="s">
        <v>1297</v>
      </c>
      <c r="B64" t="s">
        <v>1298</v>
      </c>
      <c r="C64" t="s">
        <v>654</v>
      </c>
      <c r="D64" t="s">
        <v>1325</v>
      </c>
      <c r="E64" t="s">
        <v>187</v>
      </c>
      <c r="F64">
        <v>2010</v>
      </c>
      <c r="G64">
        <v>5.2269999999999999E-3</v>
      </c>
    </row>
    <row r="65" spans="1:7">
      <c r="A65" t="s">
        <v>1297</v>
      </c>
      <c r="B65" t="s">
        <v>1298</v>
      </c>
      <c r="C65" t="s">
        <v>654</v>
      </c>
      <c r="D65" t="s">
        <v>1325</v>
      </c>
      <c r="E65" t="s">
        <v>187</v>
      </c>
      <c r="F65">
        <v>2012</v>
      </c>
      <c r="G65">
        <v>5.2090000000000001E-3</v>
      </c>
    </row>
    <row r="66" spans="1:7">
      <c r="A66" t="s">
        <v>1297</v>
      </c>
      <c r="B66" t="s">
        <v>1298</v>
      </c>
      <c r="C66" t="s">
        <v>654</v>
      </c>
      <c r="D66" t="s">
        <v>1325</v>
      </c>
      <c r="E66" t="s">
        <v>187</v>
      </c>
      <c r="F66">
        <v>2016</v>
      </c>
      <c r="G66">
        <v>1.0076999999999999E-2</v>
      </c>
    </row>
    <row r="67" spans="1:7">
      <c r="A67" t="s">
        <v>1297</v>
      </c>
      <c r="B67" t="s">
        <v>1298</v>
      </c>
      <c r="C67" t="s">
        <v>654</v>
      </c>
      <c r="D67" t="s">
        <v>1325</v>
      </c>
      <c r="E67" t="s">
        <v>187</v>
      </c>
      <c r="F67">
        <v>2020</v>
      </c>
      <c r="G67">
        <v>7.4580000000000002E-3</v>
      </c>
    </row>
    <row r="68" spans="1:7">
      <c r="A68" t="s">
        <v>1297</v>
      </c>
      <c r="B68" t="s">
        <v>1298</v>
      </c>
      <c r="C68" t="s">
        <v>1299</v>
      </c>
      <c r="D68" t="s">
        <v>1325</v>
      </c>
      <c r="E68" t="s">
        <v>187</v>
      </c>
      <c r="F68">
        <v>2010</v>
      </c>
      <c r="G68">
        <v>0.67849000000000004</v>
      </c>
    </row>
    <row r="69" spans="1:7">
      <c r="A69" t="s">
        <v>1297</v>
      </c>
      <c r="B69" t="s">
        <v>1298</v>
      </c>
      <c r="C69" t="s">
        <v>1299</v>
      </c>
      <c r="D69" t="s">
        <v>1325</v>
      </c>
      <c r="E69" t="s">
        <v>187</v>
      </c>
      <c r="F69">
        <v>2012</v>
      </c>
      <c r="G69">
        <v>0.89441300000000001</v>
      </c>
    </row>
    <row r="70" spans="1:7">
      <c r="A70" t="s">
        <v>1297</v>
      </c>
      <c r="B70" t="s">
        <v>1298</v>
      </c>
      <c r="C70" t="s">
        <v>1299</v>
      </c>
      <c r="D70" t="s">
        <v>1325</v>
      </c>
      <c r="E70" t="s">
        <v>187</v>
      </c>
      <c r="F70">
        <v>2016</v>
      </c>
      <c r="G70">
        <v>2.1031870000000001</v>
      </c>
    </row>
    <row r="71" spans="1:7">
      <c r="A71" t="s">
        <v>1297</v>
      </c>
      <c r="B71" t="s">
        <v>1298</v>
      </c>
      <c r="C71" t="s">
        <v>1299</v>
      </c>
      <c r="D71" t="s">
        <v>1325</v>
      </c>
      <c r="E71" t="s">
        <v>187</v>
      </c>
      <c r="F71">
        <v>2020</v>
      </c>
      <c r="G71">
        <v>4.0395560000000001</v>
      </c>
    </row>
    <row r="72" spans="1:7">
      <c r="A72" t="s">
        <v>1297</v>
      </c>
      <c r="B72" t="s">
        <v>1298</v>
      </c>
      <c r="C72" t="s">
        <v>651</v>
      </c>
      <c r="D72" t="s">
        <v>1325</v>
      </c>
      <c r="E72" t="s">
        <v>187</v>
      </c>
      <c r="F72">
        <v>2005</v>
      </c>
      <c r="G72">
        <v>2.1822430000000002</v>
      </c>
    </row>
    <row r="73" spans="1:7">
      <c r="A73" t="s">
        <v>1297</v>
      </c>
      <c r="B73" t="s">
        <v>1298</v>
      </c>
      <c r="C73" t="s">
        <v>651</v>
      </c>
      <c r="D73" t="s">
        <v>1325</v>
      </c>
      <c r="E73" t="s">
        <v>187</v>
      </c>
      <c r="F73">
        <v>2010</v>
      </c>
      <c r="G73">
        <v>5.836443</v>
      </c>
    </row>
    <row r="74" spans="1:7">
      <c r="A74" t="s">
        <v>1297</v>
      </c>
      <c r="B74" t="s">
        <v>1298</v>
      </c>
      <c r="C74" t="s">
        <v>651</v>
      </c>
      <c r="D74" t="s">
        <v>1325</v>
      </c>
      <c r="E74" t="s">
        <v>187</v>
      </c>
      <c r="F74">
        <v>2012</v>
      </c>
      <c r="G74">
        <v>6.5737490000000003</v>
      </c>
    </row>
    <row r="75" spans="1:7">
      <c r="A75" t="s">
        <v>1297</v>
      </c>
      <c r="B75" t="s">
        <v>1298</v>
      </c>
      <c r="C75" t="s">
        <v>662</v>
      </c>
      <c r="D75" t="s">
        <v>1325</v>
      </c>
      <c r="E75" t="s">
        <v>187</v>
      </c>
      <c r="F75">
        <v>2005</v>
      </c>
      <c r="G75">
        <v>4.0801999999999998E-2</v>
      </c>
    </row>
    <row r="76" spans="1:7">
      <c r="A76" t="s">
        <v>1297</v>
      </c>
      <c r="B76" t="s">
        <v>1298</v>
      </c>
      <c r="C76" t="s">
        <v>662</v>
      </c>
      <c r="D76" t="s">
        <v>1325</v>
      </c>
      <c r="E76" t="s">
        <v>187</v>
      </c>
      <c r="F76">
        <v>2010</v>
      </c>
      <c r="G76">
        <v>4.5075999999999998E-2</v>
      </c>
    </row>
    <row r="77" spans="1:7">
      <c r="A77" t="s">
        <v>1297</v>
      </c>
      <c r="B77" t="s">
        <v>1298</v>
      </c>
      <c r="C77" t="s">
        <v>662</v>
      </c>
      <c r="D77" t="s">
        <v>1325</v>
      </c>
      <c r="E77" t="s">
        <v>187</v>
      </c>
      <c r="F77">
        <v>2012</v>
      </c>
      <c r="G77">
        <v>1.9435999999999998E-2</v>
      </c>
    </row>
    <row r="78" spans="1:7">
      <c r="A78" t="s">
        <v>1297</v>
      </c>
      <c r="B78" t="s">
        <v>1298</v>
      </c>
      <c r="C78" t="s">
        <v>662</v>
      </c>
      <c r="D78" t="s">
        <v>1325</v>
      </c>
      <c r="E78" t="s">
        <v>187</v>
      </c>
      <c r="F78">
        <v>2016</v>
      </c>
      <c r="G78">
        <v>7.1760000000000004E-2</v>
      </c>
    </row>
    <row r="79" spans="1:7">
      <c r="A79" t="s">
        <v>1297</v>
      </c>
      <c r="B79" t="s">
        <v>1298</v>
      </c>
      <c r="C79" t="s">
        <v>662</v>
      </c>
      <c r="D79" t="s">
        <v>1325</v>
      </c>
      <c r="E79" t="s">
        <v>187</v>
      </c>
      <c r="F79">
        <v>2020</v>
      </c>
      <c r="G79">
        <v>0.109901</v>
      </c>
    </row>
    <row r="80" spans="1:7">
      <c r="A80" t="s">
        <v>1297</v>
      </c>
      <c r="B80" t="s">
        <v>1298</v>
      </c>
      <c r="C80" t="s">
        <v>668</v>
      </c>
      <c r="D80" t="s">
        <v>1325</v>
      </c>
      <c r="E80" t="s">
        <v>187</v>
      </c>
      <c r="F80">
        <v>2005</v>
      </c>
      <c r="G80">
        <v>0.76495100000000005</v>
      </c>
    </row>
    <row r="81" spans="1:7">
      <c r="A81" t="s">
        <v>1297</v>
      </c>
      <c r="B81" t="s">
        <v>1298</v>
      </c>
      <c r="C81" t="s">
        <v>668</v>
      </c>
      <c r="D81" t="s">
        <v>1325</v>
      </c>
      <c r="E81" t="s">
        <v>187</v>
      </c>
      <c r="F81">
        <v>2010</v>
      </c>
      <c r="G81">
        <v>0.63146999999999998</v>
      </c>
    </row>
    <row r="82" spans="1:7">
      <c r="A82" t="s">
        <v>1297</v>
      </c>
      <c r="B82" t="s">
        <v>1298</v>
      </c>
      <c r="C82" t="s">
        <v>668</v>
      </c>
      <c r="D82" t="s">
        <v>1325</v>
      </c>
      <c r="E82" t="s">
        <v>187</v>
      </c>
      <c r="F82">
        <v>2012</v>
      </c>
      <c r="G82">
        <v>0.81173300000000004</v>
      </c>
    </row>
    <row r="83" spans="1:7">
      <c r="A83" t="s">
        <v>1297</v>
      </c>
      <c r="B83" t="s">
        <v>1298</v>
      </c>
      <c r="C83" t="s">
        <v>668</v>
      </c>
      <c r="D83" t="s">
        <v>1325</v>
      </c>
      <c r="E83" t="s">
        <v>187</v>
      </c>
      <c r="F83">
        <v>2016</v>
      </c>
      <c r="G83">
        <v>1.582738</v>
      </c>
    </row>
    <row r="84" spans="1:7">
      <c r="A84" t="s">
        <v>1297</v>
      </c>
      <c r="B84" t="s">
        <v>1298</v>
      </c>
      <c r="C84" t="s">
        <v>668</v>
      </c>
      <c r="D84" t="s">
        <v>1325</v>
      </c>
      <c r="E84" t="s">
        <v>187</v>
      </c>
      <c r="F84">
        <v>2020</v>
      </c>
      <c r="G84">
        <v>1.9793639999999999</v>
      </c>
    </row>
    <row r="85" spans="1:7">
      <c r="A85" t="s">
        <v>1297</v>
      </c>
      <c r="B85" t="s">
        <v>1298</v>
      </c>
      <c r="C85" t="s">
        <v>656</v>
      </c>
      <c r="D85" t="s">
        <v>1325</v>
      </c>
      <c r="E85" t="s">
        <v>187</v>
      </c>
      <c r="F85">
        <v>2005</v>
      </c>
      <c r="G85">
        <v>9.9610009999999996</v>
      </c>
    </row>
    <row r="86" spans="1:7">
      <c r="A86" t="s">
        <v>1297</v>
      </c>
      <c r="B86" t="s">
        <v>1298</v>
      </c>
      <c r="C86" t="s">
        <v>656</v>
      </c>
      <c r="D86" t="s">
        <v>1325</v>
      </c>
      <c r="E86" t="s">
        <v>187</v>
      </c>
      <c r="F86">
        <v>2010</v>
      </c>
      <c r="G86">
        <v>12.805911999999999</v>
      </c>
    </row>
    <row r="87" spans="1:7">
      <c r="A87" t="s">
        <v>1297</v>
      </c>
      <c r="B87" t="s">
        <v>1298</v>
      </c>
      <c r="C87" t="s">
        <v>656</v>
      </c>
      <c r="D87" t="s">
        <v>1325</v>
      </c>
      <c r="E87" t="s">
        <v>187</v>
      </c>
      <c r="F87">
        <v>2012</v>
      </c>
      <c r="G87">
        <v>15.086179</v>
      </c>
    </row>
    <row r="88" spans="1:7">
      <c r="A88" t="s">
        <v>1297</v>
      </c>
      <c r="B88" t="s">
        <v>1298</v>
      </c>
      <c r="C88" t="s">
        <v>656</v>
      </c>
      <c r="D88" t="s">
        <v>1325</v>
      </c>
      <c r="E88" t="s">
        <v>187</v>
      </c>
      <c r="F88">
        <v>2016</v>
      </c>
      <c r="G88">
        <v>17.548759</v>
      </c>
    </row>
    <row r="89" spans="1:7">
      <c r="A89" t="s">
        <v>1297</v>
      </c>
      <c r="B89" t="s">
        <v>1298</v>
      </c>
      <c r="C89" t="s">
        <v>656</v>
      </c>
      <c r="D89" t="s">
        <v>1325</v>
      </c>
      <c r="E89" t="s">
        <v>187</v>
      </c>
      <c r="F89">
        <v>2020</v>
      </c>
      <c r="G89">
        <v>18.298886</v>
      </c>
    </row>
    <row r="90" spans="1:7">
      <c r="A90" t="s">
        <v>1297</v>
      </c>
      <c r="B90" t="s">
        <v>1298</v>
      </c>
      <c r="C90" t="s">
        <v>685</v>
      </c>
      <c r="D90" t="s">
        <v>1325</v>
      </c>
      <c r="E90" t="s">
        <v>187</v>
      </c>
      <c r="F90">
        <v>2016</v>
      </c>
      <c r="G90">
        <v>2.3203999999999999E-2</v>
      </c>
    </row>
    <row r="91" spans="1:7">
      <c r="A91" t="s">
        <v>1297</v>
      </c>
      <c r="B91" t="s">
        <v>1298</v>
      </c>
      <c r="C91" t="s">
        <v>685</v>
      </c>
      <c r="D91" t="s">
        <v>1325</v>
      </c>
      <c r="E91" t="s">
        <v>187</v>
      </c>
      <c r="F91">
        <v>2020</v>
      </c>
      <c r="G91">
        <v>3.3085999999999997E-2</v>
      </c>
    </row>
    <row r="92" spans="1:7">
      <c r="A92" t="s">
        <v>1297</v>
      </c>
      <c r="B92" t="s">
        <v>1298</v>
      </c>
      <c r="C92" t="s">
        <v>666</v>
      </c>
      <c r="D92" t="s">
        <v>1325</v>
      </c>
      <c r="E92" t="s">
        <v>187</v>
      </c>
      <c r="F92">
        <v>2005</v>
      </c>
      <c r="G92">
        <v>0.84226500000000004</v>
      </c>
    </row>
    <row r="93" spans="1:7">
      <c r="A93" t="s">
        <v>1297</v>
      </c>
      <c r="B93" t="s">
        <v>1298</v>
      </c>
      <c r="C93" t="s">
        <v>666</v>
      </c>
      <c r="D93" t="s">
        <v>1325</v>
      </c>
      <c r="E93" t="s">
        <v>187</v>
      </c>
      <c r="F93">
        <v>2010</v>
      </c>
      <c r="G93">
        <v>1.297925</v>
      </c>
    </row>
    <row r="94" spans="1:7">
      <c r="A94" t="s">
        <v>1297</v>
      </c>
      <c r="B94" t="s">
        <v>1298</v>
      </c>
      <c r="C94" t="s">
        <v>666</v>
      </c>
      <c r="D94" t="s">
        <v>1325</v>
      </c>
      <c r="E94" t="s">
        <v>187</v>
      </c>
      <c r="F94">
        <v>2012</v>
      </c>
      <c r="G94">
        <v>1.720224</v>
      </c>
    </row>
    <row r="95" spans="1:7">
      <c r="A95" t="s">
        <v>1297</v>
      </c>
      <c r="B95" t="s">
        <v>1298</v>
      </c>
      <c r="C95" t="s">
        <v>666</v>
      </c>
      <c r="D95" t="s">
        <v>1325</v>
      </c>
      <c r="E95" t="s">
        <v>187</v>
      </c>
      <c r="F95">
        <v>2016</v>
      </c>
      <c r="G95">
        <v>3.4867029999999999</v>
      </c>
    </row>
    <row r="96" spans="1:7">
      <c r="A96" t="s">
        <v>1297</v>
      </c>
      <c r="B96" t="s">
        <v>1298</v>
      </c>
      <c r="C96" t="s">
        <v>666</v>
      </c>
      <c r="D96" t="s">
        <v>1325</v>
      </c>
      <c r="E96" t="s">
        <v>187</v>
      </c>
      <c r="F96">
        <v>2020</v>
      </c>
      <c r="G96">
        <v>3.7334710000000002</v>
      </c>
    </row>
    <row r="97" spans="1:7">
      <c r="A97" t="s">
        <v>1297</v>
      </c>
      <c r="B97" t="s">
        <v>1298</v>
      </c>
      <c r="C97" t="s">
        <v>665</v>
      </c>
      <c r="D97" t="s">
        <v>1325</v>
      </c>
      <c r="E97" t="s">
        <v>187</v>
      </c>
      <c r="F97">
        <v>2005</v>
      </c>
      <c r="G97">
        <v>1.1470720000000001</v>
      </c>
    </row>
    <row r="98" spans="1:7">
      <c r="A98" t="s">
        <v>1297</v>
      </c>
      <c r="B98" t="s">
        <v>1298</v>
      </c>
      <c r="C98" t="s">
        <v>665</v>
      </c>
      <c r="D98" t="s">
        <v>1325</v>
      </c>
      <c r="E98" t="s">
        <v>187</v>
      </c>
      <c r="F98">
        <v>2010</v>
      </c>
      <c r="G98">
        <v>2.3202579999999999</v>
      </c>
    </row>
    <row r="99" spans="1:7">
      <c r="A99" t="s">
        <v>1297</v>
      </c>
      <c r="B99" t="s">
        <v>1298</v>
      </c>
      <c r="C99" t="s">
        <v>665</v>
      </c>
      <c r="D99" t="s">
        <v>1325</v>
      </c>
      <c r="E99" t="s">
        <v>187</v>
      </c>
      <c r="F99">
        <v>2012</v>
      </c>
      <c r="G99">
        <v>3.2629290000000002</v>
      </c>
    </row>
    <row r="100" spans="1:7">
      <c r="A100" t="s">
        <v>1297</v>
      </c>
      <c r="B100" t="s">
        <v>1298</v>
      </c>
      <c r="C100" t="s">
        <v>665</v>
      </c>
      <c r="D100" t="s">
        <v>1325</v>
      </c>
      <c r="E100" t="s">
        <v>187</v>
      </c>
      <c r="F100">
        <v>2016</v>
      </c>
      <c r="G100">
        <v>4.7273040000000002</v>
      </c>
    </row>
    <row r="101" spans="1:7">
      <c r="A101" t="s">
        <v>1297</v>
      </c>
      <c r="B101" t="s">
        <v>1298</v>
      </c>
      <c r="C101" t="s">
        <v>665</v>
      </c>
      <c r="D101" t="s">
        <v>1325</v>
      </c>
      <c r="E101" t="s">
        <v>187</v>
      </c>
      <c r="F101">
        <v>2020</v>
      </c>
      <c r="G101">
        <v>4.7591340000000004</v>
      </c>
    </row>
    <row r="102" spans="1:7">
      <c r="A102" t="s">
        <v>1297</v>
      </c>
      <c r="B102" t="s">
        <v>1298</v>
      </c>
      <c r="C102" t="s">
        <v>669</v>
      </c>
      <c r="D102" t="s">
        <v>1325</v>
      </c>
      <c r="E102" t="s">
        <v>187</v>
      </c>
      <c r="F102">
        <v>2012</v>
      </c>
      <c r="G102">
        <v>3.156E-3</v>
      </c>
    </row>
    <row r="103" spans="1:7">
      <c r="A103" t="s">
        <v>1297</v>
      </c>
      <c r="B103" t="s">
        <v>1298</v>
      </c>
      <c r="C103" t="s">
        <v>669</v>
      </c>
      <c r="D103" t="s">
        <v>1325</v>
      </c>
      <c r="E103" t="s">
        <v>187</v>
      </c>
      <c r="F103">
        <v>2016</v>
      </c>
      <c r="G103">
        <v>7.5370000000000003E-3</v>
      </c>
    </row>
    <row r="104" spans="1:7">
      <c r="A104" t="s">
        <v>1297</v>
      </c>
      <c r="B104" t="s">
        <v>1298</v>
      </c>
      <c r="C104" t="s">
        <v>669</v>
      </c>
      <c r="D104" t="s">
        <v>1325</v>
      </c>
      <c r="E104" t="s">
        <v>187</v>
      </c>
      <c r="F104">
        <v>2020</v>
      </c>
      <c r="G104">
        <v>1.756E-3</v>
      </c>
    </row>
    <row r="105" spans="1:7">
      <c r="A105" t="s">
        <v>1297</v>
      </c>
      <c r="B105" t="s">
        <v>1298</v>
      </c>
      <c r="C105" t="s">
        <v>667</v>
      </c>
      <c r="D105" t="s">
        <v>1325</v>
      </c>
      <c r="E105" t="s">
        <v>187</v>
      </c>
      <c r="F105">
        <v>2005</v>
      </c>
      <c r="G105">
        <v>6.1669999999999997E-3</v>
      </c>
    </row>
    <row r="106" spans="1:7">
      <c r="A106" t="s">
        <v>1297</v>
      </c>
      <c r="B106" t="s">
        <v>1298</v>
      </c>
      <c r="C106" t="s">
        <v>667</v>
      </c>
      <c r="D106" t="s">
        <v>1325</v>
      </c>
      <c r="E106" t="s">
        <v>187</v>
      </c>
      <c r="F106">
        <v>2010</v>
      </c>
      <c r="G106">
        <v>1.4539E-2</v>
      </c>
    </row>
    <row r="107" spans="1:7">
      <c r="A107" t="s">
        <v>1297</v>
      </c>
      <c r="B107" t="s">
        <v>1298</v>
      </c>
      <c r="C107" t="s">
        <v>667</v>
      </c>
      <c r="D107" t="s">
        <v>1325</v>
      </c>
      <c r="E107" t="s">
        <v>187</v>
      </c>
      <c r="F107">
        <v>2012</v>
      </c>
      <c r="G107">
        <v>2.4003E-2</v>
      </c>
    </row>
    <row r="108" spans="1:7">
      <c r="A108" t="s">
        <v>1297</v>
      </c>
      <c r="B108" t="s">
        <v>1298</v>
      </c>
      <c r="C108" t="s">
        <v>667</v>
      </c>
      <c r="D108" t="s">
        <v>1325</v>
      </c>
      <c r="E108" t="s">
        <v>187</v>
      </c>
      <c r="F108">
        <v>2016</v>
      </c>
      <c r="G108">
        <v>9.8774000000000001E-2</v>
      </c>
    </row>
    <row r="109" spans="1:7">
      <c r="A109" t="s">
        <v>1297</v>
      </c>
      <c r="B109" t="s">
        <v>1298</v>
      </c>
      <c r="C109" t="s">
        <v>667</v>
      </c>
      <c r="D109" t="s">
        <v>1325</v>
      </c>
      <c r="E109" t="s">
        <v>187</v>
      </c>
      <c r="F109">
        <v>2020</v>
      </c>
      <c r="G109">
        <v>0.37032700000000002</v>
      </c>
    </row>
    <row r="110" spans="1:7">
      <c r="A110" t="s">
        <v>1297</v>
      </c>
      <c r="B110" t="s">
        <v>1298</v>
      </c>
      <c r="C110" t="s">
        <v>686</v>
      </c>
      <c r="D110" t="s">
        <v>1325</v>
      </c>
      <c r="E110" t="s">
        <v>187</v>
      </c>
      <c r="F110">
        <v>2010</v>
      </c>
      <c r="G110">
        <v>6.0790000000000002E-3</v>
      </c>
    </row>
    <row r="111" spans="1:7">
      <c r="A111" t="s">
        <v>1297</v>
      </c>
      <c r="B111" t="s">
        <v>1298</v>
      </c>
      <c r="C111" t="s">
        <v>686</v>
      </c>
      <c r="D111" t="s">
        <v>1325</v>
      </c>
      <c r="E111" t="s">
        <v>187</v>
      </c>
      <c r="F111">
        <v>2012</v>
      </c>
      <c r="G111">
        <v>1.0387E-2</v>
      </c>
    </row>
    <row r="112" spans="1:7">
      <c r="A112" t="s">
        <v>1297</v>
      </c>
      <c r="B112" t="s">
        <v>1298</v>
      </c>
      <c r="C112" t="s">
        <v>686</v>
      </c>
      <c r="D112" t="s">
        <v>1325</v>
      </c>
      <c r="E112" t="s">
        <v>187</v>
      </c>
      <c r="F112">
        <v>2016</v>
      </c>
      <c r="G112">
        <v>4.7924000000000001E-2</v>
      </c>
    </row>
    <row r="113" spans="1:7">
      <c r="A113" t="s">
        <v>1297</v>
      </c>
      <c r="B113" t="s">
        <v>1298</v>
      </c>
      <c r="C113" t="s">
        <v>686</v>
      </c>
      <c r="D113" t="s">
        <v>1325</v>
      </c>
      <c r="E113" t="s">
        <v>187</v>
      </c>
      <c r="F113">
        <v>2020</v>
      </c>
      <c r="G113">
        <v>8.4954000000000002E-2</v>
      </c>
    </row>
    <row r="114" spans="1:7">
      <c r="A114" t="s">
        <v>1297</v>
      </c>
      <c r="B114" t="s">
        <v>1298</v>
      </c>
      <c r="C114" t="s">
        <v>673</v>
      </c>
      <c r="D114" t="s">
        <v>1325</v>
      </c>
      <c r="E114" t="s">
        <v>187</v>
      </c>
      <c r="F114">
        <v>2005</v>
      </c>
      <c r="G114">
        <v>0.148313</v>
      </c>
    </row>
    <row r="115" spans="1:7">
      <c r="A115" t="s">
        <v>1297</v>
      </c>
      <c r="B115" t="s">
        <v>1298</v>
      </c>
      <c r="C115" t="s">
        <v>673</v>
      </c>
      <c r="D115" t="s">
        <v>1325</v>
      </c>
      <c r="E115" t="s">
        <v>187</v>
      </c>
      <c r="F115">
        <v>2010</v>
      </c>
      <c r="G115">
        <v>0.33169999999999999</v>
      </c>
    </row>
    <row r="116" spans="1:7">
      <c r="A116" t="s">
        <v>1297</v>
      </c>
      <c r="B116" t="s">
        <v>1298</v>
      </c>
      <c r="C116" t="s">
        <v>673</v>
      </c>
      <c r="D116" t="s">
        <v>1325</v>
      </c>
      <c r="E116" t="s">
        <v>187</v>
      </c>
      <c r="F116">
        <v>2012</v>
      </c>
      <c r="G116">
        <v>0.476213</v>
      </c>
    </row>
    <row r="117" spans="1:7">
      <c r="A117" t="s">
        <v>1297</v>
      </c>
      <c r="B117" t="s">
        <v>1298</v>
      </c>
      <c r="C117" t="s">
        <v>673</v>
      </c>
      <c r="D117" t="s">
        <v>1325</v>
      </c>
      <c r="E117" t="s">
        <v>187</v>
      </c>
      <c r="F117">
        <v>2016</v>
      </c>
      <c r="G117">
        <v>0.81964199999999998</v>
      </c>
    </row>
    <row r="118" spans="1:7">
      <c r="A118" t="s">
        <v>1297</v>
      </c>
      <c r="B118" t="s">
        <v>1298</v>
      </c>
      <c r="C118" t="s">
        <v>673</v>
      </c>
      <c r="D118" t="s">
        <v>1325</v>
      </c>
      <c r="E118" t="s">
        <v>187</v>
      </c>
      <c r="F118">
        <v>2020</v>
      </c>
      <c r="G118">
        <v>0.65746700000000002</v>
      </c>
    </row>
    <row r="119" spans="1:7">
      <c r="A119" t="s">
        <v>1297</v>
      </c>
      <c r="B119" t="s">
        <v>1298</v>
      </c>
      <c r="C119" t="s">
        <v>677</v>
      </c>
      <c r="D119" t="s">
        <v>1325</v>
      </c>
      <c r="E119" t="s">
        <v>187</v>
      </c>
      <c r="F119">
        <v>2005</v>
      </c>
      <c r="G119">
        <v>2.2953610000000002</v>
      </c>
    </row>
    <row r="120" spans="1:7">
      <c r="A120" t="s">
        <v>1297</v>
      </c>
      <c r="B120" t="s">
        <v>1298</v>
      </c>
      <c r="C120" t="s">
        <v>677</v>
      </c>
      <c r="D120" t="s">
        <v>1325</v>
      </c>
      <c r="E120" t="s">
        <v>187</v>
      </c>
      <c r="F120">
        <v>2010</v>
      </c>
      <c r="G120">
        <v>3.1061619999999999</v>
      </c>
    </row>
    <row r="121" spans="1:7">
      <c r="A121" t="s">
        <v>1297</v>
      </c>
      <c r="B121" t="s">
        <v>1298</v>
      </c>
      <c r="C121" t="s">
        <v>677</v>
      </c>
      <c r="D121" t="s">
        <v>1325</v>
      </c>
      <c r="E121" t="s">
        <v>187</v>
      </c>
      <c r="F121">
        <v>2012</v>
      </c>
      <c r="G121">
        <v>4.1246340000000004</v>
      </c>
    </row>
    <row r="122" spans="1:7">
      <c r="A122" t="s">
        <v>1297</v>
      </c>
      <c r="B122" t="s">
        <v>1298</v>
      </c>
      <c r="C122" t="s">
        <v>677</v>
      </c>
      <c r="D122" t="s">
        <v>1325</v>
      </c>
      <c r="E122" t="s">
        <v>187</v>
      </c>
      <c r="F122">
        <v>2016</v>
      </c>
      <c r="G122">
        <v>8.5218059999999998</v>
      </c>
    </row>
    <row r="123" spans="1:7">
      <c r="A123" t="s">
        <v>1297</v>
      </c>
      <c r="B123" t="s">
        <v>1298</v>
      </c>
      <c r="C123" t="s">
        <v>677</v>
      </c>
      <c r="D123" t="s">
        <v>1325</v>
      </c>
      <c r="E123" t="s">
        <v>187</v>
      </c>
      <c r="F123">
        <v>2020</v>
      </c>
      <c r="G123">
        <v>11.408915</v>
      </c>
    </row>
    <row r="124" spans="1:7">
      <c r="A124" t="s">
        <v>1297</v>
      </c>
      <c r="B124" t="s">
        <v>1298</v>
      </c>
      <c r="C124" t="s">
        <v>675</v>
      </c>
      <c r="D124" t="s">
        <v>1325</v>
      </c>
      <c r="E124" t="s">
        <v>187</v>
      </c>
      <c r="F124">
        <v>2005</v>
      </c>
      <c r="G124">
        <v>9.0329000000000007E-2</v>
      </c>
    </row>
    <row r="125" spans="1:7">
      <c r="A125" t="s">
        <v>1297</v>
      </c>
      <c r="B125" t="s">
        <v>1298</v>
      </c>
      <c r="C125" t="s">
        <v>675</v>
      </c>
      <c r="D125" t="s">
        <v>1325</v>
      </c>
      <c r="E125" t="s">
        <v>187</v>
      </c>
      <c r="F125">
        <v>2010</v>
      </c>
      <c r="G125">
        <v>0.18662300000000001</v>
      </c>
    </row>
    <row r="126" spans="1:7">
      <c r="A126" t="s">
        <v>1297</v>
      </c>
      <c r="B126" t="s">
        <v>1298</v>
      </c>
      <c r="C126" t="s">
        <v>675</v>
      </c>
      <c r="D126" t="s">
        <v>1325</v>
      </c>
      <c r="E126" t="s">
        <v>187</v>
      </c>
      <c r="F126">
        <v>2012</v>
      </c>
      <c r="G126">
        <v>0.23558399999999999</v>
      </c>
    </row>
    <row r="127" spans="1:7">
      <c r="A127" t="s">
        <v>1297</v>
      </c>
      <c r="B127" t="s">
        <v>1298</v>
      </c>
      <c r="C127" t="s">
        <v>675</v>
      </c>
      <c r="D127" t="s">
        <v>1325</v>
      </c>
      <c r="E127" t="s">
        <v>187</v>
      </c>
      <c r="F127">
        <v>2016</v>
      </c>
      <c r="G127">
        <v>0.25719700000000001</v>
      </c>
    </row>
    <row r="128" spans="1:7">
      <c r="A128" t="s">
        <v>1297</v>
      </c>
      <c r="B128" t="s">
        <v>1298</v>
      </c>
      <c r="C128" t="s">
        <v>675</v>
      </c>
      <c r="D128" t="s">
        <v>1325</v>
      </c>
      <c r="E128" t="s">
        <v>187</v>
      </c>
      <c r="F128">
        <v>2020</v>
      </c>
      <c r="G128">
        <v>0.25489800000000001</v>
      </c>
    </row>
    <row r="129" spans="1:7">
      <c r="A129" t="s">
        <v>1297</v>
      </c>
      <c r="B129" t="s">
        <v>1298</v>
      </c>
      <c r="C129" t="s">
        <v>671</v>
      </c>
      <c r="D129" t="s">
        <v>1325</v>
      </c>
      <c r="E129" t="s">
        <v>187</v>
      </c>
      <c r="F129">
        <v>2005</v>
      </c>
      <c r="G129">
        <v>0.71449799999999997</v>
      </c>
    </row>
    <row r="130" spans="1:7">
      <c r="A130" t="s">
        <v>1297</v>
      </c>
      <c r="B130" t="s">
        <v>1298</v>
      </c>
      <c r="C130" t="s">
        <v>671</v>
      </c>
      <c r="D130" t="s">
        <v>1325</v>
      </c>
      <c r="E130" t="s">
        <v>187</v>
      </c>
      <c r="F130">
        <v>2010</v>
      </c>
      <c r="G130">
        <v>2.6671499999999999</v>
      </c>
    </row>
    <row r="131" spans="1:7">
      <c r="A131" t="s">
        <v>1297</v>
      </c>
      <c r="B131" t="s">
        <v>1298</v>
      </c>
      <c r="C131" t="s">
        <v>671</v>
      </c>
      <c r="D131" t="s">
        <v>1325</v>
      </c>
      <c r="E131" t="s">
        <v>187</v>
      </c>
      <c r="F131">
        <v>2012</v>
      </c>
      <c r="G131">
        <v>4.1407389999999999</v>
      </c>
    </row>
    <row r="132" spans="1:7">
      <c r="A132" t="s">
        <v>1297</v>
      </c>
      <c r="B132" t="s">
        <v>1298</v>
      </c>
      <c r="C132" t="s">
        <v>671</v>
      </c>
      <c r="D132" t="s">
        <v>1325</v>
      </c>
      <c r="E132" t="s">
        <v>187</v>
      </c>
      <c r="F132">
        <v>2016</v>
      </c>
      <c r="G132">
        <v>2.96211</v>
      </c>
    </row>
    <row r="133" spans="1:7">
      <c r="A133" t="s">
        <v>1297</v>
      </c>
      <c r="B133" t="s">
        <v>1298</v>
      </c>
      <c r="C133" t="s">
        <v>671</v>
      </c>
      <c r="D133" t="s">
        <v>1325</v>
      </c>
      <c r="E133" t="s">
        <v>187</v>
      </c>
      <c r="F133">
        <v>2020</v>
      </c>
      <c r="G133">
        <v>3.1627779999999999</v>
      </c>
    </row>
    <row r="134" spans="1:7">
      <c r="A134" t="s">
        <v>1297</v>
      </c>
      <c r="B134" t="s">
        <v>1298</v>
      </c>
      <c r="C134" t="s">
        <v>660</v>
      </c>
      <c r="D134" t="s">
        <v>1325</v>
      </c>
      <c r="E134" t="s">
        <v>187</v>
      </c>
      <c r="F134">
        <v>2005</v>
      </c>
      <c r="G134">
        <v>5.8343020000000001</v>
      </c>
    </row>
    <row r="135" spans="1:7">
      <c r="A135" t="s">
        <v>1297</v>
      </c>
      <c r="B135" t="s">
        <v>1298</v>
      </c>
      <c r="C135" t="s">
        <v>660</v>
      </c>
      <c r="D135" t="s">
        <v>1325</v>
      </c>
      <c r="E135" t="s">
        <v>187</v>
      </c>
      <c r="F135">
        <v>2010</v>
      </c>
      <c r="G135">
        <v>6.8188519999999997</v>
      </c>
    </row>
    <row r="136" spans="1:7">
      <c r="A136" t="s">
        <v>1297</v>
      </c>
      <c r="B136" t="s">
        <v>1298</v>
      </c>
      <c r="C136" t="s">
        <v>660</v>
      </c>
      <c r="D136" t="s">
        <v>1325</v>
      </c>
      <c r="E136" t="s">
        <v>187</v>
      </c>
      <c r="F136">
        <v>2012</v>
      </c>
      <c r="G136">
        <v>7.8754160000000004</v>
      </c>
    </row>
    <row r="137" spans="1:7">
      <c r="A137" t="s">
        <v>1297</v>
      </c>
      <c r="B137" t="s">
        <v>1298</v>
      </c>
      <c r="C137" t="s">
        <v>660</v>
      </c>
      <c r="D137" t="s">
        <v>1325</v>
      </c>
      <c r="E137" t="s">
        <v>187</v>
      </c>
      <c r="F137">
        <v>2016</v>
      </c>
      <c r="G137">
        <v>8.6963589999999993</v>
      </c>
    </row>
    <row r="138" spans="1:7">
      <c r="A138" t="s">
        <v>1297</v>
      </c>
      <c r="B138" t="s">
        <v>1298</v>
      </c>
      <c r="C138" t="s">
        <v>660</v>
      </c>
      <c r="D138" t="s">
        <v>1325</v>
      </c>
      <c r="E138" t="s">
        <v>187</v>
      </c>
      <c r="F138">
        <v>2020</v>
      </c>
      <c r="G138">
        <v>8.2739999999999991</v>
      </c>
    </row>
    <row r="139" spans="1:7">
      <c r="A139" t="s">
        <v>1297</v>
      </c>
      <c r="B139" t="s">
        <v>1298</v>
      </c>
      <c r="C139" t="s">
        <v>680</v>
      </c>
      <c r="D139" t="s">
        <v>1325</v>
      </c>
      <c r="E139" t="s">
        <v>187</v>
      </c>
      <c r="F139">
        <v>2005</v>
      </c>
      <c r="G139">
        <v>3.7369999999999999E-3</v>
      </c>
    </row>
    <row r="140" spans="1:7">
      <c r="A140" t="s">
        <v>1297</v>
      </c>
      <c r="B140" t="s">
        <v>1298</v>
      </c>
      <c r="C140" t="s">
        <v>289</v>
      </c>
      <c r="D140" t="s">
        <v>1325</v>
      </c>
      <c r="E140" t="s">
        <v>187</v>
      </c>
      <c r="F140">
        <v>2005</v>
      </c>
      <c r="G140">
        <v>8.1600000000000006E-3</v>
      </c>
    </row>
    <row r="141" spans="1:7">
      <c r="A141" t="s">
        <v>1297</v>
      </c>
      <c r="B141" t="s">
        <v>1298</v>
      </c>
      <c r="C141" t="s">
        <v>289</v>
      </c>
      <c r="D141" t="s">
        <v>1325</v>
      </c>
      <c r="E141" t="s">
        <v>187</v>
      </c>
      <c r="F141">
        <v>2010</v>
      </c>
      <c r="G141">
        <v>2.3861E-2</v>
      </c>
    </row>
    <row r="142" spans="1:7">
      <c r="A142" t="s">
        <v>1297</v>
      </c>
      <c r="B142" t="s">
        <v>1298</v>
      </c>
      <c r="C142" t="s">
        <v>289</v>
      </c>
      <c r="D142" t="s">
        <v>1325</v>
      </c>
      <c r="E142" t="s">
        <v>187</v>
      </c>
      <c r="F142">
        <v>2012</v>
      </c>
      <c r="G142">
        <v>0.10076400000000001</v>
      </c>
    </row>
    <row r="143" spans="1:7">
      <c r="A143" t="s">
        <v>1297</v>
      </c>
      <c r="B143" t="s">
        <v>1298</v>
      </c>
      <c r="C143" t="s">
        <v>289</v>
      </c>
      <c r="D143" t="s">
        <v>1325</v>
      </c>
      <c r="E143" t="s">
        <v>187</v>
      </c>
      <c r="F143">
        <v>2016</v>
      </c>
      <c r="G143">
        <v>0.42086699999999999</v>
      </c>
    </row>
    <row r="144" spans="1:7">
      <c r="A144" t="s">
        <v>1297</v>
      </c>
      <c r="B144" t="s">
        <v>1298</v>
      </c>
      <c r="C144" t="s">
        <v>289</v>
      </c>
      <c r="D144" t="s">
        <v>1325</v>
      </c>
      <c r="E144" t="s">
        <v>187</v>
      </c>
      <c r="F144">
        <v>2020</v>
      </c>
      <c r="G144">
        <v>0.87571600000000005</v>
      </c>
    </row>
    <row r="145" spans="1:7">
      <c r="A145" t="s">
        <v>1297</v>
      </c>
      <c r="B145" t="s">
        <v>1298</v>
      </c>
      <c r="C145" t="s">
        <v>679</v>
      </c>
      <c r="D145" t="s">
        <v>1325</v>
      </c>
      <c r="E145" t="s">
        <v>187</v>
      </c>
      <c r="F145">
        <v>2005</v>
      </c>
      <c r="G145">
        <v>1.0906769999999999</v>
      </c>
    </row>
    <row r="146" spans="1:7">
      <c r="A146" t="s">
        <v>1297</v>
      </c>
      <c r="B146" t="s">
        <v>1298</v>
      </c>
      <c r="C146" t="s">
        <v>679</v>
      </c>
      <c r="D146" t="s">
        <v>1325</v>
      </c>
      <c r="E146" t="s">
        <v>187</v>
      </c>
      <c r="F146">
        <v>2010</v>
      </c>
      <c r="G146">
        <v>0.85316999999999998</v>
      </c>
    </row>
    <row r="147" spans="1:7">
      <c r="A147" t="s">
        <v>1297</v>
      </c>
      <c r="B147" t="s">
        <v>1298</v>
      </c>
      <c r="C147" t="s">
        <v>679</v>
      </c>
      <c r="D147" t="s">
        <v>1325</v>
      </c>
      <c r="E147" t="s">
        <v>187</v>
      </c>
      <c r="F147">
        <v>2012</v>
      </c>
      <c r="G147">
        <v>0.90128600000000003</v>
      </c>
    </row>
    <row r="148" spans="1:7">
      <c r="A148" t="s">
        <v>1297</v>
      </c>
      <c r="B148" t="s">
        <v>1298</v>
      </c>
      <c r="C148" t="s">
        <v>679</v>
      </c>
      <c r="D148" t="s">
        <v>1325</v>
      </c>
      <c r="E148" t="s">
        <v>187</v>
      </c>
      <c r="F148">
        <v>2016</v>
      </c>
      <c r="G148">
        <v>1.241212</v>
      </c>
    </row>
    <row r="149" spans="1:7">
      <c r="A149" t="s">
        <v>1297</v>
      </c>
      <c r="B149" t="s">
        <v>1298</v>
      </c>
      <c r="C149" t="s">
        <v>679</v>
      </c>
      <c r="D149" t="s">
        <v>1325</v>
      </c>
      <c r="E149" t="s">
        <v>187</v>
      </c>
      <c r="F149">
        <v>2020</v>
      </c>
      <c r="G149">
        <v>2.1689029999999998</v>
      </c>
    </row>
    <row r="150" spans="1:7">
      <c r="A150" t="s">
        <v>1297</v>
      </c>
      <c r="B150" t="s">
        <v>1298</v>
      </c>
      <c r="C150" t="s">
        <v>659</v>
      </c>
      <c r="D150" t="s">
        <v>1325</v>
      </c>
      <c r="E150" t="s">
        <v>187</v>
      </c>
      <c r="F150">
        <v>2005</v>
      </c>
      <c r="G150">
        <v>0.85759799999999997</v>
      </c>
    </row>
    <row r="151" spans="1:7">
      <c r="A151" t="s">
        <v>1297</v>
      </c>
      <c r="B151" t="s">
        <v>1298</v>
      </c>
      <c r="C151" t="s">
        <v>659</v>
      </c>
      <c r="D151" t="s">
        <v>1325</v>
      </c>
      <c r="E151" t="s">
        <v>187</v>
      </c>
      <c r="F151">
        <v>2010</v>
      </c>
      <c r="G151">
        <v>1.3141389999999999</v>
      </c>
    </row>
    <row r="152" spans="1:7">
      <c r="A152" t="s">
        <v>1297</v>
      </c>
      <c r="B152" t="s">
        <v>1298</v>
      </c>
      <c r="C152" t="s">
        <v>659</v>
      </c>
      <c r="D152" t="s">
        <v>1325</v>
      </c>
      <c r="E152" t="s">
        <v>187</v>
      </c>
      <c r="F152">
        <v>2012</v>
      </c>
      <c r="G152">
        <v>1.546905</v>
      </c>
    </row>
    <row r="153" spans="1:7">
      <c r="A153" t="s">
        <v>1297</v>
      </c>
      <c r="B153" t="s">
        <v>1298</v>
      </c>
      <c r="C153" t="s">
        <v>659</v>
      </c>
      <c r="D153" t="s">
        <v>1325</v>
      </c>
      <c r="E153" t="s">
        <v>187</v>
      </c>
      <c r="F153">
        <v>2016</v>
      </c>
      <c r="G153">
        <v>1.992386</v>
      </c>
    </row>
    <row r="154" spans="1:7">
      <c r="A154" t="s">
        <v>1297</v>
      </c>
      <c r="B154" t="s">
        <v>1298</v>
      </c>
      <c r="C154" t="s">
        <v>659</v>
      </c>
      <c r="D154" t="s">
        <v>1325</v>
      </c>
      <c r="E154" t="s">
        <v>187</v>
      </c>
      <c r="F154">
        <v>2020</v>
      </c>
      <c r="G154">
        <v>1.828778</v>
      </c>
    </row>
    <row r="155" spans="1:7">
      <c r="A155" t="s">
        <v>1297</v>
      </c>
      <c r="B155" t="s">
        <v>1298</v>
      </c>
      <c r="C155" t="s">
        <v>680</v>
      </c>
      <c r="D155" t="s">
        <v>1325</v>
      </c>
      <c r="E155" t="s">
        <v>187</v>
      </c>
      <c r="F155">
        <v>2010</v>
      </c>
      <c r="G155">
        <v>1.5349999999999999E-3</v>
      </c>
    </row>
    <row r="156" spans="1:7">
      <c r="A156" t="s">
        <v>1297</v>
      </c>
      <c r="B156" t="s">
        <v>1298</v>
      </c>
      <c r="C156" t="s">
        <v>670</v>
      </c>
      <c r="D156" t="s">
        <v>1325</v>
      </c>
      <c r="E156" t="s">
        <v>187</v>
      </c>
      <c r="F156">
        <v>2005</v>
      </c>
      <c r="G156">
        <v>1.1651910000000001</v>
      </c>
    </row>
    <row r="157" spans="1:7">
      <c r="A157" t="s">
        <v>1297</v>
      </c>
      <c r="B157" t="s">
        <v>1298</v>
      </c>
      <c r="C157" t="s">
        <v>670</v>
      </c>
      <c r="D157" t="s">
        <v>1325</v>
      </c>
      <c r="E157" t="s">
        <v>187</v>
      </c>
      <c r="F157">
        <v>2010</v>
      </c>
      <c r="G157">
        <v>1.4021269999999999</v>
      </c>
    </row>
    <row r="158" spans="1:7">
      <c r="A158" t="s">
        <v>1297</v>
      </c>
      <c r="B158" t="s">
        <v>1298</v>
      </c>
      <c r="C158" t="s">
        <v>670</v>
      </c>
      <c r="D158" t="s">
        <v>1325</v>
      </c>
      <c r="E158" t="s">
        <v>187</v>
      </c>
      <c r="F158">
        <v>2012</v>
      </c>
      <c r="G158">
        <v>1.5458259999999999</v>
      </c>
    </row>
    <row r="159" spans="1:7">
      <c r="A159" t="s">
        <v>1297</v>
      </c>
      <c r="B159" t="s">
        <v>1298</v>
      </c>
      <c r="C159" t="s">
        <v>670</v>
      </c>
      <c r="D159" t="s">
        <v>1325</v>
      </c>
      <c r="E159" t="s">
        <v>187</v>
      </c>
      <c r="F159">
        <v>2016</v>
      </c>
      <c r="G159">
        <v>1.89253</v>
      </c>
    </row>
    <row r="160" spans="1:7">
      <c r="A160" t="s">
        <v>1297</v>
      </c>
      <c r="B160" t="s">
        <v>1298</v>
      </c>
      <c r="C160" t="s">
        <v>670</v>
      </c>
      <c r="D160" t="s">
        <v>1325</v>
      </c>
      <c r="E160" t="s">
        <v>187</v>
      </c>
      <c r="F160">
        <v>2020</v>
      </c>
      <c r="G160">
        <v>2.3500990000000002</v>
      </c>
    </row>
    <row r="161" spans="1:7">
      <c r="A161" t="s">
        <v>1297</v>
      </c>
      <c r="B161" t="s">
        <v>1298</v>
      </c>
      <c r="C161" t="s">
        <v>663</v>
      </c>
      <c r="D161" t="s">
        <v>1325</v>
      </c>
      <c r="E161" t="s">
        <v>187</v>
      </c>
      <c r="F161">
        <v>2005</v>
      </c>
      <c r="G161">
        <v>0.72461500000000001</v>
      </c>
    </row>
    <row r="162" spans="1:7">
      <c r="A162" t="s">
        <v>1297</v>
      </c>
      <c r="B162" t="s">
        <v>1298</v>
      </c>
      <c r="C162" t="s">
        <v>663</v>
      </c>
      <c r="D162" t="s">
        <v>1325</v>
      </c>
      <c r="E162" t="s">
        <v>187</v>
      </c>
      <c r="F162">
        <v>2010</v>
      </c>
      <c r="G162">
        <v>1.083626</v>
      </c>
    </row>
    <row r="163" spans="1:7">
      <c r="A163" t="s">
        <v>1297</v>
      </c>
      <c r="B163" t="s">
        <v>1298</v>
      </c>
      <c r="C163" t="s">
        <v>663</v>
      </c>
      <c r="D163" t="s">
        <v>1325</v>
      </c>
      <c r="E163" t="s">
        <v>187</v>
      </c>
      <c r="F163">
        <v>2012</v>
      </c>
      <c r="G163">
        <v>0.82553100000000001</v>
      </c>
    </row>
    <row r="164" spans="1:7">
      <c r="A164" t="s">
        <v>1297</v>
      </c>
      <c r="B164" t="s">
        <v>1298</v>
      </c>
      <c r="C164" t="s">
        <v>663</v>
      </c>
      <c r="D164" t="s">
        <v>1325</v>
      </c>
      <c r="E164" t="s">
        <v>187</v>
      </c>
      <c r="F164">
        <v>2016</v>
      </c>
      <c r="G164">
        <v>1.291768</v>
      </c>
    </row>
    <row r="165" spans="1:7">
      <c r="A165" t="s">
        <v>1297</v>
      </c>
      <c r="B165" t="s">
        <v>1298</v>
      </c>
      <c r="C165" t="s">
        <v>663</v>
      </c>
      <c r="D165" t="s">
        <v>1325</v>
      </c>
      <c r="E165" t="s">
        <v>187</v>
      </c>
      <c r="F165">
        <v>2020</v>
      </c>
      <c r="G165">
        <v>1.082071</v>
      </c>
    </row>
    <row r="166" spans="1:7">
      <c r="A166" t="s">
        <v>1297</v>
      </c>
      <c r="B166" t="s">
        <v>1298</v>
      </c>
      <c r="C166" t="s">
        <v>653</v>
      </c>
      <c r="D166" t="s">
        <v>1325</v>
      </c>
      <c r="E166" t="s">
        <v>187</v>
      </c>
      <c r="F166">
        <v>2005</v>
      </c>
      <c r="G166">
        <v>2.7360000000000002E-3</v>
      </c>
    </row>
    <row r="167" spans="1:7">
      <c r="A167" t="s">
        <v>1297</v>
      </c>
      <c r="B167" t="s">
        <v>1298</v>
      </c>
      <c r="C167" t="s">
        <v>653</v>
      </c>
      <c r="D167" t="s">
        <v>1325</v>
      </c>
      <c r="E167" t="s">
        <v>187</v>
      </c>
      <c r="F167">
        <v>2010</v>
      </c>
      <c r="G167">
        <v>2.0271999999999998E-2</v>
      </c>
    </row>
    <row r="168" spans="1:7">
      <c r="A168" t="s">
        <v>1297</v>
      </c>
      <c r="B168" t="s">
        <v>1298</v>
      </c>
      <c r="C168" t="s">
        <v>653</v>
      </c>
      <c r="D168" t="s">
        <v>1325</v>
      </c>
      <c r="E168" t="s">
        <v>187</v>
      </c>
      <c r="F168">
        <v>2012</v>
      </c>
      <c r="G168">
        <v>4.2355999999999998E-2</v>
      </c>
    </row>
    <row r="169" spans="1:7">
      <c r="A169" t="s">
        <v>1297</v>
      </c>
      <c r="B169" t="s">
        <v>1298</v>
      </c>
      <c r="C169" t="s">
        <v>653</v>
      </c>
      <c r="D169" t="s">
        <v>1325</v>
      </c>
      <c r="E169" t="s">
        <v>187</v>
      </c>
      <c r="F169">
        <v>2016</v>
      </c>
      <c r="G169">
        <v>0.202297</v>
      </c>
    </row>
    <row r="170" spans="1:7">
      <c r="A170" t="s">
        <v>1297</v>
      </c>
      <c r="B170" t="s">
        <v>1298</v>
      </c>
      <c r="C170" t="s">
        <v>653</v>
      </c>
      <c r="D170" t="s">
        <v>1325</v>
      </c>
      <c r="E170" t="s">
        <v>187</v>
      </c>
      <c r="F170">
        <v>2020</v>
      </c>
      <c r="G170">
        <v>1.7357819999999999</v>
      </c>
    </row>
    <row r="171" spans="1:7">
      <c r="A171" t="s">
        <v>1297</v>
      </c>
      <c r="B171" t="s">
        <v>1298</v>
      </c>
      <c r="C171" t="s">
        <v>289</v>
      </c>
      <c r="D171" t="s">
        <v>1326</v>
      </c>
      <c r="E171" t="s">
        <v>187</v>
      </c>
      <c r="F171">
        <v>2005</v>
      </c>
      <c r="G171">
        <v>1.6608000000000001E-2</v>
      </c>
    </row>
    <row r="172" spans="1:7">
      <c r="A172" t="s">
        <v>1297</v>
      </c>
      <c r="B172" t="s">
        <v>1298</v>
      </c>
      <c r="C172" t="s">
        <v>289</v>
      </c>
      <c r="D172" t="s">
        <v>1326</v>
      </c>
      <c r="E172" t="s">
        <v>187</v>
      </c>
      <c r="F172">
        <v>2010</v>
      </c>
      <c r="G172">
        <v>4.5706179999999996</v>
      </c>
    </row>
    <row r="173" spans="1:7">
      <c r="A173" t="s">
        <v>1297</v>
      </c>
      <c r="B173" t="s">
        <v>1298</v>
      </c>
      <c r="C173" t="s">
        <v>289</v>
      </c>
      <c r="D173" t="s">
        <v>1326</v>
      </c>
      <c r="E173" t="s">
        <v>187</v>
      </c>
      <c r="F173">
        <v>2012</v>
      </c>
      <c r="G173">
        <v>8.690645</v>
      </c>
    </row>
    <row r="174" spans="1:7">
      <c r="A174" t="s">
        <v>1297</v>
      </c>
      <c r="B174" t="s">
        <v>1298</v>
      </c>
      <c r="C174" t="s">
        <v>289</v>
      </c>
      <c r="D174" t="s">
        <v>1326</v>
      </c>
      <c r="E174" t="s">
        <v>187</v>
      </c>
      <c r="F174">
        <v>2016</v>
      </c>
      <c r="G174">
        <v>13.909965</v>
      </c>
    </row>
    <row r="175" spans="1:7">
      <c r="A175" t="s">
        <v>1297</v>
      </c>
      <c r="B175" t="s">
        <v>1298</v>
      </c>
      <c r="C175" t="s">
        <v>289</v>
      </c>
      <c r="D175" t="s">
        <v>1326</v>
      </c>
      <c r="E175" t="s">
        <v>187</v>
      </c>
      <c r="F175">
        <v>2020</v>
      </c>
      <c r="G175">
        <v>11.808807</v>
      </c>
    </row>
    <row r="176" spans="1:7">
      <c r="A176" t="s">
        <v>1297</v>
      </c>
      <c r="B176" t="s">
        <v>1298</v>
      </c>
      <c r="C176" t="s">
        <v>666</v>
      </c>
      <c r="D176" t="s">
        <v>1326</v>
      </c>
      <c r="E176" t="s">
        <v>187</v>
      </c>
      <c r="F176">
        <v>2005</v>
      </c>
      <c r="G176">
        <v>1.082281</v>
      </c>
    </row>
    <row r="177" spans="1:7">
      <c r="A177" t="s">
        <v>1297</v>
      </c>
      <c r="B177" t="s">
        <v>1298</v>
      </c>
      <c r="C177" t="s">
        <v>666</v>
      </c>
      <c r="D177" t="s">
        <v>1326</v>
      </c>
      <c r="E177" t="s">
        <v>187</v>
      </c>
      <c r="F177">
        <v>2010</v>
      </c>
      <c r="G177">
        <v>8.5545980000000004</v>
      </c>
    </row>
    <row r="178" spans="1:7">
      <c r="A178" t="s">
        <v>1297</v>
      </c>
      <c r="B178" t="s">
        <v>1298</v>
      </c>
      <c r="C178" t="s">
        <v>666</v>
      </c>
      <c r="D178" t="s">
        <v>1326</v>
      </c>
      <c r="E178" t="s">
        <v>187</v>
      </c>
      <c r="F178">
        <v>2012</v>
      </c>
      <c r="G178">
        <v>8.7656899999999993</v>
      </c>
    </row>
    <row r="179" spans="1:7">
      <c r="A179" t="s">
        <v>1297</v>
      </c>
      <c r="B179" t="s">
        <v>1298</v>
      </c>
      <c r="C179" t="s">
        <v>666</v>
      </c>
      <c r="D179" t="s">
        <v>1326</v>
      </c>
      <c r="E179" t="s">
        <v>187</v>
      </c>
      <c r="F179">
        <v>2016</v>
      </c>
      <c r="G179">
        <v>10.585553000000001</v>
      </c>
    </row>
    <row r="180" spans="1:7">
      <c r="A180" t="s">
        <v>1297</v>
      </c>
      <c r="B180" t="s">
        <v>1298</v>
      </c>
      <c r="C180" t="s">
        <v>666</v>
      </c>
      <c r="D180" t="s">
        <v>1326</v>
      </c>
      <c r="E180" t="s">
        <v>187</v>
      </c>
      <c r="F180">
        <v>2020</v>
      </c>
      <c r="G180">
        <v>13.636289</v>
      </c>
    </row>
    <row r="181" spans="1:7">
      <c r="A181" t="s">
        <v>1297</v>
      </c>
      <c r="B181" t="s">
        <v>1298</v>
      </c>
      <c r="C181" t="s">
        <v>673</v>
      </c>
      <c r="D181" t="s">
        <v>1326</v>
      </c>
      <c r="E181" t="s">
        <v>187</v>
      </c>
      <c r="F181">
        <v>2005</v>
      </c>
      <c r="G181">
        <v>1.8990000000000001E-3</v>
      </c>
    </row>
    <row r="182" spans="1:7">
      <c r="A182" t="s">
        <v>1297</v>
      </c>
      <c r="B182" t="s">
        <v>1298</v>
      </c>
      <c r="C182" t="s">
        <v>673</v>
      </c>
      <c r="D182" t="s">
        <v>1326</v>
      </c>
      <c r="E182" t="s">
        <v>187</v>
      </c>
      <c r="F182">
        <v>2010</v>
      </c>
      <c r="G182">
        <v>1.160296</v>
      </c>
    </row>
    <row r="183" spans="1:7">
      <c r="A183" t="s">
        <v>1297</v>
      </c>
      <c r="B183" t="s">
        <v>1298</v>
      </c>
      <c r="C183" t="s">
        <v>673</v>
      </c>
      <c r="D183" t="s">
        <v>1326</v>
      </c>
      <c r="E183" t="s">
        <v>187</v>
      </c>
      <c r="F183">
        <v>2012</v>
      </c>
      <c r="G183">
        <v>10.098024000000001</v>
      </c>
    </row>
    <row r="184" spans="1:7">
      <c r="A184" t="s">
        <v>1297</v>
      </c>
      <c r="B184" t="s">
        <v>1298</v>
      </c>
      <c r="C184" t="s">
        <v>673</v>
      </c>
      <c r="D184" t="s">
        <v>1326</v>
      </c>
      <c r="E184" t="s">
        <v>187</v>
      </c>
      <c r="F184">
        <v>2016</v>
      </c>
      <c r="G184">
        <v>4.6488519999999998</v>
      </c>
    </row>
    <row r="185" spans="1:7">
      <c r="A185" t="s">
        <v>1297</v>
      </c>
      <c r="B185" t="s">
        <v>1298</v>
      </c>
      <c r="C185" t="s">
        <v>673</v>
      </c>
      <c r="D185" t="s">
        <v>1326</v>
      </c>
      <c r="E185" t="s">
        <v>187</v>
      </c>
      <c r="F185">
        <v>2020</v>
      </c>
      <c r="G185">
        <v>1.7040470000000001</v>
      </c>
    </row>
    <row r="186" spans="1:7">
      <c r="A186" t="s">
        <v>1297</v>
      </c>
      <c r="B186" t="s">
        <v>1298</v>
      </c>
      <c r="C186" t="s">
        <v>664</v>
      </c>
      <c r="D186" t="s">
        <v>1326</v>
      </c>
      <c r="E186" t="s">
        <v>187</v>
      </c>
      <c r="F186">
        <v>2005</v>
      </c>
      <c r="G186" s="14">
        <v>2.3E-5</v>
      </c>
    </row>
    <row r="187" spans="1:7">
      <c r="A187" t="s">
        <v>1297</v>
      </c>
      <c r="B187" t="s">
        <v>1298</v>
      </c>
      <c r="C187" t="s">
        <v>664</v>
      </c>
      <c r="D187" t="s">
        <v>1326</v>
      </c>
      <c r="E187" t="s">
        <v>187</v>
      </c>
      <c r="F187">
        <v>2010</v>
      </c>
      <c r="G187">
        <v>1.822E-2</v>
      </c>
    </row>
    <row r="188" spans="1:7">
      <c r="A188" t="s">
        <v>1297</v>
      </c>
      <c r="B188" t="s">
        <v>1298</v>
      </c>
      <c r="C188" t="s">
        <v>664</v>
      </c>
      <c r="D188" t="s">
        <v>1326</v>
      </c>
      <c r="E188" t="s">
        <v>187</v>
      </c>
      <c r="F188">
        <v>2012</v>
      </c>
      <c r="G188">
        <v>2.1690000000000001E-2</v>
      </c>
    </row>
    <row r="189" spans="1:7">
      <c r="A189" t="s">
        <v>1297</v>
      </c>
      <c r="B189" t="s">
        <v>1298</v>
      </c>
      <c r="C189" t="s">
        <v>664</v>
      </c>
      <c r="D189" t="s">
        <v>1326</v>
      </c>
      <c r="E189" t="s">
        <v>187</v>
      </c>
      <c r="F189">
        <v>2016</v>
      </c>
      <c r="G189">
        <v>0.13549600000000001</v>
      </c>
    </row>
    <row r="190" spans="1:7">
      <c r="A190" t="s">
        <v>1297</v>
      </c>
      <c r="B190" t="s">
        <v>1298</v>
      </c>
      <c r="C190" t="s">
        <v>664</v>
      </c>
      <c r="D190" t="s">
        <v>1326</v>
      </c>
      <c r="E190" t="s">
        <v>187</v>
      </c>
      <c r="F190">
        <v>2020</v>
      </c>
      <c r="G190">
        <v>0.43281199999999997</v>
      </c>
    </row>
    <row r="191" spans="1:7">
      <c r="A191" t="s">
        <v>1297</v>
      </c>
      <c r="B191" t="s">
        <v>1298</v>
      </c>
      <c r="C191" t="s">
        <v>672</v>
      </c>
      <c r="D191" t="s">
        <v>1326</v>
      </c>
      <c r="E191" t="s">
        <v>187</v>
      </c>
      <c r="F191">
        <v>2005</v>
      </c>
      <c r="G191">
        <v>0.36401499999999998</v>
      </c>
    </row>
    <row r="192" spans="1:7">
      <c r="A192" t="s">
        <v>1297</v>
      </c>
      <c r="B192" t="s">
        <v>1298</v>
      </c>
      <c r="C192" t="s">
        <v>672</v>
      </c>
      <c r="D192" t="s">
        <v>1326</v>
      </c>
      <c r="E192" t="s">
        <v>187</v>
      </c>
      <c r="F192">
        <v>2010</v>
      </c>
      <c r="G192">
        <v>11.16469</v>
      </c>
    </row>
    <row r="193" spans="1:7">
      <c r="A193" t="s">
        <v>1297</v>
      </c>
      <c r="B193" t="s">
        <v>1298</v>
      </c>
      <c r="C193" t="s">
        <v>672</v>
      </c>
      <c r="D193" t="s">
        <v>1326</v>
      </c>
      <c r="E193" t="s">
        <v>187</v>
      </c>
      <c r="F193">
        <v>2012</v>
      </c>
      <c r="G193">
        <v>12.340035</v>
      </c>
    </row>
    <row r="194" spans="1:7">
      <c r="A194" t="s">
        <v>1297</v>
      </c>
      <c r="B194" t="s">
        <v>1298</v>
      </c>
      <c r="C194" t="s">
        <v>672</v>
      </c>
      <c r="D194" t="s">
        <v>1326</v>
      </c>
      <c r="E194" t="s">
        <v>187</v>
      </c>
      <c r="F194">
        <v>2016</v>
      </c>
      <c r="G194">
        <v>15.828218</v>
      </c>
    </row>
    <row r="195" spans="1:7">
      <c r="A195" t="s">
        <v>1297</v>
      </c>
      <c r="B195" t="s">
        <v>1298</v>
      </c>
      <c r="C195" t="s">
        <v>672</v>
      </c>
      <c r="D195" t="s">
        <v>1326</v>
      </c>
      <c r="E195" t="s">
        <v>187</v>
      </c>
      <c r="F195">
        <v>2020</v>
      </c>
      <c r="G195">
        <v>18.027007000000001</v>
      </c>
    </row>
    <row r="196" spans="1:7">
      <c r="A196" t="s">
        <v>1297</v>
      </c>
      <c r="B196" t="s">
        <v>1298</v>
      </c>
      <c r="C196" t="s">
        <v>1302</v>
      </c>
      <c r="D196" t="s">
        <v>1326</v>
      </c>
      <c r="E196" t="s">
        <v>187</v>
      </c>
      <c r="F196">
        <v>2012</v>
      </c>
      <c r="G196">
        <v>2.1000000000000001E-2</v>
      </c>
    </row>
    <row r="197" spans="1:7">
      <c r="A197" t="s">
        <v>1297</v>
      </c>
      <c r="B197" t="s">
        <v>1298</v>
      </c>
      <c r="C197" t="s">
        <v>1302</v>
      </c>
      <c r="D197" t="s">
        <v>1326</v>
      </c>
      <c r="E197" t="s">
        <v>187</v>
      </c>
      <c r="F197">
        <v>2020</v>
      </c>
      <c r="G197">
        <v>1.768E-3</v>
      </c>
    </row>
    <row r="198" spans="1:7">
      <c r="A198" t="s">
        <v>1297</v>
      </c>
      <c r="B198" t="s">
        <v>1298</v>
      </c>
      <c r="C198" t="s">
        <v>686</v>
      </c>
      <c r="D198" t="s">
        <v>1326</v>
      </c>
      <c r="E198" t="s">
        <v>187</v>
      </c>
      <c r="F198">
        <v>2005</v>
      </c>
      <c r="G198">
        <v>4.2</v>
      </c>
    </row>
    <row r="199" spans="1:7">
      <c r="A199" t="s">
        <v>1297</v>
      </c>
      <c r="B199" t="s">
        <v>1298</v>
      </c>
      <c r="C199" t="s">
        <v>686</v>
      </c>
      <c r="D199" t="s">
        <v>1326</v>
      </c>
      <c r="E199" t="s">
        <v>187</v>
      </c>
      <c r="F199">
        <v>2010</v>
      </c>
      <c r="G199">
        <v>0.107</v>
      </c>
    </row>
    <row r="200" spans="1:7">
      <c r="A200" t="s">
        <v>1297</v>
      </c>
      <c r="B200" t="s">
        <v>1298</v>
      </c>
      <c r="C200" t="s">
        <v>686</v>
      </c>
      <c r="D200" t="s">
        <v>1326</v>
      </c>
      <c r="E200" t="s">
        <v>187</v>
      </c>
      <c r="F200">
        <v>2012</v>
      </c>
      <c r="G200">
        <v>1.661165</v>
      </c>
    </row>
    <row r="201" spans="1:7">
      <c r="A201" t="s">
        <v>1297</v>
      </c>
      <c r="B201" t="s">
        <v>1298</v>
      </c>
      <c r="C201" t="s">
        <v>686</v>
      </c>
      <c r="D201" t="s">
        <v>1326</v>
      </c>
      <c r="E201" t="s">
        <v>187</v>
      </c>
      <c r="F201">
        <v>2016</v>
      </c>
      <c r="G201">
        <v>2.824748</v>
      </c>
    </row>
    <row r="202" spans="1:7">
      <c r="A202" t="s">
        <v>1297</v>
      </c>
      <c r="B202" t="s">
        <v>1298</v>
      </c>
      <c r="C202" t="s">
        <v>686</v>
      </c>
      <c r="D202" t="s">
        <v>1326</v>
      </c>
      <c r="E202" t="s">
        <v>187</v>
      </c>
      <c r="F202">
        <v>2020</v>
      </c>
      <c r="G202">
        <v>2.3017219999999998</v>
      </c>
    </row>
    <row r="203" spans="1:7">
      <c r="A203" t="s">
        <v>1297</v>
      </c>
      <c r="B203" t="s">
        <v>1298</v>
      </c>
      <c r="C203" t="s">
        <v>669</v>
      </c>
      <c r="D203" t="s">
        <v>1326</v>
      </c>
      <c r="E203" t="s">
        <v>187</v>
      </c>
      <c r="F203">
        <v>2020</v>
      </c>
      <c r="G203">
        <v>3.9209000000000001E-2</v>
      </c>
    </row>
    <row r="204" spans="1:7">
      <c r="A204" t="s">
        <v>1297</v>
      </c>
      <c r="B204" t="s">
        <v>1298</v>
      </c>
      <c r="C204" t="s">
        <v>668</v>
      </c>
      <c r="D204" t="s">
        <v>1326</v>
      </c>
      <c r="E204" t="s">
        <v>187</v>
      </c>
      <c r="F204">
        <v>2005</v>
      </c>
      <c r="G204">
        <v>16.253658999999999</v>
      </c>
    </row>
    <row r="205" spans="1:7">
      <c r="A205" t="s">
        <v>1297</v>
      </c>
      <c r="B205" t="s">
        <v>1298</v>
      </c>
      <c r="C205" t="s">
        <v>668</v>
      </c>
      <c r="D205" t="s">
        <v>1326</v>
      </c>
      <c r="E205" t="s">
        <v>187</v>
      </c>
      <c r="F205">
        <v>2010</v>
      </c>
      <c r="G205">
        <v>24.027674000000001</v>
      </c>
    </row>
    <row r="206" spans="1:7">
      <c r="A206" t="s">
        <v>1297</v>
      </c>
      <c r="B206" t="s">
        <v>1298</v>
      </c>
      <c r="C206" t="s">
        <v>668</v>
      </c>
      <c r="D206" t="s">
        <v>1326</v>
      </c>
      <c r="E206" t="s">
        <v>187</v>
      </c>
      <c r="F206">
        <v>2012</v>
      </c>
      <c r="G206">
        <v>28.152609000000002</v>
      </c>
    </row>
    <row r="207" spans="1:7">
      <c r="A207" t="s">
        <v>1297</v>
      </c>
      <c r="B207" t="s">
        <v>1298</v>
      </c>
      <c r="C207" t="s">
        <v>668</v>
      </c>
      <c r="D207" t="s">
        <v>1326</v>
      </c>
      <c r="E207" t="s">
        <v>187</v>
      </c>
      <c r="F207">
        <v>2016</v>
      </c>
      <c r="G207">
        <v>42.032863999999996</v>
      </c>
    </row>
    <row r="208" spans="1:7">
      <c r="A208" t="s">
        <v>1297</v>
      </c>
      <c r="B208" t="s">
        <v>1298</v>
      </c>
      <c r="C208" t="s">
        <v>668</v>
      </c>
      <c r="D208" t="s">
        <v>1326</v>
      </c>
      <c r="E208" t="s">
        <v>187</v>
      </c>
      <c r="F208">
        <v>2020</v>
      </c>
      <c r="G208">
        <v>57.300905999999998</v>
      </c>
    </row>
    <row r="209" spans="1:7">
      <c r="A209" t="s">
        <v>1297</v>
      </c>
      <c r="B209" t="s">
        <v>1298</v>
      </c>
      <c r="C209" t="s">
        <v>1301</v>
      </c>
      <c r="D209" t="s">
        <v>1326</v>
      </c>
      <c r="E209" t="s">
        <v>187</v>
      </c>
      <c r="F209">
        <v>2005</v>
      </c>
      <c r="G209">
        <v>1.3600000000000001E-3</v>
      </c>
    </row>
    <row r="210" spans="1:7">
      <c r="A210" t="s">
        <v>1297</v>
      </c>
      <c r="B210" t="s">
        <v>1298</v>
      </c>
      <c r="C210" t="s">
        <v>1301</v>
      </c>
      <c r="D210" t="s">
        <v>1326</v>
      </c>
      <c r="E210" t="s">
        <v>187</v>
      </c>
      <c r="F210">
        <v>2010</v>
      </c>
      <c r="G210">
        <v>1.0888999999999999E-2</v>
      </c>
    </row>
    <row r="211" spans="1:7">
      <c r="A211" t="s">
        <v>1297</v>
      </c>
      <c r="B211" t="s">
        <v>1298</v>
      </c>
      <c r="C211" t="s">
        <v>1301</v>
      </c>
      <c r="D211" t="s">
        <v>1326</v>
      </c>
      <c r="E211" t="s">
        <v>187</v>
      </c>
      <c r="F211">
        <v>2012</v>
      </c>
      <c r="G211">
        <v>2.6296E-2</v>
      </c>
    </row>
    <row r="212" spans="1:7">
      <c r="A212" t="s">
        <v>1297</v>
      </c>
      <c r="B212" t="s">
        <v>1298</v>
      </c>
      <c r="C212" t="s">
        <v>1301</v>
      </c>
      <c r="D212" t="s">
        <v>1326</v>
      </c>
      <c r="E212" t="s">
        <v>187</v>
      </c>
      <c r="F212">
        <v>2016</v>
      </c>
      <c r="G212">
        <v>3.1220999999999999E-2</v>
      </c>
    </row>
    <row r="213" spans="1:7">
      <c r="A213" t="s">
        <v>1297</v>
      </c>
      <c r="B213" t="s">
        <v>1298</v>
      </c>
      <c r="C213" t="s">
        <v>658</v>
      </c>
      <c r="D213" t="s">
        <v>1326</v>
      </c>
      <c r="E213" t="s">
        <v>187</v>
      </c>
      <c r="F213">
        <v>2005</v>
      </c>
      <c r="G213">
        <v>4.4243410000000001</v>
      </c>
    </row>
    <row r="214" spans="1:7">
      <c r="A214" t="s">
        <v>1297</v>
      </c>
      <c r="B214" t="s">
        <v>1298</v>
      </c>
      <c r="C214" t="s">
        <v>658</v>
      </c>
      <c r="D214" t="s">
        <v>1326</v>
      </c>
      <c r="E214" t="s">
        <v>187</v>
      </c>
      <c r="F214">
        <v>2010</v>
      </c>
      <c r="G214">
        <v>7.3337329999999996</v>
      </c>
    </row>
    <row r="215" spans="1:7">
      <c r="A215" t="s">
        <v>1297</v>
      </c>
      <c r="B215" t="s">
        <v>1298</v>
      </c>
      <c r="C215" t="s">
        <v>658</v>
      </c>
      <c r="D215" t="s">
        <v>1326</v>
      </c>
      <c r="E215" t="s">
        <v>187</v>
      </c>
      <c r="F215">
        <v>2012</v>
      </c>
      <c r="G215">
        <v>8.9935050000000007</v>
      </c>
    </row>
    <row r="216" spans="1:7">
      <c r="A216" t="s">
        <v>1297</v>
      </c>
      <c r="B216" t="s">
        <v>1298</v>
      </c>
      <c r="C216" t="s">
        <v>658</v>
      </c>
      <c r="D216" t="s">
        <v>1326</v>
      </c>
      <c r="E216" t="s">
        <v>187</v>
      </c>
      <c r="F216">
        <v>2016</v>
      </c>
      <c r="G216">
        <v>22.886998999999999</v>
      </c>
    </row>
    <row r="217" spans="1:7">
      <c r="A217" t="s">
        <v>1297</v>
      </c>
      <c r="B217" t="s">
        <v>1298</v>
      </c>
      <c r="C217" t="s">
        <v>658</v>
      </c>
      <c r="D217" t="s">
        <v>1326</v>
      </c>
      <c r="E217" t="s">
        <v>187</v>
      </c>
      <c r="F217">
        <v>2020</v>
      </c>
      <c r="G217">
        <v>31.197310000000002</v>
      </c>
    </row>
    <row r="218" spans="1:7">
      <c r="A218" t="s">
        <v>1297</v>
      </c>
      <c r="B218" t="s">
        <v>1298</v>
      </c>
      <c r="C218" t="s">
        <v>679</v>
      </c>
      <c r="D218" t="s">
        <v>1326</v>
      </c>
      <c r="E218" t="s">
        <v>187</v>
      </c>
      <c r="F218">
        <v>2005</v>
      </c>
      <c r="G218">
        <v>0.145477</v>
      </c>
    </row>
    <row r="219" spans="1:7">
      <c r="A219" t="s">
        <v>1297</v>
      </c>
      <c r="B219" t="s">
        <v>1298</v>
      </c>
      <c r="C219" t="s">
        <v>679</v>
      </c>
      <c r="D219" t="s">
        <v>1326</v>
      </c>
      <c r="E219" t="s">
        <v>187</v>
      </c>
      <c r="F219">
        <v>2010</v>
      </c>
      <c r="G219">
        <v>0.428504</v>
      </c>
    </row>
    <row r="220" spans="1:7">
      <c r="A220" t="s">
        <v>1297</v>
      </c>
      <c r="B220" t="s">
        <v>1298</v>
      </c>
      <c r="C220" t="s">
        <v>679</v>
      </c>
      <c r="D220" t="s">
        <v>1326</v>
      </c>
      <c r="E220" t="s">
        <v>187</v>
      </c>
      <c r="F220">
        <v>2012</v>
      </c>
      <c r="G220">
        <v>4.3065309999999997</v>
      </c>
    </row>
    <row r="221" spans="1:7">
      <c r="A221" t="s">
        <v>1297</v>
      </c>
      <c r="B221" t="s">
        <v>1298</v>
      </c>
      <c r="C221" t="s">
        <v>679</v>
      </c>
      <c r="D221" t="s">
        <v>1326</v>
      </c>
      <c r="E221" t="s">
        <v>187</v>
      </c>
      <c r="F221">
        <v>2016</v>
      </c>
      <c r="G221">
        <v>2.1658729999999999</v>
      </c>
    </row>
    <row r="222" spans="1:7">
      <c r="A222" t="s">
        <v>1297</v>
      </c>
      <c r="B222" t="s">
        <v>1298</v>
      </c>
      <c r="C222" t="s">
        <v>679</v>
      </c>
      <c r="D222" t="s">
        <v>1326</v>
      </c>
      <c r="E222" t="s">
        <v>187</v>
      </c>
      <c r="F222">
        <v>2020</v>
      </c>
      <c r="G222">
        <v>2.618395</v>
      </c>
    </row>
    <row r="223" spans="1:7">
      <c r="A223" t="s">
        <v>1297</v>
      </c>
      <c r="B223" t="s">
        <v>1298</v>
      </c>
      <c r="C223" t="s">
        <v>674</v>
      </c>
      <c r="D223" t="s">
        <v>1326</v>
      </c>
      <c r="E223" t="s">
        <v>187</v>
      </c>
      <c r="F223">
        <v>2005</v>
      </c>
      <c r="G223">
        <v>4.6832050000000001</v>
      </c>
    </row>
    <row r="224" spans="1:7">
      <c r="A224" t="s">
        <v>1297</v>
      </c>
      <c r="B224" t="s">
        <v>1298</v>
      </c>
      <c r="C224" t="s">
        <v>674</v>
      </c>
      <c r="D224" t="s">
        <v>1326</v>
      </c>
      <c r="E224" t="s">
        <v>187</v>
      </c>
      <c r="F224">
        <v>2010</v>
      </c>
      <c r="G224">
        <v>5.528251</v>
      </c>
    </row>
    <row r="225" spans="1:7">
      <c r="A225" t="s">
        <v>1297</v>
      </c>
      <c r="B225" t="s">
        <v>1298</v>
      </c>
      <c r="C225" t="s">
        <v>674</v>
      </c>
      <c r="D225" t="s">
        <v>1326</v>
      </c>
      <c r="E225" t="s">
        <v>187</v>
      </c>
      <c r="F225">
        <v>2012</v>
      </c>
      <c r="G225">
        <v>12.741963</v>
      </c>
    </row>
    <row r="226" spans="1:7">
      <c r="A226" t="s">
        <v>1297</v>
      </c>
      <c r="B226" t="s">
        <v>1298</v>
      </c>
      <c r="C226" t="s">
        <v>674</v>
      </c>
      <c r="D226" t="s">
        <v>1326</v>
      </c>
      <c r="E226" t="s">
        <v>187</v>
      </c>
      <c r="F226">
        <v>2016</v>
      </c>
      <c r="G226">
        <v>17.483371999999999</v>
      </c>
    </row>
    <row r="227" spans="1:7">
      <c r="A227" t="s">
        <v>1297</v>
      </c>
      <c r="B227" t="s">
        <v>1298</v>
      </c>
      <c r="C227" t="s">
        <v>674</v>
      </c>
      <c r="D227" t="s">
        <v>1326</v>
      </c>
      <c r="E227" t="s">
        <v>187</v>
      </c>
      <c r="F227">
        <v>2020</v>
      </c>
      <c r="G227">
        <v>26.290606</v>
      </c>
    </row>
    <row r="228" spans="1:7">
      <c r="A228" t="s">
        <v>1297</v>
      </c>
      <c r="B228" t="s">
        <v>1298</v>
      </c>
      <c r="C228" t="s">
        <v>660</v>
      </c>
      <c r="D228" t="s">
        <v>1326</v>
      </c>
      <c r="E228" t="s">
        <v>187</v>
      </c>
      <c r="F228">
        <v>2010</v>
      </c>
      <c r="G228">
        <v>13.405583999999999</v>
      </c>
    </row>
    <row r="229" spans="1:7">
      <c r="A229" t="s">
        <v>1297</v>
      </c>
      <c r="B229" t="s">
        <v>1298</v>
      </c>
      <c r="C229" t="s">
        <v>660</v>
      </c>
      <c r="D229" t="s">
        <v>1326</v>
      </c>
      <c r="E229" t="s">
        <v>187</v>
      </c>
      <c r="F229">
        <v>2012</v>
      </c>
      <c r="G229">
        <v>11.918768999999999</v>
      </c>
    </row>
    <row r="230" spans="1:7">
      <c r="A230" t="s">
        <v>1297</v>
      </c>
      <c r="B230" t="s">
        <v>1298</v>
      </c>
      <c r="C230" t="s">
        <v>660</v>
      </c>
      <c r="D230" t="s">
        <v>1326</v>
      </c>
      <c r="E230" t="s">
        <v>187</v>
      </c>
      <c r="F230">
        <v>2016</v>
      </c>
      <c r="G230">
        <v>3.2424119999999998</v>
      </c>
    </row>
    <row r="231" spans="1:7">
      <c r="A231" t="s">
        <v>1297</v>
      </c>
      <c r="B231" t="s">
        <v>1298</v>
      </c>
      <c r="C231" t="s">
        <v>660</v>
      </c>
      <c r="D231" t="s">
        <v>1326</v>
      </c>
      <c r="E231" t="s">
        <v>187</v>
      </c>
      <c r="F231">
        <v>2020</v>
      </c>
      <c r="G231" s="14">
        <v>4.9588390000000002</v>
      </c>
    </row>
    <row r="232" spans="1:7">
      <c r="A232" t="s">
        <v>1297</v>
      </c>
      <c r="B232" t="s">
        <v>1298</v>
      </c>
      <c r="C232" t="s">
        <v>670</v>
      </c>
      <c r="D232" t="s">
        <v>1326</v>
      </c>
      <c r="E232" t="s">
        <v>187</v>
      </c>
      <c r="F232">
        <v>2005</v>
      </c>
      <c r="G232">
        <v>15.009173000000001</v>
      </c>
    </row>
    <row r="233" spans="1:7">
      <c r="A233" t="s">
        <v>1297</v>
      </c>
      <c r="B233" t="s">
        <v>1298</v>
      </c>
      <c r="C233" t="s">
        <v>670</v>
      </c>
      <c r="D233" t="s">
        <v>1326</v>
      </c>
      <c r="E233" t="s">
        <v>187</v>
      </c>
      <c r="F233">
        <v>2010</v>
      </c>
      <c r="G233">
        <v>28.665562999999999</v>
      </c>
    </row>
    <row r="234" spans="1:7">
      <c r="A234" t="s">
        <v>1297</v>
      </c>
      <c r="B234" t="s">
        <v>1298</v>
      </c>
      <c r="C234" t="s">
        <v>670</v>
      </c>
      <c r="D234" t="s">
        <v>1326</v>
      </c>
      <c r="E234" t="s">
        <v>187</v>
      </c>
      <c r="F234">
        <v>2012</v>
      </c>
      <c r="G234">
        <v>52.751784999999998</v>
      </c>
    </row>
    <row r="235" spans="1:7">
      <c r="A235" t="s">
        <v>1297</v>
      </c>
      <c r="B235" t="s">
        <v>1298</v>
      </c>
      <c r="C235" t="s">
        <v>670</v>
      </c>
      <c r="D235" t="s">
        <v>1326</v>
      </c>
      <c r="E235" t="s">
        <v>187</v>
      </c>
      <c r="F235">
        <v>2016</v>
      </c>
      <c r="G235">
        <v>69.212542999999997</v>
      </c>
    </row>
    <row r="236" spans="1:7">
      <c r="A236" t="s">
        <v>1297</v>
      </c>
      <c r="B236" t="s">
        <v>1298</v>
      </c>
      <c r="C236" t="s">
        <v>670</v>
      </c>
      <c r="D236" t="s">
        <v>1326</v>
      </c>
      <c r="E236" t="s">
        <v>187</v>
      </c>
      <c r="F236">
        <v>2020</v>
      </c>
      <c r="G236">
        <v>73.988647999999998</v>
      </c>
    </row>
    <row r="237" spans="1:7">
      <c r="A237" t="s">
        <v>1297</v>
      </c>
      <c r="B237" t="s">
        <v>1298</v>
      </c>
      <c r="C237" t="s">
        <v>652</v>
      </c>
      <c r="D237" t="s">
        <v>1326</v>
      </c>
      <c r="E237" t="s">
        <v>187</v>
      </c>
      <c r="F237">
        <v>2005</v>
      </c>
      <c r="G237">
        <v>0.529366</v>
      </c>
    </row>
    <row r="238" spans="1:7">
      <c r="A238" t="s">
        <v>1297</v>
      </c>
      <c r="B238" t="s">
        <v>1298</v>
      </c>
      <c r="C238" t="s">
        <v>652</v>
      </c>
      <c r="D238" t="s">
        <v>1326</v>
      </c>
      <c r="E238" t="s">
        <v>187</v>
      </c>
      <c r="F238">
        <v>2010</v>
      </c>
      <c r="G238">
        <v>3.7634289999999999</v>
      </c>
    </row>
    <row r="239" spans="1:7">
      <c r="A239" t="s">
        <v>1297</v>
      </c>
      <c r="B239" t="s">
        <v>1298</v>
      </c>
      <c r="C239" t="s">
        <v>652</v>
      </c>
      <c r="D239" t="s">
        <v>1326</v>
      </c>
      <c r="E239" t="s">
        <v>187</v>
      </c>
      <c r="F239">
        <v>2012</v>
      </c>
      <c r="G239">
        <v>8.3607929999999993</v>
      </c>
    </row>
    <row r="240" spans="1:7">
      <c r="A240" t="s">
        <v>1297</v>
      </c>
      <c r="B240" t="s">
        <v>1298</v>
      </c>
      <c r="C240" t="s">
        <v>652</v>
      </c>
      <c r="D240" t="s">
        <v>1326</v>
      </c>
      <c r="E240" t="s">
        <v>187</v>
      </c>
      <c r="F240">
        <v>2016</v>
      </c>
      <c r="G240">
        <v>12.033785</v>
      </c>
    </row>
    <row r="241" spans="1:7">
      <c r="A241" t="s">
        <v>1297</v>
      </c>
      <c r="B241" t="s">
        <v>1298</v>
      </c>
      <c r="C241" t="s">
        <v>652</v>
      </c>
      <c r="D241" t="s">
        <v>1326</v>
      </c>
      <c r="E241" t="s">
        <v>187</v>
      </c>
      <c r="F241">
        <v>2020</v>
      </c>
      <c r="G241">
        <v>21.289207000000001</v>
      </c>
    </row>
    <row r="242" spans="1:7">
      <c r="A242" t="s">
        <v>1297</v>
      </c>
      <c r="B242" t="s">
        <v>1298</v>
      </c>
      <c r="C242" t="s">
        <v>1300</v>
      </c>
      <c r="D242" t="s">
        <v>1326</v>
      </c>
      <c r="E242" t="s">
        <v>187</v>
      </c>
      <c r="F242">
        <v>2010</v>
      </c>
      <c r="G242">
        <v>0.15</v>
      </c>
    </row>
    <row r="243" spans="1:7">
      <c r="A243" t="s">
        <v>1297</v>
      </c>
      <c r="B243" t="s">
        <v>1298</v>
      </c>
      <c r="C243" t="s">
        <v>1300</v>
      </c>
      <c r="D243" t="s">
        <v>1326</v>
      </c>
      <c r="E243" t="s">
        <v>187</v>
      </c>
      <c r="F243">
        <v>2012</v>
      </c>
      <c r="G243">
        <v>3.7999999999999999E-2</v>
      </c>
    </row>
    <row r="244" spans="1:7">
      <c r="A244" t="s">
        <v>1297</v>
      </c>
      <c r="B244" t="s">
        <v>1298</v>
      </c>
      <c r="C244" t="s">
        <v>1300</v>
      </c>
      <c r="D244" t="s">
        <v>1326</v>
      </c>
      <c r="E244" t="s">
        <v>187</v>
      </c>
      <c r="F244">
        <v>2020</v>
      </c>
      <c r="G244">
        <v>1E-3</v>
      </c>
    </row>
    <row r="245" spans="1:7">
      <c r="A245" t="s">
        <v>1297</v>
      </c>
      <c r="B245" t="s">
        <v>1298</v>
      </c>
      <c r="C245" t="s">
        <v>684</v>
      </c>
      <c r="D245" t="s">
        <v>1326</v>
      </c>
      <c r="E245" t="s">
        <v>187</v>
      </c>
      <c r="F245">
        <v>2005</v>
      </c>
      <c r="G245">
        <v>0.10100000000000001</v>
      </c>
    </row>
    <row r="246" spans="1:7">
      <c r="A246" t="s">
        <v>1297</v>
      </c>
      <c r="B246" t="s">
        <v>1298</v>
      </c>
      <c r="C246" t="s">
        <v>684</v>
      </c>
      <c r="D246" t="s">
        <v>1326</v>
      </c>
      <c r="E246" t="s">
        <v>187</v>
      </c>
      <c r="F246">
        <v>2010</v>
      </c>
      <c r="G246">
        <v>0.08</v>
      </c>
    </row>
    <row r="247" spans="1:7">
      <c r="A247" t="s">
        <v>1297</v>
      </c>
      <c r="B247" t="s">
        <v>1298</v>
      </c>
      <c r="C247" t="s">
        <v>684</v>
      </c>
      <c r="D247" t="s">
        <v>1326</v>
      </c>
      <c r="E247" t="s">
        <v>187</v>
      </c>
      <c r="F247">
        <v>2012</v>
      </c>
      <c r="G247">
        <v>0.35899999999999999</v>
      </c>
    </row>
    <row r="248" spans="1:7">
      <c r="A248" t="s">
        <v>1297</v>
      </c>
      <c r="B248" t="s">
        <v>1298</v>
      </c>
      <c r="C248" t="s">
        <v>684</v>
      </c>
      <c r="D248" t="s">
        <v>1326</v>
      </c>
      <c r="E248" t="s">
        <v>187</v>
      </c>
      <c r="F248">
        <v>2016</v>
      </c>
      <c r="G248">
        <v>0.91100000000000003</v>
      </c>
    </row>
    <row r="249" spans="1:7">
      <c r="A249" t="s">
        <v>1297</v>
      </c>
      <c r="B249" t="s">
        <v>1298</v>
      </c>
      <c r="C249" t="s">
        <v>684</v>
      </c>
      <c r="D249" t="s">
        <v>1326</v>
      </c>
      <c r="E249" t="s">
        <v>187</v>
      </c>
      <c r="F249">
        <v>2020</v>
      </c>
      <c r="G249">
        <v>1.196</v>
      </c>
    </row>
    <row r="250" spans="1:7">
      <c r="A250" t="s">
        <v>1297</v>
      </c>
      <c r="B250" t="s">
        <v>1298</v>
      </c>
      <c r="C250" t="s">
        <v>671</v>
      </c>
      <c r="D250" t="s">
        <v>1326</v>
      </c>
      <c r="E250" t="s">
        <v>187</v>
      </c>
      <c r="F250">
        <v>2005</v>
      </c>
      <c r="G250">
        <v>3.2884150000000001</v>
      </c>
    </row>
    <row r="251" spans="1:7">
      <c r="A251" t="s">
        <v>1297</v>
      </c>
      <c r="B251" t="s">
        <v>1298</v>
      </c>
      <c r="C251" t="s">
        <v>671</v>
      </c>
      <c r="D251" t="s">
        <v>1326</v>
      </c>
      <c r="E251" t="s">
        <v>187</v>
      </c>
      <c r="F251">
        <v>2010</v>
      </c>
      <c r="G251">
        <v>1.6440939999999999</v>
      </c>
    </row>
    <row r="252" spans="1:7">
      <c r="A252" t="s">
        <v>1297</v>
      </c>
      <c r="B252" t="s">
        <v>1298</v>
      </c>
      <c r="C252" t="s">
        <v>671</v>
      </c>
      <c r="D252" t="s">
        <v>1326</v>
      </c>
      <c r="E252" t="s">
        <v>187</v>
      </c>
      <c r="F252">
        <v>2012</v>
      </c>
      <c r="G252">
        <v>4.7484650000000004</v>
      </c>
    </row>
    <row r="253" spans="1:7">
      <c r="A253" t="s">
        <v>1297</v>
      </c>
      <c r="B253" t="s">
        <v>1298</v>
      </c>
      <c r="C253" t="s">
        <v>671</v>
      </c>
      <c r="D253" t="s">
        <v>1326</v>
      </c>
      <c r="E253" t="s">
        <v>187</v>
      </c>
      <c r="F253">
        <v>2016</v>
      </c>
      <c r="G253">
        <v>47.354331999999999</v>
      </c>
    </row>
    <row r="254" spans="1:7">
      <c r="A254" t="s">
        <v>1297</v>
      </c>
      <c r="B254" t="s">
        <v>1298</v>
      </c>
      <c r="C254" t="s">
        <v>671</v>
      </c>
      <c r="D254" t="s">
        <v>1326</v>
      </c>
      <c r="E254" t="s">
        <v>187</v>
      </c>
      <c r="F254">
        <v>2020</v>
      </c>
      <c r="G254">
        <v>27.981337</v>
      </c>
    </row>
    <row r="255" spans="1:7">
      <c r="A255" t="s">
        <v>1297</v>
      </c>
      <c r="B255" t="s">
        <v>1298</v>
      </c>
      <c r="C255" t="s">
        <v>661</v>
      </c>
      <c r="D255" t="s">
        <v>1326</v>
      </c>
      <c r="E255" t="s">
        <v>187</v>
      </c>
      <c r="F255">
        <v>2005</v>
      </c>
      <c r="G255">
        <v>4.2242850000000001</v>
      </c>
    </row>
    <row r="256" spans="1:7">
      <c r="A256" t="s">
        <v>1297</v>
      </c>
      <c r="B256" t="s">
        <v>1298</v>
      </c>
      <c r="C256" t="s">
        <v>661</v>
      </c>
      <c r="D256" t="s">
        <v>1326</v>
      </c>
      <c r="E256" t="s">
        <v>187</v>
      </c>
      <c r="F256">
        <v>2010</v>
      </c>
      <c r="G256">
        <v>10.027779000000001</v>
      </c>
    </row>
    <row r="257" spans="1:7">
      <c r="A257" t="s">
        <v>1297</v>
      </c>
      <c r="B257" t="s">
        <v>1298</v>
      </c>
      <c r="C257" t="s">
        <v>661</v>
      </c>
      <c r="D257" t="s">
        <v>1326</v>
      </c>
      <c r="E257" t="s">
        <v>187</v>
      </c>
      <c r="F257">
        <v>2012</v>
      </c>
      <c r="G257">
        <v>32.175654000000002</v>
      </c>
    </row>
    <row r="258" spans="1:7">
      <c r="A258" t="s">
        <v>1297</v>
      </c>
      <c r="B258" t="s">
        <v>1298</v>
      </c>
      <c r="C258" t="s">
        <v>661</v>
      </c>
      <c r="D258" t="s">
        <v>1326</v>
      </c>
      <c r="E258" t="s">
        <v>187</v>
      </c>
      <c r="F258">
        <v>2016</v>
      </c>
      <c r="G258">
        <v>33.444754000000003</v>
      </c>
    </row>
    <row r="259" spans="1:7">
      <c r="A259" t="s">
        <v>1297</v>
      </c>
      <c r="B259" t="s">
        <v>1298</v>
      </c>
      <c r="C259" t="s">
        <v>661</v>
      </c>
      <c r="D259" t="s">
        <v>1326</v>
      </c>
      <c r="E259" t="s">
        <v>187</v>
      </c>
      <c r="F259">
        <v>2020</v>
      </c>
      <c r="G259">
        <v>45.531525000000002</v>
      </c>
    </row>
    <row r="260" spans="1:7">
      <c r="A260" t="s">
        <v>1297</v>
      </c>
      <c r="B260" t="s">
        <v>1298</v>
      </c>
      <c r="C260" t="s">
        <v>655</v>
      </c>
      <c r="D260" t="s">
        <v>1326</v>
      </c>
      <c r="E260" t="s">
        <v>187</v>
      </c>
      <c r="F260">
        <v>2005</v>
      </c>
      <c r="G260">
        <v>10.267341</v>
      </c>
    </row>
    <row r="261" spans="1:7">
      <c r="A261" t="s">
        <v>1297</v>
      </c>
      <c r="B261" t="s">
        <v>1298</v>
      </c>
      <c r="C261" t="s">
        <v>656</v>
      </c>
      <c r="D261" t="s">
        <v>1326</v>
      </c>
      <c r="E261" t="s">
        <v>187</v>
      </c>
      <c r="F261">
        <v>2020</v>
      </c>
      <c r="G261">
        <v>135.48502500000001</v>
      </c>
    </row>
    <row r="262" spans="1:7">
      <c r="A262" t="s">
        <v>1297</v>
      </c>
      <c r="B262" t="s">
        <v>1298</v>
      </c>
      <c r="C262" t="s">
        <v>682</v>
      </c>
      <c r="D262" t="s">
        <v>1326</v>
      </c>
      <c r="E262" t="s">
        <v>187</v>
      </c>
      <c r="F262">
        <v>2016</v>
      </c>
      <c r="G262">
        <v>7.0349459999999997</v>
      </c>
    </row>
    <row r="263" spans="1:7">
      <c r="A263" t="s">
        <v>1297</v>
      </c>
      <c r="B263" t="s">
        <v>1298</v>
      </c>
      <c r="C263" t="s">
        <v>682</v>
      </c>
      <c r="D263" t="s">
        <v>1326</v>
      </c>
      <c r="E263" t="s">
        <v>187</v>
      </c>
      <c r="F263">
        <v>2020</v>
      </c>
      <c r="G263">
        <v>8.7469420000000007</v>
      </c>
    </row>
    <row r="264" spans="1:7">
      <c r="A264" t="s">
        <v>1297</v>
      </c>
      <c r="B264" t="s">
        <v>1298</v>
      </c>
      <c r="C264" t="s">
        <v>657</v>
      </c>
      <c r="D264" t="s">
        <v>1326</v>
      </c>
      <c r="E264" t="s">
        <v>187</v>
      </c>
      <c r="F264">
        <v>2005</v>
      </c>
      <c r="G264">
        <v>6.2795059999999996</v>
      </c>
    </row>
    <row r="265" spans="1:7">
      <c r="A265" t="s">
        <v>1297</v>
      </c>
      <c r="B265" t="s">
        <v>1298</v>
      </c>
      <c r="C265" t="s">
        <v>657</v>
      </c>
      <c r="D265" t="s">
        <v>1326</v>
      </c>
      <c r="E265" t="s">
        <v>187</v>
      </c>
      <c r="F265">
        <v>2010</v>
      </c>
      <c r="G265">
        <v>7.8426030000000004</v>
      </c>
    </row>
    <row r="266" spans="1:7">
      <c r="A266" t="s">
        <v>1297</v>
      </c>
      <c r="B266" t="s">
        <v>1298</v>
      </c>
      <c r="C266" t="s">
        <v>657</v>
      </c>
      <c r="D266" t="s">
        <v>1326</v>
      </c>
      <c r="E266" t="s">
        <v>187</v>
      </c>
      <c r="F266">
        <v>2012</v>
      </c>
      <c r="G266">
        <v>7.2688639999999998</v>
      </c>
    </row>
    <row r="267" spans="1:7">
      <c r="A267" t="s">
        <v>1297</v>
      </c>
      <c r="B267" t="s">
        <v>1298</v>
      </c>
      <c r="C267" t="s">
        <v>657</v>
      </c>
      <c r="D267" t="s">
        <v>1326</v>
      </c>
      <c r="E267" t="s">
        <v>187</v>
      </c>
      <c r="F267">
        <v>2016</v>
      </c>
      <c r="G267">
        <v>8.9076079999999997</v>
      </c>
    </row>
    <row r="268" spans="1:7">
      <c r="A268" t="s">
        <v>1297</v>
      </c>
      <c r="B268" t="s">
        <v>1298</v>
      </c>
      <c r="C268" t="s">
        <v>657</v>
      </c>
      <c r="D268" t="s">
        <v>1326</v>
      </c>
      <c r="E268" t="s">
        <v>187</v>
      </c>
      <c r="F268">
        <v>2020</v>
      </c>
      <c r="G268">
        <v>12.933268999999999</v>
      </c>
    </row>
    <row r="269" spans="1:7">
      <c r="A269" t="s">
        <v>1297</v>
      </c>
      <c r="B269" t="s">
        <v>1298</v>
      </c>
      <c r="C269" t="s">
        <v>676</v>
      </c>
      <c r="D269" t="s">
        <v>1326</v>
      </c>
      <c r="E269" t="s">
        <v>187</v>
      </c>
      <c r="F269">
        <v>2005</v>
      </c>
      <c r="G269">
        <v>1.995131</v>
      </c>
    </row>
    <row r="270" spans="1:7">
      <c r="A270" t="s">
        <v>1297</v>
      </c>
      <c r="B270" t="s">
        <v>1298</v>
      </c>
      <c r="C270" t="s">
        <v>676</v>
      </c>
      <c r="D270" t="s">
        <v>1326</v>
      </c>
      <c r="E270" t="s">
        <v>187</v>
      </c>
      <c r="F270">
        <v>2010</v>
      </c>
      <c r="G270">
        <v>5.5558100000000001</v>
      </c>
    </row>
    <row r="271" spans="1:7">
      <c r="A271" t="s">
        <v>1297</v>
      </c>
      <c r="B271" t="s">
        <v>1298</v>
      </c>
      <c r="C271" t="s">
        <v>676</v>
      </c>
      <c r="D271" t="s">
        <v>1326</v>
      </c>
      <c r="E271" t="s">
        <v>187</v>
      </c>
      <c r="F271">
        <v>2012</v>
      </c>
      <c r="G271">
        <v>5.9931460000000003</v>
      </c>
    </row>
    <row r="272" spans="1:7">
      <c r="A272" t="s">
        <v>1297</v>
      </c>
      <c r="B272" t="s">
        <v>1298</v>
      </c>
      <c r="C272" t="s">
        <v>676</v>
      </c>
      <c r="D272" t="s">
        <v>1326</v>
      </c>
      <c r="E272" t="s">
        <v>187</v>
      </c>
      <c r="F272">
        <v>2016</v>
      </c>
      <c r="G272">
        <v>7.9228639999999997</v>
      </c>
    </row>
    <row r="273" spans="1:7">
      <c r="A273" t="s">
        <v>1297</v>
      </c>
      <c r="B273" t="s">
        <v>1298</v>
      </c>
      <c r="C273" t="s">
        <v>676</v>
      </c>
      <c r="D273" t="s">
        <v>1326</v>
      </c>
      <c r="E273" t="s">
        <v>187</v>
      </c>
      <c r="F273">
        <v>2020</v>
      </c>
      <c r="G273">
        <v>8.3492049999999995</v>
      </c>
    </row>
    <row r="274" spans="1:7">
      <c r="A274" t="s">
        <v>1297</v>
      </c>
      <c r="B274" t="s">
        <v>1298</v>
      </c>
      <c r="C274" t="s">
        <v>662</v>
      </c>
      <c r="D274" t="s">
        <v>1326</v>
      </c>
      <c r="E274" t="s">
        <v>187</v>
      </c>
      <c r="F274">
        <v>2005</v>
      </c>
      <c r="G274">
        <v>1.3382E-2</v>
      </c>
    </row>
    <row r="275" spans="1:7">
      <c r="A275" t="s">
        <v>1297</v>
      </c>
      <c r="B275" t="s">
        <v>1298</v>
      </c>
      <c r="C275" t="s">
        <v>662</v>
      </c>
      <c r="D275" t="s">
        <v>1326</v>
      </c>
      <c r="E275" t="s">
        <v>187</v>
      </c>
      <c r="F275">
        <v>2010</v>
      </c>
      <c r="G275">
        <v>3.6493999999999999E-2</v>
      </c>
    </row>
    <row r="276" spans="1:7">
      <c r="A276" t="s">
        <v>1297</v>
      </c>
      <c r="B276" t="s">
        <v>1298</v>
      </c>
      <c r="C276" t="s">
        <v>662</v>
      </c>
      <c r="D276" t="s">
        <v>1326</v>
      </c>
      <c r="E276" t="s">
        <v>187</v>
      </c>
      <c r="F276">
        <v>2012</v>
      </c>
      <c r="G276">
        <v>0.68805799999999995</v>
      </c>
    </row>
    <row r="277" spans="1:7">
      <c r="A277" t="s">
        <v>1297</v>
      </c>
      <c r="B277" t="s">
        <v>1298</v>
      </c>
      <c r="C277" t="s">
        <v>662</v>
      </c>
      <c r="D277" t="s">
        <v>1326</v>
      </c>
      <c r="E277" t="s">
        <v>187</v>
      </c>
      <c r="F277">
        <v>2016</v>
      </c>
      <c r="G277">
        <v>0.26460600000000001</v>
      </c>
    </row>
    <row r="278" spans="1:7">
      <c r="A278" t="s">
        <v>1297</v>
      </c>
      <c r="B278" t="s">
        <v>1298</v>
      </c>
      <c r="C278" t="s">
        <v>662</v>
      </c>
      <c r="D278" t="s">
        <v>1326</v>
      </c>
      <c r="E278" t="s">
        <v>187</v>
      </c>
      <c r="F278">
        <v>2020</v>
      </c>
      <c r="G278">
        <v>1.0821179999999999</v>
      </c>
    </row>
    <row r="279" spans="1:7">
      <c r="A279" t="s">
        <v>1297</v>
      </c>
      <c r="B279" t="s">
        <v>1298</v>
      </c>
      <c r="C279" t="s">
        <v>659</v>
      </c>
      <c r="D279" t="s">
        <v>1326</v>
      </c>
      <c r="E279" t="s">
        <v>187</v>
      </c>
      <c r="F279">
        <v>2005</v>
      </c>
      <c r="G279">
        <v>0.38172400000000001</v>
      </c>
    </row>
    <row r="280" spans="1:7">
      <c r="A280" t="s">
        <v>1297</v>
      </c>
      <c r="B280" t="s">
        <v>1298</v>
      </c>
      <c r="C280" t="s">
        <v>659</v>
      </c>
      <c r="D280" t="s">
        <v>1326</v>
      </c>
      <c r="E280" t="s">
        <v>187</v>
      </c>
      <c r="F280">
        <v>2010</v>
      </c>
      <c r="G280">
        <v>17.745759</v>
      </c>
    </row>
    <row r="281" spans="1:7">
      <c r="A281" t="s">
        <v>1297</v>
      </c>
      <c r="B281" t="s">
        <v>1298</v>
      </c>
      <c r="C281" t="s">
        <v>659</v>
      </c>
      <c r="D281" t="s">
        <v>1326</v>
      </c>
      <c r="E281" t="s">
        <v>187</v>
      </c>
      <c r="F281">
        <v>2012</v>
      </c>
      <c r="G281">
        <v>21.210754999999999</v>
      </c>
    </row>
    <row r="282" spans="1:7">
      <c r="A282" t="s">
        <v>1297</v>
      </c>
      <c r="B282" t="s">
        <v>1298</v>
      </c>
      <c r="C282" t="s">
        <v>659</v>
      </c>
      <c r="D282" t="s">
        <v>1326</v>
      </c>
      <c r="E282" t="s">
        <v>187</v>
      </c>
      <c r="F282">
        <v>2016</v>
      </c>
      <c r="G282">
        <v>50.023386000000002</v>
      </c>
    </row>
    <row r="283" spans="1:7">
      <c r="A283" t="s">
        <v>1297</v>
      </c>
      <c r="B283" t="s">
        <v>1298</v>
      </c>
      <c r="C283" t="s">
        <v>659</v>
      </c>
      <c r="D283" t="s">
        <v>1326</v>
      </c>
      <c r="E283" t="s">
        <v>187</v>
      </c>
      <c r="F283">
        <v>2020</v>
      </c>
      <c r="G283">
        <v>89.409704000000005</v>
      </c>
    </row>
    <row r="284" spans="1:7">
      <c r="A284" t="s">
        <v>1297</v>
      </c>
      <c r="B284" t="s">
        <v>1298</v>
      </c>
      <c r="C284" t="s">
        <v>685</v>
      </c>
      <c r="D284" t="s">
        <v>1326</v>
      </c>
      <c r="E284" t="s">
        <v>187</v>
      </c>
      <c r="F284">
        <v>2005</v>
      </c>
      <c r="G284">
        <v>3.1E-2</v>
      </c>
    </row>
    <row r="285" spans="1:7">
      <c r="A285" t="s">
        <v>1297</v>
      </c>
      <c r="B285" t="s">
        <v>1298</v>
      </c>
      <c r="C285" t="s">
        <v>685</v>
      </c>
      <c r="D285" t="s">
        <v>1326</v>
      </c>
      <c r="E285" t="s">
        <v>187</v>
      </c>
      <c r="F285">
        <v>2010</v>
      </c>
      <c r="G285">
        <v>9.2463000000000004E-2</v>
      </c>
    </row>
    <row r="286" spans="1:7">
      <c r="A286" t="s">
        <v>1297</v>
      </c>
      <c r="B286" t="s">
        <v>1298</v>
      </c>
      <c r="C286" t="s">
        <v>685</v>
      </c>
      <c r="D286" t="s">
        <v>1326</v>
      </c>
      <c r="E286" t="s">
        <v>187</v>
      </c>
      <c r="F286">
        <v>2012</v>
      </c>
      <c r="G286">
        <v>0.15325</v>
      </c>
    </row>
    <row r="287" spans="1:7">
      <c r="A287" t="s">
        <v>1297</v>
      </c>
      <c r="B287" t="s">
        <v>1298</v>
      </c>
      <c r="C287" t="s">
        <v>685</v>
      </c>
      <c r="D287" t="s">
        <v>1326</v>
      </c>
      <c r="E287" t="s">
        <v>187</v>
      </c>
      <c r="F287">
        <v>2016</v>
      </c>
      <c r="G287">
        <v>3.0294999999999999E-2</v>
      </c>
    </row>
    <row r="288" spans="1:7">
      <c r="A288" t="s">
        <v>1297</v>
      </c>
      <c r="B288" t="s">
        <v>1298</v>
      </c>
      <c r="C288" t="s">
        <v>685</v>
      </c>
      <c r="D288" t="s">
        <v>1326</v>
      </c>
      <c r="E288" t="s">
        <v>187</v>
      </c>
      <c r="F288">
        <v>2020</v>
      </c>
      <c r="G288">
        <v>3.1542000000000001E-2</v>
      </c>
    </row>
    <row r="289" spans="1:7">
      <c r="A289" t="s">
        <v>1297</v>
      </c>
      <c r="B289" t="s">
        <v>1298</v>
      </c>
      <c r="C289" t="s">
        <v>1299</v>
      </c>
      <c r="D289" t="s">
        <v>1326</v>
      </c>
      <c r="E289" t="s">
        <v>187</v>
      </c>
      <c r="F289">
        <v>2010</v>
      </c>
      <c r="G289">
        <v>3.5471159999999999</v>
      </c>
    </row>
    <row r="290" spans="1:7">
      <c r="A290" t="s">
        <v>1297</v>
      </c>
      <c r="B290" t="s">
        <v>1298</v>
      </c>
      <c r="C290" t="s">
        <v>1299</v>
      </c>
      <c r="D290" t="s">
        <v>1326</v>
      </c>
      <c r="E290" t="s">
        <v>187</v>
      </c>
      <c r="F290">
        <v>2012</v>
      </c>
      <c r="G290">
        <v>3.0460419999999999</v>
      </c>
    </row>
    <row r="291" spans="1:7">
      <c r="A291" t="s">
        <v>1297</v>
      </c>
      <c r="B291" t="s">
        <v>1298</v>
      </c>
      <c r="C291" t="s">
        <v>1299</v>
      </c>
      <c r="D291" t="s">
        <v>1326</v>
      </c>
      <c r="E291" t="s">
        <v>187</v>
      </c>
      <c r="F291">
        <v>2016</v>
      </c>
      <c r="G291">
        <v>22.981894</v>
      </c>
    </row>
    <row r="292" spans="1:7">
      <c r="A292" t="s">
        <v>1297</v>
      </c>
      <c r="B292" t="s">
        <v>1298</v>
      </c>
      <c r="C292" t="s">
        <v>1299</v>
      </c>
      <c r="D292" t="s">
        <v>1326</v>
      </c>
      <c r="E292" t="s">
        <v>187</v>
      </c>
      <c r="F292">
        <v>2020</v>
      </c>
      <c r="G292">
        <v>18.018255</v>
      </c>
    </row>
    <row r="293" spans="1:7">
      <c r="A293" t="s">
        <v>1297</v>
      </c>
      <c r="B293" t="s">
        <v>1298</v>
      </c>
      <c r="C293" t="s">
        <v>677</v>
      </c>
      <c r="D293" t="s">
        <v>1326</v>
      </c>
      <c r="E293" t="s">
        <v>187</v>
      </c>
      <c r="F293">
        <v>2005</v>
      </c>
      <c r="G293">
        <v>0.23355899999999999</v>
      </c>
    </row>
    <row r="294" spans="1:7">
      <c r="A294" t="s">
        <v>1297</v>
      </c>
      <c r="B294" t="s">
        <v>1298</v>
      </c>
      <c r="C294" t="s">
        <v>677</v>
      </c>
      <c r="D294" t="s">
        <v>1326</v>
      </c>
      <c r="E294" t="s">
        <v>187</v>
      </c>
      <c r="F294">
        <v>2010</v>
      </c>
      <c r="G294">
        <v>7.3968860000000003</v>
      </c>
    </row>
    <row r="295" spans="1:7">
      <c r="A295" t="s">
        <v>1297</v>
      </c>
      <c r="B295" t="s">
        <v>1298</v>
      </c>
      <c r="C295" t="s">
        <v>677</v>
      </c>
      <c r="D295" t="s">
        <v>1326</v>
      </c>
      <c r="E295" t="s">
        <v>187</v>
      </c>
      <c r="F295">
        <v>2012</v>
      </c>
      <c r="G295">
        <v>11.127508000000001</v>
      </c>
    </row>
    <row r="296" spans="1:7">
      <c r="A296" t="s">
        <v>1297</v>
      </c>
      <c r="B296" t="s">
        <v>1298</v>
      </c>
      <c r="C296" t="s">
        <v>677</v>
      </c>
      <c r="D296" t="s">
        <v>1326</v>
      </c>
      <c r="E296" t="s">
        <v>187</v>
      </c>
      <c r="F296">
        <v>2016</v>
      </c>
      <c r="G296">
        <v>15.724776</v>
      </c>
    </row>
    <row r="297" spans="1:7">
      <c r="A297" t="s">
        <v>1297</v>
      </c>
      <c r="B297" t="s">
        <v>1298</v>
      </c>
      <c r="C297" t="s">
        <v>677</v>
      </c>
      <c r="D297" t="s">
        <v>1326</v>
      </c>
      <c r="E297" t="s">
        <v>187</v>
      </c>
      <c r="F297">
        <v>2020</v>
      </c>
      <c r="G297">
        <v>17.886586999999999</v>
      </c>
    </row>
    <row r="298" spans="1:7">
      <c r="A298" t="s">
        <v>1297</v>
      </c>
      <c r="B298" t="s">
        <v>1298</v>
      </c>
      <c r="C298" t="s">
        <v>663</v>
      </c>
      <c r="D298" t="s">
        <v>1326</v>
      </c>
      <c r="E298" t="s">
        <v>187</v>
      </c>
      <c r="F298">
        <v>2005</v>
      </c>
      <c r="G298">
        <v>1.5702499999999999</v>
      </c>
    </row>
    <row r="299" spans="1:7">
      <c r="A299" t="s">
        <v>1297</v>
      </c>
      <c r="B299" t="s">
        <v>1298</v>
      </c>
      <c r="C299" t="s">
        <v>663</v>
      </c>
      <c r="D299" t="s">
        <v>1326</v>
      </c>
      <c r="E299" t="s">
        <v>187</v>
      </c>
      <c r="F299">
        <v>2010</v>
      </c>
      <c r="G299">
        <v>4.4586030000000001</v>
      </c>
    </row>
    <row r="300" spans="1:7">
      <c r="A300" t="s">
        <v>1297</v>
      </c>
      <c r="B300" t="s">
        <v>1298</v>
      </c>
      <c r="C300" t="s">
        <v>663</v>
      </c>
      <c r="D300" t="s">
        <v>1326</v>
      </c>
      <c r="E300" t="s">
        <v>187</v>
      </c>
      <c r="F300">
        <v>2012</v>
      </c>
      <c r="G300">
        <v>12.847317</v>
      </c>
    </row>
    <row r="301" spans="1:7">
      <c r="A301" t="s">
        <v>1297</v>
      </c>
      <c r="B301" t="s">
        <v>1298</v>
      </c>
      <c r="C301" t="s">
        <v>663</v>
      </c>
      <c r="D301" t="s">
        <v>1326</v>
      </c>
      <c r="E301" t="s">
        <v>187</v>
      </c>
      <c r="F301">
        <v>2016</v>
      </c>
      <c r="G301">
        <v>19.485980000000001</v>
      </c>
    </row>
    <row r="302" spans="1:7">
      <c r="A302" t="s">
        <v>1297</v>
      </c>
      <c r="B302" t="s">
        <v>1298</v>
      </c>
      <c r="C302" t="s">
        <v>663</v>
      </c>
      <c r="D302" t="s">
        <v>1326</v>
      </c>
      <c r="E302" t="s">
        <v>187</v>
      </c>
      <c r="F302">
        <v>2020</v>
      </c>
      <c r="G302">
        <v>21.578347999999998</v>
      </c>
    </row>
    <row r="303" spans="1:7">
      <c r="A303" t="s">
        <v>1297</v>
      </c>
      <c r="B303" t="s">
        <v>1298</v>
      </c>
      <c r="C303" t="s">
        <v>675</v>
      </c>
      <c r="D303" t="s">
        <v>1326</v>
      </c>
      <c r="E303" t="s">
        <v>187</v>
      </c>
      <c r="F303">
        <v>2005</v>
      </c>
      <c r="G303">
        <v>0.26181599999999999</v>
      </c>
    </row>
    <row r="304" spans="1:7">
      <c r="A304" t="s">
        <v>1297</v>
      </c>
      <c r="B304" t="s">
        <v>1298</v>
      </c>
      <c r="C304" t="s">
        <v>675</v>
      </c>
      <c r="D304" t="s">
        <v>1326</v>
      </c>
      <c r="E304" t="s">
        <v>187</v>
      </c>
      <c r="F304">
        <v>2010</v>
      </c>
      <c r="G304">
        <v>0.51034800000000002</v>
      </c>
    </row>
    <row r="305" spans="1:7">
      <c r="A305" t="s">
        <v>1297</v>
      </c>
      <c r="B305" t="s">
        <v>1298</v>
      </c>
      <c r="C305" t="s">
        <v>675</v>
      </c>
      <c r="D305" t="s">
        <v>1326</v>
      </c>
      <c r="E305" t="s">
        <v>187</v>
      </c>
      <c r="F305">
        <v>2012</v>
      </c>
      <c r="G305">
        <v>0.51921700000000004</v>
      </c>
    </row>
    <row r="306" spans="1:7">
      <c r="A306" t="s">
        <v>1297</v>
      </c>
      <c r="B306" t="s">
        <v>1298</v>
      </c>
      <c r="C306" t="s">
        <v>675</v>
      </c>
      <c r="D306" t="s">
        <v>1326</v>
      </c>
      <c r="E306" t="s">
        <v>187</v>
      </c>
      <c r="F306">
        <v>2016</v>
      </c>
      <c r="G306">
        <v>0.58610499999999999</v>
      </c>
    </row>
    <row r="307" spans="1:7">
      <c r="A307" t="s">
        <v>1297</v>
      </c>
      <c r="B307" t="s">
        <v>1298</v>
      </c>
      <c r="C307" t="s">
        <v>675</v>
      </c>
      <c r="D307" t="s">
        <v>1326</v>
      </c>
      <c r="E307" t="s">
        <v>187</v>
      </c>
      <c r="F307">
        <v>2020</v>
      </c>
      <c r="G307">
        <v>0.52427999999999997</v>
      </c>
    </row>
    <row r="308" spans="1:7">
      <c r="A308" t="s">
        <v>1297</v>
      </c>
      <c r="B308" t="s">
        <v>1298</v>
      </c>
      <c r="C308" t="s">
        <v>653</v>
      </c>
      <c r="D308" t="s">
        <v>1326</v>
      </c>
      <c r="E308" t="s">
        <v>187</v>
      </c>
      <c r="F308">
        <v>2005</v>
      </c>
      <c r="G308">
        <v>1.1040000000000001</v>
      </c>
    </row>
    <row r="309" spans="1:7">
      <c r="A309" t="s">
        <v>1297</v>
      </c>
      <c r="B309" t="s">
        <v>1298</v>
      </c>
      <c r="C309" t="s">
        <v>653</v>
      </c>
      <c r="D309" t="s">
        <v>1326</v>
      </c>
      <c r="E309" t="s">
        <v>187</v>
      </c>
      <c r="F309">
        <v>2010</v>
      </c>
      <c r="G309">
        <v>2.6790509999999998</v>
      </c>
    </row>
    <row r="310" spans="1:7">
      <c r="A310" t="s">
        <v>1297</v>
      </c>
      <c r="B310" t="s">
        <v>1298</v>
      </c>
      <c r="C310" t="s">
        <v>653</v>
      </c>
      <c r="D310" t="s">
        <v>1326</v>
      </c>
      <c r="E310" t="s">
        <v>187</v>
      </c>
      <c r="F310">
        <v>2012</v>
      </c>
      <c r="G310">
        <v>4.0402849999999999</v>
      </c>
    </row>
    <row r="311" spans="1:7">
      <c r="A311" t="s">
        <v>1297</v>
      </c>
      <c r="B311" t="s">
        <v>1298</v>
      </c>
      <c r="C311" t="s">
        <v>653</v>
      </c>
      <c r="D311" t="s">
        <v>1326</v>
      </c>
      <c r="E311" t="s">
        <v>187</v>
      </c>
      <c r="F311">
        <v>2016</v>
      </c>
      <c r="G311">
        <v>5.6719160000000004</v>
      </c>
    </row>
    <row r="312" spans="1:7">
      <c r="A312" t="s">
        <v>1297</v>
      </c>
      <c r="B312" t="s">
        <v>1298</v>
      </c>
      <c r="C312" t="s">
        <v>653</v>
      </c>
      <c r="D312" t="s">
        <v>1326</v>
      </c>
      <c r="E312" t="s">
        <v>187</v>
      </c>
      <c r="F312">
        <v>2020</v>
      </c>
      <c r="G312">
        <v>9.2419899999999995</v>
      </c>
    </row>
    <row r="313" spans="1:7">
      <c r="A313" t="s">
        <v>1297</v>
      </c>
      <c r="B313" t="s">
        <v>1298</v>
      </c>
      <c r="C313" t="s">
        <v>1303</v>
      </c>
      <c r="D313" t="s">
        <v>1326</v>
      </c>
      <c r="E313" t="s">
        <v>187</v>
      </c>
      <c r="F313">
        <v>2016</v>
      </c>
      <c r="G313">
        <v>5.5E-2</v>
      </c>
    </row>
    <row r="314" spans="1:7">
      <c r="A314" t="s">
        <v>1297</v>
      </c>
      <c r="B314" t="s">
        <v>1298</v>
      </c>
      <c r="C314" t="s">
        <v>1303</v>
      </c>
      <c r="D314" t="s">
        <v>1326</v>
      </c>
      <c r="E314" t="s">
        <v>187</v>
      </c>
      <c r="F314">
        <v>2020</v>
      </c>
      <c r="G314">
        <v>3.8999999999999999E-4</v>
      </c>
    </row>
    <row r="315" spans="1:7">
      <c r="A315" t="s">
        <v>1297</v>
      </c>
      <c r="B315" t="s">
        <v>1298</v>
      </c>
      <c r="C315" t="s">
        <v>651</v>
      </c>
      <c r="D315" t="s">
        <v>1326</v>
      </c>
      <c r="E315" t="s">
        <v>187</v>
      </c>
      <c r="F315">
        <v>2005</v>
      </c>
      <c r="G315">
        <v>17.032294</v>
      </c>
    </row>
    <row r="316" spans="1:7">
      <c r="A316" t="s">
        <v>1297</v>
      </c>
      <c r="B316" t="s">
        <v>1298</v>
      </c>
      <c r="C316" t="s">
        <v>651</v>
      </c>
      <c r="D316" t="s">
        <v>1326</v>
      </c>
      <c r="E316" t="s">
        <v>187</v>
      </c>
      <c r="F316">
        <v>2010</v>
      </c>
      <c r="G316">
        <v>22.766877000000001</v>
      </c>
    </row>
    <row r="317" spans="1:7">
      <c r="A317" t="s">
        <v>1297</v>
      </c>
      <c r="B317" t="s">
        <v>1298</v>
      </c>
      <c r="C317" t="s">
        <v>651</v>
      </c>
      <c r="D317" t="s">
        <v>1326</v>
      </c>
      <c r="E317" t="s">
        <v>187</v>
      </c>
      <c r="F317">
        <v>2012</v>
      </c>
      <c r="G317">
        <v>23.760203000000001</v>
      </c>
    </row>
    <row r="318" spans="1:7">
      <c r="A318" t="s">
        <v>1297</v>
      </c>
      <c r="B318" t="s">
        <v>1298</v>
      </c>
      <c r="C318" t="s">
        <v>681</v>
      </c>
      <c r="D318" t="s">
        <v>1326</v>
      </c>
      <c r="E318" t="s">
        <v>187</v>
      </c>
      <c r="F318">
        <v>2016</v>
      </c>
      <c r="G318">
        <v>0.06</v>
      </c>
    </row>
    <row r="319" spans="1:7">
      <c r="A319" t="s">
        <v>1297</v>
      </c>
      <c r="B319" t="s">
        <v>1298</v>
      </c>
      <c r="C319" t="s">
        <v>681</v>
      </c>
      <c r="D319" t="s">
        <v>1326</v>
      </c>
      <c r="E319" t="s">
        <v>187</v>
      </c>
      <c r="F319">
        <v>2020</v>
      </c>
      <c r="G319">
        <v>0.41769000000000001</v>
      </c>
    </row>
    <row r="320" spans="1:7">
      <c r="A320" t="s">
        <v>1297</v>
      </c>
      <c r="B320" t="s">
        <v>1298</v>
      </c>
      <c r="C320" t="s">
        <v>651</v>
      </c>
      <c r="D320" t="s">
        <v>1326</v>
      </c>
      <c r="E320" t="s">
        <v>187</v>
      </c>
      <c r="F320">
        <v>2016</v>
      </c>
      <c r="G320">
        <v>29.436889999999998</v>
      </c>
    </row>
    <row r="321" spans="1:7">
      <c r="A321" t="s">
        <v>1297</v>
      </c>
      <c r="B321" t="s">
        <v>1298</v>
      </c>
      <c r="C321" t="s">
        <v>651</v>
      </c>
      <c r="D321" t="s">
        <v>1326</v>
      </c>
      <c r="E321" t="s">
        <v>187</v>
      </c>
      <c r="F321">
        <v>2020</v>
      </c>
      <c r="G321">
        <v>37.583539000000002</v>
      </c>
    </row>
    <row r="322" spans="1:7">
      <c r="A322" t="s">
        <v>1297</v>
      </c>
      <c r="B322" t="s">
        <v>1298</v>
      </c>
      <c r="C322" t="s">
        <v>665</v>
      </c>
      <c r="D322" t="s">
        <v>1326</v>
      </c>
      <c r="E322" t="s">
        <v>187</v>
      </c>
      <c r="F322">
        <v>2005</v>
      </c>
      <c r="G322">
        <v>6.1675000000000001E-2</v>
      </c>
    </row>
    <row r="323" spans="1:7">
      <c r="A323" t="s">
        <v>1297</v>
      </c>
      <c r="B323" t="s">
        <v>1298</v>
      </c>
      <c r="C323" t="s">
        <v>665</v>
      </c>
      <c r="D323" t="s">
        <v>1326</v>
      </c>
      <c r="E323" t="s">
        <v>187</v>
      </c>
      <c r="F323">
        <v>2010</v>
      </c>
      <c r="G323">
        <v>4.6116130000000002</v>
      </c>
    </row>
    <row r="324" spans="1:7">
      <c r="A324" t="s">
        <v>1297</v>
      </c>
      <c r="B324" t="s">
        <v>1298</v>
      </c>
      <c r="C324" t="s">
        <v>665</v>
      </c>
      <c r="D324" t="s">
        <v>1326</v>
      </c>
      <c r="E324" t="s">
        <v>187</v>
      </c>
      <c r="F324">
        <v>2012</v>
      </c>
      <c r="G324">
        <v>2.7029010000000002</v>
      </c>
    </row>
    <row r="325" spans="1:7">
      <c r="A325" t="s">
        <v>1297</v>
      </c>
      <c r="B325" t="s">
        <v>1298</v>
      </c>
      <c r="C325" t="s">
        <v>665</v>
      </c>
      <c r="D325" t="s">
        <v>1326</v>
      </c>
      <c r="E325" t="s">
        <v>187</v>
      </c>
      <c r="F325">
        <v>2016</v>
      </c>
      <c r="G325">
        <v>11.029724</v>
      </c>
    </row>
    <row r="326" spans="1:7">
      <c r="A326" t="s">
        <v>1297</v>
      </c>
      <c r="B326" t="s">
        <v>1298</v>
      </c>
      <c r="C326" t="s">
        <v>665</v>
      </c>
      <c r="D326" t="s">
        <v>1326</v>
      </c>
      <c r="E326" t="s">
        <v>187</v>
      </c>
      <c r="F326">
        <v>2020</v>
      </c>
      <c r="G326">
        <v>13.426997</v>
      </c>
    </row>
    <row r="327" spans="1:7">
      <c r="A327" t="s">
        <v>1297</v>
      </c>
      <c r="B327" t="s">
        <v>1298</v>
      </c>
      <c r="C327" t="s">
        <v>656</v>
      </c>
      <c r="D327" t="s">
        <v>1326</v>
      </c>
      <c r="E327" t="s">
        <v>187</v>
      </c>
      <c r="F327">
        <v>2005</v>
      </c>
      <c r="G327">
        <v>16.159583000000001</v>
      </c>
    </row>
    <row r="328" spans="1:7">
      <c r="A328" t="s">
        <v>1297</v>
      </c>
      <c r="B328" t="s">
        <v>1298</v>
      </c>
      <c r="C328" t="s">
        <v>656</v>
      </c>
      <c r="D328" t="s">
        <v>1326</v>
      </c>
      <c r="E328" t="s">
        <v>187</v>
      </c>
      <c r="F328">
        <v>2010</v>
      </c>
      <c r="G328">
        <v>86.296470999999997</v>
      </c>
    </row>
    <row r="329" spans="1:7">
      <c r="A329" t="s">
        <v>1297</v>
      </c>
      <c r="B329" t="s">
        <v>1298</v>
      </c>
      <c r="C329" t="s">
        <v>656</v>
      </c>
      <c r="D329" t="s">
        <v>1326</v>
      </c>
      <c r="E329" t="s">
        <v>187</v>
      </c>
      <c r="F329">
        <v>2012</v>
      </c>
      <c r="G329">
        <v>82.193298999999996</v>
      </c>
    </row>
    <row r="330" spans="1:7">
      <c r="A330" t="s">
        <v>1297</v>
      </c>
      <c r="B330" t="s">
        <v>1298</v>
      </c>
      <c r="C330" t="s">
        <v>656</v>
      </c>
      <c r="D330" t="s">
        <v>1326</v>
      </c>
      <c r="E330" t="s">
        <v>187</v>
      </c>
      <c r="F330">
        <v>2016</v>
      </c>
      <c r="G330">
        <v>102.58513000000001</v>
      </c>
    </row>
    <row r="331" spans="1:7">
      <c r="A331" t="s">
        <v>1297</v>
      </c>
      <c r="B331" t="s">
        <v>1298</v>
      </c>
      <c r="C331" t="s">
        <v>655</v>
      </c>
      <c r="D331" t="s">
        <v>1326</v>
      </c>
      <c r="E331" t="s">
        <v>187</v>
      </c>
      <c r="F331">
        <v>2010</v>
      </c>
      <c r="G331">
        <v>12.055866999999999</v>
      </c>
    </row>
    <row r="332" spans="1:7">
      <c r="A332" t="s">
        <v>1297</v>
      </c>
      <c r="B332" t="s">
        <v>1298</v>
      </c>
      <c r="C332" t="s">
        <v>655</v>
      </c>
      <c r="D332" t="s">
        <v>1326</v>
      </c>
      <c r="E332" t="s">
        <v>187</v>
      </c>
      <c r="F332">
        <v>2012</v>
      </c>
      <c r="G332">
        <v>14.065937999999999</v>
      </c>
    </row>
    <row r="333" spans="1:7">
      <c r="A333" t="s">
        <v>1297</v>
      </c>
      <c r="B333" t="s">
        <v>1298</v>
      </c>
      <c r="C333" t="s">
        <v>655</v>
      </c>
      <c r="D333" t="s">
        <v>1326</v>
      </c>
      <c r="E333" t="s">
        <v>187</v>
      </c>
      <c r="F333">
        <v>2016</v>
      </c>
      <c r="G333">
        <v>21.756602000000001</v>
      </c>
    </row>
    <row r="334" spans="1:7">
      <c r="A334" t="s">
        <v>1297</v>
      </c>
      <c r="B334" t="s">
        <v>1298</v>
      </c>
      <c r="C334" t="s">
        <v>655</v>
      </c>
      <c r="D334" t="s">
        <v>1326</v>
      </c>
      <c r="E334" t="s">
        <v>187</v>
      </c>
      <c r="F334">
        <v>2020</v>
      </c>
      <c r="G334">
        <v>24.70018</v>
      </c>
    </row>
    <row r="335" spans="1:7">
      <c r="A335" t="s">
        <v>1297</v>
      </c>
      <c r="B335" t="s">
        <v>1298</v>
      </c>
      <c r="C335" t="s">
        <v>654</v>
      </c>
      <c r="D335" t="s">
        <v>1326</v>
      </c>
      <c r="E335" t="s">
        <v>187</v>
      </c>
      <c r="F335">
        <v>2016</v>
      </c>
      <c r="G335">
        <v>1.5835999999999999E-2</v>
      </c>
    </row>
    <row r="336" spans="1:7">
      <c r="A336" t="s">
        <v>1297</v>
      </c>
      <c r="B336" t="s">
        <v>1298</v>
      </c>
      <c r="C336" t="s">
        <v>660</v>
      </c>
      <c r="D336" t="s">
        <v>1326</v>
      </c>
      <c r="E336" t="s">
        <v>187</v>
      </c>
      <c r="F336">
        <v>2005</v>
      </c>
      <c r="G336">
        <v>3.7242459999999999</v>
      </c>
    </row>
    <row r="337" spans="1:7">
      <c r="A337" t="s">
        <v>1297</v>
      </c>
      <c r="B337" t="s">
        <v>1298</v>
      </c>
      <c r="C337" t="s">
        <v>667</v>
      </c>
      <c r="D337" t="s">
        <v>1326</v>
      </c>
      <c r="E337" t="s">
        <v>187</v>
      </c>
      <c r="F337">
        <v>2005</v>
      </c>
      <c r="G337">
        <v>0.188189</v>
      </c>
    </row>
    <row r="338" spans="1:7">
      <c r="A338" t="s">
        <v>1297</v>
      </c>
      <c r="B338" t="s">
        <v>1298</v>
      </c>
      <c r="C338" t="s">
        <v>667</v>
      </c>
      <c r="D338" t="s">
        <v>1326</v>
      </c>
      <c r="E338" t="s">
        <v>187</v>
      </c>
      <c r="F338">
        <v>2010</v>
      </c>
      <c r="G338">
        <v>0.34775</v>
      </c>
    </row>
    <row r="339" spans="1:7">
      <c r="A339" t="s">
        <v>1297</v>
      </c>
      <c r="B339" t="s">
        <v>1298</v>
      </c>
      <c r="C339" t="s">
        <v>667</v>
      </c>
      <c r="D339" t="s">
        <v>1326</v>
      </c>
      <c r="E339" t="s">
        <v>187</v>
      </c>
      <c r="F339">
        <v>2012</v>
      </c>
      <c r="G339">
        <v>0.46190999999999999</v>
      </c>
    </row>
    <row r="340" spans="1:7">
      <c r="A340" t="s">
        <v>1297</v>
      </c>
      <c r="B340" t="s">
        <v>1298</v>
      </c>
      <c r="C340" t="s">
        <v>667</v>
      </c>
      <c r="D340" t="s">
        <v>1326</v>
      </c>
      <c r="E340" t="s">
        <v>187</v>
      </c>
      <c r="F340">
        <v>2016</v>
      </c>
      <c r="G340">
        <v>1.437189</v>
      </c>
    </row>
    <row r="341" spans="1:7">
      <c r="A341" t="s">
        <v>1297</v>
      </c>
      <c r="B341" t="s">
        <v>1298</v>
      </c>
      <c r="C341" t="s">
        <v>667</v>
      </c>
      <c r="D341" t="s">
        <v>1326</v>
      </c>
      <c r="E341" t="s">
        <v>187</v>
      </c>
      <c r="F341">
        <v>2020</v>
      </c>
      <c r="G341">
        <v>1.0896619999999999</v>
      </c>
    </row>
    <row r="342" spans="1:7">
      <c r="A342" t="s">
        <v>1297</v>
      </c>
      <c r="B342" t="s">
        <v>1298</v>
      </c>
      <c r="C342" t="s">
        <v>660</v>
      </c>
      <c r="D342" t="s">
        <v>1327</v>
      </c>
      <c r="E342" t="s">
        <v>187</v>
      </c>
      <c r="F342">
        <v>2005</v>
      </c>
      <c r="G342">
        <v>161.95862700000001</v>
      </c>
    </row>
    <row r="343" spans="1:7">
      <c r="A343" t="s">
        <v>1297</v>
      </c>
      <c r="B343" t="s">
        <v>1298</v>
      </c>
      <c r="C343" t="s">
        <v>660</v>
      </c>
      <c r="D343" t="s">
        <v>1327</v>
      </c>
      <c r="E343" t="s">
        <v>187</v>
      </c>
      <c r="F343">
        <v>2010</v>
      </c>
      <c r="G343">
        <v>166.11808600000001</v>
      </c>
    </row>
    <row r="344" spans="1:7">
      <c r="A344" t="s">
        <v>1297</v>
      </c>
      <c r="B344" t="s">
        <v>1298</v>
      </c>
      <c r="C344" t="s">
        <v>660</v>
      </c>
      <c r="D344" t="s">
        <v>1327</v>
      </c>
      <c r="E344" t="s">
        <v>187</v>
      </c>
      <c r="F344">
        <v>2012</v>
      </c>
      <c r="G344">
        <v>176.72996499999999</v>
      </c>
    </row>
    <row r="345" spans="1:7">
      <c r="A345" t="s">
        <v>1297</v>
      </c>
      <c r="B345" t="s">
        <v>1298</v>
      </c>
      <c r="C345" t="s">
        <v>660</v>
      </c>
      <c r="D345" t="s">
        <v>1327</v>
      </c>
      <c r="E345" t="s">
        <v>187</v>
      </c>
      <c r="F345">
        <v>2016</v>
      </c>
      <c r="G345">
        <v>201.31785199999999</v>
      </c>
    </row>
    <row r="346" spans="1:7">
      <c r="A346" t="s">
        <v>1297</v>
      </c>
      <c r="B346" t="s">
        <v>1298</v>
      </c>
      <c r="C346" t="s">
        <v>660</v>
      </c>
      <c r="D346" t="s">
        <v>1327</v>
      </c>
      <c r="E346" t="s">
        <v>187</v>
      </c>
      <c r="F346">
        <v>2020</v>
      </c>
      <c r="G346">
        <v>228.973344</v>
      </c>
    </row>
    <row r="347" spans="1:7">
      <c r="A347" t="s">
        <v>1297</v>
      </c>
      <c r="B347" t="s">
        <v>1298</v>
      </c>
      <c r="C347" t="s">
        <v>681</v>
      </c>
      <c r="D347" t="s">
        <v>1327</v>
      </c>
      <c r="E347" t="s">
        <v>187</v>
      </c>
      <c r="F347">
        <v>2005</v>
      </c>
      <c r="G347">
        <v>0.41899999999999998</v>
      </c>
    </row>
    <row r="348" spans="1:7">
      <c r="A348" t="s">
        <v>1297</v>
      </c>
      <c r="B348" t="s">
        <v>1298</v>
      </c>
      <c r="C348" t="s">
        <v>681</v>
      </c>
      <c r="D348" t="s">
        <v>1327</v>
      </c>
      <c r="E348" t="s">
        <v>187</v>
      </c>
      <c r="F348">
        <v>2010</v>
      </c>
      <c r="G348">
        <v>0.126</v>
      </c>
    </row>
    <row r="349" spans="1:7">
      <c r="A349" t="s">
        <v>1297</v>
      </c>
      <c r="B349" t="s">
        <v>1298</v>
      </c>
      <c r="C349" t="s">
        <v>681</v>
      </c>
      <c r="D349" t="s">
        <v>1327</v>
      </c>
      <c r="E349" t="s">
        <v>187</v>
      </c>
      <c r="F349">
        <v>2012</v>
      </c>
      <c r="G349">
        <v>0.41899999999999998</v>
      </c>
    </row>
    <row r="350" spans="1:7">
      <c r="A350" t="s">
        <v>1297</v>
      </c>
      <c r="B350" t="s">
        <v>1298</v>
      </c>
      <c r="C350" t="s">
        <v>681</v>
      </c>
      <c r="D350" t="s">
        <v>1327</v>
      </c>
      <c r="E350" t="s">
        <v>187</v>
      </c>
      <c r="F350">
        <v>2016</v>
      </c>
      <c r="G350">
        <v>0.41899999999999998</v>
      </c>
    </row>
    <row r="351" spans="1:7">
      <c r="A351" t="s">
        <v>1297</v>
      </c>
      <c r="B351" t="s">
        <v>1298</v>
      </c>
      <c r="C351" t="s">
        <v>681</v>
      </c>
      <c r="D351" t="s">
        <v>1327</v>
      </c>
      <c r="E351" t="s">
        <v>187</v>
      </c>
      <c r="F351">
        <v>2020</v>
      </c>
      <c r="G351">
        <v>0.29726000000000002</v>
      </c>
    </row>
    <row r="352" spans="1:7">
      <c r="A352" t="s">
        <v>1297</v>
      </c>
      <c r="B352" t="s">
        <v>1298</v>
      </c>
      <c r="C352" t="s">
        <v>679</v>
      </c>
      <c r="D352" t="s">
        <v>1327</v>
      </c>
      <c r="E352" t="s">
        <v>187</v>
      </c>
      <c r="F352">
        <v>2005</v>
      </c>
      <c r="G352">
        <v>17.672346000000001</v>
      </c>
    </row>
    <row r="353" spans="1:7">
      <c r="A353" t="s">
        <v>1297</v>
      </c>
      <c r="B353" t="s">
        <v>1298</v>
      </c>
      <c r="C353" t="s">
        <v>679</v>
      </c>
      <c r="D353" t="s">
        <v>1327</v>
      </c>
      <c r="E353" t="s">
        <v>187</v>
      </c>
      <c r="F353">
        <v>2010</v>
      </c>
      <c r="G353">
        <v>20.851369999999999</v>
      </c>
    </row>
    <row r="354" spans="1:7">
      <c r="A354" t="s">
        <v>1297</v>
      </c>
      <c r="B354" t="s">
        <v>1298</v>
      </c>
      <c r="C354" t="s">
        <v>679</v>
      </c>
      <c r="D354" t="s">
        <v>1327</v>
      </c>
      <c r="E354" t="s">
        <v>187</v>
      </c>
      <c r="F354">
        <v>2012</v>
      </c>
      <c r="G354">
        <v>17.092932999999999</v>
      </c>
    </row>
    <row r="355" spans="1:7">
      <c r="A355" t="s">
        <v>1297</v>
      </c>
      <c r="B355" t="s">
        <v>1298</v>
      </c>
      <c r="C355" t="s">
        <v>679</v>
      </c>
      <c r="D355" t="s">
        <v>1327</v>
      </c>
      <c r="E355" t="s">
        <v>187</v>
      </c>
      <c r="F355">
        <v>2016</v>
      </c>
      <c r="G355">
        <v>11.165831000000001</v>
      </c>
    </row>
    <row r="356" spans="1:7">
      <c r="A356" t="s">
        <v>1297</v>
      </c>
      <c r="B356" t="s">
        <v>1298</v>
      </c>
      <c r="C356" t="s">
        <v>679</v>
      </c>
      <c r="D356" t="s">
        <v>1327</v>
      </c>
      <c r="E356" t="s">
        <v>187</v>
      </c>
      <c r="F356">
        <v>2020</v>
      </c>
      <c r="G356">
        <v>15.770728999999999</v>
      </c>
    </row>
    <row r="357" spans="1:7">
      <c r="A357" t="s">
        <v>1297</v>
      </c>
      <c r="B357" t="s">
        <v>1298</v>
      </c>
      <c r="C357" t="s">
        <v>669</v>
      </c>
      <c r="D357" t="s">
        <v>1327</v>
      </c>
      <c r="E357" t="s">
        <v>187</v>
      </c>
      <c r="F357">
        <v>2012</v>
      </c>
      <c r="G357">
        <v>6.071E-3</v>
      </c>
    </row>
    <row r="358" spans="1:7">
      <c r="A358" t="s">
        <v>1297</v>
      </c>
      <c r="B358" t="s">
        <v>1298</v>
      </c>
      <c r="C358" t="s">
        <v>669</v>
      </c>
      <c r="D358" t="s">
        <v>1327</v>
      </c>
      <c r="E358" t="s">
        <v>187</v>
      </c>
      <c r="F358">
        <v>2016</v>
      </c>
      <c r="G358">
        <v>1.4341E-2</v>
      </c>
    </row>
    <row r="359" spans="1:7">
      <c r="A359" t="s">
        <v>1297</v>
      </c>
      <c r="B359" t="s">
        <v>1298</v>
      </c>
      <c r="C359" t="s">
        <v>669</v>
      </c>
      <c r="D359" t="s">
        <v>1327</v>
      </c>
      <c r="E359" t="s">
        <v>187</v>
      </c>
      <c r="F359">
        <v>2020</v>
      </c>
      <c r="G359">
        <v>5.3810000000000004E-3</v>
      </c>
    </row>
    <row r="360" spans="1:7">
      <c r="A360" t="s">
        <v>1297</v>
      </c>
      <c r="B360" t="s">
        <v>1298</v>
      </c>
      <c r="C360" t="s">
        <v>668</v>
      </c>
      <c r="D360" t="s">
        <v>1327</v>
      </c>
      <c r="E360" t="s">
        <v>187</v>
      </c>
      <c r="F360">
        <v>2005</v>
      </c>
      <c r="G360">
        <v>5.3477379999999997</v>
      </c>
    </row>
    <row r="361" spans="1:7">
      <c r="A361" t="s">
        <v>1297</v>
      </c>
      <c r="B361" t="s">
        <v>1298</v>
      </c>
      <c r="C361" t="s">
        <v>668</v>
      </c>
      <c r="D361" t="s">
        <v>1327</v>
      </c>
      <c r="E361" t="s">
        <v>187</v>
      </c>
      <c r="F361">
        <v>2010</v>
      </c>
      <c r="G361">
        <v>9.5821810000000003</v>
      </c>
    </row>
    <row r="362" spans="1:7">
      <c r="A362" t="s">
        <v>1297</v>
      </c>
      <c r="B362" t="s">
        <v>1298</v>
      </c>
      <c r="C362" t="s">
        <v>668</v>
      </c>
      <c r="D362" t="s">
        <v>1327</v>
      </c>
      <c r="E362" t="s">
        <v>187</v>
      </c>
      <c r="F362">
        <v>2012</v>
      </c>
      <c r="G362">
        <v>12.747282</v>
      </c>
    </row>
    <row r="363" spans="1:7">
      <c r="A363" t="s">
        <v>1297</v>
      </c>
      <c r="B363" t="s">
        <v>1298</v>
      </c>
      <c r="C363" t="s">
        <v>668</v>
      </c>
      <c r="D363" t="s">
        <v>1327</v>
      </c>
      <c r="E363" t="s">
        <v>187</v>
      </c>
      <c r="F363">
        <v>2016</v>
      </c>
      <c r="G363">
        <v>15.6152</v>
      </c>
    </row>
    <row r="364" spans="1:7">
      <c r="A364" t="s">
        <v>1297</v>
      </c>
      <c r="B364" t="s">
        <v>1298</v>
      </c>
      <c r="C364" t="s">
        <v>668</v>
      </c>
      <c r="D364" t="s">
        <v>1327</v>
      </c>
      <c r="E364" t="s">
        <v>187</v>
      </c>
      <c r="F364">
        <v>2020</v>
      </c>
      <c r="G364">
        <v>19.296334999999999</v>
      </c>
    </row>
    <row r="365" spans="1:7">
      <c r="A365" t="s">
        <v>1297</v>
      </c>
      <c r="B365" t="s">
        <v>1298</v>
      </c>
      <c r="C365" t="s">
        <v>1300</v>
      </c>
      <c r="D365" t="s">
        <v>1327</v>
      </c>
      <c r="E365" t="s">
        <v>187</v>
      </c>
      <c r="F365">
        <v>2010</v>
      </c>
      <c r="G365">
        <v>6.1663000000000003E-2</v>
      </c>
    </row>
    <row r="366" spans="1:7">
      <c r="A366" t="s">
        <v>1297</v>
      </c>
      <c r="B366" t="s">
        <v>1298</v>
      </c>
      <c r="C366" t="s">
        <v>1300</v>
      </c>
      <c r="D366" t="s">
        <v>1327</v>
      </c>
      <c r="E366" t="s">
        <v>187</v>
      </c>
      <c r="F366">
        <v>2012</v>
      </c>
      <c r="G366">
        <v>8.1973000000000004E-2</v>
      </c>
    </row>
    <row r="367" spans="1:7">
      <c r="A367" t="s">
        <v>1297</v>
      </c>
      <c r="B367" t="s">
        <v>1298</v>
      </c>
      <c r="C367" t="s">
        <v>1300</v>
      </c>
      <c r="D367" t="s">
        <v>1327</v>
      </c>
      <c r="E367" t="s">
        <v>187</v>
      </c>
      <c r="F367">
        <v>2016</v>
      </c>
      <c r="G367">
        <v>0.14005899999999999</v>
      </c>
    </row>
    <row r="368" spans="1:7">
      <c r="A368" t="s">
        <v>1297</v>
      </c>
      <c r="B368" t="s">
        <v>1298</v>
      </c>
      <c r="C368" t="s">
        <v>1300</v>
      </c>
      <c r="D368" t="s">
        <v>1327</v>
      </c>
      <c r="E368" t="s">
        <v>187</v>
      </c>
      <c r="F368">
        <v>2020</v>
      </c>
      <c r="G368">
        <v>0.1862</v>
      </c>
    </row>
    <row r="369" spans="1:7">
      <c r="A369" t="s">
        <v>1297</v>
      </c>
      <c r="B369" t="s">
        <v>1298</v>
      </c>
      <c r="C369" t="s">
        <v>685</v>
      </c>
      <c r="D369" t="s">
        <v>1327</v>
      </c>
      <c r="E369" t="s">
        <v>187</v>
      </c>
      <c r="F369">
        <v>2005</v>
      </c>
      <c r="G369">
        <v>0.29499999999999998</v>
      </c>
    </row>
    <row r="370" spans="1:7">
      <c r="A370" t="s">
        <v>1297</v>
      </c>
      <c r="B370" t="s">
        <v>1298</v>
      </c>
      <c r="C370" t="s">
        <v>685</v>
      </c>
      <c r="D370" t="s">
        <v>1327</v>
      </c>
      <c r="E370" t="s">
        <v>187</v>
      </c>
      <c r="F370">
        <v>2010</v>
      </c>
      <c r="G370">
        <v>0.16400000000000001</v>
      </c>
    </row>
    <row r="371" spans="1:7">
      <c r="A371" t="s">
        <v>1297</v>
      </c>
      <c r="B371" t="s">
        <v>1298</v>
      </c>
      <c r="C371" t="s">
        <v>685</v>
      </c>
      <c r="D371" t="s">
        <v>1327</v>
      </c>
      <c r="E371" t="s">
        <v>187</v>
      </c>
      <c r="F371">
        <v>2012</v>
      </c>
      <c r="G371">
        <v>0.25600000000000001</v>
      </c>
    </row>
    <row r="372" spans="1:7">
      <c r="A372" t="s">
        <v>1297</v>
      </c>
      <c r="B372" t="s">
        <v>1298</v>
      </c>
      <c r="C372" t="s">
        <v>685</v>
      </c>
      <c r="D372" t="s">
        <v>1327</v>
      </c>
      <c r="E372" t="s">
        <v>187</v>
      </c>
      <c r="F372">
        <v>2016</v>
      </c>
      <c r="G372">
        <v>0.25635799999999997</v>
      </c>
    </row>
    <row r="373" spans="1:7">
      <c r="A373" t="s">
        <v>1297</v>
      </c>
      <c r="B373" t="s">
        <v>1298</v>
      </c>
      <c r="C373" t="s">
        <v>685</v>
      </c>
      <c r="D373" t="s">
        <v>1327</v>
      </c>
      <c r="E373" t="s">
        <v>187</v>
      </c>
      <c r="F373">
        <v>2020</v>
      </c>
      <c r="G373">
        <v>0.36928699999999998</v>
      </c>
    </row>
    <row r="374" spans="1:7">
      <c r="A374" t="s">
        <v>1297</v>
      </c>
      <c r="B374" t="s">
        <v>1298</v>
      </c>
      <c r="C374" t="s">
        <v>1302</v>
      </c>
      <c r="D374" t="s">
        <v>1327</v>
      </c>
      <c r="E374" t="s">
        <v>187</v>
      </c>
      <c r="F374">
        <v>2005</v>
      </c>
      <c r="G374">
        <v>1.3580000000000001</v>
      </c>
    </row>
    <row r="375" spans="1:7">
      <c r="A375" t="s">
        <v>1297</v>
      </c>
      <c r="B375" t="s">
        <v>1298</v>
      </c>
      <c r="C375" t="s">
        <v>1302</v>
      </c>
      <c r="D375" t="s">
        <v>1327</v>
      </c>
      <c r="E375" t="s">
        <v>187</v>
      </c>
      <c r="F375">
        <v>2010</v>
      </c>
      <c r="G375">
        <v>0.44900000000000001</v>
      </c>
    </row>
    <row r="376" spans="1:7">
      <c r="A376" t="s">
        <v>1297</v>
      </c>
      <c r="B376" t="s">
        <v>1298</v>
      </c>
      <c r="C376" t="s">
        <v>1302</v>
      </c>
      <c r="D376" t="s">
        <v>1327</v>
      </c>
      <c r="E376" t="s">
        <v>187</v>
      </c>
      <c r="F376">
        <v>2012</v>
      </c>
      <c r="G376">
        <v>0.47199999999999998</v>
      </c>
    </row>
    <row r="377" spans="1:7">
      <c r="A377" t="s">
        <v>1297</v>
      </c>
      <c r="B377" t="s">
        <v>1298</v>
      </c>
      <c r="C377" t="s">
        <v>1302</v>
      </c>
      <c r="D377" t="s">
        <v>1327</v>
      </c>
      <c r="E377" t="s">
        <v>187</v>
      </c>
      <c r="F377">
        <v>2016</v>
      </c>
      <c r="G377">
        <v>0.65600000000000003</v>
      </c>
    </row>
    <row r="378" spans="1:7">
      <c r="A378" t="s">
        <v>1297</v>
      </c>
      <c r="B378" t="s">
        <v>1298</v>
      </c>
      <c r="C378" t="s">
        <v>1302</v>
      </c>
      <c r="D378" t="s">
        <v>1327</v>
      </c>
      <c r="E378" t="s">
        <v>187</v>
      </c>
      <c r="F378">
        <v>2020</v>
      </c>
      <c r="G378">
        <v>0.611788</v>
      </c>
    </row>
    <row r="379" spans="1:7">
      <c r="A379" t="s">
        <v>1297</v>
      </c>
      <c r="B379" t="s">
        <v>1298</v>
      </c>
      <c r="C379" t="s">
        <v>655</v>
      </c>
      <c r="D379" t="s">
        <v>1327</v>
      </c>
      <c r="E379" t="s">
        <v>187</v>
      </c>
      <c r="F379">
        <v>2005</v>
      </c>
      <c r="G379">
        <v>17.591232999999999</v>
      </c>
    </row>
    <row r="380" spans="1:7">
      <c r="A380" t="s">
        <v>1297</v>
      </c>
      <c r="B380" t="s">
        <v>1298</v>
      </c>
      <c r="C380" t="s">
        <v>655</v>
      </c>
      <c r="D380" t="s">
        <v>1327</v>
      </c>
      <c r="E380" t="s">
        <v>187</v>
      </c>
      <c r="F380">
        <v>2010</v>
      </c>
      <c r="G380">
        <v>19.711649999999999</v>
      </c>
    </row>
    <row r="381" spans="1:7">
      <c r="A381" t="s">
        <v>1297</v>
      </c>
      <c r="B381" t="s">
        <v>1298</v>
      </c>
      <c r="C381" t="s">
        <v>655</v>
      </c>
      <c r="D381" t="s">
        <v>1327</v>
      </c>
      <c r="E381" t="s">
        <v>187</v>
      </c>
      <c r="F381">
        <v>2012</v>
      </c>
      <c r="G381">
        <v>21.368154000000001</v>
      </c>
    </row>
    <row r="382" spans="1:7">
      <c r="A382" t="s">
        <v>1297</v>
      </c>
      <c r="B382" t="s">
        <v>1298</v>
      </c>
      <c r="C382" t="s">
        <v>655</v>
      </c>
      <c r="D382" t="s">
        <v>1327</v>
      </c>
      <c r="E382" t="s">
        <v>187</v>
      </c>
      <c r="F382">
        <v>2016</v>
      </c>
      <c r="G382">
        <v>26.546232</v>
      </c>
    </row>
    <row r="383" spans="1:7">
      <c r="A383" t="s">
        <v>1297</v>
      </c>
      <c r="B383" t="s">
        <v>1298</v>
      </c>
      <c r="C383" t="s">
        <v>655</v>
      </c>
      <c r="D383" t="s">
        <v>1327</v>
      </c>
      <c r="E383" t="s">
        <v>187</v>
      </c>
      <c r="F383">
        <v>2020</v>
      </c>
      <c r="G383">
        <v>27.236115000000002</v>
      </c>
    </row>
    <row r="384" spans="1:7">
      <c r="A384" t="s">
        <v>1297</v>
      </c>
      <c r="B384" t="s">
        <v>1298</v>
      </c>
      <c r="C384" t="s">
        <v>664</v>
      </c>
      <c r="D384" t="s">
        <v>1327</v>
      </c>
      <c r="E384" t="s">
        <v>187</v>
      </c>
      <c r="F384">
        <v>2005</v>
      </c>
      <c r="G384">
        <v>6.9782330000000004</v>
      </c>
    </row>
    <row r="385" spans="1:7">
      <c r="A385" t="s">
        <v>1297</v>
      </c>
      <c r="B385" t="s">
        <v>1298</v>
      </c>
      <c r="C385" t="s">
        <v>664</v>
      </c>
      <c r="D385" t="s">
        <v>1327</v>
      </c>
      <c r="E385" t="s">
        <v>187</v>
      </c>
      <c r="F385">
        <v>2010</v>
      </c>
      <c r="G385">
        <v>6.6118680000000003</v>
      </c>
    </row>
    <row r="386" spans="1:7">
      <c r="A386" t="s">
        <v>1297</v>
      </c>
      <c r="B386" t="s">
        <v>1298</v>
      </c>
      <c r="C386" t="s">
        <v>664</v>
      </c>
      <c r="D386" t="s">
        <v>1327</v>
      </c>
      <c r="E386" t="s">
        <v>187</v>
      </c>
      <c r="F386">
        <v>2012</v>
      </c>
      <c r="G386">
        <v>5.9970270000000001</v>
      </c>
    </row>
    <row r="387" spans="1:7">
      <c r="A387" t="s">
        <v>1297</v>
      </c>
      <c r="B387" t="s">
        <v>1298</v>
      </c>
      <c r="C387" t="s">
        <v>664</v>
      </c>
      <c r="D387" t="s">
        <v>1327</v>
      </c>
      <c r="E387" t="s">
        <v>187</v>
      </c>
      <c r="F387">
        <v>2016</v>
      </c>
      <c r="G387">
        <v>7.828436</v>
      </c>
    </row>
    <row r="388" spans="1:7">
      <c r="A388" t="s">
        <v>1297</v>
      </c>
      <c r="B388" t="s">
        <v>1298</v>
      </c>
      <c r="C388" t="s">
        <v>664</v>
      </c>
      <c r="D388" t="s">
        <v>1327</v>
      </c>
      <c r="E388" t="s">
        <v>187</v>
      </c>
      <c r="F388">
        <v>2020</v>
      </c>
      <c r="G388">
        <v>8.6186380000000007</v>
      </c>
    </row>
    <row r="389" spans="1:7">
      <c r="A389" t="s">
        <v>1297</v>
      </c>
      <c r="B389" t="s">
        <v>1298</v>
      </c>
      <c r="C389" t="s">
        <v>670</v>
      </c>
      <c r="D389" t="s">
        <v>1327</v>
      </c>
      <c r="E389" t="s">
        <v>187</v>
      </c>
      <c r="F389">
        <v>2005</v>
      </c>
      <c r="G389">
        <v>15.935575</v>
      </c>
    </row>
    <row r="390" spans="1:7">
      <c r="A390" t="s">
        <v>1297</v>
      </c>
      <c r="B390" t="s">
        <v>1298</v>
      </c>
      <c r="C390" t="s">
        <v>670</v>
      </c>
      <c r="D390" t="s">
        <v>1327</v>
      </c>
      <c r="E390" t="s">
        <v>187</v>
      </c>
      <c r="F390">
        <v>2010</v>
      </c>
      <c r="G390">
        <v>17.284523</v>
      </c>
    </row>
    <row r="391" spans="1:7">
      <c r="A391" t="s">
        <v>1297</v>
      </c>
      <c r="B391" t="s">
        <v>1298</v>
      </c>
      <c r="C391" t="s">
        <v>670</v>
      </c>
      <c r="D391" t="s">
        <v>1327</v>
      </c>
      <c r="E391" t="s">
        <v>187</v>
      </c>
      <c r="F391">
        <v>2012</v>
      </c>
      <c r="G391">
        <v>19.276306000000002</v>
      </c>
    </row>
    <row r="392" spans="1:7">
      <c r="A392" t="s">
        <v>1297</v>
      </c>
      <c r="B392" t="s">
        <v>1298</v>
      </c>
      <c r="C392" t="s">
        <v>670</v>
      </c>
      <c r="D392" t="s">
        <v>1327</v>
      </c>
      <c r="E392" t="s">
        <v>187</v>
      </c>
      <c r="F392">
        <v>2016</v>
      </c>
      <c r="G392">
        <v>20.741056</v>
      </c>
    </row>
    <row r="393" spans="1:7">
      <c r="A393" t="s">
        <v>1297</v>
      </c>
      <c r="B393" t="s">
        <v>1298</v>
      </c>
      <c r="C393" t="s">
        <v>670</v>
      </c>
      <c r="D393" t="s">
        <v>1327</v>
      </c>
      <c r="E393" t="s">
        <v>187</v>
      </c>
      <c r="F393">
        <v>2020</v>
      </c>
      <c r="G393">
        <v>26.349224</v>
      </c>
    </row>
    <row r="394" spans="1:7">
      <c r="A394" t="s">
        <v>1297</v>
      </c>
      <c r="B394" t="s">
        <v>1298</v>
      </c>
      <c r="C394" t="s">
        <v>289</v>
      </c>
      <c r="D394" t="s">
        <v>1327</v>
      </c>
      <c r="E394" t="s">
        <v>187</v>
      </c>
      <c r="F394">
        <v>2005</v>
      </c>
      <c r="G394">
        <v>2.2338019999999998</v>
      </c>
    </row>
    <row r="395" spans="1:7">
      <c r="A395" t="s">
        <v>1297</v>
      </c>
      <c r="B395" t="s">
        <v>1298</v>
      </c>
      <c r="C395" t="s">
        <v>661</v>
      </c>
      <c r="D395" t="s">
        <v>1327</v>
      </c>
      <c r="E395" t="s">
        <v>187</v>
      </c>
      <c r="F395">
        <v>2005</v>
      </c>
      <c r="G395">
        <v>69.227207000000007</v>
      </c>
    </row>
    <row r="396" spans="1:7">
      <c r="A396" t="s">
        <v>1297</v>
      </c>
      <c r="B396" t="s">
        <v>1298</v>
      </c>
      <c r="C396" t="s">
        <v>661</v>
      </c>
      <c r="D396" t="s">
        <v>1327</v>
      </c>
      <c r="E396" t="s">
        <v>187</v>
      </c>
      <c r="F396">
        <v>2010</v>
      </c>
      <c r="G396">
        <v>70.605311999999998</v>
      </c>
    </row>
    <row r="397" spans="1:7">
      <c r="A397" t="s">
        <v>1297</v>
      </c>
      <c r="B397" t="s">
        <v>1298</v>
      </c>
      <c r="C397" t="s">
        <v>661</v>
      </c>
      <c r="D397" t="s">
        <v>1327</v>
      </c>
      <c r="E397" t="s">
        <v>187</v>
      </c>
      <c r="F397">
        <v>2012</v>
      </c>
      <c r="G397">
        <v>73.992453999999995</v>
      </c>
    </row>
    <row r="398" spans="1:7">
      <c r="A398" t="s">
        <v>1297</v>
      </c>
      <c r="B398" t="s">
        <v>1298</v>
      </c>
      <c r="C398" t="s">
        <v>661</v>
      </c>
      <c r="D398" t="s">
        <v>1327</v>
      </c>
      <c r="E398" t="s">
        <v>187</v>
      </c>
      <c r="F398">
        <v>2016</v>
      </c>
      <c r="G398">
        <v>91.107415000000003</v>
      </c>
    </row>
    <row r="399" spans="1:7">
      <c r="A399" t="s">
        <v>1297</v>
      </c>
      <c r="B399" t="s">
        <v>1298</v>
      </c>
      <c r="C399" t="s">
        <v>661</v>
      </c>
      <c r="D399" t="s">
        <v>1327</v>
      </c>
      <c r="E399" t="s">
        <v>187</v>
      </c>
      <c r="F399">
        <v>2020</v>
      </c>
      <c r="G399">
        <v>96.051340999999994</v>
      </c>
    </row>
    <row r="400" spans="1:7">
      <c r="A400" t="s">
        <v>1297</v>
      </c>
      <c r="B400" t="s">
        <v>1298</v>
      </c>
      <c r="C400" t="s">
        <v>1303</v>
      </c>
      <c r="D400" t="s">
        <v>1327</v>
      </c>
      <c r="E400" t="s">
        <v>187</v>
      </c>
      <c r="F400">
        <v>2016</v>
      </c>
      <c r="G400">
        <v>6.3E-2</v>
      </c>
    </row>
    <row r="401" spans="1:7">
      <c r="A401" t="s">
        <v>1297</v>
      </c>
      <c r="B401" t="s">
        <v>1298</v>
      </c>
      <c r="C401" t="s">
        <v>1303</v>
      </c>
      <c r="D401" t="s">
        <v>1327</v>
      </c>
      <c r="E401" t="s">
        <v>187</v>
      </c>
      <c r="F401">
        <v>2020</v>
      </c>
      <c r="G401">
        <v>4.6098E-2</v>
      </c>
    </row>
    <row r="402" spans="1:7">
      <c r="A402" t="s">
        <v>1297</v>
      </c>
      <c r="B402" t="s">
        <v>1298</v>
      </c>
      <c r="C402" t="s">
        <v>667</v>
      </c>
      <c r="D402" t="s">
        <v>1327</v>
      </c>
      <c r="E402" t="s">
        <v>187</v>
      </c>
      <c r="F402">
        <v>2005</v>
      </c>
      <c r="G402">
        <v>1.076684</v>
      </c>
    </row>
    <row r="403" spans="1:7">
      <c r="A403" t="s">
        <v>1297</v>
      </c>
      <c r="B403" t="s">
        <v>1298</v>
      </c>
      <c r="C403" t="s">
        <v>667</v>
      </c>
      <c r="D403" t="s">
        <v>1327</v>
      </c>
      <c r="E403" t="s">
        <v>187</v>
      </c>
      <c r="F403">
        <v>2010</v>
      </c>
      <c r="G403">
        <v>1.427743</v>
      </c>
    </row>
    <row r="404" spans="1:7">
      <c r="A404" t="s">
        <v>1297</v>
      </c>
      <c r="B404" t="s">
        <v>1298</v>
      </c>
      <c r="C404" t="s">
        <v>667</v>
      </c>
      <c r="D404" t="s">
        <v>1327</v>
      </c>
      <c r="E404" t="s">
        <v>187</v>
      </c>
      <c r="F404">
        <v>2012</v>
      </c>
      <c r="G404">
        <v>1.3277300000000001</v>
      </c>
    </row>
    <row r="405" spans="1:7">
      <c r="A405" t="s">
        <v>1297</v>
      </c>
      <c r="B405" t="s">
        <v>1298</v>
      </c>
      <c r="C405" t="s">
        <v>667</v>
      </c>
      <c r="D405" t="s">
        <v>1327</v>
      </c>
      <c r="E405" t="s">
        <v>187</v>
      </c>
      <c r="F405">
        <v>2016</v>
      </c>
      <c r="G405">
        <v>1.878657</v>
      </c>
    </row>
    <row r="406" spans="1:7">
      <c r="A406" t="s">
        <v>1297</v>
      </c>
      <c r="B406" t="s">
        <v>1298</v>
      </c>
      <c r="C406" t="s">
        <v>667</v>
      </c>
      <c r="D406" t="s">
        <v>1327</v>
      </c>
      <c r="E406" t="s">
        <v>187</v>
      </c>
      <c r="F406">
        <v>2020</v>
      </c>
      <c r="G406">
        <v>2.0225810000000002</v>
      </c>
    </row>
    <row r="407" spans="1:7">
      <c r="A407" t="s">
        <v>1297</v>
      </c>
      <c r="B407" t="s">
        <v>1298</v>
      </c>
      <c r="C407" t="s">
        <v>672</v>
      </c>
      <c r="D407" t="s">
        <v>1327</v>
      </c>
      <c r="E407" t="s">
        <v>187</v>
      </c>
      <c r="F407">
        <v>2005</v>
      </c>
      <c r="G407">
        <v>58.368859999999998</v>
      </c>
    </row>
    <row r="408" spans="1:7">
      <c r="A408" t="s">
        <v>1297</v>
      </c>
      <c r="B408" t="s">
        <v>1298</v>
      </c>
      <c r="C408" t="s">
        <v>672</v>
      </c>
      <c r="D408" t="s">
        <v>1327</v>
      </c>
      <c r="E408" t="s">
        <v>187</v>
      </c>
      <c r="F408">
        <v>2010</v>
      </c>
      <c r="G408">
        <v>63.803902999999998</v>
      </c>
    </row>
    <row r="409" spans="1:7">
      <c r="A409" t="s">
        <v>1297</v>
      </c>
      <c r="B409" t="s">
        <v>1298</v>
      </c>
      <c r="C409" t="s">
        <v>672</v>
      </c>
      <c r="D409" t="s">
        <v>1327</v>
      </c>
      <c r="E409" t="s">
        <v>187</v>
      </c>
      <c r="F409">
        <v>2012</v>
      </c>
      <c r="G409">
        <v>45.491762000000001</v>
      </c>
    </row>
    <row r="410" spans="1:7">
      <c r="A410" t="s">
        <v>1297</v>
      </c>
      <c r="B410" t="s">
        <v>1298</v>
      </c>
      <c r="C410" t="s">
        <v>672</v>
      </c>
      <c r="D410" t="s">
        <v>1327</v>
      </c>
      <c r="E410" t="s">
        <v>187</v>
      </c>
      <c r="F410">
        <v>2016</v>
      </c>
      <c r="G410">
        <v>45.578789</v>
      </c>
    </row>
    <row r="411" spans="1:7">
      <c r="A411" t="s">
        <v>1297</v>
      </c>
      <c r="B411" t="s">
        <v>1298</v>
      </c>
      <c r="C411" t="s">
        <v>672</v>
      </c>
      <c r="D411" t="s">
        <v>1327</v>
      </c>
      <c r="E411" t="s">
        <v>187</v>
      </c>
      <c r="F411">
        <v>2020</v>
      </c>
      <c r="G411">
        <v>48.038980000000002</v>
      </c>
    </row>
    <row r="412" spans="1:7">
      <c r="A412" t="s">
        <v>1297</v>
      </c>
      <c r="B412" t="s">
        <v>1298</v>
      </c>
      <c r="C412" t="s">
        <v>674</v>
      </c>
      <c r="D412" t="s">
        <v>1327</v>
      </c>
      <c r="E412" t="s">
        <v>187</v>
      </c>
      <c r="F412">
        <v>2005</v>
      </c>
      <c r="G412">
        <v>168.98789500000001</v>
      </c>
    </row>
    <row r="413" spans="1:7">
      <c r="A413" t="s">
        <v>1297</v>
      </c>
      <c r="B413" t="s">
        <v>1298</v>
      </c>
      <c r="C413" t="s">
        <v>674</v>
      </c>
      <c r="D413" t="s">
        <v>1327</v>
      </c>
      <c r="E413" t="s">
        <v>187</v>
      </c>
      <c r="F413">
        <v>2010</v>
      </c>
      <c r="G413">
        <v>206.09758299999999</v>
      </c>
    </row>
    <row r="414" spans="1:7">
      <c r="A414" t="s">
        <v>1297</v>
      </c>
      <c r="B414" t="s">
        <v>1298</v>
      </c>
      <c r="C414" t="s">
        <v>674</v>
      </c>
      <c r="D414" t="s">
        <v>1327</v>
      </c>
      <c r="E414" t="s">
        <v>187</v>
      </c>
      <c r="F414">
        <v>2012</v>
      </c>
      <c r="G414">
        <v>195.20676700000001</v>
      </c>
    </row>
    <row r="415" spans="1:7">
      <c r="A415" t="s">
        <v>1297</v>
      </c>
      <c r="B415" t="s">
        <v>1298</v>
      </c>
      <c r="C415" t="s">
        <v>674</v>
      </c>
      <c r="D415" t="s">
        <v>1327</v>
      </c>
      <c r="E415" t="s">
        <v>187</v>
      </c>
      <c r="F415">
        <v>2016</v>
      </c>
      <c r="G415">
        <v>209.09881200000001</v>
      </c>
    </row>
    <row r="416" spans="1:7">
      <c r="A416" t="s">
        <v>1297</v>
      </c>
      <c r="B416" t="s">
        <v>1298</v>
      </c>
      <c r="C416" t="s">
        <v>674</v>
      </c>
      <c r="D416" t="s">
        <v>1327</v>
      </c>
      <c r="E416" t="s">
        <v>187</v>
      </c>
      <c r="F416">
        <v>2020</v>
      </c>
      <c r="G416">
        <v>210.23233400000001</v>
      </c>
    </row>
    <row r="417" spans="1:7">
      <c r="A417" t="s">
        <v>1297</v>
      </c>
      <c r="B417" t="s">
        <v>1298</v>
      </c>
      <c r="C417" t="s">
        <v>652</v>
      </c>
      <c r="D417" t="s">
        <v>1327</v>
      </c>
      <c r="E417" t="s">
        <v>187</v>
      </c>
      <c r="F417">
        <v>2005</v>
      </c>
      <c r="G417">
        <v>22.451115999999999</v>
      </c>
    </row>
    <row r="418" spans="1:7">
      <c r="A418" t="s">
        <v>1297</v>
      </c>
      <c r="B418" t="s">
        <v>1298</v>
      </c>
      <c r="C418" t="s">
        <v>652</v>
      </c>
      <c r="D418" t="s">
        <v>1327</v>
      </c>
      <c r="E418" t="s">
        <v>187</v>
      </c>
      <c r="F418">
        <v>2010</v>
      </c>
      <c r="G418">
        <v>32.575203999999999</v>
      </c>
    </row>
    <row r="419" spans="1:7">
      <c r="A419" t="s">
        <v>1297</v>
      </c>
      <c r="B419" t="s">
        <v>1298</v>
      </c>
      <c r="C419" t="s">
        <v>652</v>
      </c>
      <c r="D419" t="s">
        <v>1327</v>
      </c>
      <c r="E419" t="s">
        <v>187</v>
      </c>
      <c r="F419">
        <v>2012</v>
      </c>
      <c r="G419">
        <v>34.731231999999999</v>
      </c>
    </row>
    <row r="420" spans="1:7">
      <c r="A420" t="s">
        <v>1297</v>
      </c>
      <c r="B420" t="s">
        <v>1298</v>
      </c>
      <c r="C420" t="s">
        <v>652</v>
      </c>
      <c r="D420" t="s">
        <v>1327</v>
      </c>
      <c r="E420" t="s">
        <v>187</v>
      </c>
      <c r="F420">
        <v>2016</v>
      </c>
      <c r="G420">
        <v>39.459625000000003</v>
      </c>
    </row>
    <row r="421" spans="1:7">
      <c r="A421" t="s">
        <v>1297</v>
      </c>
      <c r="B421" t="s">
        <v>1298</v>
      </c>
      <c r="C421" t="s">
        <v>652</v>
      </c>
      <c r="D421" t="s">
        <v>1327</v>
      </c>
      <c r="E421" t="s">
        <v>187</v>
      </c>
      <c r="F421">
        <v>2020</v>
      </c>
      <c r="G421">
        <v>37.420499</v>
      </c>
    </row>
    <row r="422" spans="1:7">
      <c r="A422" t="s">
        <v>1297</v>
      </c>
      <c r="B422" t="s">
        <v>1298</v>
      </c>
      <c r="C422" t="s">
        <v>289</v>
      </c>
      <c r="D422" t="s">
        <v>1327</v>
      </c>
      <c r="E422" t="s">
        <v>187</v>
      </c>
      <c r="F422">
        <v>2010</v>
      </c>
      <c r="G422">
        <v>2.1614450000000001</v>
      </c>
    </row>
    <row r="423" spans="1:7">
      <c r="A423" t="s">
        <v>1297</v>
      </c>
      <c r="B423" t="s">
        <v>1298</v>
      </c>
      <c r="C423" t="s">
        <v>289</v>
      </c>
      <c r="D423" t="s">
        <v>1327</v>
      </c>
      <c r="E423" t="s">
        <v>187</v>
      </c>
      <c r="F423">
        <v>2012</v>
      </c>
      <c r="G423">
        <v>2.2544170000000001</v>
      </c>
    </row>
    <row r="424" spans="1:7">
      <c r="A424" t="s">
        <v>1297</v>
      </c>
      <c r="B424" t="s">
        <v>1298</v>
      </c>
      <c r="C424" t="s">
        <v>289</v>
      </c>
      <c r="D424" t="s">
        <v>1327</v>
      </c>
      <c r="E424" t="s">
        <v>187</v>
      </c>
      <c r="F424">
        <v>2016</v>
      </c>
      <c r="G424">
        <v>1.392331</v>
      </c>
    </row>
    <row r="425" spans="1:7">
      <c r="A425" t="s">
        <v>1297</v>
      </c>
      <c r="B425" t="s">
        <v>1298</v>
      </c>
      <c r="C425" t="s">
        <v>289</v>
      </c>
      <c r="D425" t="s">
        <v>1327</v>
      </c>
      <c r="E425" t="s">
        <v>187</v>
      </c>
      <c r="F425">
        <v>2020</v>
      </c>
      <c r="G425">
        <v>3.011841</v>
      </c>
    </row>
    <row r="426" spans="1:7">
      <c r="A426" t="s">
        <v>1297</v>
      </c>
      <c r="B426" t="s">
        <v>1298</v>
      </c>
      <c r="C426" t="s">
        <v>666</v>
      </c>
      <c r="D426" t="s">
        <v>1327</v>
      </c>
      <c r="E426" t="s">
        <v>187</v>
      </c>
      <c r="F426">
        <v>2005</v>
      </c>
      <c r="G426">
        <v>5.047466</v>
      </c>
    </row>
    <row r="427" spans="1:7">
      <c r="A427" t="s">
        <v>1297</v>
      </c>
      <c r="B427" t="s">
        <v>1298</v>
      </c>
      <c r="C427" t="s">
        <v>666</v>
      </c>
      <c r="D427" t="s">
        <v>1327</v>
      </c>
      <c r="E427" t="s">
        <v>187</v>
      </c>
      <c r="F427">
        <v>2010</v>
      </c>
      <c r="G427">
        <v>4.9048600000000002</v>
      </c>
    </row>
    <row r="428" spans="1:7">
      <c r="A428" t="s">
        <v>1297</v>
      </c>
      <c r="B428" t="s">
        <v>1298</v>
      </c>
      <c r="C428" t="s">
        <v>666</v>
      </c>
      <c r="D428" t="s">
        <v>1327</v>
      </c>
      <c r="E428" t="s">
        <v>187</v>
      </c>
      <c r="F428">
        <v>2012</v>
      </c>
      <c r="G428">
        <v>6.5453729999999997</v>
      </c>
    </row>
    <row r="429" spans="1:7">
      <c r="A429" t="s">
        <v>1297</v>
      </c>
      <c r="B429" t="s">
        <v>1298</v>
      </c>
      <c r="C429" t="s">
        <v>666</v>
      </c>
      <c r="D429" t="s">
        <v>1327</v>
      </c>
      <c r="E429" t="s">
        <v>187</v>
      </c>
      <c r="F429">
        <v>2016</v>
      </c>
      <c r="G429">
        <v>10.276643999999999</v>
      </c>
    </row>
    <row r="430" spans="1:7">
      <c r="A430" t="s">
        <v>1297</v>
      </c>
      <c r="B430" t="s">
        <v>1298</v>
      </c>
      <c r="C430" t="s">
        <v>666</v>
      </c>
      <c r="D430" t="s">
        <v>1327</v>
      </c>
      <c r="E430" t="s">
        <v>187</v>
      </c>
      <c r="F430">
        <v>2020</v>
      </c>
      <c r="G430">
        <v>13.288349999999999</v>
      </c>
    </row>
    <row r="431" spans="1:7">
      <c r="A431" t="s">
        <v>1297</v>
      </c>
      <c r="B431" t="s">
        <v>1298</v>
      </c>
      <c r="C431" t="s">
        <v>675</v>
      </c>
      <c r="D431" t="s">
        <v>1327</v>
      </c>
      <c r="E431" t="s">
        <v>187</v>
      </c>
      <c r="F431">
        <v>2005</v>
      </c>
      <c r="G431">
        <v>5.1218029999999999</v>
      </c>
    </row>
    <row r="432" spans="1:7">
      <c r="A432" t="s">
        <v>1297</v>
      </c>
      <c r="B432" t="s">
        <v>1298</v>
      </c>
      <c r="C432" t="s">
        <v>675</v>
      </c>
      <c r="D432" t="s">
        <v>1327</v>
      </c>
      <c r="E432" t="s">
        <v>187</v>
      </c>
      <c r="F432">
        <v>2010</v>
      </c>
      <c r="G432">
        <v>3.5149819999999998</v>
      </c>
    </row>
    <row r="433" spans="1:7">
      <c r="A433" t="s">
        <v>1297</v>
      </c>
      <c r="B433" t="s">
        <v>1298</v>
      </c>
      <c r="C433" t="s">
        <v>675</v>
      </c>
      <c r="D433" t="s">
        <v>1327</v>
      </c>
      <c r="E433" t="s">
        <v>187</v>
      </c>
      <c r="F433">
        <v>2012</v>
      </c>
      <c r="G433">
        <v>2.9397579999999999</v>
      </c>
    </row>
    <row r="434" spans="1:7">
      <c r="A434" t="s">
        <v>1297</v>
      </c>
      <c r="B434" t="s">
        <v>1298</v>
      </c>
      <c r="C434" t="s">
        <v>675</v>
      </c>
      <c r="D434" t="s">
        <v>1327</v>
      </c>
      <c r="E434" t="s">
        <v>187</v>
      </c>
      <c r="F434">
        <v>2016</v>
      </c>
      <c r="G434">
        <v>3.9839329999999999</v>
      </c>
    </row>
    <row r="435" spans="1:7">
      <c r="A435" t="s">
        <v>1297</v>
      </c>
      <c r="B435" t="s">
        <v>1298</v>
      </c>
      <c r="C435" t="s">
        <v>675</v>
      </c>
      <c r="D435" t="s">
        <v>1327</v>
      </c>
      <c r="E435" t="s">
        <v>187</v>
      </c>
      <c r="F435">
        <v>2020</v>
      </c>
      <c r="G435">
        <v>3.8087390000000001</v>
      </c>
    </row>
    <row r="436" spans="1:7">
      <c r="A436" t="s">
        <v>1297</v>
      </c>
      <c r="B436" t="s">
        <v>1298</v>
      </c>
      <c r="C436" t="s">
        <v>671</v>
      </c>
      <c r="D436" t="s">
        <v>1327</v>
      </c>
      <c r="E436" t="s">
        <v>187</v>
      </c>
      <c r="F436">
        <v>2005</v>
      </c>
      <c r="G436">
        <v>33.132638</v>
      </c>
    </row>
    <row r="437" spans="1:7">
      <c r="A437" t="s">
        <v>1297</v>
      </c>
      <c r="B437" t="s">
        <v>1298</v>
      </c>
      <c r="C437" t="s">
        <v>671</v>
      </c>
      <c r="D437" t="s">
        <v>1327</v>
      </c>
      <c r="E437" t="s">
        <v>187</v>
      </c>
      <c r="F437">
        <v>2010</v>
      </c>
      <c r="G437">
        <v>45.415241999999999</v>
      </c>
    </row>
    <row r="438" spans="1:7">
      <c r="A438" t="s">
        <v>1297</v>
      </c>
      <c r="B438" t="s">
        <v>1298</v>
      </c>
      <c r="C438" t="s">
        <v>671</v>
      </c>
      <c r="D438" t="s">
        <v>1327</v>
      </c>
      <c r="E438" t="s">
        <v>187</v>
      </c>
      <c r="F438">
        <v>2012</v>
      </c>
      <c r="G438">
        <v>55.483514999999997</v>
      </c>
    </row>
    <row r="439" spans="1:7">
      <c r="A439" t="s">
        <v>1297</v>
      </c>
      <c r="B439" t="s">
        <v>1298</v>
      </c>
      <c r="C439" t="s">
        <v>671</v>
      </c>
      <c r="D439" t="s">
        <v>1327</v>
      </c>
      <c r="E439" t="s">
        <v>187</v>
      </c>
      <c r="F439">
        <v>2016</v>
      </c>
      <c r="G439">
        <v>75.356960999999998</v>
      </c>
    </row>
    <row r="440" spans="1:7">
      <c r="A440" t="s">
        <v>1297</v>
      </c>
      <c r="B440" t="s">
        <v>1298</v>
      </c>
      <c r="C440" t="s">
        <v>671</v>
      </c>
      <c r="D440" t="s">
        <v>1327</v>
      </c>
      <c r="E440" t="s">
        <v>187</v>
      </c>
      <c r="F440">
        <v>2020</v>
      </c>
      <c r="G440">
        <v>90.155164999999997</v>
      </c>
    </row>
    <row r="441" spans="1:7">
      <c r="A441" t="s">
        <v>1297</v>
      </c>
      <c r="B441" t="s">
        <v>1298</v>
      </c>
      <c r="C441" t="s">
        <v>665</v>
      </c>
      <c r="D441" t="s">
        <v>1327</v>
      </c>
      <c r="E441" t="s">
        <v>187</v>
      </c>
      <c r="F441">
        <v>2005</v>
      </c>
      <c r="G441">
        <v>21.898938999999999</v>
      </c>
    </row>
    <row r="442" spans="1:7">
      <c r="A442" t="s">
        <v>1297</v>
      </c>
      <c r="B442" t="s">
        <v>1298</v>
      </c>
      <c r="C442" t="s">
        <v>665</v>
      </c>
      <c r="D442" t="s">
        <v>1327</v>
      </c>
      <c r="E442" t="s">
        <v>187</v>
      </c>
      <c r="F442">
        <v>2010</v>
      </c>
      <c r="G442">
        <v>30.022987000000001</v>
      </c>
    </row>
    <row r="443" spans="1:7">
      <c r="A443" t="s">
        <v>1297</v>
      </c>
      <c r="B443" t="s">
        <v>1298</v>
      </c>
      <c r="C443" t="s">
        <v>665</v>
      </c>
      <c r="D443" t="s">
        <v>1327</v>
      </c>
      <c r="E443" t="s">
        <v>187</v>
      </c>
      <c r="F443">
        <v>2012</v>
      </c>
      <c r="G443">
        <v>41.679080999999996</v>
      </c>
    </row>
    <row r="444" spans="1:7">
      <c r="A444" t="s">
        <v>1297</v>
      </c>
      <c r="B444" t="s">
        <v>1298</v>
      </c>
      <c r="C444" t="s">
        <v>665</v>
      </c>
      <c r="D444" t="s">
        <v>1327</v>
      </c>
      <c r="E444" t="s">
        <v>187</v>
      </c>
      <c r="F444">
        <v>2016</v>
      </c>
      <c r="G444">
        <v>62.941406999999998</v>
      </c>
    </row>
    <row r="445" spans="1:7">
      <c r="A445" t="s">
        <v>1297</v>
      </c>
      <c r="B445" t="s">
        <v>1298</v>
      </c>
      <c r="C445" t="s">
        <v>665</v>
      </c>
      <c r="D445" t="s">
        <v>1327</v>
      </c>
      <c r="E445" t="s">
        <v>187</v>
      </c>
      <c r="F445">
        <v>2020</v>
      </c>
      <c r="G445">
        <v>68.161276000000001</v>
      </c>
    </row>
    <row r="446" spans="1:7">
      <c r="A446" t="s">
        <v>1297</v>
      </c>
      <c r="B446" t="s">
        <v>1298</v>
      </c>
      <c r="C446" t="s">
        <v>651</v>
      </c>
      <c r="D446" t="s">
        <v>1327</v>
      </c>
      <c r="E446" t="s">
        <v>187</v>
      </c>
      <c r="F446">
        <v>2005</v>
      </c>
      <c r="G446">
        <v>50.333632999999999</v>
      </c>
    </row>
    <row r="447" spans="1:7">
      <c r="A447" t="s">
        <v>1297</v>
      </c>
      <c r="B447" t="s">
        <v>1298</v>
      </c>
      <c r="C447" t="s">
        <v>651</v>
      </c>
      <c r="D447" t="s">
        <v>1327</v>
      </c>
      <c r="E447" t="s">
        <v>187</v>
      </c>
      <c r="F447">
        <v>2010</v>
      </c>
      <c r="G447">
        <v>62.478453999999999</v>
      </c>
    </row>
    <row r="448" spans="1:7">
      <c r="A448" t="s">
        <v>1297</v>
      </c>
      <c r="B448" t="s">
        <v>1298</v>
      </c>
      <c r="C448" t="s">
        <v>651</v>
      </c>
      <c r="D448" t="s">
        <v>1327</v>
      </c>
      <c r="E448" t="s">
        <v>187</v>
      </c>
      <c r="F448">
        <v>2012</v>
      </c>
      <c r="G448">
        <v>64.235633000000007</v>
      </c>
    </row>
    <row r="449" spans="1:7">
      <c r="A449" t="s">
        <v>1297</v>
      </c>
      <c r="B449" t="s">
        <v>1298</v>
      </c>
      <c r="C449" t="s">
        <v>651</v>
      </c>
      <c r="D449" t="s">
        <v>1327</v>
      </c>
      <c r="E449" t="s">
        <v>187</v>
      </c>
      <c r="F449">
        <v>2016</v>
      </c>
      <c r="G449">
        <v>64.767582000000004</v>
      </c>
    </row>
    <row r="450" spans="1:7">
      <c r="A450" t="s">
        <v>1297</v>
      </c>
      <c r="B450" t="s">
        <v>1298</v>
      </c>
      <c r="C450" t="s">
        <v>651</v>
      </c>
      <c r="D450" t="s">
        <v>1327</v>
      </c>
      <c r="E450" t="s">
        <v>187</v>
      </c>
      <c r="F450">
        <v>2020</v>
      </c>
      <c r="G450">
        <v>59.214629000000002</v>
      </c>
    </row>
    <row r="451" spans="1:7">
      <c r="A451" t="s">
        <v>1297</v>
      </c>
      <c r="B451" t="s">
        <v>1298</v>
      </c>
      <c r="C451" t="s">
        <v>653</v>
      </c>
      <c r="D451" t="s">
        <v>1327</v>
      </c>
      <c r="E451" t="s">
        <v>187</v>
      </c>
      <c r="F451">
        <v>2005</v>
      </c>
      <c r="G451">
        <v>3.0213459999999999</v>
      </c>
    </row>
    <row r="452" spans="1:7">
      <c r="A452" t="s">
        <v>1297</v>
      </c>
      <c r="B452" t="s">
        <v>1298</v>
      </c>
      <c r="C452" t="s">
        <v>653</v>
      </c>
      <c r="D452" t="s">
        <v>1327</v>
      </c>
      <c r="E452" t="s">
        <v>187</v>
      </c>
      <c r="F452">
        <v>2010</v>
      </c>
      <c r="G452">
        <v>6.7651810000000001</v>
      </c>
    </row>
    <row r="453" spans="1:7">
      <c r="A453" t="s">
        <v>1297</v>
      </c>
      <c r="B453" t="s">
        <v>1298</v>
      </c>
      <c r="C453" t="s">
        <v>653</v>
      </c>
      <c r="D453" t="s">
        <v>1327</v>
      </c>
      <c r="E453" t="s">
        <v>187</v>
      </c>
      <c r="F453">
        <v>2012</v>
      </c>
      <c r="G453">
        <v>8.2315120000000004</v>
      </c>
    </row>
    <row r="454" spans="1:7">
      <c r="A454" t="s">
        <v>1297</v>
      </c>
      <c r="B454" t="s">
        <v>1298</v>
      </c>
      <c r="C454" t="s">
        <v>653</v>
      </c>
      <c r="D454" t="s">
        <v>1327</v>
      </c>
      <c r="E454" t="s">
        <v>187</v>
      </c>
      <c r="F454">
        <v>2016</v>
      </c>
      <c r="G454">
        <v>11.130751999999999</v>
      </c>
    </row>
    <row r="455" spans="1:7">
      <c r="A455" t="s">
        <v>1297</v>
      </c>
      <c r="B455" t="s">
        <v>1298</v>
      </c>
      <c r="C455" t="s">
        <v>653</v>
      </c>
      <c r="D455" t="s">
        <v>1327</v>
      </c>
      <c r="E455" t="s">
        <v>187</v>
      </c>
      <c r="F455">
        <v>2020</v>
      </c>
      <c r="G455">
        <v>12.624271999999999</v>
      </c>
    </row>
    <row r="456" spans="1:7">
      <c r="A456" t="s">
        <v>1297</v>
      </c>
      <c r="B456" t="s">
        <v>1298</v>
      </c>
      <c r="C456" t="s">
        <v>680</v>
      </c>
      <c r="D456" t="s">
        <v>1327</v>
      </c>
      <c r="E456" t="s">
        <v>187</v>
      </c>
      <c r="F456">
        <v>2005</v>
      </c>
      <c r="G456">
        <v>1.0286999999999999E-2</v>
      </c>
    </row>
    <row r="457" spans="1:7">
      <c r="A457" t="s">
        <v>1297</v>
      </c>
      <c r="B457" t="s">
        <v>1298</v>
      </c>
      <c r="C457" t="s">
        <v>680</v>
      </c>
      <c r="D457" t="s">
        <v>1327</v>
      </c>
      <c r="E457" t="s">
        <v>187</v>
      </c>
      <c r="F457">
        <v>2016</v>
      </c>
      <c r="G457">
        <v>0.49811800000000001</v>
      </c>
    </row>
    <row r="458" spans="1:7">
      <c r="A458" t="s">
        <v>1297</v>
      </c>
      <c r="B458" t="s">
        <v>1298</v>
      </c>
      <c r="C458" t="s">
        <v>680</v>
      </c>
      <c r="D458" t="s">
        <v>1327</v>
      </c>
      <c r="E458" t="s">
        <v>187</v>
      </c>
      <c r="F458">
        <v>2020</v>
      </c>
      <c r="G458">
        <v>2.4369999999999999E-3</v>
      </c>
    </row>
    <row r="459" spans="1:7">
      <c r="A459" t="s">
        <v>1297</v>
      </c>
      <c r="B459" t="s">
        <v>1298</v>
      </c>
      <c r="C459" t="s">
        <v>677</v>
      </c>
      <c r="D459" t="s">
        <v>1327</v>
      </c>
      <c r="E459" t="s">
        <v>187</v>
      </c>
      <c r="F459">
        <v>2005</v>
      </c>
      <c r="G459">
        <v>14.385153000000001</v>
      </c>
    </row>
    <row r="460" spans="1:7">
      <c r="A460" t="s">
        <v>1297</v>
      </c>
      <c r="B460" t="s">
        <v>1298</v>
      </c>
      <c r="C460" t="s">
        <v>677</v>
      </c>
      <c r="D460" t="s">
        <v>1327</v>
      </c>
      <c r="E460" t="s">
        <v>187</v>
      </c>
      <c r="F460">
        <v>2010</v>
      </c>
      <c r="G460">
        <v>26.234183999999999</v>
      </c>
    </row>
    <row r="461" spans="1:7">
      <c r="A461" t="s">
        <v>1297</v>
      </c>
      <c r="B461" t="s">
        <v>1298</v>
      </c>
      <c r="C461" t="s">
        <v>677</v>
      </c>
      <c r="D461" t="s">
        <v>1327</v>
      </c>
      <c r="E461" t="s">
        <v>187</v>
      </c>
      <c r="F461">
        <v>2012</v>
      </c>
      <c r="G461">
        <v>29.704806999999999</v>
      </c>
    </row>
    <row r="462" spans="1:7">
      <c r="A462" t="s">
        <v>1297</v>
      </c>
      <c r="B462" t="s">
        <v>1298</v>
      </c>
      <c r="C462" t="s">
        <v>677</v>
      </c>
      <c r="D462" t="s">
        <v>1327</v>
      </c>
      <c r="E462" t="s">
        <v>187</v>
      </c>
      <c r="F462">
        <v>2016</v>
      </c>
      <c r="G462">
        <v>71.797599000000005</v>
      </c>
    </row>
    <row r="463" spans="1:7">
      <c r="A463" t="s">
        <v>1297</v>
      </c>
      <c r="B463" t="s">
        <v>1298</v>
      </c>
      <c r="C463" t="s">
        <v>677</v>
      </c>
      <c r="D463" t="s">
        <v>1327</v>
      </c>
      <c r="E463" t="s">
        <v>187</v>
      </c>
      <c r="F463">
        <v>2020</v>
      </c>
      <c r="G463">
        <v>90.998185000000007</v>
      </c>
    </row>
    <row r="464" spans="1:7">
      <c r="A464" t="s">
        <v>1297</v>
      </c>
      <c r="B464" t="s">
        <v>1298</v>
      </c>
      <c r="C464" t="s">
        <v>676</v>
      </c>
      <c r="D464" t="s">
        <v>1327</v>
      </c>
      <c r="E464" t="s">
        <v>187</v>
      </c>
      <c r="F464">
        <v>2005</v>
      </c>
      <c r="G464">
        <v>11.778681000000001</v>
      </c>
    </row>
    <row r="465" spans="1:7">
      <c r="A465" t="s">
        <v>1297</v>
      </c>
      <c r="B465" t="s">
        <v>1298</v>
      </c>
      <c r="C465" t="s">
        <v>676</v>
      </c>
      <c r="D465" t="s">
        <v>1327</v>
      </c>
      <c r="E465" t="s">
        <v>187</v>
      </c>
      <c r="F465">
        <v>2010</v>
      </c>
      <c r="G465">
        <v>17.058160999999998</v>
      </c>
    </row>
    <row r="466" spans="1:7">
      <c r="A466" t="s">
        <v>1297</v>
      </c>
      <c r="B466" t="s">
        <v>1298</v>
      </c>
      <c r="C466" t="s">
        <v>676</v>
      </c>
      <c r="D466" t="s">
        <v>1327</v>
      </c>
      <c r="E466" t="s">
        <v>187</v>
      </c>
      <c r="F466">
        <v>2012</v>
      </c>
      <c r="G466">
        <v>13.884394</v>
      </c>
    </row>
    <row r="467" spans="1:7">
      <c r="A467" t="s">
        <v>1297</v>
      </c>
      <c r="B467" t="s">
        <v>1298</v>
      </c>
      <c r="C467" t="s">
        <v>676</v>
      </c>
      <c r="D467" t="s">
        <v>1327</v>
      </c>
      <c r="E467" t="s">
        <v>187</v>
      </c>
      <c r="F467">
        <v>2016</v>
      </c>
      <c r="G467">
        <v>17.933837</v>
      </c>
    </row>
    <row r="468" spans="1:7">
      <c r="A468" t="s">
        <v>1297</v>
      </c>
      <c r="B468" t="s">
        <v>1298</v>
      </c>
      <c r="C468" t="s">
        <v>676</v>
      </c>
      <c r="D468" t="s">
        <v>1327</v>
      </c>
      <c r="E468" t="s">
        <v>187</v>
      </c>
      <c r="F468">
        <v>2020</v>
      </c>
      <c r="G468">
        <v>20.099809</v>
      </c>
    </row>
    <row r="469" spans="1:7">
      <c r="A469" t="s">
        <v>1297</v>
      </c>
      <c r="B469" t="s">
        <v>1298</v>
      </c>
      <c r="C469" t="s">
        <v>684</v>
      </c>
      <c r="D469" t="s">
        <v>1327</v>
      </c>
      <c r="E469" t="s">
        <v>187</v>
      </c>
      <c r="F469">
        <v>2012</v>
      </c>
      <c r="G469">
        <v>0.223</v>
      </c>
    </row>
    <row r="470" spans="1:7">
      <c r="A470" t="s">
        <v>1297</v>
      </c>
      <c r="B470" t="s">
        <v>1298</v>
      </c>
      <c r="C470" t="s">
        <v>684</v>
      </c>
      <c r="D470" t="s">
        <v>1327</v>
      </c>
      <c r="E470" t="s">
        <v>187</v>
      </c>
      <c r="F470">
        <v>2016</v>
      </c>
      <c r="G470">
        <v>0.39200000000000002</v>
      </c>
    </row>
    <row r="471" spans="1:7">
      <c r="A471" t="s">
        <v>1297</v>
      </c>
      <c r="B471" t="s">
        <v>1298</v>
      </c>
      <c r="C471" t="s">
        <v>684</v>
      </c>
      <c r="D471" t="s">
        <v>1327</v>
      </c>
      <c r="E471" t="s">
        <v>187</v>
      </c>
      <c r="F471">
        <v>2020</v>
      </c>
      <c r="G471">
        <v>0.38200000000000001</v>
      </c>
    </row>
    <row r="472" spans="1:7">
      <c r="A472" t="s">
        <v>1297</v>
      </c>
      <c r="B472" t="s">
        <v>1298</v>
      </c>
      <c r="C472" t="s">
        <v>1301</v>
      </c>
      <c r="D472" t="s">
        <v>1327</v>
      </c>
      <c r="E472" t="s">
        <v>187</v>
      </c>
      <c r="F472">
        <v>2005</v>
      </c>
      <c r="G472">
        <v>4.5874999999999999E-2</v>
      </c>
    </row>
    <row r="473" spans="1:7">
      <c r="A473" t="s">
        <v>1297</v>
      </c>
      <c r="B473" t="s">
        <v>1298</v>
      </c>
      <c r="C473" t="s">
        <v>1301</v>
      </c>
      <c r="D473" t="s">
        <v>1327</v>
      </c>
      <c r="E473" t="s">
        <v>187</v>
      </c>
      <c r="F473">
        <v>2010</v>
      </c>
      <c r="G473">
        <v>0.65182399999999996</v>
      </c>
    </row>
    <row r="474" spans="1:7">
      <c r="A474" t="s">
        <v>1297</v>
      </c>
      <c r="B474" t="s">
        <v>1298</v>
      </c>
      <c r="C474" t="s">
        <v>1301</v>
      </c>
      <c r="D474" t="s">
        <v>1327</v>
      </c>
      <c r="E474" t="s">
        <v>187</v>
      </c>
      <c r="F474">
        <v>2012</v>
      </c>
      <c r="G474">
        <v>1.8566100000000001</v>
      </c>
    </row>
    <row r="475" spans="1:7">
      <c r="A475" t="s">
        <v>1297</v>
      </c>
      <c r="B475" t="s">
        <v>1298</v>
      </c>
      <c r="C475" t="s">
        <v>1301</v>
      </c>
      <c r="D475" t="s">
        <v>1327</v>
      </c>
      <c r="E475" t="s">
        <v>187</v>
      </c>
      <c r="F475">
        <v>2016</v>
      </c>
      <c r="G475">
        <v>4.2923869999999997</v>
      </c>
    </row>
    <row r="476" spans="1:7">
      <c r="A476" t="s">
        <v>1297</v>
      </c>
      <c r="B476" t="s">
        <v>1298</v>
      </c>
      <c r="C476" t="s">
        <v>673</v>
      </c>
      <c r="D476" t="s">
        <v>1327</v>
      </c>
      <c r="E476" t="s">
        <v>187</v>
      </c>
      <c r="F476">
        <v>2005</v>
      </c>
      <c r="G476">
        <v>10.373150000000001</v>
      </c>
    </row>
    <row r="477" spans="1:7">
      <c r="A477" t="s">
        <v>1297</v>
      </c>
      <c r="B477" t="s">
        <v>1298</v>
      </c>
      <c r="C477" t="s">
        <v>673</v>
      </c>
      <c r="D477" t="s">
        <v>1327</v>
      </c>
      <c r="E477" t="s">
        <v>187</v>
      </c>
      <c r="F477">
        <v>2010</v>
      </c>
      <c r="G477">
        <v>10.861146</v>
      </c>
    </row>
    <row r="478" spans="1:7">
      <c r="A478" t="s">
        <v>1297</v>
      </c>
      <c r="B478" t="s">
        <v>1298</v>
      </c>
      <c r="C478" t="s">
        <v>673</v>
      </c>
      <c r="D478" t="s">
        <v>1327</v>
      </c>
      <c r="E478" t="s">
        <v>187</v>
      </c>
      <c r="F478">
        <v>2012</v>
      </c>
      <c r="G478">
        <v>11.507973</v>
      </c>
    </row>
    <row r="479" spans="1:7">
      <c r="A479" t="s">
        <v>1297</v>
      </c>
      <c r="B479" t="s">
        <v>1298</v>
      </c>
      <c r="C479" t="s">
        <v>673</v>
      </c>
      <c r="D479" t="s">
        <v>1327</v>
      </c>
      <c r="E479" t="s">
        <v>187</v>
      </c>
      <c r="F479">
        <v>2016</v>
      </c>
      <c r="G479">
        <v>13.420642000000001</v>
      </c>
    </row>
    <row r="480" spans="1:7">
      <c r="A480" t="s">
        <v>1297</v>
      </c>
      <c r="B480" t="s">
        <v>1298</v>
      </c>
      <c r="C480" t="s">
        <v>673</v>
      </c>
      <c r="D480" t="s">
        <v>1327</v>
      </c>
      <c r="E480" t="s">
        <v>187</v>
      </c>
      <c r="F480">
        <v>2020</v>
      </c>
      <c r="G480">
        <v>11.122127000000001</v>
      </c>
    </row>
    <row r="481" spans="1:7">
      <c r="A481" t="s">
        <v>1297</v>
      </c>
      <c r="B481" t="s">
        <v>1298</v>
      </c>
      <c r="C481" t="s">
        <v>659</v>
      </c>
      <c r="D481" t="s">
        <v>1327</v>
      </c>
      <c r="E481" t="s">
        <v>187</v>
      </c>
      <c r="F481">
        <v>2005</v>
      </c>
      <c r="G481">
        <v>60.401904000000002</v>
      </c>
    </row>
    <row r="482" spans="1:7">
      <c r="A482" t="s">
        <v>1297</v>
      </c>
      <c r="B482" t="s">
        <v>1298</v>
      </c>
      <c r="C482" t="s">
        <v>659</v>
      </c>
      <c r="D482" t="s">
        <v>1327</v>
      </c>
      <c r="E482" t="s">
        <v>187</v>
      </c>
      <c r="F482">
        <v>2010</v>
      </c>
      <c r="G482">
        <v>51.426673000000001</v>
      </c>
    </row>
    <row r="483" spans="1:7">
      <c r="A483" t="s">
        <v>1297</v>
      </c>
      <c r="B483" t="s">
        <v>1298</v>
      </c>
      <c r="C483" t="s">
        <v>659</v>
      </c>
      <c r="D483" t="s">
        <v>1327</v>
      </c>
      <c r="E483" t="s">
        <v>187</v>
      </c>
      <c r="F483">
        <v>2012</v>
      </c>
      <c r="G483">
        <v>57.432037000000001</v>
      </c>
    </row>
    <row r="484" spans="1:7">
      <c r="A484" t="s">
        <v>1297</v>
      </c>
      <c r="B484" t="s">
        <v>1298</v>
      </c>
      <c r="C484" t="s">
        <v>659</v>
      </c>
      <c r="D484" t="s">
        <v>1327</v>
      </c>
      <c r="E484" t="s">
        <v>187</v>
      </c>
      <c r="F484">
        <v>2016</v>
      </c>
      <c r="G484">
        <v>63.753014</v>
      </c>
    </row>
    <row r="485" spans="1:7">
      <c r="A485" t="s">
        <v>1297</v>
      </c>
      <c r="B485" t="s">
        <v>1298</v>
      </c>
      <c r="C485" t="s">
        <v>659</v>
      </c>
      <c r="D485" t="s">
        <v>1327</v>
      </c>
      <c r="E485" t="s">
        <v>187</v>
      </c>
      <c r="F485">
        <v>2020</v>
      </c>
      <c r="G485">
        <v>72.102715000000003</v>
      </c>
    </row>
    <row r="486" spans="1:7">
      <c r="A486" t="s">
        <v>1297</v>
      </c>
      <c r="B486" t="s">
        <v>1298</v>
      </c>
      <c r="C486" t="s">
        <v>662</v>
      </c>
      <c r="D486" t="s">
        <v>1327</v>
      </c>
      <c r="E486" t="s">
        <v>187</v>
      </c>
      <c r="F486">
        <v>2005</v>
      </c>
      <c r="G486">
        <v>10.305097</v>
      </c>
    </row>
    <row r="487" spans="1:7">
      <c r="A487" t="s">
        <v>1297</v>
      </c>
      <c r="B487" t="s">
        <v>1298</v>
      </c>
      <c r="C487" t="s">
        <v>662</v>
      </c>
      <c r="D487" t="s">
        <v>1327</v>
      </c>
      <c r="E487" t="s">
        <v>187</v>
      </c>
      <c r="F487">
        <v>2010</v>
      </c>
      <c r="G487">
        <v>10.443507</v>
      </c>
    </row>
    <row r="488" spans="1:7">
      <c r="A488" t="s">
        <v>1297</v>
      </c>
      <c r="B488" t="s">
        <v>1298</v>
      </c>
      <c r="C488" t="s">
        <v>662</v>
      </c>
      <c r="D488" t="s">
        <v>1327</v>
      </c>
      <c r="E488" t="s">
        <v>187</v>
      </c>
      <c r="F488">
        <v>2012</v>
      </c>
      <c r="G488">
        <v>8.6746259999999999</v>
      </c>
    </row>
    <row r="489" spans="1:7">
      <c r="A489" t="s">
        <v>1297</v>
      </c>
      <c r="B489" t="s">
        <v>1298</v>
      </c>
      <c r="C489" t="s">
        <v>662</v>
      </c>
      <c r="D489" t="s">
        <v>1327</v>
      </c>
      <c r="E489" t="s">
        <v>187</v>
      </c>
      <c r="F489">
        <v>2016</v>
      </c>
      <c r="G489">
        <v>6.272653</v>
      </c>
    </row>
    <row r="490" spans="1:7">
      <c r="A490" t="s">
        <v>1297</v>
      </c>
      <c r="B490" t="s">
        <v>1298</v>
      </c>
      <c r="C490" t="s">
        <v>662</v>
      </c>
      <c r="D490" t="s">
        <v>1327</v>
      </c>
      <c r="E490" t="s">
        <v>187</v>
      </c>
      <c r="F490">
        <v>2020</v>
      </c>
      <c r="G490">
        <v>6.1866440000000003</v>
      </c>
    </row>
    <row r="491" spans="1:7">
      <c r="A491" t="s">
        <v>1297</v>
      </c>
      <c r="B491" t="s">
        <v>1298</v>
      </c>
      <c r="C491" t="s">
        <v>656</v>
      </c>
      <c r="D491" t="s">
        <v>1327</v>
      </c>
      <c r="E491" t="s">
        <v>187</v>
      </c>
      <c r="F491">
        <v>2005</v>
      </c>
      <c r="G491">
        <v>113.790054</v>
      </c>
    </row>
    <row r="492" spans="1:7">
      <c r="A492" t="s">
        <v>1297</v>
      </c>
      <c r="B492" t="s">
        <v>1298</v>
      </c>
      <c r="C492" t="s">
        <v>656</v>
      </c>
      <c r="D492" t="s">
        <v>1327</v>
      </c>
      <c r="E492" t="s">
        <v>187</v>
      </c>
      <c r="F492">
        <v>2010</v>
      </c>
      <c r="G492">
        <v>169.37446</v>
      </c>
    </row>
    <row r="493" spans="1:7">
      <c r="A493" t="s">
        <v>1297</v>
      </c>
      <c r="B493" t="s">
        <v>1298</v>
      </c>
      <c r="C493" t="s">
        <v>656</v>
      </c>
      <c r="D493" t="s">
        <v>1327</v>
      </c>
      <c r="E493" t="s">
        <v>187</v>
      </c>
      <c r="F493">
        <v>2012</v>
      </c>
      <c r="G493">
        <v>189.62088900000001</v>
      </c>
    </row>
    <row r="494" spans="1:7">
      <c r="A494" t="s">
        <v>1297</v>
      </c>
      <c r="B494" t="s">
        <v>1298</v>
      </c>
      <c r="C494" t="s">
        <v>656</v>
      </c>
      <c r="D494" t="s">
        <v>1327</v>
      </c>
      <c r="E494" t="s">
        <v>187</v>
      </c>
      <c r="F494">
        <v>2016</v>
      </c>
      <c r="G494">
        <v>206.855525</v>
      </c>
    </row>
    <row r="495" spans="1:7">
      <c r="A495" t="s">
        <v>1297</v>
      </c>
      <c r="B495" t="s">
        <v>1298</v>
      </c>
      <c r="C495" t="s">
        <v>656</v>
      </c>
      <c r="D495" t="s">
        <v>1327</v>
      </c>
      <c r="E495" t="s">
        <v>187</v>
      </c>
      <c r="F495">
        <v>2020</v>
      </c>
      <c r="G495">
        <v>211.94507899999999</v>
      </c>
    </row>
    <row r="496" spans="1:7">
      <c r="A496" t="s">
        <v>1297</v>
      </c>
      <c r="B496" t="s">
        <v>1298</v>
      </c>
      <c r="C496" t="s">
        <v>654</v>
      </c>
      <c r="D496" t="s">
        <v>1327</v>
      </c>
      <c r="E496" t="s">
        <v>187</v>
      </c>
      <c r="F496">
        <v>2005</v>
      </c>
      <c r="G496">
        <v>3.7999999999999999E-2</v>
      </c>
    </row>
    <row r="497" spans="1:7">
      <c r="A497" t="s">
        <v>1297</v>
      </c>
      <c r="B497" t="s">
        <v>1298</v>
      </c>
      <c r="C497" t="s">
        <v>654</v>
      </c>
      <c r="D497" t="s">
        <v>1327</v>
      </c>
      <c r="E497" t="s">
        <v>187</v>
      </c>
      <c r="F497">
        <v>2010</v>
      </c>
      <c r="G497">
        <v>0.39075599999999999</v>
      </c>
    </row>
    <row r="498" spans="1:7">
      <c r="A498" t="s">
        <v>1297</v>
      </c>
      <c r="B498" t="s">
        <v>1298</v>
      </c>
      <c r="C498" t="s">
        <v>654</v>
      </c>
      <c r="D498" t="s">
        <v>1327</v>
      </c>
      <c r="E498" t="s">
        <v>187</v>
      </c>
      <c r="F498">
        <v>2012</v>
      </c>
      <c r="G498">
        <v>0.20544100000000001</v>
      </c>
    </row>
    <row r="499" spans="1:7">
      <c r="A499" t="s">
        <v>1297</v>
      </c>
      <c r="B499" t="s">
        <v>1298</v>
      </c>
      <c r="C499" t="s">
        <v>654</v>
      </c>
      <c r="D499" t="s">
        <v>1327</v>
      </c>
      <c r="E499" t="s">
        <v>187</v>
      </c>
      <c r="F499">
        <v>2016</v>
      </c>
      <c r="G499">
        <v>0.62562200000000001</v>
      </c>
    </row>
    <row r="500" spans="1:7">
      <c r="A500" t="s">
        <v>1297</v>
      </c>
      <c r="B500" t="s">
        <v>1298</v>
      </c>
      <c r="C500" t="s">
        <v>654</v>
      </c>
      <c r="D500" t="s">
        <v>1327</v>
      </c>
      <c r="E500" t="s">
        <v>187</v>
      </c>
      <c r="F500">
        <v>2020</v>
      </c>
      <c r="G500">
        <v>1.267504</v>
      </c>
    </row>
    <row r="501" spans="1:7">
      <c r="A501" t="s">
        <v>1297</v>
      </c>
      <c r="B501" t="s">
        <v>1298</v>
      </c>
      <c r="C501" t="s">
        <v>1299</v>
      </c>
      <c r="D501" t="s">
        <v>1327</v>
      </c>
      <c r="E501" t="s">
        <v>187</v>
      </c>
      <c r="F501">
        <v>2010</v>
      </c>
      <c r="G501">
        <v>4.5641999999999996</v>
      </c>
    </row>
    <row r="502" spans="1:7">
      <c r="A502" t="s">
        <v>1297</v>
      </c>
      <c r="B502" t="s">
        <v>1298</v>
      </c>
      <c r="C502" t="s">
        <v>1299</v>
      </c>
      <c r="D502" t="s">
        <v>1327</v>
      </c>
      <c r="E502" t="s">
        <v>187</v>
      </c>
      <c r="F502">
        <v>2012</v>
      </c>
      <c r="G502">
        <v>5.2650509999999997</v>
      </c>
    </row>
    <row r="503" spans="1:7">
      <c r="A503" t="s">
        <v>1297</v>
      </c>
      <c r="B503" t="s">
        <v>1298</v>
      </c>
      <c r="C503" t="s">
        <v>1299</v>
      </c>
      <c r="D503" t="s">
        <v>1327</v>
      </c>
      <c r="E503" t="s">
        <v>187</v>
      </c>
      <c r="F503">
        <v>2016</v>
      </c>
      <c r="G503">
        <v>8.5905299999999993</v>
      </c>
    </row>
    <row r="504" spans="1:7">
      <c r="A504" t="s">
        <v>1297</v>
      </c>
      <c r="B504" t="s">
        <v>1298</v>
      </c>
      <c r="C504" t="s">
        <v>1299</v>
      </c>
      <c r="D504" t="s">
        <v>1327</v>
      </c>
      <c r="E504" t="s">
        <v>187</v>
      </c>
      <c r="F504">
        <v>2020</v>
      </c>
      <c r="G504">
        <v>17.176572</v>
      </c>
    </row>
    <row r="505" spans="1:7">
      <c r="A505" t="s">
        <v>1297</v>
      </c>
      <c r="B505" t="s">
        <v>1298</v>
      </c>
      <c r="C505" t="s">
        <v>682</v>
      </c>
      <c r="D505" t="s">
        <v>1327</v>
      </c>
      <c r="E505" t="s">
        <v>187</v>
      </c>
      <c r="F505">
        <v>2016</v>
      </c>
      <c r="G505">
        <v>0.73421700000000001</v>
      </c>
    </row>
    <row r="506" spans="1:7">
      <c r="A506" t="s">
        <v>1297</v>
      </c>
      <c r="B506" t="s">
        <v>1298</v>
      </c>
      <c r="C506" t="s">
        <v>682</v>
      </c>
      <c r="D506" t="s">
        <v>1327</v>
      </c>
      <c r="E506" t="s">
        <v>187</v>
      </c>
      <c r="F506">
        <v>2020</v>
      </c>
      <c r="G506">
        <v>0.73267099999999996</v>
      </c>
    </row>
    <row r="507" spans="1:7">
      <c r="A507" t="s">
        <v>1297</v>
      </c>
      <c r="B507" t="s">
        <v>1298</v>
      </c>
      <c r="C507" t="s">
        <v>657</v>
      </c>
      <c r="D507" t="s">
        <v>1327</v>
      </c>
      <c r="E507" t="s">
        <v>187</v>
      </c>
      <c r="F507">
        <v>2005</v>
      </c>
      <c r="G507">
        <v>9.4980139999999995</v>
      </c>
    </row>
    <row r="508" spans="1:7">
      <c r="A508" t="s">
        <v>1297</v>
      </c>
      <c r="B508" t="s">
        <v>1298</v>
      </c>
      <c r="C508" t="s">
        <v>657</v>
      </c>
      <c r="D508" t="s">
        <v>1327</v>
      </c>
      <c r="E508" t="s">
        <v>187</v>
      </c>
      <c r="F508">
        <v>2010</v>
      </c>
      <c r="G508">
        <v>12.905033</v>
      </c>
    </row>
    <row r="509" spans="1:7">
      <c r="A509" t="s">
        <v>1297</v>
      </c>
      <c r="B509" t="s">
        <v>1298</v>
      </c>
      <c r="C509" t="s">
        <v>657</v>
      </c>
      <c r="D509" t="s">
        <v>1327</v>
      </c>
      <c r="E509" t="s">
        <v>187</v>
      </c>
      <c r="F509">
        <v>2012</v>
      </c>
      <c r="G509">
        <v>12.507524</v>
      </c>
    </row>
    <row r="510" spans="1:7">
      <c r="A510" t="s">
        <v>1297</v>
      </c>
      <c r="B510" t="s">
        <v>1298</v>
      </c>
      <c r="C510" t="s">
        <v>657</v>
      </c>
      <c r="D510" t="s">
        <v>1327</v>
      </c>
      <c r="E510" t="s">
        <v>187</v>
      </c>
      <c r="F510">
        <v>2016</v>
      </c>
      <c r="G510">
        <v>14.356517</v>
      </c>
    </row>
    <row r="511" spans="1:7">
      <c r="A511" t="s">
        <v>1297</v>
      </c>
      <c r="B511" t="s">
        <v>1298</v>
      </c>
      <c r="C511" t="s">
        <v>657</v>
      </c>
      <c r="D511" t="s">
        <v>1327</v>
      </c>
      <c r="E511" t="s">
        <v>187</v>
      </c>
      <c r="F511">
        <v>2020</v>
      </c>
      <c r="G511">
        <v>19.241201</v>
      </c>
    </row>
    <row r="512" spans="1:7">
      <c r="A512" t="s">
        <v>1297</v>
      </c>
      <c r="B512" t="s">
        <v>1298</v>
      </c>
      <c r="C512" t="s">
        <v>658</v>
      </c>
      <c r="D512" t="s">
        <v>1327</v>
      </c>
      <c r="E512" t="s">
        <v>187</v>
      </c>
      <c r="F512">
        <v>2005</v>
      </c>
      <c r="G512">
        <v>5.8506489999999998</v>
      </c>
    </row>
    <row r="513" spans="1:7">
      <c r="A513" t="s">
        <v>1297</v>
      </c>
      <c r="B513" t="s">
        <v>1298</v>
      </c>
      <c r="C513" t="s">
        <v>658</v>
      </c>
      <c r="D513" t="s">
        <v>1327</v>
      </c>
      <c r="E513" t="s">
        <v>187</v>
      </c>
      <c r="F513">
        <v>2010</v>
      </c>
      <c r="G513">
        <v>5.225511</v>
      </c>
    </row>
    <row r="514" spans="1:7">
      <c r="A514" t="s">
        <v>1297</v>
      </c>
      <c r="B514" t="s">
        <v>1298</v>
      </c>
      <c r="C514" t="s">
        <v>658</v>
      </c>
      <c r="D514" t="s">
        <v>1327</v>
      </c>
      <c r="E514" t="s">
        <v>187</v>
      </c>
      <c r="F514">
        <v>2012</v>
      </c>
      <c r="G514">
        <v>4.3177320000000003</v>
      </c>
    </row>
    <row r="515" spans="1:7">
      <c r="A515" t="s">
        <v>1297</v>
      </c>
      <c r="B515" t="s">
        <v>1298</v>
      </c>
      <c r="C515" t="s">
        <v>658</v>
      </c>
      <c r="D515" t="s">
        <v>1327</v>
      </c>
      <c r="E515" t="s">
        <v>187</v>
      </c>
      <c r="F515">
        <v>2016</v>
      </c>
      <c r="G515">
        <v>1.9804079999999999</v>
      </c>
    </row>
    <row r="516" spans="1:7">
      <c r="A516" t="s">
        <v>1297</v>
      </c>
      <c r="B516" t="s">
        <v>1298</v>
      </c>
      <c r="C516" t="s">
        <v>658</v>
      </c>
      <c r="D516" t="s">
        <v>1327</v>
      </c>
      <c r="E516" t="s">
        <v>187</v>
      </c>
      <c r="F516">
        <v>2020</v>
      </c>
      <c r="G516">
        <v>2.789018</v>
      </c>
    </row>
    <row r="517" spans="1:7">
      <c r="A517" t="s">
        <v>1297</v>
      </c>
      <c r="B517" t="s">
        <v>1298</v>
      </c>
      <c r="C517" t="s">
        <v>686</v>
      </c>
      <c r="D517" t="s">
        <v>1327</v>
      </c>
      <c r="E517" t="s">
        <v>187</v>
      </c>
      <c r="F517">
        <v>2010</v>
      </c>
      <c r="G517">
        <v>2.2313930000000002</v>
      </c>
    </row>
    <row r="518" spans="1:7">
      <c r="A518" t="s">
        <v>1297</v>
      </c>
      <c r="B518" t="s">
        <v>1298</v>
      </c>
      <c r="C518" t="s">
        <v>686</v>
      </c>
      <c r="D518" t="s">
        <v>1327</v>
      </c>
      <c r="E518" t="s">
        <v>187</v>
      </c>
      <c r="F518">
        <v>2012</v>
      </c>
      <c r="G518">
        <v>3.0081129999999998</v>
      </c>
    </row>
    <row r="519" spans="1:7">
      <c r="A519" t="s">
        <v>1297</v>
      </c>
      <c r="B519" t="s">
        <v>1298</v>
      </c>
      <c r="C519" t="s">
        <v>686</v>
      </c>
      <c r="D519" t="s">
        <v>1327</v>
      </c>
      <c r="E519" t="s">
        <v>187</v>
      </c>
      <c r="F519">
        <v>2016</v>
      </c>
      <c r="G519">
        <v>5.5751660000000003</v>
      </c>
    </row>
    <row r="520" spans="1:7">
      <c r="A520" t="s">
        <v>1297</v>
      </c>
      <c r="B520" t="s">
        <v>1298</v>
      </c>
      <c r="C520" t="s">
        <v>686</v>
      </c>
      <c r="D520" t="s">
        <v>1327</v>
      </c>
      <c r="E520" t="s">
        <v>187</v>
      </c>
      <c r="F520">
        <v>2020</v>
      </c>
      <c r="G520">
        <v>8.3155719999999995</v>
      </c>
    </row>
    <row r="521" spans="1:7">
      <c r="A521" t="s">
        <v>1297</v>
      </c>
      <c r="B521" t="s">
        <v>1298</v>
      </c>
      <c r="C521" t="s">
        <v>663</v>
      </c>
      <c r="D521" t="s">
        <v>1327</v>
      </c>
      <c r="E521" t="s">
        <v>187</v>
      </c>
      <c r="F521">
        <v>2005</v>
      </c>
      <c r="G521">
        <v>4.987959</v>
      </c>
    </row>
    <row r="522" spans="1:7">
      <c r="A522" t="s">
        <v>1297</v>
      </c>
      <c r="B522" t="s">
        <v>1298</v>
      </c>
      <c r="C522" t="s">
        <v>663</v>
      </c>
      <c r="D522" t="s">
        <v>1327</v>
      </c>
      <c r="E522" t="s">
        <v>187</v>
      </c>
      <c r="F522">
        <v>2010</v>
      </c>
      <c r="G522">
        <v>6.4491610000000001</v>
      </c>
    </row>
    <row r="523" spans="1:7">
      <c r="A523" t="s">
        <v>1297</v>
      </c>
      <c r="B523" t="s">
        <v>1298</v>
      </c>
      <c r="C523" t="s">
        <v>663</v>
      </c>
      <c r="D523" t="s">
        <v>1327</v>
      </c>
      <c r="E523" t="s">
        <v>187</v>
      </c>
      <c r="F523">
        <v>2012</v>
      </c>
      <c r="G523">
        <v>5.9377579999999996</v>
      </c>
    </row>
    <row r="524" spans="1:7">
      <c r="A524" t="s">
        <v>1297</v>
      </c>
      <c r="B524" t="s">
        <v>1298</v>
      </c>
      <c r="C524" t="s">
        <v>663</v>
      </c>
      <c r="D524" t="s">
        <v>1327</v>
      </c>
      <c r="E524" t="s">
        <v>187</v>
      </c>
      <c r="F524">
        <v>2016</v>
      </c>
      <c r="G524">
        <v>11.505922999999999</v>
      </c>
    </row>
    <row r="525" spans="1:7">
      <c r="A525" t="s">
        <v>1297</v>
      </c>
      <c r="B525" t="s">
        <v>1298</v>
      </c>
      <c r="C525" t="s">
        <v>663</v>
      </c>
      <c r="D525" t="s">
        <v>1327</v>
      </c>
      <c r="E525" t="s">
        <v>187</v>
      </c>
      <c r="F525">
        <v>2020</v>
      </c>
      <c r="G525">
        <v>15.808526000000001</v>
      </c>
    </row>
    <row r="526" spans="1:7">
      <c r="A526" t="s">
        <v>1297</v>
      </c>
      <c r="B526" t="s">
        <v>1298</v>
      </c>
      <c r="C526" t="s">
        <v>670</v>
      </c>
      <c r="D526" t="s">
        <v>1328</v>
      </c>
      <c r="E526" t="s">
        <v>187</v>
      </c>
      <c r="F526">
        <v>2005</v>
      </c>
      <c r="G526">
        <v>2.8469000000000001E-2</v>
      </c>
    </row>
    <row r="527" spans="1:7">
      <c r="A527" t="s">
        <v>1297</v>
      </c>
      <c r="B527" t="s">
        <v>1298</v>
      </c>
      <c r="C527" t="s">
        <v>670</v>
      </c>
      <c r="D527" t="s">
        <v>1328</v>
      </c>
      <c r="E527" t="s">
        <v>187</v>
      </c>
      <c r="F527">
        <v>2010</v>
      </c>
      <c r="G527">
        <v>0.10119499999999999</v>
      </c>
    </row>
    <row r="528" spans="1:7">
      <c r="A528" t="s">
        <v>1297</v>
      </c>
      <c r="B528" t="s">
        <v>1298</v>
      </c>
      <c r="C528" t="s">
        <v>670</v>
      </c>
      <c r="D528" t="s">
        <v>1328</v>
      </c>
      <c r="E528" t="s">
        <v>187</v>
      </c>
      <c r="F528">
        <v>2012</v>
      </c>
      <c r="G528">
        <v>0.25846000000000002</v>
      </c>
    </row>
    <row r="529" spans="1:7">
      <c r="A529" t="s">
        <v>1297</v>
      </c>
      <c r="B529" t="s">
        <v>1298</v>
      </c>
      <c r="C529" t="s">
        <v>670</v>
      </c>
      <c r="D529" t="s">
        <v>1328</v>
      </c>
      <c r="E529" t="s">
        <v>187</v>
      </c>
      <c r="F529">
        <v>2016</v>
      </c>
      <c r="G529">
        <v>0.30914000000000003</v>
      </c>
    </row>
    <row r="530" spans="1:7">
      <c r="A530" t="s">
        <v>1297</v>
      </c>
      <c r="B530" t="s">
        <v>1298</v>
      </c>
      <c r="C530" t="s">
        <v>670</v>
      </c>
      <c r="D530" t="s">
        <v>1328</v>
      </c>
      <c r="E530" t="s">
        <v>187</v>
      </c>
      <c r="F530">
        <v>2020</v>
      </c>
      <c r="G530">
        <v>0.48258099999999998</v>
      </c>
    </row>
    <row r="531" spans="1:7">
      <c r="A531" t="s">
        <v>1297</v>
      </c>
      <c r="B531" t="s">
        <v>1298</v>
      </c>
      <c r="C531" t="s">
        <v>660</v>
      </c>
      <c r="D531" t="s">
        <v>1328</v>
      </c>
      <c r="E531" t="s">
        <v>187</v>
      </c>
      <c r="F531">
        <v>2012</v>
      </c>
      <c r="G531">
        <v>1.4200000000000001E-4</v>
      </c>
    </row>
    <row r="532" spans="1:7">
      <c r="A532" t="s">
        <v>1297</v>
      </c>
      <c r="B532" t="s">
        <v>1298</v>
      </c>
      <c r="C532" t="s">
        <v>660</v>
      </c>
      <c r="D532" t="s">
        <v>1328</v>
      </c>
      <c r="E532" t="s">
        <v>187</v>
      </c>
      <c r="F532">
        <v>2016</v>
      </c>
      <c r="G532">
        <v>4.888E-3</v>
      </c>
    </row>
    <row r="533" spans="1:7">
      <c r="A533" t="s">
        <v>1297</v>
      </c>
      <c r="B533" t="s">
        <v>1298</v>
      </c>
      <c r="C533" t="s">
        <v>660</v>
      </c>
      <c r="D533" t="s">
        <v>1328</v>
      </c>
      <c r="E533" t="s">
        <v>187</v>
      </c>
      <c r="F533">
        <v>2020</v>
      </c>
      <c r="G533">
        <v>9.6010000000000002E-3</v>
      </c>
    </row>
    <row r="534" spans="1:7">
      <c r="A534" t="s">
        <v>1297</v>
      </c>
      <c r="B534" t="s">
        <v>1298</v>
      </c>
      <c r="C534" t="s">
        <v>663</v>
      </c>
      <c r="D534" t="s">
        <v>1328</v>
      </c>
      <c r="E534" t="s">
        <v>187</v>
      </c>
      <c r="F534">
        <v>2020</v>
      </c>
      <c r="G534">
        <v>1.1805E-2</v>
      </c>
    </row>
    <row r="535" spans="1:7">
      <c r="A535" t="s">
        <v>1297</v>
      </c>
      <c r="B535" t="s">
        <v>1298</v>
      </c>
      <c r="C535" t="s">
        <v>661</v>
      </c>
      <c r="D535" t="s">
        <v>1328</v>
      </c>
      <c r="E535" t="s">
        <v>187</v>
      </c>
      <c r="F535">
        <v>2012</v>
      </c>
      <c r="G535">
        <v>4.8999999999999998E-4</v>
      </c>
    </row>
    <row r="536" spans="1:7">
      <c r="A536" t="s">
        <v>1297</v>
      </c>
      <c r="B536" t="s">
        <v>1298</v>
      </c>
      <c r="C536" t="s">
        <v>661</v>
      </c>
      <c r="D536" t="s">
        <v>1328</v>
      </c>
      <c r="E536" t="s">
        <v>187</v>
      </c>
      <c r="F536">
        <v>2016</v>
      </c>
      <c r="G536">
        <v>2.1374000000000001E-2</v>
      </c>
    </row>
    <row r="537" spans="1:7">
      <c r="A537" t="s">
        <v>1297</v>
      </c>
      <c r="B537" t="s">
        <v>1298</v>
      </c>
      <c r="C537" t="s">
        <v>661</v>
      </c>
      <c r="D537" t="s">
        <v>1328</v>
      </c>
      <c r="E537" t="s">
        <v>187</v>
      </c>
      <c r="F537">
        <v>2020</v>
      </c>
      <c r="G537">
        <v>0.12621299999999999</v>
      </c>
    </row>
    <row r="538" spans="1:7">
      <c r="A538" t="s">
        <v>1297</v>
      </c>
      <c r="B538" t="s">
        <v>1298</v>
      </c>
      <c r="C538" t="s">
        <v>677</v>
      </c>
      <c r="D538" t="s">
        <v>1328</v>
      </c>
      <c r="E538" t="s">
        <v>187</v>
      </c>
      <c r="F538">
        <v>2016</v>
      </c>
      <c r="G538">
        <v>3.5293999999999999E-2</v>
      </c>
    </row>
    <row r="539" spans="1:7">
      <c r="A539" t="s">
        <v>1297</v>
      </c>
      <c r="B539" t="s">
        <v>1298</v>
      </c>
      <c r="C539" t="s">
        <v>677</v>
      </c>
      <c r="D539" t="s">
        <v>1328</v>
      </c>
      <c r="E539" t="s">
        <v>187</v>
      </c>
      <c r="F539">
        <v>2020</v>
      </c>
      <c r="G539">
        <v>8.5019999999999998E-2</v>
      </c>
    </row>
    <row r="540" spans="1:7">
      <c r="A540" t="s">
        <v>1297</v>
      </c>
      <c r="B540" t="s">
        <v>1298</v>
      </c>
      <c r="C540" t="s">
        <v>659</v>
      </c>
      <c r="D540" t="s">
        <v>1328</v>
      </c>
      <c r="E540" t="s">
        <v>187</v>
      </c>
      <c r="F540">
        <v>2020</v>
      </c>
      <c r="G540">
        <v>4.8960000000000002E-3</v>
      </c>
    </row>
    <row r="541" spans="1:7">
      <c r="A541" t="s">
        <v>1297</v>
      </c>
      <c r="B541" t="s">
        <v>1298</v>
      </c>
      <c r="C541" t="s">
        <v>652</v>
      </c>
      <c r="D541" t="s">
        <v>1328</v>
      </c>
      <c r="E541" t="s">
        <v>187</v>
      </c>
      <c r="F541">
        <v>2020</v>
      </c>
      <c r="G541">
        <v>7.9000000000000001E-4</v>
      </c>
    </row>
    <row r="542" spans="1:7">
      <c r="A542" t="s">
        <v>1297</v>
      </c>
      <c r="B542" t="s">
        <v>1298</v>
      </c>
      <c r="C542" t="s">
        <v>665</v>
      </c>
      <c r="D542" t="s">
        <v>1328</v>
      </c>
      <c r="E542" t="s">
        <v>187</v>
      </c>
      <c r="F542">
        <v>2020</v>
      </c>
      <c r="G542">
        <v>1.8057E-2</v>
      </c>
    </row>
    <row r="543" spans="1:7">
      <c r="A543" t="s">
        <v>1297</v>
      </c>
      <c r="B543" t="s">
        <v>1298</v>
      </c>
      <c r="C543" t="s">
        <v>652</v>
      </c>
      <c r="D543" t="s">
        <v>1329</v>
      </c>
      <c r="E543" t="s">
        <v>187</v>
      </c>
      <c r="F543">
        <v>2005</v>
      </c>
      <c r="G543">
        <v>8.9672000000000002E-2</v>
      </c>
    </row>
    <row r="544" spans="1:7">
      <c r="A544" t="s">
        <v>1297</v>
      </c>
      <c r="B544" t="s">
        <v>1298</v>
      </c>
      <c r="C544" t="s">
        <v>652</v>
      </c>
      <c r="D544" t="s">
        <v>1329</v>
      </c>
      <c r="E544" t="s">
        <v>187</v>
      </c>
      <c r="F544">
        <v>2010</v>
      </c>
      <c r="G544">
        <v>2.072835</v>
      </c>
    </row>
    <row r="545" spans="1:7">
      <c r="A545" t="s">
        <v>1297</v>
      </c>
      <c r="B545" t="s">
        <v>1298</v>
      </c>
      <c r="C545" t="s">
        <v>652</v>
      </c>
      <c r="D545" t="s">
        <v>1329</v>
      </c>
      <c r="E545" t="s">
        <v>187</v>
      </c>
      <c r="F545">
        <v>2012</v>
      </c>
      <c r="G545">
        <v>1.9233009999999999</v>
      </c>
    </row>
    <row r="546" spans="1:7">
      <c r="A546" t="s">
        <v>1297</v>
      </c>
      <c r="B546" t="s">
        <v>1298</v>
      </c>
      <c r="C546" t="s">
        <v>652</v>
      </c>
      <c r="D546" t="s">
        <v>1329</v>
      </c>
      <c r="E546" t="s">
        <v>187</v>
      </c>
      <c r="F546">
        <v>2016</v>
      </c>
      <c r="G546">
        <v>2.4558620000000002</v>
      </c>
    </row>
    <row r="547" spans="1:7">
      <c r="A547" t="s">
        <v>1297</v>
      </c>
      <c r="B547" t="s">
        <v>1298</v>
      </c>
      <c r="C547" t="s">
        <v>652</v>
      </c>
      <c r="D547" t="s">
        <v>1329</v>
      </c>
      <c r="E547" t="s">
        <v>187</v>
      </c>
      <c r="F547">
        <v>2020</v>
      </c>
      <c r="G547">
        <v>2.0911900000000001</v>
      </c>
    </row>
    <row r="548" spans="1:7">
      <c r="A548" t="s">
        <v>1297</v>
      </c>
      <c r="B548" t="s">
        <v>1298</v>
      </c>
      <c r="C548" t="s">
        <v>1302</v>
      </c>
      <c r="D548" t="s">
        <v>1329</v>
      </c>
      <c r="E548" t="s">
        <v>187</v>
      </c>
      <c r="F548">
        <v>2005</v>
      </c>
      <c r="G548">
        <v>0.90600000000000003</v>
      </c>
    </row>
    <row r="549" spans="1:7">
      <c r="A549" t="s">
        <v>1297</v>
      </c>
      <c r="B549" t="s">
        <v>1298</v>
      </c>
      <c r="C549" t="s">
        <v>1302</v>
      </c>
      <c r="D549" t="s">
        <v>1329</v>
      </c>
      <c r="E549" t="s">
        <v>187</v>
      </c>
      <c r="F549">
        <v>2010</v>
      </c>
      <c r="G549">
        <v>8.4000000000000005E-2</v>
      </c>
    </row>
    <row r="550" spans="1:7">
      <c r="A550" t="s">
        <v>1297</v>
      </c>
      <c r="B550" t="s">
        <v>1298</v>
      </c>
      <c r="C550" t="s">
        <v>1302</v>
      </c>
      <c r="D550" t="s">
        <v>1329</v>
      </c>
      <c r="E550" t="s">
        <v>187</v>
      </c>
      <c r="F550">
        <v>2012</v>
      </c>
      <c r="G550">
        <v>9.4E-2</v>
      </c>
    </row>
    <row r="551" spans="1:7">
      <c r="A551" t="s">
        <v>1297</v>
      </c>
      <c r="B551" t="s">
        <v>1298</v>
      </c>
      <c r="C551" t="s">
        <v>1302</v>
      </c>
      <c r="D551" t="s">
        <v>1329</v>
      </c>
      <c r="E551" t="s">
        <v>187</v>
      </c>
      <c r="F551">
        <v>2016</v>
      </c>
      <c r="G551">
        <v>0.14399999999999999</v>
      </c>
    </row>
    <row r="552" spans="1:7">
      <c r="A552" t="s">
        <v>1297</v>
      </c>
      <c r="B552" t="s">
        <v>1298</v>
      </c>
      <c r="C552" t="s">
        <v>1302</v>
      </c>
      <c r="D552" t="s">
        <v>1329</v>
      </c>
      <c r="E552" t="s">
        <v>187</v>
      </c>
      <c r="F552">
        <v>2020</v>
      </c>
      <c r="G552">
        <v>0.137181</v>
      </c>
    </row>
    <row r="553" spans="1:7">
      <c r="A553" t="s">
        <v>1297</v>
      </c>
      <c r="B553" t="s">
        <v>1298</v>
      </c>
      <c r="C553" t="s">
        <v>672</v>
      </c>
      <c r="D553" t="s">
        <v>1329</v>
      </c>
      <c r="E553" t="s">
        <v>187</v>
      </c>
      <c r="F553">
        <v>2005</v>
      </c>
      <c r="G553">
        <v>0.12848399999999999</v>
      </c>
    </row>
    <row r="554" spans="1:7">
      <c r="A554" t="s">
        <v>1297</v>
      </c>
      <c r="B554" t="s">
        <v>1298</v>
      </c>
      <c r="C554" t="s">
        <v>672</v>
      </c>
      <c r="D554" t="s">
        <v>1329</v>
      </c>
      <c r="E554" t="s">
        <v>187</v>
      </c>
      <c r="F554">
        <v>2010</v>
      </c>
      <c r="G554">
        <v>0.24205499999999999</v>
      </c>
    </row>
    <row r="555" spans="1:7">
      <c r="A555" t="s">
        <v>1297</v>
      </c>
      <c r="B555" t="s">
        <v>1298</v>
      </c>
      <c r="C555" t="s">
        <v>672</v>
      </c>
      <c r="D555" t="s">
        <v>1329</v>
      </c>
      <c r="E555" t="s">
        <v>187</v>
      </c>
      <c r="F555">
        <v>2012</v>
      </c>
      <c r="G555">
        <v>0.442888</v>
      </c>
    </row>
    <row r="556" spans="1:7">
      <c r="A556" t="s">
        <v>1297</v>
      </c>
      <c r="B556" t="s">
        <v>1298</v>
      </c>
      <c r="C556" t="s">
        <v>672</v>
      </c>
      <c r="D556" t="s">
        <v>1329</v>
      </c>
      <c r="E556" t="s">
        <v>187</v>
      </c>
      <c r="F556">
        <v>2016</v>
      </c>
      <c r="G556">
        <v>0.28422999999999998</v>
      </c>
    </row>
    <row r="557" spans="1:7">
      <c r="A557" t="s">
        <v>1297</v>
      </c>
      <c r="B557" t="s">
        <v>1298</v>
      </c>
      <c r="C557" t="s">
        <v>672</v>
      </c>
      <c r="D557" t="s">
        <v>1329</v>
      </c>
      <c r="E557" t="s">
        <v>187</v>
      </c>
      <c r="F557">
        <v>2020</v>
      </c>
      <c r="G557">
        <v>0.44664799999999999</v>
      </c>
    </row>
    <row r="558" spans="1:7">
      <c r="A558" t="s">
        <v>1297</v>
      </c>
      <c r="B558" t="s">
        <v>1298</v>
      </c>
      <c r="C558" t="s">
        <v>655</v>
      </c>
      <c r="D558" t="s">
        <v>1329</v>
      </c>
      <c r="E558" t="s">
        <v>187</v>
      </c>
      <c r="F558">
        <v>2005</v>
      </c>
      <c r="G558">
        <v>0.80169000000000001</v>
      </c>
    </row>
    <row r="559" spans="1:7">
      <c r="A559" t="s">
        <v>1297</v>
      </c>
      <c r="B559" t="s">
        <v>1298</v>
      </c>
      <c r="C559" t="s">
        <v>655</v>
      </c>
      <c r="D559" t="s">
        <v>1329</v>
      </c>
      <c r="E559" t="s">
        <v>187</v>
      </c>
      <c r="F559">
        <v>2010</v>
      </c>
      <c r="G559">
        <v>1.884849</v>
      </c>
    </row>
    <row r="560" spans="1:7">
      <c r="A560" t="s">
        <v>1297</v>
      </c>
      <c r="B560" t="s">
        <v>1298</v>
      </c>
      <c r="C560" t="s">
        <v>655</v>
      </c>
      <c r="D560" t="s">
        <v>1329</v>
      </c>
      <c r="E560" t="s">
        <v>187</v>
      </c>
      <c r="F560">
        <v>2012</v>
      </c>
      <c r="G560">
        <v>3.5976810000000001</v>
      </c>
    </row>
    <row r="561" spans="1:7">
      <c r="A561" t="s">
        <v>1297</v>
      </c>
      <c r="B561" t="s">
        <v>1298</v>
      </c>
      <c r="C561" t="s">
        <v>655</v>
      </c>
      <c r="D561" t="s">
        <v>1329</v>
      </c>
      <c r="E561" t="s">
        <v>187</v>
      </c>
      <c r="F561">
        <v>2016</v>
      </c>
      <c r="G561">
        <v>6.3614459999999999</v>
      </c>
    </row>
    <row r="562" spans="1:7">
      <c r="A562" t="s">
        <v>1297</v>
      </c>
      <c r="B562" t="s">
        <v>1298</v>
      </c>
      <c r="C562" t="s">
        <v>655</v>
      </c>
      <c r="D562" t="s">
        <v>1329</v>
      </c>
      <c r="E562" t="s">
        <v>187</v>
      </c>
      <c r="F562">
        <v>2020</v>
      </c>
      <c r="G562">
        <v>5.8175970000000001</v>
      </c>
    </row>
    <row r="563" spans="1:7">
      <c r="A563" t="s">
        <v>1297</v>
      </c>
      <c r="B563" t="s">
        <v>1298</v>
      </c>
      <c r="C563" t="s">
        <v>677</v>
      </c>
      <c r="D563" t="s">
        <v>1329</v>
      </c>
      <c r="E563" t="s">
        <v>187</v>
      </c>
      <c r="F563">
        <v>2005</v>
      </c>
      <c r="G563">
        <v>3.1982370000000002</v>
      </c>
    </row>
    <row r="564" spans="1:7">
      <c r="A564" t="s">
        <v>1297</v>
      </c>
      <c r="B564" t="s">
        <v>1298</v>
      </c>
      <c r="C564" t="s">
        <v>677</v>
      </c>
      <c r="D564" t="s">
        <v>1329</v>
      </c>
      <c r="E564" t="s">
        <v>187</v>
      </c>
      <c r="F564">
        <v>2010</v>
      </c>
      <c r="G564">
        <v>7.0250450000000004</v>
      </c>
    </row>
    <row r="565" spans="1:7">
      <c r="A565" t="s">
        <v>1297</v>
      </c>
      <c r="B565" t="s">
        <v>1298</v>
      </c>
      <c r="C565" t="s">
        <v>677</v>
      </c>
      <c r="D565" t="s">
        <v>1329</v>
      </c>
      <c r="E565" t="s">
        <v>187</v>
      </c>
      <c r="F565">
        <v>2012</v>
      </c>
      <c r="G565">
        <v>6.0561930000000004</v>
      </c>
    </row>
    <row r="566" spans="1:7">
      <c r="A566" t="s">
        <v>1297</v>
      </c>
      <c r="B566" t="s">
        <v>1298</v>
      </c>
      <c r="C566" t="s">
        <v>677</v>
      </c>
      <c r="D566" t="s">
        <v>1329</v>
      </c>
      <c r="E566" t="s">
        <v>187</v>
      </c>
      <c r="F566">
        <v>2016</v>
      </c>
      <c r="G566">
        <v>5.2185759999999997</v>
      </c>
    </row>
    <row r="567" spans="1:7">
      <c r="A567" t="s">
        <v>1297</v>
      </c>
      <c r="B567" t="s">
        <v>1298</v>
      </c>
      <c r="C567" t="s">
        <v>677</v>
      </c>
      <c r="D567" t="s">
        <v>1329</v>
      </c>
      <c r="E567" t="s">
        <v>187</v>
      </c>
      <c r="F567">
        <v>2020</v>
      </c>
      <c r="G567">
        <v>6.0646829999999996</v>
      </c>
    </row>
    <row r="568" spans="1:7">
      <c r="A568" t="s">
        <v>1297</v>
      </c>
      <c r="B568" t="s">
        <v>1298</v>
      </c>
      <c r="C568" t="s">
        <v>662</v>
      </c>
      <c r="D568" t="s">
        <v>1329</v>
      </c>
      <c r="E568" t="s">
        <v>187</v>
      </c>
      <c r="F568">
        <v>2005</v>
      </c>
      <c r="G568">
        <v>0.50437100000000001</v>
      </c>
    </row>
    <row r="569" spans="1:7">
      <c r="A569" t="s">
        <v>1297</v>
      </c>
      <c r="B569" t="s">
        <v>1298</v>
      </c>
      <c r="C569" t="s">
        <v>662</v>
      </c>
      <c r="D569" t="s">
        <v>1329</v>
      </c>
      <c r="E569" t="s">
        <v>187</v>
      </c>
      <c r="F569">
        <v>2010</v>
      </c>
      <c r="G569">
        <v>0.65575399999999995</v>
      </c>
    </row>
    <row r="570" spans="1:7">
      <c r="A570" t="s">
        <v>1297</v>
      </c>
      <c r="B570" t="s">
        <v>1298</v>
      </c>
      <c r="C570" t="s">
        <v>662</v>
      </c>
      <c r="D570" t="s">
        <v>1329</v>
      </c>
      <c r="E570" t="s">
        <v>187</v>
      </c>
      <c r="F570">
        <v>2012</v>
      </c>
      <c r="G570">
        <v>1.067901</v>
      </c>
    </row>
    <row r="571" spans="1:7">
      <c r="A571" t="s">
        <v>1297</v>
      </c>
      <c r="B571" t="s">
        <v>1298</v>
      </c>
      <c r="C571" t="s">
        <v>662</v>
      </c>
      <c r="D571" t="s">
        <v>1329</v>
      </c>
      <c r="E571" t="s">
        <v>187</v>
      </c>
      <c r="F571">
        <v>2016</v>
      </c>
      <c r="G571">
        <v>1.1855960000000001</v>
      </c>
    </row>
    <row r="572" spans="1:7">
      <c r="A572" t="s">
        <v>1297</v>
      </c>
      <c r="B572" t="s">
        <v>1298</v>
      </c>
      <c r="C572" t="s">
        <v>680</v>
      </c>
      <c r="D572" t="s">
        <v>1329</v>
      </c>
      <c r="E572" t="s">
        <v>187</v>
      </c>
      <c r="F572">
        <v>2005</v>
      </c>
      <c r="G572">
        <v>5.6300000000000002E-4</v>
      </c>
    </row>
    <row r="573" spans="1:7">
      <c r="A573" t="s">
        <v>1297</v>
      </c>
      <c r="B573" t="s">
        <v>1298</v>
      </c>
      <c r="C573" t="s">
        <v>680</v>
      </c>
      <c r="D573" t="s">
        <v>1329</v>
      </c>
      <c r="E573" t="s">
        <v>187</v>
      </c>
      <c r="F573">
        <v>2010</v>
      </c>
      <c r="G573">
        <v>1.0399999999999999E-4</v>
      </c>
    </row>
    <row r="574" spans="1:7">
      <c r="A574" t="s">
        <v>1297</v>
      </c>
      <c r="B574" t="s">
        <v>1298</v>
      </c>
      <c r="C574" t="s">
        <v>667</v>
      </c>
      <c r="D574" t="s">
        <v>1329</v>
      </c>
      <c r="E574" t="s">
        <v>187</v>
      </c>
      <c r="F574">
        <v>2005</v>
      </c>
      <c r="G574">
        <v>0.115564</v>
      </c>
    </row>
    <row r="575" spans="1:7">
      <c r="A575" t="s">
        <v>1297</v>
      </c>
      <c r="B575" t="s">
        <v>1298</v>
      </c>
      <c r="C575" t="s">
        <v>667</v>
      </c>
      <c r="D575" t="s">
        <v>1329</v>
      </c>
      <c r="E575" t="s">
        <v>187</v>
      </c>
      <c r="F575">
        <v>2010</v>
      </c>
      <c r="G575">
        <v>0.18966</v>
      </c>
    </row>
    <row r="576" spans="1:7">
      <c r="A576" t="s">
        <v>1297</v>
      </c>
      <c r="B576" t="s">
        <v>1298</v>
      </c>
      <c r="C576" t="s">
        <v>667</v>
      </c>
      <c r="D576" t="s">
        <v>1329</v>
      </c>
      <c r="E576" t="s">
        <v>187</v>
      </c>
      <c r="F576">
        <v>2012</v>
      </c>
      <c r="G576">
        <v>0.173758</v>
      </c>
    </row>
    <row r="577" spans="1:7">
      <c r="A577" t="s">
        <v>1297</v>
      </c>
      <c r="B577" t="s">
        <v>1298</v>
      </c>
      <c r="C577" t="s">
        <v>667</v>
      </c>
      <c r="D577" t="s">
        <v>1329</v>
      </c>
      <c r="E577" t="s">
        <v>187</v>
      </c>
      <c r="F577">
        <v>2016</v>
      </c>
      <c r="G577">
        <v>0.14083799999999999</v>
      </c>
    </row>
    <row r="578" spans="1:7">
      <c r="A578" t="s">
        <v>1297</v>
      </c>
      <c r="B578" t="s">
        <v>1298</v>
      </c>
      <c r="C578" t="s">
        <v>667</v>
      </c>
      <c r="D578" t="s">
        <v>1329</v>
      </c>
      <c r="E578" t="s">
        <v>187</v>
      </c>
      <c r="F578">
        <v>2020</v>
      </c>
      <c r="G578">
        <v>0.114387</v>
      </c>
    </row>
    <row r="579" spans="1:7">
      <c r="A579" t="s">
        <v>1297</v>
      </c>
      <c r="B579" t="s">
        <v>1298</v>
      </c>
      <c r="C579" t="s">
        <v>659</v>
      </c>
      <c r="D579" t="s">
        <v>1329</v>
      </c>
      <c r="E579" t="s">
        <v>187</v>
      </c>
      <c r="F579">
        <v>2005</v>
      </c>
      <c r="G579">
        <v>0.81488899999999997</v>
      </c>
    </row>
    <row r="580" spans="1:7">
      <c r="A580" t="s">
        <v>1297</v>
      </c>
      <c r="B580" t="s">
        <v>1298</v>
      </c>
      <c r="C580" t="s">
        <v>659</v>
      </c>
      <c r="D580" t="s">
        <v>1329</v>
      </c>
      <c r="E580" t="s">
        <v>187</v>
      </c>
      <c r="F580">
        <v>2010</v>
      </c>
      <c r="G580">
        <v>2.8569909999999998</v>
      </c>
    </row>
    <row r="581" spans="1:7">
      <c r="A581" t="s">
        <v>1297</v>
      </c>
      <c r="B581" t="s">
        <v>1298</v>
      </c>
      <c r="C581" t="s">
        <v>659</v>
      </c>
      <c r="D581" t="s">
        <v>1329</v>
      </c>
      <c r="E581" t="s">
        <v>187</v>
      </c>
      <c r="F581">
        <v>2012</v>
      </c>
      <c r="G581">
        <v>3.0522390000000001</v>
      </c>
    </row>
    <row r="582" spans="1:7">
      <c r="A582" t="s">
        <v>1297</v>
      </c>
      <c r="B582" t="s">
        <v>1298</v>
      </c>
      <c r="C582" t="s">
        <v>659</v>
      </c>
      <c r="D582" t="s">
        <v>1329</v>
      </c>
      <c r="E582" t="s">
        <v>187</v>
      </c>
      <c r="F582">
        <v>2016</v>
      </c>
      <c r="G582">
        <v>3.3341989999999999</v>
      </c>
    </row>
    <row r="583" spans="1:7">
      <c r="A583" t="s">
        <v>1297</v>
      </c>
      <c r="B583" t="s">
        <v>1298</v>
      </c>
      <c r="C583" t="s">
        <v>659</v>
      </c>
      <c r="D583" t="s">
        <v>1329</v>
      </c>
      <c r="E583" t="s">
        <v>187</v>
      </c>
      <c r="F583">
        <v>2020</v>
      </c>
      <c r="G583">
        <v>3.390463</v>
      </c>
    </row>
    <row r="584" spans="1:7">
      <c r="A584" t="s">
        <v>1297</v>
      </c>
      <c r="B584" t="s">
        <v>1298</v>
      </c>
      <c r="C584" t="s">
        <v>668</v>
      </c>
      <c r="D584" t="s">
        <v>1329</v>
      </c>
      <c r="E584" t="s">
        <v>187</v>
      </c>
      <c r="F584">
        <v>2005</v>
      </c>
      <c r="G584">
        <v>0.52009099999999997</v>
      </c>
    </row>
    <row r="585" spans="1:7">
      <c r="A585" t="s">
        <v>1297</v>
      </c>
      <c r="B585" t="s">
        <v>1298</v>
      </c>
      <c r="C585" t="s">
        <v>668</v>
      </c>
      <c r="D585" t="s">
        <v>1329</v>
      </c>
      <c r="E585" t="s">
        <v>187</v>
      </c>
      <c r="F585">
        <v>2010</v>
      </c>
      <c r="G585">
        <v>0.61008099999999998</v>
      </c>
    </row>
    <row r="586" spans="1:7">
      <c r="A586" t="s">
        <v>1297</v>
      </c>
      <c r="B586" t="s">
        <v>1298</v>
      </c>
      <c r="C586" t="s">
        <v>668</v>
      </c>
      <c r="D586" t="s">
        <v>1329</v>
      </c>
      <c r="E586" t="s">
        <v>187</v>
      </c>
      <c r="F586">
        <v>2012</v>
      </c>
      <c r="G586">
        <v>0.575928</v>
      </c>
    </row>
    <row r="587" spans="1:7">
      <c r="A587" t="s">
        <v>1297</v>
      </c>
      <c r="B587" t="s">
        <v>1298</v>
      </c>
      <c r="C587" t="s">
        <v>668</v>
      </c>
      <c r="D587" t="s">
        <v>1329</v>
      </c>
      <c r="E587" t="s">
        <v>187</v>
      </c>
      <c r="F587">
        <v>2016</v>
      </c>
      <c r="G587">
        <v>1.0663480000000001</v>
      </c>
    </row>
    <row r="588" spans="1:7">
      <c r="A588" t="s">
        <v>1297</v>
      </c>
      <c r="B588" t="s">
        <v>1298</v>
      </c>
      <c r="C588" t="s">
        <v>668</v>
      </c>
      <c r="D588" t="s">
        <v>1329</v>
      </c>
      <c r="E588" t="s">
        <v>187</v>
      </c>
      <c r="F588">
        <v>2020</v>
      </c>
      <c r="G588">
        <v>1.8011649999999999</v>
      </c>
    </row>
    <row r="589" spans="1:7">
      <c r="A589" t="s">
        <v>1297</v>
      </c>
      <c r="B589" t="s">
        <v>1298</v>
      </c>
      <c r="C589" t="s">
        <v>653</v>
      </c>
      <c r="D589" t="s">
        <v>1329</v>
      </c>
      <c r="E589" t="s">
        <v>187</v>
      </c>
      <c r="F589">
        <v>2005</v>
      </c>
      <c r="G589">
        <v>0.22200800000000001</v>
      </c>
    </row>
    <row r="590" spans="1:7">
      <c r="A590" t="s">
        <v>1297</v>
      </c>
      <c r="B590" t="s">
        <v>1298</v>
      </c>
      <c r="C590" t="s">
        <v>653</v>
      </c>
      <c r="D590" t="s">
        <v>1329</v>
      </c>
      <c r="E590" t="s">
        <v>187</v>
      </c>
      <c r="F590">
        <v>2010</v>
      </c>
      <c r="G590">
        <v>0.141123</v>
      </c>
    </row>
    <row r="591" spans="1:7">
      <c r="A591" t="s">
        <v>1297</v>
      </c>
      <c r="B591" t="s">
        <v>1298</v>
      </c>
      <c r="C591" t="s">
        <v>653</v>
      </c>
      <c r="D591" t="s">
        <v>1329</v>
      </c>
      <c r="E591" t="s">
        <v>187</v>
      </c>
      <c r="F591">
        <v>2012</v>
      </c>
      <c r="G591">
        <v>0.16991000000000001</v>
      </c>
    </row>
    <row r="592" spans="1:7">
      <c r="A592" t="s">
        <v>1297</v>
      </c>
      <c r="B592" t="s">
        <v>1298</v>
      </c>
      <c r="C592" t="s">
        <v>653</v>
      </c>
      <c r="D592" t="s">
        <v>1329</v>
      </c>
      <c r="E592" t="s">
        <v>187</v>
      </c>
      <c r="F592">
        <v>2016</v>
      </c>
      <c r="G592">
        <v>0.75254900000000002</v>
      </c>
    </row>
    <row r="593" spans="1:7">
      <c r="A593" t="s">
        <v>1297</v>
      </c>
      <c r="B593" t="s">
        <v>1298</v>
      </c>
      <c r="C593" t="s">
        <v>653</v>
      </c>
      <c r="D593" t="s">
        <v>1329</v>
      </c>
      <c r="E593" t="s">
        <v>187</v>
      </c>
      <c r="F593">
        <v>2020</v>
      </c>
      <c r="G593">
        <v>0.32877800000000001</v>
      </c>
    </row>
    <row r="594" spans="1:7">
      <c r="A594" t="s">
        <v>1297</v>
      </c>
      <c r="B594" t="s">
        <v>1298</v>
      </c>
      <c r="C594" t="s">
        <v>658</v>
      </c>
      <c r="D594" t="s">
        <v>1329</v>
      </c>
      <c r="E594" t="s">
        <v>187</v>
      </c>
      <c r="F594">
        <v>2005</v>
      </c>
      <c r="G594">
        <v>0.226438</v>
      </c>
    </row>
    <row r="595" spans="1:7">
      <c r="A595" t="s">
        <v>1297</v>
      </c>
      <c r="B595" t="s">
        <v>1298</v>
      </c>
      <c r="C595" t="s">
        <v>658</v>
      </c>
      <c r="D595" t="s">
        <v>1329</v>
      </c>
      <c r="E595" t="s">
        <v>187</v>
      </c>
      <c r="F595">
        <v>2010</v>
      </c>
      <c r="G595">
        <v>0.236541</v>
      </c>
    </row>
    <row r="596" spans="1:7">
      <c r="A596" t="s">
        <v>1297</v>
      </c>
      <c r="B596" t="s">
        <v>1298</v>
      </c>
      <c r="C596" t="s">
        <v>658</v>
      </c>
      <c r="D596" t="s">
        <v>1329</v>
      </c>
      <c r="E596" t="s">
        <v>187</v>
      </c>
      <c r="F596">
        <v>2012</v>
      </c>
      <c r="G596">
        <v>0.134352</v>
      </c>
    </row>
    <row r="597" spans="1:7">
      <c r="A597" t="s">
        <v>1297</v>
      </c>
      <c r="B597" t="s">
        <v>1298</v>
      </c>
      <c r="C597" t="s">
        <v>658</v>
      </c>
      <c r="D597" t="s">
        <v>1329</v>
      </c>
      <c r="E597" t="s">
        <v>187</v>
      </c>
      <c r="F597">
        <v>2016</v>
      </c>
      <c r="G597">
        <v>0.32107400000000003</v>
      </c>
    </row>
    <row r="598" spans="1:7">
      <c r="A598" t="s">
        <v>1297</v>
      </c>
      <c r="B598" t="s">
        <v>1298</v>
      </c>
      <c r="C598" t="s">
        <v>658</v>
      </c>
      <c r="D598" t="s">
        <v>1329</v>
      </c>
      <c r="E598" t="s">
        <v>187</v>
      </c>
      <c r="F598">
        <v>2020</v>
      </c>
      <c r="G598">
        <v>0.29462699999999997</v>
      </c>
    </row>
    <row r="599" spans="1:7">
      <c r="A599" t="s">
        <v>1297</v>
      </c>
      <c r="B599" t="s">
        <v>1298</v>
      </c>
      <c r="C599" t="s">
        <v>669</v>
      </c>
      <c r="D599" t="s">
        <v>1329</v>
      </c>
      <c r="E599" t="s">
        <v>187</v>
      </c>
      <c r="F599">
        <v>2010</v>
      </c>
      <c r="G599">
        <v>1.11E-4</v>
      </c>
    </row>
    <row r="600" spans="1:7">
      <c r="A600" t="s">
        <v>1297</v>
      </c>
      <c r="B600" t="s">
        <v>1298</v>
      </c>
      <c r="C600" t="s">
        <v>669</v>
      </c>
      <c r="D600" t="s">
        <v>1329</v>
      </c>
      <c r="E600" t="s">
        <v>187</v>
      </c>
      <c r="F600">
        <v>2012</v>
      </c>
      <c r="G600">
        <v>8.8000000000000003E-4</v>
      </c>
    </row>
    <row r="601" spans="1:7">
      <c r="A601" t="s">
        <v>1297</v>
      </c>
      <c r="B601" t="s">
        <v>1298</v>
      </c>
      <c r="C601" t="s">
        <v>669</v>
      </c>
      <c r="D601" t="s">
        <v>1329</v>
      </c>
      <c r="E601" t="s">
        <v>187</v>
      </c>
      <c r="F601">
        <v>2016</v>
      </c>
      <c r="G601">
        <v>3.8400000000000001E-4</v>
      </c>
    </row>
    <row r="602" spans="1:7">
      <c r="A602" t="s">
        <v>1297</v>
      </c>
      <c r="B602" t="s">
        <v>1298</v>
      </c>
      <c r="C602" t="s">
        <v>669</v>
      </c>
      <c r="D602" t="s">
        <v>1329</v>
      </c>
      <c r="E602" t="s">
        <v>187</v>
      </c>
      <c r="F602">
        <v>2020</v>
      </c>
      <c r="G602">
        <v>9.1559999999999992E-3</v>
      </c>
    </row>
    <row r="603" spans="1:7">
      <c r="A603" t="s">
        <v>1297</v>
      </c>
      <c r="B603" t="s">
        <v>1298</v>
      </c>
      <c r="C603" t="s">
        <v>657</v>
      </c>
      <c r="D603" t="s">
        <v>1329</v>
      </c>
      <c r="E603" t="s">
        <v>187</v>
      </c>
      <c r="F603">
        <v>2010</v>
      </c>
      <c r="G603">
        <v>3.8409529999999998</v>
      </c>
    </row>
    <row r="604" spans="1:7">
      <c r="A604" t="s">
        <v>1297</v>
      </c>
      <c r="B604" t="s">
        <v>1298</v>
      </c>
      <c r="C604" t="s">
        <v>657</v>
      </c>
      <c r="D604" t="s">
        <v>1329</v>
      </c>
      <c r="E604" t="s">
        <v>187</v>
      </c>
      <c r="F604">
        <v>2012</v>
      </c>
      <c r="G604">
        <v>3.8294820000000001</v>
      </c>
    </row>
    <row r="605" spans="1:7">
      <c r="A605" t="s">
        <v>1297</v>
      </c>
      <c r="B605" t="s">
        <v>1298</v>
      </c>
      <c r="C605" t="s">
        <v>657</v>
      </c>
      <c r="D605" t="s">
        <v>1329</v>
      </c>
      <c r="E605" t="s">
        <v>187</v>
      </c>
      <c r="F605">
        <v>2016</v>
      </c>
      <c r="G605">
        <v>4.1450069999999997</v>
      </c>
    </row>
    <row r="606" spans="1:7">
      <c r="A606" t="s">
        <v>1297</v>
      </c>
      <c r="B606" t="s">
        <v>1298</v>
      </c>
      <c r="C606" t="s">
        <v>657</v>
      </c>
      <c r="D606" t="s">
        <v>1329</v>
      </c>
      <c r="E606" t="s">
        <v>187</v>
      </c>
      <c r="F606">
        <v>2020</v>
      </c>
      <c r="G606">
        <v>4.7162480000000002</v>
      </c>
    </row>
    <row r="607" spans="1:7">
      <c r="A607" t="s">
        <v>1297</v>
      </c>
      <c r="B607" t="s">
        <v>1298</v>
      </c>
      <c r="C607" t="s">
        <v>670</v>
      </c>
      <c r="D607" t="s">
        <v>1329</v>
      </c>
      <c r="E607" t="s">
        <v>187</v>
      </c>
      <c r="F607">
        <v>2005</v>
      </c>
      <c r="G607">
        <v>1.6570370000000001</v>
      </c>
    </row>
    <row r="608" spans="1:7">
      <c r="A608" t="s">
        <v>1297</v>
      </c>
      <c r="B608" t="s">
        <v>1298</v>
      </c>
      <c r="C608" t="s">
        <v>670</v>
      </c>
      <c r="D608" t="s">
        <v>1329</v>
      </c>
      <c r="E608" t="s">
        <v>187</v>
      </c>
      <c r="F608">
        <v>2010</v>
      </c>
      <c r="G608">
        <v>4.9024049999999999</v>
      </c>
    </row>
    <row r="609" spans="1:7">
      <c r="A609" t="s">
        <v>1297</v>
      </c>
      <c r="B609" t="s">
        <v>1298</v>
      </c>
      <c r="C609" t="s">
        <v>670</v>
      </c>
      <c r="D609" t="s">
        <v>1329</v>
      </c>
      <c r="E609" t="s">
        <v>187</v>
      </c>
      <c r="F609">
        <v>2012</v>
      </c>
      <c r="G609">
        <v>6.5131430000000003</v>
      </c>
    </row>
    <row r="610" spans="1:7">
      <c r="A610" t="s">
        <v>1297</v>
      </c>
      <c r="B610" t="s">
        <v>1298</v>
      </c>
      <c r="C610" t="s">
        <v>670</v>
      </c>
      <c r="D610" t="s">
        <v>1329</v>
      </c>
      <c r="E610" t="s">
        <v>187</v>
      </c>
      <c r="F610">
        <v>2016</v>
      </c>
      <c r="G610">
        <v>7.8347009999999999</v>
      </c>
    </row>
    <row r="611" spans="1:7">
      <c r="A611" t="s">
        <v>1297</v>
      </c>
      <c r="B611" t="s">
        <v>1298</v>
      </c>
      <c r="C611" t="s">
        <v>670</v>
      </c>
      <c r="D611" t="s">
        <v>1329</v>
      </c>
      <c r="E611" t="s">
        <v>187</v>
      </c>
      <c r="F611">
        <v>2020</v>
      </c>
      <c r="G611">
        <v>11.842313000000001</v>
      </c>
    </row>
    <row r="612" spans="1:7">
      <c r="A612" t="s">
        <v>1297</v>
      </c>
      <c r="B612" t="s">
        <v>1298</v>
      </c>
      <c r="C612" t="s">
        <v>676</v>
      </c>
      <c r="D612" t="s">
        <v>1329</v>
      </c>
      <c r="E612" t="s">
        <v>187</v>
      </c>
      <c r="F612">
        <v>2005</v>
      </c>
      <c r="G612">
        <v>8.4967000000000001E-2</v>
      </c>
    </row>
    <row r="613" spans="1:7">
      <c r="A613" t="s">
        <v>1297</v>
      </c>
      <c r="B613" t="s">
        <v>1298</v>
      </c>
      <c r="C613" t="s">
        <v>676</v>
      </c>
      <c r="D613" t="s">
        <v>1329</v>
      </c>
      <c r="E613" t="s">
        <v>187</v>
      </c>
      <c r="F613">
        <v>2010</v>
      </c>
      <c r="G613">
        <v>0.21973200000000001</v>
      </c>
    </row>
    <row r="614" spans="1:7">
      <c r="A614" t="s">
        <v>1297</v>
      </c>
      <c r="B614" t="s">
        <v>1298</v>
      </c>
      <c r="C614" t="s">
        <v>676</v>
      </c>
      <c r="D614" t="s">
        <v>1329</v>
      </c>
      <c r="E614" t="s">
        <v>187</v>
      </c>
      <c r="F614">
        <v>2012</v>
      </c>
      <c r="G614">
        <v>0.759293</v>
      </c>
    </row>
    <row r="615" spans="1:7">
      <c r="A615" t="s">
        <v>1297</v>
      </c>
      <c r="B615" t="s">
        <v>1298</v>
      </c>
      <c r="C615" t="s">
        <v>676</v>
      </c>
      <c r="D615" t="s">
        <v>1329</v>
      </c>
      <c r="E615" t="s">
        <v>187</v>
      </c>
      <c r="F615">
        <v>2016</v>
      </c>
      <c r="G615">
        <v>1.455778</v>
      </c>
    </row>
    <row r="616" spans="1:7">
      <c r="A616" t="s">
        <v>1297</v>
      </c>
      <c r="B616" t="s">
        <v>1298</v>
      </c>
      <c r="C616" t="s">
        <v>676</v>
      </c>
      <c r="D616" t="s">
        <v>1329</v>
      </c>
      <c r="E616" t="s">
        <v>187</v>
      </c>
      <c r="F616">
        <v>2020</v>
      </c>
      <c r="G616">
        <v>0.97842300000000004</v>
      </c>
    </row>
    <row r="617" spans="1:7">
      <c r="A617" t="s">
        <v>1297</v>
      </c>
      <c r="B617" t="s">
        <v>1298</v>
      </c>
      <c r="C617" t="s">
        <v>1299</v>
      </c>
      <c r="D617" t="s">
        <v>1329</v>
      </c>
      <c r="E617" t="s">
        <v>187</v>
      </c>
      <c r="F617">
        <v>2010</v>
      </c>
      <c r="G617">
        <v>0.90907899999999997</v>
      </c>
    </row>
    <row r="618" spans="1:7">
      <c r="A618" t="s">
        <v>1297</v>
      </c>
      <c r="B618" t="s">
        <v>1298</v>
      </c>
      <c r="C618" t="s">
        <v>1299</v>
      </c>
      <c r="D618" t="s">
        <v>1329</v>
      </c>
      <c r="E618" t="s">
        <v>187</v>
      </c>
      <c r="F618">
        <v>2012</v>
      </c>
      <c r="G618">
        <v>1.074106</v>
      </c>
    </row>
    <row r="619" spans="1:7">
      <c r="A619" t="s">
        <v>1297</v>
      </c>
      <c r="B619" t="s">
        <v>1298</v>
      </c>
      <c r="C619" t="s">
        <v>1299</v>
      </c>
      <c r="D619" t="s">
        <v>1329</v>
      </c>
      <c r="E619" t="s">
        <v>187</v>
      </c>
      <c r="F619">
        <v>2016</v>
      </c>
      <c r="G619">
        <v>1.3254950000000001</v>
      </c>
    </row>
    <row r="620" spans="1:7">
      <c r="A620" t="s">
        <v>1297</v>
      </c>
      <c r="B620" t="s">
        <v>1298</v>
      </c>
      <c r="C620" t="s">
        <v>1299</v>
      </c>
      <c r="D620" t="s">
        <v>1329</v>
      </c>
      <c r="E620" t="s">
        <v>187</v>
      </c>
      <c r="F620">
        <v>2020</v>
      </c>
      <c r="G620">
        <v>1.918979</v>
      </c>
    </row>
    <row r="621" spans="1:7">
      <c r="A621" t="s">
        <v>1297</v>
      </c>
      <c r="B621" t="s">
        <v>1298</v>
      </c>
      <c r="C621" t="s">
        <v>664</v>
      </c>
      <c r="D621" t="s">
        <v>1329</v>
      </c>
      <c r="E621" t="s">
        <v>187</v>
      </c>
      <c r="F621">
        <v>2005</v>
      </c>
      <c r="G621">
        <v>1.1617000000000001E-2</v>
      </c>
    </row>
    <row r="622" spans="1:7">
      <c r="A622" t="s">
        <v>1297</v>
      </c>
      <c r="B622" t="s">
        <v>1298</v>
      </c>
      <c r="C622" t="s">
        <v>664</v>
      </c>
      <c r="D622" t="s">
        <v>1329</v>
      </c>
      <c r="E622" t="s">
        <v>187</v>
      </c>
      <c r="F622">
        <v>2010</v>
      </c>
      <c r="G622">
        <v>2.2276000000000001E-2</v>
      </c>
    </row>
    <row r="623" spans="1:7">
      <c r="A623" t="s">
        <v>1297</v>
      </c>
      <c r="B623" t="s">
        <v>1298</v>
      </c>
      <c r="C623" t="s">
        <v>664</v>
      </c>
      <c r="D623" t="s">
        <v>1329</v>
      </c>
      <c r="E623" t="s">
        <v>187</v>
      </c>
      <c r="F623">
        <v>2012</v>
      </c>
      <c r="G623">
        <v>3.2516000000000003E-2</v>
      </c>
    </row>
    <row r="624" spans="1:7">
      <c r="A624" t="s">
        <v>1297</v>
      </c>
      <c r="B624" t="s">
        <v>1298</v>
      </c>
      <c r="C624" t="s">
        <v>664</v>
      </c>
      <c r="D624" t="s">
        <v>1329</v>
      </c>
      <c r="E624" t="s">
        <v>187</v>
      </c>
      <c r="F624">
        <v>2016</v>
      </c>
      <c r="G624">
        <v>4.4715999999999999E-2</v>
      </c>
    </row>
    <row r="625" spans="1:7">
      <c r="A625" t="s">
        <v>1297</v>
      </c>
      <c r="B625" t="s">
        <v>1298</v>
      </c>
      <c r="C625" t="s">
        <v>664</v>
      </c>
      <c r="D625" t="s">
        <v>1329</v>
      </c>
      <c r="E625" t="s">
        <v>187</v>
      </c>
      <c r="F625">
        <v>2020</v>
      </c>
      <c r="G625">
        <v>5.3943999999999999E-2</v>
      </c>
    </row>
    <row r="626" spans="1:7">
      <c r="A626" t="s">
        <v>1297</v>
      </c>
      <c r="B626" t="s">
        <v>1298</v>
      </c>
      <c r="C626" t="s">
        <v>673</v>
      </c>
      <c r="D626" t="s">
        <v>1329</v>
      </c>
      <c r="E626" t="s">
        <v>187</v>
      </c>
      <c r="F626">
        <v>2005</v>
      </c>
      <c r="G626">
        <v>0.120444</v>
      </c>
    </row>
    <row r="627" spans="1:7">
      <c r="A627" t="s">
        <v>1297</v>
      </c>
      <c r="B627" t="s">
        <v>1298</v>
      </c>
      <c r="C627" t="s">
        <v>673</v>
      </c>
      <c r="D627" t="s">
        <v>1329</v>
      </c>
      <c r="E627" t="s">
        <v>187</v>
      </c>
      <c r="F627">
        <v>2010</v>
      </c>
      <c r="G627">
        <v>0.300682</v>
      </c>
    </row>
    <row r="628" spans="1:7">
      <c r="A628" t="s">
        <v>1297</v>
      </c>
      <c r="B628" t="s">
        <v>1298</v>
      </c>
      <c r="C628" t="s">
        <v>673</v>
      </c>
      <c r="D628" t="s">
        <v>1329</v>
      </c>
      <c r="E628" t="s">
        <v>187</v>
      </c>
      <c r="F628">
        <v>2012</v>
      </c>
      <c r="G628">
        <v>0.266704</v>
      </c>
    </row>
    <row r="629" spans="1:7">
      <c r="A629" t="s">
        <v>1297</v>
      </c>
      <c r="B629" t="s">
        <v>1298</v>
      </c>
      <c r="C629" t="s">
        <v>673</v>
      </c>
      <c r="D629" t="s">
        <v>1329</v>
      </c>
      <c r="E629" t="s">
        <v>187</v>
      </c>
      <c r="F629">
        <v>2016</v>
      </c>
      <c r="G629">
        <v>0.25865100000000002</v>
      </c>
    </row>
    <row r="630" spans="1:7">
      <c r="A630" t="s">
        <v>1297</v>
      </c>
      <c r="B630" t="s">
        <v>1298</v>
      </c>
      <c r="C630" t="s">
        <v>673</v>
      </c>
      <c r="D630" t="s">
        <v>1329</v>
      </c>
      <c r="E630" t="s">
        <v>187</v>
      </c>
      <c r="F630">
        <v>2020</v>
      </c>
      <c r="G630">
        <v>0.414072</v>
      </c>
    </row>
    <row r="631" spans="1:7">
      <c r="A631" t="s">
        <v>1297</v>
      </c>
      <c r="B631" t="s">
        <v>1298</v>
      </c>
      <c r="C631" t="s">
        <v>666</v>
      </c>
      <c r="D631" t="s">
        <v>1329</v>
      </c>
      <c r="E631" t="s">
        <v>187</v>
      </c>
      <c r="F631">
        <v>2005</v>
      </c>
      <c r="G631">
        <v>0.31487199999999999</v>
      </c>
    </row>
    <row r="632" spans="1:7">
      <c r="A632" t="s">
        <v>1297</v>
      </c>
      <c r="B632" t="s">
        <v>1298</v>
      </c>
      <c r="C632" t="s">
        <v>666</v>
      </c>
      <c r="D632" t="s">
        <v>1329</v>
      </c>
      <c r="E632" t="s">
        <v>187</v>
      </c>
      <c r="F632">
        <v>2010</v>
      </c>
      <c r="G632">
        <v>0.551979</v>
      </c>
    </row>
    <row r="633" spans="1:7">
      <c r="A633" t="s">
        <v>1297</v>
      </c>
      <c r="B633" t="s">
        <v>1298</v>
      </c>
      <c r="C633" t="s">
        <v>666</v>
      </c>
      <c r="D633" t="s">
        <v>1329</v>
      </c>
      <c r="E633" t="s">
        <v>187</v>
      </c>
      <c r="F633">
        <v>2012</v>
      </c>
      <c r="G633">
        <v>0.58760400000000002</v>
      </c>
    </row>
    <row r="634" spans="1:7">
      <c r="A634" t="s">
        <v>1297</v>
      </c>
      <c r="B634" t="s">
        <v>1298</v>
      </c>
      <c r="C634" t="s">
        <v>666</v>
      </c>
      <c r="D634" t="s">
        <v>1329</v>
      </c>
      <c r="E634" t="s">
        <v>187</v>
      </c>
      <c r="F634">
        <v>2016</v>
      </c>
      <c r="G634">
        <v>0.69725499999999996</v>
      </c>
    </row>
    <row r="635" spans="1:7">
      <c r="A635" t="s">
        <v>1297</v>
      </c>
      <c r="B635" t="s">
        <v>1298</v>
      </c>
      <c r="C635" t="s">
        <v>666</v>
      </c>
      <c r="D635" t="s">
        <v>1329</v>
      </c>
      <c r="E635" t="s">
        <v>187</v>
      </c>
      <c r="F635">
        <v>2020</v>
      </c>
      <c r="G635">
        <v>0.84882599999999997</v>
      </c>
    </row>
    <row r="636" spans="1:7">
      <c r="A636" t="s">
        <v>1297</v>
      </c>
      <c r="B636" t="s">
        <v>1298</v>
      </c>
      <c r="C636" t="s">
        <v>663</v>
      </c>
      <c r="D636" t="s">
        <v>1329</v>
      </c>
      <c r="E636" t="s">
        <v>187</v>
      </c>
      <c r="F636">
        <v>2005</v>
      </c>
      <c r="G636">
        <v>0.61348800000000003</v>
      </c>
    </row>
    <row r="637" spans="1:7">
      <c r="A637" t="s">
        <v>1297</v>
      </c>
      <c r="B637" t="s">
        <v>1298</v>
      </c>
      <c r="C637" t="s">
        <v>663</v>
      </c>
      <c r="D637" t="s">
        <v>1329</v>
      </c>
      <c r="E637" t="s">
        <v>187</v>
      </c>
      <c r="F637">
        <v>2010</v>
      </c>
      <c r="G637">
        <v>0.736097</v>
      </c>
    </row>
    <row r="638" spans="1:7">
      <c r="A638" t="s">
        <v>1297</v>
      </c>
      <c r="B638" t="s">
        <v>1298</v>
      </c>
      <c r="C638" t="s">
        <v>663</v>
      </c>
      <c r="D638" t="s">
        <v>1329</v>
      </c>
      <c r="E638" t="s">
        <v>187</v>
      </c>
      <c r="F638">
        <v>2012</v>
      </c>
      <c r="G638">
        <v>0.718607</v>
      </c>
    </row>
    <row r="639" spans="1:7">
      <c r="A639" t="s">
        <v>1297</v>
      </c>
      <c r="B639" t="s">
        <v>1298</v>
      </c>
      <c r="C639" t="s">
        <v>663</v>
      </c>
      <c r="D639" t="s">
        <v>1329</v>
      </c>
      <c r="E639" t="s">
        <v>187</v>
      </c>
      <c r="F639">
        <v>2016</v>
      </c>
      <c r="G639">
        <v>0.89428700000000005</v>
      </c>
    </row>
    <row r="640" spans="1:7">
      <c r="A640" t="s">
        <v>1297</v>
      </c>
      <c r="B640" t="s">
        <v>1298</v>
      </c>
      <c r="C640" t="s">
        <v>663</v>
      </c>
      <c r="D640" t="s">
        <v>1329</v>
      </c>
      <c r="E640" t="s">
        <v>187</v>
      </c>
      <c r="F640">
        <v>2020</v>
      </c>
      <c r="G640">
        <v>0.80532300000000001</v>
      </c>
    </row>
    <row r="641" spans="1:7">
      <c r="A641" t="s">
        <v>1297</v>
      </c>
      <c r="B641" t="s">
        <v>1298</v>
      </c>
      <c r="C641" t="s">
        <v>289</v>
      </c>
      <c r="D641" t="s">
        <v>1329</v>
      </c>
      <c r="E641" t="s">
        <v>187</v>
      </c>
      <c r="F641">
        <v>2005</v>
      </c>
      <c r="G641">
        <v>5.2499999999999997E-4</v>
      </c>
    </row>
    <row r="642" spans="1:7">
      <c r="A642" t="s">
        <v>1297</v>
      </c>
      <c r="B642" t="s">
        <v>1298</v>
      </c>
      <c r="C642" t="s">
        <v>1301</v>
      </c>
      <c r="D642" t="s">
        <v>1329</v>
      </c>
      <c r="E642" t="s">
        <v>187</v>
      </c>
      <c r="F642">
        <v>2005</v>
      </c>
      <c r="G642">
        <v>3.032E-3</v>
      </c>
    </row>
    <row r="643" spans="1:7">
      <c r="A643" t="s">
        <v>1297</v>
      </c>
      <c r="B643" t="s">
        <v>1298</v>
      </c>
      <c r="C643" t="s">
        <v>1301</v>
      </c>
      <c r="D643" t="s">
        <v>1329</v>
      </c>
      <c r="E643" t="s">
        <v>187</v>
      </c>
      <c r="F643">
        <v>2010</v>
      </c>
      <c r="G643">
        <v>3.0856000000000001E-2</v>
      </c>
    </row>
    <row r="644" spans="1:7">
      <c r="A644" t="s">
        <v>1297</v>
      </c>
      <c r="B644" t="s">
        <v>1298</v>
      </c>
      <c r="C644" t="s">
        <v>1301</v>
      </c>
      <c r="D644" t="s">
        <v>1329</v>
      </c>
      <c r="E644" t="s">
        <v>187</v>
      </c>
      <c r="F644">
        <v>2012</v>
      </c>
      <c r="G644">
        <v>5.1042999999999998E-2</v>
      </c>
    </row>
    <row r="645" spans="1:7">
      <c r="A645" t="s">
        <v>1297</v>
      </c>
      <c r="B645" t="s">
        <v>1298</v>
      </c>
      <c r="C645" t="s">
        <v>1301</v>
      </c>
      <c r="D645" t="s">
        <v>1329</v>
      </c>
      <c r="E645" t="s">
        <v>187</v>
      </c>
      <c r="F645">
        <v>2016</v>
      </c>
      <c r="G645">
        <v>0.14346300000000001</v>
      </c>
    </row>
    <row r="646" spans="1:7">
      <c r="A646" t="s">
        <v>1297</v>
      </c>
      <c r="B646" t="s">
        <v>1298</v>
      </c>
      <c r="C646" t="s">
        <v>685</v>
      </c>
      <c r="D646" t="s">
        <v>1329</v>
      </c>
      <c r="E646" t="s">
        <v>187</v>
      </c>
      <c r="F646">
        <v>2005</v>
      </c>
      <c r="G646">
        <v>4.1000000000000002E-2</v>
      </c>
    </row>
    <row r="647" spans="1:7">
      <c r="A647" t="s">
        <v>1297</v>
      </c>
      <c r="B647" t="s">
        <v>1298</v>
      </c>
      <c r="C647" t="s">
        <v>685</v>
      </c>
      <c r="D647" t="s">
        <v>1329</v>
      </c>
      <c r="E647" t="s">
        <v>187</v>
      </c>
      <c r="F647">
        <v>2010</v>
      </c>
      <c r="G647">
        <v>4.7E-2</v>
      </c>
    </row>
    <row r="648" spans="1:7">
      <c r="A648" t="s">
        <v>1297</v>
      </c>
      <c r="B648" t="s">
        <v>1298</v>
      </c>
      <c r="C648" t="s">
        <v>685</v>
      </c>
      <c r="D648" t="s">
        <v>1329</v>
      </c>
      <c r="E648" t="s">
        <v>187</v>
      </c>
      <c r="F648">
        <v>2012</v>
      </c>
      <c r="G648">
        <v>5.6000000000000001E-2</v>
      </c>
    </row>
    <row r="649" spans="1:7">
      <c r="A649" t="s">
        <v>1297</v>
      </c>
      <c r="B649" t="s">
        <v>1298</v>
      </c>
      <c r="C649" t="s">
        <v>685</v>
      </c>
      <c r="D649" t="s">
        <v>1329</v>
      </c>
      <c r="E649" t="s">
        <v>187</v>
      </c>
      <c r="F649">
        <v>2016</v>
      </c>
      <c r="G649">
        <v>5.2062999999999998E-2</v>
      </c>
    </row>
    <row r="650" spans="1:7">
      <c r="A650" t="s">
        <v>1297</v>
      </c>
      <c r="B650" t="s">
        <v>1298</v>
      </c>
      <c r="C650" t="s">
        <v>685</v>
      </c>
      <c r="D650" t="s">
        <v>1329</v>
      </c>
      <c r="E650" t="s">
        <v>187</v>
      </c>
      <c r="F650">
        <v>2020</v>
      </c>
      <c r="G650">
        <v>5.9267E-2</v>
      </c>
    </row>
    <row r="651" spans="1:7">
      <c r="A651" t="s">
        <v>1297</v>
      </c>
      <c r="B651" t="s">
        <v>1298</v>
      </c>
      <c r="C651" t="s">
        <v>289</v>
      </c>
      <c r="D651" t="s">
        <v>1329</v>
      </c>
      <c r="E651" t="s">
        <v>187</v>
      </c>
      <c r="F651">
        <v>2010</v>
      </c>
      <c r="G651">
        <v>1.421E-3</v>
      </c>
    </row>
    <row r="652" spans="1:7">
      <c r="A652" t="s">
        <v>1297</v>
      </c>
      <c r="B652" t="s">
        <v>1298</v>
      </c>
      <c r="C652" t="s">
        <v>289</v>
      </c>
      <c r="D652" t="s">
        <v>1329</v>
      </c>
      <c r="E652" t="s">
        <v>187</v>
      </c>
      <c r="F652">
        <v>2012</v>
      </c>
      <c r="G652">
        <v>9.8390000000000005E-3</v>
      </c>
    </row>
    <row r="653" spans="1:7">
      <c r="A653" t="s">
        <v>1297</v>
      </c>
      <c r="B653" t="s">
        <v>1298</v>
      </c>
      <c r="C653" t="s">
        <v>289</v>
      </c>
      <c r="D653" t="s">
        <v>1329</v>
      </c>
      <c r="E653" t="s">
        <v>187</v>
      </c>
      <c r="F653">
        <v>2016</v>
      </c>
      <c r="G653">
        <v>3.8034999999999999E-2</v>
      </c>
    </row>
    <row r="654" spans="1:7">
      <c r="A654" t="s">
        <v>1297</v>
      </c>
      <c r="B654" t="s">
        <v>1298</v>
      </c>
      <c r="C654" t="s">
        <v>289</v>
      </c>
      <c r="D654" t="s">
        <v>1329</v>
      </c>
      <c r="E654" t="s">
        <v>187</v>
      </c>
      <c r="F654">
        <v>2020</v>
      </c>
      <c r="G654">
        <v>0.110388</v>
      </c>
    </row>
    <row r="655" spans="1:7">
      <c r="A655" t="s">
        <v>1297</v>
      </c>
      <c r="B655" t="s">
        <v>1298</v>
      </c>
      <c r="C655" t="s">
        <v>684</v>
      </c>
      <c r="D655" t="s">
        <v>1329</v>
      </c>
      <c r="E655" t="s">
        <v>187</v>
      </c>
      <c r="F655">
        <v>2020</v>
      </c>
      <c r="G655">
        <v>2.4E-2</v>
      </c>
    </row>
    <row r="656" spans="1:7">
      <c r="A656" t="s">
        <v>1297</v>
      </c>
      <c r="B656" t="s">
        <v>1298</v>
      </c>
      <c r="C656" t="s">
        <v>681</v>
      </c>
      <c r="D656" t="s">
        <v>1329</v>
      </c>
      <c r="E656" t="s">
        <v>187</v>
      </c>
      <c r="F656">
        <v>2005</v>
      </c>
      <c r="G656">
        <v>0.126</v>
      </c>
    </row>
    <row r="657" spans="1:7">
      <c r="A657" t="s">
        <v>1297</v>
      </c>
      <c r="B657" t="s">
        <v>1298</v>
      </c>
      <c r="C657" t="s">
        <v>681</v>
      </c>
      <c r="D657" t="s">
        <v>1329</v>
      </c>
      <c r="E657" t="s">
        <v>187</v>
      </c>
      <c r="F657">
        <v>2010</v>
      </c>
      <c r="G657">
        <v>0.29299999999999998</v>
      </c>
    </row>
    <row r="658" spans="1:7">
      <c r="A658" t="s">
        <v>1297</v>
      </c>
      <c r="B658" t="s">
        <v>1298</v>
      </c>
      <c r="C658" t="s">
        <v>681</v>
      </c>
      <c r="D658" t="s">
        <v>1329</v>
      </c>
      <c r="E658" t="s">
        <v>187</v>
      </c>
      <c r="F658">
        <v>2012</v>
      </c>
      <c r="G658">
        <v>0.502</v>
      </c>
    </row>
    <row r="659" spans="1:7">
      <c r="A659" t="s">
        <v>1297</v>
      </c>
      <c r="B659" t="s">
        <v>1298</v>
      </c>
      <c r="C659" t="s">
        <v>681</v>
      </c>
      <c r="D659" t="s">
        <v>1329</v>
      </c>
      <c r="E659" t="s">
        <v>187</v>
      </c>
      <c r="F659">
        <v>2016</v>
      </c>
      <c r="G659">
        <v>0.501</v>
      </c>
    </row>
    <row r="660" spans="1:7">
      <c r="A660" t="s">
        <v>1297</v>
      </c>
      <c r="B660" t="s">
        <v>1298</v>
      </c>
      <c r="C660" t="s">
        <v>681</v>
      </c>
      <c r="D660" t="s">
        <v>1329</v>
      </c>
      <c r="E660" t="s">
        <v>187</v>
      </c>
      <c r="F660">
        <v>2020</v>
      </c>
      <c r="G660">
        <v>0.41475000000000001</v>
      </c>
    </row>
    <row r="661" spans="1:7">
      <c r="A661" t="s">
        <v>1297</v>
      </c>
      <c r="B661" t="s">
        <v>1298</v>
      </c>
      <c r="C661" t="s">
        <v>1300</v>
      </c>
      <c r="D661" t="s">
        <v>1329</v>
      </c>
      <c r="E661" t="s">
        <v>187</v>
      </c>
      <c r="F661">
        <v>2010</v>
      </c>
      <c r="G661">
        <v>2.1548999999999999E-2</v>
      </c>
    </row>
    <row r="662" spans="1:7">
      <c r="A662" t="s">
        <v>1297</v>
      </c>
      <c r="B662" t="s">
        <v>1298</v>
      </c>
      <c r="C662" t="s">
        <v>1300</v>
      </c>
      <c r="D662" t="s">
        <v>1329</v>
      </c>
      <c r="E662" t="s">
        <v>187</v>
      </c>
      <c r="F662">
        <v>2012</v>
      </c>
      <c r="G662">
        <v>3.3628999999999999E-2</v>
      </c>
    </row>
    <row r="663" spans="1:7">
      <c r="A663" t="s">
        <v>1297</v>
      </c>
      <c r="B663" t="s">
        <v>1298</v>
      </c>
      <c r="C663" t="s">
        <v>1300</v>
      </c>
      <c r="D663" t="s">
        <v>1329</v>
      </c>
      <c r="E663" t="s">
        <v>187</v>
      </c>
      <c r="F663">
        <v>2016</v>
      </c>
      <c r="G663">
        <v>5.0679000000000002E-2</v>
      </c>
    </row>
    <row r="664" spans="1:7">
      <c r="A664" t="s">
        <v>1297</v>
      </c>
      <c r="B664" t="s">
        <v>1298</v>
      </c>
      <c r="C664" t="s">
        <v>1300</v>
      </c>
      <c r="D664" t="s">
        <v>1329</v>
      </c>
      <c r="E664" t="s">
        <v>187</v>
      </c>
      <c r="F664">
        <v>2020</v>
      </c>
      <c r="G664">
        <v>5.2575999999999998E-2</v>
      </c>
    </row>
    <row r="665" spans="1:7">
      <c r="A665" t="s">
        <v>1297</v>
      </c>
      <c r="B665" t="s">
        <v>1298</v>
      </c>
      <c r="C665" t="s">
        <v>660</v>
      </c>
      <c r="D665" t="s">
        <v>1329</v>
      </c>
      <c r="E665" t="s">
        <v>187</v>
      </c>
      <c r="F665">
        <v>2005</v>
      </c>
      <c r="G665">
        <v>5.8862300000000003</v>
      </c>
    </row>
    <row r="666" spans="1:7">
      <c r="A666" t="s">
        <v>1297</v>
      </c>
      <c r="B666" t="s">
        <v>1298</v>
      </c>
      <c r="C666" t="s">
        <v>660</v>
      </c>
      <c r="D666" t="s">
        <v>1329</v>
      </c>
      <c r="E666" t="s">
        <v>187</v>
      </c>
      <c r="F666">
        <v>2010</v>
      </c>
      <c r="G666">
        <v>8.1720629999999996</v>
      </c>
    </row>
    <row r="667" spans="1:7">
      <c r="A667" t="s">
        <v>1297</v>
      </c>
      <c r="B667" t="s">
        <v>1298</v>
      </c>
      <c r="C667" t="s">
        <v>660</v>
      </c>
      <c r="D667" t="s">
        <v>1329</v>
      </c>
      <c r="E667" t="s">
        <v>187</v>
      </c>
      <c r="F667">
        <v>2012</v>
      </c>
      <c r="G667">
        <v>8.1534230000000001</v>
      </c>
    </row>
    <row r="668" spans="1:7">
      <c r="A668" t="s">
        <v>1297</v>
      </c>
      <c r="B668" t="s">
        <v>1298</v>
      </c>
      <c r="C668" t="s">
        <v>660</v>
      </c>
      <c r="D668" t="s">
        <v>1329</v>
      </c>
      <c r="E668" t="s">
        <v>187</v>
      </c>
      <c r="F668">
        <v>2016</v>
      </c>
      <c r="G668">
        <v>8.4409419999999997</v>
      </c>
    </row>
    <row r="669" spans="1:7">
      <c r="A669" t="s">
        <v>1297</v>
      </c>
      <c r="B669" t="s">
        <v>1298</v>
      </c>
      <c r="C669" t="s">
        <v>660</v>
      </c>
      <c r="D669" t="s">
        <v>1329</v>
      </c>
      <c r="E669" t="s">
        <v>187</v>
      </c>
      <c r="F669">
        <v>2020</v>
      </c>
      <c r="G669">
        <v>8.3396869999999996</v>
      </c>
    </row>
    <row r="670" spans="1:7">
      <c r="A670" t="s">
        <v>1297</v>
      </c>
      <c r="B670" t="s">
        <v>1298</v>
      </c>
      <c r="C670" t="s">
        <v>662</v>
      </c>
      <c r="D670" t="s">
        <v>1329</v>
      </c>
      <c r="E670" t="s">
        <v>187</v>
      </c>
      <c r="F670">
        <v>2020</v>
      </c>
      <c r="G670">
        <v>1.330071</v>
      </c>
    </row>
    <row r="671" spans="1:7">
      <c r="A671" t="s">
        <v>1297</v>
      </c>
      <c r="B671" t="s">
        <v>1298</v>
      </c>
      <c r="C671" t="s">
        <v>656</v>
      </c>
      <c r="D671" t="s">
        <v>1329</v>
      </c>
      <c r="E671" t="s">
        <v>187</v>
      </c>
      <c r="F671">
        <v>2005</v>
      </c>
      <c r="G671">
        <v>7.7040280000000001</v>
      </c>
    </row>
    <row r="672" spans="1:7">
      <c r="A672" t="s">
        <v>1297</v>
      </c>
      <c r="B672" t="s">
        <v>1298</v>
      </c>
      <c r="C672" t="s">
        <v>656</v>
      </c>
      <c r="D672" t="s">
        <v>1329</v>
      </c>
      <c r="E672" t="s">
        <v>187</v>
      </c>
      <c r="F672">
        <v>2010</v>
      </c>
      <c r="G672">
        <v>20.029536</v>
      </c>
    </row>
    <row r="673" spans="1:7">
      <c r="A673" t="s">
        <v>1297</v>
      </c>
      <c r="B673" t="s">
        <v>1298</v>
      </c>
      <c r="C673" t="s">
        <v>656</v>
      </c>
      <c r="D673" t="s">
        <v>1329</v>
      </c>
      <c r="E673" t="s">
        <v>187</v>
      </c>
      <c r="F673">
        <v>2012</v>
      </c>
      <c r="G673">
        <v>22.617334</v>
      </c>
    </row>
    <row r="674" spans="1:7">
      <c r="A674" t="s">
        <v>1297</v>
      </c>
      <c r="B674" t="s">
        <v>1298</v>
      </c>
      <c r="C674" t="s">
        <v>656</v>
      </c>
      <c r="D674" t="s">
        <v>1329</v>
      </c>
      <c r="E674" t="s">
        <v>187</v>
      </c>
      <c r="F674">
        <v>2016</v>
      </c>
      <c r="G674">
        <v>30.633754</v>
      </c>
    </row>
    <row r="675" spans="1:7">
      <c r="A675" t="s">
        <v>1297</v>
      </c>
      <c r="B675" t="s">
        <v>1298</v>
      </c>
      <c r="C675" t="s">
        <v>656</v>
      </c>
      <c r="D675" t="s">
        <v>1329</v>
      </c>
      <c r="E675" t="s">
        <v>187</v>
      </c>
      <c r="F675">
        <v>2020</v>
      </c>
      <c r="G675">
        <v>33.295045999999999</v>
      </c>
    </row>
    <row r="676" spans="1:7">
      <c r="A676" t="s">
        <v>1297</v>
      </c>
      <c r="B676" t="s">
        <v>1298</v>
      </c>
      <c r="C676" t="s">
        <v>671</v>
      </c>
      <c r="D676" t="s">
        <v>1329</v>
      </c>
      <c r="E676" t="s">
        <v>187</v>
      </c>
      <c r="F676">
        <v>2005</v>
      </c>
      <c r="G676">
        <v>19.105169</v>
      </c>
    </row>
    <row r="677" spans="1:7">
      <c r="A677" t="s">
        <v>1297</v>
      </c>
      <c r="B677" t="s">
        <v>1298</v>
      </c>
      <c r="C677" t="s">
        <v>671</v>
      </c>
      <c r="D677" t="s">
        <v>1329</v>
      </c>
      <c r="E677" t="s">
        <v>187</v>
      </c>
      <c r="F677">
        <v>2010</v>
      </c>
      <c r="G677">
        <v>21.394732999999999</v>
      </c>
    </row>
    <row r="678" spans="1:7">
      <c r="A678" t="s">
        <v>1297</v>
      </c>
      <c r="B678" t="s">
        <v>1298</v>
      </c>
      <c r="C678" t="s">
        <v>671</v>
      </c>
      <c r="D678" t="s">
        <v>1329</v>
      </c>
      <c r="E678" t="s">
        <v>187</v>
      </c>
      <c r="F678">
        <v>2012</v>
      </c>
      <c r="G678">
        <v>21.611408999999998</v>
      </c>
    </row>
    <row r="679" spans="1:7">
      <c r="A679" t="s">
        <v>1297</v>
      </c>
      <c r="B679" t="s">
        <v>1298</v>
      </c>
      <c r="C679" t="s">
        <v>671</v>
      </c>
      <c r="D679" t="s">
        <v>1329</v>
      </c>
      <c r="E679" t="s">
        <v>187</v>
      </c>
      <c r="F679">
        <v>2016</v>
      </c>
      <c r="G679">
        <v>22.154847</v>
      </c>
    </row>
    <row r="680" spans="1:7">
      <c r="A680" t="s">
        <v>1297</v>
      </c>
      <c r="B680" t="s">
        <v>1298</v>
      </c>
      <c r="C680" t="s">
        <v>671</v>
      </c>
      <c r="D680" t="s">
        <v>1329</v>
      </c>
      <c r="E680" t="s">
        <v>187</v>
      </c>
      <c r="F680">
        <v>2020</v>
      </c>
      <c r="G680">
        <v>20.334128</v>
      </c>
    </row>
    <row r="681" spans="1:7">
      <c r="A681" t="s">
        <v>1297</v>
      </c>
      <c r="B681" t="s">
        <v>1298</v>
      </c>
      <c r="C681" t="s">
        <v>657</v>
      </c>
      <c r="D681" t="s">
        <v>1329</v>
      </c>
      <c r="E681" t="s">
        <v>187</v>
      </c>
      <c r="F681">
        <v>2005</v>
      </c>
      <c r="G681">
        <v>3.2624420000000001</v>
      </c>
    </row>
    <row r="682" spans="1:7">
      <c r="A682" t="s">
        <v>1297</v>
      </c>
      <c r="B682" t="s">
        <v>1298</v>
      </c>
      <c r="C682" t="s">
        <v>661</v>
      </c>
      <c r="D682" t="s">
        <v>1329</v>
      </c>
      <c r="E682" t="s">
        <v>187</v>
      </c>
      <c r="F682">
        <v>2005</v>
      </c>
      <c r="G682">
        <v>3.9222489999999999</v>
      </c>
    </row>
    <row r="683" spans="1:7">
      <c r="A683" t="s">
        <v>1297</v>
      </c>
      <c r="B683" t="s">
        <v>1298</v>
      </c>
      <c r="C683" t="s">
        <v>661</v>
      </c>
      <c r="D683" t="s">
        <v>1329</v>
      </c>
      <c r="E683" t="s">
        <v>187</v>
      </c>
      <c r="F683">
        <v>2010</v>
      </c>
      <c r="G683">
        <v>5.4299350000000004</v>
      </c>
    </row>
    <row r="684" spans="1:7">
      <c r="A684" t="s">
        <v>1297</v>
      </c>
      <c r="B684" t="s">
        <v>1298</v>
      </c>
      <c r="C684" t="s">
        <v>661</v>
      </c>
      <c r="D684" t="s">
        <v>1329</v>
      </c>
      <c r="E684" t="s">
        <v>187</v>
      </c>
      <c r="F684">
        <v>2012</v>
      </c>
      <c r="G684">
        <v>5.9607400000000004</v>
      </c>
    </row>
    <row r="685" spans="1:7">
      <c r="A685" t="s">
        <v>1297</v>
      </c>
      <c r="B685" t="s">
        <v>1298</v>
      </c>
      <c r="C685" t="s">
        <v>661</v>
      </c>
      <c r="D685" t="s">
        <v>1329</v>
      </c>
      <c r="E685" t="s">
        <v>187</v>
      </c>
      <c r="F685">
        <v>2016</v>
      </c>
      <c r="G685">
        <v>10.506208000000001</v>
      </c>
    </row>
    <row r="686" spans="1:7">
      <c r="A686" t="s">
        <v>1297</v>
      </c>
      <c r="B686" t="s">
        <v>1298</v>
      </c>
      <c r="C686" t="s">
        <v>661</v>
      </c>
      <c r="D686" t="s">
        <v>1329</v>
      </c>
      <c r="E686" t="s">
        <v>187</v>
      </c>
      <c r="F686">
        <v>2020</v>
      </c>
      <c r="G686">
        <v>15.291254</v>
      </c>
    </row>
    <row r="687" spans="1:7">
      <c r="A687" t="s">
        <v>1297</v>
      </c>
      <c r="B687" t="s">
        <v>1298</v>
      </c>
      <c r="C687" t="s">
        <v>679</v>
      </c>
      <c r="D687" t="s">
        <v>1329</v>
      </c>
      <c r="E687" t="s">
        <v>187</v>
      </c>
      <c r="F687">
        <v>2005</v>
      </c>
      <c r="G687">
        <v>8.8807999999999998E-2</v>
      </c>
    </row>
    <row r="688" spans="1:7">
      <c r="A688" t="s">
        <v>1297</v>
      </c>
      <c r="B688" t="s">
        <v>1298</v>
      </c>
      <c r="C688" t="s">
        <v>679</v>
      </c>
      <c r="D688" t="s">
        <v>1329</v>
      </c>
      <c r="E688" t="s">
        <v>187</v>
      </c>
      <c r="F688">
        <v>2010</v>
      </c>
      <c r="G688">
        <v>2.3607E-2</v>
      </c>
    </row>
    <row r="689" spans="1:7">
      <c r="A689" t="s">
        <v>1297</v>
      </c>
      <c r="B689" t="s">
        <v>1298</v>
      </c>
      <c r="C689" t="s">
        <v>679</v>
      </c>
      <c r="D689" t="s">
        <v>1329</v>
      </c>
      <c r="E689" t="s">
        <v>187</v>
      </c>
      <c r="F689">
        <v>2012</v>
      </c>
      <c r="G689">
        <v>2.4247000000000001E-2</v>
      </c>
    </row>
    <row r="690" spans="1:7">
      <c r="A690" t="s">
        <v>1297</v>
      </c>
      <c r="B690" t="s">
        <v>1298</v>
      </c>
      <c r="C690" t="s">
        <v>679</v>
      </c>
      <c r="D690" t="s">
        <v>1329</v>
      </c>
      <c r="E690" t="s">
        <v>187</v>
      </c>
      <c r="F690">
        <v>2016</v>
      </c>
      <c r="G690">
        <v>2.6967999999999999E-2</v>
      </c>
    </row>
    <row r="691" spans="1:7">
      <c r="A691" t="s">
        <v>1297</v>
      </c>
      <c r="B691" t="s">
        <v>1298</v>
      </c>
      <c r="C691" t="s">
        <v>679</v>
      </c>
      <c r="D691" t="s">
        <v>1329</v>
      </c>
      <c r="E691" t="s">
        <v>187</v>
      </c>
      <c r="F691">
        <v>2020</v>
      </c>
      <c r="G691">
        <v>3.9024999999999997E-2</v>
      </c>
    </row>
    <row r="692" spans="1:7">
      <c r="A692" t="s">
        <v>1297</v>
      </c>
      <c r="B692" t="s">
        <v>1298</v>
      </c>
      <c r="C692" t="s">
        <v>686</v>
      </c>
      <c r="D692" t="s">
        <v>1329</v>
      </c>
      <c r="E692" t="s">
        <v>187</v>
      </c>
      <c r="F692">
        <v>2010</v>
      </c>
      <c r="G692">
        <v>2.5000000000000001E-2</v>
      </c>
    </row>
    <row r="693" spans="1:7">
      <c r="A693" t="s">
        <v>1297</v>
      </c>
      <c r="B693" t="s">
        <v>1298</v>
      </c>
      <c r="C693" t="s">
        <v>686</v>
      </c>
      <c r="D693" t="s">
        <v>1329</v>
      </c>
      <c r="E693" t="s">
        <v>187</v>
      </c>
      <c r="F693">
        <v>2012</v>
      </c>
      <c r="G693">
        <v>0.12918099999999999</v>
      </c>
    </row>
    <row r="694" spans="1:7">
      <c r="A694" t="s">
        <v>1297</v>
      </c>
      <c r="B694" t="s">
        <v>1298</v>
      </c>
      <c r="C694" t="s">
        <v>686</v>
      </c>
      <c r="D694" t="s">
        <v>1329</v>
      </c>
      <c r="E694" t="s">
        <v>187</v>
      </c>
      <c r="F694">
        <v>2016</v>
      </c>
      <c r="G694">
        <v>0.105974</v>
      </c>
    </row>
    <row r="695" spans="1:7">
      <c r="A695" t="s">
        <v>1297</v>
      </c>
      <c r="B695" t="s">
        <v>1298</v>
      </c>
      <c r="C695" t="s">
        <v>686</v>
      </c>
      <c r="D695" t="s">
        <v>1329</v>
      </c>
      <c r="E695" t="s">
        <v>187</v>
      </c>
      <c r="F695">
        <v>2020</v>
      </c>
      <c r="G695">
        <v>0.33711200000000002</v>
      </c>
    </row>
    <row r="696" spans="1:7">
      <c r="A696" t="s">
        <v>1297</v>
      </c>
      <c r="B696" t="s">
        <v>1298</v>
      </c>
      <c r="C696" t="s">
        <v>675</v>
      </c>
      <c r="D696" t="s">
        <v>1329</v>
      </c>
      <c r="E696" t="s">
        <v>187</v>
      </c>
      <c r="F696">
        <v>2020</v>
      </c>
      <c r="G696">
        <v>9.6100000000000005E-4</v>
      </c>
    </row>
    <row r="697" spans="1:7">
      <c r="A697" t="s">
        <v>1297</v>
      </c>
      <c r="B697" t="s">
        <v>1298</v>
      </c>
      <c r="C697" t="s">
        <v>674</v>
      </c>
      <c r="D697" t="s">
        <v>1329</v>
      </c>
      <c r="E697" t="s">
        <v>187</v>
      </c>
      <c r="F697">
        <v>2005</v>
      </c>
      <c r="G697">
        <v>3.214191</v>
      </c>
    </row>
    <row r="698" spans="1:7">
      <c r="A698" t="s">
        <v>1297</v>
      </c>
      <c r="B698" t="s">
        <v>1298</v>
      </c>
      <c r="C698" t="s">
        <v>674</v>
      </c>
      <c r="D698" t="s">
        <v>1329</v>
      </c>
      <c r="E698" t="s">
        <v>187</v>
      </c>
      <c r="F698">
        <v>2010</v>
      </c>
      <c r="G698">
        <v>4.0729119999999996</v>
      </c>
    </row>
    <row r="699" spans="1:7">
      <c r="A699" t="s">
        <v>1297</v>
      </c>
      <c r="B699" t="s">
        <v>1298</v>
      </c>
      <c r="C699" t="s">
        <v>674</v>
      </c>
      <c r="D699" t="s">
        <v>1329</v>
      </c>
      <c r="E699" t="s">
        <v>187</v>
      </c>
      <c r="F699">
        <v>2012</v>
      </c>
      <c r="G699">
        <v>4.5965400000000001</v>
      </c>
    </row>
    <row r="700" spans="1:7">
      <c r="A700" t="s">
        <v>1297</v>
      </c>
      <c r="B700" t="s">
        <v>1298</v>
      </c>
      <c r="C700" t="s">
        <v>674</v>
      </c>
      <c r="D700" t="s">
        <v>1329</v>
      </c>
      <c r="E700" t="s">
        <v>187</v>
      </c>
      <c r="F700">
        <v>2016</v>
      </c>
      <c r="G700">
        <v>7.9238289999999996</v>
      </c>
    </row>
    <row r="701" spans="1:7">
      <c r="A701" t="s">
        <v>1297</v>
      </c>
      <c r="B701" t="s">
        <v>1298</v>
      </c>
      <c r="C701" t="s">
        <v>674</v>
      </c>
      <c r="D701" t="s">
        <v>1329</v>
      </c>
      <c r="E701" t="s">
        <v>187</v>
      </c>
      <c r="F701">
        <v>2020</v>
      </c>
      <c r="G701">
        <v>10.104042</v>
      </c>
    </row>
    <row r="702" spans="1:7">
      <c r="A702" t="s">
        <v>1297</v>
      </c>
      <c r="B702" t="s">
        <v>1298</v>
      </c>
      <c r="C702" t="s">
        <v>651</v>
      </c>
      <c r="D702" t="s">
        <v>1329</v>
      </c>
      <c r="E702" t="s">
        <v>187</v>
      </c>
      <c r="F702">
        <v>2005</v>
      </c>
      <c r="G702">
        <v>6.1628689999999997</v>
      </c>
    </row>
    <row r="703" spans="1:7">
      <c r="A703" t="s">
        <v>1297</v>
      </c>
      <c r="B703" t="s">
        <v>1298</v>
      </c>
      <c r="C703" t="s">
        <v>651</v>
      </c>
      <c r="D703" t="s">
        <v>1329</v>
      </c>
      <c r="E703" t="s">
        <v>187</v>
      </c>
      <c r="F703">
        <v>2010</v>
      </c>
      <c r="G703">
        <v>7.4284299999999996</v>
      </c>
    </row>
    <row r="704" spans="1:7">
      <c r="A704" t="s">
        <v>1297</v>
      </c>
      <c r="B704" t="s">
        <v>1298</v>
      </c>
      <c r="C704" t="s">
        <v>651</v>
      </c>
      <c r="D704" t="s">
        <v>1329</v>
      </c>
      <c r="E704" t="s">
        <v>187</v>
      </c>
      <c r="F704">
        <v>2012</v>
      </c>
      <c r="G704">
        <v>7.7204750000000004</v>
      </c>
    </row>
    <row r="705" spans="1:8">
      <c r="A705" t="s">
        <v>1297</v>
      </c>
      <c r="B705" t="s">
        <v>1298</v>
      </c>
      <c r="C705" t="s">
        <v>651</v>
      </c>
      <c r="D705" t="s">
        <v>1329</v>
      </c>
      <c r="E705" t="s">
        <v>187</v>
      </c>
      <c r="F705">
        <v>2016</v>
      </c>
      <c r="G705">
        <v>8.1498399999999993</v>
      </c>
    </row>
    <row r="706" spans="1:8">
      <c r="A706" t="s">
        <v>1297</v>
      </c>
      <c r="B706" t="s">
        <v>1298</v>
      </c>
      <c r="C706" t="s">
        <v>651</v>
      </c>
      <c r="D706" t="s">
        <v>1329</v>
      </c>
      <c r="E706" t="s">
        <v>187</v>
      </c>
      <c r="F706">
        <v>2020</v>
      </c>
      <c r="G706">
        <v>7.2120069999999998</v>
      </c>
    </row>
    <row r="707" spans="1:8">
      <c r="A707" t="s">
        <v>1297</v>
      </c>
      <c r="B707" t="s">
        <v>1298</v>
      </c>
      <c r="C707" t="s">
        <v>665</v>
      </c>
      <c r="D707" t="s">
        <v>1329</v>
      </c>
      <c r="E707" t="s">
        <v>187</v>
      </c>
      <c r="F707">
        <v>2005</v>
      </c>
      <c r="G707">
        <v>0.32035400000000003</v>
      </c>
    </row>
    <row r="708" spans="1:8">
      <c r="A708" t="s">
        <v>1297</v>
      </c>
      <c r="B708" t="s">
        <v>1298</v>
      </c>
      <c r="C708" t="s">
        <v>665</v>
      </c>
      <c r="D708" t="s">
        <v>1329</v>
      </c>
      <c r="E708" t="s">
        <v>187</v>
      </c>
      <c r="F708">
        <v>2010</v>
      </c>
      <c r="G708">
        <v>0.69290799999999997</v>
      </c>
    </row>
    <row r="709" spans="1:8">
      <c r="A709" t="s">
        <v>1297</v>
      </c>
      <c r="B709" t="s">
        <v>1298</v>
      </c>
      <c r="C709" t="s">
        <v>665</v>
      </c>
      <c r="D709" t="s">
        <v>1329</v>
      </c>
      <c r="E709" t="s">
        <v>187</v>
      </c>
      <c r="F709">
        <v>2012</v>
      </c>
      <c r="G709">
        <v>1.019326</v>
      </c>
    </row>
    <row r="710" spans="1:8">
      <c r="A710" t="s">
        <v>1297</v>
      </c>
      <c r="B710" t="s">
        <v>1298</v>
      </c>
      <c r="C710" t="s">
        <v>665</v>
      </c>
      <c r="D710" t="s">
        <v>1329</v>
      </c>
      <c r="E710" t="s">
        <v>187</v>
      </c>
      <c r="F710">
        <v>2016</v>
      </c>
      <c r="G710">
        <v>2.8305180000000001</v>
      </c>
    </row>
    <row r="711" spans="1:8">
      <c r="A711" t="s">
        <v>1297</v>
      </c>
      <c r="B711" t="s">
        <v>1298</v>
      </c>
      <c r="C711" t="s">
        <v>665</v>
      </c>
      <c r="D711" t="s">
        <v>1329</v>
      </c>
      <c r="E711" t="s">
        <v>187</v>
      </c>
      <c r="F711">
        <v>2020</v>
      </c>
      <c r="G711">
        <v>2.9578090000000001</v>
      </c>
    </row>
    <row r="712" spans="1:8">
      <c r="A712" t="s">
        <v>1297</v>
      </c>
      <c r="B712" t="s">
        <v>1298</v>
      </c>
      <c r="C712" t="s">
        <v>682</v>
      </c>
      <c r="D712" t="s">
        <v>1329</v>
      </c>
      <c r="E712" t="s">
        <v>187</v>
      </c>
      <c r="F712">
        <v>2020</v>
      </c>
      <c r="G712" s="14">
        <v>9.7E-5</v>
      </c>
      <c r="H712" s="14"/>
    </row>
    <row r="713" spans="1:8">
      <c r="A713" t="s">
        <v>1297</v>
      </c>
      <c r="B713" t="s">
        <v>1298</v>
      </c>
      <c r="C713" t="s">
        <v>654</v>
      </c>
      <c r="D713" t="s">
        <v>1329</v>
      </c>
      <c r="E713" t="s">
        <v>187</v>
      </c>
      <c r="F713">
        <v>2010</v>
      </c>
      <c r="G713">
        <v>7.1564000000000003E-2</v>
      </c>
    </row>
    <row r="714" spans="1:8">
      <c r="A714" t="s">
        <v>1297</v>
      </c>
      <c r="B714" t="s">
        <v>1298</v>
      </c>
      <c r="C714" t="s">
        <v>654</v>
      </c>
      <c r="D714" t="s">
        <v>1329</v>
      </c>
      <c r="E714" t="s">
        <v>187</v>
      </c>
      <c r="F714">
        <v>2012</v>
      </c>
      <c r="G714">
        <v>0.14779100000000001</v>
      </c>
    </row>
    <row r="715" spans="1:8">
      <c r="A715" t="s">
        <v>1297</v>
      </c>
      <c r="B715" t="s">
        <v>1298</v>
      </c>
      <c r="C715" t="s">
        <v>654</v>
      </c>
      <c r="D715" t="s">
        <v>1329</v>
      </c>
      <c r="E715" t="s">
        <v>187</v>
      </c>
      <c r="F715">
        <v>2016</v>
      </c>
      <c r="G715">
        <v>0.15143699999999999</v>
      </c>
    </row>
    <row r="716" spans="1:8">
      <c r="A716" t="s">
        <v>1297</v>
      </c>
      <c r="B716" t="s">
        <v>1298</v>
      </c>
      <c r="C716" t="s">
        <v>654</v>
      </c>
      <c r="D716" t="s">
        <v>1329</v>
      </c>
      <c r="E716" t="s">
        <v>187</v>
      </c>
      <c r="F716">
        <v>2020</v>
      </c>
      <c r="G716">
        <v>0.17648900000000001</v>
      </c>
    </row>
    <row r="717" spans="1:8">
      <c r="A717" t="s">
        <v>1297</v>
      </c>
      <c r="B717" t="s">
        <v>1298</v>
      </c>
      <c r="C717" t="s">
        <v>667</v>
      </c>
      <c r="D717" t="s">
        <v>1330</v>
      </c>
      <c r="E717" t="s">
        <v>187</v>
      </c>
      <c r="F717">
        <v>2005</v>
      </c>
      <c r="G717">
        <v>0.128354</v>
      </c>
    </row>
    <row r="718" spans="1:8">
      <c r="A718" t="s">
        <v>1297</v>
      </c>
      <c r="B718" t="s">
        <v>1298</v>
      </c>
      <c r="C718" t="s">
        <v>667</v>
      </c>
      <c r="D718" t="s">
        <v>1330</v>
      </c>
      <c r="E718" t="s">
        <v>187</v>
      </c>
      <c r="F718">
        <v>2010</v>
      </c>
      <c r="G718">
        <v>0.25390600000000002</v>
      </c>
    </row>
    <row r="719" spans="1:8">
      <c r="A719" t="s">
        <v>1297</v>
      </c>
      <c r="B719" t="s">
        <v>1298</v>
      </c>
      <c r="C719" t="s">
        <v>667</v>
      </c>
      <c r="D719" t="s">
        <v>1330</v>
      </c>
      <c r="E719" t="s">
        <v>187</v>
      </c>
      <c r="F719">
        <v>2012</v>
      </c>
      <c r="G719">
        <v>0.367288</v>
      </c>
    </row>
    <row r="720" spans="1:8">
      <c r="A720" t="s">
        <v>1297</v>
      </c>
      <c r="B720" t="s">
        <v>1298</v>
      </c>
      <c r="C720" t="s">
        <v>667</v>
      </c>
      <c r="D720" t="s">
        <v>1330</v>
      </c>
      <c r="E720" t="s">
        <v>187</v>
      </c>
      <c r="F720">
        <v>2016</v>
      </c>
      <c r="G720">
        <v>1.113513</v>
      </c>
    </row>
    <row r="721" spans="1:7">
      <c r="A721" t="s">
        <v>1297</v>
      </c>
      <c r="B721" t="s">
        <v>1298</v>
      </c>
      <c r="C721" t="s">
        <v>667</v>
      </c>
      <c r="D721" t="s">
        <v>1330</v>
      </c>
      <c r="E721" t="s">
        <v>187</v>
      </c>
      <c r="F721">
        <v>2020</v>
      </c>
      <c r="G721">
        <v>3.5330159999999999</v>
      </c>
    </row>
    <row r="722" spans="1:7">
      <c r="A722" t="s">
        <v>1297</v>
      </c>
      <c r="B722" t="s">
        <v>1298</v>
      </c>
      <c r="C722" t="s">
        <v>660</v>
      </c>
      <c r="D722" t="s">
        <v>1330</v>
      </c>
      <c r="E722" t="s">
        <v>187</v>
      </c>
      <c r="F722">
        <v>2005</v>
      </c>
      <c r="G722">
        <v>20.895254000000001</v>
      </c>
    </row>
    <row r="723" spans="1:7">
      <c r="A723" t="s">
        <v>1297</v>
      </c>
      <c r="B723" t="s">
        <v>1298</v>
      </c>
      <c r="C723" t="s">
        <v>660</v>
      </c>
      <c r="D723" t="s">
        <v>1330</v>
      </c>
      <c r="E723" t="s">
        <v>187</v>
      </c>
      <c r="F723">
        <v>2010</v>
      </c>
      <c r="G723">
        <v>27.948308000000001</v>
      </c>
    </row>
    <row r="724" spans="1:7">
      <c r="A724" t="s">
        <v>1297</v>
      </c>
      <c r="B724" t="s">
        <v>1298</v>
      </c>
      <c r="C724" t="s">
        <v>660</v>
      </c>
      <c r="D724" t="s">
        <v>1330</v>
      </c>
      <c r="E724" t="s">
        <v>187</v>
      </c>
      <c r="F724">
        <v>2012</v>
      </c>
      <c r="G724">
        <v>31.421510000000001</v>
      </c>
    </row>
    <row r="725" spans="1:7">
      <c r="A725" t="s">
        <v>1297</v>
      </c>
      <c r="B725" t="s">
        <v>1298</v>
      </c>
      <c r="C725" t="s">
        <v>660</v>
      </c>
      <c r="D725" t="s">
        <v>1330</v>
      </c>
      <c r="E725" t="s">
        <v>187</v>
      </c>
      <c r="F725">
        <v>2016</v>
      </c>
      <c r="G725">
        <v>32.463101999999999</v>
      </c>
    </row>
    <row r="726" spans="1:7">
      <c r="A726" t="s">
        <v>1297</v>
      </c>
      <c r="B726" t="s">
        <v>1298</v>
      </c>
      <c r="C726" t="s">
        <v>660</v>
      </c>
      <c r="D726" t="s">
        <v>1330</v>
      </c>
      <c r="E726" t="s">
        <v>187</v>
      </c>
      <c r="F726">
        <v>2020</v>
      </c>
      <c r="G726">
        <v>36.796472000000001</v>
      </c>
    </row>
    <row r="727" spans="1:7">
      <c r="A727" t="s">
        <v>1297</v>
      </c>
      <c r="B727" t="s">
        <v>1298</v>
      </c>
      <c r="C727" t="s">
        <v>684</v>
      </c>
      <c r="D727" t="s">
        <v>1330</v>
      </c>
      <c r="E727" t="s">
        <v>187</v>
      </c>
      <c r="F727">
        <v>2012</v>
      </c>
      <c r="G727">
        <v>0.253</v>
      </c>
    </row>
    <row r="728" spans="1:7">
      <c r="A728" t="s">
        <v>1297</v>
      </c>
      <c r="B728" t="s">
        <v>1298</v>
      </c>
      <c r="C728" t="s">
        <v>684</v>
      </c>
      <c r="D728" t="s">
        <v>1330</v>
      </c>
      <c r="E728" t="s">
        <v>187</v>
      </c>
      <c r="F728">
        <v>2016</v>
      </c>
      <c r="G728">
        <v>0.246</v>
      </c>
    </row>
    <row r="729" spans="1:7">
      <c r="A729" t="s">
        <v>1297</v>
      </c>
      <c r="B729" t="s">
        <v>1298</v>
      </c>
      <c r="C729" t="s">
        <v>684</v>
      </c>
      <c r="D729" t="s">
        <v>1330</v>
      </c>
      <c r="E729" t="s">
        <v>187</v>
      </c>
      <c r="F729">
        <v>2020</v>
      </c>
      <c r="G729">
        <v>0.317</v>
      </c>
    </row>
    <row r="730" spans="1:7">
      <c r="A730" t="s">
        <v>1297</v>
      </c>
      <c r="B730" t="s">
        <v>1298</v>
      </c>
      <c r="C730" t="s">
        <v>685</v>
      </c>
      <c r="D730" t="s">
        <v>1330</v>
      </c>
      <c r="E730" t="s">
        <v>187</v>
      </c>
      <c r="F730">
        <v>2005</v>
      </c>
      <c r="G730">
        <v>0.129</v>
      </c>
    </row>
    <row r="731" spans="1:7">
      <c r="A731" t="s">
        <v>1297</v>
      </c>
      <c r="B731" t="s">
        <v>1298</v>
      </c>
      <c r="C731" t="s">
        <v>685</v>
      </c>
      <c r="D731" t="s">
        <v>1330</v>
      </c>
      <c r="E731" t="s">
        <v>187</v>
      </c>
      <c r="F731">
        <v>2010</v>
      </c>
      <c r="G731">
        <v>0.32600000000000001</v>
      </c>
    </row>
    <row r="732" spans="1:7">
      <c r="A732" t="s">
        <v>1297</v>
      </c>
      <c r="B732" t="s">
        <v>1298</v>
      </c>
      <c r="C732" t="s">
        <v>685</v>
      </c>
      <c r="D732" t="s">
        <v>1330</v>
      </c>
      <c r="E732" t="s">
        <v>187</v>
      </c>
      <c r="F732">
        <v>2012</v>
      </c>
      <c r="G732">
        <v>0.22</v>
      </c>
    </row>
    <row r="733" spans="1:7">
      <c r="A733" t="s">
        <v>1297</v>
      </c>
      <c r="B733" t="s">
        <v>1298</v>
      </c>
      <c r="C733" t="s">
        <v>685</v>
      </c>
      <c r="D733" t="s">
        <v>1330</v>
      </c>
      <c r="E733" t="s">
        <v>187</v>
      </c>
      <c r="F733">
        <v>2016</v>
      </c>
      <c r="G733">
        <v>0.20671500000000001</v>
      </c>
    </row>
    <row r="734" spans="1:7">
      <c r="A734" t="s">
        <v>1297</v>
      </c>
      <c r="B734" t="s">
        <v>1298</v>
      </c>
      <c r="C734" t="s">
        <v>685</v>
      </c>
      <c r="D734" t="s">
        <v>1330</v>
      </c>
      <c r="E734" t="s">
        <v>187</v>
      </c>
      <c r="F734">
        <v>2020</v>
      </c>
      <c r="G734">
        <v>0.23125499999999999</v>
      </c>
    </row>
    <row r="735" spans="1:7">
      <c r="A735" t="s">
        <v>1297</v>
      </c>
      <c r="B735" t="s">
        <v>1298</v>
      </c>
      <c r="C735" t="s">
        <v>677</v>
      </c>
      <c r="D735" t="s">
        <v>1330</v>
      </c>
      <c r="E735" t="s">
        <v>187</v>
      </c>
      <c r="F735">
        <v>2005</v>
      </c>
      <c r="G735">
        <v>10.593502000000001</v>
      </c>
    </row>
    <row r="736" spans="1:7">
      <c r="A736" t="s">
        <v>1297</v>
      </c>
      <c r="B736" t="s">
        <v>1298</v>
      </c>
      <c r="C736" t="s">
        <v>677</v>
      </c>
      <c r="D736" t="s">
        <v>1330</v>
      </c>
      <c r="E736" t="s">
        <v>187</v>
      </c>
      <c r="F736">
        <v>2010</v>
      </c>
      <c r="G736">
        <v>13.850619</v>
      </c>
    </row>
    <row r="737" spans="1:7">
      <c r="A737" t="s">
        <v>1297</v>
      </c>
      <c r="B737" t="s">
        <v>1298</v>
      </c>
      <c r="C737" t="s">
        <v>677</v>
      </c>
      <c r="D737" t="s">
        <v>1330</v>
      </c>
      <c r="E737" t="s">
        <v>187</v>
      </c>
      <c r="F737">
        <v>2012</v>
      </c>
      <c r="G737">
        <v>17.516159999999999</v>
      </c>
    </row>
    <row r="738" spans="1:7">
      <c r="A738" t="s">
        <v>1297</v>
      </c>
      <c r="B738" t="s">
        <v>1298</v>
      </c>
      <c r="C738" t="s">
        <v>677</v>
      </c>
      <c r="D738" t="s">
        <v>1330</v>
      </c>
      <c r="E738" t="s">
        <v>187</v>
      </c>
      <c r="F738">
        <v>2016</v>
      </c>
      <c r="G738">
        <v>34.920662</v>
      </c>
    </row>
    <row r="739" spans="1:7">
      <c r="A739" t="s">
        <v>1297</v>
      </c>
      <c r="B739" t="s">
        <v>1298</v>
      </c>
      <c r="C739" t="s">
        <v>677</v>
      </c>
      <c r="D739" t="s">
        <v>1330</v>
      </c>
      <c r="E739" t="s">
        <v>187</v>
      </c>
      <c r="F739">
        <v>2020</v>
      </c>
      <c r="G739">
        <v>48.150072000000002</v>
      </c>
    </row>
    <row r="740" spans="1:7">
      <c r="A740" t="s">
        <v>1297</v>
      </c>
      <c r="B740" t="s">
        <v>1298</v>
      </c>
      <c r="C740" t="s">
        <v>671</v>
      </c>
      <c r="D740" t="s">
        <v>1330</v>
      </c>
      <c r="E740" t="s">
        <v>187</v>
      </c>
      <c r="F740">
        <v>2005</v>
      </c>
      <c r="G740">
        <v>9.2602410000000006</v>
      </c>
    </row>
    <row r="741" spans="1:7">
      <c r="A741" t="s">
        <v>1297</v>
      </c>
      <c r="B741" t="s">
        <v>1298</v>
      </c>
      <c r="C741" t="s">
        <v>671</v>
      </c>
      <c r="D741" t="s">
        <v>1330</v>
      </c>
      <c r="E741" t="s">
        <v>187</v>
      </c>
      <c r="F741">
        <v>2010</v>
      </c>
      <c r="G741">
        <v>17.737254</v>
      </c>
    </row>
    <row r="742" spans="1:7">
      <c r="A742" t="s">
        <v>1297</v>
      </c>
      <c r="B742" t="s">
        <v>1298</v>
      </c>
      <c r="C742" t="s">
        <v>671</v>
      </c>
      <c r="D742" t="s">
        <v>1330</v>
      </c>
      <c r="E742" t="s">
        <v>187</v>
      </c>
      <c r="F742">
        <v>2012</v>
      </c>
      <c r="G742">
        <v>21.733844999999999</v>
      </c>
    </row>
    <row r="743" spans="1:7">
      <c r="A743" t="s">
        <v>1297</v>
      </c>
      <c r="B743" t="s">
        <v>1298</v>
      </c>
      <c r="C743" t="s">
        <v>671</v>
      </c>
      <c r="D743" t="s">
        <v>1330</v>
      </c>
      <c r="E743" t="s">
        <v>187</v>
      </c>
      <c r="F743">
        <v>2016</v>
      </c>
      <c r="G743">
        <v>20.922819</v>
      </c>
    </row>
    <row r="744" spans="1:7">
      <c r="A744" t="s">
        <v>1297</v>
      </c>
      <c r="B744" t="s">
        <v>1298</v>
      </c>
      <c r="C744" t="s">
        <v>671</v>
      </c>
      <c r="D744" t="s">
        <v>1330</v>
      </c>
      <c r="E744" t="s">
        <v>187</v>
      </c>
      <c r="F744">
        <v>2020</v>
      </c>
      <c r="G744">
        <v>21.17998</v>
      </c>
    </row>
    <row r="745" spans="1:7">
      <c r="A745" t="s">
        <v>1297</v>
      </c>
      <c r="B745" t="s">
        <v>1298</v>
      </c>
      <c r="C745" t="s">
        <v>289</v>
      </c>
      <c r="D745" t="s">
        <v>1330</v>
      </c>
      <c r="E745" t="s">
        <v>187</v>
      </c>
      <c r="F745">
        <v>2005</v>
      </c>
      <c r="G745">
        <v>1.6629999999999999E-2</v>
      </c>
    </row>
    <row r="746" spans="1:7">
      <c r="A746" t="s">
        <v>1297</v>
      </c>
      <c r="B746" t="s">
        <v>1298</v>
      </c>
      <c r="C746" t="s">
        <v>289</v>
      </c>
      <c r="D746" t="s">
        <v>1330</v>
      </c>
      <c r="E746" t="s">
        <v>187</v>
      </c>
      <c r="F746">
        <v>2010</v>
      </c>
      <c r="G746">
        <v>0.187524</v>
      </c>
    </row>
    <row r="747" spans="1:7">
      <c r="A747" t="s">
        <v>1297</v>
      </c>
      <c r="B747" t="s">
        <v>1298</v>
      </c>
      <c r="C747" t="s">
        <v>289</v>
      </c>
      <c r="D747" t="s">
        <v>1330</v>
      </c>
      <c r="E747" t="s">
        <v>187</v>
      </c>
      <c r="F747">
        <v>2012</v>
      </c>
      <c r="G747">
        <v>0.36419800000000002</v>
      </c>
    </row>
    <row r="748" spans="1:7">
      <c r="A748" t="s">
        <v>1297</v>
      </c>
      <c r="B748" t="s">
        <v>1298</v>
      </c>
      <c r="C748" t="s">
        <v>289</v>
      </c>
      <c r="D748" t="s">
        <v>1330</v>
      </c>
      <c r="E748" t="s">
        <v>187</v>
      </c>
      <c r="F748">
        <v>2016</v>
      </c>
      <c r="G748">
        <v>1.213956</v>
      </c>
    </row>
    <row r="749" spans="1:7">
      <c r="A749" t="s">
        <v>1297</v>
      </c>
      <c r="B749" t="s">
        <v>1298</v>
      </c>
      <c r="C749" t="s">
        <v>289</v>
      </c>
      <c r="D749" t="s">
        <v>1330</v>
      </c>
      <c r="E749" t="s">
        <v>187</v>
      </c>
      <c r="F749">
        <v>2020</v>
      </c>
      <c r="G749">
        <v>2.6221770000000002</v>
      </c>
    </row>
    <row r="750" spans="1:7">
      <c r="A750" t="s">
        <v>1297</v>
      </c>
      <c r="B750" t="s">
        <v>1298</v>
      </c>
      <c r="C750" t="s">
        <v>1302</v>
      </c>
      <c r="D750" t="s">
        <v>1330</v>
      </c>
      <c r="E750" t="s">
        <v>187</v>
      </c>
      <c r="F750">
        <v>2005</v>
      </c>
      <c r="G750">
        <v>2.2639999999999998</v>
      </c>
    </row>
    <row r="751" spans="1:7">
      <c r="A751" t="s">
        <v>1297</v>
      </c>
      <c r="B751" t="s">
        <v>1298</v>
      </c>
      <c r="C751" t="s">
        <v>674</v>
      </c>
      <c r="D751" t="s">
        <v>1330</v>
      </c>
      <c r="E751" t="s">
        <v>187</v>
      </c>
      <c r="F751">
        <v>2005</v>
      </c>
      <c r="G751">
        <v>42.289200000000001</v>
      </c>
    </row>
    <row r="752" spans="1:7">
      <c r="A752" t="s">
        <v>1297</v>
      </c>
      <c r="B752" t="s">
        <v>1298</v>
      </c>
      <c r="C752" t="s">
        <v>674</v>
      </c>
      <c r="D752" t="s">
        <v>1330</v>
      </c>
      <c r="E752" t="s">
        <v>187</v>
      </c>
      <c r="F752">
        <v>2010</v>
      </c>
      <c r="G752">
        <v>50.921579000000001</v>
      </c>
    </row>
    <row r="753" spans="1:7">
      <c r="A753" t="s">
        <v>1297</v>
      </c>
      <c r="B753" t="s">
        <v>1298</v>
      </c>
      <c r="C753" t="s">
        <v>674</v>
      </c>
      <c r="D753" t="s">
        <v>1330</v>
      </c>
      <c r="E753" t="s">
        <v>187</v>
      </c>
      <c r="F753">
        <v>2012</v>
      </c>
      <c r="G753">
        <v>47.437455999999997</v>
      </c>
    </row>
    <row r="754" spans="1:7">
      <c r="A754" t="s">
        <v>1297</v>
      </c>
      <c r="B754" t="s">
        <v>1298</v>
      </c>
      <c r="C754" t="s">
        <v>669</v>
      </c>
      <c r="D754" t="s">
        <v>1330</v>
      </c>
      <c r="E754" t="s">
        <v>187</v>
      </c>
      <c r="F754">
        <v>2012</v>
      </c>
      <c r="G754">
        <v>6.4768999999999993E-2</v>
      </c>
    </row>
    <row r="755" spans="1:7">
      <c r="A755" t="s">
        <v>1297</v>
      </c>
      <c r="B755" t="s">
        <v>1298</v>
      </c>
      <c r="C755" t="s">
        <v>669</v>
      </c>
      <c r="D755" t="s">
        <v>1330</v>
      </c>
      <c r="E755" t="s">
        <v>187</v>
      </c>
      <c r="F755">
        <v>2016</v>
      </c>
      <c r="G755">
        <v>7.5627E-2</v>
      </c>
    </row>
    <row r="756" spans="1:7">
      <c r="A756" t="s">
        <v>1297</v>
      </c>
      <c r="B756" t="s">
        <v>1298</v>
      </c>
      <c r="C756" t="s">
        <v>669</v>
      </c>
      <c r="D756" t="s">
        <v>1330</v>
      </c>
      <c r="E756" t="s">
        <v>187</v>
      </c>
      <c r="F756">
        <v>2020</v>
      </c>
      <c r="G756">
        <v>5.1757999999999998E-2</v>
      </c>
    </row>
    <row r="757" spans="1:7">
      <c r="A757" t="s">
        <v>1297</v>
      </c>
      <c r="B757" t="s">
        <v>1298</v>
      </c>
      <c r="C757" t="s">
        <v>655</v>
      </c>
      <c r="D757" t="s">
        <v>1330</v>
      </c>
      <c r="E757" t="s">
        <v>187</v>
      </c>
      <c r="F757">
        <v>2005</v>
      </c>
      <c r="G757">
        <v>2.9004650000000001</v>
      </c>
    </row>
    <row r="758" spans="1:7">
      <c r="A758" t="s">
        <v>1297</v>
      </c>
      <c r="B758" t="s">
        <v>1298</v>
      </c>
      <c r="C758" t="s">
        <v>655</v>
      </c>
      <c r="D758" t="s">
        <v>1330</v>
      </c>
      <c r="E758" t="s">
        <v>187</v>
      </c>
      <c r="F758">
        <v>2010</v>
      </c>
      <c r="G758">
        <v>3.98082</v>
      </c>
    </row>
    <row r="759" spans="1:7">
      <c r="A759" t="s">
        <v>1297</v>
      </c>
      <c r="B759" t="s">
        <v>1298</v>
      </c>
      <c r="C759" t="s">
        <v>655</v>
      </c>
      <c r="D759" t="s">
        <v>1330</v>
      </c>
      <c r="E759" t="s">
        <v>187</v>
      </c>
      <c r="F759">
        <v>2012</v>
      </c>
      <c r="G759">
        <v>5.036054</v>
      </c>
    </row>
    <row r="760" spans="1:7">
      <c r="A760" t="s">
        <v>1297</v>
      </c>
      <c r="B760" t="s">
        <v>1298</v>
      </c>
      <c r="C760" t="s">
        <v>655</v>
      </c>
      <c r="D760" t="s">
        <v>1330</v>
      </c>
      <c r="E760" t="s">
        <v>187</v>
      </c>
      <c r="F760">
        <v>2016</v>
      </c>
      <c r="G760">
        <v>7.0225569999999999</v>
      </c>
    </row>
    <row r="761" spans="1:7">
      <c r="A761" t="s">
        <v>1297</v>
      </c>
      <c r="B761" t="s">
        <v>1298</v>
      </c>
      <c r="C761" t="s">
        <v>655</v>
      </c>
      <c r="D761" t="s">
        <v>1330</v>
      </c>
      <c r="E761" t="s">
        <v>187</v>
      </c>
      <c r="F761">
        <v>2020</v>
      </c>
      <c r="G761">
        <v>7.3691649999999997</v>
      </c>
    </row>
    <row r="762" spans="1:7">
      <c r="A762" t="s">
        <v>1297</v>
      </c>
      <c r="B762" t="s">
        <v>1298</v>
      </c>
      <c r="C762" t="s">
        <v>658</v>
      </c>
      <c r="D762" t="s">
        <v>1330</v>
      </c>
      <c r="E762" t="s">
        <v>187</v>
      </c>
      <c r="F762">
        <v>2005</v>
      </c>
      <c r="G762">
        <v>1.3863479999999999</v>
      </c>
    </row>
    <row r="763" spans="1:7">
      <c r="A763" t="s">
        <v>1297</v>
      </c>
      <c r="B763" t="s">
        <v>1298</v>
      </c>
      <c r="C763" t="s">
        <v>658</v>
      </c>
      <c r="D763" t="s">
        <v>1330</v>
      </c>
      <c r="E763" t="s">
        <v>187</v>
      </c>
      <c r="F763">
        <v>2010</v>
      </c>
      <c r="G763">
        <v>2.539339</v>
      </c>
    </row>
    <row r="764" spans="1:7">
      <c r="A764" t="s">
        <v>1297</v>
      </c>
      <c r="B764" t="s">
        <v>1298</v>
      </c>
      <c r="C764" t="s">
        <v>658</v>
      </c>
      <c r="D764" t="s">
        <v>1330</v>
      </c>
      <c r="E764" t="s">
        <v>187</v>
      </c>
      <c r="F764">
        <v>2012</v>
      </c>
      <c r="G764">
        <v>2.7139980000000001</v>
      </c>
    </row>
    <row r="765" spans="1:7">
      <c r="A765" t="s">
        <v>1297</v>
      </c>
      <c r="B765" t="s">
        <v>1298</v>
      </c>
      <c r="C765" t="s">
        <v>658</v>
      </c>
      <c r="D765" t="s">
        <v>1330</v>
      </c>
      <c r="E765" t="s">
        <v>187</v>
      </c>
      <c r="F765">
        <v>2016</v>
      </c>
      <c r="G765">
        <v>4.2806139999999999</v>
      </c>
    </row>
    <row r="766" spans="1:7">
      <c r="A766" t="s">
        <v>1297</v>
      </c>
      <c r="B766" t="s">
        <v>1298</v>
      </c>
      <c r="C766" t="s">
        <v>658</v>
      </c>
      <c r="D766" t="s">
        <v>1330</v>
      </c>
      <c r="E766" t="s">
        <v>187</v>
      </c>
      <c r="F766">
        <v>2020</v>
      </c>
      <c r="G766">
        <v>4.9033480000000003</v>
      </c>
    </row>
    <row r="767" spans="1:7">
      <c r="A767" t="s">
        <v>1297</v>
      </c>
      <c r="B767" t="s">
        <v>1298</v>
      </c>
      <c r="C767" t="s">
        <v>676</v>
      </c>
      <c r="D767" t="s">
        <v>1330</v>
      </c>
      <c r="E767" t="s">
        <v>187</v>
      </c>
      <c r="F767">
        <v>2005</v>
      </c>
      <c r="G767">
        <v>0.448351</v>
      </c>
    </row>
    <row r="768" spans="1:7">
      <c r="A768" t="s">
        <v>1297</v>
      </c>
      <c r="B768" t="s">
        <v>1298</v>
      </c>
      <c r="C768" t="s">
        <v>676</v>
      </c>
      <c r="D768" t="s">
        <v>1330</v>
      </c>
      <c r="E768" t="s">
        <v>187</v>
      </c>
      <c r="F768">
        <v>2010</v>
      </c>
      <c r="G768">
        <v>2.1725889999999999</v>
      </c>
    </row>
    <row r="769" spans="1:7">
      <c r="A769" t="s">
        <v>1297</v>
      </c>
      <c r="B769" t="s">
        <v>1298</v>
      </c>
      <c r="C769" t="s">
        <v>676</v>
      </c>
      <c r="D769" t="s">
        <v>1330</v>
      </c>
      <c r="E769" t="s">
        <v>187</v>
      </c>
      <c r="F769">
        <v>2012</v>
      </c>
      <c r="G769">
        <v>2.3904939999999999</v>
      </c>
    </row>
    <row r="770" spans="1:7">
      <c r="A770" t="s">
        <v>1297</v>
      </c>
      <c r="B770" t="s">
        <v>1298</v>
      </c>
      <c r="C770" t="s">
        <v>676</v>
      </c>
      <c r="D770" t="s">
        <v>1330</v>
      </c>
      <c r="E770" t="s">
        <v>187</v>
      </c>
      <c r="F770">
        <v>2016</v>
      </c>
      <c r="G770">
        <v>2.8088540000000002</v>
      </c>
    </row>
    <row r="771" spans="1:7">
      <c r="A771" t="s">
        <v>1297</v>
      </c>
      <c r="B771" t="s">
        <v>1298</v>
      </c>
      <c r="C771" t="s">
        <v>676</v>
      </c>
      <c r="D771" t="s">
        <v>1330</v>
      </c>
      <c r="E771" t="s">
        <v>187</v>
      </c>
      <c r="F771">
        <v>2020</v>
      </c>
      <c r="G771">
        <v>3.0732599999999999</v>
      </c>
    </row>
    <row r="772" spans="1:7">
      <c r="A772" t="s">
        <v>1297</v>
      </c>
      <c r="B772" t="s">
        <v>1298</v>
      </c>
      <c r="C772" t="s">
        <v>659</v>
      </c>
      <c r="D772" t="s">
        <v>1330</v>
      </c>
      <c r="E772" t="s">
        <v>187</v>
      </c>
      <c r="F772">
        <v>2005</v>
      </c>
      <c r="G772">
        <v>4.5324169999999997</v>
      </c>
    </row>
    <row r="773" spans="1:7">
      <c r="A773" t="s">
        <v>1297</v>
      </c>
      <c r="B773" t="s">
        <v>1298</v>
      </c>
      <c r="C773" t="s">
        <v>659</v>
      </c>
      <c r="D773" t="s">
        <v>1330</v>
      </c>
      <c r="E773" t="s">
        <v>187</v>
      </c>
      <c r="F773">
        <v>2010</v>
      </c>
      <c r="G773">
        <v>6.5435660000000002</v>
      </c>
    </row>
    <row r="774" spans="1:7">
      <c r="A774" t="s">
        <v>1297</v>
      </c>
      <c r="B774" t="s">
        <v>1298</v>
      </c>
      <c r="C774" t="s">
        <v>659</v>
      </c>
      <c r="D774" t="s">
        <v>1330</v>
      </c>
      <c r="E774" t="s">
        <v>187</v>
      </c>
      <c r="F774">
        <v>2012</v>
      </c>
      <c r="G774">
        <v>7.8962640000000004</v>
      </c>
    </row>
    <row r="775" spans="1:7">
      <c r="A775" t="s">
        <v>1297</v>
      </c>
      <c r="B775" t="s">
        <v>1298</v>
      </c>
      <c r="C775" t="s">
        <v>659</v>
      </c>
      <c r="D775" t="s">
        <v>1330</v>
      </c>
      <c r="E775" t="s">
        <v>187</v>
      </c>
      <c r="F775">
        <v>2016</v>
      </c>
      <c r="G775">
        <v>10.59633</v>
      </c>
    </row>
    <row r="776" spans="1:7">
      <c r="A776" t="s">
        <v>1297</v>
      </c>
      <c r="B776" t="s">
        <v>1298</v>
      </c>
      <c r="C776" t="s">
        <v>659</v>
      </c>
      <c r="D776" t="s">
        <v>1330</v>
      </c>
      <c r="E776" t="s">
        <v>187</v>
      </c>
      <c r="F776">
        <v>2020</v>
      </c>
      <c r="G776">
        <v>10.821122000000001</v>
      </c>
    </row>
    <row r="777" spans="1:7">
      <c r="A777" t="s">
        <v>1297</v>
      </c>
      <c r="B777" t="s">
        <v>1298</v>
      </c>
      <c r="C777" t="s">
        <v>679</v>
      </c>
      <c r="D777" t="s">
        <v>1330</v>
      </c>
      <c r="E777" t="s">
        <v>187</v>
      </c>
      <c r="F777">
        <v>2005</v>
      </c>
      <c r="G777">
        <v>3.4075700000000002</v>
      </c>
    </row>
    <row r="778" spans="1:7">
      <c r="A778" t="s">
        <v>1297</v>
      </c>
      <c r="B778" t="s">
        <v>1298</v>
      </c>
      <c r="C778" t="s">
        <v>679</v>
      </c>
      <c r="D778" t="s">
        <v>1330</v>
      </c>
      <c r="E778" t="s">
        <v>187</v>
      </c>
      <c r="F778">
        <v>2010</v>
      </c>
      <c r="G778">
        <v>5.5101430000000002</v>
      </c>
    </row>
    <row r="779" spans="1:7">
      <c r="A779" t="s">
        <v>1297</v>
      </c>
      <c r="B779" t="s">
        <v>1298</v>
      </c>
      <c r="C779" t="s">
        <v>679</v>
      </c>
      <c r="D779" t="s">
        <v>1330</v>
      </c>
      <c r="E779" t="s">
        <v>187</v>
      </c>
      <c r="F779">
        <v>2012</v>
      </c>
      <c r="G779">
        <v>6.3239710000000002</v>
      </c>
    </row>
    <row r="780" spans="1:7">
      <c r="A780" t="s">
        <v>1297</v>
      </c>
      <c r="B780" t="s">
        <v>1298</v>
      </c>
      <c r="C780" t="s">
        <v>679</v>
      </c>
      <c r="D780" t="s">
        <v>1330</v>
      </c>
      <c r="E780" t="s">
        <v>187</v>
      </c>
      <c r="F780">
        <v>2016</v>
      </c>
      <c r="G780">
        <v>7.679227</v>
      </c>
    </row>
    <row r="781" spans="1:7">
      <c r="A781" t="s">
        <v>1297</v>
      </c>
      <c r="B781" t="s">
        <v>1298</v>
      </c>
      <c r="C781" t="s">
        <v>679</v>
      </c>
      <c r="D781" t="s">
        <v>1330</v>
      </c>
      <c r="E781" t="s">
        <v>187</v>
      </c>
      <c r="F781">
        <v>2020</v>
      </c>
      <c r="G781">
        <v>9.5689770000000003</v>
      </c>
    </row>
    <row r="782" spans="1:7">
      <c r="A782" t="s">
        <v>1297</v>
      </c>
      <c r="B782" t="s">
        <v>1298</v>
      </c>
      <c r="C782" t="s">
        <v>680</v>
      </c>
      <c r="D782" t="s">
        <v>1330</v>
      </c>
      <c r="E782" t="s">
        <v>187</v>
      </c>
      <c r="F782">
        <v>2005</v>
      </c>
      <c r="G782">
        <v>1.1148999999999999E-2</v>
      </c>
    </row>
    <row r="783" spans="1:7">
      <c r="A783" t="s">
        <v>1297</v>
      </c>
      <c r="B783" t="s">
        <v>1298</v>
      </c>
      <c r="C783" t="s">
        <v>680</v>
      </c>
      <c r="D783" t="s">
        <v>1330</v>
      </c>
      <c r="E783" t="s">
        <v>187</v>
      </c>
      <c r="F783">
        <v>2010</v>
      </c>
      <c r="G783">
        <v>4.7739999999999996E-3</v>
      </c>
    </row>
    <row r="784" spans="1:7">
      <c r="A784" t="s">
        <v>1297</v>
      </c>
      <c r="B784" t="s">
        <v>1298</v>
      </c>
      <c r="C784" t="s">
        <v>1300</v>
      </c>
      <c r="D784" t="s">
        <v>1330</v>
      </c>
      <c r="E784" t="s">
        <v>187</v>
      </c>
      <c r="F784">
        <v>2010</v>
      </c>
      <c r="G784">
        <v>0.36405599999999999</v>
      </c>
    </row>
    <row r="785" spans="1:7">
      <c r="A785" t="s">
        <v>1297</v>
      </c>
      <c r="B785" t="s">
        <v>1298</v>
      </c>
      <c r="C785" t="s">
        <v>1300</v>
      </c>
      <c r="D785" t="s">
        <v>1330</v>
      </c>
      <c r="E785" t="s">
        <v>187</v>
      </c>
      <c r="F785">
        <v>2012</v>
      </c>
      <c r="G785">
        <v>0.34927399999999997</v>
      </c>
    </row>
    <row r="786" spans="1:7">
      <c r="A786" t="s">
        <v>1297</v>
      </c>
      <c r="B786" t="s">
        <v>1298</v>
      </c>
      <c r="C786" t="s">
        <v>1300</v>
      </c>
      <c r="D786" t="s">
        <v>1330</v>
      </c>
      <c r="E786" t="s">
        <v>187</v>
      </c>
      <c r="F786">
        <v>2016</v>
      </c>
      <c r="G786">
        <v>0.54091100000000003</v>
      </c>
    </row>
    <row r="787" spans="1:7">
      <c r="A787" t="s">
        <v>1297</v>
      </c>
      <c r="B787" t="s">
        <v>1298</v>
      </c>
      <c r="C787" t="s">
        <v>1300</v>
      </c>
      <c r="D787" t="s">
        <v>1330</v>
      </c>
      <c r="E787" t="s">
        <v>187</v>
      </c>
      <c r="F787">
        <v>2020</v>
      </c>
      <c r="G787">
        <v>0.66912099999999997</v>
      </c>
    </row>
    <row r="788" spans="1:7">
      <c r="A788" t="s">
        <v>1297</v>
      </c>
      <c r="B788" t="s">
        <v>1298</v>
      </c>
      <c r="C788" t="s">
        <v>661</v>
      </c>
      <c r="D788" t="s">
        <v>1330</v>
      </c>
      <c r="E788" t="s">
        <v>187</v>
      </c>
      <c r="F788">
        <v>2005</v>
      </c>
      <c r="G788">
        <v>13.388918</v>
      </c>
    </row>
    <row r="789" spans="1:7">
      <c r="A789" t="s">
        <v>1297</v>
      </c>
      <c r="B789" t="s">
        <v>1298</v>
      </c>
      <c r="C789" t="s">
        <v>661</v>
      </c>
      <c r="D789" t="s">
        <v>1330</v>
      </c>
      <c r="E789" t="s">
        <v>187</v>
      </c>
      <c r="F789">
        <v>2010</v>
      </c>
      <c r="G789">
        <v>22.449382</v>
      </c>
    </row>
    <row r="790" spans="1:7">
      <c r="A790" t="s">
        <v>1297</v>
      </c>
      <c r="B790" t="s">
        <v>1298</v>
      </c>
      <c r="C790" t="s">
        <v>661</v>
      </c>
      <c r="D790" t="s">
        <v>1330</v>
      </c>
      <c r="E790" t="s">
        <v>187</v>
      </c>
      <c r="F790">
        <v>2012</v>
      </c>
      <c r="G790">
        <v>22.927814999999999</v>
      </c>
    </row>
    <row r="791" spans="1:7">
      <c r="A791" t="s">
        <v>1297</v>
      </c>
      <c r="B791" t="s">
        <v>1298</v>
      </c>
      <c r="C791" t="s">
        <v>682</v>
      </c>
      <c r="D791" t="s">
        <v>1330</v>
      </c>
      <c r="E791" t="s">
        <v>187</v>
      </c>
      <c r="F791">
        <v>2016</v>
      </c>
      <c r="G791">
        <v>1.623173</v>
      </c>
    </row>
    <row r="792" spans="1:7">
      <c r="A792" t="s">
        <v>1297</v>
      </c>
      <c r="B792" t="s">
        <v>1298</v>
      </c>
      <c r="C792" t="s">
        <v>682</v>
      </c>
      <c r="D792" t="s">
        <v>1330</v>
      </c>
      <c r="E792" t="s">
        <v>187</v>
      </c>
      <c r="F792">
        <v>2020</v>
      </c>
      <c r="G792">
        <v>3.6563089999999998</v>
      </c>
    </row>
    <row r="793" spans="1:7">
      <c r="A793" t="s">
        <v>1297</v>
      </c>
      <c r="B793" t="s">
        <v>1298</v>
      </c>
      <c r="C793" t="s">
        <v>672</v>
      </c>
      <c r="D793" t="s">
        <v>1330</v>
      </c>
      <c r="E793" t="s">
        <v>187</v>
      </c>
      <c r="F793">
        <v>2005</v>
      </c>
      <c r="G793">
        <v>1.871651</v>
      </c>
    </row>
    <row r="794" spans="1:7">
      <c r="A794" t="s">
        <v>1297</v>
      </c>
      <c r="B794" t="s">
        <v>1298</v>
      </c>
      <c r="C794" t="s">
        <v>672</v>
      </c>
      <c r="D794" t="s">
        <v>1330</v>
      </c>
      <c r="E794" t="s">
        <v>187</v>
      </c>
      <c r="F794">
        <v>2010</v>
      </c>
      <c r="G794">
        <v>2.9265810000000001</v>
      </c>
    </row>
    <row r="795" spans="1:7">
      <c r="A795" t="s">
        <v>1297</v>
      </c>
      <c r="B795" t="s">
        <v>1298</v>
      </c>
      <c r="C795" t="s">
        <v>672</v>
      </c>
      <c r="D795" t="s">
        <v>1330</v>
      </c>
      <c r="E795" t="s">
        <v>187</v>
      </c>
      <c r="F795">
        <v>2012</v>
      </c>
      <c r="G795">
        <v>5.8353539999999997</v>
      </c>
    </row>
    <row r="796" spans="1:7">
      <c r="A796" t="s">
        <v>1297</v>
      </c>
      <c r="B796" t="s">
        <v>1298</v>
      </c>
      <c r="C796" t="s">
        <v>672</v>
      </c>
      <c r="D796" t="s">
        <v>1330</v>
      </c>
      <c r="E796" t="s">
        <v>187</v>
      </c>
      <c r="F796">
        <v>2016</v>
      </c>
      <c r="G796">
        <v>4.2317489999999998</v>
      </c>
    </row>
    <row r="797" spans="1:7">
      <c r="A797" t="s">
        <v>1297</v>
      </c>
      <c r="B797" t="s">
        <v>1298</v>
      </c>
      <c r="C797" t="s">
        <v>672</v>
      </c>
      <c r="D797" t="s">
        <v>1330</v>
      </c>
      <c r="E797" t="s">
        <v>187</v>
      </c>
      <c r="F797">
        <v>2020</v>
      </c>
      <c r="G797">
        <v>4.9426899999999998</v>
      </c>
    </row>
    <row r="798" spans="1:7">
      <c r="A798" t="s">
        <v>1297</v>
      </c>
      <c r="B798" t="s">
        <v>1298</v>
      </c>
      <c r="C798" t="s">
        <v>1301</v>
      </c>
      <c r="D798" t="s">
        <v>1330</v>
      </c>
      <c r="E798" t="s">
        <v>187</v>
      </c>
      <c r="F798">
        <v>2005</v>
      </c>
      <c r="G798">
        <v>2.4324999999999999E-2</v>
      </c>
    </row>
    <row r="799" spans="1:7">
      <c r="A799" t="s">
        <v>1297</v>
      </c>
      <c r="B799" t="s">
        <v>1298</v>
      </c>
      <c r="C799" t="s">
        <v>1301</v>
      </c>
      <c r="D799" t="s">
        <v>1330</v>
      </c>
      <c r="E799" t="s">
        <v>187</v>
      </c>
      <c r="F799">
        <v>2010</v>
      </c>
      <c r="G799">
        <v>0.25623200000000002</v>
      </c>
    </row>
    <row r="800" spans="1:7">
      <c r="A800" t="s">
        <v>1297</v>
      </c>
      <c r="B800" t="s">
        <v>1298</v>
      </c>
      <c r="C800" t="s">
        <v>674</v>
      </c>
      <c r="D800" t="s">
        <v>1330</v>
      </c>
      <c r="E800" t="s">
        <v>187</v>
      </c>
      <c r="F800">
        <v>2016</v>
      </c>
      <c r="G800">
        <v>49.750673999999997</v>
      </c>
    </row>
    <row r="801" spans="1:7">
      <c r="A801" t="s">
        <v>1297</v>
      </c>
      <c r="B801" t="s">
        <v>1298</v>
      </c>
      <c r="C801" t="s">
        <v>674</v>
      </c>
      <c r="D801" t="s">
        <v>1330</v>
      </c>
      <c r="E801" t="s">
        <v>187</v>
      </c>
      <c r="F801">
        <v>2020</v>
      </c>
      <c r="G801">
        <v>49.534987000000001</v>
      </c>
    </row>
    <row r="802" spans="1:7">
      <c r="A802" t="s">
        <v>1297</v>
      </c>
      <c r="B802" t="s">
        <v>1298</v>
      </c>
      <c r="C802" t="s">
        <v>657</v>
      </c>
      <c r="D802" t="s">
        <v>1330</v>
      </c>
      <c r="E802" t="s">
        <v>187</v>
      </c>
      <c r="F802">
        <v>2005</v>
      </c>
      <c r="G802">
        <v>13.664987999999999</v>
      </c>
    </row>
    <row r="803" spans="1:7">
      <c r="A803" t="s">
        <v>1297</v>
      </c>
      <c r="B803" t="s">
        <v>1298</v>
      </c>
      <c r="C803" t="s">
        <v>657</v>
      </c>
      <c r="D803" t="s">
        <v>1330</v>
      </c>
      <c r="E803" t="s">
        <v>187</v>
      </c>
      <c r="F803">
        <v>2010</v>
      </c>
      <c r="G803">
        <v>18.488323000000001</v>
      </c>
    </row>
    <row r="804" spans="1:7">
      <c r="A804" t="s">
        <v>1297</v>
      </c>
      <c r="B804" t="s">
        <v>1298</v>
      </c>
      <c r="C804" t="s">
        <v>657</v>
      </c>
      <c r="D804" t="s">
        <v>1330</v>
      </c>
      <c r="E804" t="s">
        <v>187</v>
      </c>
      <c r="F804">
        <v>2012</v>
      </c>
      <c r="G804">
        <v>20.127984000000001</v>
      </c>
    </row>
    <row r="805" spans="1:7">
      <c r="A805" t="s">
        <v>1297</v>
      </c>
      <c r="B805" t="s">
        <v>1298</v>
      </c>
      <c r="C805" t="s">
        <v>657</v>
      </c>
      <c r="D805" t="s">
        <v>1330</v>
      </c>
      <c r="E805" t="s">
        <v>187</v>
      </c>
      <c r="F805">
        <v>2016</v>
      </c>
      <c r="G805">
        <v>24.056712999999998</v>
      </c>
    </row>
    <row r="806" spans="1:7">
      <c r="A806" t="s">
        <v>1297</v>
      </c>
      <c r="B806" t="s">
        <v>1298</v>
      </c>
      <c r="C806" t="s">
        <v>657</v>
      </c>
      <c r="D806" t="s">
        <v>1330</v>
      </c>
      <c r="E806" t="s">
        <v>187</v>
      </c>
      <c r="F806">
        <v>2020</v>
      </c>
      <c r="G806">
        <v>30.290966999999998</v>
      </c>
    </row>
    <row r="807" spans="1:7">
      <c r="A807" t="s">
        <v>1297</v>
      </c>
      <c r="B807" t="s">
        <v>1298</v>
      </c>
      <c r="C807" t="s">
        <v>1302</v>
      </c>
      <c r="D807" t="s">
        <v>1330</v>
      </c>
      <c r="E807" t="s">
        <v>187</v>
      </c>
      <c r="F807">
        <v>2010</v>
      </c>
      <c r="G807">
        <v>0.253</v>
      </c>
    </row>
    <row r="808" spans="1:7">
      <c r="A808" t="s">
        <v>1297</v>
      </c>
      <c r="B808" t="s">
        <v>1298</v>
      </c>
      <c r="C808" t="s">
        <v>1302</v>
      </c>
      <c r="D808" t="s">
        <v>1330</v>
      </c>
      <c r="E808" t="s">
        <v>187</v>
      </c>
      <c r="F808">
        <v>2012</v>
      </c>
      <c r="G808">
        <v>0.28100000000000003</v>
      </c>
    </row>
    <row r="809" spans="1:7">
      <c r="A809" t="s">
        <v>1297</v>
      </c>
      <c r="B809" t="s">
        <v>1298</v>
      </c>
      <c r="C809" t="s">
        <v>1302</v>
      </c>
      <c r="D809" t="s">
        <v>1330</v>
      </c>
      <c r="E809" t="s">
        <v>187</v>
      </c>
      <c r="F809">
        <v>2016</v>
      </c>
      <c r="G809">
        <v>0.40799999999999997</v>
      </c>
    </row>
    <row r="810" spans="1:7">
      <c r="A810" t="s">
        <v>1297</v>
      </c>
      <c r="B810" t="s">
        <v>1298</v>
      </c>
      <c r="C810" t="s">
        <v>1302</v>
      </c>
      <c r="D810" t="s">
        <v>1330</v>
      </c>
      <c r="E810" t="s">
        <v>187</v>
      </c>
      <c r="F810">
        <v>2020</v>
      </c>
      <c r="G810">
        <v>0.47945700000000002</v>
      </c>
    </row>
    <row r="811" spans="1:7">
      <c r="A811" t="s">
        <v>1297</v>
      </c>
      <c r="B811" t="s">
        <v>1298</v>
      </c>
      <c r="C811" t="s">
        <v>1301</v>
      </c>
      <c r="D811" t="s">
        <v>1330</v>
      </c>
      <c r="E811" t="s">
        <v>187</v>
      </c>
      <c r="F811">
        <v>2012</v>
      </c>
      <c r="G811">
        <v>0.450405</v>
      </c>
    </row>
    <row r="812" spans="1:7">
      <c r="A812" t="s">
        <v>1297</v>
      </c>
      <c r="B812" t="s">
        <v>1298</v>
      </c>
      <c r="C812" t="s">
        <v>1301</v>
      </c>
      <c r="D812" t="s">
        <v>1330</v>
      </c>
      <c r="E812" t="s">
        <v>187</v>
      </c>
      <c r="F812">
        <v>2016</v>
      </c>
      <c r="G812">
        <v>1.3705719999999999</v>
      </c>
    </row>
    <row r="813" spans="1:7">
      <c r="A813" t="s">
        <v>1297</v>
      </c>
      <c r="B813" t="s">
        <v>1298</v>
      </c>
      <c r="C813" t="s">
        <v>675</v>
      </c>
      <c r="D813" t="s">
        <v>1330</v>
      </c>
      <c r="E813" t="s">
        <v>187</v>
      </c>
      <c r="F813">
        <v>2005</v>
      </c>
      <c r="G813">
        <v>0.20626700000000001</v>
      </c>
    </row>
    <row r="814" spans="1:7">
      <c r="A814" t="s">
        <v>1297</v>
      </c>
      <c r="B814" t="s">
        <v>1298</v>
      </c>
      <c r="C814" t="s">
        <v>675</v>
      </c>
      <c r="D814" t="s">
        <v>1330</v>
      </c>
      <c r="E814" t="s">
        <v>187</v>
      </c>
      <c r="F814">
        <v>2010</v>
      </c>
      <c r="G814">
        <v>0.38939800000000002</v>
      </c>
    </row>
    <row r="815" spans="1:7">
      <c r="A815" t="s">
        <v>1297</v>
      </c>
      <c r="B815" t="s">
        <v>1298</v>
      </c>
      <c r="C815" t="s">
        <v>675</v>
      </c>
      <c r="D815" t="s">
        <v>1330</v>
      </c>
      <c r="E815" t="s">
        <v>187</v>
      </c>
      <c r="F815">
        <v>2012</v>
      </c>
      <c r="G815">
        <v>0.52603900000000003</v>
      </c>
    </row>
    <row r="816" spans="1:7">
      <c r="A816" t="s">
        <v>1297</v>
      </c>
      <c r="B816" t="s">
        <v>1298</v>
      </c>
      <c r="C816" t="s">
        <v>675</v>
      </c>
      <c r="D816" t="s">
        <v>1330</v>
      </c>
      <c r="E816" t="s">
        <v>187</v>
      </c>
      <c r="F816">
        <v>2016</v>
      </c>
      <c r="G816">
        <v>0.54436899999999999</v>
      </c>
    </row>
    <row r="817" spans="1:7">
      <c r="A817" t="s">
        <v>1297</v>
      </c>
      <c r="B817" t="s">
        <v>1298</v>
      </c>
      <c r="C817" t="s">
        <v>675</v>
      </c>
      <c r="D817" t="s">
        <v>1330</v>
      </c>
      <c r="E817" t="s">
        <v>187</v>
      </c>
      <c r="F817">
        <v>2020</v>
      </c>
      <c r="G817">
        <v>0.59339600000000003</v>
      </c>
    </row>
    <row r="818" spans="1:7">
      <c r="A818" t="s">
        <v>1297</v>
      </c>
      <c r="B818" t="s">
        <v>1298</v>
      </c>
      <c r="C818" t="s">
        <v>681</v>
      </c>
      <c r="D818" t="s">
        <v>1330</v>
      </c>
      <c r="E818" t="s">
        <v>187</v>
      </c>
      <c r="F818">
        <v>2005</v>
      </c>
      <c r="G818">
        <v>0.41899999999999998</v>
      </c>
    </row>
    <row r="819" spans="1:7">
      <c r="A819" t="s">
        <v>1297</v>
      </c>
      <c r="B819" t="s">
        <v>1298</v>
      </c>
      <c r="C819" t="s">
        <v>681</v>
      </c>
      <c r="D819" t="s">
        <v>1330</v>
      </c>
      <c r="E819" t="s">
        <v>187</v>
      </c>
      <c r="F819">
        <v>2010</v>
      </c>
      <c r="G819">
        <v>0.628</v>
      </c>
    </row>
    <row r="820" spans="1:7">
      <c r="A820" t="s">
        <v>1297</v>
      </c>
      <c r="B820" t="s">
        <v>1298</v>
      </c>
      <c r="C820" t="s">
        <v>681</v>
      </c>
      <c r="D820" t="s">
        <v>1330</v>
      </c>
      <c r="E820" t="s">
        <v>187</v>
      </c>
      <c r="F820">
        <v>2012</v>
      </c>
      <c r="G820">
        <v>1.026</v>
      </c>
    </row>
    <row r="821" spans="1:7">
      <c r="A821" t="s">
        <v>1297</v>
      </c>
      <c r="B821" t="s">
        <v>1298</v>
      </c>
      <c r="C821" t="s">
        <v>681</v>
      </c>
      <c r="D821" t="s">
        <v>1330</v>
      </c>
      <c r="E821" t="s">
        <v>187</v>
      </c>
      <c r="F821">
        <v>2016</v>
      </c>
      <c r="G821">
        <v>0.91020000000000001</v>
      </c>
    </row>
    <row r="822" spans="1:7">
      <c r="A822" t="s">
        <v>1297</v>
      </c>
      <c r="B822" t="s">
        <v>1298</v>
      </c>
      <c r="C822" t="s">
        <v>681</v>
      </c>
      <c r="D822" t="s">
        <v>1330</v>
      </c>
      <c r="E822" t="s">
        <v>187</v>
      </c>
      <c r="F822">
        <v>2020</v>
      </c>
      <c r="G822">
        <v>0.82221</v>
      </c>
    </row>
    <row r="823" spans="1:7">
      <c r="A823" t="s">
        <v>1297</v>
      </c>
      <c r="B823" t="s">
        <v>1298</v>
      </c>
      <c r="C823" t="s">
        <v>651</v>
      </c>
      <c r="D823" t="s">
        <v>1330</v>
      </c>
      <c r="E823" t="s">
        <v>187</v>
      </c>
      <c r="F823">
        <v>2005</v>
      </c>
      <c r="G823">
        <v>8.9779140000000002</v>
      </c>
    </row>
    <row r="824" spans="1:7">
      <c r="A824" t="s">
        <v>1297</v>
      </c>
      <c r="B824" t="s">
        <v>1298</v>
      </c>
      <c r="C824" t="s">
        <v>651</v>
      </c>
      <c r="D824" t="s">
        <v>1330</v>
      </c>
      <c r="E824" t="s">
        <v>187</v>
      </c>
      <c r="F824">
        <v>2010</v>
      </c>
      <c r="G824">
        <v>18.820772999999999</v>
      </c>
    </row>
    <row r="825" spans="1:7">
      <c r="A825" t="s">
        <v>1297</v>
      </c>
      <c r="B825" t="s">
        <v>1298</v>
      </c>
      <c r="C825" t="s">
        <v>651</v>
      </c>
      <c r="D825" t="s">
        <v>1330</v>
      </c>
      <c r="E825" t="s">
        <v>187</v>
      </c>
      <c r="F825">
        <v>2012</v>
      </c>
      <c r="G825">
        <v>18.552716</v>
      </c>
    </row>
    <row r="826" spans="1:7">
      <c r="A826" t="s">
        <v>1297</v>
      </c>
      <c r="B826" t="s">
        <v>1298</v>
      </c>
      <c r="C826" t="s">
        <v>651</v>
      </c>
      <c r="D826" t="s">
        <v>1330</v>
      </c>
      <c r="E826" t="s">
        <v>187</v>
      </c>
      <c r="F826">
        <v>2016</v>
      </c>
      <c r="G826">
        <v>18.088045999999999</v>
      </c>
    </row>
    <row r="827" spans="1:7">
      <c r="A827" t="s">
        <v>1297</v>
      </c>
      <c r="B827" t="s">
        <v>1298</v>
      </c>
      <c r="C827" t="s">
        <v>651</v>
      </c>
      <c r="D827" t="s">
        <v>1330</v>
      </c>
      <c r="E827" t="s">
        <v>187</v>
      </c>
      <c r="F827">
        <v>2020</v>
      </c>
      <c r="G827">
        <v>20.471477</v>
      </c>
    </row>
    <row r="828" spans="1:7">
      <c r="A828" t="s">
        <v>1297</v>
      </c>
      <c r="B828" t="s">
        <v>1298</v>
      </c>
      <c r="C828" t="s">
        <v>665</v>
      </c>
      <c r="D828" t="s">
        <v>1330</v>
      </c>
      <c r="E828" t="s">
        <v>187</v>
      </c>
      <c r="F828">
        <v>2005</v>
      </c>
      <c r="G828">
        <v>4.5504610000000003</v>
      </c>
    </row>
    <row r="829" spans="1:7">
      <c r="A829" t="s">
        <v>1297</v>
      </c>
      <c r="B829" t="s">
        <v>1298</v>
      </c>
      <c r="C829" t="s">
        <v>665</v>
      </c>
      <c r="D829" t="s">
        <v>1330</v>
      </c>
      <c r="E829" t="s">
        <v>187</v>
      </c>
      <c r="F829">
        <v>2010</v>
      </c>
      <c r="G829">
        <v>10.679315000000001</v>
      </c>
    </row>
    <row r="830" spans="1:7">
      <c r="A830" t="s">
        <v>1297</v>
      </c>
      <c r="B830" t="s">
        <v>1298</v>
      </c>
      <c r="C830" t="s">
        <v>665</v>
      </c>
      <c r="D830" t="s">
        <v>1330</v>
      </c>
      <c r="E830" t="s">
        <v>187</v>
      </c>
      <c r="F830">
        <v>2012</v>
      </c>
      <c r="G830">
        <v>16.027239000000002</v>
      </c>
    </row>
    <row r="831" spans="1:7">
      <c r="A831" t="s">
        <v>1297</v>
      </c>
      <c r="B831" t="s">
        <v>1298</v>
      </c>
      <c r="C831" t="s">
        <v>665</v>
      </c>
      <c r="D831" t="s">
        <v>1330</v>
      </c>
      <c r="E831" t="s">
        <v>187</v>
      </c>
      <c r="F831">
        <v>2016</v>
      </c>
      <c r="G831">
        <v>27.743808000000001</v>
      </c>
    </row>
    <row r="832" spans="1:7">
      <c r="A832" t="s">
        <v>1297</v>
      </c>
      <c r="B832" t="s">
        <v>1298</v>
      </c>
      <c r="C832" t="s">
        <v>665</v>
      </c>
      <c r="D832" t="s">
        <v>1330</v>
      </c>
      <c r="E832" t="s">
        <v>187</v>
      </c>
      <c r="F832">
        <v>2020</v>
      </c>
      <c r="G832">
        <v>27.744233000000001</v>
      </c>
    </row>
    <row r="833" spans="1:7">
      <c r="A833" t="s">
        <v>1297</v>
      </c>
      <c r="B833" t="s">
        <v>1298</v>
      </c>
      <c r="C833" t="s">
        <v>673</v>
      </c>
      <c r="D833" t="s">
        <v>1330</v>
      </c>
      <c r="E833" t="s">
        <v>187</v>
      </c>
      <c r="F833">
        <v>2005</v>
      </c>
      <c r="G833">
        <v>6.9998000000000005E-2</v>
      </c>
    </row>
    <row r="834" spans="1:7">
      <c r="A834" t="s">
        <v>1297</v>
      </c>
      <c r="B834" t="s">
        <v>1298</v>
      </c>
      <c r="C834" t="s">
        <v>673</v>
      </c>
      <c r="D834" t="s">
        <v>1330</v>
      </c>
      <c r="E834" t="s">
        <v>187</v>
      </c>
      <c r="F834">
        <v>2010</v>
      </c>
      <c r="G834">
        <v>0.18366099999999999</v>
      </c>
    </row>
    <row r="835" spans="1:7">
      <c r="A835" t="s">
        <v>1297</v>
      </c>
      <c r="B835" t="s">
        <v>1298</v>
      </c>
      <c r="C835" t="s">
        <v>673</v>
      </c>
      <c r="D835" t="s">
        <v>1330</v>
      </c>
      <c r="E835" t="s">
        <v>187</v>
      </c>
      <c r="F835">
        <v>2012</v>
      </c>
      <c r="G835">
        <v>0.33546399999999998</v>
      </c>
    </row>
    <row r="836" spans="1:7">
      <c r="A836" t="s">
        <v>1297</v>
      </c>
      <c r="B836" t="s">
        <v>1298</v>
      </c>
      <c r="C836" t="s">
        <v>673</v>
      </c>
      <c r="D836" t="s">
        <v>1330</v>
      </c>
      <c r="E836" t="s">
        <v>187</v>
      </c>
      <c r="F836">
        <v>2016</v>
      </c>
      <c r="G836">
        <v>0.63070999999999999</v>
      </c>
    </row>
    <row r="837" spans="1:7">
      <c r="A837" t="s">
        <v>1297</v>
      </c>
      <c r="B837" t="s">
        <v>1298</v>
      </c>
      <c r="C837" t="s">
        <v>673</v>
      </c>
      <c r="D837" t="s">
        <v>1330</v>
      </c>
      <c r="E837" t="s">
        <v>187</v>
      </c>
      <c r="F837">
        <v>2020</v>
      </c>
      <c r="G837">
        <v>4.9079230000000003</v>
      </c>
    </row>
    <row r="838" spans="1:7">
      <c r="A838" t="s">
        <v>1297</v>
      </c>
      <c r="B838" t="s">
        <v>1298</v>
      </c>
      <c r="C838" t="s">
        <v>666</v>
      </c>
      <c r="D838" t="s">
        <v>1330</v>
      </c>
      <c r="E838" t="s">
        <v>187</v>
      </c>
      <c r="F838">
        <v>2005</v>
      </c>
      <c r="G838">
        <v>2.2287889999999999</v>
      </c>
    </row>
    <row r="839" spans="1:7">
      <c r="A839" t="s">
        <v>1297</v>
      </c>
      <c r="B839" t="s">
        <v>1298</v>
      </c>
      <c r="C839" t="s">
        <v>666</v>
      </c>
      <c r="D839" t="s">
        <v>1330</v>
      </c>
      <c r="E839" t="s">
        <v>187</v>
      </c>
      <c r="F839">
        <v>2010</v>
      </c>
      <c r="G839">
        <v>3.2723330000000002</v>
      </c>
    </row>
    <row r="840" spans="1:7">
      <c r="A840" t="s">
        <v>1297</v>
      </c>
      <c r="B840" t="s">
        <v>1298</v>
      </c>
      <c r="C840" t="s">
        <v>666</v>
      </c>
      <c r="D840" t="s">
        <v>1330</v>
      </c>
      <c r="E840" t="s">
        <v>187</v>
      </c>
      <c r="F840">
        <v>2012</v>
      </c>
      <c r="G840">
        <v>4.2976669999999997</v>
      </c>
    </row>
    <row r="841" spans="1:7">
      <c r="A841" t="s">
        <v>1297</v>
      </c>
      <c r="B841" t="s">
        <v>1298</v>
      </c>
      <c r="C841" t="s">
        <v>666</v>
      </c>
      <c r="D841" t="s">
        <v>1330</v>
      </c>
      <c r="E841" t="s">
        <v>187</v>
      </c>
      <c r="F841">
        <v>2016</v>
      </c>
      <c r="G841">
        <v>7.4971610000000002</v>
      </c>
    </row>
    <row r="842" spans="1:7">
      <c r="A842" t="s">
        <v>1297</v>
      </c>
      <c r="B842" t="s">
        <v>1298</v>
      </c>
      <c r="C842" t="s">
        <v>666</v>
      </c>
      <c r="D842" t="s">
        <v>1330</v>
      </c>
      <c r="E842" t="s">
        <v>187</v>
      </c>
      <c r="F842">
        <v>2020</v>
      </c>
      <c r="G842">
        <v>8.649222</v>
      </c>
    </row>
    <row r="843" spans="1:7">
      <c r="A843" t="s">
        <v>1297</v>
      </c>
      <c r="B843" t="s">
        <v>1298</v>
      </c>
      <c r="C843" t="s">
        <v>662</v>
      </c>
      <c r="D843" t="s">
        <v>1330</v>
      </c>
      <c r="E843" t="s">
        <v>187</v>
      </c>
      <c r="F843">
        <v>2005</v>
      </c>
      <c r="G843">
        <v>0.33311099999999999</v>
      </c>
    </row>
    <row r="844" spans="1:7">
      <c r="A844" t="s">
        <v>1297</v>
      </c>
      <c r="B844" t="s">
        <v>1298</v>
      </c>
      <c r="C844" t="s">
        <v>662</v>
      </c>
      <c r="D844" t="s">
        <v>1330</v>
      </c>
      <c r="E844" t="s">
        <v>187</v>
      </c>
      <c r="F844">
        <v>2010</v>
      </c>
      <c r="G844">
        <v>0.271476</v>
      </c>
    </row>
    <row r="845" spans="1:7">
      <c r="A845" t="s">
        <v>1297</v>
      </c>
      <c r="B845" t="s">
        <v>1298</v>
      </c>
      <c r="C845" t="s">
        <v>662</v>
      </c>
      <c r="D845" t="s">
        <v>1330</v>
      </c>
      <c r="E845" t="s">
        <v>187</v>
      </c>
      <c r="F845">
        <v>2012</v>
      </c>
      <c r="G845">
        <v>1.4458390000000001</v>
      </c>
    </row>
    <row r="846" spans="1:7">
      <c r="A846" t="s">
        <v>1297</v>
      </c>
      <c r="B846" t="s">
        <v>1298</v>
      </c>
      <c r="C846" t="s">
        <v>662</v>
      </c>
      <c r="D846" t="s">
        <v>1330</v>
      </c>
      <c r="E846" t="s">
        <v>187</v>
      </c>
      <c r="F846">
        <v>2016</v>
      </c>
      <c r="G846">
        <v>1.410288</v>
      </c>
    </row>
    <row r="847" spans="1:7">
      <c r="A847" t="s">
        <v>1297</v>
      </c>
      <c r="B847" t="s">
        <v>1298</v>
      </c>
      <c r="C847" t="s">
        <v>662</v>
      </c>
      <c r="D847" t="s">
        <v>1330</v>
      </c>
      <c r="E847" t="s">
        <v>187</v>
      </c>
      <c r="F847">
        <v>2020</v>
      </c>
      <c r="G847">
        <v>1.651813</v>
      </c>
    </row>
    <row r="848" spans="1:7">
      <c r="A848" t="s">
        <v>1297</v>
      </c>
      <c r="B848" t="s">
        <v>1298</v>
      </c>
      <c r="C848" t="s">
        <v>653</v>
      </c>
      <c r="D848" t="s">
        <v>1330</v>
      </c>
      <c r="E848" t="s">
        <v>187</v>
      </c>
      <c r="F848">
        <v>2005</v>
      </c>
      <c r="G848">
        <v>0.57113599999999998</v>
      </c>
    </row>
    <row r="849" spans="1:7">
      <c r="A849" t="s">
        <v>1297</v>
      </c>
      <c r="B849" t="s">
        <v>1298</v>
      </c>
      <c r="C849" t="s">
        <v>653</v>
      </c>
      <c r="D849" t="s">
        <v>1330</v>
      </c>
      <c r="E849" t="s">
        <v>187</v>
      </c>
      <c r="F849">
        <v>2010</v>
      </c>
      <c r="G849">
        <v>0.49868400000000002</v>
      </c>
    </row>
    <row r="850" spans="1:7">
      <c r="A850" t="s">
        <v>1297</v>
      </c>
      <c r="B850" t="s">
        <v>1298</v>
      </c>
      <c r="C850" t="s">
        <v>653</v>
      </c>
      <c r="D850" t="s">
        <v>1330</v>
      </c>
      <c r="E850" t="s">
        <v>187</v>
      </c>
      <c r="F850">
        <v>2012</v>
      </c>
      <c r="G850">
        <v>2.1143350000000001</v>
      </c>
    </row>
    <row r="851" spans="1:7">
      <c r="A851" t="s">
        <v>1297</v>
      </c>
      <c r="B851" t="s">
        <v>1298</v>
      </c>
      <c r="C851" t="s">
        <v>653</v>
      </c>
      <c r="D851" t="s">
        <v>1330</v>
      </c>
      <c r="E851" t="s">
        <v>187</v>
      </c>
      <c r="F851">
        <v>2016</v>
      </c>
      <c r="G851">
        <v>0.99995199999999995</v>
      </c>
    </row>
    <row r="852" spans="1:7">
      <c r="A852" t="s">
        <v>1297</v>
      </c>
      <c r="B852" t="s">
        <v>1298</v>
      </c>
      <c r="C852" t="s">
        <v>653</v>
      </c>
      <c r="D852" t="s">
        <v>1330</v>
      </c>
      <c r="E852" t="s">
        <v>187</v>
      </c>
      <c r="F852">
        <v>2020</v>
      </c>
      <c r="G852">
        <v>7.0361529999999997</v>
      </c>
    </row>
    <row r="853" spans="1:7">
      <c r="A853" t="s">
        <v>1297</v>
      </c>
      <c r="B853" t="s">
        <v>1298</v>
      </c>
      <c r="C853" t="s">
        <v>668</v>
      </c>
      <c r="D853" t="s">
        <v>1330</v>
      </c>
      <c r="E853" t="s">
        <v>187</v>
      </c>
      <c r="F853">
        <v>2005</v>
      </c>
      <c r="G853">
        <v>5.2969629999999999</v>
      </c>
    </row>
    <row r="854" spans="1:7">
      <c r="A854" t="s">
        <v>1297</v>
      </c>
      <c r="B854" t="s">
        <v>1298</v>
      </c>
      <c r="C854" t="s">
        <v>668</v>
      </c>
      <c r="D854" t="s">
        <v>1330</v>
      </c>
      <c r="E854" t="s">
        <v>187</v>
      </c>
      <c r="F854">
        <v>2010</v>
      </c>
      <c r="G854">
        <v>4.32226</v>
      </c>
    </row>
    <row r="855" spans="1:7">
      <c r="A855" t="s">
        <v>1297</v>
      </c>
      <c r="B855" t="s">
        <v>1298</v>
      </c>
      <c r="C855" t="s">
        <v>668</v>
      </c>
      <c r="D855" t="s">
        <v>1330</v>
      </c>
      <c r="E855" t="s">
        <v>187</v>
      </c>
      <c r="F855">
        <v>2012</v>
      </c>
      <c r="G855">
        <v>5.5120370000000003</v>
      </c>
    </row>
    <row r="856" spans="1:7">
      <c r="A856" t="s">
        <v>1297</v>
      </c>
      <c r="B856" t="s">
        <v>1298</v>
      </c>
      <c r="C856" t="s">
        <v>668</v>
      </c>
      <c r="D856" t="s">
        <v>1330</v>
      </c>
      <c r="E856" t="s">
        <v>187</v>
      </c>
      <c r="F856">
        <v>2016</v>
      </c>
      <c r="G856">
        <v>6.9647230000000002</v>
      </c>
    </row>
    <row r="857" spans="1:7">
      <c r="A857" t="s">
        <v>1297</v>
      </c>
      <c r="B857" t="s">
        <v>1298</v>
      </c>
      <c r="C857" t="s">
        <v>668</v>
      </c>
      <c r="D857" t="s">
        <v>1330</v>
      </c>
      <c r="E857" t="s">
        <v>187</v>
      </c>
      <c r="F857">
        <v>2020</v>
      </c>
      <c r="G857">
        <v>6.7099739999999999</v>
      </c>
    </row>
    <row r="858" spans="1:7">
      <c r="A858" t="s">
        <v>1297</v>
      </c>
      <c r="B858" t="s">
        <v>1298</v>
      </c>
      <c r="C858" t="s">
        <v>656</v>
      </c>
      <c r="D858" t="s">
        <v>1330</v>
      </c>
      <c r="E858" t="s">
        <v>187</v>
      </c>
      <c r="F858">
        <v>2005</v>
      </c>
      <c r="G858">
        <v>58.522433999999997</v>
      </c>
    </row>
    <row r="859" spans="1:7">
      <c r="A859" t="s">
        <v>1297</v>
      </c>
      <c r="B859" t="s">
        <v>1298</v>
      </c>
      <c r="C859" t="s">
        <v>656</v>
      </c>
      <c r="D859" t="s">
        <v>1330</v>
      </c>
      <c r="E859" t="s">
        <v>187</v>
      </c>
      <c r="F859">
        <v>2010</v>
      </c>
      <c r="G859">
        <v>129.58630700000001</v>
      </c>
    </row>
    <row r="860" spans="1:7">
      <c r="A860" t="s">
        <v>1297</v>
      </c>
      <c r="B860" t="s">
        <v>1298</v>
      </c>
      <c r="C860" t="s">
        <v>656</v>
      </c>
      <c r="D860" t="s">
        <v>1330</v>
      </c>
      <c r="E860" t="s">
        <v>187</v>
      </c>
      <c r="F860">
        <v>2012</v>
      </c>
      <c r="G860">
        <v>122.525099</v>
      </c>
    </row>
    <row r="861" spans="1:7">
      <c r="A861" t="s">
        <v>1297</v>
      </c>
      <c r="B861" t="s">
        <v>1298</v>
      </c>
      <c r="C861" t="s">
        <v>656</v>
      </c>
      <c r="D861" t="s">
        <v>1330</v>
      </c>
      <c r="E861" t="s">
        <v>187</v>
      </c>
      <c r="F861">
        <v>2016</v>
      </c>
      <c r="G861">
        <v>122.313391</v>
      </c>
    </row>
    <row r="862" spans="1:7">
      <c r="A862" t="s">
        <v>1297</v>
      </c>
      <c r="B862" t="s">
        <v>1298</v>
      </c>
      <c r="C862" t="s">
        <v>656</v>
      </c>
      <c r="D862" t="s">
        <v>1330</v>
      </c>
      <c r="E862" t="s">
        <v>187</v>
      </c>
      <c r="F862">
        <v>2020</v>
      </c>
      <c r="G862">
        <v>131.25542899999999</v>
      </c>
    </row>
    <row r="863" spans="1:7">
      <c r="A863" t="s">
        <v>1297</v>
      </c>
      <c r="B863" t="s">
        <v>1298</v>
      </c>
      <c r="C863" t="s">
        <v>663</v>
      </c>
      <c r="D863" t="s">
        <v>1330</v>
      </c>
      <c r="E863" t="s">
        <v>187</v>
      </c>
      <c r="F863">
        <v>2005</v>
      </c>
      <c r="G863">
        <v>3.2529240000000001</v>
      </c>
    </row>
    <row r="864" spans="1:7">
      <c r="A864" t="s">
        <v>1297</v>
      </c>
      <c r="B864" t="s">
        <v>1298</v>
      </c>
      <c r="C864" t="s">
        <v>663</v>
      </c>
      <c r="D864" t="s">
        <v>1330</v>
      </c>
      <c r="E864" t="s">
        <v>187</v>
      </c>
      <c r="F864">
        <v>2010</v>
      </c>
      <c r="G864">
        <v>4.5167279999999996</v>
      </c>
    </row>
    <row r="865" spans="1:7">
      <c r="A865" t="s">
        <v>1297</v>
      </c>
      <c r="B865" t="s">
        <v>1298</v>
      </c>
      <c r="C865" t="s">
        <v>663</v>
      </c>
      <c r="D865" t="s">
        <v>1330</v>
      </c>
      <c r="E865" t="s">
        <v>187</v>
      </c>
      <c r="F865">
        <v>2012</v>
      </c>
      <c r="G865">
        <v>3.1166900000000002</v>
      </c>
    </row>
    <row r="866" spans="1:7">
      <c r="A866" t="s">
        <v>1297</v>
      </c>
      <c r="B866" t="s">
        <v>1298</v>
      </c>
      <c r="C866" t="s">
        <v>663</v>
      </c>
      <c r="D866" t="s">
        <v>1330</v>
      </c>
      <c r="E866" t="s">
        <v>187</v>
      </c>
      <c r="F866">
        <v>2016</v>
      </c>
      <c r="G866">
        <v>4.0440170000000002</v>
      </c>
    </row>
    <row r="867" spans="1:7">
      <c r="A867" t="s">
        <v>1297</v>
      </c>
      <c r="B867" t="s">
        <v>1298</v>
      </c>
      <c r="C867" t="s">
        <v>663</v>
      </c>
      <c r="D867" t="s">
        <v>1330</v>
      </c>
      <c r="E867" t="s">
        <v>187</v>
      </c>
      <c r="F867">
        <v>2020</v>
      </c>
      <c r="G867">
        <v>3.8817370000000002</v>
      </c>
    </row>
    <row r="868" spans="1:7">
      <c r="A868" t="s">
        <v>1297</v>
      </c>
      <c r="B868" t="s">
        <v>1298</v>
      </c>
      <c r="C868" t="s">
        <v>1299</v>
      </c>
      <c r="D868" t="s">
        <v>1330</v>
      </c>
      <c r="E868" t="s">
        <v>187</v>
      </c>
      <c r="F868">
        <v>2010</v>
      </c>
      <c r="G868">
        <v>1.9260550000000001</v>
      </c>
    </row>
    <row r="869" spans="1:7">
      <c r="A869" t="s">
        <v>1297</v>
      </c>
      <c r="B869" t="s">
        <v>1298</v>
      </c>
      <c r="C869" t="s">
        <v>1299</v>
      </c>
      <c r="D869" t="s">
        <v>1330</v>
      </c>
      <c r="E869" t="s">
        <v>187</v>
      </c>
      <c r="F869">
        <v>2012</v>
      </c>
      <c r="G869">
        <v>2.8299120000000002</v>
      </c>
    </row>
    <row r="870" spans="1:7">
      <c r="A870" t="s">
        <v>1297</v>
      </c>
      <c r="B870" t="s">
        <v>1298</v>
      </c>
      <c r="C870" t="s">
        <v>1299</v>
      </c>
      <c r="D870" t="s">
        <v>1330</v>
      </c>
      <c r="E870" t="s">
        <v>187</v>
      </c>
      <c r="F870">
        <v>2016</v>
      </c>
      <c r="G870">
        <v>8.4277289999999994</v>
      </c>
    </row>
    <row r="871" spans="1:7">
      <c r="A871" t="s">
        <v>1297</v>
      </c>
      <c r="B871" t="s">
        <v>1298</v>
      </c>
      <c r="C871" t="s">
        <v>1299</v>
      </c>
      <c r="D871" t="s">
        <v>1330</v>
      </c>
      <c r="E871" t="s">
        <v>187</v>
      </c>
      <c r="F871">
        <v>2020</v>
      </c>
      <c r="G871">
        <v>7.826403</v>
      </c>
    </row>
    <row r="872" spans="1:7">
      <c r="A872" t="s">
        <v>1297</v>
      </c>
      <c r="B872" t="s">
        <v>1298</v>
      </c>
      <c r="C872" t="s">
        <v>686</v>
      </c>
      <c r="D872" t="s">
        <v>1330</v>
      </c>
      <c r="E872" t="s">
        <v>187</v>
      </c>
      <c r="F872">
        <v>2010</v>
      </c>
      <c r="G872">
        <v>0.49573400000000001</v>
      </c>
    </row>
    <row r="873" spans="1:7">
      <c r="A873" t="s">
        <v>1297</v>
      </c>
      <c r="B873" t="s">
        <v>1298</v>
      </c>
      <c r="C873" t="s">
        <v>686</v>
      </c>
      <c r="D873" t="s">
        <v>1330</v>
      </c>
      <c r="E873" t="s">
        <v>187</v>
      </c>
      <c r="F873">
        <v>2012</v>
      </c>
      <c r="G873">
        <v>0.24654999999999999</v>
      </c>
    </row>
    <row r="874" spans="1:7">
      <c r="A874" t="s">
        <v>1297</v>
      </c>
      <c r="B874" t="s">
        <v>1298</v>
      </c>
      <c r="C874" t="s">
        <v>686</v>
      </c>
      <c r="D874" t="s">
        <v>1330</v>
      </c>
      <c r="E874" t="s">
        <v>187</v>
      </c>
      <c r="F874">
        <v>2016</v>
      </c>
      <c r="G874">
        <v>1.320146</v>
      </c>
    </row>
    <row r="875" spans="1:7">
      <c r="A875" t="s">
        <v>1297</v>
      </c>
      <c r="B875" t="s">
        <v>1298</v>
      </c>
      <c r="C875" t="s">
        <v>686</v>
      </c>
      <c r="D875" t="s">
        <v>1330</v>
      </c>
      <c r="E875" t="s">
        <v>187</v>
      </c>
      <c r="F875">
        <v>2020</v>
      </c>
      <c r="G875">
        <v>1.2462230000000001</v>
      </c>
    </row>
    <row r="876" spans="1:7">
      <c r="A876" t="s">
        <v>1297</v>
      </c>
      <c r="B876" t="s">
        <v>1298</v>
      </c>
      <c r="C876" t="s">
        <v>654</v>
      </c>
      <c r="D876" t="s">
        <v>1330</v>
      </c>
      <c r="E876" t="s">
        <v>187</v>
      </c>
      <c r="F876">
        <v>2010</v>
      </c>
      <c r="G876">
        <v>0.25760699999999997</v>
      </c>
    </row>
    <row r="877" spans="1:7">
      <c r="A877" t="s">
        <v>1297</v>
      </c>
      <c r="B877" t="s">
        <v>1298</v>
      </c>
      <c r="C877" t="s">
        <v>654</v>
      </c>
      <c r="D877" t="s">
        <v>1330</v>
      </c>
      <c r="E877" t="s">
        <v>187</v>
      </c>
      <c r="F877">
        <v>2012</v>
      </c>
      <c r="G877">
        <v>0.28006199999999998</v>
      </c>
    </row>
    <row r="878" spans="1:7">
      <c r="A878" t="s">
        <v>1297</v>
      </c>
      <c r="B878" t="s">
        <v>1298</v>
      </c>
      <c r="C878" t="s">
        <v>654</v>
      </c>
      <c r="D878" t="s">
        <v>1330</v>
      </c>
      <c r="E878" t="s">
        <v>187</v>
      </c>
      <c r="F878">
        <v>2016</v>
      </c>
      <c r="G878">
        <v>0.31874799999999998</v>
      </c>
    </row>
    <row r="879" spans="1:7">
      <c r="A879" t="s">
        <v>1297</v>
      </c>
      <c r="B879" t="s">
        <v>1298</v>
      </c>
      <c r="C879" t="s">
        <v>654</v>
      </c>
      <c r="D879" t="s">
        <v>1330</v>
      </c>
      <c r="E879" t="s">
        <v>187</v>
      </c>
      <c r="F879">
        <v>2020</v>
      </c>
      <c r="G879">
        <v>0.32485199999999997</v>
      </c>
    </row>
    <row r="880" spans="1:7">
      <c r="A880" t="s">
        <v>1297</v>
      </c>
      <c r="B880" t="s">
        <v>1298</v>
      </c>
      <c r="C880" t="s">
        <v>664</v>
      </c>
      <c r="D880" t="s">
        <v>1330</v>
      </c>
      <c r="E880" t="s">
        <v>187</v>
      </c>
      <c r="F880">
        <v>2005</v>
      </c>
      <c r="G880">
        <v>0.28663300000000003</v>
      </c>
    </row>
    <row r="881" spans="1:7">
      <c r="A881" t="s">
        <v>1297</v>
      </c>
      <c r="B881" t="s">
        <v>1298</v>
      </c>
      <c r="C881" t="s">
        <v>664</v>
      </c>
      <c r="D881" t="s">
        <v>1330</v>
      </c>
      <c r="E881" t="s">
        <v>187</v>
      </c>
      <c r="F881">
        <v>2010</v>
      </c>
      <c r="G881">
        <v>1.0843640000000001</v>
      </c>
    </row>
    <row r="882" spans="1:7">
      <c r="A882" t="s">
        <v>1297</v>
      </c>
      <c r="B882" t="s">
        <v>1298</v>
      </c>
      <c r="C882" t="s">
        <v>664</v>
      </c>
      <c r="D882" t="s">
        <v>1330</v>
      </c>
      <c r="E882" t="s">
        <v>187</v>
      </c>
      <c r="F882">
        <v>2012</v>
      </c>
      <c r="G882">
        <v>1.5784849999999999</v>
      </c>
    </row>
    <row r="883" spans="1:7">
      <c r="A883" t="s">
        <v>1297</v>
      </c>
      <c r="B883" t="s">
        <v>1298</v>
      </c>
      <c r="C883" t="s">
        <v>664</v>
      </c>
      <c r="D883" t="s">
        <v>1330</v>
      </c>
      <c r="E883" t="s">
        <v>187</v>
      </c>
      <c r="F883">
        <v>2016</v>
      </c>
      <c r="G883">
        <v>2.222588</v>
      </c>
    </row>
    <row r="884" spans="1:7">
      <c r="A884" t="s">
        <v>1297</v>
      </c>
      <c r="B884" t="s">
        <v>1298</v>
      </c>
      <c r="C884" t="s">
        <v>664</v>
      </c>
      <c r="D884" t="s">
        <v>1330</v>
      </c>
      <c r="E884" t="s">
        <v>187</v>
      </c>
      <c r="F884">
        <v>2020</v>
      </c>
      <c r="G884">
        <v>2.143751</v>
      </c>
    </row>
    <row r="885" spans="1:7">
      <c r="A885" t="s">
        <v>1297</v>
      </c>
      <c r="B885" t="s">
        <v>1298</v>
      </c>
      <c r="C885" t="s">
        <v>661</v>
      </c>
      <c r="D885" t="s">
        <v>1330</v>
      </c>
      <c r="E885" t="s">
        <v>187</v>
      </c>
      <c r="F885">
        <v>2016</v>
      </c>
      <c r="G885">
        <v>36.674480000000003</v>
      </c>
    </row>
    <row r="886" spans="1:7">
      <c r="A886" t="s">
        <v>1297</v>
      </c>
      <c r="B886" t="s">
        <v>1298</v>
      </c>
      <c r="C886" t="s">
        <v>661</v>
      </c>
      <c r="D886" t="s">
        <v>1330</v>
      </c>
      <c r="E886" t="s">
        <v>187</v>
      </c>
      <c r="F886">
        <v>2020</v>
      </c>
      <c r="G886">
        <v>43.018894000000003</v>
      </c>
    </row>
    <row r="887" spans="1:7">
      <c r="A887" t="s">
        <v>1297</v>
      </c>
      <c r="B887" t="s">
        <v>1298</v>
      </c>
      <c r="C887" t="s">
        <v>670</v>
      </c>
      <c r="D887" t="s">
        <v>1330</v>
      </c>
      <c r="E887" t="s">
        <v>187</v>
      </c>
      <c r="F887">
        <v>2005</v>
      </c>
      <c r="G887">
        <v>10.173598</v>
      </c>
    </row>
    <row r="888" spans="1:7">
      <c r="A888" t="s">
        <v>1297</v>
      </c>
      <c r="B888" t="s">
        <v>1298</v>
      </c>
      <c r="C888" t="s">
        <v>670</v>
      </c>
      <c r="D888" t="s">
        <v>1330</v>
      </c>
      <c r="E888" t="s">
        <v>187</v>
      </c>
      <c r="F888">
        <v>2010</v>
      </c>
      <c r="G888">
        <v>13.228384999999999</v>
      </c>
    </row>
    <row r="889" spans="1:7">
      <c r="A889" t="s">
        <v>1297</v>
      </c>
      <c r="B889" t="s">
        <v>1298</v>
      </c>
      <c r="C889" t="s">
        <v>670</v>
      </c>
      <c r="D889" t="s">
        <v>1330</v>
      </c>
      <c r="E889" t="s">
        <v>187</v>
      </c>
      <c r="F889">
        <v>2012</v>
      </c>
      <c r="G889">
        <v>14.249314999999999</v>
      </c>
    </row>
    <row r="890" spans="1:7">
      <c r="A890" t="s">
        <v>1297</v>
      </c>
      <c r="B890" t="s">
        <v>1298</v>
      </c>
      <c r="C890" t="s">
        <v>670</v>
      </c>
      <c r="D890" t="s">
        <v>1330</v>
      </c>
      <c r="E890" t="s">
        <v>187</v>
      </c>
      <c r="F890">
        <v>2016</v>
      </c>
      <c r="G890">
        <v>11.438810999999999</v>
      </c>
    </row>
    <row r="891" spans="1:7">
      <c r="A891" t="s">
        <v>1297</v>
      </c>
      <c r="B891" t="s">
        <v>1298</v>
      </c>
      <c r="C891" t="s">
        <v>670</v>
      </c>
      <c r="D891" t="s">
        <v>1330</v>
      </c>
      <c r="E891" t="s">
        <v>187</v>
      </c>
      <c r="F891">
        <v>2020</v>
      </c>
      <c r="G891">
        <v>16.040044999999999</v>
      </c>
    </row>
    <row r="892" spans="1:7">
      <c r="A892" t="s">
        <v>1297</v>
      </c>
      <c r="B892" t="s">
        <v>1298</v>
      </c>
      <c r="C892" t="s">
        <v>652</v>
      </c>
      <c r="D892" t="s">
        <v>1330</v>
      </c>
      <c r="E892" t="s">
        <v>187</v>
      </c>
      <c r="F892">
        <v>2012</v>
      </c>
      <c r="G892">
        <v>6.5023590000000002</v>
      </c>
    </row>
    <row r="893" spans="1:7">
      <c r="A893" t="s">
        <v>1297</v>
      </c>
      <c r="B893" t="s">
        <v>1298</v>
      </c>
      <c r="C893" t="s">
        <v>652</v>
      </c>
      <c r="D893" t="s">
        <v>1330</v>
      </c>
      <c r="E893" t="s">
        <v>187</v>
      </c>
      <c r="F893">
        <v>2016</v>
      </c>
      <c r="G893">
        <v>7.2153150000000004</v>
      </c>
    </row>
    <row r="894" spans="1:7">
      <c r="A894" t="s">
        <v>1297</v>
      </c>
      <c r="B894" t="s">
        <v>1298</v>
      </c>
      <c r="C894" t="s">
        <v>652</v>
      </c>
      <c r="D894" t="s">
        <v>1330</v>
      </c>
      <c r="E894" t="s">
        <v>187</v>
      </c>
      <c r="F894">
        <v>2020</v>
      </c>
      <c r="G894">
        <v>6.7454320000000001</v>
      </c>
    </row>
    <row r="895" spans="1:7">
      <c r="A895" t="s">
        <v>1297</v>
      </c>
      <c r="B895" t="s">
        <v>1298</v>
      </c>
      <c r="C895" t="s">
        <v>1303</v>
      </c>
      <c r="D895" t="s">
        <v>1330</v>
      </c>
      <c r="E895" t="s">
        <v>187</v>
      </c>
      <c r="F895">
        <v>2016</v>
      </c>
      <c r="G895">
        <v>0.18</v>
      </c>
    </row>
    <row r="896" spans="1:7">
      <c r="A896" t="s">
        <v>1297</v>
      </c>
      <c r="B896" t="s">
        <v>1298</v>
      </c>
      <c r="C896" t="s">
        <v>1303</v>
      </c>
      <c r="D896" t="s">
        <v>1330</v>
      </c>
      <c r="E896" t="s">
        <v>187</v>
      </c>
      <c r="F896">
        <v>2020</v>
      </c>
      <c r="G896">
        <v>0.12576000000000001</v>
      </c>
    </row>
    <row r="897" spans="1:8">
      <c r="A897" t="s">
        <v>1297</v>
      </c>
      <c r="B897" t="s">
        <v>1298</v>
      </c>
      <c r="C897" t="s">
        <v>652</v>
      </c>
      <c r="D897" t="s">
        <v>1330</v>
      </c>
      <c r="E897" t="s">
        <v>187</v>
      </c>
      <c r="F897">
        <v>2005</v>
      </c>
      <c r="G897">
        <v>0.90958499999999998</v>
      </c>
    </row>
    <row r="898" spans="1:8">
      <c r="A898" t="s">
        <v>1297</v>
      </c>
      <c r="B898" t="s">
        <v>1298</v>
      </c>
      <c r="C898" t="s">
        <v>652</v>
      </c>
      <c r="D898" t="s">
        <v>1330</v>
      </c>
      <c r="E898" t="s">
        <v>187</v>
      </c>
      <c r="F898">
        <v>2010</v>
      </c>
      <c r="G898">
        <v>4.293374</v>
      </c>
    </row>
    <row r="899" spans="1:8">
      <c r="A899" t="s">
        <v>1297</v>
      </c>
      <c r="B899" t="s">
        <v>1298</v>
      </c>
      <c r="C899" t="s">
        <v>669</v>
      </c>
      <c r="D899" t="s">
        <v>1331</v>
      </c>
      <c r="E899" t="s">
        <v>187</v>
      </c>
      <c r="F899">
        <v>2012</v>
      </c>
      <c r="G899">
        <v>1.25E-4</v>
      </c>
    </row>
    <row r="900" spans="1:8">
      <c r="A900" t="s">
        <v>1297</v>
      </c>
      <c r="B900" t="s">
        <v>1298</v>
      </c>
      <c r="C900" t="s">
        <v>669</v>
      </c>
      <c r="D900" t="s">
        <v>1331</v>
      </c>
      <c r="E900" t="s">
        <v>187</v>
      </c>
      <c r="F900">
        <v>2016</v>
      </c>
      <c r="G900" s="14">
        <v>3.4999999999999997E-5</v>
      </c>
      <c r="H900" s="14"/>
    </row>
    <row r="901" spans="1:8">
      <c r="A901" t="s">
        <v>1297</v>
      </c>
      <c r="B901" t="s">
        <v>1298</v>
      </c>
      <c r="C901" t="s">
        <v>669</v>
      </c>
      <c r="D901" t="s">
        <v>1331</v>
      </c>
      <c r="E901" t="s">
        <v>187</v>
      </c>
      <c r="F901">
        <v>2020</v>
      </c>
      <c r="G901" s="14">
        <v>1.9000000000000001E-5</v>
      </c>
    </row>
    <row r="902" spans="1:8">
      <c r="A902" t="s">
        <v>1297</v>
      </c>
      <c r="B902" t="s">
        <v>1298</v>
      </c>
      <c r="C902" t="s">
        <v>668</v>
      </c>
      <c r="D902" t="s">
        <v>1331</v>
      </c>
      <c r="E902" t="s">
        <v>187</v>
      </c>
      <c r="F902">
        <v>2005</v>
      </c>
      <c r="G902">
        <v>7.3550000000000004E-3</v>
      </c>
    </row>
    <row r="903" spans="1:8">
      <c r="A903" t="s">
        <v>1297</v>
      </c>
      <c r="B903" t="s">
        <v>1298</v>
      </c>
      <c r="C903" t="s">
        <v>668</v>
      </c>
      <c r="D903" t="s">
        <v>1331</v>
      </c>
      <c r="E903" t="s">
        <v>187</v>
      </c>
      <c r="F903">
        <v>2010</v>
      </c>
      <c r="G903">
        <v>2.2130000000000001E-3</v>
      </c>
    </row>
    <row r="904" spans="1:8">
      <c r="A904" t="s">
        <v>1297</v>
      </c>
      <c r="B904" t="s">
        <v>1298</v>
      </c>
      <c r="C904" t="s">
        <v>668</v>
      </c>
      <c r="D904" t="s">
        <v>1331</v>
      </c>
      <c r="E904" t="s">
        <v>187</v>
      </c>
      <c r="F904">
        <v>2012</v>
      </c>
      <c r="G904">
        <v>6.3470000000000002E-3</v>
      </c>
    </row>
    <row r="905" spans="1:8">
      <c r="A905" t="s">
        <v>1297</v>
      </c>
      <c r="B905" t="s">
        <v>1298</v>
      </c>
      <c r="C905" t="s">
        <v>668</v>
      </c>
      <c r="D905" t="s">
        <v>1331</v>
      </c>
      <c r="E905" t="s">
        <v>187</v>
      </c>
      <c r="F905">
        <v>2016</v>
      </c>
      <c r="G905">
        <v>1.1615E-2</v>
      </c>
    </row>
    <row r="906" spans="1:8">
      <c r="A906" t="s">
        <v>1297</v>
      </c>
      <c r="B906" t="s">
        <v>1298</v>
      </c>
      <c r="C906" t="s">
        <v>668</v>
      </c>
      <c r="D906" t="s">
        <v>1331</v>
      </c>
      <c r="E906" t="s">
        <v>187</v>
      </c>
      <c r="F906">
        <v>2020</v>
      </c>
      <c r="G906">
        <v>7.1349999999999998E-3</v>
      </c>
    </row>
    <row r="907" spans="1:8">
      <c r="A907" t="s">
        <v>1297</v>
      </c>
      <c r="B907" t="s">
        <v>1298</v>
      </c>
      <c r="C907" t="s">
        <v>680</v>
      </c>
      <c r="D907" t="s">
        <v>1331</v>
      </c>
      <c r="E907" t="s">
        <v>187</v>
      </c>
      <c r="F907">
        <v>2005</v>
      </c>
      <c r="G907">
        <v>2.9100000000000003E-4</v>
      </c>
    </row>
    <row r="908" spans="1:8">
      <c r="A908" t="s">
        <v>1297</v>
      </c>
      <c r="B908" t="s">
        <v>1298</v>
      </c>
      <c r="C908" t="s">
        <v>680</v>
      </c>
      <c r="D908" t="s">
        <v>1331</v>
      </c>
      <c r="E908" t="s">
        <v>187</v>
      </c>
      <c r="F908">
        <v>2010</v>
      </c>
      <c r="G908">
        <v>1.1400000000000001E-4</v>
      </c>
    </row>
    <row r="909" spans="1:8">
      <c r="A909" t="s">
        <v>1297</v>
      </c>
      <c r="B909" t="s">
        <v>1298</v>
      </c>
      <c r="C909" t="s">
        <v>680</v>
      </c>
      <c r="D909" t="s">
        <v>1331</v>
      </c>
      <c r="E909" t="s">
        <v>187</v>
      </c>
      <c r="F909">
        <v>2016</v>
      </c>
      <c r="G909">
        <v>3.908E-3</v>
      </c>
    </row>
    <row r="910" spans="1:8">
      <c r="A910" t="s">
        <v>1297</v>
      </c>
      <c r="B910" t="s">
        <v>1298</v>
      </c>
      <c r="C910" t="s">
        <v>680</v>
      </c>
      <c r="D910" t="s">
        <v>1331</v>
      </c>
      <c r="E910" t="s">
        <v>187</v>
      </c>
      <c r="F910">
        <v>2020</v>
      </c>
      <c r="G910">
        <v>2.9589999999999998E-3</v>
      </c>
    </row>
    <row r="911" spans="1:8">
      <c r="A911" t="s">
        <v>1297</v>
      </c>
      <c r="B911" t="s">
        <v>1298</v>
      </c>
      <c r="C911" t="s">
        <v>653</v>
      </c>
      <c r="D911" t="s">
        <v>1331</v>
      </c>
      <c r="E911" t="s">
        <v>187</v>
      </c>
      <c r="F911">
        <v>2010</v>
      </c>
      <c r="G911" s="14">
        <v>5.0000000000000004E-6</v>
      </c>
    </row>
    <row r="912" spans="1:8">
      <c r="A912" t="s">
        <v>1297</v>
      </c>
      <c r="B912" t="s">
        <v>1298</v>
      </c>
      <c r="C912" t="s">
        <v>653</v>
      </c>
      <c r="D912" t="s">
        <v>1331</v>
      </c>
      <c r="E912" t="s">
        <v>187</v>
      </c>
      <c r="F912">
        <v>2012</v>
      </c>
      <c r="G912" s="14">
        <v>2.5000000000000001E-5</v>
      </c>
    </row>
    <row r="913" spans="1:8">
      <c r="A913" t="s">
        <v>1297</v>
      </c>
      <c r="B913" t="s">
        <v>1298</v>
      </c>
      <c r="C913" t="s">
        <v>653</v>
      </c>
      <c r="D913" t="s">
        <v>1331</v>
      </c>
      <c r="E913" t="s">
        <v>187</v>
      </c>
      <c r="F913">
        <v>2016</v>
      </c>
      <c r="G913" s="14">
        <v>5.5999999999999999E-5</v>
      </c>
    </row>
    <row r="914" spans="1:8">
      <c r="A914" t="s">
        <v>1297</v>
      </c>
      <c r="B914" t="s">
        <v>1298</v>
      </c>
      <c r="C914" t="s">
        <v>653</v>
      </c>
      <c r="D914" t="s">
        <v>1331</v>
      </c>
      <c r="E914" t="s">
        <v>187</v>
      </c>
      <c r="F914">
        <v>2020</v>
      </c>
      <c r="G914">
        <v>1.3439999999999999E-3</v>
      </c>
    </row>
    <row r="915" spans="1:8">
      <c r="A915" t="s">
        <v>1297</v>
      </c>
      <c r="B915" t="s">
        <v>1298</v>
      </c>
      <c r="C915" t="s">
        <v>671</v>
      </c>
      <c r="D915" t="s">
        <v>1331</v>
      </c>
      <c r="E915" t="s">
        <v>187</v>
      </c>
      <c r="F915">
        <v>2005</v>
      </c>
      <c r="G915">
        <v>3.79E-4</v>
      </c>
    </row>
    <row r="916" spans="1:8">
      <c r="A916" t="s">
        <v>1297</v>
      </c>
      <c r="B916" t="s">
        <v>1298</v>
      </c>
      <c r="C916" t="s">
        <v>671</v>
      </c>
      <c r="D916" t="s">
        <v>1331</v>
      </c>
      <c r="E916" t="s">
        <v>187</v>
      </c>
      <c r="F916">
        <v>2020</v>
      </c>
      <c r="G916">
        <v>1.4779999999999999E-3</v>
      </c>
    </row>
    <row r="917" spans="1:8">
      <c r="A917" t="s">
        <v>1297</v>
      </c>
      <c r="B917" t="s">
        <v>1298</v>
      </c>
      <c r="C917" t="s">
        <v>661</v>
      </c>
      <c r="D917" t="s">
        <v>1331</v>
      </c>
      <c r="E917" t="s">
        <v>187</v>
      </c>
      <c r="F917">
        <v>2005</v>
      </c>
      <c r="G917">
        <v>2.31E-3</v>
      </c>
    </row>
    <row r="918" spans="1:8">
      <c r="A918" t="s">
        <v>1297</v>
      </c>
      <c r="B918" t="s">
        <v>1298</v>
      </c>
      <c r="C918" t="s">
        <v>661</v>
      </c>
      <c r="D918" t="s">
        <v>1331</v>
      </c>
      <c r="E918" t="s">
        <v>187</v>
      </c>
      <c r="F918">
        <v>2010</v>
      </c>
      <c r="G918">
        <v>3.4550000000000002E-3</v>
      </c>
    </row>
    <row r="919" spans="1:8">
      <c r="A919" t="s">
        <v>1297</v>
      </c>
      <c r="B919" t="s">
        <v>1298</v>
      </c>
      <c r="C919" t="s">
        <v>661</v>
      </c>
      <c r="D919" t="s">
        <v>1331</v>
      </c>
      <c r="E919" t="s">
        <v>187</v>
      </c>
      <c r="F919">
        <v>2012</v>
      </c>
      <c r="G919" s="14">
        <v>6.999E-3</v>
      </c>
      <c r="H919" s="14"/>
    </row>
    <row r="920" spans="1:8">
      <c r="A920" t="s">
        <v>1297</v>
      </c>
      <c r="B920" t="s">
        <v>1298</v>
      </c>
      <c r="C920" t="s">
        <v>661</v>
      </c>
      <c r="D920" t="s">
        <v>1331</v>
      </c>
      <c r="E920" t="s">
        <v>187</v>
      </c>
      <c r="F920">
        <v>2016</v>
      </c>
      <c r="G920" s="14">
        <v>1.0064999999999999E-2</v>
      </c>
      <c r="H920" s="14"/>
    </row>
    <row r="921" spans="1:8">
      <c r="A921" t="s">
        <v>1297</v>
      </c>
      <c r="B921" t="s">
        <v>1298</v>
      </c>
      <c r="C921" t="s">
        <v>661</v>
      </c>
      <c r="D921" t="s">
        <v>1331</v>
      </c>
      <c r="E921" t="s">
        <v>187</v>
      </c>
      <c r="F921">
        <v>2020</v>
      </c>
      <c r="G921">
        <v>1.1631000000000001E-2</v>
      </c>
    </row>
    <row r="922" spans="1:8">
      <c r="A922" t="s">
        <v>1297</v>
      </c>
      <c r="B922" t="s">
        <v>1298</v>
      </c>
      <c r="C922" t="s">
        <v>658</v>
      </c>
      <c r="D922" t="s">
        <v>1331</v>
      </c>
      <c r="E922" t="s">
        <v>187</v>
      </c>
      <c r="F922">
        <v>2016</v>
      </c>
      <c r="G922">
        <v>1.684E-3</v>
      </c>
    </row>
    <row r="923" spans="1:8">
      <c r="A923" t="s">
        <v>1297</v>
      </c>
      <c r="B923" t="s">
        <v>1298</v>
      </c>
      <c r="C923" t="s">
        <v>658</v>
      </c>
      <c r="D923" t="s">
        <v>1331</v>
      </c>
      <c r="E923" t="s">
        <v>187</v>
      </c>
      <c r="F923">
        <v>2020</v>
      </c>
      <c r="G923">
        <v>2.5769999999999999E-3</v>
      </c>
    </row>
    <row r="924" spans="1:8">
      <c r="A924" t="s">
        <v>1297</v>
      </c>
      <c r="B924" t="s">
        <v>1298</v>
      </c>
      <c r="C924" t="s">
        <v>658</v>
      </c>
      <c r="D924" t="s">
        <v>1331</v>
      </c>
      <c r="E924" t="s">
        <v>187</v>
      </c>
      <c r="F924">
        <v>2005</v>
      </c>
      <c r="G924">
        <v>1.25E-4</v>
      </c>
    </row>
    <row r="925" spans="1:8">
      <c r="A925" t="s">
        <v>1297</v>
      </c>
      <c r="B925" t="s">
        <v>1298</v>
      </c>
      <c r="C925" t="s">
        <v>658</v>
      </c>
      <c r="D925" t="s">
        <v>1331</v>
      </c>
      <c r="E925" t="s">
        <v>187</v>
      </c>
      <c r="F925">
        <v>2010</v>
      </c>
      <c r="G925">
        <v>8.2200000000000003E-4</v>
      </c>
    </row>
    <row r="926" spans="1:8">
      <c r="A926" t="s">
        <v>1297</v>
      </c>
      <c r="B926" t="s">
        <v>1298</v>
      </c>
      <c r="C926" t="s">
        <v>658</v>
      </c>
      <c r="D926" t="s">
        <v>1331</v>
      </c>
      <c r="E926" t="s">
        <v>187</v>
      </c>
      <c r="F926">
        <v>2012</v>
      </c>
      <c r="G926">
        <v>2.7100000000000002E-3</v>
      </c>
    </row>
    <row r="927" spans="1:8">
      <c r="A927" t="s">
        <v>1297</v>
      </c>
      <c r="B927" t="s">
        <v>1298</v>
      </c>
      <c r="C927" t="s">
        <v>673</v>
      </c>
      <c r="D927" t="s">
        <v>1331</v>
      </c>
      <c r="E927" t="s">
        <v>187</v>
      </c>
      <c r="F927">
        <v>2016</v>
      </c>
      <c r="G927" s="14">
        <v>5.8999999999999998E-5</v>
      </c>
      <c r="H927" s="14"/>
    </row>
    <row r="928" spans="1:8">
      <c r="A928" t="s">
        <v>1297</v>
      </c>
      <c r="B928" t="s">
        <v>1298</v>
      </c>
      <c r="C928" t="s">
        <v>673</v>
      </c>
      <c r="D928" t="s">
        <v>1331</v>
      </c>
      <c r="E928" t="s">
        <v>187</v>
      </c>
      <c r="F928">
        <v>2020</v>
      </c>
      <c r="G928" s="14">
        <v>2.4000000000000001E-5</v>
      </c>
      <c r="H928" s="14"/>
    </row>
    <row r="929" spans="1:8">
      <c r="A929" t="s">
        <v>1297</v>
      </c>
      <c r="B929" t="s">
        <v>1298</v>
      </c>
      <c r="C929" t="s">
        <v>654</v>
      </c>
      <c r="D929" t="s">
        <v>1331</v>
      </c>
      <c r="E929" t="s">
        <v>187</v>
      </c>
      <c r="F929">
        <v>2010</v>
      </c>
      <c r="G929" s="14">
        <v>7.1000000000000005E-5</v>
      </c>
    </row>
    <row r="930" spans="1:8">
      <c r="A930" t="s">
        <v>1297</v>
      </c>
      <c r="B930" t="s">
        <v>1298</v>
      </c>
      <c r="C930" t="s">
        <v>654</v>
      </c>
      <c r="D930" t="s">
        <v>1331</v>
      </c>
      <c r="E930" t="s">
        <v>187</v>
      </c>
      <c r="F930">
        <v>2012</v>
      </c>
      <c r="G930" s="14">
        <v>1.1400000000000001E-4</v>
      </c>
      <c r="H930" s="14"/>
    </row>
    <row r="931" spans="1:8">
      <c r="A931" t="s">
        <v>1297</v>
      </c>
      <c r="B931" t="s">
        <v>1298</v>
      </c>
      <c r="C931" t="s">
        <v>654</v>
      </c>
      <c r="D931" t="s">
        <v>1331</v>
      </c>
      <c r="E931" t="s">
        <v>187</v>
      </c>
      <c r="F931">
        <v>2016</v>
      </c>
      <c r="G931" s="14">
        <v>1.5300000000000001E-4</v>
      </c>
      <c r="H931" s="14"/>
    </row>
    <row r="932" spans="1:8">
      <c r="A932" t="s">
        <v>1297</v>
      </c>
      <c r="B932" t="s">
        <v>1298</v>
      </c>
      <c r="C932" t="s">
        <v>654</v>
      </c>
      <c r="D932" t="s">
        <v>1331</v>
      </c>
      <c r="E932" t="s">
        <v>187</v>
      </c>
      <c r="F932">
        <v>2020</v>
      </c>
      <c r="G932">
        <v>1.34E-4</v>
      </c>
    </row>
    <row r="933" spans="1:8">
      <c r="A933" t="s">
        <v>1297</v>
      </c>
      <c r="B933" t="s">
        <v>1298</v>
      </c>
      <c r="C933" t="s">
        <v>663</v>
      </c>
      <c r="D933" t="s">
        <v>1331</v>
      </c>
      <c r="E933" t="s">
        <v>187</v>
      </c>
      <c r="F933">
        <v>2010</v>
      </c>
      <c r="G933">
        <v>1.549E-3</v>
      </c>
    </row>
    <row r="934" spans="1:8">
      <c r="A934" t="s">
        <v>1297</v>
      </c>
      <c r="B934" t="s">
        <v>1298</v>
      </c>
      <c r="C934" t="s">
        <v>663</v>
      </c>
      <c r="D934" t="s">
        <v>1331</v>
      </c>
      <c r="E934" t="s">
        <v>187</v>
      </c>
      <c r="F934">
        <v>2012</v>
      </c>
      <c r="G934">
        <v>1.204E-3</v>
      </c>
    </row>
    <row r="935" spans="1:8">
      <c r="A935" t="s">
        <v>1297</v>
      </c>
      <c r="B935" t="s">
        <v>1298</v>
      </c>
      <c r="C935" t="s">
        <v>663</v>
      </c>
      <c r="D935" t="s">
        <v>1331</v>
      </c>
      <c r="E935" t="s">
        <v>187</v>
      </c>
      <c r="F935">
        <v>2016</v>
      </c>
      <c r="G935">
        <v>3.2799999999999999E-3</v>
      </c>
    </row>
    <row r="936" spans="1:8">
      <c r="A936" t="s">
        <v>1297</v>
      </c>
      <c r="B936" t="s">
        <v>1298</v>
      </c>
      <c r="C936" t="s">
        <v>663</v>
      </c>
      <c r="D936" t="s">
        <v>1331</v>
      </c>
      <c r="E936" t="s">
        <v>187</v>
      </c>
      <c r="F936">
        <v>2020</v>
      </c>
      <c r="G936">
        <v>4.3010000000000001E-3</v>
      </c>
    </row>
    <row r="937" spans="1:8">
      <c r="A937" t="s">
        <v>1297</v>
      </c>
      <c r="B937" t="s">
        <v>1298</v>
      </c>
      <c r="C937" t="s">
        <v>666</v>
      </c>
      <c r="D937" t="s">
        <v>1331</v>
      </c>
      <c r="E937" t="s">
        <v>187</v>
      </c>
      <c r="F937">
        <v>2005</v>
      </c>
      <c r="G937" s="14">
        <v>6.9999999999999999E-6</v>
      </c>
    </row>
    <row r="938" spans="1:8">
      <c r="A938" t="s">
        <v>1297</v>
      </c>
      <c r="B938" t="s">
        <v>1298</v>
      </c>
      <c r="C938" t="s">
        <v>666</v>
      </c>
      <c r="D938" t="s">
        <v>1331</v>
      </c>
      <c r="E938" t="s">
        <v>187</v>
      </c>
      <c r="F938">
        <v>2010</v>
      </c>
      <c r="G938">
        <v>1.92E-4</v>
      </c>
    </row>
    <row r="939" spans="1:8">
      <c r="A939" t="s">
        <v>1297</v>
      </c>
      <c r="B939" t="s">
        <v>1298</v>
      </c>
      <c r="C939" t="s">
        <v>666</v>
      </c>
      <c r="D939" t="s">
        <v>1331</v>
      </c>
      <c r="E939" t="s">
        <v>187</v>
      </c>
      <c r="F939">
        <v>2012</v>
      </c>
      <c r="G939">
        <v>4.8899999999999996E-4</v>
      </c>
    </row>
    <row r="940" spans="1:8">
      <c r="A940" t="s">
        <v>1297</v>
      </c>
      <c r="B940" t="s">
        <v>1298</v>
      </c>
      <c r="C940" t="s">
        <v>666</v>
      </c>
      <c r="D940" t="s">
        <v>1331</v>
      </c>
      <c r="E940" t="s">
        <v>187</v>
      </c>
      <c r="F940">
        <v>2016</v>
      </c>
      <c r="G940">
        <v>1.5820000000000001E-3</v>
      </c>
    </row>
    <row r="941" spans="1:8">
      <c r="A941" t="s">
        <v>1297</v>
      </c>
      <c r="B941" t="s">
        <v>1298</v>
      </c>
      <c r="C941" t="s">
        <v>666</v>
      </c>
      <c r="D941" t="s">
        <v>1331</v>
      </c>
      <c r="E941" t="s">
        <v>187</v>
      </c>
      <c r="F941">
        <v>2020</v>
      </c>
      <c r="G941">
        <v>1.3309999999999999E-3</v>
      </c>
    </row>
    <row r="942" spans="1:8">
      <c r="A942" t="s">
        <v>1297</v>
      </c>
      <c r="B942" t="s">
        <v>1298</v>
      </c>
      <c r="C942" t="s">
        <v>672</v>
      </c>
      <c r="D942" t="s">
        <v>1331</v>
      </c>
      <c r="E942" t="s">
        <v>187</v>
      </c>
      <c r="F942">
        <v>2005</v>
      </c>
      <c r="G942">
        <v>5.1970000000000002E-3</v>
      </c>
    </row>
    <row r="943" spans="1:8">
      <c r="A943" t="s">
        <v>1297</v>
      </c>
      <c r="B943" t="s">
        <v>1298</v>
      </c>
      <c r="C943" t="s">
        <v>672</v>
      </c>
      <c r="D943" t="s">
        <v>1331</v>
      </c>
      <c r="E943" t="s">
        <v>187</v>
      </c>
      <c r="F943">
        <v>2010</v>
      </c>
      <c r="G943">
        <v>8.4437999999999999E-2</v>
      </c>
    </row>
    <row r="944" spans="1:8">
      <c r="A944" t="s">
        <v>1297</v>
      </c>
      <c r="B944" t="s">
        <v>1298</v>
      </c>
      <c r="C944" t="s">
        <v>672</v>
      </c>
      <c r="D944" t="s">
        <v>1331</v>
      </c>
      <c r="E944" t="s">
        <v>187</v>
      </c>
      <c r="F944">
        <v>2012</v>
      </c>
      <c r="G944">
        <v>9.2687000000000005E-2</v>
      </c>
    </row>
    <row r="945" spans="1:7">
      <c r="A945" t="s">
        <v>1297</v>
      </c>
      <c r="B945" t="s">
        <v>1298</v>
      </c>
      <c r="C945" t="s">
        <v>672</v>
      </c>
      <c r="D945" t="s">
        <v>1331</v>
      </c>
      <c r="E945" t="s">
        <v>187</v>
      </c>
      <c r="F945">
        <v>2016</v>
      </c>
      <c r="G945">
        <v>4.9672000000000001E-2</v>
      </c>
    </row>
    <row r="946" spans="1:7">
      <c r="A946" t="s">
        <v>1297</v>
      </c>
      <c r="B946" t="s">
        <v>1298</v>
      </c>
      <c r="C946" t="s">
        <v>672</v>
      </c>
      <c r="D946" t="s">
        <v>1331</v>
      </c>
      <c r="E946" t="s">
        <v>187</v>
      </c>
      <c r="F946">
        <v>2020</v>
      </c>
      <c r="G946">
        <v>4.6739000000000003E-2</v>
      </c>
    </row>
    <row r="947" spans="1:7">
      <c r="A947" t="s">
        <v>1297</v>
      </c>
      <c r="B947" t="s">
        <v>1298</v>
      </c>
      <c r="C947" t="s">
        <v>656</v>
      </c>
      <c r="D947" t="s">
        <v>1331</v>
      </c>
      <c r="E947" t="s">
        <v>187</v>
      </c>
      <c r="F947">
        <v>2020</v>
      </c>
      <c r="G947">
        <v>2.9756999999999999E-2</v>
      </c>
    </row>
    <row r="948" spans="1:7">
      <c r="A948" t="s">
        <v>1297</v>
      </c>
      <c r="B948" t="s">
        <v>1298</v>
      </c>
      <c r="C948" t="s">
        <v>659</v>
      </c>
      <c r="D948" t="s">
        <v>1331</v>
      </c>
      <c r="E948" t="s">
        <v>187</v>
      </c>
      <c r="F948">
        <v>2016</v>
      </c>
      <c r="G948">
        <v>0.17912800000000001</v>
      </c>
    </row>
    <row r="949" spans="1:7">
      <c r="A949" t="s">
        <v>1297</v>
      </c>
      <c r="B949" t="s">
        <v>1298</v>
      </c>
      <c r="C949" t="s">
        <v>659</v>
      </c>
      <c r="D949" t="s">
        <v>1331</v>
      </c>
      <c r="E949" t="s">
        <v>187</v>
      </c>
      <c r="F949">
        <v>2020</v>
      </c>
      <c r="G949">
        <v>0.27411799999999997</v>
      </c>
    </row>
    <row r="950" spans="1:7">
      <c r="A950" t="s">
        <v>1297</v>
      </c>
      <c r="B950" t="s">
        <v>1298</v>
      </c>
      <c r="C950" t="s">
        <v>1301</v>
      </c>
      <c r="D950" t="s">
        <v>1331</v>
      </c>
      <c r="E950" t="s">
        <v>187</v>
      </c>
      <c r="F950">
        <v>2005</v>
      </c>
      <c r="G950" s="14">
        <v>7.8999999999999996E-5</v>
      </c>
    </row>
    <row r="951" spans="1:7">
      <c r="A951" t="s">
        <v>1297</v>
      </c>
      <c r="B951" t="s">
        <v>1298</v>
      </c>
      <c r="C951" t="s">
        <v>1301</v>
      </c>
      <c r="D951" t="s">
        <v>1331</v>
      </c>
      <c r="E951" t="s">
        <v>187</v>
      </c>
      <c r="F951">
        <v>2010</v>
      </c>
      <c r="G951">
        <v>8.52E-4</v>
      </c>
    </row>
    <row r="952" spans="1:7">
      <c r="A952" t="s">
        <v>1297</v>
      </c>
      <c r="B952" t="s">
        <v>1298</v>
      </c>
      <c r="C952" t="s">
        <v>1301</v>
      </c>
      <c r="D952" t="s">
        <v>1331</v>
      </c>
      <c r="E952" t="s">
        <v>187</v>
      </c>
      <c r="F952">
        <v>2012</v>
      </c>
      <c r="G952">
        <v>1.0330000000000001E-3</v>
      </c>
    </row>
    <row r="953" spans="1:7">
      <c r="A953" t="s">
        <v>1297</v>
      </c>
      <c r="B953" t="s">
        <v>1298</v>
      </c>
      <c r="C953" t="s">
        <v>1301</v>
      </c>
      <c r="D953" t="s">
        <v>1331</v>
      </c>
      <c r="E953" t="s">
        <v>187</v>
      </c>
      <c r="F953">
        <v>2016</v>
      </c>
      <c r="G953">
        <v>2.8809999999999999E-3</v>
      </c>
    </row>
    <row r="954" spans="1:7">
      <c r="A954" t="s">
        <v>1297</v>
      </c>
      <c r="B954" t="s">
        <v>1298</v>
      </c>
      <c r="C954" t="s">
        <v>1299</v>
      </c>
      <c r="D954" t="s">
        <v>1331</v>
      </c>
      <c r="E954" t="s">
        <v>187</v>
      </c>
      <c r="F954">
        <v>2010</v>
      </c>
      <c r="G954">
        <v>1.1349999999999999E-3</v>
      </c>
    </row>
    <row r="955" spans="1:7">
      <c r="A955" t="s">
        <v>1297</v>
      </c>
      <c r="B955" t="s">
        <v>1298</v>
      </c>
      <c r="C955" t="s">
        <v>1299</v>
      </c>
      <c r="D955" t="s">
        <v>1331</v>
      </c>
      <c r="E955" t="s">
        <v>187</v>
      </c>
      <c r="F955">
        <v>2012</v>
      </c>
      <c r="G955" s="14">
        <v>9.3999999999999994E-5</v>
      </c>
    </row>
    <row r="956" spans="1:7">
      <c r="A956" t="s">
        <v>1297</v>
      </c>
      <c r="B956" t="s">
        <v>1298</v>
      </c>
      <c r="C956" t="s">
        <v>1299</v>
      </c>
      <c r="D956" t="s">
        <v>1331</v>
      </c>
      <c r="E956" t="s">
        <v>187</v>
      </c>
      <c r="F956">
        <v>2016</v>
      </c>
      <c r="G956" s="14">
        <v>6.4999999999999994E-5</v>
      </c>
    </row>
    <row r="957" spans="1:7">
      <c r="A957" t="s">
        <v>1297</v>
      </c>
      <c r="B957" t="s">
        <v>1298</v>
      </c>
      <c r="C957" t="s">
        <v>1299</v>
      </c>
      <c r="D957" t="s">
        <v>1331</v>
      </c>
      <c r="E957" t="s">
        <v>187</v>
      </c>
      <c r="F957">
        <v>2020</v>
      </c>
      <c r="G957">
        <v>6.9999999999999999E-4</v>
      </c>
    </row>
    <row r="958" spans="1:7">
      <c r="A958" t="s">
        <v>1297</v>
      </c>
      <c r="B958" t="s">
        <v>1298</v>
      </c>
      <c r="C958" t="s">
        <v>662</v>
      </c>
      <c r="D958" t="s">
        <v>1331</v>
      </c>
      <c r="E958" t="s">
        <v>187</v>
      </c>
      <c r="F958">
        <v>2020</v>
      </c>
      <c r="G958">
        <v>1.382E-3</v>
      </c>
    </row>
    <row r="959" spans="1:7">
      <c r="A959" t="s">
        <v>1297</v>
      </c>
      <c r="B959" t="s">
        <v>1298</v>
      </c>
      <c r="C959" t="s">
        <v>665</v>
      </c>
      <c r="D959" t="s">
        <v>1331</v>
      </c>
      <c r="E959" t="s">
        <v>187</v>
      </c>
      <c r="F959">
        <v>2005</v>
      </c>
      <c r="G959">
        <v>4.0600000000000002E-3</v>
      </c>
    </row>
    <row r="960" spans="1:7">
      <c r="A960" t="s">
        <v>1297</v>
      </c>
      <c r="B960" t="s">
        <v>1298</v>
      </c>
      <c r="C960" t="s">
        <v>665</v>
      </c>
      <c r="D960" t="s">
        <v>1331</v>
      </c>
      <c r="E960" t="s">
        <v>187</v>
      </c>
      <c r="F960">
        <v>2010</v>
      </c>
      <c r="G960">
        <v>7.783E-3</v>
      </c>
    </row>
    <row r="961" spans="1:8">
      <c r="A961" t="s">
        <v>1297</v>
      </c>
      <c r="B961" t="s">
        <v>1298</v>
      </c>
      <c r="C961" t="s">
        <v>665</v>
      </c>
      <c r="D961" t="s">
        <v>1331</v>
      </c>
      <c r="E961" t="s">
        <v>187</v>
      </c>
      <c r="F961">
        <v>2012</v>
      </c>
      <c r="G961">
        <v>1.5209E-2</v>
      </c>
    </row>
    <row r="962" spans="1:8">
      <c r="A962" t="s">
        <v>1297</v>
      </c>
      <c r="B962" t="s">
        <v>1298</v>
      </c>
      <c r="C962" t="s">
        <v>665</v>
      </c>
      <c r="D962" t="s">
        <v>1331</v>
      </c>
      <c r="E962" t="s">
        <v>187</v>
      </c>
      <c r="F962">
        <v>2016</v>
      </c>
      <c r="G962">
        <v>6.1719000000000003E-2</v>
      </c>
    </row>
    <row r="963" spans="1:8">
      <c r="A963" t="s">
        <v>1297</v>
      </c>
      <c r="B963" t="s">
        <v>1298</v>
      </c>
      <c r="C963" t="s">
        <v>665</v>
      </c>
      <c r="D963" t="s">
        <v>1331</v>
      </c>
      <c r="E963" t="s">
        <v>187</v>
      </c>
      <c r="F963">
        <v>2020</v>
      </c>
      <c r="G963">
        <v>5.1311000000000002E-2</v>
      </c>
    </row>
    <row r="964" spans="1:8">
      <c r="A964" t="s">
        <v>1297</v>
      </c>
      <c r="B964" t="s">
        <v>1298</v>
      </c>
      <c r="C964" t="s">
        <v>679</v>
      </c>
      <c r="D964" t="s">
        <v>1331</v>
      </c>
      <c r="E964" t="s">
        <v>187</v>
      </c>
      <c r="F964">
        <v>2005</v>
      </c>
      <c r="G964">
        <v>1.3569999999999999E-3</v>
      </c>
    </row>
    <row r="965" spans="1:8">
      <c r="A965" t="s">
        <v>1297</v>
      </c>
      <c r="B965" t="s">
        <v>1298</v>
      </c>
      <c r="C965" t="s">
        <v>679</v>
      </c>
      <c r="D965" t="s">
        <v>1331</v>
      </c>
      <c r="E965" t="s">
        <v>187</v>
      </c>
      <c r="F965">
        <v>2010</v>
      </c>
      <c r="G965" s="14">
        <v>2.2390000000000001E-3</v>
      </c>
      <c r="H965" s="14"/>
    </row>
    <row r="966" spans="1:8">
      <c r="A966" t="s">
        <v>1297</v>
      </c>
      <c r="B966" t="s">
        <v>1298</v>
      </c>
      <c r="C966" t="s">
        <v>679</v>
      </c>
      <c r="D966" t="s">
        <v>1331</v>
      </c>
      <c r="E966" t="s">
        <v>187</v>
      </c>
      <c r="F966">
        <v>2012</v>
      </c>
      <c r="G966">
        <v>1.6689999999999999E-3</v>
      </c>
    </row>
    <row r="967" spans="1:8">
      <c r="A967" t="s">
        <v>1297</v>
      </c>
      <c r="B967" t="s">
        <v>1298</v>
      </c>
      <c r="C967" t="s">
        <v>679</v>
      </c>
      <c r="D967" t="s">
        <v>1331</v>
      </c>
      <c r="E967" t="s">
        <v>187</v>
      </c>
      <c r="F967">
        <v>2016</v>
      </c>
      <c r="G967">
        <v>1.1670000000000001E-3</v>
      </c>
    </row>
    <row r="968" spans="1:8">
      <c r="A968" t="s">
        <v>1297</v>
      </c>
      <c r="B968" t="s">
        <v>1298</v>
      </c>
      <c r="C968" t="s">
        <v>679</v>
      </c>
      <c r="D968" t="s">
        <v>1331</v>
      </c>
      <c r="E968" t="s">
        <v>187</v>
      </c>
      <c r="F968">
        <v>2020</v>
      </c>
      <c r="G968">
        <v>1.41E-3</v>
      </c>
    </row>
    <row r="969" spans="1:8">
      <c r="A969" t="s">
        <v>1297</v>
      </c>
      <c r="B969" t="s">
        <v>1298</v>
      </c>
      <c r="C969" t="s">
        <v>674</v>
      </c>
      <c r="D969" t="s">
        <v>1331</v>
      </c>
      <c r="E969" t="s">
        <v>187</v>
      </c>
      <c r="F969">
        <v>2005</v>
      </c>
      <c r="G969" s="14">
        <v>5.5859999999999998E-3</v>
      </c>
      <c r="H969" s="14"/>
    </row>
    <row r="970" spans="1:8">
      <c r="A970" t="s">
        <v>1297</v>
      </c>
      <c r="B970" t="s">
        <v>1298</v>
      </c>
      <c r="C970" t="s">
        <v>674</v>
      </c>
      <c r="D970" t="s">
        <v>1331</v>
      </c>
      <c r="E970" t="s">
        <v>187</v>
      </c>
      <c r="F970">
        <v>2010</v>
      </c>
      <c r="G970">
        <v>9.6243999999999996E-2</v>
      </c>
    </row>
    <row r="971" spans="1:8">
      <c r="A971" t="s">
        <v>1297</v>
      </c>
      <c r="B971" t="s">
        <v>1298</v>
      </c>
      <c r="C971" t="s">
        <v>674</v>
      </c>
      <c r="D971" t="s">
        <v>1331</v>
      </c>
      <c r="E971" t="s">
        <v>187</v>
      </c>
      <c r="F971">
        <v>2012</v>
      </c>
      <c r="G971">
        <v>0.15889500000000001</v>
      </c>
    </row>
    <row r="972" spans="1:8">
      <c r="A972" t="s">
        <v>1297</v>
      </c>
      <c r="B972" t="s">
        <v>1298</v>
      </c>
      <c r="C972" t="s">
        <v>674</v>
      </c>
      <c r="D972" t="s">
        <v>1331</v>
      </c>
      <c r="E972" t="s">
        <v>187</v>
      </c>
      <c r="F972">
        <v>2016</v>
      </c>
      <c r="G972">
        <v>0.43228</v>
      </c>
    </row>
    <row r="973" spans="1:8">
      <c r="A973" t="s">
        <v>1297</v>
      </c>
      <c r="B973" t="s">
        <v>1298</v>
      </c>
      <c r="C973" t="s">
        <v>674</v>
      </c>
      <c r="D973" t="s">
        <v>1331</v>
      </c>
      <c r="E973" t="s">
        <v>187</v>
      </c>
      <c r="F973">
        <v>2020</v>
      </c>
      <c r="G973">
        <v>0.38453700000000002</v>
      </c>
    </row>
    <row r="974" spans="1:8">
      <c r="A974" t="s">
        <v>1297</v>
      </c>
      <c r="B974" t="s">
        <v>1298</v>
      </c>
      <c r="C974" t="s">
        <v>655</v>
      </c>
      <c r="D974" t="s">
        <v>1331</v>
      </c>
      <c r="E974" t="s">
        <v>187</v>
      </c>
      <c r="F974">
        <v>2005</v>
      </c>
      <c r="G974">
        <v>3.1399999999999999E-4</v>
      </c>
    </row>
    <row r="975" spans="1:8">
      <c r="A975" t="s">
        <v>1297</v>
      </c>
      <c r="B975" t="s">
        <v>1298</v>
      </c>
      <c r="C975" t="s">
        <v>655</v>
      </c>
      <c r="D975" t="s">
        <v>1331</v>
      </c>
      <c r="E975" t="s">
        <v>187</v>
      </c>
      <c r="F975">
        <v>2010</v>
      </c>
      <c r="G975">
        <v>7.2599999999999997E-4</v>
      </c>
    </row>
    <row r="976" spans="1:8">
      <c r="A976" t="s">
        <v>1297</v>
      </c>
      <c r="B976" t="s">
        <v>1298</v>
      </c>
      <c r="C976" t="s">
        <v>677</v>
      </c>
      <c r="D976" t="s">
        <v>1331</v>
      </c>
      <c r="E976" t="s">
        <v>187</v>
      </c>
      <c r="F976">
        <v>2010</v>
      </c>
      <c r="G976">
        <v>0.11634799999999999</v>
      </c>
    </row>
    <row r="977" spans="1:8">
      <c r="A977" t="s">
        <v>1297</v>
      </c>
      <c r="B977" t="s">
        <v>1298</v>
      </c>
      <c r="C977" t="s">
        <v>677</v>
      </c>
      <c r="D977" t="s">
        <v>1331</v>
      </c>
      <c r="E977" t="s">
        <v>187</v>
      </c>
      <c r="F977">
        <v>2012</v>
      </c>
      <c r="G977">
        <v>0.14111299999999999</v>
      </c>
    </row>
    <row r="978" spans="1:8">
      <c r="A978" t="s">
        <v>1297</v>
      </c>
      <c r="B978" t="s">
        <v>1298</v>
      </c>
      <c r="C978" t="s">
        <v>677</v>
      </c>
      <c r="D978" t="s">
        <v>1331</v>
      </c>
      <c r="E978" t="s">
        <v>187</v>
      </c>
      <c r="F978">
        <v>2016</v>
      </c>
      <c r="G978">
        <v>0.34720000000000001</v>
      </c>
    </row>
    <row r="979" spans="1:8">
      <c r="A979" t="s">
        <v>1297</v>
      </c>
      <c r="B979" t="s">
        <v>1298</v>
      </c>
      <c r="C979" t="s">
        <v>677</v>
      </c>
      <c r="D979" t="s">
        <v>1331</v>
      </c>
      <c r="E979" t="s">
        <v>187</v>
      </c>
      <c r="F979">
        <v>2020</v>
      </c>
      <c r="G979" s="14">
        <v>0.44501200000000002</v>
      </c>
      <c r="H979" s="14"/>
    </row>
    <row r="980" spans="1:8">
      <c r="A980" t="s">
        <v>1297</v>
      </c>
      <c r="B980" t="s">
        <v>1298</v>
      </c>
      <c r="C980" t="s">
        <v>655</v>
      </c>
      <c r="D980" t="s">
        <v>1331</v>
      </c>
      <c r="E980" t="s">
        <v>187</v>
      </c>
      <c r="F980">
        <v>2012</v>
      </c>
      <c r="G980" s="14">
        <v>1.1119999999999999E-3</v>
      </c>
      <c r="H980" s="14"/>
    </row>
    <row r="981" spans="1:8">
      <c r="A981" t="s">
        <v>1297</v>
      </c>
      <c r="B981" t="s">
        <v>1298</v>
      </c>
      <c r="C981" t="s">
        <v>655</v>
      </c>
      <c r="D981" t="s">
        <v>1331</v>
      </c>
      <c r="E981" t="s">
        <v>187</v>
      </c>
      <c r="F981">
        <v>2016</v>
      </c>
      <c r="G981" s="14">
        <v>1.6459999999999999E-3</v>
      </c>
      <c r="H981" s="14"/>
    </row>
    <row r="982" spans="1:8">
      <c r="A982" t="s">
        <v>1297</v>
      </c>
      <c r="B982" t="s">
        <v>1298</v>
      </c>
      <c r="C982" t="s">
        <v>655</v>
      </c>
      <c r="D982" t="s">
        <v>1331</v>
      </c>
      <c r="E982" t="s">
        <v>187</v>
      </c>
      <c r="F982">
        <v>2020</v>
      </c>
      <c r="G982">
        <v>4.2830000000000003E-3</v>
      </c>
    </row>
    <row r="983" spans="1:8">
      <c r="A983" t="s">
        <v>1297</v>
      </c>
      <c r="B983" t="s">
        <v>1298</v>
      </c>
      <c r="C983" t="s">
        <v>676</v>
      </c>
      <c r="D983" t="s">
        <v>1332</v>
      </c>
      <c r="E983" t="s">
        <v>187</v>
      </c>
      <c r="F983">
        <v>2005</v>
      </c>
      <c r="G983">
        <v>2.4501940000000002</v>
      </c>
    </row>
    <row r="984" spans="1:8">
      <c r="A984" t="s">
        <v>1297</v>
      </c>
      <c r="B984" t="s">
        <v>1298</v>
      </c>
      <c r="C984" t="s">
        <v>676</v>
      </c>
      <c r="D984" t="s">
        <v>1332</v>
      </c>
      <c r="E984" t="s">
        <v>187</v>
      </c>
      <c r="F984">
        <v>2010</v>
      </c>
      <c r="G984">
        <v>3.9403679999999999</v>
      </c>
    </row>
    <row r="985" spans="1:8">
      <c r="A985" t="s">
        <v>1297</v>
      </c>
      <c r="B985" t="s">
        <v>1298</v>
      </c>
      <c r="C985" t="s">
        <v>676</v>
      </c>
      <c r="D985" t="s">
        <v>1332</v>
      </c>
      <c r="E985" t="s">
        <v>187</v>
      </c>
      <c r="F985">
        <v>2012</v>
      </c>
      <c r="G985">
        <v>5.5618249999999998</v>
      </c>
    </row>
    <row r="986" spans="1:8">
      <c r="A986" t="s">
        <v>1297</v>
      </c>
      <c r="B986" t="s">
        <v>1298</v>
      </c>
      <c r="C986" t="s">
        <v>676</v>
      </c>
      <c r="D986" t="s">
        <v>1332</v>
      </c>
      <c r="E986" t="s">
        <v>187</v>
      </c>
      <c r="F986">
        <v>2016</v>
      </c>
      <c r="G986">
        <v>5.4366269999999997</v>
      </c>
    </row>
    <row r="987" spans="1:8">
      <c r="A987" t="s">
        <v>1297</v>
      </c>
      <c r="B987" t="s">
        <v>1298</v>
      </c>
      <c r="C987" t="s">
        <v>676</v>
      </c>
      <c r="D987" t="s">
        <v>1332</v>
      </c>
      <c r="E987" t="s">
        <v>187</v>
      </c>
      <c r="F987">
        <v>2020</v>
      </c>
      <c r="G987">
        <v>28.729990999999998</v>
      </c>
    </row>
    <row r="988" spans="1:8">
      <c r="A988" t="s">
        <v>1297</v>
      </c>
      <c r="B988" t="s">
        <v>1298</v>
      </c>
      <c r="C988" t="s">
        <v>674</v>
      </c>
      <c r="D988" t="s">
        <v>1332</v>
      </c>
      <c r="E988" t="s">
        <v>187</v>
      </c>
      <c r="F988">
        <v>2005</v>
      </c>
      <c r="G988">
        <v>103.226264</v>
      </c>
    </row>
    <row r="989" spans="1:8">
      <c r="A989" t="s">
        <v>1297</v>
      </c>
      <c r="B989" t="s">
        <v>1298</v>
      </c>
      <c r="C989" t="s">
        <v>674</v>
      </c>
      <c r="D989" t="s">
        <v>1332</v>
      </c>
      <c r="E989" t="s">
        <v>187</v>
      </c>
      <c r="F989">
        <v>2010</v>
      </c>
      <c r="G989">
        <v>132.925072</v>
      </c>
    </row>
    <row r="990" spans="1:8">
      <c r="A990" t="s">
        <v>1297</v>
      </c>
      <c r="B990" t="s">
        <v>1298</v>
      </c>
      <c r="C990" t="s">
        <v>674</v>
      </c>
      <c r="D990" t="s">
        <v>1332</v>
      </c>
      <c r="E990" t="s">
        <v>187</v>
      </c>
      <c r="F990">
        <v>2012</v>
      </c>
      <c r="G990">
        <v>139.63607200000001</v>
      </c>
    </row>
    <row r="991" spans="1:8">
      <c r="A991" t="s">
        <v>1297</v>
      </c>
      <c r="B991" t="s">
        <v>1298</v>
      </c>
      <c r="C991" t="s">
        <v>674</v>
      </c>
      <c r="D991" t="s">
        <v>1332</v>
      </c>
      <c r="E991" t="s">
        <v>187</v>
      </c>
      <c r="F991">
        <v>2016</v>
      </c>
      <c r="G991">
        <v>127.566125</v>
      </c>
    </row>
    <row r="992" spans="1:8">
      <c r="A992" t="s">
        <v>1297</v>
      </c>
      <c r="B992" t="s">
        <v>1298</v>
      </c>
      <c r="C992" t="s">
        <v>674</v>
      </c>
      <c r="D992" t="s">
        <v>1332</v>
      </c>
      <c r="E992" t="s">
        <v>187</v>
      </c>
      <c r="F992">
        <v>2020</v>
      </c>
      <c r="G992">
        <v>124.058907</v>
      </c>
    </row>
    <row r="993" spans="1:7">
      <c r="A993" t="s">
        <v>1297</v>
      </c>
      <c r="B993" t="s">
        <v>1298</v>
      </c>
      <c r="C993" t="s">
        <v>669</v>
      </c>
      <c r="D993" t="s">
        <v>1332</v>
      </c>
      <c r="E993" t="s">
        <v>187</v>
      </c>
      <c r="F993">
        <v>2010</v>
      </c>
      <c r="G993">
        <v>3.1E-2</v>
      </c>
    </row>
    <row r="994" spans="1:7">
      <c r="A994" t="s">
        <v>1297</v>
      </c>
      <c r="B994" t="s">
        <v>1298</v>
      </c>
      <c r="C994" t="s">
        <v>669</v>
      </c>
      <c r="D994" t="s">
        <v>1332</v>
      </c>
      <c r="E994" t="s">
        <v>187</v>
      </c>
      <c r="F994">
        <v>2012</v>
      </c>
      <c r="G994">
        <v>4.8572999999999998E-2</v>
      </c>
    </row>
    <row r="995" spans="1:7">
      <c r="A995" t="s">
        <v>1297</v>
      </c>
      <c r="B995" t="s">
        <v>1298</v>
      </c>
      <c r="C995" t="s">
        <v>669</v>
      </c>
      <c r="D995" t="s">
        <v>1332</v>
      </c>
      <c r="E995" t="s">
        <v>187</v>
      </c>
      <c r="F995">
        <v>2016</v>
      </c>
      <c r="G995">
        <v>6.8736000000000005E-2</v>
      </c>
    </row>
    <row r="996" spans="1:7">
      <c r="A996" t="s">
        <v>1297</v>
      </c>
      <c r="B996" t="s">
        <v>1298</v>
      </c>
      <c r="C996" t="s">
        <v>669</v>
      </c>
      <c r="D996" t="s">
        <v>1332</v>
      </c>
      <c r="E996" t="s">
        <v>187</v>
      </c>
      <c r="F996">
        <v>2020</v>
      </c>
      <c r="G996">
        <v>7.9311999999999994E-2</v>
      </c>
    </row>
    <row r="997" spans="1:7">
      <c r="A997" t="s">
        <v>1297</v>
      </c>
      <c r="B997" t="s">
        <v>1298</v>
      </c>
      <c r="C997" t="s">
        <v>685</v>
      </c>
      <c r="D997" t="s">
        <v>1332</v>
      </c>
      <c r="E997" t="s">
        <v>187</v>
      </c>
      <c r="F997">
        <v>2005</v>
      </c>
      <c r="G997">
        <v>8.1790000000000003</v>
      </c>
    </row>
    <row r="998" spans="1:7">
      <c r="A998" t="s">
        <v>1297</v>
      </c>
      <c r="B998" t="s">
        <v>1298</v>
      </c>
      <c r="C998" t="s">
        <v>685</v>
      </c>
      <c r="D998" t="s">
        <v>1332</v>
      </c>
      <c r="E998" t="s">
        <v>187</v>
      </c>
      <c r="F998">
        <v>2010</v>
      </c>
      <c r="G998">
        <v>7.5419999999999998</v>
      </c>
    </row>
    <row r="999" spans="1:7">
      <c r="A999" t="s">
        <v>1297</v>
      </c>
      <c r="B999" t="s">
        <v>1298</v>
      </c>
      <c r="C999" t="s">
        <v>685</v>
      </c>
      <c r="D999" t="s">
        <v>1332</v>
      </c>
      <c r="E999" t="s">
        <v>187</v>
      </c>
      <c r="F999">
        <v>2012</v>
      </c>
      <c r="G999">
        <v>8.9670000000000005</v>
      </c>
    </row>
    <row r="1000" spans="1:7">
      <c r="A1000" t="s">
        <v>1297</v>
      </c>
      <c r="B1000" t="s">
        <v>1298</v>
      </c>
      <c r="C1000" t="s">
        <v>685</v>
      </c>
      <c r="D1000" t="s">
        <v>1332</v>
      </c>
      <c r="E1000" t="s">
        <v>187</v>
      </c>
      <c r="F1000">
        <v>2016</v>
      </c>
      <c r="G1000">
        <v>7.7541589999999996</v>
      </c>
    </row>
    <row r="1001" spans="1:7">
      <c r="A1001" t="s">
        <v>1297</v>
      </c>
      <c r="B1001" t="s">
        <v>1298</v>
      </c>
      <c r="C1001" t="s">
        <v>685</v>
      </c>
      <c r="D1001" t="s">
        <v>1332</v>
      </c>
      <c r="E1001" t="s">
        <v>187</v>
      </c>
      <c r="F1001">
        <v>2020</v>
      </c>
      <c r="G1001">
        <v>7.3231450000000002</v>
      </c>
    </row>
    <row r="1002" spans="1:7">
      <c r="A1002" t="s">
        <v>1297</v>
      </c>
      <c r="B1002" t="s">
        <v>1298</v>
      </c>
      <c r="C1002" t="s">
        <v>680</v>
      </c>
      <c r="D1002" t="s">
        <v>1332</v>
      </c>
      <c r="E1002" t="s">
        <v>187</v>
      </c>
      <c r="F1002">
        <v>2005</v>
      </c>
      <c r="G1002">
        <v>1.5740000000000001E-2</v>
      </c>
    </row>
    <row r="1003" spans="1:7">
      <c r="A1003" t="s">
        <v>1297</v>
      </c>
      <c r="B1003" t="s">
        <v>1298</v>
      </c>
      <c r="C1003" t="s">
        <v>680</v>
      </c>
      <c r="D1003" t="s">
        <v>1332</v>
      </c>
      <c r="E1003" t="s">
        <v>187</v>
      </c>
      <c r="F1003">
        <v>2010</v>
      </c>
      <c r="G1003">
        <v>7.267E-3</v>
      </c>
    </row>
    <row r="1004" spans="1:7">
      <c r="A1004" t="s">
        <v>1297</v>
      </c>
      <c r="B1004" t="s">
        <v>1298</v>
      </c>
      <c r="C1004" t="s">
        <v>672</v>
      </c>
      <c r="D1004" t="s">
        <v>1332</v>
      </c>
      <c r="E1004" t="s">
        <v>187</v>
      </c>
      <c r="F1004">
        <v>2005</v>
      </c>
      <c r="G1004">
        <v>50.470303000000001</v>
      </c>
    </row>
    <row r="1005" spans="1:7">
      <c r="A1005" t="s">
        <v>1297</v>
      </c>
      <c r="B1005" t="s">
        <v>1298</v>
      </c>
      <c r="C1005" t="s">
        <v>672</v>
      </c>
      <c r="D1005" t="s">
        <v>1332</v>
      </c>
      <c r="E1005" t="s">
        <v>187</v>
      </c>
      <c r="F1005">
        <v>2010</v>
      </c>
      <c r="G1005">
        <v>32.332388000000002</v>
      </c>
    </row>
    <row r="1006" spans="1:7">
      <c r="A1006" t="s">
        <v>1297</v>
      </c>
      <c r="B1006" t="s">
        <v>1298</v>
      </c>
      <c r="C1006" t="s">
        <v>672</v>
      </c>
      <c r="D1006" t="s">
        <v>1332</v>
      </c>
      <c r="E1006" t="s">
        <v>187</v>
      </c>
      <c r="F1006">
        <v>2012</v>
      </c>
      <c r="G1006">
        <v>34.509340999999999</v>
      </c>
    </row>
    <row r="1007" spans="1:7">
      <c r="A1007" t="s">
        <v>1297</v>
      </c>
      <c r="B1007" t="s">
        <v>1298</v>
      </c>
      <c r="C1007" t="s">
        <v>672</v>
      </c>
      <c r="D1007" t="s">
        <v>1332</v>
      </c>
      <c r="E1007" t="s">
        <v>187</v>
      </c>
      <c r="F1007">
        <v>2016</v>
      </c>
      <c r="G1007">
        <v>34.374915999999999</v>
      </c>
    </row>
    <row r="1008" spans="1:7">
      <c r="A1008" t="s">
        <v>1297</v>
      </c>
      <c r="B1008" t="s">
        <v>1298</v>
      </c>
      <c r="C1008" t="s">
        <v>672</v>
      </c>
      <c r="D1008" t="s">
        <v>1332</v>
      </c>
      <c r="E1008" t="s">
        <v>187</v>
      </c>
      <c r="F1008">
        <v>2020</v>
      </c>
      <c r="G1008">
        <v>34.871507999999999</v>
      </c>
    </row>
    <row r="1009" spans="1:7">
      <c r="A1009" t="s">
        <v>1297</v>
      </c>
      <c r="B1009" t="s">
        <v>1298</v>
      </c>
      <c r="C1009" t="s">
        <v>667</v>
      </c>
      <c r="D1009" t="s">
        <v>1332</v>
      </c>
      <c r="E1009" t="s">
        <v>187</v>
      </c>
      <c r="F1009">
        <v>2005</v>
      </c>
      <c r="G1009">
        <v>0.69096599999999997</v>
      </c>
    </row>
    <row r="1010" spans="1:7">
      <c r="A1010" t="s">
        <v>1297</v>
      </c>
      <c r="B1010" t="s">
        <v>1298</v>
      </c>
      <c r="C1010" t="s">
        <v>667</v>
      </c>
      <c r="D1010" t="s">
        <v>1332</v>
      </c>
      <c r="E1010" t="s">
        <v>187</v>
      </c>
      <c r="F1010">
        <v>2010</v>
      </c>
      <c r="G1010">
        <v>0.79589900000000002</v>
      </c>
    </row>
    <row r="1011" spans="1:7">
      <c r="A1011" t="s">
        <v>1297</v>
      </c>
      <c r="B1011" t="s">
        <v>1298</v>
      </c>
      <c r="C1011" t="s">
        <v>667</v>
      </c>
      <c r="D1011" t="s">
        <v>1332</v>
      </c>
      <c r="E1011" t="s">
        <v>187</v>
      </c>
      <c r="F1011">
        <v>2012</v>
      </c>
      <c r="G1011">
        <v>0.84190200000000004</v>
      </c>
    </row>
    <row r="1012" spans="1:7">
      <c r="A1012" t="s">
        <v>1297</v>
      </c>
      <c r="B1012" t="s">
        <v>1298</v>
      </c>
      <c r="C1012" t="s">
        <v>667</v>
      </c>
      <c r="D1012" t="s">
        <v>1332</v>
      </c>
      <c r="E1012" t="s">
        <v>187</v>
      </c>
      <c r="F1012">
        <v>2016</v>
      </c>
      <c r="G1012">
        <v>1.3489629999999999</v>
      </c>
    </row>
    <row r="1013" spans="1:7">
      <c r="A1013" t="s">
        <v>1297</v>
      </c>
      <c r="B1013" t="s">
        <v>1298</v>
      </c>
      <c r="C1013" t="s">
        <v>667</v>
      </c>
      <c r="D1013" t="s">
        <v>1332</v>
      </c>
      <c r="E1013" t="s">
        <v>187</v>
      </c>
      <c r="F1013">
        <v>2020</v>
      </c>
      <c r="G1013">
        <v>1.173899</v>
      </c>
    </row>
    <row r="1014" spans="1:7">
      <c r="A1014" t="s">
        <v>1297</v>
      </c>
      <c r="B1014" t="s">
        <v>1298</v>
      </c>
      <c r="C1014" t="s">
        <v>1301</v>
      </c>
      <c r="D1014" t="s">
        <v>1332</v>
      </c>
      <c r="E1014" t="s">
        <v>187</v>
      </c>
      <c r="F1014">
        <v>2005</v>
      </c>
      <c r="G1014">
        <v>222.92439100000001</v>
      </c>
    </row>
    <row r="1015" spans="1:7">
      <c r="A1015" t="s">
        <v>1297</v>
      </c>
      <c r="B1015" t="s">
        <v>1298</v>
      </c>
      <c r="C1015" t="s">
        <v>1301</v>
      </c>
      <c r="D1015" t="s">
        <v>1332</v>
      </c>
      <c r="E1015" t="s">
        <v>187</v>
      </c>
      <c r="F1015">
        <v>2010</v>
      </c>
      <c r="G1015">
        <v>185.92109500000001</v>
      </c>
    </row>
    <row r="1016" spans="1:7">
      <c r="A1016" t="s">
        <v>1297</v>
      </c>
      <c r="B1016" t="s">
        <v>1298</v>
      </c>
      <c r="C1016" t="s">
        <v>1301</v>
      </c>
      <c r="D1016" t="s">
        <v>1332</v>
      </c>
      <c r="E1016" t="s">
        <v>187</v>
      </c>
      <c r="F1016">
        <v>2012</v>
      </c>
      <c r="G1016">
        <v>144.96191899999999</v>
      </c>
    </row>
    <row r="1017" spans="1:7">
      <c r="A1017" t="s">
        <v>1297</v>
      </c>
      <c r="B1017" t="s">
        <v>1298</v>
      </c>
      <c r="C1017" t="s">
        <v>1301</v>
      </c>
      <c r="D1017" t="s">
        <v>1332</v>
      </c>
      <c r="E1017" t="s">
        <v>187</v>
      </c>
      <c r="F1017">
        <v>2016</v>
      </c>
      <c r="G1017">
        <v>109.496999</v>
      </c>
    </row>
    <row r="1018" spans="1:7">
      <c r="A1018" t="s">
        <v>1297</v>
      </c>
      <c r="B1018" t="s">
        <v>1298</v>
      </c>
      <c r="C1018" t="s">
        <v>1303</v>
      </c>
      <c r="D1018" t="s">
        <v>1332</v>
      </c>
      <c r="E1018" t="s">
        <v>187</v>
      </c>
      <c r="F1018">
        <v>2016</v>
      </c>
      <c r="G1018">
        <v>15.933999999999999</v>
      </c>
    </row>
    <row r="1019" spans="1:7">
      <c r="A1019" t="s">
        <v>1297</v>
      </c>
      <c r="B1019" t="s">
        <v>1298</v>
      </c>
      <c r="C1019" t="s">
        <v>1303</v>
      </c>
      <c r="D1019" t="s">
        <v>1332</v>
      </c>
      <c r="E1019" t="s">
        <v>187</v>
      </c>
      <c r="F1019">
        <v>2020</v>
      </c>
      <c r="G1019">
        <v>10.097239999999999</v>
      </c>
    </row>
    <row r="1020" spans="1:7">
      <c r="A1020" t="s">
        <v>1297</v>
      </c>
      <c r="B1020" t="s">
        <v>1298</v>
      </c>
      <c r="C1020" t="s">
        <v>651</v>
      </c>
      <c r="D1020" t="s">
        <v>1332</v>
      </c>
      <c r="E1020" t="s">
        <v>187</v>
      </c>
      <c r="F1020">
        <v>2005</v>
      </c>
      <c r="G1020">
        <v>65.327037000000004</v>
      </c>
    </row>
    <row r="1021" spans="1:7">
      <c r="A1021" t="s">
        <v>1297</v>
      </c>
      <c r="B1021" t="s">
        <v>1298</v>
      </c>
      <c r="C1021" t="s">
        <v>651</v>
      </c>
      <c r="D1021" t="s">
        <v>1332</v>
      </c>
      <c r="E1021" t="s">
        <v>187</v>
      </c>
      <c r="F1021">
        <v>2010</v>
      </c>
      <c r="G1021">
        <v>89.857688999999993</v>
      </c>
    </row>
    <row r="1022" spans="1:7">
      <c r="A1022" t="s">
        <v>1297</v>
      </c>
      <c r="B1022" t="s">
        <v>1298</v>
      </c>
      <c r="C1022" t="s">
        <v>651</v>
      </c>
      <c r="D1022" t="s">
        <v>1332</v>
      </c>
      <c r="E1022" t="s">
        <v>187</v>
      </c>
      <c r="F1022">
        <v>2012</v>
      </c>
      <c r="G1022">
        <v>92.179067000000003</v>
      </c>
    </row>
    <row r="1023" spans="1:7">
      <c r="A1023" t="s">
        <v>1297</v>
      </c>
      <c r="B1023" t="s">
        <v>1298</v>
      </c>
      <c r="C1023" t="s">
        <v>651</v>
      </c>
      <c r="D1023" t="s">
        <v>1332</v>
      </c>
      <c r="E1023" t="s">
        <v>187</v>
      </c>
      <c r="F1023">
        <v>2016</v>
      </c>
      <c r="G1023">
        <v>93.884399000000002</v>
      </c>
    </row>
    <row r="1024" spans="1:7">
      <c r="A1024" t="s">
        <v>1297</v>
      </c>
      <c r="B1024" t="s">
        <v>1298</v>
      </c>
      <c r="C1024" t="s">
        <v>651</v>
      </c>
      <c r="D1024" t="s">
        <v>1332</v>
      </c>
      <c r="E1024" t="s">
        <v>187</v>
      </c>
      <c r="F1024">
        <v>2020</v>
      </c>
      <c r="G1024">
        <v>90.542815000000004</v>
      </c>
    </row>
    <row r="1025" spans="1:7">
      <c r="A1025" t="s">
        <v>1297</v>
      </c>
      <c r="B1025" t="s">
        <v>1298</v>
      </c>
      <c r="C1025" t="s">
        <v>659</v>
      </c>
      <c r="D1025" t="s">
        <v>1332</v>
      </c>
      <c r="E1025" t="s">
        <v>187</v>
      </c>
      <c r="F1025">
        <v>2005</v>
      </c>
      <c r="G1025">
        <v>86.773486000000005</v>
      </c>
    </row>
    <row r="1026" spans="1:7">
      <c r="A1026" t="s">
        <v>1297</v>
      </c>
      <c r="B1026" t="s">
        <v>1298</v>
      </c>
      <c r="C1026" t="s">
        <v>659</v>
      </c>
      <c r="D1026" t="s">
        <v>1332</v>
      </c>
      <c r="E1026" t="s">
        <v>187</v>
      </c>
      <c r="F1026">
        <v>2010</v>
      </c>
      <c r="G1026">
        <v>106.773461</v>
      </c>
    </row>
    <row r="1027" spans="1:7">
      <c r="A1027" t="s">
        <v>1297</v>
      </c>
      <c r="B1027" t="s">
        <v>1298</v>
      </c>
      <c r="C1027" t="s">
        <v>659</v>
      </c>
      <c r="D1027" t="s">
        <v>1332</v>
      </c>
      <c r="E1027" t="s">
        <v>187</v>
      </c>
      <c r="F1027">
        <v>2012</v>
      </c>
      <c r="G1027">
        <v>109.656811</v>
      </c>
    </row>
    <row r="1028" spans="1:7">
      <c r="A1028" t="s">
        <v>1297</v>
      </c>
      <c r="B1028" t="s">
        <v>1298</v>
      </c>
      <c r="C1028" t="s">
        <v>659</v>
      </c>
      <c r="D1028" t="s">
        <v>1332</v>
      </c>
      <c r="E1028" t="s">
        <v>187</v>
      </c>
      <c r="F1028">
        <v>2016</v>
      </c>
      <c r="G1028">
        <v>111.13016</v>
      </c>
    </row>
    <row r="1029" spans="1:7">
      <c r="A1029" t="s">
        <v>1297</v>
      </c>
      <c r="B1029" t="s">
        <v>1298</v>
      </c>
      <c r="C1029" t="s">
        <v>659</v>
      </c>
      <c r="D1029" t="s">
        <v>1332</v>
      </c>
      <c r="E1029" t="s">
        <v>187</v>
      </c>
      <c r="F1029">
        <v>2020</v>
      </c>
      <c r="G1029">
        <v>112.033697</v>
      </c>
    </row>
    <row r="1030" spans="1:7">
      <c r="A1030" t="s">
        <v>1297</v>
      </c>
      <c r="B1030" t="s">
        <v>1298</v>
      </c>
      <c r="C1030" t="s">
        <v>1300</v>
      </c>
      <c r="D1030" t="s">
        <v>1332</v>
      </c>
      <c r="E1030" t="s">
        <v>187</v>
      </c>
      <c r="F1030">
        <v>2010</v>
      </c>
      <c r="G1030">
        <v>20.607098000000001</v>
      </c>
    </row>
    <row r="1031" spans="1:7">
      <c r="A1031" t="s">
        <v>1297</v>
      </c>
      <c r="B1031" t="s">
        <v>1298</v>
      </c>
      <c r="C1031" t="s">
        <v>1300</v>
      </c>
      <c r="D1031" t="s">
        <v>1332</v>
      </c>
      <c r="E1031" t="s">
        <v>187</v>
      </c>
      <c r="F1031">
        <v>2012</v>
      </c>
      <c r="G1031">
        <v>23.516452999999998</v>
      </c>
    </row>
    <row r="1032" spans="1:7">
      <c r="A1032" t="s">
        <v>1297</v>
      </c>
      <c r="B1032" t="s">
        <v>1298</v>
      </c>
      <c r="C1032" t="s">
        <v>1300</v>
      </c>
      <c r="D1032" t="s">
        <v>1332</v>
      </c>
      <c r="E1032" t="s">
        <v>187</v>
      </c>
      <c r="F1032">
        <v>2016</v>
      </c>
      <c r="G1032">
        <v>27.838550999999999</v>
      </c>
    </row>
    <row r="1033" spans="1:7">
      <c r="A1033" t="s">
        <v>1297</v>
      </c>
      <c r="B1033" t="s">
        <v>1298</v>
      </c>
      <c r="C1033" t="s">
        <v>1300</v>
      </c>
      <c r="D1033" t="s">
        <v>1332</v>
      </c>
      <c r="E1033" t="s">
        <v>187</v>
      </c>
      <c r="F1033">
        <v>2020</v>
      </c>
      <c r="G1033">
        <v>25.822355000000002</v>
      </c>
    </row>
    <row r="1034" spans="1:7">
      <c r="A1034" t="s">
        <v>1297</v>
      </c>
      <c r="B1034" t="s">
        <v>1298</v>
      </c>
      <c r="C1034" t="s">
        <v>677</v>
      </c>
      <c r="D1034" t="s">
        <v>1332</v>
      </c>
      <c r="E1034" t="s">
        <v>187</v>
      </c>
      <c r="F1034">
        <v>2005</v>
      </c>
      <c r="G1034">
        <v>20.105001999999999</v>
      </c>
    </row>
    <row r="1035" spans="1:7">
      <c r="A1035" t="s">
        <v>1297</v>
      </c>
      <c r="B1035" t="s">
        <v>1298</v>
      </c>
      <c r="C1035" t="s">
        <v>677</v>
      </c>
      <c r="D1035" t="s">
        <v>1332</v>
      </c>
      <c r="E1035" t="s">
        <v>187</v>
      </c>
      <c r="F1035">
        <v>2010</v>
      </c>
      <c r="G1035">
        <v>58.329323000000002</v>
      </c>
    </row>
    <row r="1036" spans="1:7">
      <c r="A1036" t="s">
        <v>1297</v>
      </c>
      <c r="B1036" t="s">
        <v>1298</v>
      </c>
      <c r="C1036" t="s">
        <v>677</v>
      </c>
      <c r="D1036" t="s">
        <v>1332</v>
      </c>
      <c r="E1036" t="s">
        <v>187</v>
      </c>
      <c r="F1036">
        <v>2012</v>
      </c>
      <c r="G1036">
        <v>66.043037999999996</v>
      </c>
    </row>
    <row r="1037" spans="1:7">
      <c r="A1037" t="s">
        <v>1297</v>
      </c>
      <c r="B1037" t="s">
        <v>1298</v>
      </c>
      <c r="C1037" t="s">
        <v>677</v>
      </c>
      <c r="D1037" t="s">
        <v>1332</v>
      </c>
      <c r="E1037" t="s">
        <v>187</v>
      </c>
      <c r="F1037">
        <v>2016</v>
      </c>
      <c r="G1037">
        <v>110.163764</v>
      </c>
    </row>
    <row r="1038" spans="1:7">
      <c r="A1038" t="s">
        <v>1297</v>
      </c>
      <c r="B1038" t="s">
        <v>1298</v>
      </c>
      <c r="C1038" t="s">
        <v>677</v>
      </c>
      <c r="D1038" t="s">
        <v>1332</v>
      </c>
      <c r="E1038" t="s">
        <v>187</v>
      </c>
      <c r="F1038">
        <v>2020</v>
      </c>
      <c r="G1038">
        <v>131.82803999999999</v>
      </c>
    </row>
    <row r="1039" spans="1:7">
      <c r="A1039" t="s">
        <v>1297</v>
      </c>
      <c r="B1039" t="s">
        <v>1298</v>
      </c>
      <c r="C1039" t="s">
        <v>664</v>
      </c>
      <c r="D1039" t="s">
        <v>1332</v>
      </c>
      <c r="E1039" t="s">
        <v>187</v>
      </c>
      <c r="F1039">
        <v>2005</v>
      </c>
      <c r="G1039">
        <v>0.80351399999999995</v>
      </c>
    </row>
    <row r="1040" spans="1:7">
      <c r="A1040" t="s">
        <v>1297</v>
      </c>
      <c r="B1040" t="s">
        <v>1298</v>
      </c>
      <c r="C1040" t="s">
        <v>664</v>
      </c>
      <c r="D1040" t="s">
        <v>1332</v>
      </c>
      <c r="E1040" t="s">
        <v>187</v>
      </c>
      <c r="F1040">
        <v>2010</v>
      </c>
      <c r="G1040">
        <v>1.460626</v>
      </c>
    </row>
    <row r="1041" spans="1:7">
      <c r="A1041" t="s">
        <v>1297</v>
      </c>
      <c r="B1041" t="s">
        <v>1298</v>
      </c>
      <c r="C1041" t="s">
        <v>664</v>
      </c>
      <c r="D1041" t="s">
        <v>1332</v>
      </c>
      <c r="E1041" t="s">
        <v>187</v>
      </c>
      <c r="F1041">
        <v>2012</v>
      </c>
      <c r="G1041">
        <v>1.6374059999999999</v>
      </c>
    </row>
    <row r="1042" spans="1:7">
      <c r="A1042" t="s">
        <v>1297</v>
      </c>
      <c r="B1042" t="s">
        <v>1298</v>
      </c>
      <c r="C1042" t="s">
        <v>664</v>
      </c>
      <c r="D1042" t="s">
        <v>1332</v>
      </c>
      <c r="E1042" t="s">
        <v>187</v>
      </c>
      <c r="F1042">
        <v>2016</v>
      </c>
      <c r="G1042">
        <v>2.003447</v>
      </c>
    </row>
    <row r="1043" spans="1:7">
      <c r="A1043" t="s">
        <v>1297</v>
      </c>
      <c r="B1043" t="s">
        <v>1298</v>
      </c>
      <c r="C1043" t="s">
        <v>664</v>
      </c>
      <c r="D1043" t="s">
        <v>1332</v>
      </c>
      <c r="E1043" t="s">
        <v>187</v>
      </c>
      <c r="F1043">
        <v>2020</v>
      </c>
      <c r="G1043">
        <v>1.856552</v>
      </c>
    </row>
    <row r="1044" spans="1:7">
      <c r="A1044" t="s">
        <v>1297</v>
      </c>
      <c r="B1044" t="s">
        <v>1298</v>
      </c>
      <c r="C1044" t="s">
        <v>681</v>
      </c>
      <c r="D1044" t="s">
        <v>1332</v>
      </c>
      <c r="E1044" t="s">
        <v>187</v>
      </c>
      <c r="F1044">
        <v>2005</v>
      </c>
      <c r="G1044">
        <v>8.6669999999999998</v>
      </c>
    </row>
    <row r="1045" spans="1:7">
      <c r="A1045" t="s">
        <v>1297</v>
      </c>
      <c r="B1045" t="s">
        <v>1298</v>
      </c>
      <c r="C1045" t="s">
        <v>681</v>
      </c>
      <c r="D1045" t="s">
        <v>1332</v>
      </c>
      <c r="E1045" t="s">
        <v>187</v>
      </c>
      <c r="F1045">
        <v>2010</v>
      </c>
      <c r="G1045">
        <v>7.5359999999999996</v>
      </c>
    </row>
    <row r="1046" spans="1:7">
      <c r="A1046" t="s">
        <v>1297</v>
      </c>
      <c r="B1046" t="s">
        <v>1298</v>
      </c>
      <c r="C1046" t="s">
        <v>681</v>
      </c>
      <c r="D1046" t="s">
        <v>1332</v>
      </c>
      <c r="E1046" t="s">
        <v>187</v>
      </c>
      <c r="F1046">
        <v>2012</v>
      </c>
      <c r="G1046">
        <v>6.6989999999999998</v>
      </c>
    </row>
    <row r="1047" spans="1:7">
      <c r="A1047" t="s">
        <v>1297</v>
      </c>
      <c r="B1047" t="s">
        <v>1298</v>
      </c>
      <c r="C1047" t="s">
        <v>681</v>
      </c>
      <c r="D1047" t="s">
        <v>1332</v>
      </c>
      <c r="E1047" t="s">
        <v>187</v>
      </c>
      <c r="F1047">
        <v>2016</v>
      </c>
      <c r="G1047">
        <v>5.72</v>
      </c>
    </row>
    <row r="1048" spans="1:7">
      <c r="A1048" t="s">
        <v>1297</v>
      </c>
      <c r="B1048" t="s">
        <v>1298</v>
      </c>
      <c r="C1048" t="s">
        <v>681</v>
      </c>
      <c r="D1048" t="s">
        <v>1332</v>
      </c>
      <c r="E1048" t="s">
        <v>187</v>
      </c>
      <c r="F1048">
        <v>2020</v>
      </c>
      <c r="G1048">
        <v>4.9941300000000002</v>
      </c>
    </row>
    <row r="1049" spans="1:7">
      <c r="A1049" t="s">
        <v>1297</v>
      </c>
      <c r="B1049" t="s">
        <v>1298</v>
      </c>
      <c r="C1049" t="s">
        <v>675</v>
      </c>
      <c r="D1049" t="s">
        <v>1332</v>
      </c>
      <c r="E1049" t="s">
        <v>187</v>
      </c>
      <c r="F1049">
        <v>2005</v>
      </c>
      <c r="G1049">
        <v>23.510563999999999</v>
      </c>
    </row>
    <row r="1050" spans="1:7">
      <c r="A1050" t="s">
        <v>1297</v>
      </c>
      <c r="B1050" t="s">
        <v>1298</v>
      </c>
      <c r="C1050" t="s">
        <v>675</v>
      </c>
      <c r="D1050" t="s">
        <v>1332</v>
      </c>
      <c r="E1050" t="s">
        <v>187</v>
      </c>
      <c r="F1050">
        <v>2010</v>
      </c>
      <c r="G1050">
        <v>23.425288999999999</v>
      </c>
    </row>
    <row r="1051" spans="1:7">
      <c r="A1051" t="s">
        <v>1297</v>
      </c>
      <c r="B1051" t="s">
        <v>1298</v>
      </c>
      <c r="C1051" t="s">
        <v>675</v>
      </c>
      <c r="D1051" t="s">
        <v>1332</v>
      </c>
      <c r="E1051" t="s">
        <v>187</v>
      </c>
      <c r="F1051">
        <v>2012</v>
      </c>
      <c r="G1051">
        <v>23.102585999999999</v>
      </c>
    </row>
    <row r="1052" spans="1:7">
      <c r="A1052" t="s">
        <v>1297</v>
      </c>
      <c r="B1052" t="s">
        <v>1298</v>
      </c>
      <c r="C1052" t="s">
        <v>675</v>
      </c>
      <c r="D1052" t="s">
        <v>1332</v>
      </c>
      <c r="E1052" t="s">
        <v>187</v>
      </c>
      <c r="F1052">
        <v>2016</v>
      </c>
      <c r="G1052">
        <v>22.566438000000002</v>
      </c>
    </row>
    <row r="1053" spans="1:7">
      <c r="A1053" t="s">
        <v>1297</v>
      </c>
      <c r="B1053" t="s">
        <v>1298</v>
      </c>
      <c r="C1053" t="s">
        <v>675</v>
      </c>
      <c r="D1053" t="s">
        <v>1332</v>
      </c>
      <c r="E1053" t="s">
        <v>187</v>
      </c>
      <c r="F1053">
        <v>2020</v>
      </c>
      <c r="G1053">
        <v>17.861125999999999</v>
      </c>
    </row>
    <row r="1054" spans="1:7">
      <c r="A1054" t="s">
        <v>1297</v>
      </c>
      <c r="B1054" t="s">
        <v>1298</v>
      </c>
      <c r="C1054" t="s">
        <v>660</v>
      </c>
      <c r="D1054" t="s">
        <v>1332</v>
      </c>
      <c r="E1054" t="s">
        <v>187</v>
      </c>
      <c r="F1054">
        <v>2005</v>
      </c>
      <c r="G1054">
        <v>73.164642999999998</v>
      </c>
    </row>
    <row r="1055" spans="1:7">
      <c r="A1055" t="s">
        <v>1297</v>
      </c>
      <c r="B1055" t="s">
        <v>1298</v>
      </c>
      <c r="C1055" t="s">
        <v>660</v>
      </c>
      <c r="D1055" t="s">
        <v>1332</v>
      </c>
      <c r="E1055" t="s">
        <v>187</v>
      </c>
      <c r="F1055">
        <v>2010</v>
      </c>
      <c r="G1055">
        <v>94.971164000000002</v>
      </c>
    </row>
    <row r="1056" spans="1:7">
      <c r="A1056" t="s">
        <v>1297</v>
      </c>
      <c r="B1056" t="s">
        <v>1298</v>
      </c>
      <c r="C1056" t="s">
        <v>660</v>
      </c>
      <c r="D1056" t="s">
        <v>1332</v>
      </c>
      <c r="E1056" t="s">
        <v>187</v>
      </c>
      <c r="F1056">
        <v>2012</v>
      </c>
      <c r="G1056">
        <v>95.316421000000005</v>
      </c>
    </row>
    <row r="1057" spans="1:7">
      <c r="A1057" t="s">
        <v>1297</v>
      </c>
      <c r="B1057" t="s">
        <v>1298</v>
      </c>
      <c r="C1057" t="s">
        <v>660</v>
      </c>
      <c r="D1057" t="s">
        <v>1332</v>
      </c>
      <c r="E1057" t="s">
        <v>187</v>
      </c>
      <c r="F1057">
        <v>2016</v>
      </c>
      <c r="G1057">
        <v>99.264747</v>
      </c>
    </row>
    <row r="1058" spans="1:7">
      <c r="A1058" t="s">
        <v>1297</v>
      </c>
      <c r="B1058" t="s">
        <v>1298</v>
      </c>
      <c r="C1058" t="s">
        <v>654</v>
      </c>
      <c r="D1058" t="s">
        <v>1332</v>
      </c>
      <c r="E1058" t="s">
        <v>187</v>
      </c>
      <c r="F1058">
        <v>2016</v>
      </c>
      <c r="G1058">
        <v>0.82773099999999999</v>
      </c>
    </row>
    <row r="1059" spans="1:7">
      <c r="A1059" t="s">
        <v>1297</v>
      </c>
      <c r="B1059" t="s">
        <v>1298</v>
      </c>
      <c r="C1059" t="s">
        <v>654</v>
      </c>
      <c r="D1059" t="s">
        <v>1332</v>
      </c>
      <c r="E1059" t="s">
        <v>187</v>
      </c>
      <c r="F1059">
        <v>2020</v>
      </c>
      <c r="G1059">
        <v>1.089664</v>
      </c>
    </row>
    <row r="1060" spans="1:7">
      <c r="A1060" t="s">
        <v>1297</v>
      </c>
      <c r="B1060" t="s">
        <v>1298</v>
      </c>
      <c r="C1060" t="s">
        <v>662</v>
      </c>
      <c r="D1060" t="s">
        <v>1332</v>
      </c>
      <c r="E1060" t="s">
        <v>187</v>
      </c>
      <c r="F1060">
        <v>2005</v>
      </c>
      <c r="G1060">
        <v>29.515998</v>
      </c>
    </row>
    <row r="1061" spans="1:7">
      <c r="A1061" t="s">
        <v>1297</v>
      </c>
      <c r="B1061" t="s">
        <v>1298</v>
      </c>
      <c r="C1061" t="s">
        <v>662</v>
      </c>
      <c r="D1061" t="s">
        <v>1332</v>
      </c>
      <c r="E1061" t="s">
        <v>187</v>
      </c>
      <c r="F1061">
        <v>2010</v>
      </c>
      <c r="G1061">
        <v>25.569025</v>
      </c>
    </row>
    <row r="1062" spans="1:7">
      <c r="A1062" t="s">
        <v>1297</v>
      </c>
      <c r="B1062" t="s">
        <v>1298</v>
      </c>
      <c r="C1062" t="s">
        <v>662</v>
      </c>
      <c r="D1062" t="s">
        <v>1332</v>
      </c>
      <c r="E1062" t="s">
        <v>187</v>
      </c>
      <c r="F1062">
        <v>2012</v>
      </c>
      <c r="G1062">
        <v>40.175928999999996</v>
      </c>
    </row>
    <row r="1063" spans="1:7">
      <c r="A1063" t="s">
        <v>1297</v>
      </c>
      <c r="B1063" t="s">
        <v>1298</v>
      </c>
      <c r="C1063" t="s">
        <v>662</v>
      </c>
      <c r="D1063" t="s">
        <v>1332</v>
      </c>
      <c r="E1063" t="s">
        <v>187</v>
      </c>
      <c r="F1063">
        <v>2016</v>
      </c>
      <c r="G1063">
        <v>30.828644000000001</v>
      </c>
    </row>
    <row r="1064" spans="1:7">
      <c r="A1064" t="s">
        <v>1297</v>
      </c>
      <c r="B1064" t="s">
        <v>1298</v>
      </c>
      <c r="C1064" t="s">
        <v>662</v>
      </c>
      <c r="D1064" t="s">
        <v>1332</v>
      </c>
      <c r="E1064" t="s">
        <v>187</v>
      </c>
      <c r="F1064">
        <v>2020</v>
      </c>
      <c r="G1064">
        <v>28.974138</v>
      </c>
    </row>
    <row r="1065" spans="1:7">
      <c r="A1065" t="s">
        <v>1297</v>
      </c>
      <c r="B1065" t="s">
        <v>1298</v>
      </c>
      <c r="C1065" t="s">
        <v>684</v>
      </c>
      <c r="D1065" t="s">
        <v>1332</v>
      </c>
      <c r="E1065" t="s">
        <v>187</v>
      </c>
      <c r="F1065">
        <v>2012</v>
      </c>
      <c r="G1065">
        <v>6.8917999999999999</v>
      </c>
    </row>
    <row r="1066" spans="1:7">
      <c r="A1066" t="s">
        <v>1297</v>
      </c>
      <c r="B1066" t="s">
        <v>1298</v>
      </c>
      <c r="C1066" t="s">
        <v>684</v>
      </c>
      <c r="D1066" t="s">
        <v>1332</v>
      </c>
      <c r="E1066" t="s">
        <v>187</v>
      </c>
      <c r="F1066">
        <v>2016</v>
      </c>
      <c r="G1066">
        <v>6.3388</v>
      </c>
    </row>
    <row r="1067" spans="1:7">
      <c r="A1067" t="s">
        <v>1297</v>
      </c>
      <c r="B1067" t="s">
        <v>1298</v>
      </c>
      <c r="C1067" t="s">
        <v>684</v>
      </c>
      <c r="D1067" t="s">
        <v>1332</v>
      </c>
      <c r="E1067" t="s">
        <v>187</v>
      </c>
      <c r="F1067">
        <v>2020</v>
      </c>
      <c r="G1067">
        <v>5.4038000000000004</v>
      </c>
    </row>
    <row r="1068" spans="1:7">
      <c r="A1068" t="s">
        <v>1297</v>
      </c>
      <c r="B1068" t="s">
        <v>1298</v>
      </c>
      <c r="C1068" t="s">
        <v>679</v>
      </c>
      <c r="D1068" t="s">
        <v>1332</v>
      </c>
      <c r="E1068" t="s">
        <v>187</v>
      </c>
      <c r="F1068">
        <v>2005</v>
      </c>
      <c r="G1068">
        <v>29.237196999999998</v>
      </c>
    </row>
    <row r="1069" spans="1:7">
      <c r="A1069" t="s">
        <v>1297</v>
      </c>
      <c r="B1069" t="s">
        <v>1298</v>
      </c>
      <c r="C1069" t="s">
        <v>679</v>
      </c>
      <c r="D1069" t="s">
        <v>1332</v>
      </c>
      <c r="E1069" t="s">
        <v>187</v>
      </c>
      <c r="F1069">
        <v>2010</v>
      </c>
      <c r="G1069">
        <v>31.997288000000001</v>
      </c>
    </row>
    <row r="1070" spans="1:7">
      <c r="A1070" t="s">
        <v>1297</v>
      </c>
      <c r="B1070" t="s">
        <v>1298</v>
      </c>
      <c r="C1070" t="s">
        <v>679</v>
      </c>
      <c r="D1070" t="s">
        <v>1332</v>
      </c>
      <c r="E1070" t="s">
        <v>187</v>
      </c>
      <c r="F1070">
        <v>2012</v>
      </c>
      <c r="G1070">
        <v>29.374644</v>
      </c>
    </row>
    <row r="1071" spans="1:7">
      <c r="A1071" t="s">
        <v>1297</v>
      </c>
      <c r="B1071" t="s">
        <v>1298</v>
      </c>
      <c r="C1071" t="s">
        <v>679</v>
      </c>
      <c r="D1071" t="s">
        <v>1332</v>
      </c>
      <c r="E1071" t="s">
        <v>187</v>
      </c>
      <c r="F1071">
        <v>2016</v>
      </c>
      <c r="G1071">
        <v>23.034676000000001</v>
      </c>
    </row>
    <row r="1072" spans="1:7">
      <c r="A1072" t="s">
        <v>1297</v>
      </c>
      <c r="B1072" t="s">
        <v>1298</v>
      </c>
      <c r="C1072" t="s">
        <v>679</v>
      </c>
      <c r="D1072" t="s">
        <v>1332</v>
      </c>
      <c r="E1072" t="s">
        <v>187</v>
      </c>
      <c r="F1072">
        <v>2020</v>
      </c>
      <c r="G1072">
        <v>22.732873999999999</v>
      </c>
    </row>
    <row r="1073" spans="1:7">
      <c r="A1073" t="s">
        <v>1297</v>
      </c>
      <c r="B1073" t="s">
        <v>1298</v>
      </c>
      <c r="C1073" t="s">
        <v>671</v>
      </c>
      <c r="D1073" t="s">
        <v>1332</v>
      </c>
      <c r="E1073" t="s">
        <v>187</v>
      </c>
      <c r="F1073">
        <v>2005</v>
      </c>
      <c r="G1073">
        <v>103.019025</v>
      </c>
    </row>
    <row r="1074" spans="1:7">
      <c r="A1074" t="s">
        <v>1297</v>
      </c>
      <c r="B1074" t="s">
        <v>1298</v>
      </c>
      <c r="C1074" t="s">
        <v>671</v>
      </c>
      <c r="D1074" t="s">
        <v>1332</v>
      </c>
      <c r="E1074" t="s">
        <v>187</v>
      </c>
      <c r="F1074">
        <v>2010</v>
      </c>
      <c r="G1074">
        <v>123.067527</v>
      </c>
    </row>
    <row r="1075" spans="1:7">
      <c r="A1075" t="s">
        <v>1297</v>
      </c>
      <c r="B1075" t="s">
        <v>1298</v>
      </c>
      <c r="C1075" t="s">
        <v>671</v>
      </c>
      <c r="D1075" t="s">
        <v>1332</v>
      </c>
      <c r="E1075" t="s">
        <v>187</v>
      </c>
      <c r="F1075">
        <v>2012</v>
      </c>
      <c r="G1075">
        <v>134.328157</v>
      </c>
    </row>
    <row r="1076" spans="1:7">
      <c r="A1076" t="s">
        <v>1297</v>
      </c>
      <c r="B1076" t="s">
        <v>1298</v>
      </c>
      <c r="C1076" t="s">
        <v>671</v>
      </c>
      <c r="D1076" t="s">
        <v>1332</v>
      </c>
      <c r="E1076" t="s">
        <v>187</v>
      </c>
      <c r="F1076">
        <v>2016</v>
      </c>
      <c r="G1076">
        <v>124.20058899999999</v>
      </c>
    </row>
    <row r="1077" spans="1:7">
      <c r="A1077" t="s">
        <v>1297</v>
      </c>
      <c r="B1077" t="s">
        <v>1298</v>
      </c>
      <c r="C1077" t="s">
        <v>671</v>
      </c>
      <c r="D1077" t="s">
        <v>1332</v>
      </c>
      <c r="E1077" t="s">
        <v>187</v>
      </c>
      <c r="F1077">
        <v>2020</v>
      </c>
      <c r="G1077">
        <v>116.93286999999999</v>
      </c>
    </row>
    <row r="1078" spans="1:7">
      <c r="A1078" t="s">
        <v>1297</v>
      </c>
      <c r="B1078" t="s">
        <v>1298</v>
      </c>
      <c r="C1078" t="s">
        <v>657</v>
      </c>
      <c r="D1078" t="s">
        <v>1332</v>
      </c>
      <c r="E1078" t="s">
        <v>187</v>
      </c>
      <c r="F1078">
        <v>2005</v>
      </c>
      <c r="G1078">
        <v>50.407322999999998</v>
      </c>
    </row>
    <row r="1079" spans="1:7">
      <c r="A1079" t="s">
        <v>1297</v>
      </c>
      <c r="B1079" t="s">
        <v>1298</v>
      </c>
      <c r="C1079" t="s">
        <v>657</v>
      </c>
      <c r="D1079" t="s">
        <v>1332</v>
      </c>
      <c r="E1079" t="s">
        <v>187</v>
      </c>
      <c r="F1079">
        <v>2010</v>
      </c>
      <c r="G1079">
        <v>70.764623999999998</v>
      </c>
    </row>
    <row r="1080" spans="1:7">
      <c r="A1080" t="s">
        <v>1297</v>
      </c>
      <c r="B1080" t="s">
        <v>1298</v>
      </c>
      <c r="C1080" t="s">
        <v>657</v>
      </c>
      <c r="D1080" t="s">
        <v>1332</v>
      </c>
      <c r="E1080" t="s">
        <v>187</v>
      </c>
      <c r="F1080">
        <v>2012</v>
      </c>
      <c r="G1080">
        <v>68.329836999999998</v>
      </c>
    </row>
    <row r="1081" spans="1:7">
      <c r="A1081" t="s">
        <v>1297</v>
      </c>
      <c r="B1081" t="s">
        <v>1298</v>
      </c>
      <c r="C1081" t="s">
        <v>657</v>
      </c>
      <c r="D1081" t="s">
        <v>1332</v>
      </c>
      <c r="E1081" t="s">
        <v>187</v>
      </c>
      <c r="F1081">
        <v>2016</v>
      </c>
      <c r="G1081">
        <v>83.878788</v>
      </c>
    </row>
    <row r="1082" spans="1:7">
      <c r="A1082" t="s">
        <v>1297</v>
      </c>
      <c r="B1082" t="s">
        <v>1298</v>
      </c>
      <c r="C1082" t="s">
        <v>657</v>
      </c>
      <c r="D1082" t="s">
        <v>1332</v>
      </c>
      <c r="E1082" t="s">
        <v>187</v>
      </c>
      <c r="F1082">
        <v>2020</v>
      </c>
      <c r="G1082">
        <v>87.385987</v>
      </c>
    </row>
    <row r="1083" spans="1:7">
      <c r="A1083" t="s">
        <v>1297</v>
      </c>
      <c r="B1083" t="s">
        <v>1298</v>
      </c>
      <c r="C1083" t="s">
        <v>655</v>
      </c>
      <c r="D1083" t="s">
        <v>1332</v>
      </c>
      <c r="E1083" t="s">
        <v>187</v>
      </c>
      <c r="F1083">
        <v>2005</v>
      </c>
      <c r="G1083">
        <v>51.607399000000001</v>
      </c>
    </row>
    <row r="1084" spans="1:7">
      <c r="A1084" t="s">
        <v>1297</v>
      </c>
      <c r="B1084" t="s">
        <v>1298</v>
      </c>
      <c r="C1084" t="s">
        <v>655</v>
      </c>
      <c r="D1084" t="s">
        <v>1332</v>
      </c>
      <c r="E1084" t="s">
        <v>187</v>
      </c>
      <c r="F1084">
        <v>2010</v>
      </c>
      <c r="G1084">
        <v>65.873602000000005</v>
      </c>
    </row>
    <row r="1085" spans="1:7">
      <c r="A1085" t="s">
        <v>1297</v>
      </c>
      <c r="B1085" t="s">
        <v>1298</v>
      </c>
      <c r="C1085" t="s">
        <v>655</v>
      </c>
      <c r="D1085" t="s">
        <v>1332</v>
      </c>
      <c r="E1085" t="s">
        <v>187</v>
      </c>
      <c r="F1085">
        <v>2012</v>
      </c>
      <c r="G1085">
        <v>71.637559999999993</v>
      </c>
    </row>
    <row r="1086" spans="1:7">
      <c r="A1086" t="s">
        <v>1297</v>
      </c>
      <c r="B1086" t="s">
        <v>1298</v>
      </c>
      <c r="C1086" t="s">
        <v>655</v>
      </c>
      <c r="D1086" t="s">
        <v>1332</v>
      </c>
      <c r="E1086" t="s">
        <v>187</v>
      </c>
      <c r="F1086">
        <v>2016</v>
      </c>
      <c r="G1086">
        <v>80.574725000000001</v>
      </c>
    </row>
    <row r="1087" spans="1:7">
      <c r="A1087" t="s">
        <v>1297</v>
      </c>
      <c r="B1087" t="s">
        <v>1298</v>
      </c>
      <c r="C1087" t="s">
        <v>655</v>
      </c>
      <c r="D1087" t="s">
        <v>1332</v>
      </c>
      <c r="E1087" t="s">
        <v>187</v>
      </c>
      <c r="F1087">
        <v>2020</v>
      </c>
      <c r="G1087">
        <v>91.180077999999995</v>
      </c>
    </row>
    <row r="1088" spans="1:7">
      <c r="A1088" t="s">
        <v>1297</v>
      </c>
      <c r="B1088" t="s">
        <v>1298</v>
      </c>
      <c r="C1088" t="s">
        <v>289</v>
      </c>
      <c r="D1088" t="s">
        <v>1332</v>
      </c>
      <c r="E1088" t="s">
        <v>187</v>
      </c>
      <c r="F1088">
        <v>2005</v>
      </c>
      <c r="G1088">
        <v>49.848250999999998</v>
      </c>
    </row>
    <row r="1089" spans="1:7">
      <c r="A1089" t="s">
        <v>1297</v>
      </c>
      <c r="B1089" t="s">
        <v>1298</v>
      </c>
      <c r="C1089" t="s">
        <v>289</v>
      </c>
      <c r="D1089" t="s">
        <v>1332</v>
      </c>
      <c r="E1089" t="s">
        <v>187</v>
      </c>
      <c r="F1089">
        <v>2010</v>
      </c>
      <c r="G1089">
        <v>49.778654000000003</v>
      </c>
    </row>
    <row r="1090" spans="1:7">
      <c r="A1090" t="s">
        <v>1297</v>
      </c>
      <c r="B1090" t="s">
        <v>1298</v>
      </c>
      <c r="C1090" t="s">
        <v>289</v>
      </c>
      <c r="D1090" t="s">
        <v>1332</v>
      </c>
      <c r="E1090" t="s">
        <v>187</v>
      </c>
      <c r="F1090">
        <v>2012</v>
      </c>
      <c r="G1090">
        <v>48.722296</v>
      </c>
    </row>
    <row r="1091" spans="1:7">
      <c r="A1091" t="s">
        <v>1297</v>
      </c>
      <c r="B1091" t="s">
        <v>1298</v>
      </c>
      <c r="C1091" t="s">
        <v>289</v>
      </c>
      <c r="D1091" t="s">
        <v>1332</v>
      </c>
      <c r="E1091" t="s">
        <v>187</v>
      </c>
      <c r="F1091">
        <v>2016</v>
      </c>
      <c r="G1091">
        <v>48.487957999999999</v>
      </c>
    </row>
    <row r="1092" spans="1:7">
      <c r="A1092" t="s">
        <v>1297</v>
      </c>
      <c r="B1092" t="s">
        <v>1298</v>
      </c>
      <c r="C1092" t="s">
        <v>289</v>
      </c>
      <c r="D1092" t="s">
        <v>1332</v>
      </c>
      <c r="E1092" t="s">
        <v>187</v>
      </c>
      <c r="F1092">
        <v>2020</v>
      </c>
      <c r="G1092">
        <v>44.982329999999997</v>
      </c>
    </row>
    <row r="1093" spans="1:7">
      <c r="A1093" t="s">
        <v>1297</v>
      </c>
      <c r="B1093" t="s">
        <v>1298</v>
      </c>
      <c r="C1093" t="s">
        <v>654</v>
      </c>
      <c r="D1093" t="s">
        <v>1332</v>
      </c>
      <c r="E1093" t="s">
        <v>187</v>
      </c>
      <c r="F1093">
        <v>2010</v>
      </c>
      <c r="G1093">
        <v>0.44879200000000002</v>
      </c>
    </row>
    <row r="1094" spans="1:7">
      <c r="A1094" t="s">
        <v>1297</v>
      </c>
      <c r="B1094" t="s">
        <v>1298</v>
      </c>
      <c r="C1094" t="s">
        <v>654</v>
      </c>
      <c r="D1094" t="s">
        <v>1332</v>
      </c>
      <c r="E1094" t="s">
        <v>187</v>
      </c>
      <c r="F1094">
        <v>2012</v>
      </c>
      <c r="G1094">
        <v>0.65961199999999998</v>
      </c>
    </row>
    <row r="1095" spans="1:7">
      <c r="A1095" t="s">
        <v>1297</v>
      </c>
      <c r="B1095" t="s">
        <v>1298</v>
      </c>
      <c r="C1095" t="s">
        <v>668</v>
      </c>
      <c r="D1095" t="s">
        <v>1332</v>
      </c>
      <c r="E1095" t="s">
        <v>187</v>
      </c>
      <c r="F1095">
        <v>2020</v>
      </c>
      <c r="G1095">
        <v>30.479606</v>
      </c>
    </row>
    <row r="1096" spans="1:7">
      <c r="A1096" t="s">
        <v>1297</v>
      </c>
      <c r="B1096" t="s">
        <v>1298</v>
      </c>
      <c r="C1096" t="s">
        <v>682</v>
      </c>
      <c r="D1096" t="s">
        <v>1332</v>
      </c>
      <c r="E1096" t="s">
        <v>187</v>
      </c>
      <c r="F1096">
        <v>2016</v>
      </c>
      <c r="G1096">
        <v>19.014268000000001</v>
      </c>
    </row>
    <row r="1097" spans="1:7">
      <c r="A1097" t="s">
        <v>1297</v>
      </c>
      <c r="B1097" t="s">
        <v>1298</v>
      </c>
      <c r="C1097" t="s">
        <v>682</v>
      </c>
      <c r="D1097" t="s">
        <v>1332</v>
      </c>
      <c r="E1097" t="s">
        <v>187</v>
      </c>
      <c r="F1097">
        <v>2020</v>
      </c>
      <c r="G1097">
        <v>45.976897999999998</v>
      </c>
    </row>
    <row r="1098" spans="1:7">
      <c r="A1098" t="s">
        <v>1297</v>
      </c>
      <c r="B1098" t="s">
        <v>1298</v>
      </c>
      <c r="C1098" t="s">
        <v>670</v>
      </c>
      <c r="D1098" t="s">
        <v>1332</v>
      </c>
      <c r="E1098" t="s">
        <v>187</v>
      </c>
      <c r="F1098">
        <v>2005</v>
      </c>
      <c r="G1098">
        <v>20.156313999999998</v>
      </c>
    </row>
    <row r="1099" spans="1:7">
      <c r="A1099" t="s">
        <v>1297</v>
      </c>
      <c r="B1099" t="s">
        <v>1298</v>
      </c>
      <c r="C1099" t="s">
        <v>670</v>
      </c>
      <c r="D1099" t="s">
        <v>1332</v>
      </c>
      <c r="E1099" t="s">
        <v>187</v>
      </c>
      <c r="F1099">
        <v>2010</v>
      </c>
      <c r="G1099">
        <v>22.912716</v>
      </c>
    </row>
    <row r="1100" spans="1:7">
      <c r="A1100" t="s">
        <v>1297</v>
      </c>
      <c r="B1100" t="s">
        <v>1298</v>
      </c>
      <c r="C1100" t="s">
        <v>670</v>
      </c>
      <c r="D1100" t="s">
        <v>1332</v>
      </c>
      <c r="E1100" t="s">
        <v>187</v>
      </c>
      <c r="F1100">
        <v>2012</v>
      </c>
      <c r="G1100">
        <v>24.360993000000001</v>
      </c>
    </row>
    <row r="1101" spans="1:7">
      <c r="A1101" t="s">
        <v>1297</v>
      </c>
      <c r="B1101" t="s">
        <v>1298</v>
      </c>
      <c r="C1101" t="s">
        <v>670</v>
      </c>
      <c r="D1101" t="s">
        <v>1332</v>
      </c>
      <c r="E1101" t="s">
        <v>187</v>
      </c>
      <c r="F1101">
        <v>2016</v>
      </c>
      <c r="G1101">
        <v>22.603794000000001</v>
      </c>
    </row>
    <row r="1102" spans="1:7">
      <c r="A1102" t="s">
        <v>1297</v>
      </c>
      <c r="B1102" t="s">
        <v>1298</v>
      </c>
      <c r="C1102" t="s">
        <v>670</v>
      </c>
      <c r="D1102" t="s">
        <v>1332</v>
      </c>
      <c r="E1102" t="s">
        <v>187</v>
      </c>
      <c r="F1102">
        <v>2020</v>
      </c>
      <c r="G1102">
        <v>23.857578</v>
      </c>
    </row>
    <row r="1103" spans="1:7">
      <c r="A1103" t="s">
        <v>1297</v>
      </c>
      <c r="B1103" t="s">
        <v>1298</v>
      </c>
      <c r="C1103" t="s">
        <v>666</v>
      </c>
      <c r="D1103" t="s">
        <v>1332</v>
      </c>
      <c r="E1103" t="s">
        <v>187</v>
      </c>
      <c r="F1103">
        <v>2005</v>
      </c>
      <c r="G1103">
        <v>25.759819</v>
      </c>
    </row>
    <row r="1104" spans="1:7">
      <c r="A1104" t="s">
        <v>1297</v>
      </c>
      <c r="B1104" t="s">
        <v>1298</v>
      </c>
      <c r="C1104" t="s">
        <v>666</v>
      </c>
      <c r="D1104" t="s">
        <v>1332</v>
      </c>
      <c r="E1104" t="s">
        <v>187</v>
      </c>
      <c r="F1104">
        <v>2010</v>
      </c>
      <c r="G1104">
        <v>28.566276999999999</v>
      </c>
    </row>
    <row r="1105" spans="1:7">
      <c r="A1105" t="s">
        <v>1297</v>
      </c>
      <c r="B1105" t="s">
        <v>1298</v>
      </c>
      <c r="C1105" t="s">
        <v>666</v>
      </c>
      <c r="D1105" t="s">
        <v>1332</v>
      </c>
      <c r="E1105" t="s">
        <v>187</v>
      </c>
      <c r="F1105">
        <v>2012</v>
      </c>
      <c r="G1105">
        <v>29.536529999999999</v>
      </c>
    </row>
    <row r="1106" spans="1:7">
      <c r="A1106" t="s">
        <v>1297</v>
      </c>
      <c r="B1106" t="s">
        <v>1298</v>
      </c>
      <c r="C1106" t="s">
        <v>666</v>
      </c>
      <c r="D1106" t="s">
        <v>1332</v>
      </c>
      <c r="E1106" t="s">
        <v>187</v>
      </c>
      <c r="F1106">
        <v>2016</v>
      </c>
      <c r="G1106">
        <v>33.511526000000003</v>
      </c>
    </row>
    <row r="1107" spans="1:7">
      <c r="A1107" t="s">
        <v>1297</v>
      </c>
      <c r="B1107" t="s">
        <v>1298</v>
      </c>
      <c r="C1107" t="s">
        <v>666</v>
      </c>
      <c r="D1107" t="s">
        <v>1332</v>
      </c>
      <c r="E1107" t="s">
        <v>187</v>
      </c>
      <c r="F1107">
        <v>2020</v>
      </c>
      <c r="G1107">
        <v>34.367767000000001</v>
      </c>
    </row>
    <row r="1108" spans="1:7">
      <c r="A1108" t="s">
        <v>1297</v>
      </c>
      <c r="B1108" t="s">
        <v>1298</v>
      </c>
      <c r="C1108" t="s">
        <v>1299</v>
      </c>
      <c r="D1108" t="s">
        <v>1332</v>
      </c>
      <c r="E1108" t="s">
        <v>187</v>
      </c>
      <c r="F1108">
        <v>2005</v>
      </c>
      <c r="G1108">
        <v>0.76700000000000002</v>
      </c>
    </row>
    <row r="1109" spans="1:7">
      <c r="A1109" t="s">
        <v>1297</v>
      </c>
      <c r="B1109" t="s">
        <v>1298</v>
      </c>
      <c r="C1109" t="s">
        <v>1299</v>
      </c>
      <c r="D1109" t="s">
        <v>1332</v>
      </c>
      <c r="E1109" t="s">
        <v>187</v>
      </c>
      <c r="F1109">
        <v>2010</v>
      </c>
      <c r="G1109">
        <v>41.285428000000003</v>
      </c>
    </row>
    <row r="1110" spans="1:7">
      <c r="A1110" t="s">
        <v>1297</v>
      </c>
      <c r="B1110" t="s">
        <v>1298</v>
      </c>
      <c r="C1110" t="s">
        <v>1299</v>
      </c>
      <c r="D1110" t="s">
        <v>1332</v>
      </c>
      <c r="E1110" t="s">
        <v>187</v>
      </c>
      <c r="F1110">
        <v>2012</v>
      </c>
      <c r="G1110">
        <v>42.498345</v>
      </c>
    </row>
    <row r="1111" spans="1:7">
      <c r="A1111" t="s">
        <v>1297</v>
      </c>
      <c r="B1111" t="s">
        <v>1298</v>
      </c>
      <c r="C1111" t="s">
        <v>1299</v>
      </c>
      <c r="D1111" t="s">
        <v>1332</v>
      </c>
      <c r="E1111" t="s">
        <v>187</v>
      </c>
      <c r="F1111">
        <v>2016</v>
      </c>
      <c r="G1111">
        <v>69.311684999999997</v>
      </c>
    </row>
    <row r="1112" spans="1:7">
      <c r="A1112" t="s">
        <v>1297</v>
      </c>
      <c r="B1112" t="s">
        <v>1298</v>
      </c>
      <c r="C1112" t="s">
        <v>1299</v>
      </c>
      <c r="D1112" t="s">
        <v>1332</v>
      </c>
      <c r="E1112" t="s">
        <v>187</v>
      </c>
      <c r="F1112">
        <v>2020</v>
      </c>
      <c r="G1112">
        <v>85.683727000000005</v>
      </c>
    </row>
    <row r="1113" spans="1:7">
      <c r="A1113" t="s">
        <v>1297</v>
      </c>
      <c r="B1113" t="s">
        <v>1298</v>
      </c>
      <c r="C1113" t="s">
        <v>663</v>
      </c>
      <c r="D1113" t="s">
        <v>1332</v>
      </c>
      <c r="E1113" t="s">
        <v>187</v>
      </c>
      <c r="F1113">
        <v>2005</v>
      </c>
      <c r="G1113">
        <v>41.996001</v>
      </c>
    </row>
    <row r="1114" spans="1:7">
      <c r="A1114" t="s">
        <v>1297</v>
      </c>
      <c r="B1114" t="s">
        <v>1298</v>
      </c>
      <c r="C1114" t="s">
        <v>663</v>
      </c>
      <c r="D1114" t="s">
        <v>1332</v>
      </c>
      <c r="E1114" t="s">
        <v>187</v>
      </c>
      <c r="F1114">
        <v>2010</v>
      </c>
      <c r="G1114">
        <v>69.467543000000006</v>
      </c>
    </row>
    <row r="1115" spans="1:7">
      <c r="A1115" t="s">
        <v>1297</v>
      </c>
      <c r="B1115" t="s">
        <v>1298</v>
      </c>
      <c r="C1115" t="s">
        <v>663</v>
      </c>
      <c r="D1115" t="s">
        <v>1332</v>
      </c>
      <c r="E1115" t="s">
        <v>187</v>
      </c>
      <c r="F1115">
        <v>2012</v>
      </c>
      <c r="G1115">
        <v>86.113421000000002</v>
      </c>
    </row>
    <row r="1116" spans="1:7">
      <c r="A1116" t="s">
        <v>1297</v>
      </c>
      <c r="B1116" t="s">
        <v>1298</v>
      </c>
      <c r="C1116" t="s">
        <v>663</v>
      </c>
      <c r="D1116" t="s">
        <v>1332</v>
      </c>
      <c r="E1116" t="s">
        <v>187</v>
      </c>
      <c r="F1116">
        <v>2016</v>
      </c>
      <c r="G1116">
        <v>76.876980000000003</v>
      </c>
    </row>
    <row r="1117" spans="1:7">
      <c r="A1117" t="s">
        <v>1297</v>
      </c>
      <c r="B1117" t="s">
        <v>1298</v>
      </c>
      <c r="C1117" t="s">
        <v>663</v>
      </c>
      <c r="D1117" t="s">
        <v>1332</v>
      </c>
      <c r="E1117" t="s">
        <v>187</v>
      </c>
      <c r="F1117">
        <v>2020</v>
      </c>
      <c r="G1117">
        <v>57.449978999999999</v>
      </c>
    </row>
    <row r="1118" spans="1:7">
      <c r="A1118" t="s">
        <v>1297</v>
      </c>
      <c r="B1118" t="s">
        <v>1298</v>
      </c>
      <c r="C1118" t="s">
        <v>1302</v>
      </c>
      <c r="D1118" t="s">
        <v>1332</v>
      </c>
      <c r="E1118" t="s">
        <v>187</v>
      </c>
      <c r="F1118">
        <v>2005</v>
      </c>
      <c r="G1118">
        <v>4.5279999999999996</v>
      </c>
    </row>
    <row r="1119" spans="1:7">
      <c r="A1119" t="s">
        <v>1297</v>
      </c>
      <c r="B1119" t="s">
        <v>1298</v>
      </c>
      <c r="C1119" t="s">
        <v>1302</v>
      </c>
      <c r="D1119" t="s">
        <v>1332</v>
      </c>
      <c r="E1119" t="s">
        <v>187</v>
      </c>
      <c r="F1119">
        <v>2010</v>
      </c>
      <c r="G1119">
        <v>9.109</v>
      </c>
    </row>
    <row r="1120" spans="1:7">
      <c r="A1120" t="s">
        <v>1297</v>
      </c>
      <c r="B1120" t="s">
        <v>1298</v>
      </c>
      <c r="C1120" t="s">
        <v>1302</v>
      </c>
      <c r="D1120" t="s">
        <v>1332</v>
      </c>
      <c r="E1120" t="s">
        <v>187</v>
      </c>
      <c r="F1120">
        <v>2012</v>
      </c>
      <c r="G1120">
        <v>9.5150000000000006</v>
      </c>
    </row>
    <row r="1121" spans="1:7">
      <c r="A1121" t="s">
        <v>1297</v>
      </c>
      <c r="B1121" t="s">
        <v>1298</v>
      </c>
      <c r="C1121" t="s">
        <v>1302</v>
      </c>
      <c r="D1121" t="s">
        <v>1332</v>
      </c>
      <c r="E1121" t="s">
        <v>187</v>
      </c>
      <c r="F1121">
        <v>2016</v>
      </c>
      <c r="G1121">
        <v>14.111000000000001</v>
      </c>
    </row>
    <row r="1122" spans="1:7">
      <c r="A1122" t="s">
        <v>1297</v>
      </c>
      <c r="B1122" t="s">
        <v>1298</v>
      </c>
      <c r="C1122" t="s">
        <v>1302</v>
      </c>
      <c r="D1122" t="s">
        <v>1332</v>
      </c>
      <c r="E1122" t="s">
        <v>187</v>
      </c>
      <c r="F1122">
        <v>2020</v>
      </c>
      <c r="G1122">
        <v>14.464480999999999</v>
      </c>
    </row>
    <row r="1123" spans="1:7">
      <c r="A1123" t="s">
        <v>1297</v>
      </c>
      <c r="B1123" t="s">
        <v>1298</v>
      </c>
      <c r="C1123" t="s">
        <v>684</v>
      </c>
      <c r="D1123" t="s">
        <v>1332</v>
      </c>
      <c r="E1123" t="s">
        <v>187</v>
      </c>
      <c r="F1123">
        <v>2005</v>
      </c>
      <c r="G1123">
        <v>5.9539999999999997</v>
      </c>
    </row>
    <row r="1124" spans="1:7">
      <c r="A1124" t="s">
        <v>1297</v>
      </c>
      <c r="B1124" t="s">
        <v>1298</v>
      </c>
      <c r="C1124" t="s">
        <v>684</v>
      </c>
      <c r="D1124" t="s">
        <v>1332</v>
      </c>
      <c r="E1124" t="s">
        <v>187</v>
      </c>
      <c r="F1124">
        <v>2010</v>
      </c>
      <c r="G1124">
        <v>6.6619999999999999</v>
      </c>
    </row>
    <row r="1125" spans="1:7">
      <c r="A1125" t="s">
        <v>1297</v>
      </c>
      <c r="B1125" t="s">
        <v>1298</v>
      </c>
      <c r="C1125" t="s">
        <v>660</v>
      </c>
      <c r="D1125" t="s">
        <v>1332</v>
      </c>
      <c r="E1125" t="s">
        <v>187</v>
      </c>
      <c r="F1125">
        <v>2020</v>
      </c>
      <c r="G1125">
        <v>98.408278999999993</v>
      </c>
    </row>
    <row r="1126" spans="1:7">
      <c r="A1126" t="s">
        <v>1297</v>
      </c>
      <c r="B1126" t="s">
        <v>1298</v>
      </c>
      <c r="C1126" t="s">
        <v>673</v>
      </c>
      <c r="D1126" t="s">
        <v>1332</v>
      </c>
      <c r="E1126" t="s">
        <v>187</v>
      </c>
      <c r="F1126">
        <v>2005</v>
      </c>
      <c r="G1126">
        <v>114.74735699999999</v>
      </c>
    </row>
    <row r="1127" spans="1:7">
      <c r="A1127" t="s">
        <v>1297</v>
      </c>
      <c r="B1127" t="s">
        <v>1298</v>
      </c>
      <c r="C1127" t="s">
        <v>673</v>
      </c>
      <c r="D1127" t="s">
        <v>1332</v>
      </c>
      <c r="E1127" t="s">
        <v>187</v>
      </c>
      <c r="F1127">
        <v>2010</v>
      </c>
      <c r="G1127">
        <v>148.420322</v>
      </c>
    </row>
    <row r="1128" spans="1:7">
      <c r="A1128" t="s">
        <v>1297</v>
      </c>
      <c r="B1128" t="s">
        <v>1298</v>
      </c>
      <c r="C1128" t="s">
        <v>673</v>
      </c>
      <c r="D1128" t="s">
        <v>1332</v>
      </c>
      <c r="E1128" t="s">
        <v>187</v>
      </c>
      <c r="F1128">
        <v>2012</v>
      </c>
      <c r="G1128">
        <v>138.58974799999999</v>
      </c>
    </row>
    <row r="1129" spans="1:7">
      <c r="A1129" t="s">
        <v>1297</v>
      </c>
      <c r="B1129" t="s">
        <v>1298</v>
      </c>
      <c r="C1129" t="s">
        <v>673</v>
      </c>
      <c r="D1129" t="s">
        <v>1332</v>
      </c>
      <c r="E1129" t="s">
        <v>187</v>
      </c>
      <c r="F1129">
        <v>2016</v>
      </c>
      <c r="G1129">
        <v>126.29866800000001</v>
      </c>
    </row>
    <row r="1130" spans="1:7">
      <c r="A1130" t="s">
        <v>1297</v>
      </c>
      <c r="B1130" t="s">
        <v>1298</v>
      </c>
      <c r="C1130" t="s">
        <v>673</v>
      </c>
      <c r="D1130" t="s">
        <v>1332</v>
      </c>
      <c r="E1130" t="s">
        <v>187</v>
      </c>
      <c r="F1130">
        <v>2020</v>
      </c>
      <c r="G1130">
        <v>129.22047900000001</v>
      </c>
    </row>
    <row r="1131" spans="1:7">
      <c r="A1131" t="s">
        <v>1297</v>
      </c>
      <c r="B1131" t="s">
        <v>1298</v>
      </c>
      <c r="C1131" t="s">
        <v>653</v>
      </c>
      <c r="D1131" t="s">
        <v>1332</v>
      </c>
      <c r="E1131" t="s">
        <v>187</v>
      </c>
      <c r="F1131">
        <v>2005</v>
      </c>
      <c r="G1131">
        <v>25.121903</v>
      </c>
    </row>
    <row r="1132" spans="1:7">
      <c r="A1132" t="s">
        <v>1297</v>
      </c>
      <c r="B1132" t="s">
        <v>1298</v>
      </c>
      <c r="C1132" t="s">
        <v>653</v>
      </c>
      <c r="D1132" t="s">
        <v>1332</v>
      </c>
      <c r="E1132" t="s">
        <v>187</v>
      </c>
      <c r="F1132">
        <v>2010</v>
      </c>
      <c r="G1132">
        <v>29.818265</v>
      </c>
    </row>
    <row r="1133" spans="1:7">
      <c r="A1133" t="s">
        <v>1297</v>
      </c>
      <c r="B1133" t="s">
        <v>1298</v>
      </c>
      <c r="C1133" t="s">
        <v>653</v>
      </c>
      <c r="D1133" t="s">
        <v>1332</v>
      </c>
      <c r="E1133" t="s">
        <v>187</v>
      </c>
      <c r="F1133">
        <v>2012</v>
      </c>
      <c r="G1133">
        <v>31.872837000000001</v>
      </c>
    </row>
    <row r="1134" spans="1:7">
      <c r="A1134" t="s">
        <v>1297</v>
      </c>
      <c r="B1134" t="s">
        <v>1298</v>
      </c>
      <c r="C1134" t="s">
        <v>653</v>
      </c>
      <c r="D1134" t="s">
        <v>1332</v>
      </c>
      <c r="E1134" t="s">
        <v>187</v>
      </c>
      <c r="F1134">
        <v>2016</v>
      </c>
      <c r="G1134">
        <v>32.257210999999998</v>
      </c>
    </row>
    <row r="1135" spans="1:7">
      <c r="A1135" t="s">
        <v>1297</v>
      </c>
      <c r="B1135" t="s">
        <v>1298</v>
      </c>
      <c r="C1135" t="s">
        <v>653</v>
      </c>
      <c r="D1135" t="s">
        <v>1332</v>
      </c>
      <c r="E1135" t="s">
        <v>187</v>
      </c>
      <c r="F1135">
        <v>2020</v>
      </c>
      <c r="G1135">
        <v>33.698784000000003</v>
      </c>
    </row>
    <row r="1136" spans="1:7">
      <c r="A1136" t="s">
        <v>1297</v>
      </c>
      <c r="B1136" t="s">
        <v>1298</v>
      </c>
      <c r="C1136" t="s">
        <v>661</v>
      </c>
      <c r="D1136" t="s">
        <v>1332</v>
      </c>
      <c r="E1136" t="s">
        <v>187</v>
      </c>
      <c r="F1136">
        <v>2005</v>
      </c>
      <c r="G1136">
        <v>280.37865900000003</v>
      </c>
    </row>
    <row r="1137" spans="1:7">
      <c r="A1137" t="s">
        <v>1297</v>
      </c>
      <c r="B1137" t="s">
        <v>1298</v>
      </c>
      <c r="C1137" t="s">
        <v>661</v>
      </c>
      <c r="D1137" t="s">
        <v>1332</v>
      </c>
      <c r="E1137" t="s">
        <v>187</v>
      </c>
      <c r="F1137">
        <v>2010</v>
      </c>
      <c r="G1137">
        <v>317.03686800000003</v>
      </c>
    </row>
    <row r="1138" spans="1:7">
      <c r="A1138" t="s">
        <v>1297</v>
      </c>
      <c r="B1138" t="s">
        <v>1298</v>
      </c>
      <c r="C1138" t="s">
        <v>661</v>
      </c>
      <c r="D1138" t="s">
        <v>1332</v>
      </c>
      <c r="E1138" t="s">
        <v>187</v>
      </c>
      <c r="F1138">
        <v>2012</v>
      </c>
      <c r="G1138">
        <v>301.733836</v>
      </c>
    </row>
    <row r="1139" spans="1:7">
      <c r="A1139" t="s">
        <v>1297</v>
      </c>
      <c r="B1139" t="s">
        <v>1298</v>
      </c>
      <c r="C1139" t="s">
        <v>661</v>
      </c>
      <c r="D1139" t="s">
        <v>1332</v>
      </c>
      <c r="E1139" t="s">
        <v>187</v>
      </c>
      <c r="F1139">
        <v>2016</v>
      </c>
      <c r="G1139">
        <v>314.91331100000002</v>
      </c>
    </row>
    <row r="1140" spans="1:7">
      <c r="A1140" t="s">
        <v>1297</v>
      </c>
      <c r="B1140" t="s">
        <v>1298</v>
      </c>
      <c r="C1140" t="s">
        <v>661</v>
      </c>
      <c r="D1140" t="s">
        <v>1332</v>
      </c>
      <c r="E1140" t="s">
        <v>187</v>
      </c>
      <c r="F1140">
        <v>2020</v>
      </c>
      <c r="G1140">
        <v>302.85928799999999</v>
      </c>
    </row>
    <row r="1141" spans="1:7">
      <c r="A1141" t="s">
        <v>1297</v>
      </c>
      <c r="B1141" t="s">
        <v>1298</v>
      </c>
      <c r="C1141" t="s">
        <v>658</v>
      </c>
      <c r="D1141" t="s">
        <v>1332</v>
      </c>
      <c r="E1141" t="s">
        <v>187</v>
      </c>
      <c r="F1141">
        <v>2005</v>
      </c>
      <c r="G1141">
        <v>14.63701</v>
      </c>
    </row>
    <row r="1142" spans="1:7">
      <c r="A1142" t="s">
        <v>1297</v>
      </c>
      <c r="B1142" t="s">
        <v>1298</v>
      </c>
      <c r="C1142" t="s">
        <v>658</v>
      </c>
      <c r="D1142" t="s">
        <v>1332</v>
      </c>
      <c r="E1142" t="s">
        <v>187</v>
      </c>
      <c r="F1142">
        <v>2010</v>
      </c>
      <c r="G1142">
        <v>21.634139000000001</v>
      </c>
    </row>
    <row r="1143" spans="1:7">
      <c r="A1143" t="s">
        <v>1297</v>
      </c>
      <c r="B1143" t="s">
        <v>1298</v>
      </c>
      <c r="C1143" t="s">
        <v>658</v>
      </c>
      <c r="D1143" t="s">
        <v>1332</v>
      </c>
      <c r="E1143" t="s">
        <v>187</v>
      </c>
      <c r="F1143">
        <v>2012</v>
      </c>
      <c r="G1143">
        <v>21.242557999999999</v>
      </c>
    </row>
    <row r="1144" spans="1:7">
      <c r="A1144" t="s">
        <v>1297</v>
      </c>
      <c r="B1144" t="s">
        <v>1298</v>
      </c>
      <c r="C1144" t="s">
        <v>658</v>
      </c>
      <c r="D1144" t="s">
        <v>1332</v>
      </c>
      <c r="E1144" t="s">
        <v>187</v>
      </c>
      <c r="F1144">
        <v>2016</v>
      </c>
      <c r="G1144">
        <v>23.870439999999999</v>
      </c>
    </row>
    <row r="1145" spans="1:7">
      <c r="A1145" t="s">
        <v>1297</v>
      </c>
      <c r="B1145" t="s">
        <v>1298</v>
      </c>
      <c r="C1145" t="s">
        <v>658</v>
      </c>
      <c r="D1145" t="s">
        <v>1332</v>
      </c>
      <c r="E1145" t="s">
        <v>187</v>
      </c>
      <c r="F1145">
        <v>2020</v>
      </c>
      <c r="G1145">
        <v>25.026686999999999</v>
      </c>
    </row>
    <row r="1146" spans="1:7">
      <c r="A1146" t="s">
        <v>1297</v>
      </c>
      <c r="B1146" t="s">
        <v>1298</v>
      </c>
      <c r="C1146" t="s">
        <v>686</v>
      </c>
      <c r="D1146" t="s">
        <v>1332</v>
      </c>
      <c r="E1146" t="s">
        <v>187</v>
      </c>
      <c r="F1146">
        <v>2005</v>
      </c>
      <c r="G1146">
        <v>33.6</v>
      </c>
    </row>
    <row r="1147" spans="1:7">
      <c r="A1147" t="s">
        <v>1297</v>
      </c>
      <c r="B1147" t="s">
        <v>1298</v>
      </c>
      <c r="C1147" t="s">
        <v>686</v>
      </c>
      <c r="D1147" t="s">
        <v>1332</v>
      </c>
      <c r="E1147" t="s">
        <v>187</v>
      </c>
      <c r="F1147">
        <v>2010</v>
      </c>
      <c r="G1147">
        <v>40.222979000000002</v>
      </c>
    </row>
    <row r="1148" spans="1:7">
      <c r="A1148" t="s">
        <v>1297</v>
      </c>
      <c r="B1148" t="s">
        <v>1298</v>
      </c>
      <c r="C1148" t="s">
        <v>686</v>
      </c>
      <c r="D1148" t="s">
        <v>1332</v>
      </c>
      <c r="E1148" t="s">
        <v>187</v>
      </c>
      <c r="F1148">
        <v>2012</v>
      </c>
      <c r="G1148">
        <v>39.550834999999999</v>
      </c>
    </row>
    <row r="1149" spans="1:7">
      <c r="A1149" t="s">
        <v>1297</v>
      </c>
      <c r="B1149" t="s">
        <v>1298</v>
      </c>
      <c r="C1149" t="s">
        <v>686</v>
      </c>
      <c r="D1149" t="s">
        <v>1332</v>
      </c>
      <c r="E1149" t="s">
        <v>187</v>
      </c>
      <c r="F1149">
        <v>2016</v>
      </c>
      <c r="G1149">
        <v>36.668753000000002</v>
      </c>
    </row>
    <row r="1150" spans="1:7">
      <c r="A1150" t="s">
        <v>1297</v>
      </c>
      <c r="B1150" t="s">
        <v>1298</v>
      </c>
      <c r="C1150" t="s">
        <v>686</v>
      </c>
      <c r="D1150" t="s">
        <v>1332</v>
      </c>
      <c r="E1150" t="s">
        <v>187</v>
      </c>
      <c r="F1150">
        <v>2020</v>
      </c>
      <c r="G1150">
        <v>36.793984000000002</v>
      </c>
    </row>
    <row r="1151" spans="1:7">
      <c r="A1151" t="s">
        <v>1297</v>
      </c>
      <c r="B1151" t="s">
        <v>1298</v>
      </c>
      <c r="C1151" t="s">
        <v>665</v>
      </c>
      <c r="D1151" t="s">
        <v>1332</v>
      </c>
      <c r="E1151" t="s">
        <v>187</v>
      </c>
      <c r="F1151">
        <v>2005</v>
      </c>
      <c r="G1151">
        <v>167.498943</v>
      </c>
    </row>
    <row r="1152" spans="1:7">
      <c r="A1152" t="s">
        <v>1297</v>
      </c>
      <c r="B1152" t="s">
        <v>1298</v>
      </c>
      <c r="C1152" t="s">
        <v>665</v>
      </c>
      <c r="D1152" t="s">
        <v>1332</v>
      </c>
      <c r="E1152" t="s">
        <v>187</v>
      </c>
      <c r="F1152">
        <v>2010</v>
      </c>
      <c r="G1152">
        <v>308.01058399999999</v>
      </c>
    </row>
    <row r="1153" spans="1:7">
      <c r="A1153" t="s">
        <v>1297</v>
      </c>
      <c r="B1153" t="s">
        <v>1298</v>
      </c>
      <c r="C1153" t="s">
        <v>665</v>
      </c>
      <c r="D1153" t="s">
        <v>1332</v>
      </c>
      <c r="E1153" t="s">
        <v>187</v>
      </c>
      <c r="F1153">
        <v>2012</v>
      </c>
      <c r="G1153">
        <v>291.74357900000001</v>
      </c>
    </row>
    <row r="1154" spans="1:7">
      <c r="A1154" t="s">
        <v>1297</v>
      </c>
      <c r="B1154" t="s">
        <v>1298</v>
      </c>
      <c r="C1154" t="s">
        <v>665</v>
      </c>
      <c r="D1154" t="s">
        <v>1332</v>
      </c>
      <c r="E1154" t="s">
        <v>187</v>
      </c>
      <c r="F1154">
        <v>2016</v>
      </c>
      <c r="G1154">
        <v>280.837422</v>
      </c>
    </row>
    <row r="1155" spans="1:7">
      <c r="A1155" t="s">
        <v>1297</v>
      </c>
      <c r="B1155" t="s">
        <v>1298</v>
      </c>
      <c r="C1155" t="s">
        <v>665</v>
      </c>
      <c r="D1155" t="s">
        <v>1332</v>
      </c>
      <c r="E1155" t="s">
        <v>187</v>
      </c>
      <c r="F1155">
        <v>2020</v>
      </c>
      <c r="G1155">
        <v>284.25928299999998</v>
      </c>
    </row>
    <row r="1156" spans="1:7">
      <c r="A1156" t="s">
        <v>1297</v>
      </c>
      <c r="B1156" t="s">
        <v>1298</v>
      </c>
      <c r="C1156" t="s">
        <v>656</v>
      </c>
      <c r="D1156" t="s">
        <v>1332</v>
      </c>
      <c r="E1156" t="s">
        <v>187</v>
      </c>
      <c r="F1156">
        <v>2005</v>
      </c>
      <c r="G1156">
        <v>211.90813399999999</v>
      </c>
    </row>
    <row r="1157" spans="1:7">
      <c r="A1157" t="s">
        <v>1297</v>
      </c>
      <c r="B1157" t="s">
        <v>1298</v>
      </c>
      <c r="C1157" t="s">
        <v>656</v>
      </c>
      <c r="D1157" t="s">
        <v>1332</v>
      </c>
      <c r="E1157" t="s">
        <v>187</v>
      </c>
      <c r="F1157">
        <v>2010</v>
      </c>
      <c r="G1157">
        <v>334.24382400000002</v>
      </c>
    </row>
    <row r="1158" spans="1:7">
      <c r="A1158" t="s">
        <v>1297</v>
      </c>
      <c r="B1158" t="s">
        <v>1298</v>
      </c>
      <c r="C1158" t="s">
        <v>656</v>
      </c>
      <c r="D1158" t="s">
        <v>1332</v>
      </c>
      <c r="E1158" t="s">
        <v>187</v>
      </c>
      <c r="F1158">
        <v>2012</v>
      </c>
      <c r="G1158">
        <v>362.02676300000002</v>
      </c>
    </row>
    <row r="1159" spans="1:7">
      <c r="A1159" t="s">
        <v>1297</v>
      </c>
      <c r="B1159" t="s">
        <v>1298</v>
      </c>
      <c r="C1159" t="s">
        <v>656</v>
      </c>
      <c r="D1159" t="s">
        <v>1332</v>
      </c>
      <c r="E1159" t="s">
        <v>187</v>
      </c>
      <c r="F1159">
        <v>2016</v>
      </c>
      <c r="G1159">
        <v>305.739327</v>
      </c>
    </row>
    <row r="1160" spans="1:7">
      <c r="A1160" t="s">
        <v>1297</v>
      </c>
      <c r="B1160" t="s">
        <v>1298</v>
      </c>
      <c r="C1160" t="s">
        <v>656</v>
      </c>
      <c r="D1160" t="s">
        <v>1332</v>
      </c>
      <c r="E1160" t="s">
        <v>187</v>
      </c>
      <c r="F1160">
        <v>2020</v>
      </c>
      <c r="G1160">
        <v>335.18197900000001</v>
      </c>
    </row>
    <row r="1161" spans="1:7">
      <c r="A1161" t="s">
        <v>1297</v>
      </c>
      <c r="B1161" t="s">
        <v>1298</v>
      </c>
      <c r="C1161" t="s">
        <v>652</v>
      </c>
      <c r="D1161" t="s">
        <v>1332</v>
      </c>
      <c r="E1161" t="s">
        <v>187</v>
      </c>
      <c r="F1161">
        <v>2005</v>
      </c>
      <c r="G1161">
        <v>9.8020940000000003</v>
      </c>
    </row>
    <row r="1162" spans="1:7">
      <c r="A1162" t="s">
        <v>1297</v>
      </c>
      <c r="B1162" t="s">
        <v>1298</v>
      </c>
      <c r="C1162" t="s">
        <v>652</v>
      </c>
      <c r="D1162" t="s">
        <v>1332</v>
      </c>
      <c r="E1162" t="s">
        <v>187</v>
      </c>
      <c r="F1162">
        <v>2010</v>
      </c>
      <c r="G1162">
        <v>30.301935</v>
      </c>
    </row>
    <row r="1163" spans="1:7">
      <c r="A1163" t="s">
        <v>1297</v>
      </c>
      <c r="B1163" t="s">
        <v>1298</v>
      </c>
      <c r="C1163" t="s">
        <v>652</v>
      </c>
      <c r="D1163" t="s">
        <v>1332</v>
      </c>
      <c r="E1163" t="s">
        <v>187</v>
      </c>
      <c r="F1163">
        <v>2012</v>
      </c>
      <c r="G1163">
        <v>27.935299000000001</v>
      </c>
    </row>
    <row r="1164" spans="1:7">
      <c r="A1164" t="s">
        <v>1297</v>
      </c>
      <c r="B1164" t="s">
        <v>1298</v>
      </c>
      <c r="C1164" t="s">
        <v>652</v>
      </c>
      <c r="D1164" t="s">
        <v>1332</v>
      </c>
      <c r="E1164" t="s">
        <v>187</v>
      </c>
      <c r="F1164">
        <v>2016</v>
      </c>
      <c r="G1164">
        <v>30.441946999999999</v>
      </c>
    </row>
    <row r="1165" spans="1:7">
      <c r="A1165" t="s">
        <v>1297</v>
      </c>
      <c r="B1165" t="s">
        <v>1298</v>
      </c>
      <c r="C1165" t="s">
        <v>652</v>
      </c>
      <c r="D1165" t="s">
        <v>1332</v>
      </c>
      <c r="E1165" t="s">
        <v>187</v>
      </c>
      <c r="F1165">
        <v>2020</v>
      </c>
      <c r="G1165">
        <v>27.732106999999999</v>
      </c>
    </row>
    <row r="1166" spans="1:7">
      <c r="A1166" t="s">
        <v>1297</v>
      </c>
      <c r="B1166" t="s">
        <v>1298</v>
      </c>
      <c r="C1166" t="s">
        <v>668</v>
      </c>
      <c r="D1166" t="s">
        <v>1332</v>
      </c>
      <c r="E1166" t="s">
        <v>187</v>
      </c>
      <c r="F1166">
        <v>2005</v>
      </c>
      <c r="G1166">
        <v>34.847819999999999</v>
      </c>
    </row>
    <row r="1167" spans="1:7">
      <c r="A1167" t="s">
        <v>1297</v>
      </c>
      <c r="B1167" t="s">
        <v>1298</v>
      </c>
      <c r="C1167" t="s">
        <v>668</v>
      </c>
      <c r="D1167" t="s">
        <v>1332</v>
      </c>
      <c r="E1167" t="s">
        <v>187</v>
      </c>
      <c r="F1167">
        <v>2010</v>
      </c>
      <c r="G1167">
        <v>27.743048000000002</v>
      </c>
    </row>
    <row r="1168" spans="1:7">
      <c r="A1168" t="s">
        <v>1297</v>
      </c>
      <c r="B1168" t="s">
        <v>1298</v>
      </c>
      <c r="C1168" t="s">
        <v>668</v>
      </c>
      <c r="D1168" t="s">
        <v>1332</v>
      </c>
      <c r="E1168" t="s">
        <v>187</v>
      </c>
      <c r="F1168">
        <v>2012</v>
      </c>
      <c r="G1168">
        <v>31.149615000000001</v>
      </c>
    </row>
    <row r="1169" spans="1:7">
      <c r="A1169" t="s">
        <v>1297</v>
      </c>
      <c r="B1169" t="s">
        <v>1298</v>
      </c>
      <c r="C1169" t="s">
        <v>668</v>
      </c>
      <c r="D1169" t="s">
        <v>1332</v>
      </c>
      <c r="E1169" t="s">
        <v>187</v>
      </c>
      <c r="F1169">
        <v>2016</v>
      </c>
      <c r="G1169">
        <v>25.814969999999999</v>
      </c>
    </row>
    <row r="1170" spans="1:7">
      <c r="A1170" t="s">
        <v>1297</v>
      </c>
      <c r="B1170" t="s">
        <v>1298</v>
      </c>
      <c r="C1170" t="s">
        <v>670</v>
      </c>
      <c r="D1170" t="s">
        <v>1333</v>
      </c>
      <c r="E1170" t="s">
        <v>187</v>
      </c>
      <c r="F1170">
        <v>2010</v>
      </c>
      <c r="G1170">
        <v>2.8777E-2</v>
      </c>
    </row>
    <row r="1171" spans="1:7">
      <c r="A1171" t="s">
        <v>1297</v>
      </c>
      <c r="B1171" t="s">
        <v>1298</v>
      </c>
      <c r="C1171" t="s">
        <v>670</v>
      </c>
      <c r="D1171" t="s">
        <v>1333</v>
      </c>
      <c r="E1171" t="s">
        <v>187</v>
      </c>
      <c r="F1171">
        <v>2012</v>
      </c>
      <c r="G1171">
        <v>6.5037999999999999E-2</v>
      </c>
    </row>
    <row r="1172" spans="1:7">
      <c r="A1172" t="s">
        <v>1297</v>
      </c>
      <c r="B1172" t="s">
        <v>1298</v>
      </c>
      <c r="C1172" t="s">
        <v>673</v>
      </c>
      <c r="D1172" t="s">
        <v>1334</v>
      </c>
      <c r="E1172" t="s">
        <v>187</v>
      </c>
      <c r="F1172">
        <v>2005</v>
      </c>
      <c r="G1172">
        <v>7.7789999999999999</v>
      </c>
    </row>
    <row r="1173" spans="1:7">
      <c r="A1173" t="s">
        <v>1297</v>
      </c>
      <c r="B1173" t="s">
        <v>1298</v>
      </c>
      <c r="C1173" t="s">
        <v>673</v>
      </c>
      <c r="D1173" t="s">
        <v>1334</v>
      </c>
      <c r="E1173" t="s">
        <v>187</v>
      </c>
      <c r="F1173">
        <v>2010</v>
      </c>
      <c r="G1173">
        <v>5.1920000000000002</v>
      </c>
    </row>
    <row r="1174" spans="1:7">
      <c r="A1174" t="s">
        <v>1297</v>
      </c>
      <c r="B1174" t="s">
        <v>1298</v>
      </c>
      <c r="C1174" t="s">
        <v>673</v>
      </c>
      <c r="D1174" t="s">
        <v>1334</v>
      </c>
      <c r="E1174" t="s">
        <v>187</v>
      </c>
      <c r="F1174">
        <v>2012</v>
      </c>
      <c r="G1174">
        <v>2.6930000000000001</v>
      </c>
    </row>
    <row r="1175" spans="1:7">
      <c r="A1175" t="s">
        <v>1297</v>
      </c>
      <c r="B1175" t="s">
        <v>1298</v>
      </c>
      <c r="C1175" t="s">
        <v>673</v>
      </c>
      <c r="D1175" t="s">
        <v>1334</v>
      </c>
      <c r="E1175" t="s">
        <v>187</v>
      </c>
      <c r="F1175">
        <v>2016</v>
      </c>
      <c r="G1175">
        <v>5.226</v>
      </c>
    </row>
    <row r="1176" spans="1:7">
      <c r="A1176" t="s">
        <v>1297</v>
      </c>
      <c r="B1176" t="s">
        <v>1298</v>
      </c>
      <c r="C1176" t="s">
        <v>660</v>
      </c>
      <c r="D1176" t="s">
        <v>1334</v>
      </c>
      <c r="E1176" t="s">
        <v>187</v>
      </c>
      <c r="F1176">
        <v>2010</v>
      </c>
      <c r="G1176">
        <v>1.5414380000000001</v>
      </c>
    </row>
    <row r="1177" spans="1:7">
      <c r="A1177" t="s">
        <v>1297</v>
      </c>
      <c r="B1177" t="s">
        <v>1298</v>
      </c>
      <c r="C1177" t="s">
        <v>660</v>
      </c>
      <c r="D1177" t="s">
        <v>1334</v>
      </c>
      <c r="E1177" t="s">
        <v>187</v>
      </c>
      <c r="F1177">
        <v>2012</v>
      </c>
      <c r="G1177">
        <v>0.90277799999999997</v>
      </c>
    </row>
    <row r="1178" spans="1:7">
      <c r="A1178" t="s">
        <v>1297</v>
      </c>
      <c r="B1178" t="s">
        <v>1298</v>
      </c>
      <c r="C1178" t="s">
        <v>660</v>
      </c>
      <c r="D1178" t="s">
        <v>1334</v>
      </c>
      <c r="E1178" t="s">
        <v>187</v>
      </c>
      <c r="F1178">
        <v>2016</v>
      </c>
      <c r="G1178">
        <v>2.205476</v>
      </c>
    </row>
    <row r="1179" spans="1:7">
      <c r="A1179" t="s">
        <v>1297</v>
      </c>
      <c r="B1179" t="s">
        <v>1298</v>
      </c>
      <c r="C1179" t="s">
        <v>660</v>
      </c>
      <c r="D1179" t="s">
        <v>1334</v>
      </c>
      <c r="E1179" t="s">
        <v>187</v>
      </c>
      <c r="F1179">
        <v>2020</v>
      </c>
      <c r="G1179">
        <v>0.63342200000000004</v>
      </c>
    </row>
    <row r="1180" spans="1:7">
      <c r="A1180" t="s">
        <v>1297</v>
      </c>
      <c r="B1180" t="s">
        <v>1298</v>
      </c>
      <c r="C1180" t="s">
        <v>659</v>
      </c>
      <c r="D1180" t="s">
        <v>1334</v>
      </c>
      <c r="E1180" t="s">
        <v>187</v>
      </c>
      <c r="F1180">
        <v>2005</v>
      </c>
      <c r="G1180">
        <v>0.30003000000000002</v>
      </c>
    </row>
    <row r="1181" spans="1:7">
      <c r="A1181" t="s">
        <v>1297</v>
      </c>
      <c r="B1181" t="s">
        <v>1298</v>
      </c>
      <c r="C1181" t="s">
        <v>659</v>
      </c>
      <c r="D1181" t="s">
        <v>1334</v>
      </c>
      <c r="E1181" t="s">
        <v>187</v>
      </c>
      <c r="F1181">
        <v>2010</v>
      </c>
      <c r="G1181">
        <v>0.210591</v>
      </c>
    </row>
    <row r="1182" spans="1:7">
      <c r="A1182" t="s">
        <v>1297</v>
      </c>
      <c r="B1182" t="s">
        <v>1298</v>
      </c>
      <c r="C1182" t="s">
        <v>659</v>
      </c>
      <c r="D1182" t="s">
        <v>1334</v>
      </c>
      <c r="E1182" t="s">
        <v>187</v>
      </c>
      <c r="F1182">
        <v>2012</v>
      </c>
      <c r="G1182">
        <v>0.85538400000000003</v>
      </c>
    </row>
    <row r="1183" spans="1:7">
      <c r="A1183" t="s">
        <v>1297</v>
      </c>
      <c r="B1183" t="s">
        <v>1298</v>
      </c>
      <c r="C1183" t="s">
        <v>659</v>
      </c>
      <c r="D1183" t="s">
        <v>1334</v>
      </c>
      <c r="E1183" t="s">
        <v>187</v>
      </c>
      <c r="F1183">
        <v>2016</v>
      </c>
      <c r="G1183">
        <v>0.16131400000000001</v>
      </c>
    </row>
    <row r="1184" spans="1:7">
      <c r="A1184" t="s">
        <v>1297</v>
      </c>
      <c r="B1184" t="s">
        <v>1298</v>
      </c>
      <c r="C1184" t="s">
        <v>659</v>
      </c>
      <c r="D1184" t="s">
        <v>1334</v>
      </c>
      <c r="E1184" t="s">
        <v>187</v>
      </c>
      <c r="F1184">
        <v>2020</v>
      </c>
      <c r="G1184">
        <v>0.63749599999999995</v>
      </c>
    </row>
    <row r="1185" spans="1:7">
      <c r="A1185" t="s">
        <v>1297</v>
      </c>
      <c r="B1185" t="s">
        <v>1298</v>
      </c>
      <c r="C1185" t="s">
        <v>677</v>
      </c>
      <c r="D1185" t="s">
        <v>1334</v>
      </c>
      <c r="E1185" t="s">
        <v>187</v>
      </c>
      <c r="F1185">
        <v>2016</v>
      </c>
      <c r="G1185">
        <v>8.5985000000000006E-2</v>
      </c>
    </row>
    <row r="1186" spans="1:7">
      <c r="A1186" t="s">
        <v>1297</v>
      </c>
      <c r="B1186" t="s">
        <v>1298</v>
      </c>
      <c r="C1186" t="s">
        <v>677</v>
      </c>
      <c r="D1186" t="s">
        <v>1334</v>
      </c>
      <c r="E1186" t="s">
        <v>187</v>
      </c>
      <c r="F1186">
        <v>2020</v>
      </c>
      <c r="G1186">
        <v>0.17935999999999999</v>
      </c>
    </row>
    <row r="1187" spans="1:7">
      <c r="A1187" t="s">
        <v>1297</v>
      </c>
      <c r="B1187" t="s">
        <v>1298</v>
      </c>
      <c r="C1187" t="s">
        <v>668</v>
      </c>
      <c r="D1187" t="s">
        <v>1334</v>
      </c>
      <c r="E1187" t="s">
        <v>187</v>
      </c>
      <c r="F1187">
        <v>2005</v>
      </c>
      <c r="G1187">
        <v>6.7650000000000002E-3</v>
      </c>
    </row>
    <row r="1188" spans="1:7">
      <c r="A1188" t="s">
        <v>1297</v>
      </c>
      <c r="B1188" t="s">
        <v>1298</v>
      </c>
      <c r="C1188" t="s">
        <v>668</v>
      </c>
      <c r="D1188" t="s">
        <v>1334</v>
      </c>
      <c r="E1188" t="s">
        <v>187</v>
      </c>
      <c r="F1188">
        <v>2010</v>
      </c>
      <c r="G1188">
        <v>6.7000000000000002E-4</v>
      </c>
    </row>
    <row r="1189" spans="1:7">
      <c r="A1189" t="s">
        <v>1297</v>
      </c>
      <c r="B1189" t="s">
        <v>1298</v>
      </c>
      <c r="C1189" t="s">
        <v>668</v>
      </c>
      <c r="D1189" t="s">
        <v>1334</v>
      </c>
      <c r="E1189" t="s">
        <v>187</v>
      </c>
      <c r="F1189">
        <v>2012</v>
      </c>
      <c r="G1189">
        <v>1.8E-3</v>
      </c>
    </row>
    <row r="1190" spans="1:7">
      <c r="A1190" t="s">
        <v>1297</v>
      </c>
      <c r="B1190" t="s">
        <v>1298</v>
      </c>
      <c r="C1190" t="s">
        <v>668</v>
      </c>
      <c r="D1190" t="s">
        <v>1334</v>
      </c>
      <c r="E1190" t="s">
        <v>187</v>
      </c>
      <c r="F1190">
        <v>2016</v>
      </c>
      <c r="G1190">
        <v>2.5079999999999998E-3</v>
      </c>
    </row>
    <row r="1191" spans="1:7">
      <c r="A1191" t="s">
        <v>1297</v>
      </c>
      <c r="B1191" t="s">
        <v>1298</v>
      </c>
      <c r="C1191" t="s">
        <v>668</v>
      </c>
      <c r="D1191" t="s">
        <v>1334</v>
      </c>
      <c r="E1191" t="s">
        <v>187</v>
      </c>
      <c r="F1191">
        <v>2020</v>
      </c>
      <c r="G1191">
        <v>2.8110000000000001E-3</v>
      </c>
    </row>
    <row r="1192" spans="1:7">
      <c r="A1192" t="s">
        <v>1297</v>
      </c>
      <c r="B1192" t="s">
        <v>1298</v>
      </c>
      <c r="C1192" t="s">
        <v>665</v>
      </c>
      <c r="D1192" t="s">
        <v>1334</v>
      </c>
      <c r="E1192" t="s">
        <v>187</v>
      </c>
      <c r="F1192">
        <v>2010</v>
      </c>
      <c r="G1192">
        <v>6.4611000000000002E-2</v>
      </c>
    </row>
    <row r="1193" spans="1:7">
      <c r="A1193" t="s">
        <v>1297</v>
      </c>
      <c r="B1193" t="s">
        <v>1298</v>
      </c>
      <c r="C1193" t="s">
        <v>665</v>
      </c>
      <c r="D1193" t="s">
        <v>1334</v>
      </c>
      <c r="E1193" t="s">
        <v>187</v>
      </c>
      <c r="F1193">
        <v>2012</v>
      </c>
      <c r="G1193">
        <v>0.17055699999999999</v>
      </c>
    </row>
    <row r="1194" spans="1:7">
      <c r="A1194" t="s">
        <v>1297</v>
      </c>
      <c r="B1194" t="s">
        <v>1298</v>
      </c>
      <c r="C1194" t="s">
        <v>665</v>
      </c>
      <c r="D1194" t="s">
        <v>1334</v>
      </c>
      <c r="E1194" t="s">
        <v>187</v>
      </c>
      <c r="F1194">
        <v>2016</v>
      </c>
      <c r="G1194">
        <v>8.1544000000000005E-2</v>
      </c>
    </row>
    <row r="1195" spans="1:7">
      <c r="A1195" t="s">
        <v>1297</v>
      </c>
      <c r="B1195" t="s">
        <v>1298</v>
      </c>
      <c r="C1195" t="s">
        <v>665</v>
      </c>
      <c r="D1195" t="s">
        <v>1334</v>
      </c>
      <c r="E1195" t="s">
        <v>187</v>
      </c>
      <c r="F1195">
        <v>2020</v>
      </c>
      <c r="G1195">
        <v>0.10818700000000001</v>
      </c>
    </row>
    <row r="1196" spans="1:7">
      <c r="A1196" t="s">
        <v>1297</v>
      </c>
      <c r="B1196" t="s">
        <v>1298</v>
      </c>
      <c r="C1196" t="s">
        <v>672</v>
      </c>
      <c r="D1196" t="s">
        <v>1334</v>
      </c>
      <c r="E1196" t="s">
        <v>187</v>
      </c>
      <c r="F1196">
        <v>2016</v>
      </c>
      <c r="G1196">
        <v>3.6999999999999998E-2</v>
      </c>
    </row>
    <row r="1197" spans="1:7">
      <c r="A1197" t="s">
        <v>1297</v>
      </c>
      <c r="B1197" t="s">
        <v>1298</v>
      </c>
      <c r="C1197" t="s">
        <v>672</v>
      </c>
      <c r="D1197" t="s">
        <v>1334</v>
      </c>
      <c r="E1197" t="s">
        <v>187</v>
      </c>
      <c r="F1197">
        <v>2020</v>
      </c>
      <c r="G1197">
        <v>1.3727E-2</v>
      </c>
    </row>
    <row r="1198" spans="1:7">
      <c r="A1198" t="s">
        <v>1297</v>
      </c>
      <c r="B1198" t="s">
        <v>1298</v>
      </c>
      <c r="C1198" t="s">
        <v>670</v>
      </c>
      <c r="D1198" t="s">
        <v>1334</v>
      </c>
      <c r="E1198" t="s">
        <v>187</v>
      </c>
      <c r="F1198">
        <v>2010</v>
      </c>
      <c r="G1198">
        <v>2.1004999999999999E-2</v>
      </c>
    </row>
    <row r="1199" spans="1:7">
      <c r="A1199" t="s">
        <v>1297</v>
      </c>
      <c r="B1199" t="s">
        <v>1298</v>
      </c>
      <c r="C1199" t="s">
        <v>670</v>
      </c>
      <c r="D1199" t="s">
        <v>1334</v>
      </c>
      <c r="E1199" t="s">
        <v>187</v>
      </c>
      <c r="F1199">
        <v>2012</v>
      </c>
      <c r="G1199">
        <v>0.63631499999999996</v>
      </c>
    </row>
    <row r="1200" spans="1:7">
      <c r="A1200" t="s">
        <v>1297</v>
      </c>
      <c r="B1200" t="s">
        <v>1298</v>
      </c>
      <c r="C1200" t="s">
        <v>670</v>
      </c>
      <c r="D1200" t="s">
        <v>1334</v>
      </c>
      <c r="E1200" t="s">
        <v>187</v>
      </c>
      <c r="F1200">
        <v>2016</v>
      </c>
      <c r="G1200">
        <v>4.6999999999999999E-4</v>
      </c>
    </row>
    <row r="1201" spans="1:7">
      <c r="A1201" t="s">
        <v>1297</v>
      </c>
      <c r="B1201" t="s">
        <v>1298</v>
      </c>
      <c r="C1201" t="s">
        <v>670</v>
      </c>
      <c r="D1201" t="s">
        <v>1334</v>
      </c>
      <c r="E1201" t="s">
        <v>187</v>
      </c>
      <c r="F1201">
        <v>2020</v>
      </c>
      <c r="G1201">
        <v>5.9000000000000003E-4</v>
      </c>
    </row>
    <row r="1202" spans="1:7">
      <c r="A1202" t="s">
        <v>1297</v>
      </c>
      <c r="B1202" t="s">
        <v>1298</v>
      </c>
      <c r="C1202" t="s">
        <v>1299</v>
      </c>
      <c r="D1202" t="s">
        <v>1334</v>
      </c>
      <c r="E1202" t="s">
        <v>187</v>
      </c>
      <c r="F1202">
        <v>2005</v>
      </c>
      <c r="G1202">
        <v>8.5250000000000004</v>
      </c>
    </row>
    <row r="1203" spans="1:7">
      <c r="A1203" t="s">
        <v>1297</v>
      </c>
      <c r="B1203" t="s">
        <v>1298</v>
      </c>
      <c r="C1203" t="s">
        <v>1300</v>
      </c>
      <c r="D1203" t="s">
        <v>1334</v>
      </c>
      <c r="E1203" t="s">
        <v>187</v>
      </c>
      <c r="F1203">
        <v>2010</v>
      </c>
      <c r="G1203">
        <v>5.0000000000000001E-3</v>
      </c>
    </row>
    <row r="1204" spans="1:7">
      <c r="A1204" t="s">
        <v>1297</v>
      </c>
      <c r="B1204" t="s">
        <v>1298</v>
      </c>
      <c r="C1204" t="s">
        <v>1300</v>
      </c>
      <c r="D1204" t="s">
        <v>1334</v>
      </c>
      <c r="E1204" t="s">
        <v>187</v>
      </c>
      <c r="F1204">
        <v>2012</v>
      </c>
      <c r="G1204">
        <v>1E-3</v>
      </c>
    </row>
    <row r="1205" spans="1:7">
      <c r="A1205" t="s">
        <v>1297</v>
      </c>
      <c r="B1205" t="s">
        <v>1298</v>
      </c>
      <c r="C1205" t="s">
        <v>1300</v>
      </c>
      <c r="D1205" t="s">
        <v>1334</v>
      </c>
      <c r="E1205" t="s">
        <v>187</v>
      </c>
      <c r="F1205">
        <v>2016</v>
      </c>
      <c r="G1205">
        <v>0.309</v>
      </c>
    </row>
    <row r="1206" spans="1:7">
      <c r="A1206" t="s">
        <v>1297</v>
      </c>
      <c r="B1206" t="s">
        <v>1298</v>
      </c>
      <c r="C1206" t="s">
        <v>1300</v>
      </c>
      <c r="D1206" t="s">
        <v>1334</v>
      </c>
      <c r="E1206" t="s">
        <v>187</v>
      </c>
      <c r="F1206">
        <v>2020</v>
      </c>
      <c r="G1206">
        <v>0.34200000000000003</v>
      </c>
    </row>
    <row r="1207" spans="1:7">
      <c r="A1207" t="s">
        <v>1297</v>
      </c>
      <c r="B1207" t="s">
        <v>1298</v>
      </c>
      <c r="C1207" t="s">
        <v>661</v>
      </c>
      <c r="D1207" t="s">
        <v>1334</v>
      </c>
      <c r="E1207" t="s">
        <v>187</v>
      </c>
      <c r="F1207">
        <v>2005</v>
      </c>
      <c r="G1207">
        <v>10.983381</v>
      </c>
    </row>
    <row r="1208" spans="1:7">
      <c r="A1208" t="s">
        <v>1297</v>
      </c>
      <c r="B1208" t="s">
        <v>1298</v>
      </c>
      <c r="C1208" t="s">
        <v>661</v>
      </c>
      <c r="D1208" t="s">
        <v>1334</v>
      </c>
      <c r="E1208" t="s">
        <v>187</v>
      </c>
      <c r="F1208">
        <v>2010</v>
      </c>
      <c r="G1208">
        <v>7.5422000000000003E-2</v>
      </c>
    </row>
    <row r="1209" spans="1:7">
      <c r="A1209" t="s">
        <v>1297</v>
      </c>
      <c r="B1209" t="s">
        <v>1298</v>
      </c>
      <c r="C1209" t="s">
        <v>661</v>
      </c>
      <c r="D1209" t="s">
        <v>1334</v>
      </c>
      <c r="E1209" t="s">
        <v>187</v>
      </c>
      <c r="F1209">
        <v>2012</v>
      </c>
      <c r="G1209">
        <v>2.5766000000000001E-2</v>
      </c>
    </row>
    <row r="1210" spans="1:7">
      <c r="A1210" t="s">
        <v>1297</v>
      </c>
      <c r="B1210" t="s">
        <v>1298</v>
      </c>
      <c r="C1210" t="s">
        <v>661</v>
      </c>
      <c r="D1210" t="s">
        <v>1334</v>
      </c>
      <c r="E1210" t="s">
        <v>187</v>
      </c>
      <c r="F1210">
        <v>2016</v>
      </c>
      <c r="G1210">
        <v>3.0025E-2</v>
      </c>
    </row>
    <row r="1211" spans="1:7">
      <c r="A1211" t="s">
        <v>1297</v>
      </c>
      <c r="B1211" t="s">
        <v>1298</v>
      </c>
      <c r="C1211" t="s">
        <v>661</v>
      </c>
      <c r="D1211" t="s">
        <v>1334</v>
      </c>
      <c r="E1211" t="s">
        <v>187</v>
      </c>
      <c r="F1211">
        <v>2020</v>
      </c>
      <c r="G1211">
        <v>7.2660000000000002E-2</v>
      </c>
    </row>
    <row r="1212" spans="1:7">
      <c r="A1212" t="s">
        <v>1297</v>
      </c>
      <c r="B1212" t="s">
        <v>1298</v>
      </c>
      <c r="C1212" t="s">
        <v>652</v>
      </c>
      <c r="D1212" t="s">
        <v>1334</v>
      </c>
      <c r="E1212" t="s">
        <v>187</v>
      </c>
      <c r="F1212">
        <v>2005</v>
      </c>
      <c r="G1212">
        <v>9.0366000000000002E-2</v>
      </c>
    </row>
    <row r="1213" spans="1:7">
      <c r="A1213" t="s">
        <v>1297</v>
      </c>
      <c r="B1213" t="s">
        <v>1298</v>
      </c>
      <c r="C1213" t="s">
        <v>652</v>
      </c>
      <c r="D1213" t="s">
        <v>1334</v>
      </c>
      <c r="E1213" t="s">
        <v>187</v>
      </c>
      <c r="F1213">
        <v>2010</v>
      </c>
      <c r="G1213">
        <v>7.4000000000000003E-3</v>
      </c>
    </row>
    <row r="1214" spans="1:7">
      <c r="A1214" t="s">
        <v>1297</v>
      </c>
      <c r="B1214" t="s">
        <v>1298</v>
      </c>
      <c r="C1214" t="s">
        <v>652</v>
      </c>
      <c r="D1214" t="s">
        <v>1334</v>
      </c>
      <c r="E1214" t="s">
        <v>187</v>
      </c>
      <c r="F1214">
        <v>2012</v>
      </c>
      <c r="G1214">
        <v>7.5399999999999998E-3</v>
      </c>
    </row>
    <row r="1215" spans="1:7">
      <c r="A1215" t="s">
        <v>1297</v>
      </c>
      <c r="B1215" t="s">
        <v>1298</v>
      </c>
      <c r="C1215" t="s">
        <v>654</v>
      </c>
      <c r="D1215" t="s">
        <v>1334</v>
      </c>
      <c r="E1215" t="s">
        <v>187</v>
      </c>
      <c r="F1215">
        <v>2005</v>
      </c>
      <c r="G1215">
        <v>0.36599999999999999</v>
      </c>
    </row>
    <row r="1216" spans="1:7">
      <c r="A1216" t="s">
        <v>1297</v>
      </c>
      <c r="B1216" t="s">
        <v>1298</v>
      </c>
      <c r="C1216" t="s">
        <v>654</v>
      </c>
      <c r="D1216" t="s">
        <v>1334</v>
      </c>
      <c r="E1216" t="s">
        <v>187</v>
      </c>
      <c r="F1216">
        <v>2010</v>
      </c>
      <c r="G1216">
        <v>3.7060000000000001E-3</v>
      </c>
    </row>
    <row r="1217" spans="1:7">
      <c r="A1217" t="s">
        <v>1297</v>
      </c>
      <c r="B1217" t="s">
        <v>1298</v>
      </c>
      <c r="C1217" t="s">
        <v>654</v>
      </c>
      <c r="D1217" t="s">
        <v>1334</v>
      </c>
      <c r="E1217" t="s">
        <v>187</v>
      </c>
      <c r="F1217">
        <v>2012</v>
      </c>
      <c r="G1217">
        <v>4.6389999999999999E-3</v>
      </c>
    </row>
    <row r="1218" spans="1:7">
      <c r="A1218" t="s">
        <v>1297</v>
      </c>
      <c r="B1218" t="s">
        <v>1298</v>
      </c>
      <c r="C1218" t="s">
        <v>654</v>
      </c>
      <c r="D1218" t="s">
        <v>1334</v>
      </c>
      <c r="E1218" t="s">
        <v>187</v>
      </c>
      <c r="F1218">
        <v>2016</v>
      </c>
      <c r="G1218">
        <v>3.4870000000000001E-3</v>
      </c>
    </row>
    <row r="1219" spans="1:7">
      <c r="A1219" t="s">
        <v>1297</v>
      </c>
      <c r="B1219" t="s">
        <v>1298</v>
      </c>
      <c r="C1219" t="s">
        <v>654</v>
      </c>
      <c r="D1219" t="s">
        <v>1334</v>
      </c>
      <c r="E1219" t="s">
        <v>187</v>
      </c>
      <c r="F1219">
        <v>2020</v>
      </c>
      <c r="G1219">
        <v>3.6610000000000002E-3</v>
      </c>
    </row>
    <row r="1220" spans="1:7">
      <c r="A1220" t="s">
        <v>1297</v>
      </c>
      <c r="B1220" t="s">
        <v>1298</v>
      </c>
      <c r="C1220" t="s">
        <v>667</v>
      </c>
      <c r="D1220" t="s">
        <v>1334</v>
      </c>
      <c r="E1220" t="s">
        <v>187</v>
      </c>
      <c r="F1220">
        <v>2016</v>
      </c>
      <c r="G1220" s="14">
        <v>1.4E-5</v>
      </c>
    </row>
    <row r="1221" spans="1:7">
      <c r="A1221" t="s">
        <v>1297</v>
      </c>
      <c r="B1221" t="s">
        <v>1298</v>
      </c>
      <c r="C1221" t="s">
        <v>667</v>
      </c>
      <c r="D1221" t="s">
        <v>1334</v>
      </c>
      <c r="E1221" t="s">
        <v>187</v>
      </c>
      <c r="F1221">
        <v>2020</v>
      </c>
      <c r="G1221" s="14">
        <v>4.1999999999999998E-5</v>
      </c>
    </row>
    <row r="1222" spans="1:7">
      <c r="A1222" t="s">
        <v>1297</v>
      </c>
      <c r="B1222" t="s">
        <v>1298</v>
      </c>
      <c r="C1222" t="s">
        <v>680</v>
      </c>
      <c r="D1222" t="s">
        <v>1334</v>
      </c>
      <c r="E1222" t="s">
        <v>187</v>
      </c>
      <c r="F1222">
        <v>2005</v>
      </c>
      <c r="G1222">
        <v>5.2300000000000003E-4</v>
      </c>
    </row>
    <row r="1223" spans="1:7">
      <c r="A1223" t="s">
        <v>1297</v>
      </c>
      <c r="B1223" t="s">
        <v>1298</v>
      </c>
      <c r="C1223" t="s">
        <v>680</v>
      </c>
      <c r="D1223" t="s">
        <v>1334</v>
      </c>
      <c r="E1223" t="s">
        <v>187</v>
      </c>
      <c r="F1223">
        <v>2010</v>
      </c>
      <c r="G1223">
        <v>2.05E-4</v>
      </c>
    </row>
    <row r="1224" spans="1:7">
      <c r="A1224" t="s">
        <v>1297</v>
      </c>
      <c r="B1224" t="s">
        <v>1298</v>
      </c>
      <c r="C1224" t="s">
        <v>680</v>
      </c>
      <c r="D1224" t="s">
        <v>1334</v>
      </c>
      <c r="E1224" t="s">
        <v>187</v>
      </c>
      <c r="F1224">
        <v>2016</v>
      </c>
      <c r="G1224">
        <v>3.9100000000000002E-4</v>
      </c>
    </row>
    <row r="1225" spans="1:7">
      <c r="A1225" t="s">
        <v>1297</v>
      </c>
      <c r="B1225" t="s">
        <v>1298</v>
      </c>
      <c r="C1225" t="s">
        <v>680</v>
      </c>
      <c r="D1225" t="s">
        <v>1334</v>
      </c>
      <c r="E1225" t="s">
        <v>187</v>
      </c>
      <c r="F1225">
        <v>2020</v>
      </c>
      <c r="G1225">
        <v>1.9139999999999999E-3</v>
      </c>
    </row>
    <row r="1226" spans="1:7">
      <c r="A1226" t="s">
        <v>1297</v>
      </c>
      <c r="B1226" t="s">
        <v>1298</v>
      </c>
      <c r="C1226" t="s">
        <v>662</v>
      </c>
      <c r="D1226" t="s">
        <v>1334</v>
      </c>
      <c r="E1226" t="s">
        <v>187</v>
      </c>
      <c r="F1226">
        <v>2012</v>
      </c>
      <c r="G1226">
        <v>0.111</v>
      </c>
    </row>
    <row r="1227" spans="1:7">
      <c r="A1227" t="s">
        <v>1297</v>
      </c>
      <c r="B1227" t="s">
        <v>1298</v>
      </c>
      <c r="C1227" t="s">
        <v>662</v>
      </c>
      <c r="D1227" t="s">
        <v>1334</v>
      </c>
      <c r="E1227" t="s">
        <v>187</v>
      </c>
      <c r="F1227">
        <v>2016</v>
      </c>
      <c r="G1227">
        <v>3.7580000000000002E-2</v>
      </c>
    </row>
    <row r="1228" spans="1:7">
      <c r="A1228" t="s">
        <v>1297</v>
      </c>
      <c r="B1228" t="s">
        <v>1298</v>
      </c>
      <c r="C1228" t="s">
        <v>662</v>
      </c>
      <c r="D1228" t="s">
        <v>1334</v>
      </c>
      <c r="E1228" t="s">
        <v>187</v>
      </c>
      <c r="F1228">
        <v>2020</v>
      </c>
      <c r="G1228">
        <v>3.5136000000000001E-2</v>
      </c>
    </row>
    <row r="1229" spans="1:7">
      <c r="A1229" t="s">
        <v>1297</v>
      </c>
      <c r="B1229" t="s">
        <v>1298</v>
      </c>
      <c r="C1229" t="s">
        <v>684</v>
      </c>
      <c r="D1229" t="s">
        <v>1334</v>
      </c>
      <c r="E1229" t="s">
        <v>187</v>
      </c>
      <c r="F1229">
        <v>2005</v>
      </c>
      <c r="G1229">
        <v>4.1000000000000002E-2</v>
      </c>
    </row>
    <row r="1230" spans="1:7">
      <c r="A1230" t="s">
        <v>1297</v>
      </c>
      <c r="B1230" t="s">
        <v>1298</v>
      </c>
      <c r="C1230" t="s">
        <v>684</v>
      </c>
      <c r="D1230" t="s">
        <v>1334</v>
      </c>
      <c r="E1230" t="s">
        <v>187</v>
      </c>
      <c r="F1230">
        <v>2010</v>
      </c>
      <c r="G1230">
        <v>7.9000000000000001E-2</v>
      </c>
    </row>
    <row r="1231" spans="1:7">
      <c r="A1231" t="s">
        <v>1297</v>
      </c>
      <c r="B1231" t="s">
        <v>1298</v>
      </c>
      <c r="C1231" t="s">
        <v>674</v>
      </c>
      <c r="D1231" t="s">
        <v>1334</v>
      </c>
      <c r="E1231" t="s">
        <v>187</v>
      </c>
      <c r="F1231">
        <v>2005</v>
      </c>
      <c r="G1231">
        <v>5.6700000000000001E-4</v>
      </c>
    </row>
    <row r="1232" spans="1:7">
      <c r="A1232" t="s">
        <v>1297</v>
      </c>
      <c r="B1232" t="s">
        <v>1298</v>
      </c>
      <c r="C1232" t="s">
        <v>674</v>
      </c>
      <c r="D1232" t="s">
        <v>1334</v>
      </c>
      <c r="E1232" t="s">
        <v>187</v>
      </c>
      <c r="F1232">
        <v>2010</v>
      </c>
      <c r="G1232">
        <v>6.7199999999999996E-4</v>
      </c>
    </row>
    <row r="1233" spans="1:8">
      <c r="A1233" t="s">
        <v>1297</v>
      </c>
      <c r="B1233" t="s">
        <v>1298</v>
      </c>
      <c r="C1233" t="s">
        <v>674</v>
      </c>
      <c r="D1233" t="s">
        <v>1334</v>
      </c>
      <c r="E1233" t="s">
        <v>187</v>
      </c>
      <c r="F1233">
        <v>2012</v>
      </c>
      <c r="G1233" s="14">
        <v>6.4499999999999996E-4</v>
      </c>
      <c r="H1233" s="14"/>
    </row>
    <row r="1234" spans="1:8">
      <c r="A1234" t="s">
        <v>1297</v>
      </c>
      <c r="B1234" t="s">
        <v>1298</v>
      </c>
      <c r="C1234" t="s">
        <v>674</v>
      </c>
      <c r="D1234" t="s">
        <v>1334</v>
      </c>
      <c r="E1234" t="s">
        <v>187</v>
      </c>
      <c r="F1234">
        <v>2016</v>
      </c>
      <c r="G1234">
        <v>2.42E-4</v>
      </c>
    </row>
    <row r="1235" spans="1:8">
      <c r="A1235" t="s">
        <v>1297</v>
      </c>
      <c r="B1235" t="s">
        <v>1298</v>
      </c>
      <c r="C1235" t="s">
        <v>669</v>
      </c>
      <c r="D1235" t="s">
        <v>1334</v>
      </c>
      <c r="E1235" t="s">
        <v>187</v>
      </c>
      <c r="F1235">
        <v>2012</v>
      </c>
      <c r="G1235">
        <v>4.1899999999999999E-4</v>
      </c>
    </row>
    <row r="1236" spans="1:8">
      <c r="A1236" t="s">
        <v>1297</v>
      </c>
      <c r="B1236" t="s">
        <v>1298</v>
      </c>
      <c r="C1236" t="s">
        <v>669</v>
      </c>
      <c r="D1236" t="s">
        <v>1334</v>
      </c>
      <c r="E1236" t="s">
        <v>187</v>
      </c>
      <c r="F1236">
        <v>2016</v>
      </c>
      <c r="G1236">
        <v>1.2509999999999999E-3</v>
      </c>
    </row>
    <row r="1237" spans="1:8">
      <c r="A1237" t="s">
        <v>1297</v>
      </c>
      <c r="B1237" t="s">
        <v>1298</v>
      </c>
      <c r="C1237" t="s">
        <v>669</v>
      </c>
      <c r="D1237" t="s">
        <v>1334</v>
      </c>
      <c r="E1237" t="s">
        <v>187</v>
      </c>
      <c r="F1237">
        <v>2020</v>
      </c>
      <c r="G1237" s="14">
        <v>2.2900000000000001E-4</v>
      </c>
      <c r="H1237" s="14"/>
    </row>
    <row r="1238" spans="1:8">
      <c r="A1238" t="s">
        <v>1297</v>
      </c>
      <c r="B1238" t="s">
        <v>1298</v>
      </c>
      <c r="C1238" t="s">
        <v>663</v>
      </c>
      <c r="D1238" t="s">
        <v>1334</v>
      </c>
      <c r="E1238" t="s">
        <v>187</v>
      </c>
      <c r="F1238">
        <v>2016</v>
      </c>
      <c r="G1238" s="14">
        <v>2.9488E-2</v>
      </c>
      <c r="H1238" s="14"/>
    </row>
    <row r="1239" spans="1:8">
      <c r="A1239" t="s">
        <v>1297</v>
      </c>
      <c r="B1239" t="s">
        <v>1298</v>
      </c>
      <c r="C1239" t="s">
        <v>663</v>
      </c>
      <c r="D1239" t="s">
        <v>1334</v>
      </c>
      <c r="E1239" t="s">
        <v>187</v>
      </c>
      <c r="F1239">
        <v>2020</v>
      </c>
      <c r="G1239">
        <v>2.7348999999999998E-2</v>
      </c>
    </row>
    <row r="1240" spans="1:8">
      <c r="A1240" t="s">
        <v>1297</v>
      </c>
      <c r="B1240" t="s">
        <v>1298</v>
      </c>
      <c r="C1240" t="s">
        <v>679</v>
      </c>
      <c r="D1240" t="s">
        <v>1334</v>
      </c>
      <c r="E1240" t="s">
        <v>187</v>
      </c>
      <c r="F1240">
        <v>2020</v>
      </c>
      <c r="G1240">
        <v>3.9500000000000001E-4</v>
      </c>
    </row>
    <row r="1241" spans="1:8">
      <c r="A1241" t="s">
        <v>1297</v>
      </c>
      <c r="B1241" t="s">
        <v>1298</v>
      </c>
      <c r="C1241" t="s">
        <v>655</v>
      </c>
      <c r="D1241" t="s">
        <v>1334</v>
      </c>
      <c r="E1241" t="s">
        <v>187</v>
      </c>
      <c r="F1241">
        <v>2005</v>
      </c>
      <c r="G1241" s="14">
        <v>5.3999999999999998E-5</v>
      </c>
    </row>
    <row r="1242" spans="1:8">
      <c r="A1242" t="s">
        <v>1297</v>
      </c>
      <c r="B1242" t="s">
        <v>1298</v>
      </c>
      <c r="C1242" t="s">
        <v>657</v>
      </c>
      <c r="D1242" t="s">
        <v>1334</v>
      </c>
      <c r="E1242" t="s">
        <v>187</v>
      </c>
      <c r="F1242">
        <v>2016</v>
      </c>
      <c r="G1242">
        <v>5.0860000000000002E-3</v>
      </c>
    </row>
    <row r="1243" spans="1:8">
      <c r="A1243" t="s">
        <v>1297</v>
      </c>
      <c r="B1243" t="s">
        <v>1298</v>
      </c>
      <c r="C1243" t="s">
        <v>657</v>
      </c>
      <c r="D1243" t="s">
        <v>1334</v>
      </c>
      <c r="E1243" t="s">
        <v>187</v>
      </c>
      <c r="F1243">
        <v>2020</v>
      </c>
      <c r="G1243">
        <v>1.6129000000000001E-2</v>
      </c>
    </row>
    <row r="1244" spans="1:8">
      <c r="A1244" t="s">
        <v>1297</v>
      </c>
      <c r="B1244" t="s">
        <v>1298</v>
      </c>
      <c r="C1244" t="s">
        <v>668</v>
      </c>
      <c r="D1244" t="s">
        <v>1335</v>
      </c>
      <c r="E1244" t="s">
        <v>187</v>
      </c>
      <c r="F1244">
        <v>2005</v>
      </c>
      <c r="G1244">
        <v>0.11614099999999999</v>
      </c>
    </row>
    <row r="1245" spans="1:8">
      <c r="A1245" t="s">
        <v>1297</v>
      </c>
      <c r="B1245" t="s">
        <v>1298</v>
      </c>
      <c r="C1245" t="s">
        <v>668</v>
      </c>
      <c r="D1245" t="s">
        <v>1335</v>
      </c>
      <c r="E1245" t="s">
        <v>187</v>
      </c>
      <c r="F1245">
        <v>2010</v>
      </c>
      <c r="G1245">
        <v>1.134074</v>
      </c>
    </row>
    <row r="1246" spans="1:8">
      <c r="A1246" t="s">
        <v>1297</v>
      </c>
      <c r="B1246" t="s">
        <v>1298</v>
      </c>
      <c r="C1246" t="s">
        <v>668</v>
      </c>
      <c r="D1246" t="s">
        <v>1335</v>
      </c>
      <c r="E1246" t="s">
        <v>187</v>
      </c>
      <c r="F1246">
        <v>2012</v>
      </c>
      <c r="G1246">
        <v>0.84772499999999995</v>
      </c>
    </row>
    <row r="1247" spans="1:8">
      <c r="A1247" t="s">
        <v>1297</v>
      </c>
      <c r="B1247" t="s">
        <v>1298</v>
      </c>
      <c r="C1247" t="s">
        <v>668</v>
      </c>
      <c r="D1247" t="s">
        <v>1335</v>
      </c>
      <c r="E1247" t="s">
        <v>187</v>
      </c>
      <c r="F1247">
        <v>2016</v>
      </c>
      <c r="G1247" s="14">
        <v>0.50846199999999997</v>
      </c>
      <c r="H1247" s="14"/>
    </row>
    <row r="1248" spans="1:8">
      <c r="A1248" t="s">
        <v>1297</v>
      </c>
      <c r="B1248" t="s">
        <v>1298</v>
      </c>
      <c r="C1248" t="s">
        <v>668</v>
      </c>
      <c r="D1248" t="s">
        <v>1335</v>
      </c>
      <c r="E1248" t="s">
        <v>187</v>
      </c>
      <c r="F1248">
        <v>2020</v>
      </c>
      <c r="G1248">
        <v>1.6106050000000001</v>
      </c>
    </row>
    <row r="1249" spans="1:7">
      <c r="A1249" t="s">
        <v>1297</v>
      </c>
      <c r="B1249" t="s">
        <v>1298</v>
      </c>
      <c r="C1249" t="s">
        <v>652</v>
      </c>
      <c r="D1249" t="s">
        <v>1335</v>
      </c>
      <c r="E1249" t="s">
        <v>187</v>
      </c>
      <c r="F1249">
        <v>2005</v>
      </c>
      <c r="G1249">
        <v>0.11182400000000001</v>
      </c>
    </row>
    <row r="1250" spans="1:7">
      <c r="A1250" t="s">
        <v>1297</v>
      </c>
      <c r="B1250" t="s">
        <v>1298</v>
      </c>
      <c r="C1250" t="s">
        <v>652</v>
      </c>
      <c r="D1250" t="s">
        <v>1335</v>
      </c>
      <c r="E1250" t="s">
        <v>187</v>
      </c>
      <c r="F1250">
        <v>2010</v>
      </c>
      <c r="G1250">
        <v>15.592755</v>
      </c>
    </row>
    <row r="1251" spans="1:7">
      <c r="A1251" t="s">
        <v>1297</v>
      </c>
      <c r="B1251" t="s">
        <v>1298</v>
      </c>
      <c r="C1251" t="s">
        <v>652</v>
      </c>
      <c r="D1251" t="s">
        <v>1335</v>
      </c>
      <c r="E1251" t="s">
        <v>187</v>
      </c>
      <c r="F1251">
        <v>2012</v>
      </c>
      <c r="G1251">
        <v>15.121179</v>
      </c>
    </row>
    <row r="1252" spans="1:7">
      <c r="A1252" t="s">
        <v>1297</v>
      </c>
      <c r="B1252" t="s">
        <v>1298</v>
      </c>
      <c r="C1252" t="s">
        <v>652</v>
      </c>
      <c r="D1252" t="s">
        <v>1335</v>
      </c>
      <c r="E1252" t="s">
        <v>187</v>
      </c>
      <c r="F1252">
        <v>2016</v>
      </c>
      <c r="G1252">
        <v>18.849799000000001</v>
      </c>
    </row>
    <row r="1253" spans="1:7">
      <c r="A1253" t="s">
        <v>1297</v>
      </c>
      <c r="B1253" t="s">
        <v>1298</v>
      </c>
      <c r="C1253" t="s">
        <v>652</v>
      </c>
      <c r="D1253" t="s">
        <v>1335</v>
      </c>
      <c r="E1253" t="s">
        <v>187</v>
      </c>
      <c r="F1253">
        <v>2020</v>
      </c>
      <c r="G1253">
        <v>20.680053000000001</v>
      </c>
    </row>
    <row r="1254" spans="1:7">
      <c r="A1254" t="s">
        <v>1297</v>
      </c>
      <c r="B1254" t="s">
        <v>1298</v>
      </c>
      <c r="C1254" t="s">
        <v>661</v>
      </c>
      <c r="D1254" t="s">
        <v>1335</v>
      </c>
      <c r="E1254" t="s">
        <v>187</v>
      </c>
      <c r="F1254">
        <v>2005</v>
      </c>
      <c r="G1254">
        <v>24.696968999999999</v>
      </c>
    </row>
    <row r="1255" spans="1:7">
      <c r="A1255" t="s">
        <v>1297</v>
      </c>
      <c r="B1255" t="s">
        <v>1298</v>
      </c>
      <c r="C1255" t="s">
        <v>661</v>
      </c>
      <c r="D1255" t="s">
        <v>1335</v>
      </c>
      <c r="E1255" t="s">
        <v>187</v>
      </c>
      <c r="F1255">
        <v>2010</v>
      </c>
      <c r="G1255">
        <v>101.583917</v>
      </c>
    </row>
    <row r="1256" spans="1:7">
      <c r="A1256" t="s">
        <v>1297</v>
      </c>
      <c r="B1256" t="s">
        <v>1298</v>
      </c>
      <c r="C1256" t="s">
        <v>661</v>
      </c>
      <c r="D1256" t="s">
        <v>1335</v>
      </c>
      <c r="E1256" t="s">
        <v>187</v>
      </c>
      <c r="F1256">
        <v>2012</v>
      </c>
      <c r="G1256">
        <v>112.479741</v>
      </c>
    </row>
    <row r="1257" spans="1:7">
      <c r="A1257" t="s">
        <v>1297</v>
      </c>
      <c r="B1257" t="s">
        <v>1298</v>
      </c>
      <c r="C1257" t="s">
        <v>661</v>
      </c>
      <c r="D1257" t="s">
        <v>1335</v>
      </c>
      <c r="E1257" t="s">
        <v>187</v>
      </c>
      <c r="F1257">
        <v>2016</v>
      </c>
      <c r="G1257">
        <v>125.73783400000001</v>
      </c>
    </row>
    <row r="1258" spans="1:7">
      <c r="A1258" t="s">
        <v>1297</v>
      </c>
      <c r="B1258" t="s">
        <v>1298</v>
      </c>
      <c r="C1258" t="s">
        <v>661</v>
      </c>
      <c r="D1258" t="s">
        <v>1335</v>
      </c>
      <c r="E1258" t="s">
        <v>187</v>
      </c>
      <c r="F1258">
        <v>2020</v>
      </c>
      <c r="G1258">
        <v>134.131167</v>
      </c>
    </row>
    <row r="1259" spans="1:7">
      <c r="A1259" t="s">
        <v>1297</v>
      </c>
      <c r="B1259" t="s">
        <v>1298</v>
      </c>
      <c r="C1259" t="s">
        <v>664</v>
      </c>
      <c r="D1259" t="s">
        <v>1335</v>
      </c>
      <c r="E1259" t="s">
        <v>187</v>
      </c>
      <c r="F1259">
        <v>2005</v>
      </c>
      <c r="G1259">
        <v>4.6608999999999998E-2</v>
      </c>
    </row>
    <row r="1260" spans="1:7">
      <c r="A1260" t="s">
        <v>1297</v>
      </c>
      <c r="B1260" t="s">
        <v>1298</v>
      </c>
      <c r="C1260" t="s">
        <v>664</v>
      </c>
      <c r="D1260" t="s">
        <v>1335</v>
      </c>
      <c r="E1260" t="s">
        <v>187</v>
      </c>
      <c r="F1260">
        <v>2010</v>
      </c>
      <c r="G1260">
        <v>3.8805269999999998</v>
      </c>
    </row>
    <row r="1261" spans="1:7">
      <c r="A1261" t="s">
        <v>1297</v>
      </c>
      <c r="B1261" t="s">
        <v>1298</v>
      </c>
      <c r="C1261" t="s">
        <v>664</v>
      </c>
      <c r="D1261" t="s">
        <v>1335</v>
      </c>
      <c r="E1261" t="s">
        <v>187</v>
      </c>
      <c r="F1261">
        <v>2012</v>
      </c>
      <c r="G1261">
        <v>2.495905</v>
      </c>
    </row>
    <row r="1262" spans="1:7">
      <c r="A1262" t="s">
        <v>1297</v>
      </c>
      <c r="B1262" t="s">
        <v>1298</v>
      </c>
      <c r="C1262" t="s">
        <v>664</v>
      </c>
      <c r="D1262" t="s">
        <v>1335</v>
      </c>
      <c r="E1262" t="s">
        <v>187</v>
      </c>
      <c r="F1262">
        <v>2016</v>
      </c>
      <c r="G1262">
        <v>4.5019780000000003</v>
      </c>
    </row>
    <row r="1263" spans="1:7">
      <c r="A1263" t="s">
        <v>1297</v>
      </c>
      <c r="B1263" t="s">
        <v>1298</v>
      </c>
      <c r="C1263" t="s">
        <v>664</v>
      </c>
      <c r="D1263" t="s">
        <v>1335</v>
      </c>
      <c r="E1263" t="s">
        <v>187</v>
      </c>
      <c r="F1263">
        <v>2020</v>
      </c>
      <c r="G1263">
        <v>7.8862719999999999</v>
      </c>
    </row>
    <row r="1264" spans="1:7">
      <c r="A1264" t="s">
        <v>1297</v>
      </c>
      <c r="B1264" t="s">
        <v>1298</v>
      </c>
      <c r="C1264" t="s">
        <v>681</v>
      </c>
      <c r="D1264" t="s">
        <v>1335</v>
      </c>
      <c r="E1264" t="s">
        <v>187</v>
      </c>
      <c r="F1264">
        <v>2016</v>
      </c>
      <c r="G1264">
        <v>3.4288400000000001</v>
      </c>
    </row>
    <row r="1265" spans="1:7">
      <c r="A1265" t="s">
        <v>1297</v>
      </c>
      <c r="B1265" t="s">
        <v>1298</v>
      </c>
      <c r="C1265" t="s">
        <v>681</v>
      </c>
      <c r="D1265" t="s">
        <v>1335</v>
      </c>
      <c r="E1265" t="s">
        <v>187</v>
      </c>
      <c r="F1265">
        <v>2020</v>
      </c>
      <c r="G1265">
        <v>5.0314500000000004</v>
      </c>
    </row>
    <row r="1266" spans="1:7">
      <c r="A1266" t="s">
        <v>1297</v>
      </c>
      <c r="B1266" t="s">
        <v>1298</v>
      </c>
      <c r="C1266" t="s">
        <v>659</v>
      </c>
      <c r="D1266" t="s">
        <v>1335</v>
      </c>
      <c r="E1266" t="s">
        <v>187</v>
      </c>
      <c r="F1266">
        <v>2005</v>
      </c>
      <c r="G1266">
        <v>11.117353</v>
      </c>
    </row>
    <row r="1267" spans="1:7">
      <c r="A1267" t="s">
        <v>1297</v>
      </c>
      <c r="B1267" t="s">
        <v>1298</v>
      </c>
      <c r="C1267" t="s">
        <v>659</v>
      </c>
      <c r="D1267" t="s">
        <v>1335</v>
      </c>
      <c r="E1267" t="s">
        <v>187</v>
      </c>
      <c r="F1267">
        <v>2010</v>
      </c>
      <c r="G1267">
        <v>60.989539000000001</v>
      </c>
    </row>
    <row r="1268" spans="1:7">
      <c r="A1268" t="s">
        <v>1297</v>
      </c>
      <c r="B1268" t="s">
        <v>1298</v>
      </c>
      <c r="C1268" t="s">
        <v>659</v>
      </c>
      <c r="D1268" t="s">
        <v>1335</v>
      </c>
      <c r="E1268" t="s">
        <v>187</v>
      </c>
      <c r="F1268">
        <v>2012</v>
      </c>
      <c r="G1268">
        <v>90.336645000000004</v>
      </c>
    </row>
    <row r="1269" spans="1:7">
      <c r="A1269" t="s">
        <v>1297</v>
      </c>
      <c r="B1269" t="s">
        <v>1298</v>
      </c>
      <c r="C1269" t="s">
        <v>659</v>
      </c>
      <c r="D1269" t="s">
        <v>1335</v>
      </c>
      <c r="E1269" t="s">
        <v>187</v>
      </c>
      <c r="F1269">
        <v>2016</v>
      </c>
      <c r="G1269">
        <v>47.229939000000002</v>
      </c>
    </row>
    <row r="1270" spans="1:7">
      <c r="A1270" t="s">
        <v>1297</v>
      </c>
      <c r="B1270" t="s">
        <v>1298</v>
      </c>
      <c r="C1270" t="s">
        <v>659</v>
      </c>
      <c r="D1270" t="s">
        <v>1335</v>
      </c>
      <c r="E1270" t="s">
        <v>187</v>
      </c>
      <c r="F1270">
        <v>2020</v>
      </c>
      <c r="G1270">
        <v>68.559853000000004</v>
      </c>
    </row>
    <row r="1271" spans="1:7">
      <c r="A1271" t="s">
        <v>1297</v>
      </c>
      <c r="B1271" t="s">
        <v>1298</v>
      </c>
      <c r="C1271" t="s">
        <v>289</v>
      </c>
      <c r="D1271" t="s">
        <v>1335</v>
      </c>
      <c r="E1271" t="s">
        <v>187</v>
      </c>
      <c r="F1271">
        <v>2005</v>
      </c>
      <c r="G1271">
        <v>9.990000000000001E-4</v>
      </c>
    </row>
    <row r="1272" spans="1:7">
      <c r="A1272" t="s">
        <v>1297</v>
      </c>
      <c r="B1272" t="s">
        <v>1298</v>
      </c>
      <c r="C1272" t="s">
        <v>289</v>
      </c>
      <c r="D1272" t="s">
        <v>1335</v>
      </c>
      <c r="E1272" t="s">
        <v>187</v>
      </c>
      <c r="F1272">
        <v>2010</v>
      </c>
      <c r="G1272">
        <v>0.112831</v>
      </c>
    </row>
    <row r="1273" spans="1:7">
      <c r="A1273" t="s">
        <v>1297</v>
      </c>
      <c r="B1273" t="s">
        <v>1298</v>
      </c>
      <c r="C1273" t="s">
        <v>289</v>
      </c>
      <c r="D1273" t="s">
        <v>1335</v>
      </c>
      <c r="E1273" t="s">
        <v>187</v>
      </c>
      <c r="F1273">
        <v>2012</v>
      </c>
      <c r="G1273">
        <v>1.554422</v>
      </c>
    </row>
    <row r="1274" spans="1:7">
      <c r="A1274" t="s">
        <v>1297</v>
      </c>
      <c r="B1274" t="s">
        <v>1298</v>
      </c>
      <c r="C1274" t="s">
        <v>289</v>
      </c>
      <c r="D1274" t="s">
        <v>1335</v>
      </c>
      <c r="E1274" t="s">
        <v>187</v>
      </c>
      <c r="F1274">
        <v>2016</v>
      </c>
      <c r="G1274">
        <v>6.6136E-2</v>
      </c>
    </row>
    <row r="1275" spans="1:7">
      <c r="A1275" t="s">
        <v>1297</v>
      </c>
      <c r="B1275" t="s">
        <v>1298</v>
      </c>
      <c r="C1275" t="s">
        <v>289</v>
      </c>
      <c r="D1275" t="s">
        <v>1335</v>
      </c>
      <c r="E1275" t="s">
        <v>187</v>
      </c>
      <c r="F1275">
        <v>2020</v>
      </c>
      <c r="G1275">
        <v>2.6878009999999999</v>
      </c>
    </row>
    <row r="1276" spans="1:7">
      <c r="A1276" t="s">
        <v>1297</v>
      </c>
      <c r="B1276" t="s">
        <v>1298</v>
      </c>
      <c r="C1276" t="s">
        <v>1303</v>
      </c>
      <c r="D1276" t="s">
        <v>1335</v>
      </c>
      <c r="E1276" t="s">
        <v>187</v>
      </c>
      <c r="F1276">
        <v>2020</v>
      </c>
      <c r="G1276">
        <v>9.9179999999999997E-3</v>
      </c>
    </row>
    <row r="1277" spans="1:7">
      <c r="A1277" t="s">
        <v>1297</v>
      </c>
      <c r="B1277" t="s">
        <v>1298</v>
      </c>
      <c r="C1277" t="s">
        <v>658</v>
      </c>
      <c r="D1277" t="s">
        <v>1335</v>
      </c>
      <c r="E1277" t="s">
        <v>187</v>
      </c>
      <c r="F1277">
        <v>2005</v>
      </c>
      <c r="G1277">
        <v>7.7869999999999997E-3</v>
      </c>
    </row>
    <row r="1278" spans="1:7">
      <c r="A1278" t="s">
        <v>1297</v>
      </c>
      <c r="B1278" t="s">
        <v>1298</v>
      </c>
      <c r="C1278" t="s">
        <v>658</v>
      </c>
      <c r="D1278" t="s">
        <v>1335</v>
      </c>
      <c r="E1278" t="s">
        <v>187</v>
      </c>
      <c r="F1278">
        <v>2010</v>
      </c>
      <c r="G1278">
        <v>0.34228900000000001</v>
      </c>
    </row>
    <row r="1279" spans="1:7">
      <c r="A1279" t="s">
        <v>1297</v>
      </c>
      <c r="B1279" t="s">
        <v>1298</v>
      </c>
      <c r="C1279" t="s">
        <v>658</v>
      </c>
      <c r="D1279" t="s">
        <v>1335</v>
      </c>
      <c r="E1279" t="s">
        <v>187</v>
      </c>
      <c r="F1279">
        <v>2012</v>
      </c>
      <c r="G1279">
        <v>0.184588</v>
      </c>
    </row>
    <row r="1280" spans="1:7">
      <c r="A1280" t="s">
        <v>1297</v>
      </c>
      <c r="B1280" t="s">
        <v>1298</v>
      </c>
      <c r="C1280" t="s">
        <v>658</v>
      </c>
      <c r="D1280" t="s">
        <v>1335</v>
      </c>
      <c r="E1280" t="s">
        <v>187</v>
      </c>
      <c r="F1280">
        <v>2016</v>
      </c>
      <c r="G1280">
        <v>9.3875E-2</v>
      </c>
    </row>
    <row r="1281" spans="1:7">
      <c r="A1281" t="s">
        <v>1297</v>
      </c>
      <c r="B1281" t="s">
        <v>1298</v>
      </c>
      <c r="C1281" t="s">
        <v>658</v>
      </c>
      <c r="D1281" t="s">
        <v>1335</v>
      </c>
      <c r="E1281" t="s">
        <v>187</v>
      </c>
      <c r="F1281">
        <v>2020</v>
      </c>
      <c r="G1281">
        <v>1.399351</v>
      </c>
    </row>
    <row r="1282" spans="1:7">
      <c r="A1282" t="s">
        <v>1297</v>
      </c>
      <c r="B1282" t="s">
        <v>1298</v>
      </c>
      <c r="C1282" t="s">
        <v>667</v>
      </c>
      <c r="D1282" t="s">
        <v>1335</v>
      </c>
      <c r="E1282" t="s">
        <v>187</v>
      </c>
      <c r="F1282">
        <v>2005</v>
      </c>
      <c r="G1282">
        <v>2.6467000000000001E-2</v>
      </c>
    </row>
    <row r="1283" spans="1:7">
      <c r="A1283" t="s">
        <v>1297</v>
      </c>
      <c r="B1283" t="s">
        <v>1298</v>
      </c>
      <c r="C1283" t="s">
        <v>667</v>
      </c>
      <c r="D1283" t="s">
        <v>1335</v>
      </c>
      <c r="E1283" t="s">
        <v>187</v>
      </c>
      <c r="F1283">
        <v>2010</v>
      </c>
      <c r="G1283">
        <v>1.7809029999999999</v>
      </c>
    </row>
    <row r="1284" spans="1:7">
      <c r="A1284" t="s">
        <v>1297</v>
      </c>
      <c r="B1284" t="s">
        <v>1298</v>
      </c>
      <c r="C1284" t="s">
        <v>667</v>
      </c>
      <c r="D1284" t="s">
        <v>1335</v>
      </c>
      <c r="E1284" t="s">
        <v>187</v>
      </c>
      <c r="F1284">
        <v>2012</v>
      </c>
      <c r="G1284">
        <v>2.0419390000000002</v>
      </c>
    </row>
    <row r="1285" spans="1:7">
      <c r="A1285" t="s">
        <v>1297</v>
      </c>
      <c r="B1285" t="s">
        <v>1298</v>
      </c>
      <c r="C1285" t="s">
        <v>667</v>
      </c>
      <c r="D1285" t="s">
        <v>1335</v>
      </c>
      <c r="E1285" t="s">
        <v>187</v>
      </c>
      <c r="F1285">
        <v>2016</v>
      </c>
      <c r="G1285">
        <v>3.774931</v>
      </c>
    </row>
    <row r="1286" spans="1:7">
      <c r="A1286" t="s">
        <v>1297</v>
      </c>
      <c r="B1286" t="s">
        <v>1298</v>
      </c>
      <c r="C1286" t="s">
        <v>667</v>
      </c>
      <c r="D1286" t="s">
        <v>1335</v>
      </c>
      <c r="E1286" t="s">
        <v>187</v>
      </c>
      <c r="F1286">
        <v>2020</v>
      </c>
      <c r="G1286">
        <v>5.5026529999999996</v>
      </c>
    </row>
    <row r="1287" spans="1:7">
      <c r="A1287" t="s">
        <v>1297</v>
      </c>
      <c r="B1287" t="s">
        <v>1298</v>
      </c>
      <c r="C1287" t="s">
        <v>654</v>
      </c>
      <c r="D1287" t="s">
        <v>1335</v>
      </c>
      <c r="E1287" t="s">
        <v>187</v>
      </c>
      <c r="F1287">
        <v>2010</v>
      </c>
      <c r="G1287">
        <v>0.629</v>
      </c>
    </row>
    <row r="1288" spans="1:7">
      <c r="A1288" t="s">
        <v>1297</v>
      </c>
      <c r="B1288" t="s">
        <v>1298</v>
      </c>
      <c r="C1288" t="s">
        <v>654</v>
      </c>
      <c r="D1288" t="s">
        <v>1335</v>
      </c>
      <c r="E1288" t="s">
        <v>187</v>
      </c>
      <c r="F1288">
        <v>2012</v>
      </c>
      <c r="G1288">
        <v>0.66600000000000004</v>
      </c>
    </row>
    <row r="1289" spans="1:7">
      <c r="A1289" t="s">
        <v>1297</v>
      </c>
      <c r="B1289" t="s">
        <v>1298</v>
      </c>
      <c r="C1289" t="s">
        <v>654</v>
      </c>
      <c r="D1289" t="s">
        <v>1335</v>
      </c>
      <c r="E1289" t="s">
        <v>187</v>
      </c>
      <c r="F1289">
        <v>2016</v>
      </c>
      <c r="G1289">
        <v>0.37</v>
      </c>
    </row>
    <row r="1290" spans="1:7">
      <c r="A1290" t="s">
        <v>1297</v>
      </c>
      <c r="B1290" t="s">
        <v>1298</v>
      </c>
      <c r="C1290" t="s">
        <v>654</v>
      </c>
      <c r="D1290" t="s">
        <v>1335</v>
      </c>
      <c r="E1290" t="s">
        <v>187</v>
      </c>
      <c r="F1290">
        <v>2020</v>
      </c>
      <c r="G1290">
        <v>0.44962400000000002</v>
      </c>
    </row>
    <row r="1291" spans="1:7">
      <c r="A1291" t="s">
        <v>1297</v>
      </c>
      <c r="B1291" t="s">
        <v>1298</v>
      </c>
      <c r="C1291" t="s">
        <v>672</v>
      </c>
      <c r="D1291" t="s">
        <v>1335</v>
      </c>
      <c r="E1291" t="s">
        <v>187</v>
      </c>
      <c r="F1291">
        <v>2005</v>
      </c>
      <c r="G1291">
        <v>6.1318999999999999E-2</v>
      </c>
    </row>
    <row r="1292" spans="1:7">
      <c r="A1292" t="s">
        <v>1297</v>
      </c>
      <c r="B1292" t="s">
        <v>1298</v>
      </c>
      <c r="C1292" t="s">
        <v>672</v>
      </c>
      <c r="D1292" t="s">
        <v>1335</v>
      </c>
      <c r="E1292" t="s">
        <v>187</v>
      </c>
      <c r="F1292">
        <v>2010</v>
      </c>
      <c r="G1292">
        <v>13.025309999999999</v>
      </c>
    </row>
    <row r="1293" spans="1:7">
      <c r="A1293" t="s">
        <v>1297</v>
      </c>
      <c r="B1293" t="s">
        <v>1298</v>
      </c>
      <c r="C1293" t="s">
        <v>672</v>
      </c>
      <c r="D1293" t="s">
        <v>1335</v>
      </c>
      <c r="E1293" t="s">
        <v>187</v>
      </c>
      <c r="F1293">
        <v>2012</v>
      </c>
      <c r="G1293">
        <v>11.531319999999999</v>
      </c>
    </row>
    <row r="1294" spans="1:7">
      <c r="A1294" t="s">
        <v>1297</v>
      </c>
      <c r="B1294" t="s">
        <v>1298</v>
      </c>
      <c r="C1294" t="s">
        <v>672</v>
      </c>
      <c r="D1294" t="s">
        <v>1335</v>
      </c>
      <c r="E1294" t="s">
        <v>187</v>
      </c>
      <c r="F1294">
        <v>2016</v>
      </c>
      <c r="G1294">
        <v>11.178329</v>
      </c>
    </row>
    <row r="1295" spans="1:7">
      <c r="A1295" t="s">
        <v>1297</v>
      </c>
      <c r="B1295" t="s">
        <v>1298</v>
      </c>
      <c r="C1295" t="s">
        <v>672</v>
      </c>
      <c r="D1295" t="s">
        <v>1335</v>
      </c>
      <c r="E1295" t="s">
        <v>187</v>
      </c>
      <c r="F1295">
        <v>2020</v>
      </c>
      <c r="G1295">
        <v>11.504621999999999</v>
      </c>
    </row>
    <row r="1296" spans="1:7">
      <c r="A1296" t="s">
        <v>1297</v>
      </c>
      <c r="B1296" t="s">
        <v>1298</v>
      </c>
      <c r="C1296" t="s">
        <v>1299</v>
      </c>
      <c r="D1296" t="s">
        <v>1335</v>
      </c>
      <c r="E1296" t="s">
        <v>187</v>
      </c>
      <c r="F1296">
        <v>2010</v>
      </c>
      <c r="G1296">
        <v>3.2157999999999999E-2</v>
      </c>
    </row>
    <row r="1297" spans="1:7">
      <c r="A1297" t="s">
        <v>1297</v>
      </c>
      <c r="B1297" t="s">
        <v>1298</v>
      </c>
      <c r="C1297" t="s">
        <v>1299</v>
      </c>
      <c r="D1297" t="s">
        <v>1335</v>
      </c>
      <c r="E1297" t="s">
        <v>187</v>
      </c>
      <c r="F1297">
        <v>2012</v>
      </c>
      <c r="G1297">
        <v>2.2506999999999999E-2</v>
      </c>
    </row>
    <row r="1298" spans="1:7">
      <c r="A1298" t="s">
        <v>1297</v>
      </c>
      <c r="B1298" t="s">
        <v>1298</v>
      </c>
      <c r="C1298" t="s">
        <v>1299</v>
      </c>
      <c r="D1298" t="s">
        <v>1335</v>
      </c>
      <c r="E1298" t="s">
        <v>187</v>
      </c>
      <c r="F1298">
        <v>2016</v>
      </c>
      <c r="G1298">
        <v>1.627988</v>
      </c>
    </row>
    <row r="1299" spans="1:7">
      <c r="A1299" t="s">
        <v>1297</v>
      </c>
      <c r="B1299" t="s">
        <v>1298</v>
      </c>
      <c r="C1299" t="s">
        <v>1299</v>
      </c>
      <c r="D1299" t="s">
        <v>1335</v>
      </c>
      <c r="E1299" t="s">
        <v>187</v>
      </c>
      <c r="F1299">
        <v>2020</v>
      </c>
      <c r="G1299">
        <v>3.7517830000000001</v>
      </c>
    </row>
    <row r="1300" spans="1:7">
      <c r="A1300" t="s">
        <v>1297</v>
      </c>
      <c r="B1300" t="s">
        <v>1298</v>
      </c>
      <c r="C1300" t="s">
        <v>1301</v>
      </c>
      <c r="D1300" t="s">
        <v>1335</v>
      </c>
      <c r="E1300" t="s">
        <v>187</v>
      </c>
      <c r="F1300">
        <v>2005</v>
      </c>
      <c r="G1300">
        <v>5.6700000000000001E-4</v>
      </c>
    </row>
    <row r="1301" spans="1:7">
      <c r="A1301" t="s">
        <v>1297</v>
      </c>
      <c r="B1301" t="s">
        <v>1298</v>
      </c>
      <c r="C1301" t="s">
        <v>1301</v>
      </c>
      <c r="D1301" t="s">
        <v>1335</v>
      </c>
      <c r="E1301" t="s">
        <v>187</v>
      </c>
      <c r="F1301">
        <v>2010</v>
      </c>
      <c r="G1301">
        <v>0.262355</v>
      </c>
    </row>
    <row r="1302" spans="1:7">
      <c r="A1302" t="s">
        <v>1297</v>
      </c>
      <c r="B1302" t="s">
        <v>1298</v>
      </c>
      <c r="C1302" t="s">
        <v>1301</v>
      </c>
      <c r="D1302" t="s">
        <v>1335</v>
      </c>
      <c r="E1302" t="s">
        <v>187</v>
      </c>
      <c r="F1302">
        <v>2012</v>
      </c>
      <c r="G1302">
        <v>3.0351129999999999</v>
      </c>
    </row>
    <row r="1303" spans="1:7">
      <c r="A1303" t="s">
        <v>1297</v>
      </c>
      <c r="B1303" t="s">
        <v>1298</v>
      </c>
      <c r="C1303" t="s">
        <v>1301</v>
      </c>
      <c r="D1303" t="s">
        <v>1335</v>
      </c>
      <c r="E1303" t="s">
        <v>187</v>
      </c>
      <c r="F1303">
        <v>2016</v>
      </c>
      <c r="G1303">
        <v>5.7352569999999998</v>
      </c>
    </row>
    <row r="1304" spans="1:7">
      <c r="A1304" t="s">
        <v>1297</v>
      </c>
      <c r="B1304" t="s">
        <v>1298</v>
      </c>
      <c r="C1304" t="s">
        <v>1301</v>
      </c>
      <c r="D1304" t="s">
        <v>1335</v>
      </c>
      <c r="E1304" t="s">
        <v>187</v>
      </c>
      <c r="F1304">
        <v>2020</v>
      </c>
      <c r="G1304">
        <v>7.0063000000000004</v>
      </c>
    </row>
    <row r="1305" spans="1:7">
      <c r="A1305" t="s">
        <v>1297</v>
      </c>
      <c r="B1305" t="s">
        <v>1298</v>
      </c>
      <c r="C1305" t="s">
        <v>669</v>
      </c>
      <c r="D1305" t="s">
        <v>1335</v>
      </c>
      <c r="E1305" t="s">
        <v>187</v>
      </c>
      <c r="F1305">
        <v>2010</v>
      </c>
      <c r="G1305">
        <v>2.2459E-2</v>
      </c>
    </row>
    <row r="1306" spans="1:7">
      <c r="A1306" t="s">
        <v>1297</v>
      </c>
      <c r="B1306" t="s">
        <v>1298</v>
      </c>
      <c r="C1306" t="s">
        <v>669</v>
      </c>
      <c r="D1306" t="s">
        <v>1335</v>
      </c>
      <c r="E1306" t="s">
        <v>187</v>
      </c>
      <c r="F1306">
        <v>2012</v>
      </c>
      <c r="G1306">
        <v>0.110223</v>
      </c>
    </row>
    <row r="1307" spans="1:7">
      <c r="A1307" t="s">
        <v>1297</v>
      </c>
      <c r="B1307" t="s">
        <v>1298</v>
      </c>
      <c r="C1307" t="s">
        <v>669</v>
      </c>
      <c r="D1307" t="s">
        <v>1335</v>
      </c>
      <c r="E1307" t="s">
        <v>187</v>
      </c>
      <c r="F1307">
        <v>2016</v>
      </c>
      <c r="G1307">
        <v>0.27579999999999999</v>
      </c>
    </row>
    <row r="1308" spans="1:7">
      <c r="A1308" t="s">
        <v>1297</v>
      </c>
      <c r="B1308" t="s">
        <v>1298</v>
      </c>
      <c r="C1308" t="s">
        <v>669</v>
      </c>
      <c r="D1308" t="s">
        <v>1335</v>
      </c>
      <c r="E1308" t="s">
        <v>187</v>
      </c>
      <c r="F1308">
        <v>2020</v>
      </c>
      <c r="G1308">
        <v>0.45508300000000002</v>
      </c>
    </row>
    <row r="1309" spans="1:7">
      <c r="A1309" t="s">
        <v>1297</v>
      </c>
      <c r="B1309" t="s">
        <v>1298</v>
      </c>
      <c r="C1309" t="s">
        <v>1300</v>
      </c>
      <c r="D1309" t="s">
        <v>1335</v>
      </c>
      <c r="E1309" t="s">
        <v>187</v>
      </c>
      <c r="F1309">
        <v>2016</v>
      </c>
      <c r="G1309">
        <v>3.457E-3</v>
      </c>
    </row>
    <row r="1310" spans="1:7">
      <c r="A1310" t="s">
        <v>1297</v>
      </c>
      <c r="B1310" t="s">
        <v>1298</v>
      </c>
      <c r="C1310" t="s">
        <v>1300</v>
      </c>
      <c r="D1310" t="s">
        <v>1335</v>
      </c>
      <c r="E1310" t="s">
        <v>187</v>
      </c>
      <c r="F1310">
        <v>2020</v>
      </c>
      <c r="G1310">
        <v>5.3369999999999997E-3</v>
      </c>
    </row>
    <row r="1311" spans="1:7">
      <c r="A1311" t="s">
        <v>1297</v>
      </c>
      <c r="B1311" t="s">
        <v>1298</v>
      </c>
      <c r="C1311" t="s">
        <v>680</v>
      </c>
      <c r="D1311" t="s">
        <v>1335</v>
      </c>
      <c r="E1311" t="s">
        <v>187</v>
      </c>
      <c r="F1311">
        <v>2010</v>
      </c>
      <c r="G1311">
        <v>2.1999999999999999E-2</v>
      </c>
    </row>
    <row r="1312" spans="1:7">
      <c r="A1312" t="s">
        <v>1297</v>
      </c>
      <c r="B1312" t="s">
        <v>1298</v>
      </c>
      <c r="C1312" t="s">
        <v>680</v>
      </c>
      <c r="D1312" t="s">
        <v>1335</v>
      </c>
      <c r="E1312" t="s">
        <v>187</v>
      </c>
      <c r="F1312">
        <v>2012</v>
      </c>
      <c r="G1312">
        <v>7.2999999999999995E-2</v>
      </c>
    </row>
    <row r="1313" spans="1:7">
      <c r="A1313" t="s">
        <v>1297</v>
      </c>
      <c r="B1313" t="s">
        <v>1298</v>
      </c>
      <c r="C1313" t="s">
        <v>680</v>
      </c>
      <c r="D1313" t="s">
        <v>1335</v>
      </c>
      <c r="E1313" t="s">
        <v>187</v>
      </c>
      <c r="F1313">
        <v>2016</v>
      </c>
      <c r="G1313">
        <v>0.69064800000000004</v>
      </c>
    </row>
    <row r="1314" spans="1:7">
      <c r="A1314" t="s">
        <v>1297</v>
      </c>
      <c r="B1314" t="s">
        <v>1298</v>
      </c>
      <c r="C1314" t="s">
        <v>680</v>
      </c>
      <c r="D1314" t="s">
        <v>1335</v>
      </c>
      <c r="E1314" t="s">
        <v>187</v>
      </c>
      <c r="F1314">
        <v>2020</v>
      </c>
      <c r="G1314">
        <v>0.86133899999999997</v>
      </c>
    </row>
    <row r="1315" spans="1:7">
      <c r="A1315" t="s">
        <v>1297</v>
      </c>
      <c r="B1315" t="s">
        <v>1298</v>
      </c>
      <c r="C1315" t="s">
        <v>685</v>
      </c>
      <c r="D1315" t="s">
        <v>1335</v>
      </c>
      <c r="E1315" t="s">
        <v>187</v>
      </c>
      <c r="F1315">
        <v>2010</v>
      </c>
      <c r="G1315">
        <v>1.8315000000000001E-2</v>
      </c>
    </row>
    <row r="1316" spans="1:7">
      <c r="A1316" t="s">
        <v>1297</v>
      </c>
      <c r="B1316" t="s">
        <v>1298</v>
      </c>
      <c r="C1316" t="s">
        <v>685</v>
      </c>
      <c r="D1316" t="s">
        <v>1335</v>
      </c>
      <c r="E1316" t="s">
        <v>187</v>
      </c>
      <c r="F1316">
        <v>2012</v>
      </c>
      <c r="G1316">
        <v>9.4719999999999995E-3</v>
      </c>
    </row>
    <row r="1317" spans="1:7">
      <c r="A1317" t="s">
        <v>1297</v>
      </c>
      <c r="B1317" t="s">
        <v>1298</v>
      </c>
      <c r="C1317" t="s">
        <v>685</v>
      </c>
      <c r="D1317" t="s">
        <v>1335</v>
      </c>
      <c r="E1317" t="s">
        <v>187</v>
      </c>
      <c r="F1317">
        <v>2016</v>
      </c>
      <c r="G1317">
        <v>3.3210000000000002E-3</v>
      </c>
    </row>
    <row r="1318" spans="1:7">
      <c r="A1318" t="s">
        <v>1297</v>
      </c>
      <c r="B1318" t="s">
        <v>1298</v>
      </c>
      <c r="C1318" t="s">
        <v>685</v>
      </c>
      <c r="D1318" t="s">
        <v>1335</v>
      </c>
      <c r="E1318" t="s">
        <v>187</v>
      </c>
      <c r="F1318">
        <v>2020</v>
      </c>
      <c r="G1318">
        <v>4.287E-3</v>
      </c>
    </row>
    <row r="1319" spans="1:7">
      <c r="A1319" t="s">
        <v>1297</v>
      </c>
      <c r="B1319" t="s">
        <v>1298</v>
      </c>
      <c r="C1319" t="s">
        <v>674</v>
      </c>
      <c r="D1319" t="s">
        <v>1335</v>
      </c>
      <c r="E1319" t="s">
        <v>187</v>
      </c>
      <c r="F1319">
        <v>2005</v>
      </c>
      <c r="G1319">
        <v>6.5427229999999996</v>
      </c>
    </row>
    <row r="1320" spans="1:7">
      <c r="A1320" t="s">
        <v>1297</v>
      </c>
      <c r="B1320" t="s">
        <v>1298</v>
      </c>
      <c r="C1320" t="s">
        <v>674</v>
      </c>
      <c r="D1320" t="s">
        <v>1335</v>
      </c>
      <c r="E1320" t="s">
        <v>187</v>
      </c>
      <c r="F1320">
        <v>2010</v>
      </c>
      <c r="G1320">
        <v>15.752596</v>
      </c>
    </row>
    <row r="1321" spans="1:7">
      <c r="A1321" t="s">
        <v>1297</v>
      </c>
      <c r="B1321" t="s">
        <v>1298</v>
      </c>
      <c r="C1321" t="s">
        <v>674</v>
      </c>
      <c r="D1321" t="s">
        <v>1335</v>
      </c>
      <c r="E1321" t="s">
        <v>187</v>
      </c>
      <c r="F1321">
        <v>2012</v>
      </c>
      <c r="G1321">
        <v>22.446299</v>
      </c>
    </row>
    <row r="1322" spans="1:7">
      <c r="A1322" t="s">
        <v>1297</v>
      </c>
      <c r="B1322" t="s">
        <v>1298</v>
      </c>
      <c r="C1322" t="s">
        <v>674</v>
      </c>
      <c r="D1322" t="s">
        <v>1335</v>
      </c>
      <c r="E1322" t="s">
        <v>187</v>
      </c>
      <c r="F1322">
        <v>2016</v>
      </c>
      <c r="G1322">
        <v>47.333559000000001</v>
      </c>
    </row>
    <row r="1323" spans="1:7">
      <c r="A1323" t="s">
        <v>1297</v>
      </c>
      <c r="B1323" t="s">
        <v>1298</v>
      </c>
      <c r="C1323" t="s">
        <v>674</v>
      </c>
      <c r="D1323" t="s">
        <v>1335</v>
      </c>
      <c r="E1323" t="s">
        <v>187</v>
      </c>
      <c r="F1323">
        <v>2020</v>
      </c>
      <c r="G1323">
        <v>58.870882000000002</v>
      </c>
    </row>
    <row r="1324" spans="1:7">
      <c r="A1324" t="s">
        <v>1297</v>
      </c>
      <c r="B1324" t="s">
        <v>1298</v>
      </c>
      <c r="C1324" t="s">
        <v>682</v>
      </c>
      <c r="D1324" t="s">
        <v>1335</v>
      </c>
      <c r="E1324" t="s">
        <v>187</v>
      </c>
      <c r="F1324">
        <v>2020</v>
      </c>
      <c r="G1324" s="14">
        <v>9.7E-5</v>
      </c>
    </row>
    <row r="1325" spans="1:7">
      <c r="A1325" t="s">
        <v>1297</v>
      </c>
      <c r="B1325" t="s">
        <v>1298</v>
      </c>
      <c r="C1325" t="s">
        <v>671</v>
      </c>
      <c r="D1325" t="s">
        <v>1335</v>
      </c>
      <c r="E1325" t="s">
        <v>187</v>
      </c>
      <c r="F1325">
        <v>2005</v>
      </c>
      <c r="G1325">
        <v>2.2178779999999998</v>
      </c>
    </row>
    <row r="1326" spans="1:7">
      <c r="A1326" t="s">
        <v>1297</v>
      </c>
      <c r="B1326" t="s">
        <v>1298</v>
      </c>
      <c r="C1326" t="s">
        <v>671</v>
      </c>
      <c r="D1326" t="s">
        <v>1335</v>
      </c>
      <c r="E1326" t="s">
        <v>187</v>
      </c>
      <c r="F1326">
        <v>2010</v>
      </c>
      <c r="G1326">
        <v>36.798127000000001</v>
      </c>
    </row>
    <row r="1327" spans="1:7">
      <c r="A1327" t="s">
        <v>1297</v>
      </c>
      <c r="B1327" t="s">
        <v>1298</v>
      </c>
      <c r="C1327" t="s">
        <v>671</v>
      </c>
      <c r="D1327" t="s">
        <v>1335</v>
      </c>
      <c r="E1327" t="s">
        <v>187</v>
      </c>
      <c r="F1327">
        <v>2012</v>
      </c>
      <c r="G1327">
        <v>34.519649999999999</v>
      </c>
    </row>
    <row r="1328" spans="1:7">
      <c r="A1328" t="s">
        <v>1297</v>
      </c>
      <c r="B1328" t="s">
        <v>1298</v>
      </c>
      <c r="C1328" t="s">
        <v>671</v>
      </c>
      <c r="D1328" t="s">
        <v>1335</v>
      </c>
      <c r="E1328" t="s">
        <v>187</v>
      </c>
      <c r="F1328">
        <v>2016</v>
      </c>
      <c r="G1328">
        <v>19.716384000000001</v>
      </c>
    </row>
    <row r="1329" spans="1:7">
      <c r="A1329" t="s">
        <v>1297</v>
      </c>
      <c r="B1329" t="s">
        <v>1298</v>
      </c>
      <c r="C1329" t="s">
        <v>671</v>
      </c>
      <c r="D1329" t="s">
        <v>1335</v>
      </c>
      <c r="E1329" t="s">
        <v>187</v>
      </c>
      <c r="F1329">
        <v>2020</v>
      </c>
      <c r="G1329">
        <v>43.495553999999998</v>
      </c>
    </row>
    <row r="1330" spans="1:7">
      <c r="A1330" t="s">
        <v>1297</v>
      </c>
      <c r="B1330" t="s">
        <v>1298</v>
      </c>
      <c r="C1330" t="s">
        <v>656</v>
      </c>
      <c r="D1330" t="s">
        <v>1335</v>
      </c>
      <c r="E1330" t="s">
        <v>187</v>
      </c>
      <c r="F1330">
        <v>2005</v>
      </c>
      <c r="G1330">
        <v>77.499447000000004</v>
      </c>
    </row>
    <row r="1331" spans="1:7">
      <c r="A1331" t="s">
        <v>1297</v>
      </c>
      <c r="B1331" t="s">
        <v>1298</v>
      </c>
      <c r="C1331" t="s">
        <v>656</v>
      </c>
      <c r="D1331" t="s">
        <v>1335</v>
      </c>
      <c r="E1331" t="s">
        <v>187</v>
      </c>
      <c r="F1331">
        <v>2010</v>
      </c>
      <c r="G1331">
        <v>123.330433</v>
      </c>
    </row>
    <row r="1332" spans="1:7">
      <c r="A1332" t="s">
        <v>1297</v>
      </c>
      <c r="B1332" t="s">
        <v>1298</v>
      </c>
      <c r="C1332" t="s">
        <v>656</v>
      </c>
      <c r="D1332" t="s">
        <v>1335</v>
      </c>
      <c r="E1332" t="s">
        <v>187</v>
      </c>
      <c r="F1332">
        <v>2012</v>
      </c>
      <c r="G1332">
        <v>126.43381100000001</v>
      </c>
    </row>
    <row r="1333" spans="1:7">
      <c r="A1333" t="s">
        <v>1297</v>
      </c>
      <c r="B1333" t="s">
        <v>1298</v>
      </c>
      <c r="C1333" t="s">
        <v>656</v>
      </c>
      <c r="D1333" t="s">
        <v>1335</v>
      </c>
      <c r="E1333" t="s">
        <v>187</v>
      </c>
      <c r="F1333">
        <v>2016</v>
      </c>
      <c r="G1333">
        <v>111.003511</v>
      </c>
    </row>
    <row r="1334" spans="1:7">
      <c r="A1334" t="s">
        <v>1297</v>
      </c>
      <c r="B1334" t="s">
        <v>1298</v>
      </c>
      <c r="C1334" t="s">
        <v>656</v>
      </c>
      <c r="D1334" t="s">
        <v>1335</v>
      </c>
      <c r="E1334" t="s">
        <v>187</v>
      </c>
      <c r="F1334">
        <v>2020</v>
      </c>
      <c r="G1334">
        <v>115.642543</v>
      </c>
    </row>
    <row r="1335" spans="1:7">
      <c r="A1335" t="s">
        <v>1297</v>
      </c>
      <c r="B1335" t="s">
        <v>1298</v>
      </c>
      <c r="C1335" t="s">
        <v>675</v>
      </c>
      <c r="D1335" t="s">
        <v>1335</v>
      </c>
      <c r="E1335" t="s">
        <v>187</v>
      </c>
      <c r="F1335">
        <v>2005</v>
      </c>
      <c r="G1335">
        <v>5.3629999999999997E-3</v>
      </c>
    </row>
    <row r="1336" spans="1:7">
      <c r="A1336" t="s">
        <v>1297</v>
      </c>
      <c r="B1336" t="s">
        <v>1298</v>
      </c>
      <c r="C1336" t="s">
        <v>675</v>
      </c>
      <c r="D1336" t="s">
        <v>1335</v>
      </c>
      <c r="E1336" t="s">
        <v>187</v>
      </c>
      <c r="F1336">
        <v>2010</v>
      </c>
      <c r="G1336">
        <v>1.923332</v>
      </c>
    </row>
    <row r="1337" spans="1:7">
      <c r="A1337" t="s">
        <v>1297</v>
      </c>
      <c r="B1337" t="s">
        <v>1298</v>
      </c>
      <c r="C1337" t="s">
        <v>675</v>
      </c>
      <c r="D1337" t="s">
        <v>1335</v>
      </c>
      <c r="E1337" t="s">
        <v>187</v>
      </c>
      <c r="F1337">
        <v>2012</v>
      </c>
      <c r="G1337">
        <v>2.1797870000000001</v>
      </c>
    </row>
    <row r="1338" spans="1:7">
      <c r="A1338" t="s">
        <v>1297</v>
      </c>
      <c r="B1338" t="s">
        <v>1298</v>
      </c>
      <c r="C1338" t="s">
        <v>675</v>
      </c>
      <c r="D1338" t="s">
        <v>1335</v>
      </c>
      <c r="E1338" t="s">
        <v>187</v>
      </c>
      <c r="F1338">
        <v>2016</v>
      </c>
      <c r="G1338">
        <v>0.78254800000000002</v>
      </c>
    </row>
    <row r="1339" spans="1:7">
      <c r="A1339" t="s">
        <v>1297</v>
      </c>
      <c r="B1339" t="s">
        <v>1298</v>
      </c>
      <c r="C1339" t="s">
        <v>675</v>
      </c>
      <c r="D1339" t="s">
        <v>1335</v>
      </c>
      <c r="E1339" t="s">
        <v>187</v>
      </c>
      <c r="F1339">
        <v>2020</v>
      </c>
      <c r="G1339">
        <v>3.9935990000000001</v>
      </c>
    </row>
    <row r="1340" spans="1:7">
      <c r="A1340" t="s">
        <v>1297</v>
      </c>
      <c r="B1340" t="s">
        <v>1298</v>
      </c>
      <c r="C1340" t="s">
        <v>665</v>
      </c>
      <c r="D1340" t="s">
        <v>1335</v>
      </c>
      <c r="E1340" t="s">
        <v>187</v>
      </c>
      <c r="F1340">
        <v>2005</v>
      </c>
      <c r="G1340">
        <v>7.9515690000000001</v>
      </c>
    </row>
    <row r="1341" spans="1:7">
      <c r="A1341" t="s">
        <v>1297</v>
      </c>
      <c r="B1341" t="s">
        <v>1298</v>
      </c>
      <c r="C1341" t="s">
        <v>665</v>
      </c>
      <c r="D1341" t="s">
        <v>1335</v>
      </c>
      <c r="E1341" t="s">
        <v>187</v>
      </c>
      <c r="F1341">
        <v>2010</v>
      </c>
      <c r="G1341">
        <v>60.631537000000002</v>
      </c>
    </row>
    <row r="1342" spans="1:7">
      <c r="A1342" t="s">
        <v>1297</v>
      </c>
      <c r="B1342" t="s">
        <v>1298</v>
      </c>
      <c r="C1342" t="s">
        <v>665</v>
      </c>
      <c r="D1342" t="s">
        <v>1335</v>
      </c>
      <c r="E1342" t="s">
        <v>187</v>
      </c>
      <c r="F1342">
        <v>2012</v>
      </c>
      <c r="G1342">
        <v>58.893714000000003</v>
      </c>
    </row>
    <row r="1343" spans="1:7">
      <c r="A1343" t="s">
        <v>1297</v>
      </c>
      <c r="B1343" t="s">
        <v>1298</v>
      </c>
      <c r="C1343" t="s">
        <v>665</v>
      </c>
      <c r="D1343" t="s">
        <v>1335</v>
      </c>
      <c r="E1343" t="s">
        <v>187</v>
      </c>
      <c r="F1343">
        <v>2016</v>
      </c>
      <c r="G1343">
        <v>46.292741999999997</v>
      </c>
    </row>
    <row r="1344" spans="1:7">
      <c r="A1344" t="s">
        <v>1297</v>
      </c>
      <c r="B1344" t="s">
        <v>1298</v>
      </c>
      <c r="C1344" t="s">
        <v>665</v>
      </c>
      <c r="D1344" t="s">
        <v>1335</v>
      </c>
      <c r="E1344" t="s">
        <v>187</v>
      </c>
      <c r="F1344">
        <v>2020</v>
      </c>
      <c r="G1344">
        <v>56.24644</v>
      </c>
    </row>
    <row r="1345" spans="1:7">
      <c r="A1345" t="s">
        <v>1297</v>
      </c>
      <c r="B1345" t="s">
        <v>1298</v>
      </c>
      <c r="C1345" t="s">
        <v>662</v>
      </c>
      <c r="D1345" t="s">
        <v>1335</v>
      </c>
      <c r="E1345" t="s">
        <v>187</v>
      </c>
      <c r="F1345">
        <v>2005</v>
      </c>
      <c r="G1345">
        <v>1.4499999999999999E-3</v>
      </c>
    </row>
    <row r="1346" spans="1:7">
      <c r="A1346" t="s">
        <v>1297</v>
      </c>
      <c r="B1346" t="s">
        <v>1298</v>
      </c>
      <c r="C1346" t="s">
        <v>662</v>
      </c>
      <c r="D1346" t="s">
        <v>1335</v>
      </c>
      <c r="E1346" t="s">
        <v>187</v>
      </c>
      <c r="F1346">
        <v>2010</v>
      </c>
      <c r="G1346">
        <v>5.2191809999999998</v>
      </c>
    </row>
    <row r="1347" spans="1:7">
      <c r="A1347" t="s">
        <v>1297</v>
      </c>
      <c r="B1347" t="s">
        <v>1298</v>
      </c>
      <c r="C1347" t="s">
        <v>662</v>
      </c>
      <c r="D1347" t="s">
        <v>1335</v>
      </c>
      <c r="E1347" t="s">
        <v>187</v>
      </c>
      <c r="F1347">
        <v>2012</v>
      </c>
      <c r="G1347">
        <v>4.3312799999999996</v>
      </c>
    </row>
    <row r="1348" spans="1:7">
      <c r="A1348" t="s">
        <v>1297</v>
      </c>
      <c r="B1348" t="s">
        <v>1298</v>
      </c>
      <c r="C1348" t="s">
        <v>662</v>
      </c>
      <c r="D1348" t="s">
        <v>1335</v>
      </c>
      <c r="E1348" t="s">
        <v>187</v>
      </c>
      <c r="F1348">
        <v>2016</v>
      </c>
      <c r="G1348">
        <v>6.2593730000000001</v>
      </c>
    </row>
    <row r="1349" spans="1:7">
      <c r="A1349" t="s">
        <v>1297</v>
      </c>
      <c r="B1349" t="s">
        <v>1298</v>
      </c>
      <c r="C1349" t="s">
        <v>662</v>
      </c>
      <c r="D1349" t="s">
        <v>1335</v>
      </c>
      <c r="E1349" t="s">
        <v>187</v>
      </c>
      <c r="F1349">
        <v>2020</v>
      </c>
      <c r="G1349">
        <v>7.7393130000000001</v>
      </c>
    </row>
    <row r="1350" spans="1:7">
      <c r="A1350" t="s">
        <v>1297</v>
      </c>
      <c r="B1350" t="s">
        <v>1298</v>
      </c>
      <c r="C1350" t="s">
        <v>655</v>
      </c>
      <c r="D1350" t="s">
        <v>1335</v>
      </c>
      <c r="E1350" t="s">
        <v>187</v>
      </c>
      <c r="F1350">
        <v>2005</v>
      </c>
      <c r="G1350">
        <v>0.16841900000000001</v>
      </c>
    </row>
    <row r="1351" spans="1:7">
      <c r="A1351" t="s">
        <v>1297</v>
      </c>
      <c r="B1351" t="s">
        <v>1298</v>
      </c>
      <c r="C1351" t="s">
        <v>655</v>
      </c>
      <c r="D1351" t="s">
        <v>1335</v>
      </c>
      <c r="E1351" t="s">
        <v>187</v>
      </c>
      <c r="F1351">
        <v>2010</v>
      </c>
      <c r="G1351">
        <v>9.8297720000000002</v>
      </c>
    </row>
    <row r="1352" spans="1:7">
      <c r="A1352" t="s">
        <v>1297</v>
      </c>
      <c r="B1352" t="s">
        <v>1298</v>
      </c>
      <c r="C1352" t="s">
        <v>655</v>
      </c>
      <c r="D1352" t="s">
        <v>1335</v>
      </c>
      <c r="E1352" t="s">
        <v>187</v>
      </c>
      <c r="F1352">
        <v>2012</v>
      </c>
      <c r="G1352">
        <v>11.749295999999999</v>
      </c>
    </row>
    <row r="1353" spans="1:7">
      <c r="A1353" t="s">
        <v>1297</v>
      </c>
      <c r="B1353" t="s">
        <v>1298</v>
      </c>
      <c r="C1353" t="s">
        <v>655</v>
      </c>
      <c r="D1353" t="s">
        <v>1335</v>
      </c>
      <c r="E1353" t="s">
        <v>187</v>
      </c>
      <c r="F1353">
        <v>2016</v>
      </c>
      <c r="G1353">
        <v>12.943566000000001</v>
      </c>
    </row>
    <row r="1354" spans="1:7">
      <c r="A1354" t="s">
        <v>1297</v>
      </c>
      <c r="B1354" t="s">
        <v>1298</v>
      </c>
      <c r="C1354" t="s">
        <v>655</v>
      </c>
      <c r="D1354" t="s">
        <v>1335</v>
      </c>
      <c r="E1354" t="s">
        <v>187</v>
      </c>
      <c r="F1354">
        <v>2020</v>
      </c>
      <c r="G1354">
        <v>14.617618999999999</v>
      </c>
    </row>
    <row r="1355" spans="1:7">
      <c r="A1355" t="s">
        <v>1297</v>
      </c>
      <c r="B1355" t="s">
        <v>1298</v>
      </c>
      <c r="C1355" t="s">
        <v>660</v>
      </c>
      <c r="D1355" t="s">
        <v>1335</v>
      </c>
      <c r="E1355" t="s">
        <v>187</v>
      </c>
      <c r="F1355">
        <v>2005</v>
      </c>
      <c r="G1355">
        <v>0.31548900000000002</v>
      </c>
    </row>
    <row r="1356" spans="1:7">
      <c r="A1356" t="s">
        <v>1297</v>
      </c>
      <c r="B1356" t="s">
        <v>1298</v>
      </c>
      <c r="C1356" t="s">
        <v>660</v>
      </c>
      <c r="D1356" t="s">
        <v>1335</v>
      </c>
      <c r="E1356" t="s">
        <v>187</v>
      </c>
      <c r="F1356">
        <v>2010</v>
      </c>
      <c r="G1356">
        <v>6.2360309999999997</v>
      </c>
    </row>
    <row r="1357" spans="1:7">
      <c r="A1357" t="s">
        <v>1297</v>
      </c>
      <c r="B1357" t="s">
        <v>1298</v>
      </c>
      <c r="C1357" t="s">
        <v>660</v>
      </c>
      <c r="D1357" t="s">
        <v>1335</v>
      </c>
      <c r="E1357" t="s">
        <v>187</v>
      </c>
      <c r="F1357">
        <v>2012</v>
      </c>
      <c r="G1357">
        <v>8.5608799999999992</v>
      </c>
    </row>
    <row r="1358" spans="1:7">
      <c r="A1358" t="s">
        <v>1297</v>
      </c>
      <c r="B1358" t="s">
        <v>1298</v>
      </c>
      <c r="C1358" t="s">
        <v>660</v>
      </c>
      <c r="D1358" t="s">
        <v>1335</v>
      </c>
      <c r="E1358" t="s">
        <v>187</v>
      </c>
      <c r="F1358">
        <v>2016</v>
      </c>
      <c r="G1358">
        <v>7.8276000000000003</v>
      </c>
    </row>
    <row r="1359" spans="1:7">
      <c r="A1359" t="s">
        <v>1297</v>
      </c>
      <c r="B1359" t="s">
        <v>1298</v>
      </c>
      <c r="C1359" t="s">
        <v>660</v>
      </c>
      <c r="D1359" t="s">
        <v>1335</v>
      </c>
      <c r="E1359" t="s">
        <v>187</v>
      </c>
      <c r="F1359">
        <v>2020</v>
      </c>
      <c r="G1359">
        <v>18.563098</v>
      </c>
    </row>
    <row r="1360" spans="1:7">
      <c r="A1360" t="s">
        <v>1297</v>
      </c>
      <c r="B1360" t="s">
        <v>1298</v>
      </c>
      <c r="C1360" t="s">
        <v>657</v>
      </c>
      <c r="D1360" t="s">
        <v>1335</v>
      </c>
      <c r="E1360" t="s">
        <v>187</v>
      </c>
      <c r="F1360">
        <v>2005</v>
      </c>
      <c r="G1360">
        <v>0.11817999999999999</v>
      </c>
    </row>
    <row r="1361" spans="1:7">
      <c r="A1361" t="s">
        <v>1297</v>
      </c>
      <c r="B1361" t="s">
        <v>1298</v>
      </c>
      <c r="C1361" t="s">
        <v>657</v>
      </c>
      <c r="D1361" t="s">
        <v>1335</v>
      </c>
      <c r="E1361" t="s">
        <v>187</v>
      </c>
      <c r="F1361">
        <v>2010</v>
      </c>
      <c r="G1361">
        <v>1.2932950000000001</v>
      </c>
    </row>
    <row r="1362" spans="1:7">
      <c r="A1362" t="s">
        <v>1297</v>
      </c>
      <c r="B1362" t="s">
        <v>1298</v>
      </c>
      <c r="C1362" t="s">
        <v>657</v>
      </c>
      <c r="D1362" t="s">
        <v>1335</v>
      </c>
      <c r="E1362" t="s">
        <v>187</v>
      </c>
      <c r="F1362">
        <v>2012</v>
      </c>
      <c r="G1362">
        <v>8.8350120000000008</v>
      </c>
    </row>
    <row r="1363" spans="1:7">
      <c r="A1363" t="s">
        <v>1297</v>
      </c>
      <c r="B1363" t="s">
        <v>1298</v>
      </c>
      <c r="C1363" t="s">
        <v>657</v>
      </c>
      <c r="D1363" t="s">
        <v>1335</v>
      </c>
      <c r="E1363" t="s">
        <v>187</v>
      </c>
      <c r="F1363">
        <v>2016</v>
      </c>
      <c r="G1363">
        <v>9.3997949999999992</v>
      </c>
    </row>
    <row r="1364" spans="1:7">
      <c r="A1364" t="s">
        <v>1297</v>
      </c>
      <c r="B1364" t="s">
        <v>1298</v>
      </c>
      <c r="C1364" t="s">
        <v>657</v>
      </c>
      <c r="D1364" t="s">
        <v>1335</v>
      </c>
      <c r="E1364" t="s">
        <v>187</v>
      </c>
      <c r="F1364">
        <v>2020</v>
      </c>
      <c r="G1364">
        <v>9.97879</v>
      </c>
    </row>
    <row r="1365" spans="1:7">
      <c r="A1365" t="s">
        <v>1297</v>
      </c>
      <c r="B1365" t="s">
        <v>1298</v>
      </c>
      <c r="C1365" t="s">
        <v>666</v>
      </c>
      <c r="D1365" t="s">
        <v>1335</v>
      </c>
      <c r="E1365" t="s">
        <v>187</v>
      </c>
      <c r="F1365">
        <v>2005</v>
      </c>
      <c r="G1365">
        <v>0.138178</v>
      </c>
    </row>
    <row r="1366" spans="1:7">
      <c r="A1366" t="s">
        <v>1297</v>
      </c>
      <c r="B1366" t="s">
        <v>1298</v>
      </c>
      <c r="C1366" t="s">
        <v>666</v>
      </c>
      <c r="D1366" t="s">
        <v>1335</v>
      </c>
      <c r="E1366" t="s">
        <v>187</v>
      </c>
      <c r="F1366">
        <v>2010</v>
      </c>
      <c r="G1366">
        <v>1.882314</v>
      </c>
    </row>
    <row r="1367" spans="1:7">
      <c r="A1367" t="s">
        <v>1297</v>
      </c>
      <c r="B1367" t="s">
        <v>1298</v>
      </c>
      <c r="C1367" t="s">
        <v>666</v>
      </c>
      <c r="D1367" t="s">
        <v>1335</v>
      </c>
      <c r="E1367" t="s">
        <v>187</v>
      </c>
      <c r="F1367">
        <v>2012</v>
      </c>
      <c r="G1367">
        <v>2.5462220000000002</v>
      </c>
    </row>
    <row r="1368" spans="1:7">
      <c r="A1368" t="s">
        <v>1297</v>
      </c>
      <c r="B1368" t="s">
        <v>1298</v>
      </c>
      <c r="C1368" t="s">
        <v>666</v>
      </c>
      <c r="D1368" t="s">
        <v>1335</v>
      </c>
      <c r="E1368" t="s">
        <v>187</v>
      </c>
      <c r="F1368">
        <v>2016</v>
      </c>
      <c r="G1368">
        <v>2.4074759999999999</v>
      </c>
    </row>
    <row r="1369" spans="1:7">
      <c r="A1369" t="s">
        <v>1297</v>
      </c>
      <c r="B1369" t="s">
        <v>1298</v>
      </c>
      <c r="C1369" t="s">
        <v>666</v>
      </c>
      <c r="D1369" t="s">
        <v>1335</v>
      </c>
      <c r="E1369" t="s">
        <v>187</v>
      </c>
      <c r="F1369">
        <v>2020</v>
      </c>
      <c r="G1369">
        <v>3.1853850000000001</v>
      </c>
    </row>
    <row r="1370" spans="1:7">
      <c r="A1370" t="s">
        <v>1297</v>
      </c>
      <c r="B1370" t="s">
        <v>1298</v>
      </c>
      <c r="C1370" t="s">
        <v>663</v>
      </c>
      <c r="D1370" t="s">
        <v>1335</v>
      </c>
      <c r="E1370" t="s">
        <v>187</v>
      </c>
      <c r="F1370">
        <v>2005</v>
      </c>
      <c r="G1370">
        <v>0.29009000000000001</v>
      </c>
    </row>
    <row r="1371" spans="1:7">
      <c r="A1371" t="s">
        <v>1297</v>
      </c>
      <c r="B1371" t="s">
        <v>1298</v>
      </c>
      <c r="C1371" t="s">
        <v>663</v>
      </c>
      <c r="D1371" t="s">
        <v>1335</v>
      </c>
      <c r="E1371" t="s">
        <v>187</v>
      </c>
      <c r="F1371">
        <v>2010</v>
      </c>
      <c r="G1371">
        <v>7.5620760000000002</v>
      </c>
    </row>
    <row r="1372" spans="1:7">
      <c r="A1372" t="s">
        <v>1297</v>
      </c>
      <c r="B1372" t="s">
        <v>1298</v>
      </c>
      <c r="C1372" t="s">
        <v>663</v>
      </c>
      <c r="D1372" t="s">
        <v>1335</v>
      </c>
      <c r="E1372" t="s">
        <v>187</v>
      </c>
      <c r="F1372">
        <v>2012</v>
      </c>
      <c r="G1372">
        <v>6.609585</v>
      </c>
    </row>
    <row r="1373" spans="1:7">
      <c r="A1373" t="s">
        <v>1297</v>
      </c>
      <c r="B1373" t="s">
        <v>1298</v>
      </c>
      <c r="C1373" t="s">
        <v>663</v>
      </c>
      <c r="D1373" t="s">
        <v>1335</v>
      </c>
      <c r="E1373" t="s">
        <v>187</v>
      </c>
      <c r="F1373">
        <v>2016</v>
      </c>
      <c r="G1373">
        <v>8.1111640000000005</v>
      </c>
    </row>
    <row r="1374" spans="1:7">
      <c r="A1374" t="s">
        <v>1297</v>
      </c>
      <c r="B1374" t="s">
        <v>1298</v>
      </c>
      <c r="C1374" t="s">
        <v>663</v>
      </c>
      <c r="D1374" t="s">
        <v>1335</v>
      </c>
      <c r="E1374" t="s">
        <v>187</v>
      </c>
      <c r="F1374">
        <v>2020</v>
      </c>
      <c r="G1374">
        <v>8.7599210000000003</v>
      </c>
    </row>
    <row r="1375" spans="1:7">
      <c r="A1375" t="s">
        <v>1297</v>
      </c>
      <c r="B1375" t="s">
        <v>1298</v>
      </c>
      <c r="C1375" t="s">
        <v>679</v>
      </c>
      <c r="D1375" t="s">
        <v>1335</v>
      </c>
      <c r="E1375" t="s">
        <v>187</v>
      </c>
      <c r="F1375">
        <v>2005</v>
      </c>
      <c r="G1375">
        <v>5.2259999999999997E-3</v>
      </c>
    </row>
    <row r="1376" spans="1:7">
      <c r="A1376" t="s">
        <v>1297</v>
      </c>
      <c r="B1376" t="s">
        <v>1298</v>
      </c>
      <c r="C1376" t="s">
        <v>679</v>
      </c>
      <c r="D1376" t="s">
        <v>1335</v>
      </c>
      <c r="E1376" t="s">
        <v>187</v>
      </c>
      <c r="F1376">
        <v>2010</v>
      </c>
      <c r="G1376">
        <v>4.8670809999999998</v>
      </c>
    </row>
    <row r="1377" spans="1:7">
      <c r="A1377" t="s">
        <v>1297</v>
      </c>
      <c r="B1377" t="s">
        <v>1298</v>
      </c>
      <c r="C1377" t="s">
        <v>679</v>
      </c>
      <c r="D1377" t="s">
        <v>1335</v>
      </c>
      <c r="E1377" t="s">
        <v>187</v>
      </c>
      <c r="F1377">
        <v>2012</v>
      </c>
      <c r="G1377">
        <v>5.5321449999999999</v>
      </c>
    </row>
    <row r="1378" spans="1:7">
      <c r="A1378" t="s">
        <v>1297</v>
      </c>
      <c r="B1378" t="s">
        <v>1298</v>
      </c>
      <c r="C1378" t="s">
        <v>679</v>
      </c>
      <c r="D1378" t="s">
        <v>1335</v>
      </c>
      <c r="E1378" t="s">
        <v>187</v>
      </c>
      <c r="F1378">
        <v>2016</v>
      </c>
      <c r="G1378">
        <v>14.698681000000001</v>
      </c>
    </row>
    <row r="1379" spans="1:7">
      <c r="A1379" t="s">
        <v>1297</v>
      </c>
      <c r="B1379" t="s">
        <v>1298</v>
      </c>
      <c r="C1379" t="s">
        <v>679</v>
      </c>
      <c r="D1379" t="s">
        <v>1335</v>
      </c>
      <c r="E1379" t="s">
        <v>187</v>
      </c>
      <c r="F1379">
        <v>2020</v>
      </c>
      <c r="G1379">
        <v>20.406403000000001</v>
      </c>
    </row>
    <row r="1380" spans="1:7">
      <c r="A1380" t="s">
        <v>1297</v>
      </c>
      <c r="B1380" t="s">
        <v>1298</v>
      </c>
      <c r="C1380" t="s">
        <v>686</v>
      </c>
      <c r="D1380" t="s">
        <v>1335</v>
      </c>
      <c r="E1380" t="s">
        <v>187</v>
      </c>
      <c r="F1380">
        <v>2012</v>
      </c>
      <c r="G1380">
        <v>2.8899999999999998E-4</v>
      </c>
    </row>
    <row r="1381" spans="1:7">
      <c r="A1381" t="s">
        <v>1297</v>
      </c>
      <c r="B1381" t="s">
        <v>1298</v>
      </c>
      <c r="C1381" t="s">
        <v>686</v>
      </c>
      <c r="D1381" t="s">
        <v>1335</v>
      </c>
      <c r="E1381" t="s">
        <v>187</v>
      </c>
      <c r="F1381">
        <v>2016</v>
      </c>
      <c r="G1381">
        <v>1.0950000000000001E-3</v>
      </c>
    </row>
    <row r="1382" spans="1:7">
      <c r="A1382" t="s">
        <v>1297</v>
      </c>
      <c r="B1382" t="s">
        <v>1298</v>
      </c>
      <c r="C1382" t="s">
        <v>686</v>
      </c>
      <c r="D1382" t="s">
        <v>1335</v>
      </c>
      <c r="E1382" t="s">
        <v>187</v>
      </c>
      <c r="F1382">
        <v>2020</v>
      </c>
      <c r="G1382">
        <v>4.9560000000000003E-3</v>
      </c>
    </row>
    <row r="1383" spans="1:7">
      <c r="A1383" t="s">
        <v>1297</v>
      </c>
      <c r="B1383" t="s">
        <v>1298</v>
      </c>
      <c r="C1383" t="s">
        <v>673</v>
      </c>
      <c r="D1383" t="s">
        <v>1335</v>
      </c>
      <c r="E1383" t="s">
        <v>187</v>
      </c>
      <c r="F1383">
        <v>2005</v>
      </c>
      <c r="G1383">
        <v>2.8584999999999999E-2</v>
      </c>
    </row>
    <row r="1384" spans="1:7">
      <c r="A1384" t="s">
        <v>1297</v>
      </c>
      <c r="B1384" t="s">
        <v>1298</v>
      </c>
      <c r="C1384" t="s">
        <v>673</v>
      </c>
      <c r="D1384" t="s">
        <v>1335</v>
      </c>
      <c r="E1384" t="s">
        <v>187</v>
      </c>
      <c r="F1384">
        <v>2010</v>
      </c>
      <c r="G1384">
        <v>4.8690670000000003</v>
      </c>
    </row>
    <row r="1385" spans="1:7">
      <c r="A1385" t="s">
        <v>1297</v>
      </c>
      <c r="B1385" t="s">
        <v>1298</v>
      </c>
      <c r="C1385" t="s">
        <v>673</v>
      </c>
      <c r="D1385" t="s">
        <v>1335</v>
      </c>
      <c r="E1385" t="s">
        <v>187</v>
      </c>
      <c r="F1385">
        <v>2012</v>
      </c>
      <c r="G1385">
        <v>7.8707719999999997</v>
      </c>
    </row>
    <row r="1386" spans="1:7">
      <c r="A1386" t="s">
        <v>1297</v>
      </c>
      <c r="B1386" t="s">
        <v>1298</v>
      </c>
      <c r="C1386" t="s">
        <v>673</v>
      </c>
      <c r="D1386" t="s">
        <v>1335</v>
      </c>
      <c r="E1386" t="s">
        <v>187</v>
      </c>
      <c r="F1386">
        <v>2016</v>
      </c>
      <c r="G1386">
        <v>10.803482000000001</v>
      </c>
    </row>
    <row r="1387" spans="1:7">
      <c r="A1387" t="s">
        <v>1297</v>
      </c>
      <c r="B1387" t="s">
        <v>1298</v>
      </c>
      <c r="C1387" t="s">
        <v>673</v>
      </c>
      <c r="D1387" t="s">
        <v>1335</v>
      </c>
      <c r="E1387" t="s">
        <v>187</v>
      </c>
      <c r="F1387">
        <v>2020</v>
      </c>
      <c r="G1387">
        <v>17.297803999999999</v>
      </c>
    </row>
    <row r="1388" spans="1:7">
      <c r="A1388" t="s">
        <v>1297</v>
      </c>
      <c r="B1388" t="s">
        <v>1298</v>
      </c>
      <c r="C1388" t="s">
        <v>676</v>
      </c>
      <c r="D1388" t="s">
        <v>1335</v>
      </c>
      <c r="E1388" t="s">
        <v>187</v>
      </c>
      <c r="F1388">
        <v>2005</v>
      </c>
      <c r="G1388">
        <v>0.46959600000000001</v>
      </c>
    </row>
    <row r="1389" spans="1:7">
      <c r="A1389" t="s">
        <v>1297</v>
      </c>
      <c r="B1389" t="s">
        <v>1298</v>
      </c>
      <c r="C1389" t="s">
        <v>676</v>
      </c>
      <c r="D1389" t="s">
        <v>1335</v>
      </c>
      <c r="E1389" t="s">
        <v>187</v>
      </c>
      <c r="F1389">
        <v>2010</v>
      </c>
      <c r="G1389">
        <v>4.1360950000000001</v>
      </c>
    </row>
    <row r="1390" spans="1:7">
      <c r="A1390" t="s">
        <v>1297</v>
      </c>
      <c r="B1390" t="s">
        <v>1298</v>
      </c>
      <c r="C1390" t="s">
        <v>676</v>
      </c>
      <c r="D1390" t="s">
        <v>1335</v>
      </c>
      <c r="E1390" t="s">
        <v>187</v>
      </c>
      <c r="F1390">
        <v>2012</v>
      </c>
      <c r="G1390">
        <v>3.8736419999999998</v>
      </c>
    </row>
    <row r="1391" spans="1:7">
      <c r="A1391" t="s">
        <v>1297</v>
      </c>
      <c r="B1391" t="s">
        <v>1298</v>
      </c>
      <c r="C1391" t="s">
        <v>676</v>
      </c>
      <c r="D1391" t="s">
        <v>1335</v>
      </c>
      <c r="E1391" t="s">
        <v>187</v>
      </c>
      <c r="F1391">
        <v>2016</v>
      </c>
      <c r="G1391">
        <v>6.2010209999999999</v>
      </c>
    </row>
    <row r="1392" spans="1:7">
      <c r="A1392" t="s">
        <v>1297</v>
      </c>
      <c r="B1392" t="s">
        <v>1298</v>
      </c>
      <c r="C1392" t="s">
        <v>676</v>
      </c>
      <c r="D1392" t="s">
        <v>1335</v>
      </c>
      <c r="E1392" t="s">
        <v>187</v>
      </c>
      <c r="F1392">
        <v>2020</v>
      </c>
      <c r="G1392">
        <v>6.6852850000000004</v>
      </c>
    </row>
    <row r="1393" spans="1:7">
      <c r="A1393" t="s">
        <v>1297</v>
      </c>
      <c r="B1393" t="s">
        <v>1298</v>
      </c>
      <c r="C1393" t="s">
        <v>651</v>
      </c>
      <c r="D1393" t="s">
        <v>1335</v>
      </c>
      <c r="E1393" t="s">
        <v>187</v>
      </c>
      <c r="F1393">
        <v>2005</v>
      </c>
      <c r="G1393">
        <v>3.537731</v>
      </c>
    </row>
    <row r="1394" spans="1:7">
      <c r="A1394" t="s">
        <v>1297</v>
      </c>
      <c r="B1394" t="s">
        <v>1298</v>
      </c>
      <c r="C1394" t="s">
        <v>651</v>
      </c>
      <c r="D1394" t="s">
        <v>1335</v>
      </c>
      <c r="E1394" t="s">
        <v>187</v>
      </c>
      <c r="F1394">
        <v>2010</v>
      </c>
      <c r="G1394">
        <v>21.471433000000001</v>
      </c>
    </row>
    <row r="1395" spans="1:7">
      <c r="A1395" t="s">
        <v>1297</v>
      </c>
      <c r="B1395" t="s">
        <v>1298</v>
      </c>
      <c r="C1395" t="s">
        <v>651</v>
      </c>
      <c r="D1395" t="s">
        <v>1335</v>
      </c>
      <c r="E1395" t="s">
        <v>187</v>
      </c>
      <c r="F1395">
        <v>2012</v>
      </c>
      <c r="G1395">
        <v>21.267004</v>
      </c>
    </row>
    <row r="1396" spans="1:7">
      <c r="A1396" t="s">
        <v>1297</v>
      </c>
      <c r="B1396" t="s">
        <v>1298</v>
      </c>
      <c r="C1396" t="s">
        <v>651</v>
      </c>
      <c r="D1396" t="s">
        <v>1335</v>
      </c>
      <c r="E1396" t="s">
        <v>187</v>
      </c>
      <c r="F1396">
        <v>2016</v>
      </c>
      <c r="G1396">
        <v>23.563918999999999</v>
      </c>
    </row>
    <row r="1397" spans="1:7">
      <c r="A1397" t="s">
        <v>1297</v>
      </c>
      <c r="B1397" t="s">
        <v>1298</v>
      </c>
      <c r="C1397" t="s">
        <v>651</v>
      </c>
      <c r="D1397" t="s">
        <v>1335</v>
      </c>
      <c r="E1397" t="s">
        <v>187</v>
      </c>
      <c r="F1397">
        <v>2020</v>
      </c>
      <c r="G1397">
        <v>20.839445999999999</v>
      </c>
    </row>
    <row r="1398" spans="1:7">
      <c r="A1398" t="s">
        <v>1297</v>
      </c>
      <c r="B1398" t="s">
        <v>1298</v>
      </c>
      <c r="C1398" t="s">
        <v>670</v>
      </c>
      <c r="D1398" t="s">
        <v>1335</v>
      </c>
      <c r="E1398" t="s">
        <v>187</v>
      </c>
      <c r="F1398">
        <v>2005</v>
      </c>
      <c r="G1398">
        <v>0.30826900000000002</v>
      </c>
    </row>
    <row r="1399" spans="1:7">
      <c r="A1399" t="s">
        <v>1297</v>
      </c>
      <c r="B1399" t="s">
        <v>1298</v>
      </c>
      <c r="C1399" t="s">
        <v>670</v>
      </c>
      <c r="D1399" t="s">
        <v>1335</v>
      </c>
      <c r="E1399" t="s">
        <v>187</v>
      </c>
      <c r="F1399">
        <v>2010</v>
      </c>
      <c r="G1399">
        <v>9.9521560000000004</v>
      </c>
    </row>
    <row r="1400" spans="1:7">
      <c r="A1400" t="s">
        <v>1297</v>
      </c>
      <c r="B1400" t="s">
        <v>1298</v>
      </c>
      <c r="C1400" t="s">
        <v>670</v>
      </c>
      <c r="D1400" t="s">
        <v>1335</v>
      </c>
      <c r="E1400" t="s">
        <v>187</v>
      </c>
      <c r="F1400">
        <v>2012</v>
      </c>
      <c r="G1400">
        <v>13.544532</v>
      </c>
    </row>
    <row r="1401" spans="1:7">
      <c r="A1401" t="s">
        <v>1297</v>
      </c>
      <c r="B1401" t="s">
        <v>1298</v>
      </c>
      <c r="C1401" t="s">
        <v>670</v>
      </c>
      <c r="D1401" t="s">
        <v>1335</v>
      </c>
      <c r="E1401" t="s">
        <v>187</v>
      </c>
      <c r="F1401">
        <v>2016</v>
      </c>
      <c r="G1401">
        <v>10.366008000000001</v>
      </c>
    </row>
    <row r="1402" spans="1:7">
      <c r="A1402" t="s">
        <v>1297</v>
      </c>
      <c r="B1402" t="s">
        <v>1298</v>
      </c>
      <c r="C1402" t="s">
        <v>670</v>
      </c>
      <c r="D1402" t="s">
        <v>1335</v>
      </c>
      <c r="E1402" t="s">
        <v>187</v>
      </c>
      <c r="F1402">
        <v>2020</v>
      </c>
      <c r="G1402">
        <v>26.2425</v>
      </c>
    </row>
    <row r="1403" spans="1:7">
      <c r="A1403" t="s">
        <v>1297</v>
      </c>
      <c r="B1403" t="s">
        <v>1298</v>
      </c>
      <c r="C1403" t="s">
        <v>677</v>
      </c>
      <c r="D1403" t="s">
        <v>1335</v>
      </c>
      <c r="E1403" t="s">
        <v>187</v>
      </c>
      <c r="F1403">
        <v>2005</v>
      </c>
      <c r="G1403">
        <v>3.2043080000000002</v>
      </c>
    </row>
    <row r="1404" spans="1:7">
      <c r="A1404" t="s">
        <v>1297</v>
      </c>
      <c r="B1404" t="s">
        <v>1298</v>
      </c>
      <c r="C1404" t="s">
        <v>677</v>
      </c>
      <c r="D1404" t="s">
        <v>1335</v>
      </c>
      <c r="E1404" t="s">
        <v>187</v>
      </c>
      <c r="F1404">
        <v>2010</v>
      </c>
      <c r="G1404">
        <v>48.646118999999999</v>
      </c>
    </row>
    <row r="1405" spans="1:7">
      <c r="A1405" t="s">
        <v>1297</v>
      </c>
      <c r="B1405" t="s">
        <v>1298</v>
      </c>
      <c r="C1405" t="s">
        <v>677</v>
      </c>
      <c r="D1405" t="s">
        <v>1335</v>
      </c>
      <c r="E1405" t="s">
        <v>187</v>
      </c>
      <c r="F1405">
        <v>2012</v>
      </c>
      <c r="G1405">
        <v>38.126798000000001</v>
      </c>
    </row>
    <row r="1406" spans="1:7">
      <c r="A1406" t="s">
        <v>1297</v>
      </c>
      <c r="B1406" t="s">
        <v>1298</v>
      </c>
      <c r="C1406" t="s">
        <v>677</v>
      </c>
      <c r="D1406" t="s">
        <v>1335</v>
      </c>
      <c r="E1406" t="s">
        <v>187</v>
      </c>
      <c r="F1406">
        <v>2016</v>
      </c>
      <c r="G1406">
        <v>41.332439000000001</v>
      </c>
    </row>
    <row r="1407" spans="1:7">
      <c r="A1407" t="s">
        <v>1297</v>
      </c>
      <c r="B1407" t="s">
        <v>1298</v>
      </c>
      <c r="C1407" t="s">
        <v>677</v>
      </c>
      <c r="D1407" t="s">
        <v>1335</v>
      </c>
      <c r="E1407" t="s">
        <v>187</v>
      </c>
      <c r="F1407">
        <v>2020</v>
      </c>
      <c r="G1407">
        <v>71.519974000000005</v>
      </c>
    </row>
    <row r="1408" spans="1:7">
      <c r="A1408" t="s">
        <v>1297</v>
      </c>
      <c r="B1408" t="s">
        <v>1298</v>
      </c>
      <c r="C1408" t="s">
        <v>653</v>
      </c>
      <c r="D1408" t="s">
        <v>1335</v>
      </c>
      <c r="E1408" t="s">
        <v>187</v>
      </c>
      <c r="F1408">
        <v>2010</v>
      </c>
      <c r="G1408">
        <v>0.56248399999999998</v>
      </c>
    </row>
    <row r="1409" spans="1:7">
      <c r="A1409" t="s">
        <v>1297</v>
      </c>
      <c r="B1409" t="s">
        <v>1298</v>
      </c>
      <c r="C1409" t="s">
        <v>653</v>
      </c>
      <c r="D1409" t="s">
        <v>1335</v>
      </c>
      <c r="E1409" t="s">
        <v>187</v>
      </c>
      <c r="F1409">
        <v>2012</v>
      </c>
      <c r="G1409">
        <v>3.5991629999999999</v>
      </c>
    </row>
    <row r="1410" spans="1:7">
      <c r="A1410" t="s">
        <v>1297</v>
      </c>
      <c r="B1410" t="s">
        <v>1298</v>
      </c>
      <c r="C1410" t="s">
        <v>653</v>
      </c>
      <c r="D1410" t="s">
        <v>1335</v>
      </c>
      <c r="E1410" t="s">
        <v>187</v>
      </c>
      <c r="F1410">
        <v>2016</v>
      </c>
      <c r="G1410">
        <v>6.8402399999999997</v>
      </c>
    </row>
    <row r="1411" spans="1:7">
      <c r="A1411" t="s">
        <v>1297</v>
      </c>
      <c r="B1411" t="s">
        <v>1298</v>
      </c>
      <c r="C1411" t="s">
        <v>653</v>
      </c>
      <c r="D1411" t="s">
        <v>1335</v>
      </c>
      <c r="E1411" t="s">
        <v>187</v>
      </c>
      <c r="F1411">
        <v>2020</v>
      </c>
      <c r="G1411">
        <v>7.5657030000000001</v>
      </c>
    </row>
    <row r="1412" spans="1:7">
      <c r="A1412" t="s">
        <v>1297</v>
      </c>
      <c r="B1412" t="s">
        <v>1298</v>
      </c>
      <c r="C1412" t="s">
        <v>655</v>
      </c>
      <c r="D1412" t="s">
        <v>1336</v>
      </c>
      <c r="E1412" t="s">
        <v>187</v>
      </c>
      <c r="F1412">
        <v>2005</v>
      </c>
      <c r="G1412">
        <v>2.6341960000000002</v>
      </c>
    </row>
    <row r="1413" spans="1:7">
      <c r="A1413" t="s">
        <v>1297</v>
      </c>
      <c r="B1413" t="s">
        <v>1298</v>
      </c>
      <c r="C1413" t="s">
        <v>655</v>
      </c>
      <c r="D1413" t="s">
        <v>1336</v>
      </c>
      <c r="E1413" t="s">
        <v>187</v>
      </c>
      <c r="F1413">
        <v>2010</v>
      </c>
      <c r="G1413">
        <v>7.7849529999999998</v>
      </c>
    </row>
    <row r="1414" spans="1:7">
      <c r="A1414" t="s">
        <v>1297</v>
      </c>
      <c r="B1414" t="s">
        <v>1298</v>
      </c>
      <c r="C1414" t="s">
        <v>655</v>
      </c>
      <c r="D1414" t="s">
        <v>1336</v>
      </c>
      <c r="E1414" t="s">
        <v>187</v>
      </c>
      <c r="F1414">
        <v>2012</v>
      </c>
      <c r="G1414">
        <v>12.138142</v>
      </c>
    </row>
    <row r="1415" spans="1:7">
      <c r="A1415" t="s">
        <v>1297</v>
      </c>
      <c r="B1415" t="s">
        <v>1298</v>
      </c>
      <c r="C1415" t="s">
        <v>655</v>
      </c>
      <c r="D1415" t="s">
        <v>1336</v>
      </c>
      <c r="E1415" t="s">
        <v>187</v>
      </c>
      <c r="F1415">
        <v>2016</v>
      </c>
      <c r="G1415">
        <v>17.119188000000001</v>
      </c>
    </row>
    <row r="1416" spans="1:7">
      <c r="A1416" t="s">
        <v>1297</v>
      </c>
      <c r="B1416" t="s">
        <v>1298</v>
      </c>
      <c r="C1416" t="s">
        <v>655</v>
      </c>
      <c r="D1416" t="s">
        <v>1336</v>
      </c>
      <c r="E1416" t="s">
        <v>187</v>
      </c>
      <c r="F1416">
        <v>2020</v>
      </c>
      <c r="G1416">
        <v>18.113980000000002</v>
      </c>
    </row>
    <row r="1417" spans="1:7">
      <c r="A1417" t="s">
        <v>1297</v>
      </c>
      <c r="B1417" t="s">
        <v>1298</v>
      </c>
      <c r="C1417" t="s">
        <v>663</v>
      </c>
      <c r="D1417" t="s">
        <v>1336</v>
      </c>
      <c r="E1417" t="s">
        <v>187</v>
      </c>
      <c r="F1417">
        <v>2005</v>
      </c>
      <c r="G1417">
        <v>5.9664960000000002</v>
      </c>
    </row>
    <row r="1418" spans="1:7">
      <c r="A1418" t="s">
        <v>1297</v>
      </c>
      <c r="B1418" t="s">
        <v>1298</v>
      </c>
      <c r="C1418" t="s">
        <v>663</v>
      </c>
      <c r="D1418" t="s">
        <v>1336</v>
      </c>
      <c r="E1418" t="s">
        <v>187</v>
      </c>
      <c r="F1418">
        <v>2010</v>
      </c>
      <c r="G1418">
        <v>8.2672519999999992</v>
      </c>
    </row>
    <row r="1419" spans="1:7">
      <c r="A1419" t="s">
        <v>1297</v>
      </c>
      <c r="B1419" t="s">
        <v>1298</v>
      </c>
      <c r="C1419" t="s">
        <v>663</v>
      </c>
      <c r="D1419" t="s">
        <v>1336</v>
      </c>
      <c r="E1419" t="s">
        <v>187</v>
      </c>
      <c r="F1419">
        <v>2012</v>
      </c>
      <c r="G1419">
        <v>5.9573770000000001</v>
      </c>
    </row>
    <row r="1420" spans="1:7">
      <c r="A1420" t="s">
        <v>1297</v>
      </c>
      <c r="B1420" t="s">
        <v>1298</v>
      </c>
      <c r="C1420" t="s">
        <v>663</v>
      </c>
      <c r="D1420" t="s">
        <v>1336</v>
      </c>
      <c r="E1420" t="s">
        <v>187</v>
      </c>
      <c r="F1420">
        <v>2016</v>
      </c>
      <c r="G1420">
        <v>7.4560459999999997</v>
      </c>
    </row>
    <row r="1421" spans="1:7">
      <c r="A1421" t="s">
        <v>1297</v>
      </c>
      <c r="B1421" t="s">
        <v>1298</v>
      </c>
      <c r="C1421" t="s">
        <v>663</v>
      </c>
      <c r="D1421" t="s">
        <v>1336</v>
      </c>
      <c r="E1421" t="s">
        <v>187</v>
      </c>
      <c r="F1421">
        <v>2020</v>
      </c>
      <c r="G1421">
        <v>8.0239329999999995</v>
      </c>
    </row>
    <row r="1422" spans="1:7">
      <c r="A1422" t="s">
        <v>1297</v>
      </c>
      <c r="B1422" t="s">
        <v>1298</v>
      </c>
      <c r="C1422" t="s">
        <v>654</v>
      </c>
      <c r="D1422" t="s">
        <v>1336</v>
      </c>
      <c r="E1422" t="s">
        <v>187</v>
      </c>
      <c r="F1422">
        <v>2010</v>
      </c>
      <c r="G1422">
        <v>0.126446</v>
      </c>
    </row>
    <row r="1423" spans="1:7">
      <c r="A1423" t="s">
        <v>1297</v>
      </c>
      <c r="B1423" t="s">
        <v>1298</v>
      </c>
      <c r="C1423" t="s">
        <v>654</v>
      </c>
      <c r="D1423" t="s">
        <v>1336</v>
      </c>
      <c r="E1423" t="s">
        <v>187</v>
      </c>
      <c r="F1423">
        <v>2012</v>
      </c>
      <c r="G1423">
        <v>0.17934800000000001</v>
      </c>
    </row>
    <row r="1424" spans="1:7">
      <c r="A1424" t="s">
        <v>1297</v>
      </c>
      <c r="B1424" t="s">
        <v>1298</v>
      </c>
      <c r="C1424" t="s">
        <v>654</v>
      </c>
      <c r="D1424" t="s">
        <v>1336</v>
      </c>
      <c r="E1424" t="s">
        <v>187</v>
      </c>
      <c r="F1424">
        <v>2016</v>
      </c>
      <c r="G1424">
        <v>0.187276</v>
      </c>
    </row>
    <row r="1425" spans="1:7">
      <c r="A1425" t="s">
        <v>1297</v>
      </c>
      <c r="B1425" t="s">
        <v>1298</v>
      </c>
      <c r="C1425" t="s">
        <v>654</v>
      </c>
      <c r="D1425" t="s">
        <v>1336</v>
      </c>
      <c r="E1425" t="s">
        <v>187</v>
      </c>
      <c r="F1425">
        <v>2020</v>
      </c>
      <c r="G1425">
        <v>0.208512</v>
      </c>
    </row>
    <row r="1426" spans="1:7">
      <c r="A1426" t="s">
        <v>1297</v>
      </c>
      <c r="B1426" t="s">
        <v>1298</v>
      </c>
      <c r="C1426" t="s">
        <v>658</v>
      </c>
      <c r="D1426" t="s">
        <v>1336</v>
      </c>
      <c r="E1426" t="s">
        <v>187</v>
      </c>
      <c r="F1426">
        <v>2005</v>
      </c>
      <c r="G1426">
        <v>0.127192</v>
      </c>
    </row>
    <row r="1427" spans="1:7">
      <c r="A1427" t="s">
        <v>1297</v>
      </c>
      <c r="B1427" t="s">
        <v>1298</v>
      </c>
      <c r="C1427" t="s">
        <v>658</v>
      </c>
      <c r="D1427" t="s">
        <v>1336</v>
      </c>
      <c r="E1427" t="s">
        <v>187</v>
      </c>
      <c r="F1427">
        <v>2010</v>
      </c>
      <c r="G1427">
        <v>2.6640359999999998</v>
      </c>
    </row>
    <row r="1428" spans="1:7">
      <c r="A1428" t="s">
        <v>1297</v>
      </c>
      <c r="B1428" t="s">
        <v>1298</v>
      </c>
      <c r="C1428" t="s">
        <v>658</v>
      </c>
      <c r="D1428" t="s">
        <v>1336</v>
      </c>
      <c r="E1428" t="s">
        <v>187</v>
      </c>
      <c r="F1428">
        <v>2012</v>
      </c>
      <c r="G1428">
        <v>3.6032510000000002</v>
      </c>
    </row>
    <row r="1429" spans="1:7">
      <c r="A1429" t="s">
        <v>1297</v>
      </c>
      <c r="B1429" t="s">
        <v>1298</v>
      </c>
      <c r="C1429" t="s">
        <v>658</v>
      </c>
      <c r="D1429" t="s">
        <v>1336</v>
      </c>
      <c r="E1429" t="s">
        <v>187</v>
      </c>
      <c r="F1429">
        <v>2016</v>
      </c>
      <c r="G1429">
        <v>3.4164219999999998</v>
      </c>
    </row>
    <row r="1430" spans="1:7">
      <c r="A1430" t="s">
        <v>1297</v>
      </c>
      <c r="B1430" t="s">
        <v>1298</v>
      </c>
      <c r="C1430" t="s">
        <v>658</v>
      </c>
      <c r="D1430" t="s">
        <v>1336</v>
      </c>
      <c r="E1430" t="s">
        <v>187</v>
      </c>
      <c r="F1430">
        <v>2020</v>
      </c>
      <c r="G1430">
        <v>4.9057339999999998</v>
      </c>
    </row>
    <row r="1431" spans="1:7">
      <c r="A1431" t="s">
        <v>1297</v>
      </c>
      <c r="B1431" t="s">
        <v>1298</v>
      </c>
      <c r="C1431" t="s">
        <v>656</v>
      </c>
      <c r="D1431" t="s">
        <v>1336</v>
      </c>
      <c r="E1431" t="s">
        <v>187</v>
      </c>
      <c r="F1431">
        <v>2005</v>
      </c>
      <c r="G1431">
        <v>52.948799999999999</v>
      </c>
    </row>
    <row r="1432" spans="1:7">
      <c r="A1432" t="s">
        <v>1297</v>
      </c>
      <c r="B1432" t="s">
        <v>1298</v>
      </c>
      <c r="C1432" t="s">
        <v>656</v>
      </c>
      <c r="D1432" t="s">
        <v>1336</v>
      </c>
      <c r="E1432" t="s">
        <v>187</v>
      </c>
      <c r="F1432">
        <v>2010</v>
      </c>
      <c r="G1432">
        <v>122.1228</v>
      </c>
    </row>
    <row r="1433" spans="1:7">
      <c r="A1433" t="s">
        <v>1297</v>
      </c>
      <c r="B1433" t="s">
        <v>1298</v>
      </c>
      <c r="C1433" t="s">
        <v>656</v>
      </c>
      <c r="D1433" t="s">
        <v>1336</v>
      </c>
      <c r="E1433" t="s">
        <v>187</v>
      </c>
      <c r="F1433">
        <v>2012</v>
      </c>
      <c r="G1433">
        <v>155.5308</v>
      </c>
    </row>
    <row r="1434" spans="1:7">
      <c r="A1434" t="s">
        <v>1297</v>
      </c>
      <c r="B1434" t="s">
        <v>1298</v>
      </c>
      <c r="C1434" t="s">
        <v>656</v>
      </c>
      <c r="D1434" t="s">
        <v>1336</v>
      </c>
      <c r="E1434" t="s">
        <v>187</v>
      </c>
      <c r="F1434">
        <v>2016</v>
      </c>
      <c r="G1434">
        <v>183.34440000000001</v>
      </c>
    </row>
    <row r="1435" spans="1:7">
      <c r="A1435" t="s">
        <v>1297</v>
      </c>
      <c r="B1435" t="s">
        <v>1298</v>
      </c>
      <c r="C1435" t="s">
        <v>656</v>
      </c>
      <c r="D1435" t="s">
        <v>1336</v>
      </c>
      <c r="E1435" t="s">
        <v>187</v>
      </c>
      <c r="F1435">
        <v>2020</v>
      </c>
      <c r="G1435">
        <v>180.79560000000001</v>
      </c>
    </row>
    <row r="1436" spans="1:7">
      <c r="A1436" t="s">
        <v>1297</v>
      </c>
      <c r="B1436" t="s">
        <v>1298</v>
      </c>
      <c r="C1436" t="s">
        <v>682</v>
      </c>
      <c r="D1436" t="s">
        <v>1336</v>
      </c>
      <c r="E1436" t="s">
        <v>187</v>
      </c>
      <c r="F1436">
        <v>2020</v>
      </c>
      <c r="G1436">
        <v>2.8799999999999999E-2</v>
      </c>
    </row>
    <row r="1437" spans="1:7">
      <c r="A1437" t="s">
        <v>1297</v>
      </c>
      <c r="B1437" t="s">
        <v>1298</v>
      </c>
      <c r="C1437" t="s">
        <v>660</v>
      </c>
      <c r="D1437" t="s">
        <v>1336</v>
      </c>
      <c r="E1437" t="s">
        <v>187</v>
      </c>
      <c r="F1437">
        <v>2005</v>
      </c>
      <c r="G1437">
        <v>34.243977999999998</v>
      </c>
    </row>
    <row r="1438" spans="1:7">
      <c r="A1438" t="s">
        <v>1297</v>
      </c>
      <c r="B1438" t="s">
        <v>1298</v>
      </c>
      <c r="C1438" t="s">
        <v>660</v>
      </c>
      <c r="D1438" t="s">
        <v>1336</v>
      </c>
      <c r="E1438" t="s">
        <v>187</v>
      </c>
      <c r="F1438">
        <v>2010</v>
      </c>
      <c r="G1438">
        <v>39.507170000000002</v>
      </c>
    </row>
    <row r="1439" spans="1:7">
      <c r="A1439" t="s">
        <v>1297</v>
      </c>
      <c r="B1439" t="s">
        <v>1298</v>
      </c>
      <c r="C1439" t="s">
        <v>660</v>
      </c>
      <c r="D1439" t="s">
        <v>1336</v>
      </c>
      <c r="E1439" t="s">
        <v>187</v>
      </c>
      <c r="F1439">
        <v>2012</v>
      </c>
      <c r="G1439">
        <v>40.323239999999998</v>
      </c>
    </row>
    <row r="1440" spans="1:7">
      <c r="A1440" t="s">
        <v>1297</v>
      </c>
      <c r="B1440" t="s">
        <v>1298</v>
      </c>
      <c r="C1440" t="s">
        <v>660</v>
      </c>
      <c r="D1440" t="s">
        <v>1336</v>
      </c>
      <c r="E1440" t="s">
        <v>187</v>
      </c>
      <c r="F1440">
        <v>2016</v>
      </c>
      <c r="G1440">
        <v>41.527593000000003</v>
      </c>
    </row>
    <row r="1441" spans="1:7">
      <c r="A1441" t="s">
        <v>1297</v>
      </c>
      <c r="B1441" t="s">
        <v>1298</v>
      </c>
      <c r="C1441" t="s">
        <v>660</v>
      </c>
      <c r="D1441" t="s">
        <v>1336</v>
      </c>
      <c r="E1441" t="s">
        <v>187</v>
      </c>
      <c r="F1441">
        <v>2020</v>
      </c>
      <c r="G1441">
        <v>47.904699000000001</v>
      </c>
    </row>
    <row r="1442" spans="1:7">
      <c r="A1442" t="s">
        <v>1297</v>
      </c>
      <c r="B1442" t="s">
        <v>1298</v>
      </c>
      <c r="C1442" t="s">
        <v>668</v>
      </c>
      <c r="D1442" t="s">
        <v>1336</v>
      </c>
      <c r="E1442" t="s">
        <v>187</v>
      </c>
      <c r="F1442">
        <v>2005</v>
      </c>
      <c r="G1442">
        <v>0.15051999999999999</v>
      </c>
    </row>
    <row r="1443" spans="1:7">
      <c r="A1443" t="s">
        <v>1297</v>
      </c>
      <c r="B1443" t="s">
        <v>1298</v>
      </c>
      <c r="C1443" t="s">
        <v>668</v>
      </c>
      <c r="D1443" t="s">
        <v>1336</v>
      </c>
      <c r="E1443" t="s">
        <v>187</v>
      </c>
      <c r="F1443">
        <v>2010</v>
      </c>
      <c r="G1443">
        <v>0.23533200000000001</v>
      </c>
    </row>
    <row r="1444" spans="1:7">
      <c r="A1444" t="s">
        <v>1297</v>
      </c>
      <c r="B1444" t="s">
        <v>1298</v>
      </c>
      <c r="C1444" t="s">
        <v>668</v>
      </c>
      <c r="D1444" t="s">
        <v>1336</v>
      </c>
      <c r="E1444" t="s">
        <v>187</v>
      </c>
      <c r="F1444">
        <v>2012</v>
      </c>
      <c r="G1444">
        <v>1.0387299999999999</v>
      </c>
    </row>
    <row r="1445" spans="1:7">
      <c r="A1445" t="s">
        <v>1297</v>
      </c>
      <c r="B1445" t="s">
        <v>1298</v>
      </c>
      <c r="C1445" t="s">
        <v>668</v>
      </c>
      <c r="D1445" t="s">
        <v>1336</v>
      </c>
      <c r="E1445" t="s">
        <v>187</v>
      </c>
      <c r="F1445">
        <v>2016</v>
      </c>
      <c r="G1445">
        <v>2.9656579999999999</v>
      </c>
    </row>
    <row r="1446" spans="1:7">
      <c r="A1446" t="s">
        <v>1297</v>
      </c>
      <c r="B1446" t="s">
        <v>1298</v>
      </c>
      <c r="C1446" t="s">
        <v>668</v>
      </c>
      <c r="D1446" t="s">
        <v>1336</v>
      </c>
      <c r="E1446" t="s">
        <v>187</v>
      </c>
      <c r="F1446">
        <v>2020</v>
      </c>
      <c r="G1446">
        <v>3.3387120000000001</v>
      </c>
    </row>
    <row r="1447" spans="1:7">
      <c r="A1447" t="s">
        <v>1297</v>
      </c>
      <c r="B1447" t="s">
        <v>1298</v>
      </c>
      <c r="C1447" t="s">
        <v>673</v>
      </c>
      <c r="D1447" t="s">
        <v>1336</v>
      </c>
      <c r="E1447" t="s">
        <v>187</v>
      </c>
      <c r="F1447">
        <v>2005</v>
      </c>
      <c r="G1447">
        <v>2.1600000000000001E-2</v>
      </c>
    </row>
    <row r="1448" spans="1:7">
      <c r="A1448" t="s">
        <v>1297</v>
      </c>
      <c r="B1448" t="s">
        <v>1298</v>
      </c>
      <c r="C1448" t="s">
        <v>673</v>
      </c>
      <c r="D1448" t="s">
        <v>1336</v>
      </c>
      <c r="E1448" t="s">
        <v>187</v>
      </c>
      <c r="F1448">
        <v>2010</v>
      </c>
      <c r="G1448">
        <v>0.39776400000000001</v>
      </c>
    </row>
    <row r="1449" spans="1:7">
      <c r="A1449" t="s">
        <v>1297</v>
      </c>
      <c r="B1449" t="s">
        <v>1298</v>
      </c>
      <c r="C1449" t="s">
        <v>673</v>
      </c>
      <c r="D1449" t="s">
        <v>1336</v>
      </c>
      <c r="E1449" t="s">
        <v>187</v>
      </c>
      <c r="F1449">
        <v>2012</v>
      </c>
      <c r="G1449">
        <v>0.76207999999999998</v>
      </c>
    </row>
    <row r="1450" spans="1:7">
      <c r="A1450" t="s">
        <v>1297</v>
      </c>
      <c r="B1450" t="s">
        <v>1298</v>
      </c>
      <c r="C1450" t="s">
        <v>673</v>
      </c>
      <c r="D1450" t="s">
        <v>1336</v>
      </c>
      <c r="E1450" t="s">
        <v>187</v>
      </c>
      <c r="F1450">
        <v>2016</v>
      </c>
      <c r="G1450">
        <v>1.9104909999999999</v>
      </c>
    </row>
    <row r="1451" spans="1:7">
      <c r="A1451" t="s">
        <v>1297</v>
      </c>
      <c r="B1451" t="s">
        <v>1298</v>
      </c>
      <c r="C1451" t="s">
        <v>673</v>
      </c>
      <c r="D1451" t="s">
        <v>1336</v>
      </c>
      <c r="E1451" t="s">
        <v>187</v>
      </c>
      <c r="F1451">
        <v>2020</v>
      </c>
      <c r="G1451">
        <v>1.814918</v>
      </c>
    </row>
    <row r="1452" spans="1:7">
      <c r="A1452" t="s">
        <v>1297</v>
      </c>
      <c r="B1452" t="s">
        <v>1298</v>
      </c>
      <c r="C1452" t="s">
        <v>686</v>
      </c>
      <c r="D1452" t="s">
        <v>1336</v>
      </c>
      <c r="E1452" t="s">
        <v>187</v>
      </c>
      <c r="F1452">
        <v>2012</v>
      </c>
      <c r="G1452">
        <v>2.1600000000000001E-2</v>
      </c>
    </row>
    <row r="1453" spans="1:7">
      <c r="A1453" t="s">
        <v>1297</v>
      </c>
      <c r="B1453" t="s">
        <v>1298</v>
      </c>
      <c r="C1453" t="s">
        <v>686</v>
      </c>
      <c r="D1453" t="s">
        <v>1336</v>
      </c>
      <c r="E1453" t="s">
        <v>187</v>
      </c>
      <c r="F1453">
        <v>2016</v>
      </c>
      <c r="G1453">
        <v>0.122404</v>
      </c>
    </row>
    <row r="1454" spans="1:7">
      <c r="A1454" t="s">
        <v>1297</v>
      </c>
      <c r="B1454" t="s">
        <v>1298</v>
      </c>
      <c r="C1454" t="s">
        <v>686</v>
      </c>
      <c r="D1454" t="s">
        <v>1336</v>
      </c>
      <c r="E1454" t="s">
        <v>187</v>
      </c>
      <c r="F1454">
        <v>2020</v>
      </c>
      <c r="G1454">
        <v>0.49724299999999999</v>
      </c>
    </row>
    <row r="1455" spans="1:7">
      <c r="A1455" t="s">
        <v>1297</v>
      </c>
      <c r="B1455" t="s">
        <v>1298</v>
      </c>
      <c r="C1455" t="s">
        <v>667</v>
      </c>
      <c r="D1455" t="s">
        <v>1336</v>
      </c>
      <c r="E1455" t="s">
        <v>187</v>
      </c>
      <c r="F1455">
        <v>2005</v>
      </c>
      <c r="G1455">
        <v>0.166187</v>
      </c>
    </row>
    <row r="1456" spans="1:7">
      <c r="A1456" t="s">
        <v>1297</v>
      </c>
      <c r="B1456" t="s">
        <v>1298</v>
      </c>
      <c r="C1456" t="s">
        <v>667</v>
      </c>
      <c r="D1456" t="s">
        <v>1336</v>
      </c>
      <c r="E1456" t="s">
        <v>187</v>
      </c>
      <c r="F1456">
        <v>2010</v>
      </c>
      <c r="G1456">
        <v>0.30290400000000001</v>
      </c>
    </row>
    <row r="1457" spans="1:7">
      <c r="A1457" t="s">
        <v>1297</v>
      </c>
      <c r="B1457" t="s">
        <v>1298</v>
      </c>
      <c r="C1457" t="s">
        <v>667</v>
      </c>
      <c r="D1457" t="s">
        <v>1336</v>
      </c>
      <c r="E1457" t="s">
        <v>187</v>
      </c>
      <c r="F1457">
        <v>2012</v>
      </c>
      <c r="G1457">
        <v>0.36796499999999999</v>
      </c>
    </row>
    <row r="1458" spans="1:7">
      <c r="A1458" t="s">
        <v>1297</v>
      </c>
      <c r="B1458" t="s">
        <v>1298</v>
      </c>
      <c r="C1458" t="s">
        <v>667</v>
      </c>
      <c r="D1458" t="s">
        <v>1336</v>
      </c>
      <c r="E1458" t="s">
        <v>187</v>
      </c>
      <c r="F1458">
        <v>2016</v>
      </c>
      <c r="G1458">
        <v>0.51016300000000003</v>
      </c>
    </row>
    <row r="1459" spans="1:7">
      <c r="A1459" t="s">
        <v>1297</v>
      </c>
      <c r="B1459" t="s">
        <v>1298</v>
      </c>
      <c r="C1459" t="s">
        <v>667</v>
      </c>
      <c r="D1459" t="s">
        <v>1336</v>
      </c>
      <c r="E1459" t="s">
        <v>187</v>
      </c>
      <c r="F1459">
        <v>2020</v>
      </c>
      <c r="G1459">
        <v>1.0027509999999999</v>
      </c>
    </row>
    <row r="1460" spans="1:7">
      <c r="A1460" t="s">
        <v>1297</v>
      </c>
      <c r="B1460" t="s">
        <v>1298</v>
      </c>
      <c r="C1460" t="s">
        <v>665</v>
      </c>
      <c r="D1460" t="s">
        <v>1336</v>
      </c>
      <c r="E1460" t="s">
        <v>187</v>
      </c>
      <c r="F1460">
        <v>2005</v>
      </c>
      <c r="G1460">
        <v>16.827667000000002</v>
      </c>
    </row>
    <row r="1461" spans="1:7">
      <c r="A1461" t="s">
        <v>1297</v>
      </c>
      <c r="B1461" t="s">
        <v>1298</v>
      </c>
      <c r="C1461" t="s">
        <v>665</v>
      </c>
      <c r="D1461" t="s">
        <v>1336</v>
      </c>
      <c r="E1461" t="s">
        <v>187</v>
      </c>
      <c r="F1461">
        <v>2010</v>
      </c>
      <c r="G1461">
        <v>33.984381999999997</v>
      </c>
    </row>
    <row r="1462" spans="1:7">
      <c r="A1462" t="s">
        <v>1297</v>
      </c>
      <c r="B1462" t="s">
        <v>1298</v>
      </c>
      <c r="C1462" t="s">
        <v>665</v>
      </c>
      <c r="D1462" t="s">
        <v>1336</v>
      </c>
      <c r="E1462" t="s">
        <v>187</v>
      </c>
      <c r="F1462">
        <v>2012</v>
      </c>
      <c r="G1462">
        <v>44.952973</v>
      </c>
    </row>
    <row r="1463" spans="1:7">
      <c r="A1463" t="s">
        <v>1297</v>
      </c>
      <c r="B1463" t="s">
        <v>1298</v>
      </c>
      <c r="C1463" t="s">
        <v>665</v>
      </c>
      <c r="D1463" t="s">
        <v>1336</v>
      </c>
      <c r="E1463" t="s">
        <v>187</v>
      </c>
      <c r="F1463">
        <v>2016</v>
      </c>
      <c r="G1463">
        <v>70.230937999999995</v>
      </c>
    </row>
    <row r="1464" spans="1:7">
      <c r="A1464" t="s">
        <v>1297</v>
      </c>
      <c r="B1464" t="s">
        <v>1298</v>
      </c>
      <c r="C1464" t="s">
        <v>665</v>
      </c>
      <c r="D1464" t="s">
        <v>1336</v>
      </c>
      <c r="E1464" t="s">
        <v>187</v>
      </c>
      <c r="F1464">
        <v>2020</v>
      </c>
      <c r="G1464">
        <v>70.766683999999998</v>
      </c>
    </row>
    <row r="1465" spans="1:7">
      <c r="A1465" t="s">
        <v>1297</v>
      </c>
      <c r="B1465" t="s">
        <v>1298</v>
      </c>
      <c r="C1465" t="s">
        <v>672</v>
      </c>
      <c r="D1465" t="s">
        <v>1336</v>
      </c>
      <c r="E1465" t="s">
        <v>187</v>
      </c>
      <c r="F1465">
        <v>2005</v>
      </c>
      <c r="G1465">
        <v>6.0504949999999997</v>
      </c>
    </row>
    <row r="1466" spans="1:7">
      <c r="A1466" t="s">
        <v>1297</v>
      </c>
      <c r="B1466" t="s">
        <v>1298</v>
      </c>
      <c r="C1466" t="s">
        <v>672</v>
      </c>
      <c r="D1466" t="s">
        <v>1336</v>
      </c>
      <c r="E1466" t="s">
        <v>187</v>
      </c>
      <c r="F1466">
        <v>2010</v>
      </c>
      <c r="G1466">
        <v>9.4092800000000008</v>
      </c>
    </row>
    <row r="1467" spans="1:7">
      <c r="A1467" t="s">
        <v>1297</v>
      </c>
      <c r="B1467" t="s">
        <v>1298</v>
      </c>
      <c r="C1467" t="s">
        <v>672</v>
      </c>
      <c r="D1467" t="s">
        <v>1336</v>
      </c>
      <c r="E1467" t="s">
        <v>187</v>
      </c>
      <c r="F1467">
        <v>2012</v>
      </c>
      <c r="G1467">
        <v>10.622358</v>
      </c>
    </row>
    <row r="1468" spans="1:7">
      <c r="A1468" t="s">
        <v>1297</v>
      </c>
      <c r="B1468" t="s">
        <v>1298</v>
      </c>
      <c r="C1468" t="s">
        <v>672</v>
      </c>
      <c r="D1468" t="s">
        <v>1336</v>
      </c>
      <c r="E1468" t="s">
        <v>187</v>
      </c>
      <c r="F1468">
        <v>2016</v>
      </c>
      <c r="G1468">
        <v>11.053606</v>
      </c>
    </row>
    <row r="1469" spans="1:7">
      <c r="A1469" t="s">
        <v>1297</v>
      </c>
      <c r="B1469" t="s">
        <v>1298</v>
      </c>
      <c r="C1469" t="s">
        <v>672</v>
      </c>
      <c r="D1469" t="s">
        <v>1336</v>
      </c>
      <c r="E1469" t="s">
        <v>187</v>
      </c>
      <c r="F1469">
        <v>2020</v>
      </c>
      <c r="G1469">
        <v>12.107632000000001</v>
      </c>
    </row>
    <row r="1470" spans="1:7">
      <c r="A1470" t="s">
        <v>1297</v>
      </c>
      <c r="B1470" t="s">
        <v>1298</v>
      </c>
      <c r="C1470" t="s">
        <v>685</v>
      </c>
      <c r="D1470" t="s">
        <v>1336</v>
      </c>
      <c r="E1470" t="s">
        <v>187</v>
      </c>
      <c r="F1470">
        <v>2016</v>
      </c>
      <c r="G1470">
        <v>0.129719</v>
      </c>
    </row>
    <row r="1471" spans="1:7">
      <c r="A1471" t="s">
        <v>1297</v>
      </c>
      <c r="B1471" t="s">
        <v>1298</v>
      </c>
      <c r="C1471" t="s">
        <v>685</v>
      </c>
      <c r="D1471" t="s">
        <v>1336</v>
      </c>
      <c r="E1471" t="s">
        <v>187</v>
      </c>
      <c r="F1471">
        <v>2020</v>
      </c>
      <c r="G1471">
        <v>0.19836699999999999</v>
      </c>
    </row>
    <row r="1472" spans="1:7">
      <c r="A1472" t="s">
        <v>1297</v>
      </c>
      <c r="B1472" t="s">
        <v>1298</v>
      </c>
      <c r="C1472" t="s">
        <v>677</v>
      </c>
      <c r="D1472" t="s">
        <v>1336</v>
      </c>
      <c r="E1472" t="s">
        <v>187</v>
      </c>
      <c r="F1472">
        <v>2005</v>
      </c>
      <c r="G1472">
        <v>32.771875999999999</v>
      </c>
    </row>
    <row r="1473" spans="1:7">
      <c r="A1473" t="s">
        <v>1297</v>
      </c>
      <c r="B1473" t="s">
        <v>1298</v>
      </c>
      <c r="C1473" t="s">
        <v>677</v>
      </c>
      <c r="D1473" t="s">
        <v>1336</v>
      </c>
      <c r="E1473" t="s">
        <v>187</v>
      </c>
      <c r="F1473">
        <v>2010</v>
      </c>
      <c r="G1473">
        <v>44.144136000000003</v>
      </c>
    </row>
    <row r="1474" spans="1:7">
      <c r="A1474" t="s">
        <v>1297</v>
      </c>
      <c r="B1474" t="s">
        <v>1298</v>
      </c>
      <c r="C1474" t="s">
        <v>677</v>
      </c>
      <c r="D1474" t="s">
        <v>1336</v>
      </c>
      <c r="E1474" t="s">
        <v>187</v>
      </c>
      <c r="F1474">
        <v>2012</v>
      </c>
      <c r="G1474">
        <v>53.045413000000003</v>
      </c>
    </row>
    <row r="1475" spans="1:7">
      <c r="A1475" t="s">
        <v>1297</v>
      </c>
      <c r="B1475" t="s">
        <v>1298</v>
      </c>
      <c r="C1475" t="s">
        <v>677</v>
      </c>
      <c r="D1475" t="s">
        <v>1336</v>
      </c>
      <c r="E1475" t="s">
        <v>187</v>
      </c>
      <c r="F1475">
        <v>2016</v>
      </c>
      <c r="G1475">
        <v>109.30557899999999</v>
      </c>
    </row>
    <row r="1476" spans="1:7">
      <c r="A1476" t="s">
        <v>1297</v>
      </c>
      <c r="B1476" t="s">
        <v>1298</v>
      </c>
      <c r="C1476" t="s">
        <v>677</v>
      </c>
      <c r="D1476" t="s">
        <v>1336</v>
      </c>
      <c r="E1476" t="s">
        <v>187</v>
      </c>
      <c r="F1476">
        <v>2020</v>
      </c>
      <c r="G1476">
        <v>136.90322699999999</v>
      </c>
    </row>
    <row r="1477" spans="1:7">
      <c r="A1477" t="s">
        <v>1297</v>
      </c>
      <c r="B1477" t="s">
        <v>1298</v>
      </c>
      <c r="C1477" t="s">
        <v>670</v>
      </c>
      <c r="D1477" t="s">
        <v>1336</v>
      </c>
      <c r="E1477" t="s">
        <v>187</v>
      </c>
      <c r="F1477">
        <v>2005</v>
      </c>
      <c r="G1477">
        <v>18.987241000000001</v>
      </c>
    </row>
    <row r="1478" spans="1:7">
      <c r="A1478" t="s">
        <v>1297</v>
      </c>
      <c r="B1478" t="s">
        <v>1298</v>
      </c>
      <c r="C1478" t="s">
        <v>670</v>
      </c>
      <c r="D1478" t="s">
        <v>1336</v>
      </c>
      <c r="E1478" t="s">
        <v>187</v>
      </c>
      <c r="F1478">
        <v>2010</v>
      </c>
      <c r="G1478">
        <v>25.563379999999999</v>
      </c>
    </row>
    <row r="1479" spans="1:7">
      <c r="A1479" t="s">
        <v>1297</v>
      </c>
      <c r="B1479" t="s">
        <v>1298</v>
      </c>
      <c r="C1479" t="s">
        <v>670</v>
      </c>
      <c r="D1479" t="s">
        <v>1336</v>
      </c>
      <c r="E1479" t="s">
        <v>187</v>
      </c>
      <c r="F1479">
        <v>2012</v>
      </c>
      <c r="G1479">
        <v>26.344045000000001</v>
      </c>
    </row>
    <row r="1480" spans="1:7">
      <c r="A1480" t="s">
        <v>1297</v>
      </c>
      <c r="B1480" t="s">
        <v>1298</v>
      </c>
      <c r="C1480" t="s">
        <v>670</v>
      </c>
      <c r="D1480" t="s">
        <v>1336</v>
      </c>
      <c r="E1480" t="s">
        <v>187</v>
      </c>
      <c r="F1480">
        <v>2016</v>
      </c>
      <c r="G1480">
        <v>18.269431000000001</v>
      </c>
    </row>
    <row r="1481" spans="1:7">
      <c r="A1481" t="s">
        <v>1297</v>
      </c>
      <c r="B1481" t="s">
        <v>1298</v>
      </c>
      <c r="C1481" t="s">
        <v>670</v>
      </c>
      <c r="D1481" t="s">
        <v>1336</v>
      </c>
      <c r="E1481" t="s">
        <v>187</v>
      </c>
      <c r="F1481">
        <v>2020</v>
      </c>
      <c r="G1481">
        <v>22.040997000000001</v>
      </c>
    </row>
    <row r="1482" spans="1:7">
      <c r="A1482" t="s">
        <v>1297</v>
      </c>
      <c r="B1482" t="s">
        <v>1298</v>
      </c>
      <c r="C1482" t="s">
        <v>680</v>
      </c>
      <c r="D1482" t="s">
        <v>1336</v>
      </c>
      <c r="E1482" t="s">
        <v>187</v>
      </c>
      <c r="F1482">
        <v>2005</v>
      </c>
      <c r="G1482">
        <v>1.5174E-2</v>
      </c>
    </row>
    <row r="1483" spans="1:7">
      <c r="A1483" t="s">
        <v>1297</v>
      </c>
      <c r="B1483" t="s">
        <v>1298</v>
      </c>
      <c r="C1483" t="s">
        <v>659</v>
      </c>
      <c r="D1483" t="s">
        <v>1336</v>
      </c>
      <c r="E1483" t="s">
        <v>187</v>
      </c>
      <c r="F1483">
        <v>2005</v>
      </c>
      <c r="G1483">
        <v>9.5501919999999991</v>
      </c>
    </row>
    <row r="1484" spans="1:7">
      <c r="A1484" t="s">
        <v>1297</v>
      </c>
      <c r="B1484" t="s">
        <v>1298</v>
      </c>
      <c r="C1484" t="s">
        <v>659</v>
      </c>
      <c r="D1484" t="s">
        <v>1336</v>
      </c>
      <c r="E1484" t="s">
        <v>187</v>
      </c>
      <c r="F1484">
        <v>2010</v>
      </c>
      <c r="G1484">
        <v>14.454000000000001</v>
      </c>
    </row>
    <row r="1485" spans="1:7">
      <c r="A1485" t="s">
        <v>1297</v>
      </c>
      <c r="B1485" t="s">
        <v>1298</v>
      </c>
      <c r="C1485" t="s">
        <v>659</v>
      </c>
      <c r="D1485" t="s">
        <v>1336</v>
      </c>
      <c r="E1485" t="s">
        <v>187</v>
      </c>
      <c r="F1485">
        <v>2012</v>
      </c>
      <c r="G1485">
        <v>17.917200000000001</v>
      </c>
    </row>
    <row r="1486" spans="1:7">
      <c r="A1486" t="s">
        <v>1297</v>
      </c>
      <c r="B1486" t="s">
        <v>1298</v>
      </c>
      <c r="C1486" t="s">
        <v>659</v>
      </c>
      <c r="D1486" t="s">
        <v>1336</v>
      </c>
      <c r="E1486" t="s">
        <v>187</v>
      </c>
      <c r="F1486">
        <v>2016</v>
      </c>
      <c r="G1486">
        <v>20.480399999999999</v>
      </c>
    </row>
    <row r="1487" spans="1:7">
      <c r="A1487" t="s">
        <v>1297</v>
      </c>
      <c r="B1487" t="s">
        <v>1298</v>
      </c>
      <c r="C1487" t="s">
        <v>659</v>
      </c>
      <c r="D1487" t="s">
        <v>1336</v>
      </c>
      <c r="E1487" t="s">
        <v>187</v>
      </c>
      <c r="F1487">
        <v>2020</v>
      </c>
      <c r="G1487">
        <v>20.134777</v>
      </c>
    </row>
    <row r="1488" spans="1:7">
      <c r="A1488" t="s">
        <v>1297</v>
      </c>
      <c r="B1488" t="s">
        <v>1298</v>
      </c>
      <c r="C1488" t="s">
        <v>679</v>
      </c>
      <c r="D1488" t="s">
        <v>1336</v>
      </c>
      <c r="E1488" t="s">
        <v>187</v>
      </c>
      <c r="F1488">
        <v>2005</v>
      </c>
      <c r="G1488">
        <v>1.1988000000000001</v>
      </c>
    </row>
    <row r="1489" spans="1:7">
      <c r="A1489" t="s">
        <v>1297</v>
      </c>
      <c r="B1489" t="s">
        <v>1298</v>
      </c>
      <c r="C1489" t="s">
        <v>679</v>
      </c>
      <c r="D1489" t="s">
        <v>1336</v>
      </c>
      <c r="E1489" t="s">
        <v>187</v>
      </c>
      <c r="F1489">
        <v>2010</v>
      </c>
      <c r="G1489">
        <v>1.2744</v>
      </c>
    </row>
    <row r="1490" spans="1:7">
      <c r="A1490" t="s">
        <v>1297</v>
      </c>
      <c r="B1490" t="s">
        <v>1298</v>
      </c>
      <c r="C1490" t="s">
        <v>679</v>
      </c>
      <c r="D1490" t="s">
        <v>1336</v>
      </c>
      <c r="E1490" t="s">
        <v>187</v>
      </c>
      <c r="F1490">
        <v>2012</v>
      </c>
      <c r="G1490">
        <v>1.1736</v>
      </c>
    </row>
    <row r="1491" spans="1:7">
      <c r="A1491" t="s">
        <v>1297</v>
      </c>
      <c r="B1491" t="s">
        <v>1298</v>
      </c>
      <c r="C1491" t="s">
        <v>679</v>
      </c>
      <c r="D1491" t="s">
        <v>1336</v>
      </c>
      <c r="E1491" t="s">
        <v>187</v>
      </c>
      <c r="F1491">
        <v>2016</v>
      </c>
      <c r="G1491">
        <v>0.83879999999999999</v>
      </c>
    </row>
    <row r="1492" spans="1:7">
      <c r="A1492" t="s">
        <v>1297</v>
      </c>
      <c r="B1492" t="s">
        <v>1298</v>
      </c>
      <c r="C1492" t="s">
        <v>679</v>
      </c>
      <c r="D1492" t="s">
        <v>1336</v>
      </c>
      <c r="E1492" t="s">
        <v>187</v>
      </c>
      <c r="F1492">
        <v>2020</v>
      </c>
      <c r="G1492">
        <v>0.91081800000000002</v>
      </c>
    </row>
    <row r="1493" spans="1:7">
      <c r="A1493" t="s">
        <v>1297</v>
      </c>
      <c r="B1493" t="s">
        <v>1298</v>
      </c>
      <c r="C1493" t="s">
        <v>653</v>
      </c>
      <c r="D1493" t="s">
        <v>1336</v>
      </c>
      <c r="E1493" t="s">
        <v>187</v>
      </c>
      <c r="F1493">
        <v>2010</v>
      </c>
      <c r="G1493">
        <v>0.12686</v>
      </c>
    </row>
    <row r="1494" spans="1:7">
      <c r="A1494" t="s">
        <v>1297</v>
      </c>
      <c r="B1494" t="s">
        <v>1298</v>
      </c>
      <c r="C1494" t="s">
        <v>653</v>
      </c>
      <c r="D1494" t="s">
        <v>1336</v>
      </c>
      <c r="E1494" t="s">
        <v>187</v>
      </c>
      <c r="F1494">
        <v>2012</v>
      </c>
      <c r="G1494">
        <v>0.23697699999999999</v>
      </c>
    </row>
    <row r="1495" spans="1:7">
      <c r="A1495" t="s">
        <v>1297</v>
      </c>
      <c r="B1495" t="s">
        <v>1298</v>
      </c>
      <c r="C1495" t="s">
        <v>653</v>
      </c>
      <c r="D1495" t="s">
        <v>1336</v>
      </c>
      <c r="E1495" t="s">
        <v>187</v>
      </c>
      <c r="F1495">
        <v>2016</v>
      </c>
      <c r="G1495">
        <v>1.27301</v>
      </c>
    </row>
    <row r="1496" spans="1:7">
      <c r="A1496" t="s">
        <v>1297</v>
      </c>
      <c r="B1496" t="s">
        <v>1298</v>
      </c>
      <c r="C1496" t="s">
        <v>653</v>
      </c>
      <c r="D1496" t="s">
        <v>1336</v>
      </c>
      <c r="E1496" t="s">
        <v>187</v>
      </c>
      <c r="F1496">
        <v>2020</v>
      </c>
      <c r="G1496">
        <v>6.5549200000000001</v>
      </c>
    </row>
    <row r="1497" spans="1:7">
      <c r="A1497" t="s">
        <v>1297</v>
      </c>
      <c r="B1497" t="s">
        <v>1298</v>
      </c>
      <c r="C1497" t="s">
        <v>664</v>
      </c>
      <c r="D1497" t="s">
        <v>1336</v>
      </c>
      <c r="E1497" t="s">
        <v>187</v>
      </c>
      <c r="F1497">
        <v>2005</v>
      </c>
      <c r="G1497">
        <v>0.468943</v>
      </c>
    </row>
    <row r="1498" spans="1:7">
      <c r="A1498" t="s">
        <v>1297</v>
      </c>
      <c r="B1498" t="s">
        <v>1298</v>
      </c>
      <c r="C1498" t="s">
        <v>664</v>
      </c>
      <c r="D1498" t="s">
        <v>1336</v>
      </c>
      <c r="E1498" t="s">
        <v>187</v>
      </c>
      <c r="F1498">
        <v>2010</v>
      </c>
      <c r="G1498">
        <v>1.1318980000000001</v>
      </c>
    </row>
    <row r="1499" spans="1:7">
      <c r="A1499" t="s">
        <v>1297</v>
      </c>
      <c r="B1499" t="s">
        <v>1298</v>
      </c>
      <c r="C1499" t="s">
        <v>664</v>
      </c>
      <c r="D1499" t="s">
        <v>1336</v>
      </c>
      <c r="E1499" t="s">
        <v>187</v>
      </c>
      <c r="F1499">
        <v>2012</v>
      </c>
      <c r="G1499">
        <v>1.594066</v>
      </c>
    </row>
    <row r="1500" spans="1:7">
      <c r="A1500" t="s">
        <v>1297</v>
      </c>
      <c r="B1500" t="s">
        <v>1298</v>
      </c>
      <c r="C1500" t="s">
        <v>664</v>
      </c>
      <c r="D1500" t="s">
        <v>1336</v>
      </c>
      <c r="E1500" t="s">
        <v>187</v>
      </c>
      <c r="F1500">
        <v>2016</v>
      </c>
      <c r="G1500">
        <v>2.4451779999999999</v>
      </c>
    </row>
    <row r="1501" spans="1:7">
      <c r="A1501" t="s">
        <v>1297</v>
      </c>
      <c r="B1501" t="s">
        <v>1298</v>
      </c>
      <c r="C1501" t="s">
        <v>664</v>
      </c>
      <c r="D1501" t="s">
        <v>1336</v>
      </c>
      <c r="E1501" t="s">
        <v>187</v>
      </c>
      <c r="F1501">
        <v>2020</v>
      </c>
      <c r="G1501">
        <v>3.06752</v>
      </c>
    </row>
    <row r="1502" spans="1:7">
      <c r="A1502" t="s">
        <v>1297</v>
      </c>
      <c r="B1502" t="s">
        <v>1298</v>
      </c>
      <c r="C1502" t="s">
        <v>657</v>
      </c>
      <c r="D1502" t="s">
        <v>1336</v>
      </c>
      <c r="E1502" t="s">
        <v>187</v>
      </c>
      <c r="F1502">
        <v>2005</v>
      </c>
      <c r="G1502">
        <v>11.422800000000001</v>
      </c>
    </row>
    <row r="1503" spans="1:7">
      <c r="A1503" t="s">
        <v>1297</v>
      </c>
      <c r="B1503" t="s">
        <v>1298</v>
      </c>
      <c r="C1503" t="s">
        <v>657</v>
      </c>
      <c r="D1503" t="s">
        <v>1336</v>
      </c>
      <c r="E1503" t="s">
        <v>187</v>
      </c>
      <c r="F1503">
        <v>2010</v>
      </c>
      <c r="G1503">
        <v>16.535112999999999</v>
      </c>
    </row>
    <row r="1504" spans="1:7">
      <c r="A1504" t="s">
        <v>1297</v>
      </c>
      <c r="B1504" t="s">
        <v>1298</v>
      </c>
      <c r="C1504" t="s">
        <v>657</v>
      </c>
      <c r="D1504" t="s">
        <v>1336</v>
      </c>
      <c r="E1504" t="s">
        <v>187</v>
      </c>
      <c r="F1504">
        <v>2012</v>
      </c>
      <c r="G1504">
        <v>16.005427000000001</v>
      </c>
    </row>
    <row r="1505" spans="1:7">
      <c r="A1505" t="s">
        <v>1297</v>
      </c>
      <c r="B1505" t="s">
        <v>1298</v>
      </c>
      <c r="C1505" t="s">
        <v>657</v>
      </c>
      <c r="D1505" t="s">
        <v>1336</v>
      </c>
      <c r="E1505" t="s">
        <v>187</v>
      </c>
      <c r="F1505">
        <v>2016</v>
      </c>
      <c r="G1505">
        <v>17.644542000000001</v>
      </c>
    </row>
    <row r="1506" spans="1:7">
      <c r="A1506" t="s">
        <v>1297</v>
      </c>
      <c r="B1506" t="s">
        <v>1298</v>
      </c>
      <c r="C1506" t="s">
        <v>657</v>
      </c>
      <c r="D1506" t="s">
        <v>1336</v>
      </c>
      <c r="E1506" t="s">
        <v>187</v>
      </c>
      <c r="F1506">
        <v>2020</v>
      </c>
      <c r="G1506">
        <v>22.051272999999998</v>
      </c>
    </row>
    <row r="1507" spans="1:7">
      <c r="A1507" t="s">
        <v>1297</v>
      </c>
      <c r="B1507" t="s">
        <v>1298</v>
      </c>
      <c r="C1507" t="s">
        <v>671</v>
      </c>
      <c r="D1507" t="s">
        <v>1336</v>
      </c>
      <c r="E1507" t="s">
        <v>187</v>
      </c>
      <c r="F1507">
        <v>2005</v>
      </c>
      <c r="G1507">
        <v>5.4400570000000004</v>
      </c>
    </row>
    <row r="1508" spans="1:7">
      <c r="A1508" t="s">
        <v>1297</v>
      </c>
      <c r="B1508" t="s">
        <v>1298</v>
      </c>
      <c r="C1508" t="s">
        <v>671</v>
      </c>
      <c r="D1508" t="s">
        <v>1336</v>
      </c>
      <c r="E1508" t="s">
        <v>187</v>
      </c>
      <c r="F1508">
        <v>2010</v>
      </c>
      <c r="G1508">
        <v>22.696164</v>
      </c>
    </row>
    <row r="1509" spans="1:7">
      <c r="A1509" t="s">
        <v>1297</v>
      </c>
      <c r="B1509" t="s">
        <v>1298</v>
      </c>
      <c r="C1509" t="s">
        <v>671</v>
      </c>
      <c r="D1509" t="s">
        <v>1336</v>
      </c>
      <c r="E1509" t="s">
        <v>187</v>
      </c>
      <c r="F1509">
        <v>2012</v>
      </c>
      <c r="G1509">
        <v>36.339447999999997</v>
      </c>
    </row>
    <row r="1510" spans="1:7">
      <c r="A1510" t="s">
        <v>1297</v>
      </c>
      <c r="B1510" t="s">
        <v>1298</v>
      </c>
      <c r="C1510" t="s">
        <v>671</v>
      </c>
      <c r="D1510" t="s">
        <v>1336</v>
      </c>
      <c r="E1510" t="s">
        <v>187</v>
      </c>
      <c r="F1510">
        <v>2016</v>
      </c>
      <c r="G1510">
        <v>28.643219999999999</v>
      </c>
    </row>
    <row r="1511" spans="1:7">
      <c r="A1511" t="s">
        <v>1297</v>
      </c>
      <c r="B1511" t="s">
        <v>1298</v>
      </c>
      <c r="C1511" t="s">
        <v>671</v>
      </c>
      <c r="D1511" t="s">
        <v>1336</v>
      </c>
      <c r="E1511" t="s">
        <v>187</v>
      </c>
      <c r="F1511">
        <v>2020</v>
      </c>
      <c r="G1511">
        <v>27.658742</v>
      </c>
    </row>
    <row r="1512" spans="1:7">
      <c r="A1512" t="s">
        <v>1297</v>
      </c>
      <c r="B1512" t="s">
        <v>1298</v>
      </c>
      <c r="C1512" t="s">
        <v>652</v>
      </c>
      <c r="D1512" t="s">
        <v>1336</v>
      </c>
      <c r="E1512" t="s">
        <v>187</v>
      </c>
      <c r="F1512">
        <v>2005</v>
      </c>
      <c r="G1512">
        <v>5.7237840000000002</v>
      </c>
    </row>
    <row r="1513" spans="1:7">
      <c r="A1513" t="s">
        <v>1297</v>
      </c>
      <c r="B1513" t="s">
        <v>1298</v>
      </c>
      <c r="C1513" t="s">
        <v>652</v>
      </c>
      <c r="D1513" t="s">
        <v>1336</v>
      </c>
      <c r="E1513" t="s">
        <v>187</v>
      </c>
      <c r="F1513">
        <v>2010</v>
      </c>
      <c r="G1513">
        <v>16.080120000000001</v>
      </c>
    </row>
    <row r="1514" spans="1:7">
      <c r="A1514" t="s">
        <v>1297</v>
      </c>
      <c r="B1514" t="s">
        <v>1298</v>
      </c>
      <c r="C1514" t="s">
        <v>652</v>
      </c>
      <c r="D1514" t="s">
        <v>1336</v>
      </c>
      <c r="E1514" t="s">
        <v>187</v>
      </c>
      <c r="F1514">
        <v>2012</v>
      </c>
      <c r="G1514">
        <v>18.926279999999998</v>
      </c>
    </row>
    <row r="1515" spans="1:7">
      <c r="A1515" t="s">
        <v>1297</v>
      </c>
      <c r="B1515" t="s">
        <v>1298</v>
      </c>
      <c r="C1515" t="s">
        <v>652</v>
      </c>
      <c r="D1515" t="s">
        <v>1336</v>
      </c>
      <c r="E1515" t="s">
        <v>187</v>
      </c>
      <c r="F1515">
        <v>2016</v>
      </c>
      <c r="G1515">
        <v>19.61964</v>
      </c>
    </row>
    <row r="1516" spans="1:7">
      <c r="A1516" t="s">
        <v>1297</v>
      </c>
      <c r="B1516" t="s">
        <v>1298</v>
      </c>
      <c r="C1516" t="s">
        <v>652</v>
      </c>
      <c r="D1516" t="s">
        <v>1336</v>
      </c>
      <c r="E1516" t="s">
        <v>187</v>
      </c>
      <c r="F1516">
        <v>2020</v>
      </c>
      <c r="G1516">
        <v>18.868946999999999</v>
      </c>
    </row>
    <row r="1517" spans="1:7">
      <c r="A1517" t="s">
        <v>1297</v>
      </c>
      <c r="B1517" t="s">
        <v>1298</v>
      </c>
      <c r="C1517" t="s">
        <v>651</v>
      </c>
      <c r="D1517" t="s">
        <v>1336</v>
      </c>
      <c r="E1517" t="s">
        <v>187</v>
      </c>
      <c r="F1517">
        <v>2005</v>
      </c>
      <c r="G1517">
        <v>8.7654669999999992</v>
      </c>
    </row>
    <row r="1518" spans="1:7">
      <c r="A1518" t="s">
        <v>1297</v>
      </c>
      <c r="B1518" t="s">
        <v>1298</v>
      </c>
      <c r="C1518" t="s">
        <v>651</v>
      </c>
      <c r="D1518" t="s">
        <v>1336</v>
      </c>
      <c r="E1518" t="s">
        <v>187</v>
      </c>
      <c r="F1518">
        <v>2010</v>
      </c>
      <c r="G1518">
        <v>16.130858</v>
      </c>
    </row>
    <row r="1519" spans="1:7">
      <c r="A1519" t="s">
        <v>1297</v>
      </c>
      <c r="B1519" t="s">
        <v>1298</v>
      </c>
      <c r="C1519" t="s">
        <v>651</v>
      </c>
      <c r="D1519" t="s">
        <v>1336</v>
      </c>
      <c r="E1519" t="s">
        <v>187</v>
      </c>
      <c r="F1519">
        <v>2012</v>
      </c>
      <c r="G1519">
        <v>16.844778000000002</v>
      </c>
    </row>
    <row r="1520" spans="1:7">
      <c r="A1520" t="s">
        <v>1297</v>
      </c>
      <c r="B1520" t="s">
        <v>1298</v>
      </c>
      <c r="C1520" t="s">
        <v>651</v>
      </c>
      <c r="D1520" t="s">
        <v>1336</v>
      </c>
      <c r="E1520" t="s">
        <v>187</v>
      </c>
      <c r="F1520">
        <v>2016</v>
      </c>
      <c r="G1520">
        <v>17.208093999999999</v>
      </c>
    </row>
    <row r="1521" spans="1:7">
      <c r="A1521" t="s">
        <v>1297</v>
      </c>
      <c r="B1521" t="s">
        <v>1298</v>
      </c>
      <c r="C1521" t="s">
        <v>651</v>
      </c>
      <c r="D1521" t="s">
        <v>1336</v>
      </c>
      <c r="E1521" t="s">
        <v>187</v>
      </c>
      <c r="F1521">
        <v>2020</v>
      </c>
      <c r="G1521">
        <v>17.082402999999999</v>
      </c>
    </row>
    <row r="1522" spans="1:7">
      <c r="A1522" t="s">
        <v>1297</v>
      </c>
      <c r="B1522" t="s">
        <v>1298</v>
      </c>
      <c r="C1522" t="s">
        <v>674</v>
      </c>
      <c r="D1522" t="s">
        <v>1336</v>
      </c>
      <c r="E1522" t="s">
        <v>187</v>
      </c>
      <c r="F1522">
        <v>2005</v>
      </c>
      <c r="G1522">
        <v>26.963315999999999</v>
      </c>
    </row>
    <row r="1523" spans="1:7">
      <c r="A1523" t="s">
        <v>1297</v>
      </c>
      <c r="B1523" t="s">
        <v>1298</v>
      </c>
      <c r="C1523" t="s">
        <v>674</v>
      </c>
      <c r="D1523" t="s">
        <v>1336</v>
      </c>
      <c r="E1523" t="s">
        <v>187</v>
      </c>
      <c r="F1523">
        <v>2010</v>
      </c>
      <c r="G1523">
        <v>43.888438999999998</v>
      </c>
    </row>
    <row r="1524" spans="1:7">
      <c r="A1524" t="s">
        <v>1297</v>
      </c>
      <c r="B1524" t="s">
        <v>1298</v>
      </c>
      <c r="C1524" t="s">
        <v>674</v>
      </c>
      <c r="D1524" t="s">
        <v>1336</v>
      </c>
      <c r="E1524" t="s">
        <v>187</v>
      </c>
      <c r="F1524">
        <v>2012</v>
      </c>
      <c r="G1524">
        <v>43.898400000000002</v>
      </c>
    </row>
    <row r="1525" spans="1:7">
      <c r="A1525" t="s">
        <v>1297</v>
      </c>
      <c r="B1525" t="s">
        <v>1298</v>
      </c>
      <c r="C1525" t="s">
        <v>674</v>
      </c>
      <c r="D1525" t="s">
        <v>1336</v>
      </c>
      <c r="E1525" t="s">
        <v>187</v>
      </c>
      <c r="F1525">
        <v>2016</v>
      </c>
      <c r="G1525">
        <v>41.353481000000002</v>
      </c>
    </row>
    <row r="1526" spans="1:7">
      <c r="A1526" t="s">
        <v>1297</v>
      </c>
      <c r="B1526" t="s">
        <v>1298</v>
      </c>
      <c r="C1526" t="s">
        <v>674</v>
      </c>
      <c r="D1526" t="s">
        <v>1336</v>
      </c>
      <c r="E1526" t="s">
        <v>187</v>
      </c>
      <c r="F1526">
        <v>2020</v>
      </c>
      <c r="G1526">
        <v>46.929600000000001</v>
      </c>
    </row>
    <row r="1527" spans="1:7">
      <c r="A1527" t="s">
        <v>1297</v>
      </c>
      <c r="B1527" t="s">
        <v>1298</v>
      </c>
      <c r="C1527" t="s">
        <v>661</v>
      </c>
      <c r="D1527" t="s">
        <v>1336</v>
      </c>
      <c r="E1527" t="s">
        <v>187</v>
      </c>
      <c r="F1527">
        <v>2005</v>
      </c>
      <c r="G1527">
        <v>12.207599999999999</v>
      </c>
    </row>
    <row r="1528" spans="1:7">
      <c r="A1528" t="s">
        <v>1297</v>
      </c>
      <c r="B1528" t="s">
        <v>1298</v>
      </c>
      <c r="C1528" t="s">
        <v>661</v>
      </c>
      <c r="D1528" t="s">
        <v>1336</v>
      </c>
      <c r="E1528" t="s">
        <v>187</v>
      </c>
      <c r="F1528">
        <v>2010</v>
      </c>
      <c r="G1528">
        <v>15.9876</v>
      </c>
    </row>
    <row r="1529" spans="1:7">
      <c r="A1529" t="s">
        <v>1297</v>
      </c>
      <c r="B1529" t="s">
        <v>1298</v>
      </c>
      <c r="C1529" t="s">
        <v>661</v>
      </c>
      <c r="D1529" t="s">
        <v>1336</v>
      </c>
      <c r="E1529" t="s">
        <v>187</v>
      </c>
      <c r="F1529">
        <v>2012</v>
      </c>
      <c r="G1529">
        <v>19.078437000000001</v>
      </c>
    </row>
    <row r="1530" spans="1:7">
      <c r="A1530" t="s">
        <v>1297</v>
      </c>
      <c r="B1530" t="s">
        <v>1298</v>
      </c>
      <c r="C1530" t="s">
        <v>661</v>
      </c>
      <c r="D1530" t="s">
        <v>1336</v>
      </c>
      <c r="E1530" t="s">
        <v>187</v>
      </c>
      <c r="F1530">
        <v>2016</v>
      </c>
      <c r="G1530">
        <v>27.135141999999998</v>
      </c>
    </row>
    <row r="1531" spans="1:7">
      <c r="A1531" t="s">
        <v>1297</v>
      </c>
      <c r="B1531" t="s">
        <v>1298</v>
      </c>
      <c r="C1531" t="s">
        <v>661</v>
      </c>
      <c r="D1531" t="s">
        <v>1336</v>
      </c>
      <c r="E1531" t="s">
        <v>187</v>
      </c>
      <c r="F1531">
        <v>2020</v>
      </c>
      <c r="G1531">
        <v>31.477916</v>
      </c>
    </row>
    <row r="1532" spans="1:7">
      <c r="A1532" t="s">
        <v>1297</v>
      </c>
      <c r="B1532" t="s">
        <v>1298</v>
      </c>
      <c r="C1532" t="s">
        <v>676</v>
      </c>
      <c r="D1532" t="s">
        <v>1336</v>
      </c>
      <c r="E1532" t="s">
        <v>187</v>
      </c>
      <c r="F1532">
        <v>2005</v>
      </c>
      <c r="G1532">
        <v>0.1152</v>
      </c>
    </row>
    <row r="1533" spans="1:7">
      <c r="A1533" t="s">
        <v>1297</v>
      </c>
      <c r="B1533" t="s">
        <v>1298</v>
      </c>
      <c r="C1533" t="s">
        <v>676</v>
      </c>
      <c r="D1533" t="s">
        <v>1336</v>
      </c>
      <c r="E1533" t="s">
        <v>187</v>
      </c>
      <c r="F1533">
        <v>2010</v>
      </c>
      <c r="G1533">
        <v>2.3832</v>
      </c>
    </row>
    <row r="1534" spans="1:7">
      <c r="A1534" t="s">
        <v>1297</v>
      </c>
      <c r="B1534" t="s">
        <v>1298</v>
      </c>
      <c r="C1534" t="s">
        <v>676</v>
      </c>
      <c r="D1534" t="s">
        <v>1336</v>
      </c>
      <c r="E1534" t="s">
        <v>187</v>
      </c>
      <c r="F1534">
        <v>2012</v>
      </c>
      <c r="G1534">
        <v>3.3875999999999999</v>
      </c>
    </row>
    <row r="1535" spans="1:7">
      <c r="A1535" t="s">
        <v>1297</v>
      </c>
      <c r="B1535" t="s">
        <v>1298</v>
      </c>
      <c r="C1535" t="s">
        <v>676</v>
      </c>
      <c r="D1535" t="s">
        <v>1336</v>
      </c>
      <c r="E1535" t="s">
        <v>187</v>
      </c>
      <c r="F1535">
        <v>2016</v>
      </c>
      <c r="G1535">
        <v>6.2316000000000003</v>
      </c>
    </row>
    <row r="1536" spans="1:7">
      <c r="A1536" t="s">
        <v>1297</v>
      </c>
      <c r="B1536" t="s">
        <v>1298</v>
      </c>
      <c r="C1536" t="s">
        <v>676</v>
      </c>
      <c r="D1536" t="s">
        <v>1336</v>
      </c>
      <c r="E1536" t="s">
        <v>187</v>
      </c>
      <c r="F1536">
        <v>2020</v>
      </c>
      <c r="G1536">
        <v>6.0948000000000002</v>
      </c>
    </row>
    <row r="1537" spans="1:7">
      <c r="A1537" t="s">
        <v>1297</v>
      </c>
      <c r="B1537" t="s">
        <v>1298</v>
      </c>
      <c r="C1537" t="s">
        <v>675</v>
      </c>
      <c r="D1537" t="s">
        <v>1336</v>
      </c>
      <c r="E1537" t="s">
        <v>187</v>
      </c>
      <c r="F1537">
        <v>2005</v>
      </c>
      <c r="G1537">
        <v>0.40940300000000002</v>
      </c>
    </row>
    <row r="1538" spans="1:7">
      <c r="A1538" t="s">
        <v>1297</v>
      </c>
      <c r="B1538" t="s">
        <v>1298</v>
      </c>
      <c r="C1538" t="s">
        <v>675</v>
      </c>
      <c r="D1538" t="s">
        <v>1336</v>
      </c>
      <c r="E1538" t="s">
        <v>187</v>
      </c>
      <c r="F1538">
        <v>2010</v>
      </c>
      <c r="G1538">
        <v>0.78075700000000003</v>
      </c>
    </row>
    <row r="1539" spans="1:7">
      <c r="A1539" t="s">
        <v>1297</v>
      </c>
      <c r="B1539" t="s">
        <v>1298</v>
      </c>
      <c r="C1539" t="s">
        <v>675</v>
      </c>
      <c r="D1539" t="s">
        <v>1336</v>
      </c>
      <c r="E1539" t="s">
        <v>187</v>
      </c>
      <c r="F1539">
        <v>2012</v>
      </c>
      <c r="G1539">
        <v>0.96224399999999999</v>
      </c>
    </row>
    <row r="1540" spans="1:7">
      <c r="A1540" t="s">
        <v>1297</v>
      </c>
      <c r="B1540" t="s">
        <v>1298</v>
      </c>
      <c r="C1540" t="s">
        <v>675</v>
      </c>
      <c r="D1540" t="s">
        <v>1336</v>
      </c>
      <c r="E1540" t="s">
        <v>187</v>
      </c>
      <c r="F1540">
        <v>2016</v>
      </c>
      <c r="G1540">
        <v>1.0143500000000001</v>
      </c>
    </row>
    <row r="1541" spans="1:7">
      <c r="A1541" t="s">
        <v>1297</v>
      </c>
      <c r="B1541" t="s">
        <v>1298</v>
      </c>
      <c r="C1541" t="s">
        <v>675</v>
      </c>
      <c r="D1541" t="s">
        <v>1336</v>
      </c>
      <c r="E1541" t="s">
        <v>187</v>
      </c>
      <c r="F1541">
        <v>2020</v>
      </c>
      <c r="G1541">
        <v>0.90373000000000003</v>
      </c>
    </row>
    <row r="1542" spans="1:7">
      <c r="A1542" t="s">
        <v>1297</v>
      </c>
      <c r="B1542" t="s">
        <v>1298</v>
      </c>
      <c r="C1542" t="s">
        <v>1299</v>
      </c>
      <c r="D1542" t="s">
        <v>1336</v>
      </c>
      <c r="E1542" t="s">
        <v>187</v>
      </c>
      <c r="F1542">
        <v>2010</v>
      </c>
      <c r="G1542">
        <v>0.67679999999999996</v>
      </c>
    </row>
    <row r="1543" spans="1:7">
      <c r="A1543" t="s">
        <v>1297</v>
      </c>
      <c r="B1543" t="s">
        <v>1298</v>
      </c>
      <c r="C1543" t="s">
        <v>1299</v>
      </c>
      <c r="D1543" t="s">
        <v>1336</v>
      </c>
      <c r="E1543" t="s">
        <v>187</v>
      </c>
      <c r="F1543">
        <v>2012</v>
      </c>
      <c r="G1543">
        <v>0.4824</v>
      </c>
    </row>
    <row r="1544" spans="1:7">
      <c r="A1544" t="s">
        <v>1297</v>
      </c>
      <c r="B1544" t="s">
        <v>1298</v>
      </c>
      <c r="C1544" t="s">
        <v>1299</v>
      </c>
      <c r="D1544" t="s">
        <v>1336</v>
      </c>
      <c r="E1544" t="s">
        <v>187</v>
      </c>
      <c r="F1544">
        <v>2016</v>
      </c>
      <c r="G1544">
        <v>0.48959999999999998</v>
      </c>
    </row>
    <row r="1545" spans="1:7">
      <c r="A1545" t="s">
        <v>1297</v>
      </c>
      <c r="B1545" t="s">
        <v>1298</v>
      </c>
      <c r="C1545" t="s">
        <v>1299</v>
      </c>
      <c r="D1545" t="s">
        <v>1336</v>
      </c>
      <c r="E1545" t="s">
        <v>187</v>
      </c>
      <c r="F1545">
        <v>2020</v>
      </c>
      <c r="G1545">
        <v>1.4648399999999999</v>
      </c>
    </row>
    <row r="1546" spans="1:7">
      <c r="A1546" t="s">
        <v>1297</v>
      </c>
      <c r="B1546" t="s">
        <v>1298</v>
      </c>
      <c r="C1546" t="s">
        <v>289</v>
      </c>
      <c r="D1546" t="s">
        <v>1336</v>
      </c>
      <c r="E1546" t="s">
        <v>187</v>
      </c>
      <c r="F1546">
        <v>2005</v>
      </c>
      <c r="G1546">
        <v>5.04E-2</v>
      </c>
    </row>
    <row r="1547" spans="1:7">
      <c r="A1547" t="s">
        <v>1297</v>
      </c>
      <c r="B1547" t="s">
        <v>1298</v>
      </c>
      <c r="C1547" t="s">
        <v>289</v>
      </c>
      <c r="D1547" t="s">
        <v>1336</v>
      </c>
      <c r="E1547" t="s">
        <v>187</v>
      </c>
      <c r="F1547">
        <v>2010</v>
      </c>
      <c r="G1547">
        <v>0.118933</v>
      </c>
    </row>
    <row r="1548" spans="1:7">
      <c r="A1548" t="s">
        <v>1297</v>
      </c>
      <c r="B1548" t="s">
        <v>1298</v>
      </c>
      <c r="C1548" t="s">
        <v>289</v>
      </c>
      <c r="D1548" t="s">
        <v>1336</v>
      </c>
      <c r="E1548" t="s">
        <v>187</v>
      </c>
      <c r="F1548">
        <v>2012</v>
      </c>
      <c r="G1548">
        <v>0.33806199999999997</v>
      </c>
    </row>
    <row r="1549" spans="1:7">
      <c r="A1549" t="s">
        <v>1297</v>
      </c>
      <c r="B1549" t="s">
        <v>1298</v>
      </c>
      <c r="C1549" t="s">
        <v>289</v>
      </c>
      <c r="D1549" t="s">
        <v>1336</v>
      </c>
      <c r="E1549" t="s">
        <v>187</v>
      </c>
      <c r="F1549">
        <v>2016</v>
      </c>
      <c r="G1549">
        <v>1.553126</v>
      </c>
    </row>
    <row r="1550" spans="1:7">
      <c r="A1550" t="s">
        <v>1297</v>
      </c>
      <c r="B1550" t="s">
        <v>1298</v>
      </c>
      <c r="C1550" t="s">
        <v>289</v>
      </c>
      <c r="D1550" t="s">
        <v>1336</v>
      </c>
      <c r="E1550" t="s">
        <v>187</v>
      </c>
      <c r="F1550">
        <v>2020</v>
      </c>
      <c r="G1550">
        <v>3.1622400000000002</v>
      </c>
    </row>
    <row r="1551" spans="1:7">
      <c r="A1551" t="s">
        <v>1297</v>
      </c>
      <c r="B1551" t="s">
        <v>1298</v>
      </c>
      <c r="C1551" t="s">
        <v>666</v>
      </c>
      <c r="D1551" t="s">
        <v>1336</v>
      </c>
      <c r="E1551" t="s">
        <v>187</v>
      </c>
      <c r="F1551">
        <v>2005</v>
      </c>
      <c r="G1551">
        <v>2.52E-2</v>
      </c>
    </row>
    <row r="1552" spans="1:7">
      <c r="A1552" t="s">
        <v>1297</v>
      </c>
      <c r="B1552" t="s">
        <v>1298</v>
      </c>
      <c r="C1552" t="s">
        <v>666</v>
      </c>
      <c r="D1552" t="s">
        <v>1336</v>
      </c>
      <c r="E1552" t="s">
        <v>187</v>
      </c>
      <c r="F1552">
        <v>2010</v>
      </c>
      <c r="G1552">
        <v>0.5292</v>
      </c>
    </row>
    <row r="1553" spans="1:7">
      <c r="A1553" t="s">
        <v>1297</v>
      </c>
      <c r="B1553" t="s">
        <v>1298</v>
      </c>
      <c r="C1553" t="s">
        <v>666</v>
      </c>
      <c r="D1553" t="s">
        <v>1336</v>
      </c>
      <c r="E1553" t="s">
        <v>187</v>
      </c>
      <c r="F1553">
        <v>2012</v>
      </c>
      <c r="G1553">
        <v>0.78480000000000005</v>
      </c>
    </row>
    <row r="1554" spans="1:7">
      <c r="A1554" t="s">
        <v>1297</v>
      </c>
      <c r="B1554" t="s">
        <v>1298</v>
      </c>
      <c r="C1554" t="s">
        <v>666</v>
      </c>
      <c r="D1554" t="s">
        <v>1336</v>
      </c>
      <c r="E1554" t="s">
        <v>187</v>
      </c>
      <c r="F1554">
        <v>2016</v>
      </c>
      <c r="G1554">
        <v>1.5804</v>
      </c>
    </row>
    <row r="1555" spans="1:7">
      <c r="A1555" t="s">
        <v>1297</v>
      </c>
      <c r="B1555" t="s">
        <v>1298</v>
      </c>
      <c r="C1555" t="s">
        <v>666</v>
      </c>
      <c r="D1555" t="s">
        <v>1336</v>
      </c>
      <c r="E1555" t="s">
        <v>187</v>
      </c>
      <c r="F1555">
        <v>2020</v>
      </c>
      <c r="G1555">
        <v>1.9195199999999999</v>
      </c>
    </row>
    <row r="1556" spans="1:7">
      <c r="A1556" t="s">
        <v>1297</v>
      </c>
      <c r="B1556" t="s">
        <v>1298</v>
      </c>
      <c r="C1556" t="s">
        <v>1301</v>
      </c>
      <c r="D1556" t="s">
        <v>1336</v>
      </c>
      <c r="E1556" t="s">
        <v>187</v>
      </c>
      <c r="F1556">
        <v>2005</v>
      </c>
      <c r="G1556">
        <v>0.12239999999999999</v>
      </c>
    </row>
    <row r="1557" spans="1:7">
      <c r="A1557" t="s">
        <v>1297</v>
      </c>
      <c r="B1557" t="s">
        <v>1298</v>
      </c>
      <c r="C1557" t="s">
        <v>1301</v>
      </c>
      <c r="D1557" t="s">
        <v>1336</v>
      </c>
      <c r="E1557" t="s">
        <v>187</v>
      </c>
      <c r="F1557">
        <v>2010</v>
      </c>
      <c r="G1557">
        <v>1.1984539999999999</v>
      </c>
    </row>
    <row r="1558" spans="1:7">
      <c r="A1558" t="s">
        <v>1297</v>
      </c>
      <c r="B1558" t="s">
        <v>1298</v>
      </c>
      <c r="C1558" t="s">
        <v>1301</v>
      </c>
      <c r="D1558" t="s">
        <v>1336</v>
      </c>
      <c r="E1558" t="s">
        <v>187</v>
      </c>
      <c r="F1558">
        <v>2012</v>
      </c>
      <c r="G1558">
        <v>2.1309550000000002</v>
      </c>
    </row>
    <row r="1559" spans="1:7">
      <c r="A1559" t="s">
        <v>1297</v>
      </c>
      <c r="B1559" t="s">
        <v>1298</v>
      </c>
      <c r="C1559" t="s">
        <v>1301</v>
      </c>
      <c r="D1559" t="s">
        <v>1336</v>
      </c>
      <c r="E1559" t="s">
        <v>187</v>
      </c>
      <c r="F1559">
        <v>2016</v>
      </c>
      <c r="G1559">
        <v>5.8850280000000001</v>
      </c>
    </row>
    <row r="1560" spans="1:7">
      <c r="A1560" t="s">
        <v>1297</v>
      </c>
      <c r="B1560" t="s">
        <v>1298</v>
      </c>
      <c r="C1560" t="s">
        <v>669</v>
      </c>
      <c r="D1560" t="s">
        <v>1336</v>
      </c>
      <c r="E1560" t="s">
        <v>187</v>
      </c>
      <c r="F1560">
        <v>2012</v>
      </c>
      <c r="G1560">
        <v>3.2025999999999999E-2</v>
      </c>
    </row>
    <row r="1561" spans="1:7">
      <c r="A1561" t="s">
        <v>1297</v>
      </c>
      <c r="B1561" t="s">
        <v>1298</v>
      </c>
      <c r="C1561" t="s">
        <v>669</v>
      </c>
      <c r="D1561" t="s">
        <v>1336</v>
      </c>
      <c r="E1561" t="s">
        <v>187</v>
      </c>
      <c r="F1561">
        <v>2016</v>
      </c>
      <c r="G1561">
        <v>2.9905000000000001E-2</v>
      </c>
    </row>
    <row r="1562" spans="1:7">
      <c r="A1562" t="s">
        <v>1297</v>
      </c>
      <c r="B1562" t="s">
        <v>1298</v>
      </c>
      <c r="C1562" t="s">
        <v>669</v>
      </c>
      <c r="D1562" t="s">
        <v>1336</v>
      </c>
      <c r="E1562" t="s">
        <v>187</v>
      </c>
      <c r="F1562">
        <v>2020</v>
      </c>
      <c r="G1562">
        <v>2.3043999999999999E-2</v>
      </c>
    </row>
    <row r="1563" spans="1:7">
      <c r="A1563" t="s">
        <v>1297</v>
      </c>
      <c r="B1563" t="s">
        <v>1298</v>
      </c>
      <c r="C1563" t="s">
        <v>1300</v>
      </c>
      <c r="D1563" t="s">
        <v>1336</v>
      </c>
      <c r="E1563" t="s">
        <v>187</v>
      </c>
      <c r="F1563">
        <v>2016</v>
      </c>
      <c r="G1563">
        <v>5.0507999999999997E-2</v>
      </c>
    </row>
    <row r="1564" spans="1:7">
      <c r="A1564" t="s">
        <v>1297</v>
      </c>
      <c r="B1564" t="s">
        <v>1298</v>
      </c>
      <c r="C1564" t="s">
        <v>1300</v>
      </c>
      <c r="D1564" t="s">
        <v>1336</v>
      </c>
      <c r="E1564" t="s">
        <v>187</v>
      </c>
      <c r="F1564">
        <v>2020</v>
      </c>
      <c r="G1564">
        <v>0.1116</v>
      </c>
    </row>
    <row r="1565" spans="1:7">
      <c r="A1565" t="s">
        <v>1297</v>
      </c>
      <c r="B1565" t="s">
        <v>1298</v>
      </c>
      <c r="C1565" t="s">
        <v>662</v>
      </c>
      <c r="D1565" t="s">
        <v>1336</v>
      </c>
      <c r="E1565" t="s">
        <v>187</v>
      </c>
      <c r="F1565">
        <v>2005</v>
      </c>
      <c r="G1565">
        <v>0.43747200000000003</v>
      </c>
    </row>
    <row r="1566" spans="1:7">
      <c r="A1566" t="s">
        <v>1297</v>
      </c>
      <c r="B1566" t="s">
        <v>1298</v>
      </c>
      <c r="C1566" t="s">
        <v>662</v>
      </c>
      <c r="D1566" t="s">
        <v>1336</v>
      </c>
      <c r="E1566" t="s">
        <v>187</v>
      </c>
      <c r="F1566">
        <v>2010</v>
      </c>
      <c r="G1566">
        <v>0.68400000000000005</v>
      </c>
    </row>
    <row r="1567" spans="1:7">
      <c r="A1567" t="s">
        <v>1297</v>
      </c>
      <c r="B1567" t="s">
        <v>1298</v>
      </c>
      <c r="C1567" t="s">
        <v>662</v>
      </c>
      <c r="D1567" t="s">
        <v>1336</v>
      </c>
      <c r="E1567" t="s">
        <v>187</v>
      </c>
      <c r="F1567">
        <v>2012</v>
      </c>
      <c r="G1567">
        <v>0.73545799999999995</v>
      </c>
    </row>
    <row r="1568" spans="1:7">
      <c r="A1568" t="s">
        <v>1297</v>
      </c>
      <c r="B1568" t="s">
        <v>1298</v>
      </c>
      <c r="C1568" t="s">
        <v>662</v>
      </c>
      <c r="D1568" t="s">
        <v>1336</v>
      </c>
      <c r="E1568" t="s">
        <v>187</v>
      </c>
      <c r="F1568">
        <v>2016</v>
      </c>
      <c r="G1568">
        <v>0.98722799999999999</v>
      </c>
    </row>
    <row r="1569" spans="1:7">
      <c r="A1569" t="s">
        <v>1297</v>
      </c>
      <c r="B1569" t="s">
        <v>1298</v>
      </c>
      <c r="C1569" t="s">
        <v>662</v>
      </c>
      <c r="D1569" t="s">
        <v>1336</v>
      </c>
      <c r="E1569" t="s">
        <v>187</v>
      </c>
      <c r="F1569">
        <v>2020</v>
      </c>
      <c r="G1569">
        <v>1.4472970000000001</v>
      </c>
    </row>
    <row r="1570" spans="1:7">
      <c r="A1570" t="s">
        <v>1297</v>
      </c>
      <c r="B1570" t="s">
        <v>1298</v>
      </c>
      <c r="C1570" t="s">
        <v>670</v>
      </c>
      <c r="D1570" t="s">
        <v>1337</v>
      </c>
      <c r="E1570" t="s">
        <v>187</v>
      </c>
      <c r="F1570">
        <v>2012</v>
      </c>
      <c r="G1570">
        <v>9.5070110000000003</v>
      </c>
    </row>
    <row r="1571" spans="1:7">
      <c r="A1571" t="s">
        <v>1297</v>
      </c>
      <c r="B1571" t="s">
        <v>1298</v>
      </c>
      <c r="C1571" t="s">
        <v>670</v>
      </c>
      <c r="D1571" t="s">
        <v>1337</v>
      </c>
      <c r="E1571" t="s">
        <v>187</v>
      </c>
      <c r="F1571">
        <v>2016</v>
      </c>
      <c r="G1571">
        <v>13.702555</v>
      </c>
    </row>
    <row r="1572" spans="1:7">
      <c r="A1572" t="s">
        <v>1297</v>
      </c>
      <c r="B1572" t="s">
        <v>1298</v>
      </c>
      <c r="C1572" t="s">
        <v>670</v>
      </c>
      <c r="D1572" t="s">
        <v>1337</v>
      </c>
      <c r="E1572" t="s">
        <v>187</v>
      </c>
      <c r="F1572">
        <v>2020</v>
      </c>
      <c r="G1572">
        <v>18.462951</v>
      </c>
    </row>
    <row r="1573" spans="1:7">
      <c r="A1573" t="s">
        <v>1297</v>
      </c>
      <c r="B1573" t="s">
        <v>1298</v>
      </c>
      <c r="C1573" t="s">
        <v>679</v>
      </c>
      <c r="D1573" t="s">
        <v>1337</v>
      </c>
      <c r="E1573" t="s">
        <v>187</v>
      </c>
      <c r="F1573">
        <v>2005</v>
      </c>
      <c r="G1573">
        <v>4.0519999999999996</v>
      </c>
    </row>
    <row r="1574" spans="1:7">
      <c r="A1574" t="s">
        <v>1297</v>
      </c>
      <c r="B1574" t="s">
        <v>1298</v>
      </c>
      <c r="C1574" t="s">
        <v>679</v>
      </c>
      <c r="D1574" t="s">
        <v>1337</v>
      </c>
      <c r="E1574" t="s">
        <v>187</v>
      </c>
      <c r="F1574">
        <v>2010</v>
      </c>
      <c r="G1574">
        <v>6.194</v>
      </c>
    </row>
    <row r="1575" spans="1:7">
      <c r="A1575" t="s">
        <v>1297</v>
      </c>
      <c r="B1575" t="s">
        <v>1298</v>
      </c>
      <c r="C1575" t="s">
        <v>679</v>
      </c>
      <c r="D1575" t="s">
        <v>1337</v>
      </c>
      <c r="E1575" t="s">
        <v>187</v>
      </c>
      <c r="F1575">
        <v>2012</v>
      </c>
      <c r="G1575">
        <v>6.9649999999999999</v>
      </c>
    </row>
    <row r="1576" spans="1:7">
      <c r="A1576" t="s">
        <v>1297</v>
      </c>
      <c r="B1576" t="s">
        <v>1298</v>
      </c>
      <c r="C1576" t="s">
        <v>679</v>
      </c>
      <c r="D1576" t="s">
        <v>1337</v>
      </c>
      <c r="E1576" t="s">
        <v>187</v>
      </c>
      <c r="F1576">
        <v>2016</v>
      </c>
      <c r="G1576">
        <v>9.6850000000000005</v>
      </c>
    </row>
    <row r="1577" spans="1:7">
      <c r="A1577" t="s">
        <v>1297</v>
      </c>
      <c r="B1577" t="s">
        <v>1298</v>
      </c>
      <c r="C1577" t="s">
        <v>679</v>
      </c>
      <c r="D1577" t="s">
        <v>1337</v>
      </c>
      <c r="E1577" t="s">
        <v>187</v>
      </c>
      <c r="F1577">
        <v>2020</v>
      </c>
      <c r="G1577">
        <v>11.777532000000001</v>
      </c>
    </row>
    <row r="1578" spans="1:7">
      <c r="A1578" t="s">
        <v>1297</v>
      </c>
      <c r="B1578" t="s">
        <v>1298</v>
      </c>
      <c r="C1578" t="s">
        <v>686</v>
      </c>
      <c r="D1578" t="s">
        <v>1337</v>
      </c>
      <c r="E1578" t="s">
        <v>187</v>
      </c>
      <c r="F1578">
        <v>2010</v>
      </c>
      <c r="G1578">
        <v>6.7000000000000004E-2</v>
      </c>
    </row>
    <row r="1579" spans="1:7">
      <c r="A1579" t="s">
        <v>1297</v>
      </c>
      <c r="B1579" t="s">
        <v>1298</v>
      </c>
      <c r="C1579" t="s">
        <v>686</v>
      </c>
      <c r="D1579" t="s">
        <v>1337</v>
      </c>
      <c r="E1579" t="s">
        <v>187</v>
      </c>
      <c r="F1579">
        <v>2012</v>
      </c>
      <c r="G1579">
        <v>6.0999999999999999E-2</v>
      </c>
    </row>
    <row r="1580" spans="1:7">
      <c r="A1580" t="s">
        <v>1297</v>
      </c>
      <c r="B1580" t="s">
        <v>1298</v>
      </c>
      <c r="C1580" t="s">
        <v>686</v>
      </c>
      <c r="D1580" t="s">
        <v>1337</v>
      </c>
      <c r="E1580" t="s">
        <v>187</v>
      </c>
      <c r="F1580">
        <v>2016</v>
      </c>
      <c r="G1580">
        <v>0.14799999999999999</v>
      </c>
    </row>
    <row r="1581" spans="1:7">
      <c r="A1581" t="s">
        <v>1297</v>
      </c>
      <c r="B1581" t="s">
        <v>1298</v>
      </c>
      <c r="C1581" t="s">
        <v>686</v>
      </c>
      <c r="D1581" t="s">
        <v>1337</v>
      </c>
      <c r="E1581" t="s">
        <v>187</v>
      </c>
      <c r="F1581">
        <v>2020</v>
      </c>
      <c r="G1581">
        <v>0.30273800000000001</v>
      </c>
    </row>
    <row r="1582" spans="1:7">
      <c r="A1582" t="s">
        <v>1297</v>
      </c>
      <c r="B1582" t="s">
        <v>1298</v>
      </c>
      <c r="C1582" t="s">
        <v>657</v>
      </c>
      <c r="D1582" t="s">
        <v>1337</v>
      </c>
      <c r="E1582" t="s">
        <v>187</v>
      </c>
      <c r="F1582">
        <v>2005</v>
      </c>
      <c r="G1582">
        <v>35.317999999999998</v>
      </c>
    </row>
    <row r="1583" spans="1:7">
      <c r="A1583" t="s">
        <v>1297</v>
      </c>
      <c r="B1583" t="s">
        <v>1298</v>
      </c>
      <c r="C1583" t="s">
        <v>657</v>
      </c>
      <c r="D1583" t="s">
        <v>1337</v>
      </c>
      <c r="E1583" t="s">
        <v>187</v>
      </c>
      <c r="F1583">
        <v>2010</v>
      </c>
      <c r="G1583">
        <v>51.084825000000002</v>
      </c>
    </row>
    <row r="1584" spans="1:7">
      <c r="A1584" t="s">
        <v>1297</v>
      </c>
      <c r="B1584" t="s">
        <v>1298</v>
      </c>
      <c r="C1584" t="s">
        <v>657</v>
      </c>
      <c r="D1584" t="s">
        <v>1337</v>
      </c>
      <c r="E1584" t="s">
        <v>187</v>
      </c>
      <c r="F1584">
        <v>2012</v>
      </c>
      <c r="G1584">
        <v>54.654426999999998</v>
      </c>
    </row>
    <row r="1585" spans="1:7">
      <c r="A1585" t="s">
        <v>1297</v>
      </c>
      <c r="B1585" t="s">
        <v>1298</v>
      </c>
      <c r="C1585" t="s">
        <v>657</v>
      </c>
      <c r="D1585" t="s">
        <v>1337</v>
      </c>
      <c r="E1585" t="s">
        <v>187</v>
      </c>
      <c r="F1585">
        <v>2016</v>
      </c>
      <c r="G1585">
        <v>65.135621999999998</v>
      </c>
    </row>
    <row r="1586" spans="1:7">
      <c r="A1586" t="s">
        <v>1297</v>
      </c>
      <c r="B1586" t="s">
        <v>1298</v>
      </c>
      <c r="C1586" t="s">
        <v>657</v>
      </c>
      <c r="D1586" t="s">
        <v>1337</v>
      </c>
      <c r="E1586" t="s">
        <v>187</v>
      </c>
      <c r="F1586">
        <v>2020</v>
      </c>
      <c r="G1586">
        <v>79.245484000000005</v>
      </c>
    </row>
    <row r="1587" spans="1:7">
      <c r="A1587" t="s">
        <v>1297</v>
      </c>
      <c r="B1587" t="s">
        <v>1298</v>
      </c>
      <c r="C1587" t="s">
        <v>665</v>
      </c>
      <c r="D1587" t="s">
        <v>1337</v>
      </c>
      <c r="E1587" t="s">
        <v>187</v>
      </c>
      <c r="F1587">
        <v>2005</v>
      </c>
      <c r="G1587">
        <v>7.9740000000000002</v>
      </c>
    </row>
    <row r="1588" spans="1:7">
      <c r="A1588" t="s">
        <v>1297</v>
      </c>
      <c r="B1588" t="s">
        <v>1298</v>
      </c>
      <c r="C1588" t="s">
        <v>665</v>
      </c>
      <c r="D1588" t="s">
        <v>1337</v>
      </c>
      <c r="E1588" t="s">
        <v>187</v>
      </c>
      <c r="F1588">
        <v>2010</v>
      </c>
      <c r="G1588">
        <v>10.804</v>
      </c>
    </row>
    <row r="1589" spans="1:7">
      <c r="A1589" t="s">
        <v>1297</v>
      </c>
      <c r="B1589" t="s">
        <v>1298</v>
      </c>
      <c r="C1589" t="s">
        <v>665</v>
      </c>
      <c r="D1589" t="s">
        <v>1337</v>
      </c>
      <c r="E1589" t="s">
        <v>187</v>
      </c>
      <c r="F1589">
        <v>2012</v>
      </c>
      <c r="G1589">
        <v>24.146999999999998</v>
      </c>
    </row>
    <row r="1590" spans="1:7">
      <c r="A1590" t="s">
        <v>1297</v>
      </c>
      <c r="B1590" t="s">
        <v>1298</v>
      </c>
      <c r="C1590" t="s">
        <v>665</v>
      </c>
      <c r="D1590" t="s">
        <v>1337</v>
      </c>
      <c r="E1590" t="s">
        <v>187</v>
      </c>
      <c r="F1590">
        <v>2016</v>
      </c>
      <c r="G1590">
        <v>38.107999999999997</v>
      </c>
    </row>
    <row r="1591" spans="1:7">
      <c r="A1591" t="s">
        <v>1297</v>
      </c>
      <c r="B1591" t="s">
        <v>1298</v>
      </c>
      <c r="C1591" t="s">
        <v>665</v>
      </c>
      <c r="D1591" t="s">
        <v>1337</v>
      </c>
      <c r="E1591" t="s">
        <v>187</v>
      </c>
      <c r="F1591">
        <v>2020</v>
      </c>
      <c r="G1591">
        <v>41.094172</v>
      </c>
    </row>
    <row r="1592" spans="1:7">
      <c r="A1592" t="s">
        <v>1297</v>
      </c>
      <c r="B1592" t="s">
        <v>1298</v>
      </c>
      <c r="C1592" t="s">
        <v>670</v>
      </c>
      <c r="D1592" t="s">
        <v>1337</v>
      </c>
      <c r="E1592" t="s">
        <v>187</v>
      </c>
      <c r="F1592">
        <v>2005</v>
      </c>
      <c r="G1592">
        <v>4.7832730000000003</v>
      </c>
    </row>
    <row r="1593" spans="1:7">
      <c r="A1593" t="s">
        <v>1297</v>
      </c>
      <c r="B1593" t="s">
        <v>1298</v>
      </c>
      <c r="C1593" t="s">
        <v>670</v>
      </c>
      <c r="D1593" t="s">
        <v>1337</v>
      </c>
      <c r="E1593" t="s">
        <v>187</v>
      </c>
      <c r="F1593">
        <v>2010</v>
      </c>
      <c r="G1593">
        <v>7.4118589999999998</v>
      </c>
    </row>
    <row r="1594" spans="1:7">
      <c r="A1594" t="s">
        <v>1297</v>
      </c>
      <c r="B1594" t="s">
        <v>1298</v>
      </c>
      <c r="C1594" t="s">
        <v>668</v>
      </c>
      <c r="D1594" t="s">
        <v>1337</v>
      </c>
      <c r="E1594" t="s">
        <v>187</v>
      </c>
      <c r="F1594">
        <v>2005</v>
      </c>
      <c r="G1594">
        <v>4.3520000000000003</v>
      </c>
    </row>
    <row r="1595" spans="1:7">
      <c r="A1595" t="s">
        <v>1297</v>
      </c>
      <c r="B1595" t="s">
        <v>1298</v>
      </c>
      <c r="C1595" t="s">
        <v>668</v>
      </c>
      <c r="D1595" t="s">
        <v>1337</v>
      </c>
      <c r="E1595" t="s">
        <v>187</v>
      </c>
      <c r="F1595">
        <v>2010</v>
      </c>
      <c r="G1595">
        <v>4.29</v>
      </c>
    </row>
    <row r="1596" spans="1:7">
      <c r="A1596" t="s">
        <v>1297</v>
      </c>
      <c r="B1596" t="s">
        <v>1298</v>
      </c>
      <c r="C1596" t="s">
        <v>668</v>
      </c>
      <c r="D1596" t="s">
        <v>1337</v>
      </c>
      <c r="E1596" t="s">
        <v>187</v>
      </c>
      <c r="F1596">
        <v>2012</v>
      </c>
      <c r="G1596">
        <v>5.0419999999999998</v>
      </c>
    </row>
    <row r="1597" spans="1:7">
      <c r="A1597" t="s">
        <v>1297</v>
      </c>
      <c r="B1597" t="s">
        <v>1298</v>
      </c>
      <c r="C1597" t="s">
        <v>668</v>
      </c>
      <c r="D1597" t="s">
        <v>1337</v>
      </c>
      <c r="E1597" t="s">
        <v>187</v>
      </c>
      <c r="F1597">
        <v>2016</v>
      </c>
      <c r="G1597">
        <v>11.476000000000001</v>
      </c>
    </row>
    <row r="1598" spans="1:7">
      <c r="A1598" t="s">
        <v>1297</v>
      </c>
      <c r="B1598" t="s">
        <v>1298</v>
      </c>
      <c r="C1598" t="s">
        <v>668</v>
      </c>
      <c r="D1598" t="s">
        <v>1337</v>
      </c>
      <c r="E1598" t="s">
        <v>187</v>
      </c>
      <c r="F1598">
        <v>2020</v>
      </c>
      <c r="G1598">
        <v>15.352278999999999</v>
      </c>
    </row>
    <row r="1599" spans="1:7">
      <c r="A1599" t="s">
        <v>1297</v>
      </c>
      <c r="B1599" t="s">
        <v>1298</v>
      </c>
      <c r="C1599" t="s">
        <v>674</v>
      </c>
      <c r="D1599" t="s">
        <v>1337</v>
      </c>
      <c r="E1599" t="s">
        <v>187</v>
      </c>
      <c r="F1599">
        <v>2005</v>
      </c>
      <c r="G1599">
        <v>104.869</v>
      </c>
    </row>
    <row r="1600" spans="1:7">
      <c r="A1600" t="s">
        <v>1297</v>
      </c>
      <c r="B1600" t="s">
        <v>1298</v>
      </c>
      <c r="C1600" t="s">
        <v>674</v>
      </c>
      <c r="D1600" t="s">
        <v>1337</v>
      </c>
      <c r="E1600" t="s">
        <v>187</v>
      </c>
      <c r="F1600">
        <v>2010</v>
      </c>
      <c r="G1600">
        <v>136.536</v>
      </c>
    </row>
    <row r="1601" spans="1:7">
      <c r="A1601" t="s">
        <v>1297</v>
      </c>
      <c r="B1601" t="s">
        <v>1298</v>
      </c>
      <c r="C1601" t="s">
        <v>674</v>
      </c>
      <c r="D1601" t="s">
        <v>1337</v>
      </c>
      <c r="E1601" t="s">
        <v>187</v>
      </c>
      <c r="F1601">
        <v>2012</v>
      </c>
      <c r="G1601">
        <v>127.70699999999999</v>
      </c>
    </row>
    <row r="1602" spans="1:7">
      <c r="A1602" t="s">
        <v>1297</v>
      </c>
      <c r="B1602" t="s">
        <v>1298</v>
      </c>
      <c r="C1602" t="s">
        <v>674</v>
      </c>
      <c r="D1602" t="s">
        <v>1337</v>
      </c>
      <c r="E1602" t="s">
        <v>187</v>
      </c>
      <c r="F1602">
        <v>2016</v>
      </c>
      <c r="G1602">
        <v>130.167</v>
      </c>
    </row>
    <row r="1603" spans="1:7">
      <c r="A1603" t="s">
        <v>1297</v>
      </c>
      <c r="B1603" t="s">
        <v>1298</v>
      </c>
      <c r="C1603" t="s">
        <v>674</v>
      </c>
      <c r="D1603" t="s">
        <v>1337</v>
      </c>
      <c r="E1603" t="s">
        <v>187</v>
      </c>
      <c r="F1603">
        <v>2020</v>
      </c>
      <c r="G1603">
        <v>132.773</v>
      </c>
    </row>
    <row r="1604" spans="1:7">
      <c r="A1604" t="s">
        <v>1297</v>
      </c>
      <c r="B1604" t="s">
        <v>1298</v>
      </c>
      <c r="C1604" t="s">
        <v>666</v>
      </c>
      <c r="D1604" t="s">
        <v>1337</v>
      </c>
      <c r="E1604" t="s">
        <v>187</v>
      </c>
      <c r="F1604">
        <v>2005</v>
      </c>
      <c r="G1604">
        <v>4.8099999999999996</v>
      </c>
    </row>
    <row r="1605" spans="1:7">
      <c r="A1605" t="s">
        <v>1297</v>
      </c>
      <c r="B1605" t="s">
        <v>1298</v>
      </c>
      <c r="C1605" t="s">
        <v>666</v>
      </c>
      <c r="D1605" t="s">
        <v>1337</v>
      </c>
      <c r="E1605" t="s">
        <v>187</v>
      </c>
      <c r="F1605">
        <v>2010</v>
      </c>
      <c r="G1605">
        <v>7.7850000000000001</v>
      </c>
    </row>
    <row r="1606" spans="1:7">
      <c r="A1606" t="s">
        <v>1297</v>
      </c>
      <c r="B1606" t="s">
        <v>1298</v>
      </c>
      <c r="C1606" t="s">
        <v>666</v>
      </c>
      <c r="D1606" t="s">
        <v>1337</v>
      </c>
      <c r="E1606" t="s">
        <v>187</v>
      </c>
      <c r="F1606">
        <v>2012</v>
      </c>
      <c r="G1606">
        <v>10.105</v>
      </c>
    </row>
    <row r="1607" spans="1:7">
      <c r="A1607" t="s">
        <v>1297</v>
      </c>
      <c r="B1607" t="s">
        <v>1298</v>
      </c>
      <c r="C1607" t="s">
        <v>666</v>
      </c>
      <c r="D1607" t="s">
        <v>1337</v>
      </c>
      <c r="E1607" t="s">
        <v>187</v>
      </c>
      <c r="F1607">
        <v>2016</v>
      </c>
      <c r="G1607">
        <v>20.978999999999999</v>
      </c>
    </row>
    <row r="1608" spans="1:7">
      <c r="A1608" t="s">
        <v>1297</v>
      </c>
      <c r="B1608" t="s">
        <v>1298</v>
      </c>
      <c r="C1608" t="s">
        <v>666</v>
      </c>
      <c r="D1608" t="s">
        <v>1337</v>
      </c>
      <c r="E1608" t="s">
        <v>187</v>
      </c>
      <c r="F1608">
        <v>2020</v>
      </c>
      <c r="G1608">
        <v>23.068000000000001</v>
      </c>
    </row>
    <row r="1609" spans="1:7">
      <c r="A1609" t="s">
        <v>1297</v>
      </c>
      <c r="B1609" t="s">
        <v>1298</v>
      </c>
      <c r="C1609" t="s">
        <v>658</v>
      </c>
      <c r="D1609" t="s">
        <v>1337</v>
      </c>
      <c r="E1609" t="s">
        <v>187</v>
      </c>
      <c r="F1609">
        <v>2005</v>
      </c>
      <c r="G1609">
        <v>3.855</v>
      </c>
    </row>
    <row r="1610" spans="1:7">
      <c r="A1610" t="s">
        <v>1297</v>
      </c>
      <c r="B1610" t="s">
        <v>1298</v>
      </c>
      <c r="C1610" t="s">
        <v>658</v>
      </c>
      <c r="D1610" t="s">
        <v>1337</v>
      </c>
      <c r="E1610" t="s">
        <v>187</v>
      </c>
      <c r="F1610">
        <v>2010</v>
      </c>
      <c r="G1610">
        <v>5.9560000000000004</v>
      </c>
    </row>
    <row r="1611" spans="1:7">
      <c r="A1611" t="s">
        <v>1297</v>
      </c>
      <c r="B1611" t="s">
        <v>1298</v>
      </c>
      <c r="C1611" t="s">
        <v>658</v>
      </c>
      <c r="D1611" t="s">
        <v>1337</v>
      </c>
      <c r="E1611" t="s">
        <v>187</v>
      </c>
      <c r="F1611">
        <v>2012</v>
      </c>
      <c r="G1611">
        <v>7.492</v>
      </c>
    </row>
    <row r="1612" spans="1:7">
      <c r="A1612" t="s">
        <v>1297</v>
      </c>
      <c r="B1612" t="s">
        <v>1298</v>
      </c>
      <c r="C1612" t="s">
        <v>658</v>
      </c>
      <c r="D1612" t="s">
        <v>1337</v>
      </c>
      <c r="E1612" t="s">
        <v>187</v>
      </c>
      <c r="F1612">
        <v>2016</v>
      </c>
      <c r="G1612">
        <v>13.433346</v>
      </c>
    </row>
    <row r="1613" spans="1:7">
      <c r="A1613" t="s">
        <v>1297</v>
      </c>
      <c r="B1613" t="s">
        <v>1298</v>
      </c>
      <c r="C1613" t="s">
        <v>658</v>
      </c>
      <c r="D1613" t="s">
        <v>1337</v>
      </c>
      <c r="E1613" t="s">
        <v>187</v>
      </c>
      <c r="F1613">
        <v>2020</v>
      </c>
      <c r="G1613">
        <v>12.602195999999999</v>
      </c>
    </row>
    <row r="1614" spans="1:7">
      <c r="A1614" t="s">
        <v>1297</v>
      </c>
      <c r="B1614" t="s">
        <v>1298</v>
      </c>
      <c r="C1614" t="s">
        <v>675</v>
      </c>
      <c r="D1614" t="s">
        <v>1337</v>
      </c>
      <c r="E1614" t="s">
        <v>187</v>
      </c>
      <c r="F1614">
        <v>2005</v>
      </c>
      <c r="G1614">
        <v>0.39200000000000002</v>
      </c>
    </row>
    <row r="1615" spans="1:7">
      <c r="A1615" t="s">
        <v>1297</v>
      </c>
      <c r="B1615" t="s">
        <v>1298</v>
      </c>
      <c r="C1615" t="s">
        <v>675</v>
      </c>
      <c r="D1615" t="s">
        <v>1337</v>
      </c>
      <c r="E1615" t="s">
        <v>187</v>
      </c>
      <c r="F1615">
        <v>2010</v>
      </c>
      <c r="G1615">
        <v>0.94099999999999995</v>
      </c>
    </row>
    <row r="1616" spans="1:7">
      <c r="A1616" t="s">
        <v>1297</v>
      </c>
      <c r="B1616" t="s">
        <v>1298</v>
      </c>
      <c r="C1616" t="s">
        <v>675</v>
      </c>
      <c r="D1616" t="s">
        <v>1337</v>
      </c>
      <c r="E1616" t="s">
        <v>187</v>
      </c>
      <c r="F1616">
        <v>2012</v>
      </c>
      <c r="G1616">
        <v>1.218</v>
      </c>
    </row>
    <row r="1617" spans="1:7">
      <c r="A1617" t="s">
        <v>1297</v>
      </c>
      <c r="B1617" t="s">
        <v>1298</v>
      </c>
      <c r="C1617" t="s">
        <v>675</v>
      </c>
      <c r="D1617" t="s">
        <v>1337</v>
      </c>
      <c r="E1617" t="s">
        <v>187</v>
      </c>
      <c r="F1617">
        <v>2016</v>
      </c>
      <c r="G1617">
        <v>1.47</v>
      </c>
    </row>
    <row r="1618" spans="1:7">
      <c r="A1618" t="s">
        <v>1297</v>
      </c>
      <c r="B1618" t="s">
        <v>1298</v>
      </c>
      <c r="C1618" t="s">
        <v>675</v>
      </c>
      <c r="D1618" t="s">
        <v>1337</v>
      </c>
      <c r="E1618" t="s">
        <v>187</v>
      </c>
      <c r="F1618">
        <v>2020</v>
      </c>
      <c r="G1618">
        <v>1.679222</v>
      </c>
    </row>
    <row r="1619" spans="1:7">
      <c r="A1619" t="s">
        <v>1297</v>
      </c>
      <c r="B1619" t="s">
        <v>1298</v>
      </c>
      <c r="C1619" t="s">
        <v>669</v>
      </c>
      <c r="D1619" t="s">
        <v>1337</v>
      </c>
      <c r="E1619" t="s">
        <v>187</v>
      </c>
      <c r="F1619">
        <v>2012</v>
      </c>
      <c r="G1619">
        <v>8.0000000000000002E-3</v>
      </c>
    </row>
    <row r="1620" spans="1:7">
      <c r="A1620" t="s">
        <v>1297</v>
      </c>
      <c r="B1620" t="s">
        <v>1298</v>
      </c>
      <c r="C1620" t="s">
        <v>669</v>
      </c>
      <c r="D1620" t="s">
        <v>1337</v>
      </c>
      <c r="E1620" t="s">
        <v>187</v>
      </c>
      <c r="F1620">
        <v>2016</v>
      </c>
      <c r="G1620">
        <v>3.0000000000000001E-3</v>
      </c>
    </row>
    <row r="1621" spans="1:7">
      <c r="A1621" t="s">
        <v>1297</v>
      </c>
      <c r="B1621" t="s">
        <v>1298</v>
      </c>
      <c r="C1621" t="s">
        <v>669</v>
      </c>
      <c r="D1621" t="s">
        <v>1337</v>
      </c>
      <c r="E1621" t="s">
        <v>187</v>
      </c>
      <c r="F1621">
        <v>2020</v>
      </c>
      <c r="G1621">
        <v>8.8099999999999995E-4</v>
      </c>
    </row>
    <row r="1622" spans="1:7">
      <c r="A1622" t="s">
        <v>1297</v>
      </c>
      <c r="B1622" t="s">
        <v>1298</v>
      </c>
      <c r="C1622" t="s">
        <v>654</v>
      </c>
      <c r="D1622" t="s">
        <v>1337</v>
      </c>
      <c r="E1622" t="s">
        <v>187</v>
      </c>
      <c r="F1622">
        <v>2010</v>
      </c>
      <c r="G1622">
        <v>5.0000000000000001E-3</v>
      </c>
    </row>
    <row r="1623" spans="1:7">
      <c r="A1623" t="s">
        <v>1297</v>
      </c>
      <c r="B1623" t="s">
        <v>1298</v>
      </c>
      <c r="C1623" t="s">
        <v>654</v>
      </c>
      <c r="D1623" t="s">
        <v>1337</v>
      </c>
      <c r="E1623" t="s">
        <v>187</v>
      </c>
      <c r="F1623">
        <v>2012</v>
      </c>
      <c r="G1623">
        <v>3.1E-2</v>
      </c>
    </row>
    <row r="1624" spans="1:7">
      <c r="A1624" t="s">
        <v>1297</v>
      </c>
      <c r="B1624" t="s">
        <v>1298</v>
      </c>
      <c r="C1624" t="s">
        <v>654</v>
      </c>
      <c r="D1624" t="s">
        <v>1337</v>
      </c>
      <c r="E1624" t="s">
        <v>187</v>
      </c>
      <c r="F1624">
        <v>2016</v>
      </c>
      <c r="G1624">
        <v>0.05</v>
      </c>
    </row>
    <row r="1625" spans="1:7">
      <c r="A1625" t="s">
        <v>1297</v>
      </c>
      <c r="B1625" t="s">
        <v>1298</v>
      </c>
      <c r="C1625" t="s">
        <v>654</v>
      </c>
      <c r="D1625" t="s">
        <v>1337</v>
      </c>
      <c r="E1625" t="s">
        <v>187</v>
      </c>
      <c r="F1625">
        <v>2020</v>
      </c>
      <c r="G1625">
        <v>5.1471999999999997E-2</v>
      </c>
    </row>
    <row r="1626" spans="1:7">
      <c r="A1626" t="s">
        <v>1297</v>
      </c>
      <c r="B1626" t="s">
        <v>1298</v>
      </c>
      <c r="C1626" t="s">
        <v>656</v>
      </c>
      <c r="D1626" t="s">
        <v>1337</v>
      </c>
      <c r="E1626" t="s">
        <v>187</v>
      </c>
      <c r="F1626">
        <v>2005</v>
      </c>
      <c r="G1626">
        <v>24.692</v>
      </c>
    </row>
    <row r="1627" spans="1:7">
      <c r="A1627" t="s">
        <v>1297</v>
      </c>
      <c r="B1627" t="s">
        <v>1298</v>
      </c>
      <c r="C1627" t="s">
        <v>656</v>
      </c>
      <c r="D1627" t="s">
        <v>1337</v>
      </c>
      <c r="E1627" t="s">
        <v>187</v>
      </c>
      <c r="F1627">
        <v>2010</v>
      </c>
      <c r="G1627">
        <v>41.408999999999999</v>
      </c>
    </row>
    <row r="1628" spans="1:7">
      <c r="A1628" t="s">
        <v>1297</v>
      </c>
      <c r="B1628" t="s">
        <v>1298</v>
      </c>
      <c r="C1628" t="s">
        <v>656</v>
      </c>
      <c r="D1628" t="s">
        <v>1337</v>
      </c>
      <c r="E1628" t="s">
        <v>187</v>
      </c>
      <c r="F1628">
        <v>2012</v>
      </c>
      <c r="G1628">
        <v>53.493000000000002</v>
      </c>
    </row>
    <row r="1629" spans="1:7">
      <c r="A1629" t="s">
        <v>1297</v>
      </c>
      <c r="B1629" t="s">
        <v>1298</v>
      </c>
      <c r="C1629" t="s">
        <v>656</v>
      </c>
      <c r="D1629" t="s">
        <v>1337</v>
      </c>
      <c r="E1629" t="s">
        <v>187</v>
      </c>
      <c r="F1629">
        <v>2016</v>
      </c>
      <c r="G1629">
        <v>65.900000000000006</v>
      </c>
    </row>
    <row r="1630" spans="1:7">
      <c r="A1630" t="s">
        <v>1297</v>
      </c>
      <c r="B1630" t="s">
        <v>1298</v>
      </c>
      <c r="C1630" t="s">
        <v>656</v>
      </c>
      <c r="D1630" t="s">
        <v>1337</v>
      </c>
      <c r="E1630" t="s">
        <v>187</v>
      </c>
      <c r="F1630">
        <v>2020</v>
      </c>
      <c r="G1630">
        <v>77.924999999999997</v>
      </c>
    </row>
    <row r="1631" spans="1:7">
      <c r="A1631" t="s">
        <v>1297</v>
      </c>
      <c r="B1631" t="s">
        <v>1298</v>
      </c>
      <c r="C1631" t="s">
        <v>653</v>
      </c>
      <c r="D1631" t="s">
        <v>1337</v>
      </c>
      <c r="E1631" t="s">
        <v>187</v>
      </c>
      <c r="F1631">
        <v>2005</v>
      </c>
      <c r="G1631">
        <v>3.1E-2</v>
      </c>
    </row>
    <row r="1632" spans="1:7">
      <c r="A1632" t="s">
        <v>1297</v>
      </c>
      <c r="B1632" t="s">
        <v>1298</v>
      </c>
      <c r="C1632" t="s">
        <v>653</v>
      </c>
      <c r="D1632" t="s">
        <v>1337</v>
      </c>
      <c r="E1632" t="s">
        <v>187</v>
      </c>
      <c r="F1632">
        <v>2010</v>
      </c>
      <c r="G1632">
        <v>7.9000000000000001E-2</v>
      </c>
    </row>
    <row r="1633" spans="1:7">
      <c r="A1633" t="s">
        <v>1297</v>
      </c>
      <c r="B1633" t="s">
        <v>1298</v>
      </c>
      <c r="C1633" t="s">
        <v>653</v>
      </c>
      <c r="D1633" t="s">
        <v>1337</v>
      </c>
      <c r="E1633" t="s">
        <v>187</v>
      </c>
      <c r="F1633">
        <v>2012</v>
      </c>
      <c r="G1633">
        <v>0.19900000000000001</v>
      </c>
    </row>
    <row r="1634" spans="1:7">
      <c r="A1634" t="s">
        <v>1297</v>
      </c>
      <c r="B1634" t="s">
        <v>1298</v>
      </c>
      <c r="C1634" t="s">
        <v>653</v>
      </c>
      <c r="D1634" t="s">
        <v>1337</v>
      </c>
      <c r="E1634" t="s">
        <v>187</v>
      </c>
      <c r="F1634">
        <v>2016</v>
      </c>
      <c r="G1634">
        <v>0.74299999999999999</v>
      </c>
    </row>
    <row r="1635" spans="1:7">
      <c r="A1635" t="s">
        <v>1297</v>
      </c>
      <c r="B1635" t="s">
        <v>1298</v>
      </c>
      <c r="C1635" t="s">
        <v>653</v>
      </c>
      <c r="D1635" t="s">
        <v>1337</v>
      </c>
      <c r="E1635" t="s">
        <v>187</v>
      </c>
      <c r="F1635">
        <v>2020</v>
      </c>
      <c r="G1635">
        <v>6.6567379999999998</v>
      </c>
    </row>
    <row r="1636" spans="1:7">
      <c r="A1636" t="s">
        <v>1297</v>
      </c>
      <c r="B1636" t="s">
        <v>1298</v>
      </c>
      <c r="C1636" t="s">
        <v>671</v>
      </c>
      <c r="D1636" t="s">
        <v>1337</v>
      </c>
      <c r="E1636" t="s">
        <v>187</v>
      </c>
      <c r="F1636">
        <v>2005</v>
      </c>
      <c r="G1636">
        <v>2.5459999999999998</v>
      </c>
    </row>
    <row r="1637" spans="1:7">
      <c r="A1637" t="s">
        <v>1297</v>
      </c>
      <c r="B1637" t="s">
        <v>1298</v>
      </c>
      <c r="C1637" t="s">
        <v>671</v>
      </c>
      <c r="D1637" t="s">
        <v>1337</v>
      </c>
      <c r="E1637" t="s">
        <v>187</v>
      </c>
      <c r="F1637">
        <v>2010</v>
      </c>
      <c r="G1637">
        <v>10.654999999999999</v>
      </c>
    </row>
    <row r="1638" spans="1:7">
      <c r="A1638" t="s">
        <v>1297</v>
      </c>
      <c r="B1638" t="s">
        <v>1298</v>
      </c>
      <c r="C1638" t="s">
        <v>671</v>
      </c>
      <c r="D1638" t="s">
        <v>1337</v>
      </c>
      <c r="E1638" t="s">
        <v>187</v>
      </c>
      <c r="F1638">
        <v>2012</v>
      </c>
      <c r="G1638">
        <v>19.052</v>
      </c>
    </row>
    <row r="1639" spans="1:7">
      <c r="A1639" t="s">
        <v>1297</v>
      </c>
      <c r="B1639" t="s">
        <v>1298</v>
      </c>
      <c r="C1639" t="s">
        <v>671</v>
      </c>
      <c r="D1639" t="s">
        <v>1337</v>
      </c>
      <c r="E1639" t="s">
        <v>187</v>
      </c>
      <c r="F1639">
        <v>2016</v>
      </c>
      <c r="G1639">
        <v>13.975</v>
      </c>
    </row>
    <row r="1640" spans="1:7">
      <c r="A1640" t="s">
        <v>1297</v>
      </c>
      <c r="B1640" t="s">
        <v>1298</v>
      </c>
      <c r="C1640" t="s">
        <v>671</v>
      </c>
      <c r="D1640" t="s">
        <v>1337</v>
      </c>
      <c r="E1640" t="s">
        <v>187</v>
      </c>
      <c r="F1640">
        <v>2020</v>
      </c>
      <c r="G1640">
        <v>17.641479</v>
      </c>
    </row>
    <row r="1641" spans="1:7">
      <c r="A1641" t="s">
        <v>1297</v>
      </c>
      <c r="B1641" t="s">
        <v>1298</v>
      </c>
      <c r="C1641" t="s">
        <v>651</v>
      </c>
      <c r="D1641" t="s">
        <v>1337</v>
      </c>
      <c r="E1641" t="s">
        <v>187</v>
      </c>
      <c r="F1641">
        <v>2005</v>
      </c>
      <c r="G1641">
        <v>12.70227</v>
      </c>
    </row>
    <row r="1642" spans="1:7">
      <c r="A1642" t="s">
        <v>1297</v>
      </c>
      <c r="B1642" t="s">
        <v>1298</v>
      </c>
      <c r="C1642" t="s">
        <v>651</v>
      </c>
      <c r="D1642" t="s">
        <v>1337</v>
      </c>
      <c r="E1642" t="s">
        <v>187</v>
      </c>
      <c r="F1642">
        <v>2010</v>
      </c>
      <c r="G1642">
        <v>32.772995999999999</v>
      </c>
    </row>
    <row r="1643" spans="1:7">
      <c r="A1643" t="s">
        <v>1297</v>
      </c>
      <c r="B1643" t="s">
        <v>1298</v>
      </c>
      <c r="C1643" t="s">
        <v>651</v>
      </c>
      <c r="D1643" t="s">
        <v>1337</v>
      </c>
      <c r="E1643" t="s">
        <v>187</v>
      </c>
      <c r="F1643">
        <v>2012</v>
      </c>
      <c r="G1643">
        <v>37.483299000000002</v>
      </c>
    </row>
    <row r="1644" spans="1:7">
      <c r="A1644" t="s">
        <v>1297</v>
      </c>
      <c r="B1644" t="s">
        <v>1298</v>
      </c>
      <c r="C1644" t="s">
        <v>651</v>
      </c>
      <c r="D1644" t="s">
        <v>1337</v>
      </c>
      <c r="E1644" t="s">
        <v>187</v>
      </c>
      <c r="F1644">
        <v>2016</v>
      </c>
      <c r="G1644">
        <v>38.331803000000001</v>
      </c>
    </row>
    <row r="1645" spans="1:7">
      <c r="A1645" t="s">
        <v>1297</v>
      </c>
      <c r="B1645" t="s">
        <v>1298</v>
      </c>
      <c r="C1645" t="s">
        <v>651</v>
      </c>
      <c r="D1645" t="s">
        <v>1337</v>
      </c>
      <c r="E1645" t="s">
        <v>187</v>
      </c>
      <c r="F1645">
        <v>2020</v>
      </c>
      <c r="G1645">
        <v>40.627963999999999</v>
      </c>
    </row>
    <row r="1646" spans="1:7">
      <c r="A1646" t="s">
        <v>1297</v>
      </c>
      <c r="B1646" t="s">
        <v>1298</v>
      </c>
      <c r="C1646" t="s">
        <v>676</v>
      </c>
      <c r="D1646" t="s">
        <v>1337</v>
      </c>
      <c r="E1646" t="s">
        <v>187</v>
      </c>
      <c r="F1646">
        <v>2005</v>
      </c>
      <c r="G1646">
        <v>1.915</v>
      </c>
    </row>
    <row r="1647" spans="1:7">
      <c r="A1647" t="s">
        <v>1297</v>
      </c>
      <c r="B1647" t="s">
        <v>1298</v>
      </c>
      <c r="C1647" t="s">
        <v>676</v>
      </c>
      <c r="D1647" t="s">
        <v>1337</v>
      </c>
      <c r="E1647" t="s">
        <v>187</v>
      </c>
      <c r="F1647">
        <v>2010</v>
      </c>
      <c r="G1647">
        <v>4.1779999999999999</v>
      </c>
    </row>
    <row r="1648" spans="1:7">
      <c r="A1648" t="s">
        <v>1297</v>
      </c>
      <c r="B1648" t="s">
        <v>1298</v>
      </c>
      <c r="C1648" t="s">
        <v>676</v>
      </c>
      <c r="D1648" t="s">
        <v>1337</v>
      </c>
      <c r="E1648" t="s">
        <v>187</v>
      </c>
      <c r="F1648">
        <v>2012</v>
      </c>
      <c r="G1648">
        <v>7.3849999999999998</v>
      </c>
    </row>
    <row r="1649" spans="1:7">
      <c r="A1649" t="s">
        <v>1297</v>
      </c>
      <c r="B1649" t="s">
        <v>1298</v>
      </c>
      <c r="C1649" t="s">
        <v>676</v>
      </c>
      <c r="D1649" t="s">
        <v>1337</v>
      </c>
      <c r="E1649" t="s">
        <v>187</v>
      </c>
      <c r="F1649">
        <v>2016</v>
      </c>
      <c r="G1649">
        <v>5.7850000000000001</v>
      </c>
    </row>
    <row r="1650" spans="1:7">
      <c r="A1650" t="s">
        <v>1297</v>
      </c>
      <c r="B1650" t="s">
        <v>1298</v>
      </c>
      <c r="C1650" t="s">
        <v>676</v>
      </c>
      <c r="D1650" t="s">
        <v>1337</v>
      </c>
      <c r="E1650" t="s">
        <v>187</v>
      </c>
      <c r="F1650">
        <v>2020</v>
      </c>
      <c r="G1650">
        <v>6.008</v>
      </c>
    </row>
    <row r="1651" spans="1:7">
      <c r="A1651" t="s">
        <v>1297</v>
      </c>
      <c r="B1651" t="s">
        <v>1298</v>
      </c>
      <c r="C1651" t="s">
        <v>673</v>
      </c>
      <c r="D1651" t="s">
        <v>1337</v>
      </c>
      <c r="E1651" t="s">
        <v>187</v>
      </c>
      <c r="F1651">
        <v>2005</v>
      </c>
      <c r="G1651">
        <v>0.72599999999999998</v>
      </c>
    </row>
    <row r="1652" spans="1:7">
      <c r="A1652" t="s">
        <v>1297</v>
      </c>
      <c r="B1652" t="s">
        <v>1298</v>
      </c>
      <c r="C1652" t="s">
        <v>673</v>
      </c>
      <c r="D1652" t="s">
        <v>1337</v>
      </c>
      <c r="E1652" t="s">
        <v>187</v>
      </c>
      <c r="F1652">
        <v>2010</v>
      </c>
      <c r="G1652">
        <v>1.484</v>
      </c>
    </row>
    <row r="1653" spans="1:7">
      <c r="A1653" t="s">
        <v>1297</v>
      </c>
      <c r="B1653" t="s">
        <v>1298</v>
      </c>
      <c r="C1653" t="s">
        <v>673</v>
      </c>
      <c r="D1653" t="s">
        <v>1337</v>
      </c>
      <c r="E1653" t="s">
        <v>187</v>
      </c>
      <c r="F1653">
        <v>2012</v>
      </c>
      <c r="G1653">
        <v>2.1179999999999999</v>
      </c>
    </row>
    <row r="1654" spans="1:7">
      <c r="A1654" t="s">
        <v>1297</v>
      </c>
      <c r="B1654" t="s">
        <v>1298</v>
      </c>
      <c r="C1654" t="s">
        <v>673</v>
      </c>
      <c r="D1654" t="s">
        <v>1337</v>
      </c>
      <c r="E1654" t="s">
        <v>187</v>
      </c>
      <c r="F1654">
        <v>2016</v>
      </c>
      <c r="G1654">
        <v>3.1869999999999998</v>
      </c>
    </row>
    <row r="1655" spans="1:7">
      <c r="A1655" t="s">
        <v>1297</v>
      </c>
      <c r="B1655" t="s">
        <v>1298</v>
      </c>
      <c r="C1655" t="s">
        <v>673</v>
      </c>
      <c r="D1655" t="s">
        <v>1337</v>
      </c>
      <c r="E1655" t="s">
        <v>187</v>
      </c>
      <c r="F1655">
        <v>2020</v>
      </c>
      <c r="G1655">
        <v>2.9651369999999999</v>
      </c>
    </row>
    <row r="1656" spans="1:7">
      <c r="A1656" t="s">
        <v>1297</v>
      </c>
      <c r="B1656" t="s">
        <v>1298</v>
      </c>
      <c r="C1656" t="s">
        <v>660</v>
      </c>
      <c r="D1656" t="s">
        <v>1337</v>
      </c>
      <c r="E1656" t="s">
        <v>187</v>
      </c>
      <c r="F1656">
        <v>2005</v>
      </c>
      <c r="G1656">
        <v>49.704999999999998</v>
      </c>
    </row>
    <row r="1657" spans="1:7">
      <c r="A1657" t="s">
        <v>1297</v>
      </c>
      <c r="B1657" t="s">
        <v>1298</v>
      </c>
      <c r="C1657" t="s">
        <v>667</v>
      </c>
      <c r="D1657" t="s">
        <v>1337</v>
      </c>
      <c r="E1657" t="s">
        <v>187</v>
      </c>
      <c r="F1657">
        <v>2005</v>
      </c>
      <c r="G1657">
        <v>3.9584000000000001E-2</v>
      </c>
    </row>
    <row r="1658" spans="1:7">
      <c r="A1658" t="s">
        <v>1297</v>
      </c>
      <c r="B1658" t="s">
        <v>1298</v>
      </c>
      <c r="C1658" t="s">
        <v>667</v>
      </c>
      <c r="D1658" t="s">
        <v>1337</v>
      </c>
      <c r="E1658" t="s">
        <v>187</v>
      </c>
      <c r="F1658">
        <v>2010</v>
      </c>
      <c r="G1658">
        <v>0.11329</v>
      </c>
    </row>
    <row r="1659" spans="1:7">
      <c r="A1659" t="s">
        <v>1297</v>
      </c>
      <c r="B1659" t="s">
        <v>1298</v>
      </c>
      <c r="C1659" t="s">
        <v>667</v>
      </c>
      <c r="D1659" t="s">
        <v>1337</v>
      </c>
      <c r="E1659" t="s">
        <v>187</v>
      </c>
      <c r="F1659">
        <v>2012</v>
      </c>
      <c r="G1659">
        <v>0.156779</v>
      </c>
    </row>
    <row r="1660" spans="1:7">
      <c r="A1660" t="s">
        <v>1297</v>
      </c>
      <c r="B1660" t="s">
        <v>1298</v>
      </c>
      <c r="C1660" t="s">
        <v>667</v>
      </c>
      <c r="D1660" t="s">
        <v>1337</v>
      </c>
      <c r="E1660" t="s">
        <v>187</v>
      </c>
      <c r="F1660">
        <v>2016</v>
      </c>
      <c r="G1660">
        <v>0.65585000000000004</v>
      </c>
    </row>
    <row r="1661" spans="1:7">
      <c r="A1661" t="s">
        <v>1297</v>
      </c>
      <c r="B1661" t="s">
        <v>1298</v>
      </c>
      <c r="C1661" t="s">
        <v>667</v>
      </c>
      <c r="D1661" t="s">
        <v>1337</v>
      </c>
      <c r="E1661" t="s">
        <v>187</v>
      </c>
      <c r="F1661">
        <v>2020</v>
      </c>
      <c r="G1661">
        <v>2.574481</v>
      </c>
    </row>
    <row r="1662" spans="1:7">
      <c r="A1662" t="s">
        <v>1297</v>
      </c>
      <c r="B1662" t="s">
        <v>1298</v>
      </c>
      <c r="C1662" t="s">
        <v>652</v>
      </c>
      <c r="D1662" t="s">
        <v>1337</v>
      </c>
      <c r="E1662" t="s">
        <v>187</v>
      </c>
      <c r="F1662">
        <v>2005</v>
      </c>
      <c r="G1662">
        <v>1.4370000000000001</v>
      </c>
    </row>
    <row r="1663" spans="1:7">
      <c r="A1663" t="s">
        <v>1297</v>
      </c>
      <c r="B1663" t="s">
        <v>1298</v>
      </c>
      <c r="C1663" t="s">
        <v>652</v>
      </c>
      <c r="D1663" t="s">
        <v>1337</v>
      </c>
      <c r="E1663" t="s">
        <v>187</v>
      </c>
      <c r="F1663">
        <v>2010</v>
      </c>
      <c r="G1663">
        <v>1.2715000000000001</v>
      </c>
    </row>
    <row r="1664" spans="1:7">
      <c r="A1664" t="s">
        <v>1297</v>
      </c>
      <c r="B1664" t="s">
        <v>1298</v>
      </c>
      <c r="C1664" t="s">
        <v>652</v>
      </c>
      <c r="D1664" t="s">
        <v>1337</v>
      </c>
      <c r="E1664" t="s">
        <v>187</v>
      </c>
      <c r="F1664">
        <v>2012</v>
      </c>
      <c r="G1664">
        <v>1.4013</v>
      </c>
    </row>
    <row r="1665" spans="1:7">
      <c r="A1665" t="s">
        <v>1297</v>
      </c>
      <c r="B1665" t="s">
        <v>1298</v>
      </c>
      <c r="C1665" t="s">
        <v>652</v>
      </c>
      <c r="D1665" t="s">
        <v>1337</v>
      </c>
      <c r="E1665" t="s">
        <v>187</v>
      </c>
      <c r="F1665">
        <v>2016</v>
      </c>
      <c r="G1665">
        <v>1.9012</v>
      </c>
    </row>
    <row r="1666" spans="1:7">
      <c r="A1666" t="s">
        <v>1297</v>
      </c>
      <c r="B1666" t="s">
        <v>1298</v>
      </c>
      <c r="C1666" t="s">
        <v>652</v>
      </c>
      <c r="D1666" t="s">
        <v>1337</v>
      </c>
      <c r="E1666" t="s">
        <v>187</v>
      </c>
      <c r="F1666">
        <v>2020</v>
      </c>
      <c r="G1666">
        <v>2.250912</v>
      </c>
    </row>
    <row r="1667" spans="1:7">
      <c r="A1667" t="s">
        <v>1297</v>
      </c>
      <c r="B1667" t="s">
        <v>1298</v>
      </c>
      <c r="C1667" t="s">
        <v>655</v>
      </c>
      <c r="D1667" t="s">
        <v>1337</v>
      </c>
      <c r="E1667" t="s">
        <v>187</v>
      </c>
      <c r="F1667">
        <v>2005</v>
      </c>
      <c r="G1667">
        <v>3.7759999999999998</v>
      </c>
    </row>
    <row r="1668" spans="1:7">
      <c r="A1668" t="s">
        <v>1297</v>
      </c>
      <c r="B1668" t="s">
        <v>1298</v>
      </c>
      <c r="C1668" t="s">
        <v>655</v>
      </c>
      <c r="D1668" t="s">
        <v>1337</v>
      </c>
      <c r="E1668" t="s">
        <v>187</v>
      </c>
      <c r="F1668">
        <v>2010</v>
      </c>
      <c r="G1668">
        <v>3.7719999999999998</v>
      </c>
    </row>
    <row r="1669" spans="1:7">
      <c r="A1669" t="s">
        <v>1297</v>
      </c>
      <c r="B1669" t="s">
        <v>1298</v>
      </c>
      <c r="C1669" t="s">
        <v>655</v>
      </c>
      <c r="D1669" t="s">
        <v>1337</v>
      </c>
      <c r="E1669" t="s">
        <v>187</v>
      </c>
      <c r="F1669">
        <v>2012</v>
      </c>
      <c r="G1669">
        <v>4.8129999999999997</v>
      </c>
    </row>
    <row r="1670" spans="1:7">
      <c r="A1670" t="s">
        <v>1297</v>
      </c>
      <c r="B1670" t="s">
        <v>1298</v>
      </c>
      <c r="C1670" t="s">
        <v>655</v>
      </c>
      <c r="D1670" t="s">
        <v>1337</v>
      </c>
      <c r="E1670" t="s">
        <v>187</v>
      </c>
      <c r="F1670">
        <v>2016</v>
      </c>
      <c r="G1670">
        <v>8.8279999999999994</v>
      </c>
    </row>
    <row r="1671" spans="1:7">
      <c r="A1671" t="s">
        <v>1297</v>
      </c>
      <c r="B1671" t="s">
        <v>1298</v>
      </c>
      <c r="C1671" t="s">
        <v>655</v>
      </c>
      <c r="D1671" t="s">
        <v>1337</v>
      </c>
      <c r="E1671" t="s">
        <v>187</v>
      </c>
      <c r="F1671">
        <v>2020</v>
      </c>
      <c r="G1671">
        <v>10.041917</v>
      </c>
    </row>
    <row r="1672" spans="1:7">
      <c r="A1672" t="s">
        <v>1297</v>
      </c>
      <c r="B1672" t="s">
        <v>1298</v>
      </c>
      <c r="C1672" t="s">
        <v>1299</v>
      </c>
      <c r="D1672" t="s">
        <v>1337</v>
      </c>
      <c r="E1672" t="s">
        <v>187</v>
      </c>
      <c r="F1672">
        <v>2010</v>
      </c>
      <c r="G1672">
        <v>8.4239999999999995</v>
      </c>
    </row>
    <row r="1673" spans="1:7">
      <c r="A1673" t="s">
        <v>1297</v>
      </c>
      <c r="B1673" t="s">
        <v>1298</v>
      </c>
      <c r="C1673" t="s">
        <v>1299</v>
      </c>
      <c r="D1673" t="s">
        <v>1337</v>
      </c>
      <c r="E1673" t="s">
        <v>187</v>
      </c>
      <c r="F1673">
        <v>2012</v>
      </c>
      <c r="G1673">
        <v>9.9849999999999994</v>
      </c>
    </row>
    <row r="1674" spans="1:7">
      <c r="A1674" t="s">
        <v>1297</v>
      </c>
      <c r="B1674" t="s">
        <v>1298</v>
      </c>
      <c r="C1674" t="s">
        <v>1299</v>
      </c>
      <c r="D1674" t="s">
        <v>1337</v>
      </c>
      <c r="E1674" t="s">
        <v>187</v>
      </c>
      <c r="F1674">
        <v>2016</v>
      </c>
      <c r="G1674">
        <v>20.274999999999999</v>
      </c>
    </row>
    <row r="1675" spans="1:7">
      <c r="A1675" t="s">
        <v>1297</v>
      </c>
      <c r="B1675" t="s">
        <v>1298</v>
      </c>
      <c r="C1675" t="s">
        <v>1299</v>
      </c>
      <c r="D1675" t="s">
        <v>1337</v>
      </c>
      <c r="E1675" t="s">
        <v>187</v>
      </c>
      <c r="F1675">
        <v>2020</v>
      </c>
      <c r="G1675">
        <v>32.834000000000003</v>
      </c>
    </row>
    <row r="1676" spans="1:7">
      <c r="A1676" t="s">
        <v>1297</v>
      </c>
      <c r="B1676" t="s">
        <v>1298</v>
      </c>
      <c r="C1676" t="s">
        <v>682</v>
      </c>
      <c r="D1676" t="s">
        <v>1337</v>
      </c>
      <c r="E1676" t="s">
        <v>187</v>
      </c>
      <c r="F1676">
        <v>2016</v>
      </c>
      <c r="G1676">
        <v>0.56999999999999995</v>
      </c>
    </row>
    <row r="1677" spans="1:7">
      <c r="A1677" t="s">
        <v>1297</v>
      </c>
      <c r="B1677" t="s">
        <v>1298</v>
      </c>
      <c r="C1677" t="s">
        <v>682</v>
      </c>
      <c r="D1677" t="s">
        <v>1337</v>
      </c>
      <c r="E1677" t="s">
        <v>187</v>
      </c>
      <c r="F1677">
        <v>2020</v>
      </c>
      <c r="G1677">
        <v>1.2470000000000001</v>
      </c>
    </row>
    <row r="1678" spans="1:7">
      <c r="A1678" t="s">
        <v>1297</v>
      </c>
      <c r="B1678" t="s">
        <v>1298</v>
      </c>
      <c r="C1678" t="s">
        <v>663</v>
      </c>
      <c r="D1678" t="s">
        <v>1337</v>
      </c>
      <c r="E1678" t="s">
        <v>187</v>
      </c>
      <c r="F1678">
        <v>2005</v>
      </c>
      <c r="G1678">
        <v>0.84299999999999997</v>
      </c>
    </row>
    <row r="1679" spans="1:7">
      <c r="A1679" t="s">
        <v>1297</v>
      </c>
      <c r="B1679" t="s">
        <v>1298</v>
      </c>
      <c r="C1679" t="s">
        <v>663</v>
      </c>
      <c r="D1679" t="s">
        <v>1337</v>
      </c>
      <c r="E1679" t="s">
        <v>187</v>
      </c>
      <c r="F1679">
        <v>2010</v>
      </c>
      <c r="G1679">
        <v>3.0219999999999998</v>
      </c>
    </row>
    <row r="1680" spans="1:7">
      <c r="A1680" t="s">
        <v>1297</v>
      </c>
      <c r="B1680" t="s">
        <v>1298</v>
      </c>
      <c r="C1680" t="s">
        <v>663</v>
      </c>
      <c r="D1680" t="s">
        <v>1337</v>
      </c>
      <c r="E1680" t="s">
        <v>187</v>
      </c>
      <c r="F1680">
        <v>2012</v>
      </c>
      <c r="G1680">
        <v>2.8290000000000002</v>
      </c>
    </row>
    <row r="1681" spans="1:7">
      <c r="A1681" t="s">
        <v>1297</v>
      </c>
      <c r="B1681" t="s">
        <v>1298</v>
      </c>
      <c r="C1681" t="s">
        <v>663</v>
      </c>
      <c r="D1681" t="s">
        <v>1337</v>
      </c>
      <c r="E1681" t="s">
        <v>187</v>
      </c>
      <c r="F1681">
        <v>2016</v>
      </c>
      <c r="G1681">
        <v>5.8419999999999996</v>
      </c>
    </row>
    <row r="1682" spans="1:7">
      <c r="A1682" t="s">
        <v>1297</v>
      </c>
      <c r="B1682" t="s">
        <v>1298</v>
      </c>
      <c r="C1682" t="s">
        <v>663</v>
      </c>
      <c r="D1682" t="s">
        <v>1337</v>
      </c>
      <c r="E1682" t="s">
        <v>187</v>
      </c>
      <c r="F1682">
        <v>2020</v>
      </c>
      <c r="G1682">
        <v>4.1885130000000004</v>
      </c>
    </row>
    <row r="1683" spans="1:7">
      <c r="A1683" t="s">
        <v>1297</v>
      </c>
      <c r="B1683" t="s">
        <v>1298</v>
      </c>
      <c r="C1683" t="s">
        <v>660</v>
      </c>
      <c r="D1683" t="s">
        <v>1337</v>
      </c>
      <c r="E1683" t="s">
        <v>187</v>
      </c>
      <c r="F1683">
        <v>2010</v>
      </c>
      <c r="G1683">
        <v>66.358999999999995</v>
      </c>
    </row>
    <row r="1684" spans="1:7">
      <c r="A1684" t="s">
        <v>1297</v>
      </c>
      <c r="B1684" t="s">
        <v>1298</v>
      </c>
      <c r="C1684" t="s">
        <v>660</v>
      </c>
      <c r="D1684" t="s">
        <v>1337</v>
      </c>
      <c r="E1684" t="s">
        <v>187</v>
      </c>
      <c r="F1684">
        <v>2012</v>
      </c>
      <c r="G1684">
        <v>73.590496999999999</v>
      </c>
    </row>
    <row r="1685" spans="1:7">
      <c r="A1685" t="s">
        <v>1297</v>
      </c>
      <c r="B1685" t="s">
        <v>1298</v>
      </c>
      <c r="C1685" t="s">
        <v>660</v>
      </c>
      <c r="D1685" t="s">
        <v>1337</v>
      </c>
      <c r="E1685" t="s">
        <v>187</v>
      </c>
      <c r="F1685">
        <v>2016</v>
      </c>
      <c r="G1685">
        <v>81.707543000000001</v>
      </c>
    </row>
    <row r="1686" spans="1:7">
      <c r="A1686" t="s">
        <v>1297</v>
      </c>
      <c r="B1686" t="s">
        <v>1298</v>
      </c>
      <c r="C1686" t="s">
        <v>660</v>
      </c>
      <c r="D1686" t="s">
        <v>1337</v>
      </c>
      <c r="E1686" t="s">
        <v>187</v>
      </c>
      <c r="F1686">
        <v>2020</v>
      </c>
      <c r="G1686">
        <v>77.170563999999999</v>
      </c>
    </row>
    <row r="1687" spans="1:7">
      <c r="A1687" t="s">
        <v>1297</v>
      </c>
      <c r="B1687" t="s">
        <v>1298</v>
      </c>
      <c r="C1687" t="s">
        <v>677</v>
      </c>
      <c r="D1687" t="s">
        <v>1337</v>
      </c>
      <c r="E1687" t="s">
        <v>187</v>
      </c>
      <c r="F1687">
        <v>2010</v>
      </c>
      <c r="G1687">
        <v>0.11899999999999999</v>
      </c>
    </row>
    <row r="1688" spans="1:7">
      <c r="A1688" t="s">
        <v>1297</v>
      </c>
      <c r="B1688" t="s">
        <v>1298</v>
      </c>
      <c r="C1688" t="s">
        <v>677</v>
      </c>
      <c r="D1688" t="s">
        <v>1337</v>
      </c>
      <c r="E1688" t="s">
        <v>187</v>
      </c>
      <c r="F1688">
        <v>2012</v>
      </c>
      <c r="G1688">
        <v>1.6830000000000001</v>
      </c>
    </row>
    <row r="1689" spans="1:7">
      <c r="A1689" t="s">
        <v>1297</v>
      </c>
      <c r="B1689" t="s">
        <v>1298</v>
      </c>
      <c r="C1689" t="s">
        <v>677</v>
      </c>
      <c r="D1689" t="s">
        <v>1337</v>
      </c>
      <c r="E1689" t="s">
        <v>187</v>
      </c>
      <c r="F1689">
        <v>2016</v>
      </c>
      <c r="G1689">
        <v>3.8278089999999998</v>
      </c>
    </row>
    <row r="1690" spans="1:7">
      <c r="A1690" t="s">
        <v>1297</v>
      </c>
      <c r="B1690" t="s">
        <v>1298</v>
      </c>
      <c r="C1690" t="s">
        <v>677</v>
      </c>
      <c r="D1690" t="s">
        <v>1337</v>
      </c>
      <c r="E1690" t="s">
        <v>187</v>
      </c>
      <c r="F1690">
        <v>2020</v>
      </c>
      <c r="G1690">
        <v>5.1526690000000004</v>
      </c>
    </row>
    <row r="1691" spans="1:7">
      <c r="A1691" t="s">
        <v>1297</v>
      </c>
      <c r="B1691" t="s">
        <v>1298</v>
      </c>
      <c r="C1691" t="s">
        <v>680</v>
      </c>
      <c r="D1691" t="s">
        <v>1337</v>
      </c>
      <c r="E1691" t="s">
        <v>187</v>
      </c>
      <c r="F1691">
        <v>2005</v>
      </c>
      <c r="G1691">
        <v>2.8000000000000001E-2</v>
      </c>
    </row>
    <row r="1692" spans="1:7">
      <c r="A1692" t="s">
        <v>1297</v>
      </c>
      <c r="B1692" t="s">
        <v>1298</v>
      </c>
      <c r="C1692" t="s">
        <v>680</v>
      </c>
      <c r="D1692" t="s">
        <v>1337</v>
      </c>
      <c r="E1692" t="s">
        <v>187</v>
      </c>
      <c r="F1692">
        <v>2010</v>
      </c>
      <c r="G1692">
        <v>1.4E-2</v>
      </c>
    </row>
    <row r="1693" spans="1:7">
      <c r="A1693" t="s">
        <v>1297</v>
      </c>
      <c r="B1693" t="s">
        <v>1298</v>
      </c>
      <c r="C1693" t="s">
        <v>1301</v>
      </c>
      <c r="D1693" t="s">
        <v>1337</v>
      </c>
      <c r="E1693" t="s">
        <v>187</v>
      </c>
      <c r="F1693">
        <v>2010</v>
      </c>
      <c r="G1693">
        <v>0.21299999999999999</v>
      </c>
    </row>
    <row r="1694" spans="1:7">
      <c r="A1694" t="s">
        <v>1297</v>
      </c>
      <c r="B1694" t="s">
        <v>1298</v>
      </c>
      <c r="C1694" t="s">
        <v>1301</v>
      </c>
      <c r="D1694" t="s">
        <v>1337</v>
      </c>
      <c r="E1694" t="s">
        <v>187</v>
      </c>
      <c r="F1694">
        <v>2012</v>
      </c>
      <c r="G1694">
        <v>1.0529999999999999</v>
      </c>
    </row>
    <row r="1695" spans="1:7">
      <c r="A1695" t="s">
        <v>1297</v>
      </c>
      <c r="B1695" t="s">
        <v>1298</v>
      </c>
      <c r="C1695" t="s">
        <v>1301</v>
      </c>
      <c r="D1695" t="s">
        <v>1337</v>
      </c>
      <c r="E1695" t="s">
        <v>187</v>
      </c>
      <c r="F1695">
        <v>2016</v>
      </c>
      <c r="G1695">
        <v>2.0289999999999999</v>
      </c>
    </row>
    <row r="1696" spans="1:7">
      <c r="A1696" t="s">
        <v>1297</v>
      </c>
      <c r="B1696" t="s">
        <v>1298</v>
      </c>
      <c r="C1696" t="s">
        <v>1300</v>
      </c>
      <c r="D1696" t="s">
        <v>1337</v>
      </c>
      <c r="E1696" t="s">
        <v>187</v>
      </c>
      <c r="F1696">
        <v>2010</v>
      </c>
      <c r="G1696">
        <v>0.189</v>
      </c>
    </row>
    <row r="1697" spans="1:7">
      <c r="A1697" t="s">
        <v>1297</v>
      </c>
      <c r="B1697" t="s">
        <v>1298</v>
      </c>
      <c r="C1697" t="s">
        <v>1300</v>
      </c>
      <c r="D1697" t="s">
        <v>1337</v>
      </c>
      <c r="E1697" t="s">
        <v>187</v>
      </c>
      <c r="F1697">
        <v>2012</v>
      </c>
      <c r="G1697">
        <v>0.159</v>
      </c>
    </row>
    <row r="1698" spans="1:7">
      <c r="A1698" t="s">
        <v>1297</v>
      </c>
      <c r="B1698" t="s">
        <v>1298</v>
      </c>
      <c r="C1698" t="s">
        <v>1300</v>
      </c>
      <c r="D1698" t="s">
        <v>1337</v>
      </c>
      <c r="E1698" t="s">
        <v>187</v>
      </c>
      <c r="F1698">
        <v>2016</v>
      </c>
      <c r="G1698">
        <v>0.31</v>
      </c>
    </row>
    <row r="1699" spans="1:7">
      <c r="A1699" t="s">
        <v>1297</v>
      </c>
      <c r="B1699" t="s">
        <v>1298</v>
      </c>
      <c r="C1699" t="s">
        <v>1300</v>
      </c>
      <c r="D1699" t="s">
        <v>1337</v>
      </c>
      <c r="E1699" t="s">
        <v>187</v>
      </c>
      <c r="F1699">
        <v>2020</v>
      </c>
      <c r="G1699">
        <v>0.35899999999999999</v>
      </c>
    </row>
    <row r="1700" spans="1:7">
      <c r="A1700" t="s">
        <v>1297</v>
      </c>
      <c r="B1700" t="s">
        <v>1298</v>
      </c>
      <c r="C1700" t="s">
        <v>661</v>
      </c>
      <c r="D1700" t="s">
        <v>1337</v>
      </c>
      <c r="E1700" t="s">
        <v>187</v>
      </c>
      <c r="F1700">
        <v>2005</v>
      </c>
      <c r="G1700">
        <v>11.185</v>
      </c>
    </row>
    <row r="1701" spans="1:7">
      <c r="A1701" t="s">
        <v>1297</v>
      </c>
      <c r="B1701" t="s">
        <v>1298</v>
      </c>
      <c r="C1701" t="s">
        <v>661</v>
      </c>
      <c r="D1701" t="s">
        <v>1337</v>
      </c>
      <c r="E1701" t="s">
        <v>187</v>
      </c>
      <c r="F1701">
        <v>2010</v>
      </c>
      <c r="G1701">
        <v>27.498387000000001</v>
      </c>
    </row>
    <row r="1702" spans="1:7">
      <c r="A1702" t="s">
        <v>1297</v>
      </c>
      <c r="B1702" t="s">
        <v>1298</v>
      </c>
      <c r="C1702" t="s">
        <v>661</v>
      </c>
      <c r="D1702" t="s">
        <v>1337</v>
      </c>
      <c r="E1702" t="s">
        <v>187</v>
      </c>
      <c r="F1702">
        <v>2012</v>
      </c>
      <c r="G1702">
        <v>33.156582</v>
      </c>
    </row>
    <row r="1703" spans="1:7">
      <c r="A1703" t="s">
        <v>1297</v>
      </c>
      <c r="B1703" t="s">
        <v>1298</v>
      </c>
      <c r="C1703" t="s">
        <v>661</v>
      </c>
      <c r="D1703" t="s">
        <v>1337</v>
      </c>
      <c r="E1703" t="s">
        <v>187</v>
      </c>
      <c r="F1703">
        <v>2016</v>
      </c>
      <c r="G1703">
        <v>60.950176999999996</v>
      </c>
    </row>
    <row r="1704" spans="1:7">
      <c r="A1704" t="s">
        <v>1297</v>
      </c>
      <c r="B1704" t="s">
        <v>1298</v>
      </c>
      <c r="C1704" t="s">
        <v>661</v>
      </c>
      <c r="D1704" t="s">
        <v>1337</v>
      </c>
      <c r="E1704" t="s">
        <v>187</v>
      </c>
      <c r="F1704">
        <v>2020</v>
      </c>
      <c r="G1704">
        <v>69.750889000000001</v>
      </c>
    </row>
    <row r="1705" spans="1:7">
      <c r="A1705" t="s">
        <v>1297</v>
      </c>
      <c r="B1705" t="s">
        <v>1298</v>
      </c>
      <c r="C1705" t="s">
        <v>289</v>
      </c>
      <c r="D1705" t="s">
        <v>1337</v>
      </c>
      <c r="E1705" t="s">
        <v>187</v>
      </c>
      <c r="F1705">
        <v>2010</v>
      </c>
      <c r="G1705">
        <v>6.3E-2</v>
      </c>
    </row>
    <row r="1706" spans="1:7">
      <c r="A1706" t="s">
        <v>1297</v>
      </c>
      <c r="B1706" t="s">
        <v>1298</v>
      </c>
      <c r="C1706" t="s">
        <v>289</v>
      </c>
      <c r="D1706" t="s">
        <v>1337</v>
      </c>
      <c r="E1706" t="s">
        <v>187</v>
      </c>
      <c r="F1706">
        <v>2012</v>
      </c>
      <c r="G1706">
        <v>0.21299999999999999</v>
      </c>
    </row>
    <row r="1707" spans="1:7">
      <c r="A1707" t="s">
        <v>1297</v>
      </c>
      <c r="B1707" t="s">
        <v>1298</v>
      </c>
      <c r="C1707" t="s">
        <v>289</v>
      </c>
      <c r="D1707" t="s">
        <v>1337</v>
      </c>
      <c r="E1707" t="s">
        <v>187</v>
      </c>
      <c r="F1707">
        <v>2016</v>
      </c>
      <c r="G1707">
        <v>1.2130000000000001</v>
      </c>
    </row>
    <row r="1708" spans="1:7">
      <c r="A1708" t="s">
        <v>1297</v>
      </c>
      <c r="B1708" t="s">
        <v>1298</v>
      </c>
      <c r="C1708" t="s">
        <v>289</v>
      </c>
      <c r="D1708" t="s">
        <v>1337</v>
      </c>
      <c r="E1708" t="s">
        <v>187</v>
      </c>
      <c r="F1708">
        <v>2020</v>
      </c>
      <c r="G1708">
        <v>3.6017000000000001</v>
      </c>
    </row>
    <row r="1709" spans="1:7">
      <c r="A1709" t="s">
        <v>1297</v>
      </c>
      <c r="B1709" t="s">
        <v>1298</v>
      </c>
      <c r="C1709" t="s">
        <v>662</v>
      </c>
      <c r="D1709" t="s">
        <v>1337</v>
      </c>
      <c r="E1709" t="s">
        <v>187</v>
      </c>
      <c r="F1709">
        <v>2012</v>
      </c>
      <c r="G1709">
        <v>2E-3</v>
      </c>
    </row>
    <row r="1710" spans="1:7">
      <c r="A1710" t="s">
        <v>1297</v>
      </c>
      <c r="B1710" t="s">
        <v>1298</v>
      </c>
      <c r="C1710" t="s">
        <v>657</v>
      </c>
      <c r="D1710" t="s">
        <v>1338</v>
      </c>
      <c r="E1710" t="s">
        <v>187</v>
      </c>
      <c r="F1710">
        <v>2016</v>
      </c>
      <c r="G1710">
        <v>69.845961000000003</v>
      </c>
    </row>
    <row r="1711" spans="1:7">
      <c r="A1711" t="s">
        <v>1297</v>
      </c>
      <c r="B1711" t="s">
        <v>1298</v>
      </c>
      <c r="C1711" t="s">
        <v>657</v>
      </c>
      <c r="D1711" t="s">
        <v>1338</v>
      </c>
      <c r="E1711" t="s">
        <v>187</v>
      </c>
      <c r="F1711">
        <v>2020</v>
      </c>
      <c r="G1711">
        <v>92.395979999999994</v>
      </c>
    </row>
    <row r="1712" spans="1:7">
      <c r="A1712" t="s">
        <v>1297</v>
      </c>
      <c r="B1712" t="s">
        <v>1298</v>
      </c>
      <c r="C1712" t="s">
        <v>672</v>
      </c>
      <c r="D1712" t="s">
        <v>1338</v>
      </c>
      <c r="E1712" t="s">
        <v>187</v>
      </c>
      <c r="F1712">
        <v>2005</v>
      </c>
      <c r="G1712">
        <v>1.2505390000000001</v>
      </c>
    </row>
    <row r="1713" spans="1:7">
      <c r="A1713" t="s">
        <v>1297</v>
      </c>
      <c r="B1713" t="s">
        <v>1298</v>
      </c>
      <c r="C1713" t="s">
        <v>672</v>
      </c>
      <c r="D1713" t="s">
        <v>1338</v>
      </c>
      <c r="E1713" t="s">
        <v>187</v>
      </c>
      <c r="F1713">
        <v>2010</v>
      </c>
      <c r="G1713">
        <v>2.8934760000000002</v>
      </c>
    </row>
    <row r="1714" spans="1:7">
      <c r="A1714" t="s">
        <v>1297</v>
      </c>
      <c r="B1714" t="s">
        <v>1298</v>
      </c>
      <c r="C1714" t="s">
        <v>672</v>
      </c>
      <c r="D1714" t="s">
        <v>1338</v>
      </c>
      <c r="E1714" t="s">
        <v>187</v>
      </c>
      <c r="F1714">
        <v>2012</v>
      </c>
      <c r="G1714">
        <v>5.1779770000000003</v>
      </c>
    </row>
    <row r="1715" spans="1:7">
      <c r="A1715" t="s">
        <v>1297</v>
      </c>
      <c r="B1715" t="s">
        <v>1298</v>
      </c>
      <c r="C1715" t="s">
        <v>672</v>
      </c>
      <c r="D1715" t="s">
        <v>1338</v>
      </c>
      <c r="E1715" t="s">
        <v>187</v>
      </c>
      <c r="F1715">
        <v>2016</v>
      </c>
      <c r="G1715">
        <v>6.2000739999999999</v>
      </c>
    </row>
    <row r="1716" spans="1:7">
      <c r="A1716" t="s">
        <v>1297</v>
      </c>
      <c r="B1716" t="s">
        <v>1298</v>
      </c>
      <c r="C1716" t="s">
        <v>672</v>
      </c>
      <c r="D1716" t="s">
        <v>1338</v>
      </c>
      <c r="E1716" t="s">
        <v>187</v>
      </c>
      <c r="F1716">
        <v>2020</v>
      </c>
      <c r="G1716">
        <v>4.7914669999999999</v>
      </c>
    </row>
    <row r="1717" spans="1:7">
      <c r="A1717" t="s">
        <v>1297</v>
      </c>
      <c r="B1717" t="s">
        <v>1298</v>
      </c>
      <c r="C1717" t="s">
        <v>1301</v>
      </c>
      <c r="D1717" t="s">
        <v>1338</v>
      </c>
      <c r="E1717" t="s">
        <v>187</v>
      </c>
      <c r="F1717">
        <v>2005</v>
      </c>
      <c r="G1717">
        <v>4.8099999999999998E-4</v>
      </c>
    </row>
    <row r="1718" spans="1:7">
      <c r="A1718" t="s">
        <v>1297</v>
      </c>
      <c r="B1718" t="s">
        <v>1298</v>
      </c>
      <c r="C1718" t="s">
        <v>1301</v>
      </c>
      <c r="D1718" t="s">
        <v>1338</v>
      </c>
      <c r="E1718" t="s">
        <v>187</v>
      </c>
      <c r="F1718">
        <v>2010</v>
      </c>
      <c r="G1718">
        <v>6.4949999999999999E-3</v>
      </c>
    </row>
    <row r="1719" spans="1:7">
      <c r="A1719" t="s">
        <v>1297</v>
      </c>
      <c r="B1719" t="s">
        <v>1298</v>
      </c>
      <c r="C1719" t="s">
        <v>1301</v>
      </c>
      <c r="D1719" t="s">
        <v>1338</v>
      </c>
      <c r="E1719" t="s">
        <v>187</v>
      </c>
      <c r="F1719">
        <v>2012</v>
      </c>
      <c r="G1719">
        <v>2.1978710000000001</v>
      </c>
    </row>
    <row r="1720" spans="1:7">
      <c r="A1720" t="s">
        <v>1297</v>
      </c>
      <c r="B1720" t="s">
        <v>1298</v>
      </c>
      <c r="C1720" t="s">
        <v>1301</v>
      </c>
      <c r="D1720" t="s">
        <v>1338</v>
      </c>
      <c r="E1720" t="s">
        <v>187</v>
      </c>
      <c r="F1720">
        <v>2016</v>
      </c>
      <c r="G1720">
        <v>0.13610900000000001</v>
      </c>
    </row>
    <row r="1721" spans="1:7">
      <c r="A1721" t="s">
        <v>1297</v>
      </c>
      <c r="B1721" t="s">
        <v>1298</v>
      </c>
      <c r="C1721" t="s">
        <v>679</v>
      </c>
      <c r="D1721" t="s">
        <v>1338</v>
      </c>
      <c r="E1721" t="s">
        <v>187</v>
      </c>
      <c r="F1721">
        <v>2005</v>
      </c>
      <c r="G1721">
        <v>0.91276500000000005</v>
      </c>
    </row>
    <row r="1722" spans="1:7">
      <c r="A1722" t="s">
        <v>1297</v>
      </c>
      <c r="B1722" t="s">
        <v>1298</v>
      </c>
      <c r="C1722" t="s">
        <v>679</v>
      </c>
      <c r="D1722" t="s">
        <v>1338</v>
      </c>
      <c r="E1722" t="s">
        <v>187</v>
      </c>
      <c r="F1722">
        <v>2010</v>
      </c>
      <c r="G1722">
        <v>9.525938</v>
      </c>
    </row>
    <row r="1723" spans="1:7">
      <c r="A1723" t="s">
        <v>1297</v>
      </c>
      <c r="B1723" t="s">
        <v>1298</v>
      </c>
      <c r="C1723" t="s">
        <v>679</v>
      </c>
      <c r="D1723" t="s">
        <v>1338</v>
      </c>
      <c r="E1723" t="s">
        <v>187</v>
      </c>
      <c r="F1723">
        <v>2012</v>
      </c>
      <c r="G1723">
        <v>13.25291</v>
      </c>
    </row>
    <row r="1724" spans="1:7">
      <c r="A1724" t="s">
        <v>1297</v>
      </c>
      <c r="B1724" t="s">
        <v>1298</v>
      </c>
      <c r="C1724" t="s">
        <v>679</v>
      </c>
      <c r="D1724" t="s">
        <v>1338</v>
      </c>
      <c r="E1724" t="s">
        <v>187</v>
      </c>
      <c r="F1724">
        <v>2016</v>
      </c>
      <c r="G1724">
        <v>16.513667999999999</v>
      </c>
    </row>
    <row r="1725" spans="1:7">
      <c r="A1725" t="s">
        <v>1297</v>
      </c>
      <c r="B1725" t="s">
        <v>1298</v>
      </c>
      <c r="C1725" t="s">
        <v>679</v>
      </c>
      <c r="D1725" t="s">
        <v>1338</v>
      </c>
      <c r="E1725" t="s">
        <v>187</v>
      </c>
      <c r="F1725">
        <v>2020</v>
      </c>
      <c r="G1725">
        <v>23.019532999999999</v>
      </c>
    </row>
    <row r="1726" spans="1:7">
      <c r="A1726" t="s">
        <v>1297</v>
      </c>
      <c r="B1726" t="s">
        <v>1298</v>
      </c>
      <c r="C1726" t="s">
        <v>662</v>
      </c>
      <c r="D1726" t="s">
        <v>1338</v>
      </c>
      <c r="E1726" t="s">
        <v>187</v>
      </c>
      <c r="F1726">
        <v>2005</v>
      </c>
      <c r="G1726">
        <v>4.0933999999999998E-2</v>
      </c>
    </row>
    <row r="1727" spans="1:7">
      <c r="A1727" t="s">
        <v>1297</v>
      </c>
      <c r="B1727" t="s">
        <v>1298</v>
      </c>
      <c r="C1727" t="s">
        <v>662</v>
      </c>
      <c r="D1727" t="s">
        <v>1338</v>
      </c>
      <c r="E1727" t="s">
        <v>187</v>
      </c>
      <c r="F1727">
        <v>2010</v>
      </c>
      <c r="G1727">
        <v>6.6711429999999998</v>
      </c>
    </row>
    <row r="1728" spans="1:7">
      <c r="A1728" t="s">
        <v>1297</v>
      </c>
      <c r="B1728" t="s">
        <v>1298</v>
      </c>
      <c r="C1728" t="s">
        <v>662</v>
      </c>
      <c r="D1728" t="s">
        <v>1338</v>
      </c>
      <c r="E1728" t="s">
        <v>187</v>
      </c>
      <c r="F1728">
        <v>2012</v>
      </c>
      <c r="G1728">
        <v>8.4374739999999999</v>
      </c>
    </row>
    <row r="1729" spans="1:7">
      <c r="A1729" t="s">
        <v>1297</v>
      </c>
      <c r="B1729" t="s">
        <v>1298</v>
      </c>
      <c r="C1729" t="s">
        <v>662</v>
      </c>
      <c r="D1729" t="s">
        <v>1338</v>
      </c>
      <c r="E1729" t="s">
        <v>187</v>
      </c>
      <c r="F1729">
        <v>2016</v>
      </c>
      <c r="G1729">
        <v>6.2523160000000004</v>
      </c>
    </row>
    <row r="1730" spans="1:7">
      <c r="A1730" t="s">
        <v>1297</v>
      </c>
      <c r="B1730" t="s">
        <v>1298</v>
      </c>
      <c r="C1730" t="s">
        <v>662</v>
      </c>
      <c r="D1730" t="s">
        <v>1338</v>
      </c>
      <c r="E1730" t="s">
        <v>187</v>
      </c>
      <c r="F1730">
        <v>2020</v>
      </c>
      <c r="G1730">
        <v>6.109979</v>
      </c>
    </row>
    <row r="1731" spans="1:7">
      <c r="A1731" t="s">
        <v>1297</v>
      </c>
      <c r="B1731" t="s">
        <v>1298</v>
      </c>
      <c r="C1731" t="s">
        <v>661</v>
      </c>
      <c r="D1731" t="s">
        <v>1338</v>
      </c>
      <c r="E1731" t="s">
        <v>187</v>
      </c>
      <c r="F1731">
        <v>2005</v>
      </c>
      <c r="G1731">
        <v>0.69025199999999998</v>
      </c>
    </row>
    <row r="1732" spans="1:7">
      <c r="A1732" t="s">
        <v>1297</v>
      </c>
      <c r="B1732" t="s">
        <v>1298</v>
      </c>
      <c r="C1732" t="s">
        <v>661</v>
      </c>
      <c r="D1732" t="s">
        <v>1338</v>
      </c>
      <c r="E1732" t="s">
        <v>187</v>
      </c>
      <c r="F1732">
        <v>2010</v>
      </c>
      <c r="G1732">
        <v>15.6814</v>
      </c>
    </row>
    <row r="1733" spans="1:7">
      <c r="A1733" t="s">
        <v>1297</v>
      </c>
      <c r="B1733" t="s">
        <v>1298</v>
      </c>
      <c r="C1733" t="s">
        <v>661</v>
      </c>
      <c r="D1733" t="s">
        <v>1338</v>
      </c>
      <c r="E1733" t="s">
        <v>187</v>
      </c>
      <c r="F1733">
        <v>2012</v>
      </c>
      <c r="G1733">
        <v>24.310748</v>
      </c>
    </row>
    <row r="1734" spans="1:7">
      <c r="A1734" t="s">
        <v>1297</v>
      </c>
      <c r="B1734" t="s">
        <v>1298</v>
      </c>
      <c r="C1734" t="s">
        <v>661</v>
      </c>
      <c r="D1734" t="s">
        <v>1338</v>
      </c>
      <c r="E1734" t="s">
        <v>187</v>
      </c>
      <c r="F1734">
        <v>2016</v>
      </c>
      <c r="G1734">
        <v>62.512275000000002</v>
      </c>
    </row>
    <row r="1735" spans="1:7">
      <c r="A1735" t="s">
        <v>1297</v>
      </c>
      <c r="B1735" t="s">
        <v>1298</v>
      </c>
      <c r="C1735" t="s">
        <v>661</v>
      </c>
      <c r="D1735" t="s">
        <v>1338</v>
      </c>
      <c r="E1735" t="s">
        <v>187</v>
      </c>
      <c r="F1735">
        <v>2020</v>
      </c>
      <c r="G1735">
        <v>95.856213999999994</v>
      </c>
    </row>
    <row r="1736" spans="1:7">
      <c r="A1736" t="s">
        <v>1297</v>
      </c>
      <c r="B1736" t="s">
        <v>1298</v>
      </c>
      <c r="C1736" t="s">
        <v>676</v>
      </c>
      <c r="D1736" t="s">
        <v>1338</v>
      </c>
      <c r="E1736" t="s">
        <v>187</v>
      </c>
      <c r="F1736">
        <v>2005</v>
      </c>
      <c r="G1736">
        <v>0.33066600000000002</v>
      </c>
    </row>
    <row r="1737" spans="1:7">
      <c r="A1737" t="s">
        <v>1297</v>
      </c>
      <c r="B1737" t="s">
        <v>1298</v>
      </c>
      <c r="C1737" t="s">
        <v>676</v>
      </c>
      <c r="D1737" t="s">
        <v>1338</v>
      </c>
      <c r="E1737" t="s">
        <v>187</v>
      </c>
      <c r="F1737">
        <v>2010</v>
      </c>
      <c r="G1737">
        <v>2.2843390000000001</v>
      </c>
    </row>
    <row r="1738" spans="1:7">
      <c r="A1738" t="s">
        <v>1297</v>
      </c>
      <c r="B1738" t="s">
        <v>1298</v>
      </c>
      <c r="C1738" t="s">
        <v>676</v>
      </c>
      <c r="D1738" t="s">
        <v>1338</v>
      </c>
      <c r="E1738" t="s">
        <v>187</v>
      </c>
      <c r="F1738">
        <v>2012</v>
      </c>
      <c r="G1738">
        <v>2.8587039999999999</v>
      </c>
    </row>
    <row r="1739" spans="1:7">
      <c r="A1739" t="s">
        <v>1297</v>
      </c>
      <c r="B1739" t="s">
        <v>1298</v>
      </c>
      <c r="C1739" t="s">
        <v>676</v>
      </c>
      <c r="D1739" t="s">
        <v>1338</v>
      </c>
      <c r="E1739" t="s">
        <v>187</v>
      </c>
      <c r="F1739">
        <v>2016</v>
      </c>
      <c r="G1739">
        <v>7.3586539999999996</v>
      </c>
    </row>
    <row r="1740" spans="1:7">
      <c r="A1740" t="s">
        <v>1297</v>
      </c>
      <c r="B1740" t="s">
        <v>1298</v>
      </c>
      <c r="C1740" t="s">
        <v>676</v>
      </c>
      <c r="D1740" t="s">
        <v>1338</v>
      </c>
      <c r="E1740" t="s">
        <v>187</v>
      </c>
      <c r="F1740">
        <v>2020</v>
      </c>
      <c r="G1740">
        <v>7.6732810000000002</v>
      </c>
    </row>
    <row r="1741" spans="1:7">
      <c r="A1741" t="s">
        <v>1297</v>
      </c>
      <c r="B1741" t="s">
        <v>1298</v>
      </c>
      <c r="C1741" t="s">
        <v>675</v>
      </c>
      <c r="D1741" t="s">
        <v>1338</v>
      </c>
      <c r="E1741" t="s">
        <v>187</v>
      </c>
      <c r="F1741">
        <v>2005</v>
      </c>
      <c r="G1741">
        <v>0.25301400000000002</v>
      </c>
    </row>
    <row r="1742" spans="1:7">
      <c r="A1742" t="s">
        <v>1297</v>
      </c>
      <c r="B1742" t="s">
        <v>1298</v>
      </c>
      <c r="C1742" t="s">
        <v>675</v>
      </c>
      <c r="D1742" t="s">
        <v>1338</v>
      </c>
      <c r="E1742" t="s">
        <v>187</v>
      </c>
      <c r="F1742">
        <v>2010</v>
      </c>
      <c r="G1742">
        <v>1.650461</v>
      </c>
    </row>
    <row r="1743" spans="1:7">
      <c r="A1743" t="s">
        <v>1297</v>
      </c>
      <c r="B1743" t="s">
        <v>1298</v>
      </c>
      <c r="C1743" t="s">
        <v>675</v>
      </c>
      <c r="D1743" t="s">
        <v>1338</v>
      </c>
      <c r="E1743" t="s">
        <v>187</v>
      </c>
      <c r="F1743">
        <v>2012</v>
      </c>
      <c r="G1743">
        <v>2.6060789999999998</v>
      </c>
    </row>
    <row r="1744" spans="1:7">
      <c r="A1744" t="s">
        <v>1297</v>
      </c>
      <c r="B1744" t="s">
        <v>1298</v>
      </c>
      <c r="C1744" t="s">
        <v>675</v>
      </c>
      <c r="D1744" t="s">
        <v>1338</v>
      </c>
      <c r="E1744" t="s">
        <v>187</v>
      </c>
      <c r="F1744">
        <v>2016</v>
      </c>
      <c r="G1744">
        <v>1.326789</v>
      </c>
    </row>
    <row r="1745" spans="1:8">
      <c r="A1745" t="s">
        <v>1297</v>
      </c>
      <c r="B1745" t="s">
        <v>1298</v>
      </c>
      <c r="C1745" t="s">
        <v>671</v>
      </c>
      <c r="D1745" t="s">
        <v>1338</v>
      </c>
      <c r="E1745" t="s">
        <v>187</v>
      </c>
      <c r="F1745">
        <v>2005</v>
      </c>
      <c r="G1745">
        <v>0.17372699999999999</v>
      </c>
    </row>
    <row r="1746" spans="1:8">
      <c r="A1746" t="s">
        <v>1297</v>
      </c>
      <c r="B1746" t="s">
        <v>1298</v>
      </c>
      <c r="C1746" t="s">
        <v>671</v>
      </c>
      <c r="D1746" t="s">
        <v>1338</v>
      </c>
      <c r="E1746" t="s">
        <v>187</v>
      </c>
      <c r="F1746">
        <v>2010</v>
      </c>
      <c r="G1746">
        <v>19.331432</v>
      </c>
    </row>
    <row r="1747" spans="1:8">
      <c r="A1747" t="s">
        <v>1297</v>
      </c>
      <c r="B1747" t="s">
        <v>1298</v>
      </c>
      <c r="C1747" t="s">
        <v>671</v>
      </c>
      <c r="D1747" t="s">
        <v>1338</v>
      </c>
      <c r="E1747" t="s">
        <v>187</v>
      </c>
      <c r="F1747">
        <v>2012</v>
      </c>
      <c r="G1747">
        <v>10.333778000000001</v>
      </c>
    </row>
    <row r="1748" spans="1:8">
      <c r="A1748" t="s">
        <v>1297</v>
      </c>
      <c r="B1748" t="s">
        <v>1298</v>
      </c>
      <c r="C1748" t="s">
        <v>671</v>
      </c>
      <c r="D1748" t="s">
        <v>1338</v>
      </c>
      <c r="E1748" t="s">
        <v>187</v>
      </c>
      <c r="F1748">
        <v>2016</v>
      </c>
      <c r="G1748">
        <v>37.260845000000003</v>
      </c>
    </row>
    <row r="1749" spans="1:8">
      <c r="A1749" t="s">
        <v>1297</v>
      </c>
      <c r="B1749" t="s">
        <v>1298</v>
      </c>
      <c r="C1749" t="s">
        <v>671</v>
      </c>
      <c r="D1749" t="s">
        <v>1338</v>
      </c>
      <c r="E1749" t="s">
        <v>187</v>
      </c>
      <c r="F1749">
        <v>2020</v>
      </c>
      <c r="G1749">
        <v>48.879280000000001</v>
      </c>
    </row>
    <row r="1750" spans="1:8">
      <c r="A1750" t="s">
        <v>1297</v>
      </c>
      <c r="B1750" t="s">
        <v>1298</v>
      </c>
      <c r="C1750" t="s">
        <v>1302</v>
      </c>
      <c r="D1750" t="s">
        <v>1338</v>
      </c>
      <c r="E1750" t="s">
        <v>187</v>
      </c>
      <c r="F1750">
        <v>2005</v>
      </c>
      <c r="G1750">
        <v>2.09</v>
      </c>
    </row>
    <row r="1751" spans="1:8">
      <c r="A1751" t="s">
        <v>1297</v>
      </c>
      <c r="B1751" t="s">
        <v>1298</v>
      </c>
      <c r="C1751" t="s">
        <v>1302</v>
      </c>
      <c r="D1751" t="s">
        <v>1338</v>
      </c>
      <c r="E1751" t="s">
        <v>187</v>
      </c>
      <c r="F1751">
        <v>2010</v>
      </c>
      <c r="G1751">
        <v>5.1999999999999998E-2</v>
      </c>
    </row>
    <row r="1752" spans="1:8">
      <c r="A1752" t="s">
        <v>1297</v>
      </c>
      <c r="B1752" t="s">
        <v>1298</v>
      </c>
      <c r="C1752" t="s">
        <v>1302</v>
      </c>
      <c r="D1752" t="s">
        <v>1338</v>
      </c>
      <c r="E1752" t="s">
        <v>187</v>
      </c>
      <c r="F1752">
        <v>2012</v>
      </c>
      <c r="G1752" s="14">
        <v>0.14799999999999999</v>
      </c>
      <c r="H1752" s="14"/>
    </row>
    <row r="1753" spans="1:8">
      <c r="A1753" t="s">
        <v>1297</v>
      </c>
      <c r="B1753" t="s">
        <v>1298</v>
      </c>
      <c r="C1753" t="s">
        <v>1302</v>
      </c>
      <c r="D1753" t="s">
        <v>1338</v>
      </c>
      <c r="E1753" t="s">
        <v>187</v>
      </c>
      <c r="F1753">
        <v>2016</v>
      </c>
      <c r="G1753">
        <v>0.496</v>
      </c>
    </row>
    <row r="1754" spans="1:8">
      <c r="A1754" t="s">
        <v>1297</v>
      </c>
      <c r="B1754" t="s">
        <v>1298</v>
      </c>
      <c r="C1754" t="s">
        <v>1302</v>
      </c>
      <c r="D1754" t="s">
        <v>1338</v>
      </c>
      <c r="E1754" t="s">
        <v>187</v>
      </c>
      <c r="F1754">
        <v>2020</v>
      </c>
      <c r="G1754">
        <v>2.3368950000000002</v>
      </c>
    </row>
    <row r="1755" spans="1:8">
      <c r="A1755" t="s">
        <v>1297</v>
      </c>
      <c r="B1755" t="s">
        <v>1298</v>
      </c>
      <c r="C1755" t="s">
        <v>685</v>
      </c>
      <c r="D1755" t="s">
        <v>1338</v>
      </c>
      <c r="E1755" t="s">
        <v>187</v>
      </c>
      <c r="F1755">
        <v>2010</v>
      </c>
      <c r="G1755">
        <v>0.28000000000000003</v>
      </c>
    </row>
    <row r="1756" spans="1:8">
      <c r="A1756" t="s">
        <v>1297</v>
      </c>
      <c r="B1756" t="s">
        <v>1298</v>
      </c>
      <c r="C1756" t="s">
        <v>685</v>
      </c>
      <c r="D1756" t="s">
        <v>1338</v>
      </c>
      <c r="E1756" t="s">
        <v>187</v>
      </c>
      <c r="F1756">
        <v>2012</v>
      </c>
      <c r="G1756">
        <v>0.16</v>
      </c>
    </row>
    <row r="1757" spans="1:8">
      <c r="A1757" t="s">
        <v>1297</v>
      </c>
      <c r="B1757" t="s">
        <v>1298</v>
      </c>
      <c r="C1757" t="s">
        <v>685</v>
      </c>
      <c r="D1757" t="s">
        <v>1338</v>
      </c>
      <c r="E1757" t="s">
        <v>187</v>
      </c>
      <c r="F1757">
        <v>2016</v>
      </c>
      <c r="G1757">
        <v>0.84873500000000002</v>
      </c>
    </row>
    <row r="1758" spans="1:8">
      <c r="A1758" t="s">
        <v>1297</v>
      </c>
      <c r="B1758" t="s">
        <v>1298</v>
      </c>
      <c r="C1758" t="s">
        <v>685</v>
      </c>
      <c r="D1758" t="s">
        <v>1338</v>
      </c>
      <c r="E1758" t="s">
        <v>187</v>
      </c>
      <c r="F1758">
        <v>2020</v>
      </c>
      <c r="G1758">
        <v>1.5922099999999999</v>
      </c>
    </row>
    <row r="1759" spans="1:8">
      <c r="A1759" t="s">
        <v>1297</v>
      </c>
      <c r="B1759" t="s">
        <v>1298</v>
      </c>
      <c r="C1759" t="s">
        <v>669</v>
      </c>
      <c r="D1759" t="s">
        <v>1338</v>
      </c>
      <c r="E1759" t="s">
        <v>187</v>
      </c>
      <c r="F1759">
        <v>2010</v>
      </c>
      <c r="G1759">
        <v>3.1E-2</v>
      </c>
    </row>
    <row r="1760" spans="1:8">
      <c r="A1760" t="s">
        <v>1297</v>
      </c>
      <c r="B1760" t="s">
        <v>1298</v>
      </c>
      <c r="C1760" t="s">
        <v>669</v>
      </c>
      <c r="D1760" t="s">
        <v>1338</v>
      </c>
      <c r="E1760" t="s">
        <v>187</v>
      </c>
      <c r="F1760">
        <v>2012</v>
      </c>
      <c r="G1760">
        <v>0.12683900000000001</v>
      </c>
    </row>
    <row r="1761" spans="1:7">
      <c r="A1761" t="s">
        <v>1297</v>
      </c>
      <c r="B1761" t="s">
        <v>1298</v>
      </c>
      <c r="C1761" t="s">
        <v>669</v>
      </c>
      <c r="D1761" t="s">
        <v>1338</v>
      </c>
      <c r="E1761" t="s">
        <v>187</v>
      </c>
      <c r="F1761">
        <v>2016</v>
      </c>
      <c r="G1761">
        <v>0.43682100000000001</v>
      </c>
    </row>
    <row r="1762" spans="1:7">
      <c r="A1762" t="s">
        <v>1297</v>
      </c>
      <c r="B1762" t="s">
        <v>1298</v>
      </c>
      <c r="C1762" t="s">
        <v>669</v>
      </c>
      <c r="D1762" t="s">
        <v>1338</v>
      </c>
      <c r="E1762" t="s">
        <v>187</v>
      </c>
      <c r="F1762">
        <v>2020</v>
      </c>
      <c r="G1762">
        <v>0.55247100000000005</v>
      </c>
    </row>
    <row r="1763" spans="1:7">
      <c r="A1763" t="s">
        <v>1297</v>
      </c>
      <c r="B1763" t="s">
        <v>1298</v>
      </c>
      <c r="C1763" t="s">
        <v>681</v>
      </c>
      <c r="D1763" t="s">
        <v>1338</v>
      </c>
      <c r="E1763" t="s">
        <v>187</v>
      </c>
      <c r="F1763">
        <v>2016</v>
      </c>
      <c r="G1763">
        <v>3.56284</v>
      </c>
    </row>
    <row r="1764" spans="1:7">
      <c r="A1764" t="s">
        <v>1297</v>
      </c>
      <c r="B1764" t="s">
        <v>1298</v>
      </c>
      <c r="C1764" t="s">
        <v>681</v>
      </c>
      <c r="D1764" t="s">
        <v>1338</v>
      </c>
      <c r="E1764" t="s">
        <v>187</v>
      </c>
      <c r="F1764">
        <v>2020</v>
      </c>
      <c r="G1764">
        <v>5.3572899999999999</v>
      </c>
    </row>
    <row r="1765" spans="1:7">
      <c r="A1765" t="s">
        <v>1297</v>
      </c>
      <c r="B1765" t="s">
        <v>1298</v>
      </c>
      <c r="C1765" t="s">
        <v>658</v>
      </c>
      <c r="D1765" t="s">
        <v>1338</v>
      </c>
      <c r="E1765" t="s">
        <v>187</v>
      </c>
      <c r="F1765">
        <v>2005</v>
      </c>
      <c r="G1765">
        <v>1.0803E-2</v>
      </c>
    </row>
    <row r="1766" spans="1:7">
      <c r="A1766" t="s">
        <v>1297</v>
      </c>
      <c r="B1766" t="s">
        <v>1298</v>
      </c>
      <c r="C1766" t="s">
        <v>658</v>
      </c>
      <c r="D1766" t="s">
        <v>1338</v>
      </c>
      <c r="E1766" t="s">
        <v>187</v>
      </c>
      <c r="F1766">
        <v>2010</v>
      </c>
      <c r="G1766">
        <v>0.55004600000000003</v>
      </c>
    </row>
    <row r="1767" spans="1:7">
      <c r="A1767" t="s">
        <v>1297</v>
      </c>
      <c r="B1767" t="s">
        <v>1298</v>
      </c>
      <c r="C1767" t="s">
        <v>658</v>
      </c>
      <c r="D1767" t="s">
        <v>1338</v>
      </c>
      <c r="E1767" t="s">
        <v>187</v>
      </c>
      <c r="F1767">
        <v>2012</v>
      </c>
      <c r="G1767">
        <v>1.5878140000000001</v>
      </c>
    </row>
    <row r="1768" spans="1:7">
      <c r="A1768" t="s">
        <v>1297</v>
      </c>
      <c r="B1768" t="s">
        <v>1298</v>
      </c>
      <c r="C1768" t="s">
        <v>658</v>
      </c>
      <c r="D1768" t="s">
        <v>1338</v>
      </c>
      <c r="E1768" t="s">
        <v>187</v>
      </c>
      <c r="F1768">
        <v>2016</v>
      </c>
      <c r="G1768">
        <v>1.7695590000000001</v>
      </c>
    </row>
    <row r="1769" spans="1:7">
      <c r="A1769" t="s">
        <v>1297</v>
      </c>
      <c r="B1769" t="s">
        <v>1298</v>
      </c>
      <c r="C1769" t="s">
        <v>658</v>
      </c>
      <c r="D1769" t="s">
        <v>1338</v>
      </c>
      <c r="E1769" t="s">
        <v>187</v>
      </c>
      <c r="F1769">
        <v>2020</v>
      </c>
      <c r="G1769">
        <v>5.6450589999999998</v>
      </c>
    </row>
    <row r="1770" spans="1:7">
      <c r="A1770" t="s">
        <v>1297</v>
      </c>
      <c r="B1770" t="s">
        <v>1298</v>
      </c>
      <c r="C1770" t="s">
        <v>673</v>
      </c>
      <c r="D1770" t="s">
        <v>1338</v>
      </c>
      <c r="E1770" t="s">
        <v>187</v>
      </c>
      <c r="F1770">
        <v>2005</v>
      </c>
      <c r="G1770">
        <v>8.4400000000000002E-4</v>
      </c>
    </row>
    <row r="1771" spans="1:7">
      <c r="A1771" t="s">
        <v>1297</v>
      </c>
      <c r="B1771" t="s">
        <v>1298</v>
      </c>
      <c r="C1771" t="s">
        <v>673</v>
      </c>
      <c r="D1771" t="s">
        <v>1338</v>
      </c>
      <c r="E1771" t="s">
        <v>187</v>
      </c>
      <c r="F1771">
        <v>2010</v>
      </c>
      <c r="G1771">
        <v>6.7728679999999999</v>
      </c>
    </row>
    <row r="1772" spans="1:7">
      <c r="A1772" t="s">
        <v>1297</v>
      </c>
      <c r="B1772" t="s">
        <v>1298</v>
      </c>
      <c r="C1772" t="s">
        <v>673</v>
      </c>
      <c r="D1772" t="s">
        <v>1338</v>
      </c>
      <c r="E1772" t="s">
        <v>187</v>
      </c>
      <c r="F1772">
        <v>2012</v>
      </c>
      <c r="G1772">
        <v>7.3367259999999996</v>
      </c>
    </row>
    <row r="1773" spans="1:7">
      <c r="A1773" t="s">
        <v>1297</v>
      </c>
      <c r="B1773" t="s">
        <v>1298</v>
      </c>
      <c r="C1773" t="s">
        <v>673</v>
      </c>
      <c r="D1773" t="s">
        <v>1338</v>
      </c>
      <c r="E1773" t="s">
        <v>187</v>
      </c>
      <c r="F1773">
        <v>2016</v>
      </c>
      <c r="G1773">
        <v>9.0713220000000003</v>
      </c>
    </row>
    <row r="1774" spans="1:7">
      <c r="A1774" t="s">
        <v>1297</v>
      </c>
      <c r="B1774" t="s">
        <v>1298</v>
      </c>
      <c r="C1774" t="s">
        <v>673</v>
      </c>
      <c r="D1774" t="s">
        <v>1338</v>
      </c>
      <c r="E1774" t="s">
        <v>187</v>
      </c>
      <c r="F1774">
        <v>2020</v>
      </c>
      <c r="G1774">
        <v>10.448022</v>
      </c>
    </row>
    <row r="1775" spans="1:7">
      <c r="A1775" t="s">
        <v>1297</v>
      </c>
      <c r="B1775" t="s">
        <v>1298</v>
      </c>
      <c r="C1775" t="s">
        <v>664</v>
      </c>
      <c r="D1775" t="s">
        <v>1338</v>
      </c>
      <c r="E1775" t="s">
        <v>187</v>
      </c>
      <c r="F1775">
        <v>2005</v>
      </c>
      <c r="G1775">
        <v>9.1189999999999993E-2</v>
      </c>
    </row>
    <row r="1776" spans="1:7">
      <c r="A1776" t="s">
        <v>1297</v>
      </c>
      <c r="B1776" t="s">
        <v>1298</v>
      </c>
      <c r="C1776" t="s">
        <v>664</v>
      </c>
      <c r="D1776" t="s">
        <v>1338</v>
      </c>
      <c r="E1776" t="s">
        <v>187</v>
      </c>
      <c r="F1776">
        <v>2010</v>
      </c>
      <c r="G1776">
        <v>4.5199939999999996</v>
      </c>
    </row>
    <row r="1777" spans="1:7">
      <c r="A1777" t="s">
        <v>1297</v>
      </c>
      <c r="B1777" t="s">
        <v>1298</v>
      </c>
      <c r="C1777" t="s">
        <v>664</v>
      </c>
      <c r="D1777" t="s">
        <v>1338</v>
      </c>
      <c r="E1777" t="s">
        <v>187</v>
      </c>
      <c r="F1777">
        <v>2012</v>
      </c>
      <c r="G1777">
        <v>2.3484780000000001</v>
      </c>
    </row>
    <row r="1778" spans="1:7">
      <c r="A1778" t="s">
        <v>1297</v>
      </c>
      <c r="B1778" t="s">
        <v>1298</v>
      </c>
      <c r="C1778" t="s">
        <v>664</v>
      </c>
      <c r="D1778" t="s">
        <v>1338</v>
      </c>
      <c r="E1778" t="s">
        <v>187</v>
      </c>
      <c r="F1778">
        <v>2016</v>
      </c>
      <c r="G1778">
        <v>5.9078749999999998</v>
      </c>
    </row>
    <row r="1779" spans="1:7">
      <c r="A1779" t="s">
        <v>1297</v>
      </c>
      <c r="B1779" t="s">
        <v>1298</v>
      </c>
      <c r="C1779" t="s">
        <v>664</v>
      </c>
      <c r="D1779" t="s">
        <v>1338</v>
      </c>
      <c r="E1779" t="s">
        <v>187</v>
      </c>
      <c r="F1779">
        <v>2020</v>
      </c>
      <c r="G1779">
        <v>7.5994089999999996</v>
      </c>
    </row>
    <row r="1780" spans="1:7">
      <c r="A1780" t="s">
        <v>1297</v>
      </c>
      <c r="B1780" t="s">
        <v>1298</v>
      </c>
      <c r="C1780" t="s">
        <v>652</v>
      </c>
      <c r="D1780" t="s">
        <v>1338</v>
      </c>
      <c r="E1780" t="s">
        <v>187</v>
      </c>
      <c r="F1780">
        <v>2005</v>
      </c>
      <c r="G1780">
        <v>12.708271999999999</v>
      </c>
    </row>
    <row r="1781" spans="1:7">
      <c r="A1781" t="s">
        <v>1297</v>
      </c>
      <c r="B1781" t="s">
        <v>1298</v>
      </c>
      <c r="C1781" t="s">
        <v>652</v>
      </c>
      <c r="D1781" t="s">
        <v>1338</v>
      </c>
      <c r="E1781" t="s">
        <v>187</v>
      </c>
      <c r="F1781">
        <v>2010</v>
      </c>
      <c r="G1781">
        <v>25.449007999999999</v>
      </c>
    </row>
    <row r="1782" spans="1:7">
      <c r="A1782" t="s">
        <v>1297</v>
      </c>
      <c r="B1782" t="s">
        <v>1298</v>
      </c>
      <c r="C1782" t="s">
        <v>652</v>
      </c>
      <c r="D1782" t="s">
        <v>1338</v>
      </c>
      <c r="E1782" t="s">
        <v>187</v>
      </c>
      <c r="F1782">
        <v>2012</v>
      </c>
      <c r="G1782">
        <v>34.281148999999999</v>
      </c>
    </row>
    <row r="1783" spans="1:7">
      <c r="A1783" t="s">
        <v>1297</v>
      </c>
      <c r="B1783" t="s">
        <v>1298</v>
      </c>
      <c r="C1783" t="s">
        <v>652</v>
      </c>
      <c r="D1783" t="s">
        <v>1338</v>
      </c>
      <c r="E1783" t="s">
        <v>187</v>
      </c>
      <c r="F1783">
        <v>2016</v>
      </c>
      <c r="G1783">
        <v>49.022866999999998</v>
      </c>
    </row>
    <row r="1784" spans="1:7">
      <c r="A1784" t="s">
        <v>1297</v>
      </c>
      <c r="B1784" t="s">
        <v>1298</v>
      </c>
      <c r="C1784" t="s">
        <v>652</v>
      </c>
      <c r="D1784" t="s">
        <v>1338</v>
      </c>
      <c r="E1784" t="s">
        <v>187</v>
      </c>
      <c r="F1784">
        <v>2020</v>
      </c>
      <c r="G1784">
        <v>52.035456000000003</v>
      </c>
    </row>
    <row r="1785" spans="1:7">
      <c r="A1785" t="s">
        <v>1297</v>
      </c>
      <c r="B1785" t="s">
        <v>1298</v>
      </c>
      <c r="C1785" t="s">
        <v>684</v>
      </c>
      <c r="D1785" t="s">
        <v>1338</v>
      </c>
      <c r="E1785" t="s">
        <v>187</v>
      </c>
      <c r="F1785">
        <v>2012</v>
      </c>
      <c r="G1785">
        <v>5.0799999999999998E-2</v>
      </c>
    </row>
    <row r="1786" spans="1:7">
      <c r="A1786" t="s">
        <v>1297</v>
      </c>
      <c r="B1786" t="s">
        <v>1298</v>
      </c>
      <c r="C1786" t="s">
        <v>684</v>
      </c>
      <c r="D1786" t="s">
        <v>1338</v>
      </c>
      <c r="E1786" t="s">
        <v>187</v>
      </c>
      <c r="F1786">
        <v>2016</v>
      </c>
      <c r="G1786">
        <v>6.3799999999999996E-2</v>
      </c>
    </row>
    <row r="1787" spans="1:7">
      <c r="A1787" t="s">
        <v>1297</v>
      </c>
      <c r="B1787" t="s">
        <v>1298</v>
      </c>
      <c r="C1787" t="s">
        <v>684</v>
      </c>
      <c r="D1787" t="s">
        <v>1338</v>
      </c>
      <c r="E1787" t="s">
        <v>187</v>
      </c>
      <c r="F1787">
        <v>2020</v>
      </c>
      <c r="G1787">
        <v>6.5990999999999994E-2</v>
      </c>
    </row>
    <row r="1788" spans="1:7">
      <c r="A1788" t="s">
        <v>1297</v>
      </c>
      <c r="B1788" t="s">
        <v>1298</v>
      </c>
      <c r="C1788" t="s">
        <v>657</v>
      </c>
      <c r="D1788" t="s">
        <v>1338</v>
      </c>
      <c r="E1788" t="s">
        <v>187</v>
      </c>
      <c r="F1788">
        <v>2005</v>
      </c>
      <c r="G1788">
        <v>23.03988</v>
      </c>
    </row>
    <row r="1789" spans="1:7">
      <c r="A1789" t="s">
        <v>1297</v>
      </c>
      <c r="B1789" t="s">
        <v>1298</v>
      </c>
      <c r="C1789" t="s">
        <v>657</v>
      </c>
      <c r="D1789" t="s">
        <v>1338</v>
      </c>
      <c r="E1789" t="s">
        <v>187</v>
      </c>
      <c r="F1789">
        <v>2010</v>
      </c>
      <c r="G1789">
        <v>44.058293999999997</v>
      </c>
    </row>
    <row r="1790" spans="1:7">
      <c r="A1790" t="s">
        <v>1297</v>
      </c>
      <c r="B1790" t="s">
        <v>1298</v>
      </c>
      <c r="C1790" t="s">
        <v>657</v>
      </c>
      <c r="D1790" t="s">
        <v>1338</v>
      </c>
      <c r="E1790" t="s">
        <v>187</v>
      </c>
      <c r="F1790">
        <v>2012</v>
      </c>
      <c r="G1790">
        <v>61.168351000000001</v>
      </c>
    </row>
    <row r="1791" spans="1:7">
      <c r="A1791" t="s">
        <v>1297</v>
      </c>
      <c r="B1791" t="s">
        <v>1298</v>
      </c>
      <c r="C1791" t="s">
        <v>1299</v>
      </c>
      <c r="D1791" t="s">
        <v>1338</v>
      </c>
      <c r="E1791" t="s">
        <v>187</v>
      </c>
      <c r="F1791">
        <v>2010</v>
      </c>
      <c r="G1791" s="14">
        <v>8.2000000000000001E-5</v>
      </c>
    </row>
    <row r="1792" spans="1:7">
      <c r="A1792" t="s">
        <v>1297</v>
      </c>
      <c r="B1792" t="s">
        <v>1298</v>
      </c>
      <c r="C1792" t="s">
        <v>1299</v>
      </c>
      <c r="D1792" t="s">
        <v>1338</v>
      </c>
      <c r="E1792" t="s">
        <v>187</v>
      </c>
      <c r="F1792">
        <v>2012</v>
      </c>
      <c r="G1792">
        <v>2.9715999999999999E-2</v>
      </c>
    </row>
    <row r="1793" spans="1:7">
      <c r="A1793" t="s">
        <v>1297</v>
      </c>
      <c r="B1793" t="s">
        <v>1298</v>
      </c>
      <c r="C1793" t="s">
        <v>1299</v>
      </c>
      <c r="D1793" t="s">
        <v>1338</v>
      </c>
      <c r="E1793" t="s">
        <v>187</v>
      </c>
      <c r="F1793">
        <v>2016</v>
      </c>
      <c r="G1793">
        <v>1.6066549999999999</v>
      </c>
    </row>
    <row r="1794" spans="1:7">
      <c r="A1794" t="s">
        <v>1297</v>
      </c>
      <c r="B1794" t="s">
        <v>1298</v>
      </c>
      <c r="C1794" t="s">
        <v>1299</v>
      </c>
      <c r="D1794" t="s">
        <v>1338</v>
      </c>
      <c r="E1794" t="s">
        <v>187</v>
      </c>
      <c r="F1794">
        <v>2020</v>
      </c>
      <c r="G1794">
        <v>2.0081579999999999</v>
      </c>
    </row>
    <row r="1795" spans="1:7">
      <c r="A1795" t="s">
        <v>1297</v>
      </c>
      <c r="B1795" t="s">
        <v>1298</v>
      </c>
      <c r="C1795" t="s">
        <v>656</v>
      </c>
      <c r="D1795" t="s">
        <v>1338</v>
      </c>
      <c r="E1795" t="s">
        <v>187</v>
      </c>
      <c r="F1795">
        <v>2005</v>
      </c>
      <c r="G1795">
        <v>49.249496999999998</v>
      </c>
    </row>
    <row r="1796" spans="1:7">
      <c r="A1796" t="s">
        <v>1297</v>
      </c>
      <c r="B1796" t="s">
        <v>1298</v>
      </c>
      <c r="C1796" t="s">
        <v>656</v>
      </c>
      <c r="D1796" t="s">
        <v>1338</v>
      </c>
      <c r="E1796" t="s">
        <v>187</v>
      </c>
      <c r="F1796">
        <v>2010</v>
      </c>
      <c r="G1796">
        <v>99.881383</v>
      </c>
    </row>
    <row r="1797" spans="1:7">
      <c r="A1797" t="s">
        <v>1297</v>
      </c>
      <c r="B1797" t="s">
        <v>1298</v>
      </c>
      <c r="C1797" t="s">
        <v>656</v>
      </c>
      <c r="D1797" t="s">
        <v>1338</v>
      </c>
      <c r="E1797" t="s">
        <v>187</v>
      </c>
      <c r="F1797">
        <v>2012</v>
      </c>
      <c r="G1797">
        <v>101.36748900000001</v>
      </c>
    </row>
    <row r="1798" spans="1:7">
      <c r="A1798" t="s">
        <v>1297</v>
      </c>
      <c r="B1798" t="s">
        <v>1298</v>
      </c>
      <c r="C1798" t="s">
        <v>656</v>
      </c>
      <c r="D1798" t="s">
        <v>1338</v>
      </c>
      <c r="E1798" t="s">
        <v>187</v>
      </c>
      <c r="F1798">
        <v>2016</v>
      </c>
      <c r="G1798">
        <v>94.536585000000002</v>
      </c>
    </row>
    <row r="1799" spans="1:7">
      <c r="A1799" t="s">
        <v>1297</v>
      </c>
      <c r="B1799" t="s">
        <v>1298</v>
      </c>
      <c r="C1799" t="s">
        <v>656</v>
      </c>
      <c r="D1799" t="s">
        <v>1338</v>
      </c>
      <c r="E1799" t="s">
        <v>187</v>
      </c>
      <c r="F1799">
        <v>2020</v>
      </c>
      <c r="G1799">
        <v>110.097165</v>
      </c>
    </row>
    <row r="1800" spans="1:7">
      <c r="A1800" t="s">
        <v>1297</v>
      </c>
      <c r="B1800" t="s">
        <v>1298</v>
      </c>
      <c r="C1800" t="s">
        <v>663</v>
      </c>
      <c r="D1800" t="s">
        <v>1338</v>
      </c>
      <c r="E1800" t="s">
        <v>187</v>
      </c>
      <c r="F1800">
        <v>2005</v>
      </c>
      <c r="G1800">
        <v>2.6093519999999999</v>
      </c>
    </row>
    <row r="1801" spans="1:7">
      <c r="A1801" t="s">
        <v>1297</v>
      </c>
      <c r="B1801" t="s">
        <v>1298</v>
      </c>
      <c r="C1801" t="s">
        <v>663</v>
      </c>
      <c r="D1801" t="s">
        <v>1338</v>
      </c>
      <c r="E1801" t="s">
        <v>187</v>
      </c>
      <c r="F1801">
        <v>2010</v>
      </c>
      <c r="G1801">
        <v>7.0776490000000001</v>
      </c>
    </row>
    <row r="1802" spans="1:7">
      <c r="A1802" t="s">
        <v>1297</v>
      </c>
      <c r="B1802" t="s">
        <v>1298</v>
      </c>
      <c r="C1802" t="s">
        <v>663</v>
      </c>
      <c r="D1802" t="s">
        <v>1338</v>
      </c>
      <c r="E1802" t="s">
        <v>187</v>
      </c>
      <c r="F1802">
        <v>2012</v>
      </c>
      <c r="G1802">
        <v>6.2442719999999996</v>
      </c>
    </row>
    <row r="1803" spans="1:7">
      <c r="A1803" t="s">
        <v>1297</v>
      </c>
      <c r="B1803" t="s">
        <v>1298</v>
      </c>
      <c r="C1803" t="s">
        <v>663</v>
      </c>
      <c r="D1803" t="s">
        <v>1338</v>
      </c>
      <c r="E1803" t="s">
        <v>187</v>
      </c>
      <c r="F1803">
        <v>2016</v>
      </c>
      <c r="G1803">
        <v>13.819566999999999</v>
      </c>
    </row>
    <row r="1804" spans="1:7">
      <c r="A1804" t="s">
        <v>1297</v>
      </c>
      <c r="B1804" t="s">
        <v>1298</v>
      </c>
      <c r="C1804" t="s">
        <v>663</v>
      </c>
      <c r="D1804" t="s">
        <v>1338</v>
      </c>
      <c r="E1804" t="s">
        <v>187</v>
      </c>
      <c r="F1804">
        <v>2020</v>
      </c>
      <c r="G1804">
        <v>15.90382</v>
      </c>
    </row>
    <row r="1805" spans="1:7">
      <c r="A1805" t="s">
        <v>1297</v>
      </c>
      <c r="B1805" t="s">
        <v>1298</v>
      </c>
      <c r="C1805" t="s">
        <v>665</v>
      </c>
      <c r="D1805" t="s">
        <v>1338</v>
      </c>
      <c r="E1805" t="s">
        <v>187</v>
      </c>
      <c r="F1805">
        <v>2005</v>
      </c>
      <c r="G1805">
        <v>35.381328000000003</v>
      </c>
    </row>
    <row r="1806" spans="1:7">
      <c r="A1806" t="s">
        <v>1297</v>
      </c>
      <c r="B1806" t="s">
        <v>1298</v>
      </c>
      <c r="C1806" t="s">
        <v>665</v>
      </c>
      <c r="D1806" t="s">
        <v>1338</v>
      </c>
      <c r="E1806" t="s">
        <v>187</v>
      </c>
      <c r="F1806">
        <v>2010</v>
      </c>
      <c r="G1806">
        <v>114.027894</v>
      </c>
    </row>
    <row r="1807" spans="1:7">
      <c r="A1807" t="s">
        <v>1297</v>
      </c>
      <c r="B1807" t="s">
        <v>1298</v>
      </c>
      <c r="C1807" t="s">
        <v>665</v>
      </c>
      <c r="D1807" t="s">
        <v>1338</v>
      </c>
      <c r="E1807" t="s">
        <v>187</v>
      </c>
      <c r="F1807">
        <v>2012</v>
      </c>
      <c r="G1807">
        <v>124.345398</v>
      </c>
    </row>
    <row r="1808" spans="1:7">
      <c r="A1808" t="s">
        <v>1297</v>
      </c>
      <c r="B1808" t="s">
        <v>1298</v>
      </c>
      <c r="C1808" t="s">
        <v>665</v>
      </c>
      <c r="D1808" t="s">
        <v>1338</v>
      </c>
      <c r="E1808" t="s">
        <v>187</v>
      </c>
      <c r="F1808">
        <v>2016</v>
      </c>
      <c r="G1808">
        <v>122.686644</v>
      </c>
    </row>
    <row r="1809" spans="1:7">
      <c r="A1809" t="s">
        <v>1297</v>
      </c>
      <c r="B1809" t="s">
        <v>1298</v>
      </c>
      <c r="C1809" t="s">
        <v>665</v>
      </c>
      <c r="D1809" t="s">
        <v>1338</v>
      </c>
      <c r="E1809" t="s">
        <v>187</v>
      </c>
      <c r="F1809">
        <v>2020</v>
      </c>
      <c r="G1809">
        <v>126.91280399999999</v>
      </c>
    </row>
    <row r="1810" spans="1:7">
      <c r="A1810" t="s">
        <v>1297</v>
      </c>
      <c r="B1810" t="s">
        <v>1298</v>
      </c>
      <c r="C1810" t="s">
        <v>668</v>
      </c>
      <c r="D1810" t="s">
        <v>1338</v>
      </c>
      <c r="E1810" t="s">
        <v>187</v>
      </c>
      <c r="F1810">
        <v>2005</v>
      </c>
      <c r="G1810">
        <v>0.32494899999999999</v>
      </c>
    </row>
    <row r="1811" spans="1:7">
      <c r="A1811" t="s">
        <v>1297</v>
      </c>
      <c r="B1811" t="s">
        <v>1298</v>
      </c>
      <c r="C1811" t="s">
        <v>668</v>
      </c>
      <c r="D1811" t="s">
        <v>1338</v>
      </c>
      <c r="E1811" t="s">
        <v>187</v>
      </c>
      <c r="F1811">
        <v>2010</v>
      </c>
      <c r="G1811">
        <v>0.645177</v>
      </c>
    </row>
    <row r="1812" spans="1:7">
      <c r="A1812" t="s">
        <v>1297</v>
      </c>
      <c r="B1812" t="s">
        <v>1298</v>
      </c>
      <c r="C1812" t="s">
        <v>668</v>
      </c>
      <c r="D1812" t="s">
        <v>1338</v>
      </c>
      <c r="E1812" t="s">
        <v>187</v>
      </c>
      <c r="F1812">
        <v>2012</v>
      </c>
      <c r="G1812">
        <v>2.3990939999999998</v>
      </c>
    </row>
    <row r="1813" spans="1:7">
      <c r="A1813" t="s">
        <v>1297</v>
      </c>
      <c r="B1813" t="s">
        <v>1298</v>
      </c>
      <c r="C1813" t="s">
        <v>668</v>
      </c>
      <c r="D1813" t="s">
        <v>1338</v>
      </c>
      <c r="E1813" t="s">
        <v>187</v>
      </c>
      <c r="F1813">
        <v>2016</v>
      </c>
      <c r="G1813">
        <v>8.2104789999999994</v>
      </c>
    </row>
    <row r="1814" spans="1:7">
      <c r="A1814" t="s">
        <v>1297</v>
      </c>
      <c r="B1814" t="s">
        <v>1298</v>
      </c>
      <c r="C1814" t="s">
        <v>668</v>
      </c>
      <c r="D1814" t="s">
        <v>1338</v>
      </c>
      <c r="E1814" t="s">
        <v>187</v>
      </c>
      <c r="F1814">
        <v>2020</v>
      </c>
      <c r="G1814">
        <v>18.447338999999999</v>
      </c>
    </row>
    <row r="1815" spans="1:7">
      <c r="A1815" t="s">
        <v>1297</v>
      </c>
      <c r="B1815" t="s">
        <v>1298</v>
      </c>
      <c r="C1815" t="s">
        <v>655</v>
      </c>
      <c r="D1815" t="s">
        <v>1338</v>
      </c>
      <c r="E1815" t="s">
        <v>187</v>
      </c>
      <c r="F1815">
        <v>2005</v>
      </c>
      <c r="G1815">
        <v>2.0429949999999999</v>
      </c>
    </row>
    <row r="1816" spans="1:7">
      <c r="A1816" t="s">
        <v>1297</v>
      </c>
      <c r="B1816" t="s">
        <v>1298</v>
      </c>
      <c r="C1816" t="s">
        <v>655</v>
      </c>
      <c r="D1816" t="s">
        <v>1338</v>
      </c>
      <c r="E1816" t="s">
        <v>187</v>
      </c>
      <c r="F1816">
        <v>2010</v>
      </c>
      <c r="G1816">
        <v>5.7068219999999998</v>
      </c>
    </row>
    <row r="1817" spans="1:7">
      <c r="A1817" t="s">
        <v>1297</v>
      </c>
      <c r="B1817" t="s">
        <v>1298</v>
      </c>
      <c r="C1817" t="s">
        <v>655</v>
      </c>
      <c r="D1817" t="s">
        <v>1338</v>
      </c>
      <c r="E1817" t="s">
        <v>187</v>
      </c>
      <c r="F1817">
        <v>2012</v>
      </c>
      <c r="G1817">
        <v>10.354642</v>
      </c>
    </row>
    <row r="1818" spans="1:7">
      <c r="A1818" t="s">
        <v>1297</v>
      </c>
      <c r="B1818" t="s">
        <v>1298</v>
      </c>
      <c r="C1818" t="s">
        <v>655</v>
      </c>
      <c r="D1818" t="s">
        <v>1338</v>
      </c>
      <c r="E1818" t="s">
        <v>187</v>
      </c>
      <c r="F1818">
        <v>2016</v>
      </c>
      <c r="G1818">
        <v>20.898855999999999</v>
      </c>
    </row>
    <row r="1819" spans="1:7">
      <c r="A1819" t="s">
        <v>1297</v>
      </c>
      <c r="B1819" t="s">
        <v>1298</v>
      </c>
      <c r="C1819" t="s">
        <v>655</v>
      </c>
      <c r="D1819" t="s">
        <v>1338</v>
      </c>
      <c r="E1819" t="s">
        <v>187</v>
      </c>
      <c r="F1819">
        <v>2020</v>
      </c>
      <c r="G1819">
        <v>19.595732000000002</v>
      </c>
    </row>
    <row r="1820" spans="1:7">
      <c r="A1820" t="s">
        <v>1297</v>
      </c>
      <c r="B1820" t="s">
        <v>1298</v>
      </c>
      <c r="C1820" t="s">
        <v>670</v>
      </c>
      <c r="D1820" t="s">
        <v>1338</v>
      </c>
      <c r="E1820" t="s">
        <v>187</v>
      </c>
      <c r="F1820">
        <v>2005</v>
      </c>
      <c r="G1820">
        <v>30.562273999999999</v>
      </c>
    </row>
    <row r="1821" spans="1:7">
      <c r="A1821" t="s">
        <v>1297</v>
      </c>
      <c r="B1821" t="s">
        <v>1298</v>
      </c>
      <c r="C1821" t="s">
        <v>670</v>
      </c>
      <c r="D1821" t="s">
        <v>1338</v>
      </c>
      <c r="E1821" t="s">
        <v>187</v>
      </c>
      <c r="F1821">
        <v>2010</v>
      </c>
      <c r="G1821">
        <v>33.712175999999999</v>
      </c>
    </row>
    <row r="1822" spans="1:7">
      <c r="A1822" t="s">
        <v>1297</v>
      </c>
      <c r="B1822" t="s">
        <v>1298</v>
      </c>
      <c r="C1822" t="s">
        <v>670</v>
      </c>
      <c r="D1822" t="s">
        <v>1338</v>
      </c>
      <c r="E1822" t="s">
        <v>187</v>
      </c>
      <c r="F1822">
        <v>2012</v>
      </c>
      <c r="G1822">
        <v>41.762565000000002</v>
      </c>
    </row>
    <row r="1823" spans="1:7">
      <c r="A1823" t="s">
        <v>1297</v>
      </c>
      <c r="B1823" t="s">
        <v>1298</v>
      </c>
      <c r="C1823" t="s">
        <v>670</v>
      </c>
      <c r="D1823" t="s">
        <v>1338</v>
      </c>
      <c r="E1823" t="s">
        <v>187</v>
      </c>
      <c r="F1823">
        <v>2016</v>
      </c>
      <c r="G1823">
        <v>29.148976999999999</v>
      </c>
    </row>
    <row r="1824" spans="1:7">
      <c r="A1824" t="s">
        <v>1297</v>
      </c>
      <c r="B1824" t="s">
        <v>1298</v>
      </c>
      <c r="C1824" t="s">
        <v>670</v>
      </c>
      <c r="D1824" t="s">
        <v>1338</v>
      </c>
      <c r="E1824" t="s">
        <v>187</v>
      </c>
      <c r="F1824">
        <v>2020</v>
      </c>
      <c r="G1824">
        <v>44.383561999999998</v>
      </c>
    </row>
    <row r="1825" spans="1:7">
      <c r="A1825" t="s">
        <v>1297</v>
      </c>
      <c r="B1825" t="s">
        <v>1298</v>
      </c>
      <c r="C1825" t="s">
        <v>659</v>
      </c>
      <c r="D1825" t="s">
        <v>1338</v>
      </c>
      <c r="E1825" t="s">
        <v>187</v>
      </c>
      <c r="F1825">
        <v>2005</v>
      </c>
      <c r="G1825">
        <v>0.33735700000000002</v>
      </c>
    </row>
    <row r="1826" spans="1:7">
      <c r="A1826" t="s">
        <v>1297</v>
      </c>
      <c r="B1826" t="s">
        <v>1298</v>
      </c>
      <c r="C1826" t="s">
        <v>659</v>
      </c>
      <c r="D1826" t="s">
        <v>1338</v>
      </c>
      <c r="E1826" t="s">
        <v>187</v>
      </c>
      <c r="F1826">
        <v>2010</v>
      </c>
      <c r="G1826">
        <v>35.220632999999999</v>
      </c>
    </row>
    <row r="1827" spans="1:7">
      <c r="A1827" t="s">
        <v>1297</v>
      </c>
      <c r="B1827" t="s">
        <v>1298</v>
      </c>
      <c r="C1827" t="s">
        <v>659</v>
      </c>
      <c r="D1827" t="s">
        <v>1338</v>
      </c>
      <c r="E1827" t="s">
        <v>187</v>
      </c>
      <c r="F1827">
        <v>2012</v>
      </c>
      <c r="G1827">
        <v>82.624559000000005</v>
      </c>
    </row>
    <row r="1828" spans="1:7">
      <c r="A1828" t="s">
        <v>1297</v>
      </c>
      <c r="B1828" t="s">
        <v>1298</v>
      </c>
      <c r="C1828" t="s">
        <v>659</v>
      </c>
      <c r="D1828" t="s">
        <v>1338</v>
      </c>
      <c r="E1828" t="s">
        <v>187</v>
      </c>
      <c r="F1828">
        <v>2016</v>
      </c>
      <c r="G1828">
        <v>33.655240999999997</v>
      </c>
    </row>
    <row r="1829" spans="1:7">
      <c r="A1829" t="s">
        <v>1297</v>
      </c>
      <c r="B1829" t="s">
        <v>1298</v>
      </c>
      <c r="C1829" t="s">
        <v>659</v>
      </c>
      <c r="D1829" t="s">
        <v>1338</v>
      </c>
      <c r="E1829" t="s">
        <v>187</v>
      </c>
      <c r="F1829">
        <v>2020</v>
      </c>
      <c r="G1829">
        <v>71.836578000000003</v>
      </c>
    </row>
    <row r="1830" spans="1:7">
      <c r="A1830" t="s">
        <v>1297</v>
      </c>
      <c r="B1830" t="s">
        <v>1298</v>
      </c>
      <c r="C1830" t="s">
        <v>680</v>
      </c>
      <c r="D1830" t="s">
        <v>1338</v>
      </c>
      <c r="E1830" t="s">
        <v>187</v>
      </c>
      <c r="F1830">
        <v>2010</v>
      </c>
      <c r="G1830">
        <v>4.3660000000000001E-3</v>
      </c>
    </row>
    <row r="1831" spans="1:7">
      <c r="A1831" t="s">
        <v>1297</v>
      </c>
      <c r="B1831" t="s">
        <v>1298</v>
      </c>
      <c r="C1831" t="s">
        <v>680</v>
      </c>
      <c r="D1831" t="s">
        <v>1338</v>
      </c>
      <c r="E1831" t="s">
        <v>187</v>
      </c>
      <c r="F1831">
        <v>2012</v>
      </c>
      <c r="G1831">
        <v>7.8750000000000001E-3</v>
      </c>
    </row>
    <row r="1832" spans="1:7">
      <c r="A1832" t="s">
        <v>1297</v>
      </c>
      <c r="B1832" t="s">
        <v>1298</v>
      </c>
      <c r="C1832" t="s">
        <v>680</v>
      </c>
      <c r="D1832" t="s">
        <v>1338</v>
      </c>
      <c r="E1832" t="s">
        <v>187</v>
      </c>
      <c r="F1832">
        <v>2016</v>
      </c>
      <c r="G1832">
        <v>0.67674999999999996</v>
      </c>
    </row>
    <row r="1833" spans="1:7">
      <c r="A1833" t="s">
        <v>1297</v>
      </c>
      <c r="B1833" t="s">
        <v>1298</v>
      </c>
      <c r="C1833" t="s">
        <v>680</v>
      </c>
      <c r="D1833" t="s">
        <v>1338</v>
      </c>
      <c r="E1833" t="s">
        <v>187</v>
      </c>
      <c r="F1833">
        <v>2020</v>
      </c>
      <c r="G1833">
        <v>0.67813999999999997</v>
      </c>
    </row>
    <row r="1834" spans="1:7">
      <c r="A1834" t="s">
        <v>1297</v>
      </c>
      <c r="B1834" t="s">
        <v>1298</v>
      </c>
      <c r="C1834" t="s">
        <v>289</v>
      </c>
      <c r="D1834" t="s">
        <v>1338</v>
      </c>
      <c r="E1834" t="s">
        <v>187</v>
      </c>
      <c r="F1834">
        <v>2005</v>
      </c>
      <c r="G1834">
        <v>3.3492000000000001E-2</v>
      </c>
    </row>
    <row r="1835" spans="1:7">
      <c r="A1835" t="s">
        <v>1297</v>
      </c>
      <c r="B1835" t="s">
        <v>1298</v>
      </c>
      <c r="C1835" t="s">
        <v>289</v>
      </c>
      <c r="D1835" t="s">
        <v>1338</v>
      </c>
      <c r="E1835" t="s">
        <v>187</v>
      </c>
      <c r="F1835">
        <v>2010</v>
      </c>
      <c r="G1835">
        <v>0.28748099999999999</v>
      </c>
    </row>
    <row r="1836" spans="1:7">
      <c r="A1836" t="s">
        <v>1297</v>
      </c>
      <c r="B1836" t="s">
        <v>1298</v>
      </c>
      <c r="C1836" t="s">
        <v>289</v>
      </c>
      <c r="D1836" t="s">
        <v>1338</v>
      </c>
      <c r="E1836" t="s">
        <v>187</v>
      </c>
      <c r="F1836">
        <v>2012</v>
      </c>
      <c r="G1836">
        <v>0.68669599999999997</v>
      </c>
    </row>
    <row r="1837" spans="1:7">
      <c r="A1837" t="s">
        <v>1297</v>
      </c>
      <c r="B1837" t="s">
        <v>1298</v>
      </c>
      <c r="C1837" t="s">
        <v>289</v>
      </c>
      <c r="D1837" t="s">
        <v>1338</v>
      </c>
      <c r="E1837" t="s">
        <v>187</v>
      </c>
      <c r="F1837">
        <v>2016</v>
      </c>
      <c r="G1837">
        <v>2.7050239999999999</v>
      </c>
    </row>
    <row r="1838" spans="1:7">
      <c r="A1838" t="s">
        <v>1297</v>
      </c>
      <c r="B1838" t="s">
        <v>1298</v>
      </c>
      <c r="C1838" t="s">
        <v>289</v>
      </c>
      <c r="D1838" t="s">
        <v>1338</v>
      </c>
      <c r="E1838" t="s">
        <v>187</v>
      </c>
      <c r="F1838">
        <v>2020</v>
      </c>
      <c r="G1838">
        <v>7.6528090000000004</v>
      </c>
    </row>
    <row r="1839" spans="1:7">
      <c r="A1839" t="s">
        <v>1297</v>
      </c>
      <c r="B1839" t="s">
        <v>1298</v>
      </c>
      <c r="C1839" t="s">
        <v>675</v>
      </c>
      <c r="D1839" t="s">
        <v>1338</v>
      </c>
      <c r="E1839" t="s">
        <v>187</v>
      </c>
      <c r="F1839">
        <v>2020</v>
      </c>
      <c r="G1839">
        <v>4.2805169999999997</v>
      </c>
    </row>
    <row r="1840" spans="1:7">
      <c r="A1840" t="s">
        <v>1297</v>
      </c>
      <c r="B1840" t="s">
        <v>1298</v>
      </c>
      <c r="C1840" t="s">
        <v>682</v>
      </c>
      <c r="D1840" t="s">
        <v>1338</v>
      </c>
      <c r="E1840" t="s">
        <v>187</v>
      </c>
      <c r="F1840">
        <v>2020</v>
      </c>
      <c r="G1840">
        <v>9.8254999999999995E-2</v>
      </c>
    </row>
    <row r="1841" spans="1:7">
      <c r="A1841" t="s">
        <v>1297</v>
      </c>
      <c r="B1841" t="s">
        <v>1298</v>
      </c>
      <c r="C1841" t="s">
        <v>651</v>
      </c>
      <c r="D1841" t="s">
        <v>1338</v>
      </c>
      <c r="E1841" t="s">
        <v>187</v>
      </c>
      <c r="F1841">
        <v>2005</v>
      </c>
      <c r="G1841">
        <v>15.988337</v>
      </c>
    </row>
    <row r="1842" spans="1:7">
      <c r="A1842" t="s">
        <v>1297</v>
      </c>
      <c r="B1842" t="s">
        <v>1298</v>
      </c>
      <c r="C1842" t="s">
        <v>651</v>
      </c>
      <c r="D1842" t="s">
        <v>1338</v>
      </c>
      <c r="E1842" t="s">
        <v>187</v>
      </c>
      <c r="F1842">
        <v>2010</v>
      </c>
      <c r="G1842">
        <v>39.989699999999999</v>
      </c>
    </row>
    <row r="1843" spans="1:7">
      <c r="A1843" t="s">
        <v>1297</v>
      </c>
      <c r="B1843" t="s">
        <v>1298</v>
      </c>
      <c r="C1843" t="s">
        <v>651</v>
      </c>
      <c r="D1843" t="s">
        <v>1338</v>
      </c>
      <c r="E1843" t="s">
        <v>187</v>
      </c>
      <c r="F1843">
        <v>2012</v>
      </c>
      <c r="G1843">
        <v>44.971361999999999</v>
      </c>
    </row>
    <row r="1844" spans="1:7">
      <c r="A1844" t="s">
        <v>1297</v>
      </c>
      <c r="B1844" t="s">
        <v>1298</v>
      </c>
      <c r="C1844" t="s">
        <v>651</v>
      </c>
      <c r="D1844" t="s">
        <v>1338</v>
      </c>
      <c r="E1844" t="s">
        <v>187</v>
      </c>
      <c r="F1844">
        <v>2016</v>
      </c>
      <c r="G1844">
        <v>42.598548999999998</v>
      </c>
    </row>
    <row r="1845" spans="1:7">
      <c r="A1845" t="s">
        <v>1297</v>
      </c>
      <c r="B1845" t="s">
        <v>1298</v>
      </c>
      <c r="C1845" t="s">
        <v>651</v>
      </c>
      <c r="D1845" t="s">
        <v>1338</v>
      </c>
      <c r="E1845" t="s">
        <v>187</v>
      </c>
      <c r="F1845">
        <v>2020</v>
      </c>
      <c r="G1845">
        <v>42.263098999999997</v>
      </c>
    </row>
    <row r="1846" spans="1:7">
      <c r="A1846" t="s">
        <v>1297</v>
      </c>
      <c r="B1846" t="s">
        <v>1298</v>
      </c>
      <c r="C1846" t="s">
        <v>674</v>
      </c>
      <c r="D1846" t="s">
        <v>1338</v>
      </c>
      <c r="E1846" t="s">
        <v>187</v>
      </c>
      <c r="F1846">
        <v>2005</v>
      </c>
      <c r="G1846">
        <v>8.5066550000000003</v>
      </c>
    </row>
    <row r="1847" spans="1:7">
      <c r="A1847" t="s">
        <v>1297</v>
      </c>
      <c r="B1847" t="s">
        <v>1298</v>
      </c>
      <c r="C1847" t="s">
        <v>674</v>
      </c>
      <c r="D1847" t="s">
        <v>1338</v>
      </c>
      <c r="E1847" t="s">
        <v>187</v>
      </c>
      <c r="F1847">
        <v>2010</v>
      </c>
      <c r="G1847">
        <v>15.355319</v>
      </c>
    </row>
    <row r="1848" spans="1:7">
      <c r="A1848" t="s">
        <v>1297</v>
      </c>
      <c r="B1848" t="s">
        <v>1298</v>
      </c>
      <c r="C1848" t="s">
        <v>674</v>
      </c>
      <c r="D1848" t="s">
        <v>1338</v>
      </c>
      <c r="E1848" t="s">
        <v>187</v>
      </c>
      <c r="F1848">
        <v>2012</v>
      </c>
      <c r="G1848">
        <v>26.544561999999999</v>
      </c>
    </row>
    <row r="1849" spans="1:7">
      <c r="A1849" t="s">
        <v>1297</v>
      </c>
      <c r="B1849" t="s">
        <v>1298</v>
      </c>
      <c r="C1849" t="s">
        <v>674</v>
      </c>
      <c r="D1849" t="s">
        <v>1338</v>
      </c>
      <c r="E1849" t="s">
        <v>187</v>
      </c>
      <c r="F1849">
        <v>2016</v>
      </c>
      <c r="G1849">
        <v>56.269326999999997</v>
      </c>
    </row>
    <row r="1850" spans="1:7">
      <c r="A1850" t="s">
        <v>1297</v>
      </c>
      <c r="B1850" t="s">
        <v>1298</v>
      </c>
      <c r="C1850" t="s">
        <v>674</v>
      </c>
      <c r="D1850" t="s">
        <v>1338</v>
      </c>
      <c r="E1850" t="s">
        <v>187</v>
      </c>
      <c r="F1850">
        <v>2020</v>
      </c>
      <c r="G1850">
        <v>75.990131000000005</v>
      </c>
    </row>
    <row r="1851" spans="1:7">
      <c r="A1851" t="s">
        <v>1297</v>
      </c>
      <c r="B1851" t="s">
        <v>1298</v>
      </c>
      <c r="C1851" t="s">
        <v>686</v>
      </c>
      <c r="D1851" t="s">
        <v>1338</v>
      </c>
      <c r="E1851" t="s">
        <v>187</v>
      </c>
      <c r="F1851">
        <v>2010</v>
      </c>
      <c r="G1851">
        <v>5.8999999999999997E-2</v>
      </c>
    </row>
    <row r="1852" spans="1:7">
      <c r="A1852" t="s">
        <v>1297</v>
      </c>
      <c r="B1852" t="s">
        <v>1298</v>
      </c>
      <c r="C1852" t="s">
        <v>686</v>
      </c>
      <c r="D1852" t="s">
        <v>1338</v>
      </c>
      <c r="E1852" t="s">
        <v>187</v>
      </c>
      <c r="F1852">
        <v>2012</v>
      </c>
      <c r="G1852">
        <v>0.48039300000000001</v>
      </c>
    </row>
    <row r="1853" spans="1:7">
      <c r="A1853" t="s">
        <v>1297</v>
      </c>
      <c r="B1853" t="s">
        <v>1298</v>
      </c>
      <c r="C1853" t="s">
        <v>686</v>
      </c>
      <c r="D1853" t="s">
        <v>1338</v>
      </c>
      <c r="E1853" t="s">
        <v>187</v>
      </c>
      <c r="F1853">
        <v>2016</v>
      </c>
      <c r="G1853">
        <v>0.47876800000000003</v>
      </c>
    </row>
    <row r="1854" spans="1:7">
      <c r="A1854" t="s">
        <v>1297</v>
      </c>
      <c r="B1854" t="s">
        <v>1298</v>
      </c>
      <c r="C1854" t="s">
        <v>686</v>
      </c>
      <c r="D1854" t="s">
        <v>1338</v>
      </c>
      <c r="E1854" t="s">
        <v>187</v>
      </c>
      <c r="F1854">
        <v>2020</v>
      </c>
      <c r="G1854">
        <v>0.61358400000000002</v>
      </c>
    </row>
    <row r="1855" spans="1:7">
      <c r="A1855" t="s">
        <v>1297</v>
      </c>
      <c r="B1855" t="s">
        <v>1298</v>
      </c>
      <c r="C1855" t="s">
        <v>653</v>
      </c>
      <c r="D1855" t="s">
        <v>1338</v>
      </c>
      <c r="E1855" t="s">
        <v>187</v>
      </c>
      <c r="F1855">
        <v>2010</v>
      </c>
      <c r="G1855">
        <v>0.32009599999999999</v>
      </c>
    </row>
    <row r="1856" spans="1:7">
      <c r="A1856" t="s">
        <v>1297</v>
      </c>
      <c r="B1856" t="s">
        <v>1298</v>
      </c>
      <c r="C1856" t="s">
        <v>653</v>
      </c>
      <c r="D1856" t="s">
        <v>1338</v>
      </c>
      <c r="E1856" t="s">
        <v>187</v>
      </c>
      <c r="F1856">
        <v>2012</v>
      </c>
      <c r="G1856">
        <v>4.0915020000000002</v>
      </c>
    </row>
    <row r="1857" spans="1:7">
      <c r="A1857" t="s">
        <v>1297</v>
      </c>
      <c r="B1857" t="s">
        <v>1298</v>
      </c>
      <c r="C1857" t="s">
        <v>653</v>
      </c>
      <c r="D1857" t="s">
        <v>1338</v>
      </c>
      <c r="E1857" t="s">
        <v>187</v>
      </c>
      <c r="F1857">
        <v>2016</v>
      </c>
      <c r="G1857">
        <v>6.6499649999999999</v>
      </c>
    </row>
    <row r="1858" spans="1:7">
      <c r="A1858" t="s">
        <v>1297</v>
      </c>
      <c r="B1858" t="s">
        <v>1298</v>
      </c>
      <c r="C1858" t="s">
        <v>653</v>
      </c>
      <c r="D1858" t="s">
        <v>1338</v>
      </c>
      <c r="E1858" t="s">
        <v>187</v>
      </c>
      <c r="F1858">
        <v>2020</v>
      </c>
      <c r="G1858">
        <v>5.2617770000000004</v>
      </c>
    </row>
    <row r="1859" spans="1:7">
      <c r="A1859" t="s">
        <v>1297</v>
      </c>
      <c r="B1859" t="s">
        <v>1298</v>
      </c>
      <c r="C1859" t="s">
        <v>660</v>
      </c>
      <c r="D1859" t="s">
        <v>1338</v>
      </c>
      <c r="E1859" t="s">
        <v>187</v>
      </c>
      <c r="F1859">
        <v>2005</v>
      </c>
      <c r="G1859">
        <v>8.7422649999999997</v>
      </c>
    </row>
    <row r="1860" spans="1:7">
      <c r="A1860" t="s">
        <v>1297</v>
      </c>
      <c r="B1860" t="s">
        <v>1298</v>
      </c>
      <c r="C1860" t="s">
        <v>660</v>
      </c>
      <c r="D1860" t="s">
        <v>1338</v>
      </c>
      <c r="E1860" t="s">
        <v>187</v>
      </c>
      <c r="F1860">
        <v>2010</v>
      </c>
      <c r="G1860">
        <v>15.191166000000001</v>
      </c>
    </row>
    <row r="1861" spans="1:7">
      <c r="A1861" t="s">
        <v>1297</v>
      </c>
      <c r="B1861" t="s">
        <v>1298</v>
      </c>
      <c r="C1861" t="s">
        <v>660</v>
      </c>
      <c r="D1861" t="s">
        <v>1338</v>
      </c>
      <c r="E1861" t="s">
        <v>187</v>
      </c>
      <c r="F1861">
        <v>2012</v>
      </c>
      <c r="G1861">
        <v>22.713677000000001</v>
      </c>
    </row>
    <row r="1862" spans="1:7">
      <c r="A1862" t="s">
        <v>1297</v>
      </c>
      <c r="B1862" t="s">
        <v>1298</v>
      </c>
      <c r="C1862" t="s">
        <v>660</v>
      </c>
      <c r="D1862" t="s">
        <v>1338</v>
      </c>
      <c r="E1862" t="s">
        <v>187</v>
      </c>
      <c r="F1862">
        <v>2016</v>
      </c>
      <c r="G1862">
        <v>19.051024999999999</v>
      </c>
    </row>
    <row r="1863" spans="1:7">
      <c r="A1863" t="s">
        <v>1297</v>
      </c>
      <c r="B1863" t="s">
        <v>1298</v>
      </c>
      <c r="C1863" t="s">
        <v>660</v>
      </c>
      <c r="D1863" t="s">
        <v>1338</v>
      </c>
      <c r="E1863" t="s">
        <v>187</v>
      </c>
      <c r="F1863">
        <v>2020</v>
      </c>
      <c r="G1863">
        <v>24.622949999999999</v>
      </c>
    </row>
    <row r="1864" spans="1:7">
      <c r="A1864" t="s">
        <v>1297</v>
      </c>
      <c r="B1864" t="s">
        <v>1298</v>
      </c>
      <c r="C1864" t="s">
        <v>677</v>
      </c>
      <c r="D1864" t="s">
        <v>1338</v>
      </c>
      <c r="E1864" t="s">
        <v>187</v>
      </c>
      <c r="F1864">
        <v>2005</v>
      </c>
      <c r="G1864">
        <v>18.437733000000001</v>
      </c>
    </row>
    <row r="1865" spans="1:7">
      <c r="A1865" t="s">
        <v>1297</v>
      </c>
      <c r="B1865" t="s">
        <v>1298</v>
      </c>
      <c r="C1865" t="s">
        <v>677</v>
      </c>
      <c r="D1865" t="s">
        <v>1338</v>
      </c>
      <c r="E1865" t="s">
        <v>187</v>
      </c>
      <c r="F1865">
        <v>2010</v>
      </c>
      <c r="G1865">
        <v>73.415383000000006</v>
      </c>
    </row>
    <row r="1866" spans="1:7">
      <c r="A1866" t="s">
        <v>1297</v>
      </c>
      <c r="B1866" t="s">
        <v>1298</v>
      </c>
      <c r="C1866" t="s">
        <v>677</v>
      </c>
      <c r="D1866" t="s">
        <v>1338</v>
      </c>
      <c r="E1866" t="s">
        <v>187</v>
      </c>
      <c r="F1866">
        <v>2012</v>
      </c>
      <c r="G1866">
        <v>65.587008999999995</v>
      </c>
    </row>
    <row r="1867" spans="1:7">
      <c r="A1867" t="s">
        <v>1297</v>
      </c>
      <c r="B1867" t="s">
        <v>1298</v>
      </c>
      <c r="C1867" t="s">
        <v>677</v>
      </c>
      <c r="D1867" t="s">
        <v>1338</v>
      </c>
      <c r="E1867" t="s">
        <v>187</v>
      </c>
      <c r="F1867">
        <v>2016</v>
      </c>
      <c r="G1867">
        <v>149.28197</v>
      </c>
    </row>
    <row r="1868" spans="1:7">
      <c r="A1868" t="s">
        <v>1297</v>
      </c>
      <c r="B1868" t="s">
        <v>1298</v>
      </c>
      <c r="C1868" t="s">
        <v>677</v>
      </c>
      <c r="D1868" t="s">
        <v>1338</v>
      </c>
      <c r="E1868" t="s">
        <v>187</v>
      </c>
      <c r="F1868">
        <v>2020</v>
      </c>
      <c r="G1868">
        <v>220.92538500000001</v>
      </c>
    </row>
    <row r="1869" spans="1:7">
      <c r="A1869" t="s">
        <v>1297</v>
      </c>
      <c r="B1869" t="s">
        <v>1298</v>
      </c>
      <c r="C1869" t="s">
        <v>1300</v>
      </c>
      <c r="D1869" t="s">
        <v>1338</v>
      </c>
      <c r="E1869" t="s">
        <v>187</v>
      </c>
      <c r="F1869">
        <v>2010</v>
      </c>
      <c r="G1869">
        <v>1.6E-2</v>
      </c>
    </row>
    <row r="1870" spans="1:7">
      <c r="A1870" t="s">
        <v>1297</v>
      </c>
      <c r="B1870" t="s">
        <v>1298</v>
      </c>
      <c r="C1870" t="s">
        <v>1300</v>
      </c>
      <c r="D1870" t="s">
        <v>1338</v>
      </c>
      <c r="E1870" t="s">
        <v>187</v>
      </c>
      <c r="F1870">
        <v>2012</v>
      </c>
      <c r="G1870">
        <v>1.4E-2</v>
      </c>
    </row>
    <row r="1871" spans="1:7">
      <c r="A1871" t="s">
        <v>1297</v>
      </c>
      <c r="B1871" t="s">
        <v>1298</v>
      </c>
      <c r="C1871" t="s">
        <v>1300</v>
      </c>
      <c r="D1871" t="s">
        <v>1338</v>
      </c>
      <c r="E1871" t="s">
        <v>187</v>
      </c>
      <c r="F1871">
        <v>2016</v>
      </c>
      <c r="G1871">
        <v>0.19040000000000001</v>
      </c>
    </row>
    <row r="1872" spans="1:7">
      <c r="A1872" t="s">
        <v>1297</v>
      </c>
      <c r="B1872" t="s">
        <v>1298</v>
      </c>
      <c r="C1872" t="s">
        <v>1300</v>
      </c>
      <c r="D1872" t="s">
        <v>1338</v>
      </c>
      <c r="E1872" t="s">
        <v>187</v>
      </c>
      <c r="F1872">
        <v>2020</v>
      </c>
      <c r="G1872">
        <v>0.47240900000000002</v>
      </c>
    </row>
    <row r="1873" spans="1:8">
      <c r="A1873" t="s">
        <v>1297</v>
      </c>
      <c r="B1873" t="s">
        <v>1298</v>
      </c>
      <c r="C1873" t="s">
        <v>667</v>
      </c>
      <c r="D1873" t="s">
        <v>1338</v>
      </c>
      <c r="E1873" t="s">
        <v>187</v>
      </c>
      <c r="F1873">
        <v>2005</v>
      </c>
      <c r="G1873">
        <v>0.31002099999999999</v>
      </c>
    </row>
    <row r="1874" spans="1:8">
      <c r="A1874" t="s">
        <v>1297</v>
      </c>
      <c r="B1874" t="s">
        <v>1298</v>
      </c>
      <c r="C1874" t="s">
        <v>667</v>
      </c>
      <c r="D1874" t="s">
        <v>1338</v>
      </c>
      <c r="E1874" t="s">
        <v>187</v>
      </c>
      <c r="F1874">
        <v>2010</v>
      </c>
      <c r="G1874">
        <v>2.3418359999999998</v>
      </c>
    </row>
    <row r="1875" spans="1:8">
      <c r="A1875" t="s">
        <v>1297</v>
      </c>
      <c r="B1875" t="s">
        <v>1298</v>
      </c>
      <c r="C1875" t="s">
        <v>667</v>
      </c>
      <c r="D1875" t="s">
        <v>1338</v>
      </c>
      <c r="E1875" t="s">
        <v>187</v>
      </c>
      <c r="F1875">
        <v>2012</v>
      </c>
      <c r="G1875">
        <v>3.0043700000000002</v>
      </c>
    </row>
    <row r="1876" spans="1:8">
      <c r="A1876" t="s">
        <v>1297</v>
      </c>
      <c r="B1876" t="s">
        <v>1298</v>
      </c>
      <c r="C1876" t="s">
        <v>667</v>
      </c>
      <c r="D1876" t="s">
        <v>1338</v>
      </c>
      <c r="E1876" t="s">
        <v>187</v>
      </c>
      <c r="F1876">
        <v>2016</v>
      </c>
      <c r="G1876">
        <v>7.0917510000000004</v>
      </c>
    </row>
    <row r="1877" spans="1:8">
      <c r="A1877" t="s">
        <v>1297</v>
      </c>
      <c r="B1877" t="s">
        <v>1298</v>
      </c>
      <c r="C1877" t="s">
        <v>667</v>
      </c>
      <c r="D1877" t="s">
        <v>1338</v>
      </c>
      <c r="E1877" t="s">
        <v>187</v>
      </c>
      <c r="F1877">
        <v>2020</v>
      </c>
      <c r="G1877">
        <v>9.5877870000000005</v>
      </c>
    </row>
    <row r="1878" spans="1:8">
      <c r="A1878" t="s">
        <v>1297</v>
      </c>
      <c r="B1878" t="s">
        <v>1298</v>
      </c>
      <c r="C1878" t="s">
        <v>654</v>
      </c>
      <c r="D1878" t="s">
        <v>1338</v>
      </c>
      <c r="E1878" t="s">
        <v>187</v>
      </c>
      <c r="F1878">
        <v>2005</v>
      </c>
      <c r="G1878">
        <v>0.25040000000000001</v>
      </c>
    </row>
    <row r="1879" spans="1:8">
      <c r="A1879" t="s">
        <v>1297</v>
      </c>
      <c r="B1879" t="s">
        <v>1298</v>
      </c>
      <c r="C1879" t="s">
        <v>654</v>
      </c>
      <c r="D1879" t="s">
        <v>1338</v>
      </c>
      <c r="E1879" t="s">
        <v>187</v>
      </c>
      <c r="F1879">
        <v>2010</v>
      </c>
      <c r="G1879">
        <v>0.97099999999999997</v>
      </c>
    </row>
    <row r="1880" spans="1:8">
      <c r="A1880" t="s">
        <v>1297</v>
      </c>
      <c r="B1880" t="s">
        <v>1298</v>
      </c>
      <c r="C1880" t="s">
        <v>654</v>
      </c>
      <c r="D1880" t="s">
        <v>1338</v>
      </c>
      <c r="E1880" t="s">
        <v>187</v>
      </c>
      <c r="F1880">
        <v>2012</v>
      </c>
      <c r="G1880">
        <v>0.89049999999999996</v>
      </c>
    </row>
    <row r="1881" spans="1:8">
      <c r="A1881" t="s">
        <v>1297</v>
      </c>
      <c r="B1881" t="s">
        <v>1298</v>
      </c>
      <c r="C1881" t="s">
        <v>654</v>
      </c>
      <c r="D1881" t="s">
        <v>1338</v>
      </c>
      <c r="E1881" t="s">
        <v>187</v>
      </c>
      <c r="F1881">
        <v>2016</v>
      </c>
      <c r="G1881">
        <v>1.3125</v>
      </c>
    </row>
    <row r="1882" spans="1:8">
      <c r="A1882" t="s">
        <v>1297</v>
      </c>
      <c r="B1882" t="s">
        <v>1298</v>
      </c>
      <c r="C1882" t="s">
        <v>654</v>
      </c>
      <c r="D1882" t="s">
        <v>1338</v>
      </c>
      <c r="E1882" t="s">
        <v>187</v>
      </c>
      <c r="F1882">
        <v>2020</v>
      </c>
      <c r="G1882">
        <v>1.900488</v>
      </c>
    </row>
    <row r="1883" spans="1:8">
      <c r="A1883" t="s">
        <v>1297</v>
      </c>
      <c r="B1883" t="s">
        <v>1298</v>
      </c>
      <c r="C1883" t="s">
        <v>666</v>
      </c>
      <c r="D1883" t="s">
        <v>1338</v>
      </c>
      <c r="E1883" t="s">
        <v>187</v>
      </c>
      <c r="F1883">
        <v>2005</v>
      </c>
      <c r="G1883">
        <v>0.76399700000000004</v>
      </c>
    </row>
    <row r="1884" spans="1:8">
      <c r="A1884" t="s">
        <v>1297</v>
      </c>
      <c r="B1884" t="s">
        <v>1298</v>
      </c>
      <c r="C1884" t="s">
        <v>666</v>
      </c>
      <c r="D1884" t="s">
        <v>1338</v>
      </c>
      <c r="E1884" t="s">
        <v>187</v>
      </c>
      <c r="F1884">
        <v>2010</v>
      </c>
      <c r="G1884">
        <v>3.486208</v>
      </c>
    </row>
    <row r="1885" spans="1:8">
      <c r="A1885" t="s">
        <v>1297</v>
      </c>
      <c r="B1885" t="s">
        <v>1298</v>
      </c>
      <c r="C1885" t="s">
        <v>666</v>
      </c>
      <c r="D1885" t="s">
        <v>1338</v>
      </c>
      <c r="E1885" t="s">
        <v>187</v>
      </c>
      <c r="F1885">
        <v>2012</v>
      </c>
      <c r="G1885">
        <v>7.6812699999999996</v>
      </c>
    </row>
    <row r="1886" spans="1:8">
      <c r="A1886" t="s">
        <v>1297</v>
      </c>
      <c r="B1886" t="s">
        <v>1298</v>
      </c>
      <c r="C1886" t="s">
        <v>666</v>
      </c>
      <c r="D1886" t="s">
        <v>1338</v>
      </c>
      <c r="E1886" t="s">
        <v>187</v>
      </c>
      <c r="F1886">
        <v>2016</v>
      </c>
      <c r="G1886">
        <v>12.273261</v>
      </c>
    </row>
    <row r="1887" spans="1:8">
      <c r="A1887" t="s">
        <v>1297</v>
      </c>
      <c r="B1887" t="s">
        <v>1298</v>
      </c>
      <c r="C1887" t="s">
        <v>666</v>
      </c>
      <c r="D1887" t="s">
        <v>1338</v>
      </c>
      <c r="E1887" t="s">
        <v>187</v>
      </c>
      <c r="F1887">
        <v>2020</v>
      </c>
      <c r="G1887">
        <v>14.811102999999999</v>
      </c>
    </row>
    <row r="1888" spans="1:8">
      <c r="A1888" t="s">
        <v>1297</v>
      </c>
      <c r="B1888" t="s">
        <v>1298</v>
      </c>
      <c r="C1888" t="s">
        <v>652</v>
      </c>
      <c r="D1888" t="s">
        <v>1339</v>
      </c>
      <c r="E1888" t="s">
        <v>187</v>
      </c>
      <c r="F1888">
        <v>2020</v>
      </c>
      <c r="G1888" s="14">
        <v>7.9999999999999996E-6</v>
      </c>
      <c r="H1888" s="14"/>
    </row>
    <row r="1889" spans="1:8">
      <c r="A1889" t="s">
        <v>1297</v>
      </c>
      <c r="B1889" t="s">
        <v>1298</v>
      </c>
      <c r="C1889" t="s">
        <v>660</v>
      </c>
      <c r="D1889" t="s">
        <v>1339</v>
      </c>
      <c r="E1889" t="s">
        <v>187</v>
      </c>
      <c r="F1889">
        <v>2016</v>
      </c>
      <c r="G1889" s="14">
        <v>3.1000000000000001E-5</v>
      </c>
    </row>
    <row r="1890" spans="1:8">
      <c r="A1890" t="s">
        <v>1297</v>
      </c>
      <c r="B1890" t="s">
        <v>1298</v>
      </c>
      <c r="C1890" t="s">
        <v>660</v>
      </c>
      <c r="D1890" t="s">
        <v>1339</v>
      </c>
      <c r="E1890" t="s">
        <v>187</v>
      </c>
      <c r="F1890">
        <v>2020</v>
      </c>
      <c r="G1890" s="14">
        <v>6.8999999999999997E-5</v>
      </c>
      <c r="H1890" s="14"/>
    </row>
    <row r="1891" spans="1:8">
      <c r="A1891" t="s">
        <v>1297</v>
      </c>
      <c r="B1891" t="s">
        <v>1298</v>
      </c>
      <c r="C1891" t="s">
        <v>670</v>
      </c>
      <c r="D1891" t="s">
        <v>1339</v>
      </c>
      <c r="E1891" t="s">
        <v>187</v>
      </c>
      <c r="F1891">
        <v>2016</v>
      </c>
      <c r="G1891" s="14">
        <v>1.4300000000000001E-4</v>
      </c>
      <c r="H1891" s="14"/>
    </row>
    <row r="1892" spans="1:8">
      <c r="A1892" t="s">
        <v>1297</v>
      </c>
      <c r="B1892" t="s">
        <v>1298</v>
      </c>
      <c r="C1892" t="s">
        <v>670</v>
      </c>
      <c r="D1892" t="s">
        <v>1339</v>
      </c>
      <c r="E1892" t="s">
        <v>187</v>
      </c>
      <c r="F1892">
        <v>2020</v>
      </c>
      <c r="G1892">
        <v>1.9926839999999999</v>
      </c>
    </row>
    <row r="1893" spans="1:8">
      <c r="A1893" t="s">
        <v>1297</v>
      </c>
      <c r="B1893" t="s">
        <v>1298</v>
      </c>
      <c r="C1893" t="s">
        <v>662</v>
      </c>
      <c r="D1893" t="s">
        <v>1339</v>
      </c>
      <c r="E1893" t="s">
        <v>187</v>
      </c>
      <c r="F1893">
        <v>2020</v>
      </c>
      <c r="G1893">
        <v>1.5460000000000001E-3</v>
      </c>
    </row>
    <row r="1894" spans="1:8">
      <c r="A1894" t="s">
        <v>1297</v>
      </c>
      <c r="B1894" t="s">
        <v>1298</v>
      </c>
      <c r="C1894" t="s">
        <v>659</v>
      </c>
      <c r="D1894" t="s">
        <v>1339</v>
      </c>
      <c r="E1894" t="s">
        <v>187</v>
      </c>
      <c r="F1894">
        <v>2020</v>
      </c>
      <c r="G1894">
        <v>3.7399999999999998E-4</v>
      </c>
    </row>
    <row r="1895" spans="1:8">
      <c r="A1895" t="s">
        <v>1297</v>
      </c>
      <c r="B1895" t="s">
        <v>1298</v>
      </c>
      <c r="C1895" t="s">
        <v>673</v>
      </c>
      <c r="D1895" t="s">
        <v>1340</v>
      </c>
      <c r="E1895" t="s">
        <v>187</v>
      </c>
      <c r="F1895">
        <v>2020</v>
      </c>
      <c r="G1895">
        <v>0.78533200000000003</v>
      </c>
    </row>
    <row r="1896" spans="1:8">
      <c r="A1896" t="s">
        <v>1297</v>
      </c>
      <c r="B1896" t="s">
        <v>1298</v>
      </c>
      <c r="C1896" t="s">
        <v>680</v>
      </c>
      <c r="D1896" t="s">
        <v>1340</v>
      </c>
      <c r="E1896" t="s">
        <v>187</v>
      </c>
      <c r="F1896">
        <v>2005</v>
      </c>
      <c r="G1896">
        <v>5.8699999999999996E-4</v>
      </c>
    </row>
    <row r="1897" spans="1:8">
      <c r="A1897" t="s">
        <v>1297</v>
      </c>
      <c r="B1897" t="s">
        <v>1298</v>
      </c>
      <c r="C1897" t="s">
        <v>656</v>
      </c>
      <c r="D1897" t="s">
        <v>1340</v>
      </c>
      <c r="E1897" t="s">
        <v>187</v>
      </c>
      <c r="F1897">
        <v>2005</v>
      </c>
      <c r="G1897">
        <v>7.973789</v>
      </c>
    </row>
    <row r="1898" spans="1:8">
      <c r="A1898" t="s">
        <v>1297</v>
      </c>
      <c r="B1898" t="s">
        <v>1298</v>
      </c>
      <c r="C1898" t="s">
        <v>656</v>
      </c>
      <c r="D1898" t="s">
        <v>1340</v>
      </c>
      <c r="E1898" t="s">
        <v>187</v>
      </c>
      <c r="F1898">
        <v>2010</v>
      </c>
      <c r="G1898">
        <v>23.670909000000002</v>
      </c>
    </row>
    <row r="1899" spans="1:8">
      <c r="A1899" t="s">
        <v>1297</v>
      </c>
      <c r="B1899" t="s">
        <v>1298</v>
      </c>
      <c r="C1899" t="s">
        <v>656</v>
      </c>
      <c r="D1899" t="s">
        <v>1340</v>
      </c>
      <c r="E1899" t="s">
        <v>187</v>
      </c>
      <c r="F1899">
        <v>2012</v>
      </c>
      <c r="G1899">
        <v>32.836646999999999</v>
      </c>
    </row>
    <row r="1900" spans="1:8">
      <c r="A1900" t="s">
        <v>1297</v>
      </c>
      <c r="B1900" t="s">
        <v>1298</v>
      </c>
      <c r="C1900" t="s">
        <v>656</v>
      </c>
      <c r="D1900" t="s">
        <v>1340</v>
      </c>
      <c r="E1900" t="s">
        <v>187</v>
      </c>
      <c r="F1900">
        <v>2016</v>
      </c>
      <c r="G1900">
        <v>37.545735000000001</v>
      </c>
    </row>
    <row r="1901" spans="1:8">
      <c r="A1901" t="s">
        <v>1297</v>
      </c>
      <c r="B1901" t="s">
        <v>1298</v>
      </c>
      <c r="C1901" t="s">
        <v>656</v>
      </c>
      <c r="D1901" t="s">
        <v>1340</v>
      </c>
      <c r="E1901" t="s">
        <v>187</v>
      </c>
      <c r="F1901">
        <v>2020</v>
      </c>
      <c r="G1901">
        <v>34.783642</v>
      </c>
    </row>
    <row r="1902" spans="1:8">
      <c r="A1902" t="s">
        <v>1297</v>
      </c>
      <c r="B1902" t="s">
        <v>1298</v>
      </c>
      <c r="C1902" t="s">
        <v>686</v>
      </c>
      <c r="D1902" t="s">
        <v>1340</v>
      </c>
      <c r="E1902" t="s">
        <v>187</v>
      </c>
      <c r="F1902">
        <v>2010</v>
      </c>
      <c r="G1902">
        <v>1.8140000000000001E-3</v>
      </c>
    </row>
    <row r="1903" spans="1:8">
      <c r="A1903" t="s">
        <v>1297</v>
      </c>
      <c r="B1903" t="s">
        <v>1298</v>
      </c>
      <c r="C1903" t="s">
        <v>686</v>
      </c>
      <c r="D1903" t="s">
        <v>1340</v>
      </c>
      <c r="E1903" t="s">
        <v>187</v>
      </c>
      <c r="F1903">
        <v>2012</v>
      </c>
      <c r="G1903">
        <v>4.9610000000000001E-3</v>
      </c>
    </row>
    <row r="1904" spans="1:8">
      <c r="A1904" t="s">
        <v>1297</v>
      </c>
      <c r="B1904" t="s">
        <v>1298</v>
      </c>
      <c r="C1904" t="s">
        <v>686</v>
      </c>
      <c r="D1904" t="s">
        <v>1340</v>
      </c>
      <c r="E1904" t="s">
        <v>187</v>
      </c>
      <c r="F1904">
        <v>2016</v>
      </c>
      <c r="G1904">
        <v>2.1163999999999999E-2</v>
      </c>
    </row>
    <row r="1905" spans="1:7">
      <c r="A1905" t="s">
        <v>1297</v>
      </c>
      <c r="B1905" t="s">
        <v>1298</v>
      </c>
      <c r="C1905" t="s">
        <v>686</v>
      </c>
      <c r="D1905" t="s">
        <v>1340</v>
      </c>
      <c r="E1905" t="s">
        <v>187</v>
      </c>
      <c r="F1905">
        <v>2020</v>
      </c>
      <c r="G1905">
        <v>7.3534000000000002E-2</v>
      </c>
    </row>
    <row r="1906" spans="1:7">
      <c r="A1906" t="s">
        <v>1297</v>
      </c>
      <c r="B1906" t="s">
        <v>1298</v>
      </c>
      <c r="C1906" t="s">
        <v>667</v>
      </c>
      <c r="D1906" t="s">
        <v>1340</v>
      </c>
      <c r="E1906" t="s">
        <v>187</v>
      </c>
      <c r="F1906">
        <v>2005</v>
      </c>
      <c r="G1906">
        <v>9.7499999999999996E-4</v>
      </c>
    </row>
    <row r="1907" spans="1:7">
      <c r="A1907" t="s">
        <v>1297</v>
      </c>
      <c r="B1907" t="s">
        <v>1298</v>
      </c>
      <c r="C1907" t="s">
        <v>667</v>
      </c>
      <c r="D1907" t="s">
        <v>1340</v>
      </c>
      <c r="E1907" t="s">
        <v>187</v>
      </c>
      <c r="F1907">
        <v>2010</v>
      </c>
      <c r="G1907">
        <v>2.0070000000000001E-3</v>
      </c>
    </row>
    <row r="1908" spans="1:7">
      <c r="A1908" t="s">
        <v>1297</v>
      </c>
      <c r="B1908" t="s">
        <v>1298</v>
      </c>
      <c r="C1908" t="s">
        <v>667</v>
      </c>
      <c r="D1908" t="s">
        <v>1340</v>
      </c>
      <c r="E1908" t="s">
        <v>187</v>
      </c>
      <c r="F1908">
        <v>2012</v>
      </c>
      <c r="G1908">
        <v>2.9009999999999999E-3</v>
      </c>
    </row>
    <row r="1909" spans="1:7">
      <c r="A1909" t="s">
        <v>1297</v>
      </c>
      <c r="B1909" t="s">
        <v>1298</v>
      </c>
      <c r="C1909" t="s">
        <v>667</v>
      </c>
      <c r="D1909" t="s">
        <v>1340</v>
      </c>
      <c r="E1909" t="s">
        <v>187</v>
      </c>
      <c r="F1909">
        <v>2016</v>
      </c>
      <c r="G1909">
        <v>6.9389999999999999E-3</v>
      </c>
    </row>
    <row r="1910" spans="1:7">
      <c r="A1910" t="s">
        <v>1297</v>
      </c>
      <c r="B1910" t="s">
        <v>1298</v>
      </c>
      <c r="C1910" t="s">
        <v>667</v>
      </c>
      <c r="D1910" t="s">
        <v>1340</v>
      </c>
      <c r="E1910" t="s">
        <v>187</v>
      </c>
      <c r="F1910">
        <v>2020</v>
      </c>
      <c r="G1910">
        <v>1.6315E-2</v>
      </c>
    </row>
    <row r="1911" spans="1:7">
      <c r="A1911" t="s">
        <v>1297</v>
      </c>
      <c r="B1911" t="s">
        <v>1298</v>
      </c>
      <c r="C1911" t="s">
        <v>674</v>
      </c>
      <c r="D1911" t="s">
        <v>1340</v>
      </c>
      <c r="E1911" t="s">
        <v>187</v>
      </c>
      <c r="F1911">
        <v>2005</v>
      </c>
      <c r="G1911">
        <v>1.080851</v>
      </c>
    </row>
    <row r="1912" spans="1:7">
      <c r="A1912" t="s">
        <v>1297</v>
      </c>
      <c r="B1912" t="s">
        <v>1298</v>
      </c>
      <c r="C1912" t="s">
        <v>674</v>
      </c>
      <c r="D1912" t="s">
        <v>1340</v>
      </c>
      <c r="E1912" t="s">
        <v>187</v>
      </c>
      <c r="F1912">
        <v>2010</v>
      </c>
      <c r="G1912">
        <v>2.0941670000000001</v>
      </c>
    </row>
    <row r="1913" spans="1:7">
      <c r="A1913" t="s">
        <v>1297</v>
      </c>
      <c r="B1913" t="s">
        <v>1298</v>
      </c>
      <c r="C1913" t="s">
        <v>674</v>
      </c>
      <c r="D1913" t="s">
        <v>1340</v>
      </c>
      <c r="E1913" t="s">
        <v>187</v>
      </c>
      <c r="F1913">
        <v>2012</v>
      </c>
      <c r="G1913">
        <v>2.1980209999999998</v>
      </c>
    </row>
    <row r="1914" spans="1:7">
      <c r="A1914" t="s">
        <v>1297</v>
      </c>
      <c r="B1914" t="s">
        <v>1298</v>
      </c>
      <c r="C1914" t="s">
        <v>674</v>
      </c>
      <c r="D1914" t="s">
        <v>1340</v>
      </c>
      <c r="E1914" t="s">
        <v>187</v>
      </c>
      <c r="F1914">
        <v>2016</v>
      </c>
      <c r="G1914">
        <v>2.4106670000000001</v>
      </c>
    </row>
    <row r="1915" spans="1:7">
      <c r="A1915" t="s">
        <v>1297</v>
      </c>
      <c r="B1915" t="s">
        <v>1298</v>
      </c>
      <c r="C1915" t="s">
        <v>674</v>
      </c>
      <c r="D1915" t="s">
        <v>1340</v>
      </c>
      <c r="E1915" t="s">
        <v>187</v>
      </c>
      <c r="F1915">
        <v>2020</v>
      </c>
      <c r="G1915">
        <v>2.4084720000000002</v>
      </c>
    </row>
    <row r="1916" spans="1:7">
      <c r="A1916" t="s">
        <v>1297</v>
      </c>
      <c r="B1916" t="s">
        <v>1298</v>
      </c>
      <c r="C1916" t="s">
        <v>661</v>
      </c>
      <c r="D1916" t="s">
        <v>1340</v>
      </c>
      <c r="E1916" t="s">
        <v>187</v>
      </c>
      <c r="F1916">
        <v>2005</v>
      </c>
      <c r="G1916">
        <v>1.439095</v>
      </c>
    </row>
    <row r="1917" spans="1:7">
      <c r="A1917" t="s">
        <v>1297</v>
      </c>
      <c r="B1917" t="s">
        <v>1298</v>
      </c>
      <c r="C1917" t="s">
        <v>661</v>
      </c>
      <c r="D1917" t="s">
        <v>1340</v>
      </c>
      <c r="E1917" t="s">
        <v>187</v>
      </c>
      <c r="F1917">
        <v>2010</v>
      </c>
      <c r="G1917">
        <v>2.3425229999999999</v>
      </c>
    </row>
    <row r="1918" spans="1:7">
      <c r="A1918" t="s">
        <v>1297</v>
      </c>
      <c r="B1918" t="s">
        <v>1298</v>
      </c>
      <c r="C1918" t="s">
        <v>661</v>
      </c>
      <c r="D1918" t="s">
        <v>1340</v>
      </c>
      <c r="E1918" t="s">
        <v>187</v>
      </c>
      <c r="F1918">
        <v>2012</v>
      </c>
      <c r="G1918">
        <v>1.165324</v>
      </c>
    </row>
    <row r="1919" spans="1:7">
      <c r="A1919" t="s">
        <v>1297</v>
      </c>
      <c r="B1919" t="s">
        <v>1298</v>
      </c>
      <c r="C1919" t="s">
        <v>661</v>
      </c>
      <c r="D1919" t="s">
        <v>1340</v>
      </c>
      <c r="E1919" t="s">
        <v>187</v>
      </c>
      <c r="F1919">
        <v>2016</v>
      </c>
      <c r="G1919">
        <v>1.559488</v>
      </c>
    </row>
    <row r="1920" spans="1:7">
      <c r="A1920" t="s">
        <v>1297</v>
      </c>
      <c r="B1920" t="s">
        <v>1298</v>
      </c>
      <c r="C1920" t="s">
        <v>661</v>
      </c>
      <c r="D1920" t="s">
        <v>1340</v>
      </c>
      <c r="E1920" t="s">
        <v>187</v>
      </c>
      <c r="F1920">
        <v>2020</v>
      </c>
      <c r="G1920">
        <v>1.859132</v>
      </c>
    </row>
    <row r="1921" spans="1:7">
      <c r="A1921" t="s">
        <v>1297</v>
      </c>
      <c r="B1921" t="s">
        <v>1298</v>
      </c>
      <c r="C1921" t="s">
        <v>668</v>
      </c>
      <c r="D1921" t="s">
        <v>1340</v>
      </c>
      <c r="E1921" t="s">
        <v>187</v>
      </c>
      <c r="F1921">
        <v>2005</v>
      </c>
      <c r="G1921">
        <v>0.13420000000000001</v>
      </c>
    </row>
    <row r="1922" spans="1:7">
      <c r="A1922" t="s">
        <v>1297</v>
      </c>
      <c r="B1922" t="s">
        <v>1298</v>
      </c>
      <c r="C1922" t="s">
        <v>668</v>
      </c>
      <c r="D1922" t="s">
        <v>1340</v>
      </c>
      <c r="E1922" t="s">
        <v>187</v>
      </c>
      <c r="F1922">
        <v>2010</v>
      </c>
      <c r="G1922">
        <v>0.101289</v>
      </c>
    </row>
    <row r="1923" spans="1:7">
      <c r="A1923" t="s">
        <v>1297</v>
      </c>
      <c r="B1923" t="s">
        <v>1298</v>
      </c>
      <c r="C1923" t="s">
        <v>668</v>
      </c>
      <c r="D1923" t="s">
        <v>1340</v>
      </c>
      <c r="E1923" t="s">
        <v>187</v>
      </c>
      <c r="F1923">
        <v>2012</v>
      </c>
      <c r="G1923">
        <v>0.20316300000000001</v>
      </c>
    </row>
    <row r="1924" spans="1:7">
      <c r="A1924" t="s">
        <v>1297</v>
      </c>
      <c r="B1924" t="s">
        <v>1298</v>
      </c>
      <c r="C1924" t="s">
        <v>668</v>
      </c>
      <c r="D1924" t="s">
        <v>1340</v>
      </c>
      <c r="E1924" t="s">
        <v>187</v>
      </c>
      <c r="F1924">
        <v>2016</v>
      </c>
      <c r="G1924">
        <v>0.70279999999999998</v>
      </c>
    </row>
    <row r="1925" spans="1:7">
      <c r="A1925" t="s">
        <v>1297</v>
      </c>
      <c r="B1925" t="s">
        <v>1298</v>
      </c>
      <c r="C1925" t="s">
        <v>668</v>
      </c>
      <c r="D1925" t="s">
        <v>1340</v>
      </c>
      <c r="E1925" t="s">
        <v>187</v>
      </c>
      <c r="F1925">
        <v>2020</v>
      </c>
      <c r="G1925">
        <v>0.79055900000000001</v>
      </c>
    </row>
    <row r="1926" spans="1:7">
      <c r="A1926" t="s">
        <v>1297</v>
      </c>
      <c r="B1926" t="s">
        <v>1298</v>
      </c>
      <c r="C1926" t="s">
        <v>654</v>
      </c>
      <c r="D1926" t="s">
        <v>1340</v>
      </c>
      <c r="E1926" t="s">
        <v>187</v>
      </c>
      <c r="F1926">
        <v>2010</v>
      </c>
      <c r="G1926">
        <v>5.4169999999999999E-3</v>
      </c>
    </row>
    <row r="1927" spans="1:7">
      <c r="A1927" t="s">
        <v>1297</v>
      </c>
      <c r="B1927" t="s">
        <v>1298</v>
      </c>
      <c r="C1927" t="s">
        <v>654</v>
      </c>
      <c r="D1927" t="s">
        <v>1340</v>
      </c>
      <c r="E1927" t="s">
        <v>187</v>
      </c>
      <c r="F1927">
        <v>2012</v>
      </c>
      <c r="G1927">
        <v>6.9199999999999999E-3</v>
      </c>
    </row>
    <row r="1928" spans="1:7">
      <c r="A1928" t="s">
        <v>1297</v>
      </c>
      <c r="B1928" t="s">
        <v>1298</v>
      </c>
      <c r="C1928" t="s">
        <v>289</v>
      </c>
      <c r="D1928" t="s">
        <v>1340</v>
      </c>
      <c r="E1928" t="s">
        <v>187</v>
      </c>
      <c r="F1928">
        <v>2005</v>
      </c>
      <c r="G1928">
        <v>3.3470000000000001E-3</v>
      </c>
    </row>
    <row r="1929" spans="1:7">
      <c r="A1929" t="s">
        <v>1297</v>
      </c>
      <c r="B1929" t="s">
        <v>1298</v>
      </c>
      <c r="C1929" t="s">
        <v>289</v>
      </c>
      <c r="D1929" t="s">
        <v>1340</v>
      </c>
      <c r="E1929" t="s">
        <v>187</v>
      </c>
      <c r="F1929">
        <v>2010</v>
      </c>
      <c r="G1929">
        <v>4.8148000000000003E-2</v>
      </c>
    </row>
    <row r="1930" spans="1:7">
      <c r="A1930" t="s">
        <v>1297</v>
      </c>
      <c r="B1930" t="s">
        <v>1298</v>
      </c>
      <c r="C1930" t="s">
        <v>289</v>
      </c>
      <c r="D1930" t="s">
        <v>1340</v>
      </c>
      <c r="E1930" t="s">
        <v>187</v>
      </c>
      <c r="F1930">
        <v>2012</v>
      </c>
      <c r="G1930">
        <v>6.0497000000000002E-2</v>
      </c>
    </row>
    <row r="1931" spans="1:7">
      <c r="A1931" t="s">
        <v>1297</v>
      </c>
      <c r="B1931" t="s">
        <v>1298</v>
      </c>
      <c r="C1931" t="s">
        <v>289</v>
      </c>
      <c r="D1931" t="s">
        <v>1340</v>
      </c>
      <c r="E1931" t="s">
        <v>187</v>
      </c>
      <c r="F1931">
        <v>2016</v>
      </c>
      <c r="G1931">
        <v>0.20705799999999999</v>
      </c>
    </row>
    <row r="1932" spans="1:7">
      <c r="A1932" t="s">
        <v>1297</v>
      </c>
      <c r="B1932" t="s">
        <v>1298</v>
      </c>
      <c r="C1932" t="s">
        <v>289</v>
      </c>
      <c r="D1932" t="s">
        <v>1340</v>
      </c>
      <c r="E1932" t="s">
        <v>187</v>
      </c>
      <c r="F1932">
        <v>2020</v>
      </c>
      <c r="G1932">
        <v>0.65108600000000005</v>
      </c>
    </row>
    <row r="1933" spans="1:7">
      <c r="A1933" t="s">
        <v>1297</v>
      </c>
      <c r="B1933" t="s">
        <v>1298</v>
      </c>
      <c r="C1933" t="s">
        <v>664</v>
      </c>
      <c r="D1933" t="s">
        <v>1340</v>
      </c>
      <c r="E1933" t="s">
        <v>187</v>
      </c>
      <c r="F1933">
        <v>2005</v>
      </c>
      <c r="G1933">
        <v>2.4233999999999999E-2</v>
      </c>
    </row>
    <row r="1934" spans="1:7">
      <c r="A1934" t="s">
        <v>1297</v>
      </c>
      <c r="B1934" t="s">
        <v>1298</v>
      </c>
      <c r="C1934" t="s">
        <v>664</v>
      </c>
      <c r="D1934" t="s">
        <v>1340</v>
      </c>
      <c r="E1934" t="s">
        <v>187</v>
      </c>
      <c r="F1934">
        <v>2010</v>
      </c>
      <c r="G1934">
        <v>4.4927000000000002E-2</v>
      </c>
    </row>
    <row r="1935" spans="1:7">
      <c r="A1935" t="s">
        <v>1297</v>
      </c>
      <c r="B1935" t="s">
        <v>1298</v>
      </c>
      <c r="C1935" t="s">
        <v>664</v>
      </c>
      <c r="D1935" t="s">
        <v>1340</v>
      </c>
      <c r="E1935" t="s">
        <v>187</v>
      </c>
      <c r="F1935">
        <v>2012</v>
      </c>
      <c r="G1935">
        <v>6.4065999999999998E-2</v>
      </c>
    </row>
    <row r="1936" spans="1:7">
      <c r="A1936" t="s">
        <v>1297</v>
      </c>
      <c r="B1936" t="s">
        <v>1298</v>
      </c>
      <c r="C1936" t="s">
        <v>664</v>
      </c>
      <c r="D1936" t="s">
        <v>1340</v>
      </c>
      <c r="E1936" t="s">
        <v>187</v>
      </c>
      <c r="F1936">
        <v>2016</v>
      </c>
      <c r="G1936">
        <v>7.5103000000000003E-2</v>
      </c>
    </row>
    <row r="1937" spans="1:7">
      <c r="A1937" t="s">
        <v>1297</v>
      </c>
      <c r="B1937" t="s">
        <v>1298</v>
      </c>
      <c r="C1937" t="s">
        <v>664</v>
      </c>
      <c r="D1937" t="s">
        <v>1340</v>
      </c>
      <c r="E1937" t="s">
        <v>187</v>
      </c>
      <c r="F1937">
        <v>2020</v>
      </c>
      <c r="G1937">
        <v>8.5965E-2</v>
      </c>
    </row>
    <row r="1938" spans="1:7">
      <c r="A1938" t="s">
        <v>1297</v>
      </c>
      <c r="B1938" t="s">
        <v>1298</v>
      </c>
      <c r="C1938" t="s">
        <v>1300</v>
      </c>
      <c r="D1938" t="s">
        <v>1340</v>
      </c>
      <c r="E1938" t="s">
        <v>187</v>
      </c>
      <c r="F1938">
        <v>2010</v>
      </c>
      <c r="G1938">
        <v>3.3E-4</v>
      </c>
    </row>
    <row r="1939" spans="1:7">
      <c r="A1939" t="s">
        <v>1297</v>
      </c>
      <c r="B1939" t="s">
        <v>1298</v>
      </c>
      <c r="C1939" t="s">
        <v>1300</v>
      </c>
      <c r="D1939" t="s">
        <v>1340</v>
      </c>
      <c r="E1939" t="s">
        <v>187</v>
      </c>
      <c r="F1939">
        <v>2012</v>
      </c>
      <c r="G1939">
        <v>2.63E-4</v>
      </c>
    </row>
    <row r="1940" spans="1:7">
      <c r="A1940" t="s">
        <v>1297</v>
      </c>
      <c r="B1940" t="s">
        <v>1298</v>
      </c>
      <c r="C1940" t="s">
        <v>1300</v>
      </c>
      <c r="D1940" t="s">
        <v>1340</v>
      </c>
      <c r="E1940" t="s">
        <v>187</v>
      </c>
      <c r="F1940">
        <v>2016</v>
      </c>
      <c r="G1940">
        <v>1.2314E-2</v>
      </c>
    </row>
    <row r="1941" spans="1:7">
      <c r="A1941" t="s">
        <v>1297</v>
      </c>
      <c r="B1941" t="s">
        <v>1298</v>
      </c>
      <c r="C1941" t="s">
        <v>1300</v>
      </c>
      <c r="D1941" t="s">
        <v>1340</v>
      </c>
      <c r="E1941" t="s">
        <v>187</v>
      </c>
      <c r="F1941">
        <v>2020</v>
      </c>
      <c r="G1941">
        <v>2.5864000000000002E-2</v>
      </c>
    </row>
    <row r="1942" spans="1:7">
      <c r="A1942" t="s">
        <v>1297</v>
      </c>
      <c r="B1942" t="s">
        <v>1298</v>
      </c>
      <c r="C1942" t="s">
        <v>676</v>
      </c>
      <c r="D1942" t="s">
        <v>1340</v>
      </c>
      <c r="E1942" t="s">
        <v>187</v>
      </c>
      <c r="F1942">
        <v>2005</v>
      </c>
      <c r="G1942">
        <v>0.26067000000000001</v>
      </c>
    </row>
    <row r="1943" spans="1:7">
      <c r="A1943" t="s">
        <v>1297</v>
      </c>
      <c r="B1943" t="s">
        <v>1298</v>
      </c>
      <c r="C1943" t="s">
        <v>676</v>
      </c>
      <c r="D1943" t="s">
        <v>1340</v>
      </c>
      <c r="E1943" t="s">
        <v>187</v>
      </c>
      <c r="F1943">
        <v>2010</v>
      </c>
      <c r="G1943">
        <v>0.903644</v>
      </c>
    </row>
    <row r="1944" spans="1:7">
      <c r="A1944" t="s">
        <v>1297</v>
      </c>
      <c r="B1944" t="s">
        <v>1298</v>
      </c>
      <c r="C1944" t="s">
        <v>676</v>
      </c>
      <c r="D1944" t="s">
        <v>1340</v>
      </c>
      <c r="E1944" t="s">
        <v>187</v>
      </c>
      <c r="F1944">
        <v>2012</v>
      </c>
      <c r="G1944">
        <v>1.29925</v>
      </c>
    </row>
    <row r="1945" spans="1:7">
      <c r="A1945" t="s">
        <v>1297</v>
      </c>
      <c r="B1945" t="s">
        <v>1298</v>
      </c>
      <c r="C1945" t="s">
        <v>676</v>
      </c>
      <c r="D1945" t="s">
        <v>1340</v>
      </c>
      <c r="E1945" t="s">
        <v>187</v>
      </c>
      <c r="F1945">
        <v>2016</v>
      </c>
      <c r="G1945">
        <v>1.452707</v>
      </c>
    </row>
    <row r="1946" spans="1:7">
      <c r="A1946" t="s">
        <v>1297</v>
      </c>
      <c r="B1946" t="s">
        <v>1298</v>
      </c>
      <c r="C1946" t="s">
        <v>676</v>
      </c>
      <c r="D1946" t="s">
        <v>1340</v>
      </c>
      <c r="E1946" t="s">
        <v>187</v>
      </c>
      <c r="F1946">
        <v>2020</v>
      </c>
      <c r="G1946">
        <v>1.4184939999999999</v>
      </c>
    </row>
    <row r="1947" spans="1:7">
      <c r="A1947" t="s">
        <v>1297</v>
      </c>
      <c r="B1947" t="s">
        <v>1298</v>
      </c>
      <c r="C1947" t="s">
        <v>663</v>
      </c>
      <c r="D1947" t="s">
        <v>1340</v>
      </c>
      <c r="E1947" t="s">
        <v>187</v>
      </c>
      <c r="F1947">
        <v>2005</v>
      </c>
      <c r="G1947">
        <v>1.132841</v>
      </c>
    </row>
    <row r="1948" spans="1:7">
      <c r="A1948" t="s">
        <v>1297</v>
      </c>
      <c r="B1948" t="s">
        <v>1298</v>
      </c>
      <c r="C1948" t="s">
        <v>663</v>
      </c>
      <c r="D1948" t="s">
        <v>1340</v>
      </c>
      <c r="E1948" t="s">
        <v>187</v>
      </c>
      <c r="F1948">
        <v>2010</v>
      </c>
      <c r="G1948">
        <v>1.580727</v>
      </c>
    </row>
    <row r="1949" spans="1:7">
      <c r="A1949" t="s">
        <v>1297</v>
      </c>
      <c r="B1949" t="s">
        <v>1298</v>
      </c>
      <c r="C1949" t="s">
        <v>677</v>
      </c>
      <c r="D1949" t="s">
        <v>1340</v>
      </c>
      <c r="E1949" t="s">
        <v>187</v>
      </c>
      <c r="F1949">
        <v>2005</v>
      </c>
      <c r="G1949">
        <v>2.1713010000000001</v>
      </c>
    </row>
    <row r="1950" spans="1:7">
      <c r="A1950" t="s">
        <v>1297</v>
      </c>
      <c r="B1950" t="s">
        <v>1298</v>
      </c>
      <c r="C1950" t="s">
        <v>677</v>
      </c>
      <c r="D1950" t="s">
        <v>1340</v>
      </c>
      <c r="E1950" t="s">
        <v>187</v>
      </c>
      <c r="F1950">
        <v>2010</v>
      </c>
      <c r="G1950">
        <v>2.8582529999999999</v>
      </c>
    </row>
    <row r="1951" spans="1:7">
      <c r="A1951" t="s">
        <v>1297</v>
      </c>
      <c r="B1951" t="s">
        <v>1298</v>
      </c>
      <c r="C1951" t="s">
        <v>677</v>
      </c>
      <c r="D1951" t="s">
        <v>1340</v>
      </c>
      <c r="E1951" t="s">
        <v>187</v>
      </c>
      <c r="F1951">
        <v>2012</v>
      </c>
      <c r="G1951">
        <v>3.8623029999999998</v>
      </c>
    </row>
    <row r="1952" spans="1:7">
      <c r="A1952" t="s">
        <v>1297</v>
      </c>
      <c r="B1952" t="s">
        <v>1298</v>
      </c>
      <c r="C1952" t="s">
        <v>677</v>
      </c>
      <c r="D1952" t="s">
        <v>1340</v>
      </c>
      <c r="E1952" t="s">
        <v>187</v>
      </c>
      <c r="F1952">
        <v>2016</v>
      </c>
      <c r="G1952">
        <v>8.4187820000000002</v>
      </c>
    </row>
    <row r="1953" spans="1:7">
      <c r="A1953" t="s">
        <v>1297</v>
      </c>
      <c r="B1953" t="s">
        <v>1298</v>
      </c>
      <c r="C1953" t="s">
        <v>677</v>
      </c>
      <c r="D1953" t="s">
        <v>1340</v>
      </c>
      <c r="E1953" t="s">
        <v>187</v>
      </c>
      <c r="F1953">
        <v>2020</v>
      </c>
      <c r="G1953">
        <v>10.287648000000001</v>
      </c>
    </row>
    <row r="1954" spans="1:7">
      <c r="A1954" t="s">
        <v>1297</v>
      </c>
      <c r="B1954" t="s">
        <v>1298</v>
      </c>
      <c r="C1954" t="s">
        <v>658</v>
      </c>
      <c r="D1954" t="s">
        <v>1340</v>
      </c>
      <c r="E1954" t="s">
        <v>187</v>
      </c>
      <c r="F1954">
        <v>2005</v>
      </c>
      <c r="G1954">
        <v>0.16550999999999999</v>
      </c>
    </row>
    <row r="1955" spans="1:7">
      <c r="A1955" t="s">
        <v>1297</v>
      </c>
      <c r="B1955" t="s">
        <v>1298</v>
      </c>
      <c r="C1955" t="s">
        <v>658</v>
      </c>
      <c r="D1955" t="s">
        <v>1340</v>
      </c>
      <c r="E1955" t="s">
        <v>187</v>
      </c>
      <c r="F1955">
        <v>2010</v>
      </c>
      <c r="G1955">
        <v>0.51794799999999996</v>
      </c>
    </row>
    <row r="1956" spans="1:7">
      <c r="A1956" t="s">
        <v>1297</v>
      </c>
      <c r="B1956" t="s">
        <v>1298</v>
      </c>
      <c r="C1956" t="s">
        <v>658</v>
      </c>
      <c r="D1956" t="s">
        <v>1340</v>
      </c>
      <c r="E1956" t="s">
        <v>187</v>
      </c>
      <c r="F1956">
        <v>2012</v>
      </c>
      <c r="G1956">
        <v>0.73492100000000005</v>
      </c>
    </row>
    <row r="1957" spans="1:7">
      <c r="A1957" t="s">
        <v>1297</v>
      </c>
      <c r="B1957" t="s">
        <v>1298</v>
      </c>
      <c r="C1957" t="s">
        <v>658</v>
      </c>
      <c r="D1957" t="s">
        <v>1340</v>
      </c>
      <c r="E1957" t="s">
        <v>187</v>
      </c>
      <c r="F1957">
        <v>2016</v>
      </c>
      <c r="G1957">
        <v>0.90034400000000003</v>
      </c>
    </row>
    <row r="1958" spans="1:7">
      <c r="A1958" t="s">
        <v>1297</v>
      </c>
      <c r="B1958" t="s">
        <v>1298</v>
      </c>
      <c r="C1958" t="s">
        <v>658</v>
      </c>
      <c r="D1958" t="s">
        <v>1340</v>
      </c>
      <c r="E1958" t="s">
        <v>187</v>
      </c>
      <c r="F1958">
        <v>2020</v>
      </c>
      <c r="G1958">
        <v>1.162895</v>
      </c>
    </row>
    <row r="1959" spans="1:7">
      <c r="A1959" t="s">
        <v>1297</v>
      </c>
      <c r="B1959" t="s">
        <v>1298</v>
      </c>
      <c r="C1959" t="s">
        <v>654</v>
      </c>
      <c r="D1959" t="s">
        <v>1340</v>
      </c>
      <c r="E1959" t="s">
        <v>187</v>
      </c>
      <c r="F1959">
        <v>2016</v>
      </c>
      <c r="G1959">
        <v>8.6210000000000002E-3</v>
      </c>
    </row>
    <row r="1960" spans="1:7">
      <c r="A1960" t="s">
        <v>1297</v>
      </c>
      <c r="B1960" t="s">
        <v>1298</v>
      </c>
      <c r="C1960" t="s">
        <v>654</v>
      </c>
      <c r="D1960" t="s">
        <v>1340</v>
      </c>
      <c r="E1960" t="s">
        <v>187</v>
      </c>
      <c r="F1960">
        <v>2020</v>
      </c>
      <c r="G1960">
        <v>9.5169999999999994E-3</v>
      </c>
    </row>
    <row r="1961" spans="1:7">
      <c r="A1961" t="s">
        <v>1297</v>
      </c>
      <c r="B1961" t="s">
        <v>1298</v>
      </c>
      <c r="C1961" t="s">
        <v>673</v>
      </c>
      <c r="D1961" t="s">
        <v>1340</v>
      </c>
      <c r="E1961" t="s">
        <v>187</v>
      </c>
      <c r="F1961">
        <v>2005</v>
      </c>
      <c r="G1961">
        <v>0.33269799999999999</v>
      </c>
    </row>
    <row r="1962" spans="1:7">
      <c r="A1962" t="s">
        <v>1297</v>
      </c>
      <c r="B1962" t="s">
        <v>1298</v>
      </c>
      <c r="C1962" t="s">
        <v>673</v>
      </c>
      <c r="D1962" t="s">
        <v>1340</v>
      </c>
      <c r="E1962" t="s">
        <v>187</v>
      </c>
      <c r="F1962">
        <v>2010</v>
      </c>
      <c r="G1962">
        <v>0.27289799999999997</v>
      </c>
    </row>
    <row r="1963" spans="1:7">
      <c r="A1963" t="s">
        <v>1297</v>
      </c>
      <c r="B1963" t="s">
        <v>1298</v>
      </c>
      <c r="C1963" t="s">
        <v>673</v>
      </c>
      <c r="D1963" t="s">
        <v>1340</v>
      </c>
      <c r="E1963" t="s">
        <v>187</v>
      </c>
      <c r="F1963">
        <v>2012</v>
      </c>
      <c r="G1963">
        <v>1.133195</v>
      </c>
    </row>
    <row r="1964" spans="1:7">
      <c r="A1964" t="s">
        <v>1297</v>
      </c>
      <c r="B1964" t="s">
        <v>1298</v>
      </c>
      <c r="C1964" t="s">
        <v>673</v>
      </c>
      <c r="D1964" t="s">
        <v>1340</v>
      </c>
      <c r="E1964" t="s">
        <v>187</v>
      </c>
      <c r="F1964">
        <v>2016</v>
      </c>
      <c r="G1964">
        <v>1.1406940000000001</v>
      </c>
    </row>
    <row r="1965" spans="1:7">
      <c r="A1965" t="s">
        <v>1297</v>
      </c>
      <c r="B1965" t="s">
        <v>1298</v>
      </c>
      <c r="C1965" t="s">
        <v>1301</v>
      </c>
      <c r="D1965" t="s">
        <v>1340</v>
      </c>
      <c r="E1965" t="s">
        <v>187</v>
      </c>
      <c r="F1965">
        <v>2005</v>
      </c>
      <c r="G1965">
        <v>6.1310000000000002E-3</v>
      </c>
    </row>
    <row r="1966" spans="1:7">
      <c r="A1966" t="s">
        <v>1297</v>
      </c>
      <c r="B1966" t="s">
        <v>1298</v>
      </c>
      <c r="C1966" t="s">
        <v>1301</v>
      </c>
      <c r="D1966" t="s">
        <v>1340</v>
      </c>
      <c r="E1966" t="s">
        <v>187</v>
      </c>
      <c r="F1966">
        <v>2010</v>
      </c>
      <c r="G1966">
        <v>5.7896999999999997E-2</v>
      </c>
    </row>
    <row r="1967" spans="1:7">
      <c r="A1967" t="s">
        <v>1297</v>
      </c>
      <c r="B1967" t="s">
        <v>1298</v>
      </c>
      <c r="C1967" t="s">
        <v>1301</v>
      </c>
      <c r="D1967" t="s">
        <v>1340</v>
      </c>
      <c r="E1967" t="s">
        <v>187</v>
      </c>
      <c r="F1967">
        <v>2012</v>
      </c>
      <c r="G1967">
        <v>0.122987</v>
      </c>
    </row>
    <row r="1968" spans="1:7">
      <c r="A1968" t="s">
        <v>1297</v>
      </c>
      <c r="B1968" t="s">
        <v>1298</v>
      </c>
      <c r="C1968" t="s">
        <v>1301</v>
      </c>
      <c r="D1968" t="s">
        <v>1340</v>
      </c>
      <c r="E1968" t="s">
        <v>187</v>
      </c>
      <c r="F1968">
        <v>2016</v>
      </c>
      <c r="G1968">
        <v>0.33339200000000002</v>
      </c>
    </row>
    <row r="1969" spans="1:7">
      <c r="A1969" t="s">
        <v>1297</v>
      </c>
      <c r="B1969" t="s">
        <v>1298</v>
      </c>
      <c r="C1969" t="s">
        <v>670</v>
      </c>
      <c r="D1969" t="s">
        <v>1340</v>
      </c>
      <c r="E1969" t="s">
        <v>187</v>
      </c>
      <c r="F1969">
        <v>2005</v>
      </c>
      <c r="G1969">
        <v>1.7295510000000001</v>
      </c>
    </row>
    <row r="1970" spans="1:7">
      <c r="A1970" t="s">
        <v>1297</v>
      </c>
      <c r="B1970" t="s">
        <v>1298</v>
      </c>
      <c r="C1970" t="s">
        <v>670</v>
      </c>
      <c r="D1970" t="s">
        <v>1340</v>
      </c>
      <c r="E1970" t="s">
        <v>187</v>
      </c>
      <c r="F1970">
        <v>2010</v>
      </c>
      <c r="G1970">
        <v>2.7750569999999999</v>
      </c>
    </row>
    <row r="1971" spans="1:7">
      <c r="A1971" t="s">
        <v>1297</v>
      </c>
      <c r="B1971" t="s">
        <v>1298</v>
      </c>
      <c r="C1971" t="s">
        <v>670</v>
      </c>
      <c r="D1971" t="s">
        <v>1340</v>
      </c>
      <c r="E1971" t="s">
        <v>187</v>
      </c>
      <c r="F1971">
        <v>2012</v>
      </c>
      <c r="G1971">
        <v>3.4205739999999998</v>
      </c>
    </row>
    <row r="1972" spans="1:7">
      <c r="A1972" t="s">
        <v>1297</v>
      </c>
      <c r="B1972" t="s">
        <v>1298</v>
      </c>
      <c r="C1972" t="s">
        <v>670</v>
      </c>
      <c r="D1972" t="s">
        <v>1340</v>
      </c>
      <c r="E1972" t="s">
        <v>187</v>
      </c>
      <c r="F1972">
        <v>2016</v>
      </c>
      <c r="G1972">
        <v>2.87616</v>
      </c>
    </row>
    <row r="1973" spans="1:7">
      <c r="A1973" t="s">
        <v>1297</v>
      </c>
      <c r="B1973" t="s">
        <v>1298</v>
      </c>
      <c r="C1973" t="s">
        <v>670</v>
      </c>
      <c r="D1973" t="s">
        <v>1340</v>
      </c>
      <c r="E1973" t="s">
        <v>187</v>
      </c>
      <c r="F1973">
        <v>2020</v>
      </c>
      <c r="G1973">
        <v>3.9304579999999998</v>
      </c>
    </row>
    <row r="1974" spans="1:7">
      <c r="A1974" t="s">
        <v>1297</v>
      </c>
      <c r="B1974" t="s">
        <v>1298</v>
      </c>
      <c r="C1974" t="s">
        <v>651</v>
      </c>
      <c r="D1974" t="s">
        <v>1340</v>
      </c>
      <c r="E1974" t="s">
        <v>187</v>
      </c>
      <c r="F1974">
        <v>2005</v>
      </c>
      <c r="G1974">
        <v>0.67890899999999998</v>
      </c>
    </row>
    <row r="1975" spans="1:7">
      <c r="A1975" t="s">
        <v>1297</v>
      </c>
      <c r="B1975" t="s">
        <v>1298</v>
      </c>
      <c r="C1975" t="s">
        <v>651</v>
      </c>
      <c r="D1975" t="s">
        <v>1340</v>
      </c>
      <c r="E1975" t="s">
        <v>187</v>
      </c>
      <c r="F1975">
        <v>2010</v>
      </c>
      <c r="G1975">
        <v>1.2831889999999999</v>
      </c>
    </row>
    <row r="1976" spans="1:7">
      <c r="A1976" t="s">
        <v>1297</v>
      </c>
      <c r="B1976" t="s">
        <v>1298</v>
      </c>
      <c r="C1976" t="s">
        <v>651</v>
      </c>
      <c r="D1976" t="s">
        <v>1340</v>
      </c>
      <c r="E1976" t="s">
        <v>187</v>
      </c>
      <c r="F1976">
        <v>2012</v>
      </c>
      <c r="G1976">
        <v>1.257382</v>
      </c>
    </row>
    <row r="1977" spans="1:7">
      <c r="A1977" t="s">
        <v>1297</v>
      </c>
      <c r="B1977" t="s">
        <v>1298</v>
      </c>
      <c r="C1977" t="s">
        <v>651</v>
      </c>
      <c r="D1977" t="s">
        <v>1340</v>
      </c>
      <c r="E1977" t="s">
        <v>187</v>
      </c>
      <c r="F1977">
        <v>2016</v>
      </c>
      <c r="G1977">
        <v>1.4455249999999999</v>
      </c>
    </row>
    <row r="1978" spans="1:7">
      <c r="A1978" t="s">
        <v>1297</v>
      </c>
      <c r="B1978" t="s">
        <v>1298</v>
      </c>
      <c r="C1978" t="s">
        <v>651</v>
      </c>
      <c r="D1978" t="s">
        <v>1340</v>
      </c>
      <c r="E1978" t="s">
        <v>187</v>
      </c>
      <c r="F1978">
        <v>2020</v>
      </c>
      <c r="G1978">
        <v>1.300084</v>
      </c>
    </row>
    <row r="1979" spans="1:7">
      <c r="A1979" t="s">
        <v>1297</v>
      </c>
      <c r="B1979" t="s">
        <v>1298</v>
      </c>
      <c r="C1979" t="s">
        <v>685</v>
      </c>
      <c r="D1979" t="s">
        <v>1340</v>
      </c>
      <c r="E1979" t="s">
        <v>187</v>
      </c>
      <c r="F1979">
        <v>2005</v>
      </c>
      <c r="G1979">
        <v>2E-3</v>
      </c>
    </row>
    <row r="1980" spans="1:7">
      <c r="A1980" t="s">
        <v>1297</v>
      </c>
      <c r="B1980" t="s">
        <v>1298</v>
      </c>
      <c r="C1980" t="s">
        <v>685</v>
      </c>
      <c r="D1980" t="s">
        <v>1340</v>
      </c>
      <c r="E1980" t="s">
        <v>187</v>
      </c>
      <c r="F1980">
        <v>2010</v>
      </c>
      <c r="G1980">
        <v>2E-3</v>
      </c>
    </row>
    <row r="1981" spans="1:7">
      <c r="A1981" t="s">
        <v>1297</v>
      </c>
      <c r="B1981" t="s">
        <v>1298</v>
      </c>
      <c r="C1981" t="s">
        <v>685</v>
      </c>
      <c r="D1981" t="s">
        <v>1340</v>
      </c>
      <c r="E1981" t="s">
        <v>187</v>
      </c>
      <c r="F1981">
        <v>2012</v>
      </c>
      <c r="G1981">
        <v>2E-3</v>
      </c>
    </row>
    <row r="1982" spans="1:7">
      <c r="A1982" t="s">
        <v>1297</v>
      </c>
      <c r="B1982" t="s">
        <v>1298</v>
      </c>
      <c r="C1982" t="s">
        <v>685</v>
      </c>
      <c r="D1982" t="s">
        <v>1340</v>
      </c>
      <c r="E1982" t="s">
        <v>187</v>
      </c>
      <c r="F1982">
        <v>2016</v>
      </c>
      <c r="G1982">
        <v>1.1733E-2</v>
      </c>
    </row>
    <row r="1983" spans="1:7">
      <c r="A1983" t="s">
        <v>1297</v>
      </c>
      <c r="B1983" t="s">
        <v>1298</v>
      </c>
      <c r="C1983" t="s">
        <v>685</v>
      </c>
      <c r="D1983" t="s">
        <v>1340</v>
      </c>
      <c r="E1983" t="s">
        <v>187</v>
      </c>
      <c r="F1983">
        <v>2020</v>
      </c>
      <c r="G1983">
        <v>1.6421999999999999E-2</v>
      </c>
    </row>
    <row r="1984" spans="1:7">
      <c r="A1984" t="s">
        <v>1297</v>
      </c>
      <c r="B1984" t="s">
        <v>1298</v>
      </c>
      <c r="C1984" t="s">
        <v>659</v>
      </c>
      <c r="D1984" t="s">
        <v>1340</v>
      </c>
      <c r="E1984" t="s">
        <v>187</v>
      </c>
      <c r="F1984">
        <v>2005</v>
      </c>
      <c r="G1984">
        <v>0.76099000000000006</v>
      </c>
    </row>
    <row r="1985" spans="1:7">
      <c r="A1985" t="s">
        <v>1297</v>
      </c>
      <c r="B1985" t="s">
        <v>1298</v>
      </c>
      <c r="C1985" t="s">
        <v>659</v>
      </c>
      <c r="D1985" t="s">
        <v>1340</v>
      </c>
      <c r="E1985" t="s">
        <v>187</v>
      </c>
      <c r="F1985">
        <v>2010</v>
      </c>
      <c r="G1985">
        <v>11.369656000000001</v>
      </c>
    </row>
    <row r="1986" spans="1:7">
      <c r="A1986" t="s">
        <v>1297</v>
      </c>
      <c r="B1986" t="s">
        <v>1298</v>
      </c>
      <c r="C1986" t="s">
        <v>659</v>
      </c>
      <c r="D1986" t="s">
        <v>1340</v>
      </c>
      <c r="E1986" t="s">
        <v>187</v>
      </c>
      <c r="F1986">
        <v>2012</v>
      </c>
      <c r="G1986">
        <v>12.049428000000001</v>
      </c>
    </row>
    <row r="1987" spans="1:7">
      <c r="A1987" t="s">
        <v>1297</v>
      </c>
      <c r="B1987" t="s">
        <v>1298</v>
      </c>
      <c r="C1987" t="s">
        <v>659</v>
      </c>
      <c r="D1987" t="s">
        <v>1340</v>
      </c>
      <c r="E1987" t="s">
        <v>187</v>
      </c>
      <c r="F1987">
        <v>2016</v>
      </c>
      <c r="G1987">
        <v>1.328325</v>
      </c>
    </row>
    <row r="1988" spans="1:7">
      <c r="A1988" t="s">
        <v>1297</v>
      </c>
      <c r="B1988" t="s">
        <v>1298</v>
      </c>
      <c r="C1988" t="s">
        <v>659</v>
      </c>
      <c r="D1988" t="s">
        <v>1340</v>
      </c>
      <c r="E1988" t="s">
        <v>187</v>
      </c>
      <c r="F1988">
        <v>2020</v>
      </c>
      <c r="G1988">
        <v>1.294613</v>
      </c>
    </row>
    <row r="1989" spans="1:7">
      <c r="A1989" t="s">
        <v>1297</v>
      </c>
      <c r="B1989" t="s">
        <v>1298</v>
      </c>
      <c r="C1989" t="s">
        <v>675</v>
      </c>
      <c r="D1989" t="s">
        <v>1340</v>
      </c>
      <c r="E1989" t="s">
        <v>187</v>
      </c>
      <c r="F1989">
        <v>2005</v>
      </c>
      <c r="G1989">
        <v>3.9293000000000002E-2</v>
      </c>
    </row>
    <row r="1990" spans="1:7">
      <c r="A1990" t="s">
        <v>1297</v>
      </c>
      <c r="B1990" t="s">
        <v>1298</v>
      </c>
      <c r="C1990" t="s">
        <v>675</v>
      </c>
      <c r="D1990" t="s">
        <v>1340</v>
      </c>
      <c r="E1990" t="s">
        <v>187</v>
      </c>
      <c r="F1990">
        <v>2010</v>
      </c>
      <c r="G1990">
        <v>8.3002999999999993E-2</v>
      </c>
    </row>
    <row r="1991" spans="1:7">
      <c r="A1991" t="s">
        <v>1297</v>
      </c>
      <c r="B1991" t="s">
        <v>1298</v>
      </c>
      <c r="C1991" t="s">
        <v>675</v>
      </c>
      <c r="D1991" t="s">
        <v>1340</v>
      </c>
      <c r="E1991" t="s">
        <v>187</v>
      </c>
      <c r="F1991">
        <v>2012</v>
      </c>
      <c r="G1991">
        <v>0.125671</v>
      </c>
    </row>
    <row r="1992" spans="1:7">
      <c r="A1992" t="s">
        <v>1297</v>
      </c>
      <c r="B1992" t="s">
        <v>1298</v>
      </c>
      <c r="C1992" t="s">
        <v>675</v>
      </c>
      <c r="D1992" t="s">
        <v>1340</v>
      </c>
      <c r="E1992" t="s">
        <v>187</v>
      </c>
      <c r="F1992">
        <v>2016</v>
      </c>
      <c r="G1992">
        <v>0.137817</v>
      </c>
    </row>
    <row r="1993" spans="1:7">
      <c r="A1993" t="s">
        <v>1297</v>
      </c>
      <c r="B1993" t="s">
        <v>1298</v>
      </c>
      <c r="C1993" t="s">
        <v>675</v>
      </c>
      <c r="D1993" t="s">
        <v>1340</v>
      </c>
      <c r="E1993" t="s">
        <v>187</v>
      </c>
      <c r="F1993">
        <v>2020</v>
      </c>
      <c r="G1993">
        <v>0.20653299999999999</v>
      </c>
    </row>
    <row r="1994" spans="1:7">
      <c r="A1994" t="s">
        <v>1297</v>
      </c>
      <c r="B1994" t="s">
        <v>1298</v>
      </c>
      <c r="C1994" t="s">
        <v>662</v>
      </c>
      <c r="D1994" t="s">
        <v>1340</v>
      </c>
      <c r="E1994" t="s">
        <v>187</v>
      </c>
      <c r="F1994">
        <v>2005</v>
      </c>
      <c r="G1994">
        <v>4.7063000000000001E-2</v>
      </c>
    </row>
    <row r="1995" spans="1:7">
      <c r="A1995" t="s">
        <v>1297</v>
      </c>
      <c r="B1995" t="s">
        <v>1298</v>
      </c>
      <c r="C1995" t="s">
        <v>662</v>
      </c>
      <c r="D1995" t="s">
        <v>1340</v>
      </c>
      <c r="E1995" t="s">
        <v>187</v>
      </c>
      <c r="F1995">
        <v>2010</v>
      </c>
      <c r="G1995">
        <v>7.3543999999999998E-2</v>
      </c>
    </row>
    <row r="1996" spans="1:7">
      <c r="A1996" t="s">
        <v>1297</v>
      </c>
      <c r="B1996" t="s">
        <v>1298</v>
      </c>
      <c r="C1996" t="s">
        <v>662</v>
      </c>
      <c r="D1996" t="s">
        <v>1340</v>
      </c>
      <c r="E1996" t="s">
        <v>187</v>
      </c>
      <c r="F1996">
        <v>2012</v>
      </c>
      <c r="G1996">
        <v>0.107737</v>
      </c>
    </row>
    <row r="1997" spans="1:7">
      <c r="A1997" t="s">
        <v>1297</v>
      </c>
      <c r="B1997" t="s">
        <v>1298</v>
      </c>
      <c r="C1997" t="s">
        <v>662</v>
      </c>
      <c r="D1997" t="s">
        <v>1340</v>
      </c>
      <c r="E1997" t="s">
        <v>187</v>
      </c>
      <c r="F1997">
        <v>2016</v>
      </c>
      <c r="G1997">
        <v>0.14968000000000001</v>
      </c>
    </row>
    <row r="1998" spans="1:7">
      <c r="A1998" t="s">
        <v>1297</v>
      </c>
      <c r="B1998" t="s">
        <v>1298</v>
      </c>
      <c r="C1998" t="s">
        <v>662</v>
      </c>
      <c r="D1998" t="s">
        <v>1340</v>
      </c>
      <c r="E1998" t="s">
        <v>187</v>
      </c>
      <c r="F1998">
        <v>2020</v>
      </c>
      <c r="G1998">
        <v>0.15367400000000001</v>
      </c>
    </row>
    <row r="1999" spans="1:7">
      <c r="A1999" t="s">
        <v>1297</v>
      </c>
      <c r="B1999" t="s">
        <v>1298</v>
      </c>
      <c r="C1999" t="s">
        <v>671</v>
      </c>
      <c r="D1999" t="s">
        <v>1340</v>
      </c>
      <c r="E1999" t="s">
        <v>187</v>
      </c>
      <c r="F1999">
        <v>2005</v>
      </c>
      <c r="G1999">
        <v>1.068573</v>
      </c>
    </row>
    <row r="2000" spans="1:7">
      <c r="A2000" t="s">
        <v>1297</v>
      </c>
      <c r="B2000" t="s">
        <v>1298</v>
      </c>
      <c r="C2000" t="s">
        <v>671</v>
      </c>
      <c r="D2000" t="s">
        <v>1340</v>
      </c>
      <c r="E2000" t="s">
        <v>187</v>
      </c>
      <c r="F2000">
        <v>2010</v>
      </c>
      <c r="G2000">
        <v>4.9229289999999999</v>
      </c>
    </row>
    <row r="2001" spans="1:7">
      <c r="A2001" t="s">
        <v>1297</v>
      </c>
      <c r="B2001" t="s">
        <v>1298</v>
      </c>
      <c r="C2001" t="s">
        <v>671</v>
      </c>
      <c r="D2001" t="s">
        <v>1340</v>
      </c>
      <c r="E2001" t="s">
        <v>187</v>
      </c>
      <c r="F2001">
        <v>2012</v>
      </c>
      <c r="G2001">
        <v>7.7733670000000004</v>
      </c>
    </row>
    <row r="2002" spans="1:7">
      <c r="A2002" t="s">
        <v>1297</v>
      </c>
      <c r="B2002" t="s">
        <v>1298</v>
      </c>
      <c r="C2002" t="s">
        <v>671</v>
      </c>
      <c r="D2002" t="s">
        <v>1340</v>
      </c>
      <c r="E2002" t="s">
        <v>187</v>
      </c>
      <c r="F2002">
        <v>2016</v>
      </c>
      <c r="G2002">
        <v>5.723007</v>
      </c>
    </row>
    <row r="2003" spans="1:7">
      <c r="A2003" t="s">
        <v>1297</v>
      </c>
      <c r="B2003" t="s">
        <v>1298</v>
      </c>
      <c r="C2003" t="s">
        <v>663</v>
      </c>
      <c r="D2003" t="s">
        <v>1340</v>
      </c>
      <c r="E2003" t="s">
        <v>187</v>
      </c>
      <c r="F2003">
        <v>2012</v>
      </c>
      <c r="G2003">
        <v>1.0344930000000001</v>
      </c>
    </row>
    <row r="2004" spans="1:7">
      <c r="A2004" t="s">
        <v>1297</v>
      </c>
      <c r="B2004" t="s">
        <v>1298</v>
      </c>
      <c r="C2004" t="s">
        <v>663</v>
      </c>
      <c r="D2004" t="s">
        <v>1340</v>
      </c>
      <c r="E2004" t="s">
        <v>187</v>
      </c>
      <c r="F2004">
        <v>2016</v>
      </c>
      <c r="G2004">
        <v>2.0062380000000002</v>
      </c>
    </row>
    <row r="2005" spans="1:7">
      <c r="A2005" t="s">
        <v>1297</v>
      </c>
      <c r="B2005" t="s">
        <v>1298</v>
      </c>
      <c r="C2005" t="s">
        <v>663</v>
      </c>
      <c r="D2005" t="s">
        <v>1340</v>
      </c>
      <c r="E2005" t="s">
        <v>187</v>
      </c>
      <c r="F2005">
        <v>2020</v>
      </c>
      <c r="G2005">
        <v>1.814362</v>
      </c>
    </row>
    <row r="2006" spans="1:7">
      <c r="A2006" t="s">
        <v>1297</v>
      </c>
      <c r="B2006" t="s">
        <v>1298</v>
      </c>
      <c r="C2006" t="s">
        <v>657</v>
      </c>
      <c r="D2006" t="s">
        <v>1340</v>
      </c>
      <c r="E2006" t="s">
        <v>187</v>
      </c>
      <c r="F2006">
        <v>2005</v>
      </c>
      <c r="G2006">
        <v>1.391624</v>
      </c>
    </row>
    <row r="2007" spans="1:7">
      <c r="A2007" t="s">
        <v>1297</v>
      </c>
      <c r="B2007" t="s">
        <v>1298</v>
      </c>
      <c r="C2007" t="s">
        <v>657</v>
      </c>
      <c r="D2007" t="s">
        <v>1340</v>
      </c>
      <c r="E2007" t="s">
        <v>187</v>
      </c>
      <c r="F2007">
        <v>2010</v>
      </c>
      <c r="G2007">
        <v>1.8739250000000001</v>
      </c>
    </row>
    <row r="2008" spans="1:7">
      <c r="A2008" t="s">
        <v>1297</v>
      </c>
      <c r="B2008" t="s">
        <v>1298</v>
      </c>
      <c r="C2008" t="s">
        <v>657</v>
      </c>
      <c r="D2008" t="s">
        <v>1340</v>
      </c>
      <c r="E2008" t="s">
        <v>187</v>
      </c>
      <c r="F2008">
        <v>2012</v>
      </c>
      <c r="G2008">
        <v>1.773004</v>
      </c>
    </row>
    <row r="2009" spans="1:7">
      <c r="A2009" t="s">
        <v>1297</v>
      </c>
      <c r="B2009" t="s">
        <v>1298</v>
      </c>
      <c r="C2009" t="s">
        <v>657</v>
      </c>
      <c r="D2009" t="s">
        <v>1340</v>
      </c>
      <c r="E2009" t="s">
        <v>187</v>
      </c>
      <c r="F2009">
        <v>2016</v>
      </c>
      <c r="G2009">
        <v>2.728901</v>
      </c>
    </row>
    <row r="2010" spans="1:7">
      <c r="A2010" t="s">
        <v>1297</v>
      </c>
      <c r="B2010" t="s">
        <v>1298</v>
      </c>
      <c r="C2010" t="s">
        <v>657</v>
      </c>
      <c r="D2010" t="s">
        <v>1340</v>
      </c>
      <c r="E2010" t="s">
        <v>187</v>
      </c>
      <c r="F2010">
        <v>2020</v>
      </c>
      <c r="G2010">
        <v>4.2435340000000004</v>
      </c>
    </row>
    <row r="2011" spans="1:7">
      <c r="A2011" t="s">
        <v>1297</v>
      </c>
      <c r="B2011" t="s">
        <v>1298</v>
      </c>
      <c r="C2011" t="s">
        <v>669</v>
      </c>
      <c r="D2011" t="s">
        <v>1340</v>
      </c>
      <c r="E2011" t="s">
        <v>187</v>
      </c>
      <c r="F2011">
        <v>2012</v>
      </c>
      <c r="G2011">
        <v>1.7030000000000001E-3</v>
      </c>
    </row>
    <row r="2012" spans="1:7">
      <c r="A2012" t="s">
        <v>1297</v>
      </c>
      <c r="B2012" t="s">
        <v>1298</v>
      </c>
      <c r="C2012" t="s">
        <v>669</v>
      </c>
      <c r="D2012" t="s">
        <v>1340</v>
      </c>
      <c r="E2012" t="s">
        <v>187</v>
      </c>
      <c r="F2012">
        <v>2016</v>
      </c>
      <c r="G2012">
        <v>1.7639999999999999E-3</v>
      </c>
    </row>
    <row r="2013" spans="1:7">
      <c r="A2013" t="s">
        <v>1297</v>
      </c>
      <c r="B2013" t="s">
        <v>1298</v>
      </c>
      <c r="C2013" t="s">
        <v>669</v>
      </c>
      <c r="D2013" t="s">
        <v>1340</v>
      </c>
      <c r="E2013" t="s">
        <v>187</v>
      </c>
      <c r="F2013">
        <v>2020</v>
      </c>
      <c r="G2013">
        <v>6.7699999999999998E-4</v>
      </c>
    </row>
    <row r="2014" spans="1:7">
      <c r="A2014" t="s">
        <v>1297</v>
      </c>
      <c r="B2014" t="s">
        <v>1298</v>
      </c>
      <c r="C2014" t="s">
        <v>672</v>
      </c>
      <c r="D2014" t="s">
        <v>1340</v>
      </c>
      <c r="E2014" t="s">
        <v>187</v>
      </c>
      <c r="F2014">
        <v>2005</v>
      </c>
      <c r="G2014">
        <v>0.29839100000000002</v>
      </c>
    </row>
    <row r="2015" spans="1:7">
      <c r="A2015" t="s">
        <v>1297</v>
      </c>
      <c r="B2015" t="s">
        <v>1298</v>
      </c>
      <c r="C2015" t="s">
        <v>672</v>
      </c>
      <c r="D2015" t="s">
        <v>1340</v>
      </c>
      <c r="E2015" t="s">
        <v>187</v>
      </c>
      <c r="F2015">
        <v>2010</v>
      </c>
      <c r="G2015">
        <v>0.35359400000000002</v>
      </c>
    </row>
    <row r="2016" spans="1:7">
      <c r="A2016" t="s">
        <v>1297</v>
      </c>
      <c r="B2016" t="s">
        <v>1298</v>
      </c>
      <c r="C2016" t="s">
        <v>672</v>
      </c>
      <c r="D2016" t="s">
        <v>1340</v>
      </c>
      <c r="E2016" t="s">
        <v>187</v>
      </c>
      <c r="F2016">
        <v>2012</v>
      </c>
      <c r="G2016">
        <v>0.50806799999999996</v>
      </c>
    </row>
    <row r="2017" spans="1:7">
      <c r="A2017" t="s">
        <v>1297</v>
      </c>
      <c r="B2017" t="s">
        <v>1298</v>
      </c>
      <c r="C2017" t="s">
        <v>672</v>
      </c>
      <c r="D2017" t="s">
        <v>1340</v>
      </c>
      <c r="E2017" t="s">
        <v>187</v>
      </c>
      <c r="F2017">
        <v>2016</v>
      </c>
      <c r="G2017">
        <v>0.44578000000000001</v>
      </c>
    </row>
    <row r="2018" spans="1:7">
      <c r="A2018" t="s">
        <v>1297</v>
      </c>
      <c r="B2018" t="s">
        <v>1298</v>
      </c>
      <c r="C2018" t="s">
        <v>672</v>
      </c>
      <c r="D2018" t="s">
        <v>1340</v>
      </c>
      <c r="E2018" t="s">
        <v>187</v>
      </c>
      <c r="F2018">
        <v>2020</v>
      </c>
      <c r="G2018">
        <v>0.43275599999999997</v>
      </c>
    </row>
    <row r="2019" spans="1:7">
      <c r="A2019" t="s">
        <v>1297</v>
      </c>
      <c r="B2019" t="s">
        <v>1298</v>
      </c>
      <c r="C2019" t="s">
        <v>671</v>
      </c>
      <c r="D2019" t="s">
        <v>1340</v>
      </c>
      <c r="E2019" t="s">
        <v>187</v>
      </c>
      <c r="F2019">
        <v>2020</v>
      </c>
      <c r="G2019">
        <v>5.7090269999999999</v>
      </c>
    </row>
    <row r="2020" spans="1:7">
      <c r="A2020" t="s">
        <v>1297</v>
      </c>
      <c r="B2020" t="s">
        <v>1298</v>
      </c>
      <c r="C2020" t="s">
        <v>660</v>
      </c>
      <c r="D2020" t="s">
        <v>1340</v>
      </c>
      <c r="E2020" t="s">
        <v>187</v>
      </c>
      <c r="F2020">
        <v>2005</v>
      </c>
      <c r="G2020">
        <v>1.758559</v>
      </c>
    </row>
    <row r="2021" spans="1:7">
      <c r="A2021" t="s">
        <v>1297</v>
      </c>
      <c r="B2021" t="s">
        <v>1298</v>
      </c>
      <c r="C2021" t="s">
        <v>660</v>
      </c>
      <c r="D2021" t="s">
        <v>1340</v>
      </c>
      <c r="E2021" t="s">
        <v>187</v>
      </c>
      <c r="F2021">
        <v>2010</v>
      </c>
      <c r="G2021">
        <v>3.5305</v>
      </c>
    </row>
    <row r="2022" spans="1:7">
      <c r="A2022" t="s">
        <v>1297</v>
      </c>
      <c r="B2022" t="s">
        <v>1298</v>
      </c>
      <c r="C2022" t="s">
        <v>660</v>
      </c>
      <c r="D2022" t="s">
        <v>1340</v>
      </c>
      <c r="E2022" t="s">
        <v>187</v>
      </c>
      <c r="F2022">
        <v>2012</v>
      </c>
      <c r="G2022">
        <v>3.5761370000000001</v>
      </c>
    </row>
    <row r="2023" spans="1:7">
      <c r="A2023" t="s">
        <v>1297</v>
      </c>
      <c r="B2023" t="s">
        <v>1298</v>
      </c>
      <c r="C2023" t="s">
        <v>660</v>
      </c>
      <c r="D2023" t="s">
        <v>1340</v>
      </c>
      <c r="E2023" t="s">
        <v>187</v>
      </c>
      <c r="F2023">
        <v>2016</v>
      </c>
      <c r="G2023">
        <v>6.6022809999999996</v>
      </c>
    </row>
    <row r="2024" spans="1:7">
      <c r="A2024" t="s">
        <v>1297</v>
      </c>
      <c r="B2024" t="s">
        <v>1298</v>
      </c>
      <c r="C2024" t="s">
        <v>660</v>
      </c>
      <c r="D2024" t="s">
        <v>1340</v>
      </c>
      <c r="E2024" t="s">
        <v>187</v>
      </c>
      <c r="F2024">
        <v>2020</v>
      </c>
      <c r="G2024">
        <v>6.7561470000000003</v>
      </c>
    </row>
    <row r="2025" spans="1:7">
      <c r="A2025" t="s">
        <v>1297</v>
      </c>
      <c r="B2025" t="s">
        <v>1298</v>
      </c>
      <c r="C2025" t="s">
        <v>679</v>
      </c>
      <c r="D2025" t="s">
        <v>1340</v>
      </c>
      <c r="E2025" t="s">
        <v>187</v>
      </c>
      <c r="F2025">
        <v>2005</v>
      </c>
      <c r="G2025">
        <v>0.20016900000000001</v>
      </c>
    </row>
    <row r="2026" spans="1:7">
      <c r="A2026" t="s">
        <v>1297</v>
      </c>
      <c r="B2026" t="s">
        <v>1298</v>
      </c>
      <c r="C2026" t="s">
        <v>679</v>
      </c>
      <c r="D2026" t="s">
        <v>1340</v>
      </c>
      <c r="E2026" t="s">
        <v>187</v>
      </c>
      <c r="F2026">
        <v>2010</v>
      </c>
      <c r="G2026">
        <v>8.0327999999999997E-2</v>
      </c>
    </row>
    <row r="2027" spans="1:7">
      <c r="A2027" t="s">
        <v>1297</v>
      </c>
      <c r="B2027" t="s">
        <v>1298</v>
      </c>
      <c r="C2027" t="s">
        <v>679</v>
      </c>
      <c r="D2027" t="s">
        <v>1340</v>
      </c>
      <c r="E2027" t="s">
        <v>187</v>
      </c>
      <c r="F2027">
        <v>2012</v>
      </c>
      <c r="G2027">
        <v>8.6863999999999997E-2</v>
      </c>
    </row>
    <row r="2028" spans="1:7">
      <c r="A2028" t="s">
        <v>1297</v>
      </c>
      <c r="B2028" t="s">
        <v>1298</v>
      </c>
      <c r="C2028" t="s">
        <v>679</v>
      </c>
      <c r="D2028" t="s">
        <v>1340</v>
      </c>
      <c r="E2028" t="s">
        <v>187</v>
      </c>
      <c r="F2028">
        <v>2016</v>
      </c>
      <c r="G2028">
        <v>4.6036000000000001E-2</v>
      </c>
    </row>
    <row r="2029" spans="1:7">
      <c r="A2029" t="s">
        <v>1297</v>
      </c>
      <c r="B2029" t="s">
        <v>1298</v>
      </c>
      <c r="C2029" t="s">
        <v>679</v>
      </c>
      <c r="D2029" t="s">
        <v>1340</v>
      </c>
      <c r="E2029" t="s">
        <v>187</v>
      </c>
      <c r="F2029">
        <v>2020</v>
      </c>
      <c r="G2029">
        <v>7.4109999999999995E-2</v>
      </c>
    </row>
    <row r="2030" spans="1:7">
      <c r="A2030" t="s">
        <v>1297</v>
      </c>
      <c r="B2030" t="s">
        <v>1298</v>
      </c>
      <c r="C2030" t="s">
        <v>665</v>
      </c>
      <c r="D2030" t="s">
        <v>1340</v>
      </c>
      <c r="E2030" t="s">
        <v>187</v>
      </c>
      <c r="F2030">
        <v>2005</v>
      </c>
      <c r="G2030">
        <v>3.8690799999999999</v>
      </c>
    </row>
    <row r="2031" spans="1:7">
      <c r="A2031" t="s">
        <v>1297</v>
      </c>
      <c r="B2031" t="s">
        <v>1298</v>
      </c>
      <c r="C2031" t="s">
        <v>665</v>
      </c>
      <c r="D2031" t="s">
        <v>1340</v>
      </c>
      <c r="E2031" t="s">
        <v>187</v>
      </c>
      <c r="F2031">
        <v>2010</v>
      </c>
      <c r="G2031">
        <v>5.9329749999999999</v>
      </c>
    </row>
    <row r="2032" spans="1:7">
      <c r="A2032" t="s">
        <v>1297</v>
      </c>
      <c r="B2032" t="s">
        <v>1298</v>
      </c>
      <c r="C2032" t="s">
        <v>665</v>
      </c>
      <c r="D2032" t="s">
        <v>1340</v>
      </c>
      <c r="E2032" t="s">
        <v>187</v>
      </c>
      <c r="F2032">
        <v>2012</v>
      </c>
      <c r="G2032">
        <v>10.585788000000001</v>
      </c>
    </row>
    <row r="2033" spans="1:7">
      <c r="A2033" t="s">
        <v>1297</v>
      </c>
      <c r="B2033" t="s">
        <v>1298</v>
      </c>
      <c r="C2033" t="s">
        <v>665</v>
      </c>
      <c r="D2033" t="s">
        <v>1340</v>
      </c>
      <c r="E2033" t="s">
        <v>187</v>
      </c>
      <c r="F2033">
        <v>2016</v>
      </c>
      <c r="G2033">
        <v>14.533203</v>
      </c>
    </row>
    <row r="2034" spans="1:7">
      <c r="A2034" t="s">
        <v>1297</v>
      </c>
      <c r="B2034" t="s">
        <v>1298</v>
      </c>
      <c r="C2034" t="s">
        <v>665</v>
      </c>
      <c r="D2034" t="s">
        <v>1340</v>
      </c>
      <c r="E2034" t="s">
        <v>187</v>
      </c>
      <c r="F2034">
        <v>2020</v>
      </c>
      <c r="G2034">
        <v>14.567326</v>
      </c>
    </row>
    <row r="2035" spans="1:7">
      <c r="A2035" t="s">
        <v>1297</v>
      </c>
      <c r="B2035" t="s">
        <v>1298</v>
      </c>
      <c r="C2035" t="s">
        <v>1299</v>
      </c>
      <c r="D2035" t="s">
        <v>1340</v>
      </c>
      <c r="E2035" t="s">
        <v>187</v>
      </c>
      <c r="F2035">
        <v>2010</v>
      </c>
      <c r="G2035">
        <v>0.95337799999999995</v>
      </c>
    </row>
    <row r="2036" spans="1:7">
      <c r="A2036" t="s">
        <v>1297</v>
      </c>
      <c r="B2036" t="s">
        <v>1298</v>
      </c>
      <c r="C2036" t="s">
        <v>1299</v>
      </c>
      <c r="D2036" t="s">
        <v>1340</v>
      </c>
      <c r="E2036" t="s">
        <v>187</v>
      </c>
      <c r="F2036">
        <v>2012</v>
      </c>
      <c r="G2036">
        <v>0.88958899999999996</v>
      </c>
    </row>
    <row r="2037" spans="1:7">
      <c r="A2037" t="s">
        <v>1297</v>
      </c>
      <c r="B2037" t="s">
        <v>1298</v>
      </c>
      <c r="C2037" t="s">
        <v>1299</v>
      </c>
      <c r="D2037" t="s">
        <v>1340</v>
      </c>
      <c r="E2037" t="s">
        <v>187</v>
      </c>
      <c r="F2037">
        <v>2016</v>
      </c>
      <c r="G2037">
        <v>2.2824300000000002</v>
      </c>
    </row>
    <row r="2038" spans="1:7">
      <c r="A2038" t="s">
        <v>1297</v>
      </c>
      <c r="B2038" t="s">
        <v>1298</v>
      </c>
      <c r="C2038" t="s">
        <v>1299</v>
      </c>
      <c r="D2038" t="s">
        <v>1340</v>
      </c>
      <c r="E2038" t="s">
        <v>187</v>
      </c>
      <c r="F2038">
        <v>2020</v>
      </c>
      <c r="G2038">
        <v>3.6247319999999998</v>
      </c>
    </row>
    <row r="2039" spans="1:7">
      <c r="A2039" t="s">
        <v>1297</v>
      </c>
      <c r="B2039" t="s">
        <v>1298</v>
      </c>
      <c r="C2039" t="s">
        <v>655</v>
      </c>
      <c r="D2039" t="s">
        <v>1340</v>
      </c>
      <c r="E2039" t="s">
        <v>187</v>
      </c>
      <c r="F2039">
        <v>2005</v>
      </c>
      <c r="G2039">
        <v>0.586978</v>
      </c>
    </row>
    <row r="2040" spans="1:7">
      <c r="A2040" t="s">
        <v>1297</v>
      </c>
      <c r="B2040" t="s">
        <v>1298</v>
      </c>
      <c r="C2040" t="s">
        <v>655</v>
      </c>
      <c r="D2040" t="s">
        <v>1340</v>
      </c>
      <c r="E2040" t="s">
        <v>187</v>
      </c>
      <c r="F2040">
        <v>2010</v>
      </c>
      <c r="G2040">
        <v>1.765377</v>
      </c>
    </row>
    <row r="2041" spans="1:7">
      <c r="A2041" t="s">
        <v>1297</v>
      </c>
      <c r="B2041" t="s">
        <v>1298</v>
      </c>
      <c r="C2041" t="s">
        <v>655</v>
      </c>
      <c r="D2041" t="s">
        <v>1340</v>
      </c>
      <c r="E2041" t="s">
        <v>187</v>
      </c>
      <c r="F2041">
        <v>2012</v>
      </c>
      <c r="G2041">
        <v>2.4135949999999999</v>
      </c>
    </row>
    <row r="2042" spans="1:7">
      <c r="A2042" t="s">
        <v>1297</v>
      </c>
      <c r="B2042" t="s">
        <v>1298</v>
      </c>
      <c r="C2042" t="s">
        <v>655</v>
      </c>
      <c r="D2042" t="s">
        <v>1340</v>
      </c>
      <c r="E2042" t="s">
        <v>187</v>
      </c>
      <c r="F2042">
        <v>2016</v>
      </c>
      <c r="G2042">
        <v>3.7103169999999999</v>
      </c>
    </row>
    <row r="2043" spans="1:7">
      <c r="A2043" t="s">
        <v>1297</v>
      </c>
      <c r="B2043" t="s">
        <v>1298</v>
      </c>
      <c r="C2043" t="s">
        <v>655</v>
      </c>
      <c r="D2043" t="s">
        <v>1340</v>
      </c>
      <c r="E2043" t="s">
        <v>187</v>
      </c>
      <c r="F2043">
        <v>2020</v>
      </c>
      <c r="G2043">
        <v>3.6639680000000001</v>
      </c>
    </row>
    <row r="2044" spans="1:7">
      <c r="A2044" t="s">
        <v>1297</v>
      </c>
      <c r="B2044" t="s">
        <v>1298</v>
      </c>
      <c r="C2044" t="s">
        <v>682</v>
      </c>
      <c r="D2044" t="s">
        <v>1340</v>
      </c>
      <c r="E2044" t="s">
        <v>187</v>
      </c>
      <c r="F2044">
        <v>2016</v>
      </c>
      <c r="G2044">
        <v>2.1159999999999998E-3</v>
      </c>
    </row>
    <row r="2045" spans="1:7">
      <c r="A2045" t="s">
        <v>1297</v>
      </c>
      <c r="B2045" t="s">
        <v>1298</v>
      </c>
      <c r="C2045" t="s">
        <v>682</v>
      </c>
      <c r="D2045" t="s">
        <v>1340</v>
      </c>
      <c r="E2045" t="s">
        <v>187</v>
      </c>
      <c r="F2045">
        <v>2020</v>
      </c>
      <c r="G2045">
        <v>7.0169999999999998E-3</v>
      </c>
    </row>
    <row r="2046" spans="1:7">
      <c r="A2046" t="s">
        <v>1297</v>
      </c>
      <c r="B2046" t="s">
        <v>1298</v>
      </c>
      <c r="C2046" t="s">
        <v>666</v>
      </c>
      <c r="D2046" t="s">
        <v>1340</v>
      </c>
      <c r="E2046" t="s">
        <v>187</v>
      </c>
      <c r="F2046">
        <v>2005</v>
      </c>
      <c r="G2046">
        <v>0.31113000000000002</v>
      </c>
    </row>
    <row r="2047" spans="1:7">
      <c r="A2047" t="s">
        <v>1297</v>
      </c>
      <c r="B2047" t="s">
        <v>1298</v>
      </c>
      <c r="C2047" t="s">
        <v>666</v>
      </c>
      <c r="D2047" t="s">
        <v>1340</v>
      </c>
      <c r="E2047" t="s">
        <v>187</v>
      </c>
      <c r="F2047">
        <v>2010</v>
      </c>
      <c r="G2047">
        <v>0.40201100000000001</v>
      </c>
    </row>
    <row r="2048" spans="1:7">
      <c r="A2048" t="s">
        <v>1297</v>
      </c>
      <c r="B2048" t="s">
        <v>1298</v>
      </c>
      <c r="C2048" t="s">
        <v>666</v>
      </c>
      <c r="D2048" t="s">
        <v>1340</v>
      </c>
      <c r="E2048" t="s">
        <v>187</v>
      </c>
      <c r="F2048">
        <v>2012</v>
      </c>
      <c r="G2048">
        <v>0.29043000000000002</v>
      </c>
    </row>
    <row r="2049" spans="1:7">
      <c r="A2049" t="s">
        <v>1297</v>
      </c>
      <c r="B2049" t="s">
        <v>1298</v>
      </c>
      <c r="C2049" t="s">
        <v>666</v>
      </c>
      <c r="D2049" t="s">
        <v>1340</v>
      </c>
      <c r="E2049" t="s">
        <v>187</v>
      </c>
      <c r="F2049">
        <v>2016</v>
      </c>
      <c r="G2049">
        <v>0.61874099999999999</v>
      </c>
    </row>
    <row r="2050" spans="1:7">
      <c r="A2050" t="s">
        <v>1297</v>
      </c>
      <c r="B2050" t="s">
        <v>1298</v>
      </c>
      <c r="C2050" t="s">
        <v>666</v>
      </c>
      <c r="D2050" t="s">
        <v>1340</v>
      </c>
      <c r="E2050" t="s">
        <v>187</v>
      </c>
      <c r="F2050">
        <v>2020</v>
      </c>
      <c r="G2050">
        <v>0.853599</v>
      </c>
    </row>
    <row r="2051" spans="1:7">
      <c r="A2051" t="s">
        <v>1297</v>
      </c>
      <c r="B2051" t="s">
        <v>1298</v>
      </c>
      <c r="C2051" t="s">
        <v>652</v>
      </c>
      <c r="D2051" t="s">
        <v>1340</v>
      </c>
      <c r="E2051" t="s">
        <v>187</v>
      </c>
      <c r="F2051">
        <v>2005</v>
      </c>
      <c r="G2051">
        <v>0.46596599999999999</v>
      </c>
    </row>
    <row r="2052" spans="1:7">
      <c r="A2052" t="s">
        <v>1297</v>
      </c>
      <c r="B2052" t="s">
        <v>1298</v>
      </c>
      <c r="C2052" t="s">
        <v>652</v>
      </c>
      <c r="D2052" t="s">
        <v>1340</v>
      </c>
      <c r="E2052" t="s">
        <v>187</v>
      </c>
      <c r="F2052">
        <v>2010</v>
      </c>
      <c r="G2052">
        <v>1.184585</v>
      </c>
    </row>
    <row r="2053" spans="1:7">
      <c r="A2053" t="s">
        <v>1297</v>
      </c>
      <c r="B2053" t="s">
        <v>1298</v>
      </c>
      <c r="C2053" t="s">
        <v>652</v>
      </c>
      <c r="D2053" t="s">
        <v>1340</v>
      </c>
      <c r="E2053" t="s">
        <v>187</v>
      </c>
      <c r="F2053">
        <v>2012</v>
      </c>
      <c r="G2053">
        <v>1.354508</v>
      </c>
    </row>
    <row r="2054" spans="1:7">
      <c r="A2054" t="s">
        <v>1297</v>
      </c>
      <c r="B2054" t="s">
        <v>1298</v>
      </c>
      <c r="C2054" t="s">
        <v>652</v>
      </c>
      <c r="D2054" t="s">
        <v>1340</v>
      </c>
      <c r="E2054" t="s">
        <v>187</v>
      </c>
      <c r="F2054">
        <v>2016</v>
      </c>
      <c r="G2054">
        <v>1.429441</v>
      </c>
    </row>
    <row r="2055" spans="1:7">
      <c r="A2055" t="s">
        <v>1297</v>
      </c>
      <c r="B2055" t="s">
        <v>1298</v>
      </c>
      <c r="C2055" t="s">
        <v>652</v>
      </c>
      <c r="D2055" t="s">
        <v>1340</v>
      </c>
      <c r="E2055" t="s">
        <v>187</v>
      </c>
      <c r="F2055">
        <v>2020</v>
      </c>
      <c r="G2055">
        <v>1.1466320000000001</v>
      </c>
    </row>
    <row r="2056" spans="1:7">
      <c r="A2056" t="s">
        <v>1297</v>
      </c>
      <c r="B2056" t="s">
        <v>1298</v>
      </c>
      <c r="C2056" t="s">
        <v>653</v>
      </c>
      <c r="D2056" t="s">
        <v>1340</v>
      </c>
      <c r="E2056" t="s">
        <v>187</v>
      </c>
      <c r="F2056">
        <v>2005</v>
      </c>
      <c r="G2056">
        <v>5.8710000000000004E-3</v>
      </c>
    </row>
    <row r="2057" spans="1:7">
      <c r="A2057" t="s">
        <v>1297</v>
      </c>
      <c r="B2057" t="s">
        <v>1298</v>
      </c>
      <c r="C2057" t="s">
        <v>653</v>
      </c>
      <c r="D2057" t="s">
        <v>1340</v>
      </c>
      <c r="E2057" t="s">
        <v>187</v>
      </c>
      <c r="F2057">
        <v>2010</v>
      </c>
      <c r="G2057">
        <v>3.3126999999999997E-2</v>
      </c>
    </row>
    <row r="2058" spans="1:7">
      <c r="A2058" t="s">
        <v>1297</v>
      </c>
      <c r="B2058" t="s">
        <v>1298</v>
      </c>
      <c r="C2058" t="s">
        <v>653</v>
      </c>
      <c r="D2058" t="s">
        <v>1340</v>
      </c>
      <c r="E2058" t="s">
        <v>187</v>
      </c>
      <c r="F2058">
        <v>2012</v>
      </c>
      <c r="G2058">
        <v>6.6455E-2</v>
      </c>
    </row>
    <row r="2059" spans="1:7">
      <c r="A2059" t="s">
        <v>1297</v>
      </c>
      <c r="B2059" t="s">
        <v>1298</v>
      </c>
      <c r="C2059" t="s">
        <v>653</v>
      </c>
      <c r="D2059" t="s">
        <v>1340</v>
      </c>
      <c r="E2059" t="s">
        <v>187</v>
      </c>
      <c r="F2059">
        <v>2016</v>
      </c>
      <c r="G2059">
        <v>0.28953099999999998</v>
      </c>
    </row>
    <row r="2060" spans="1:7">
      <c r="A2060" t="s">
        <v>1297</v>
      </c>
      <c r="B2060" t="s">
        <v>1298</v>
      </c>
      <c r="C2060" t="s">
        <v>653</v>
      </c>
      <c r="D2060" t="s">
        <v>1340</v>
      </c>
      <c r="E2060" t="s">
        <v>187</v>
      </c>
      <c r="F2060">
        <v>2020</v>
      </c>
      <c r="G2060">
        <v>2.3743059999999998</v>
      </c>
    </row>
    <row r="2061" spans="1:7">
      <c r="A2061" t="s">
        <v>1297</v>
      </c>
      <c r="B2061" t="s">
        <v>1298</v>
      </c>
      <c r="C2061" t="s">
        <v>664</v>
      </c>
      <c r="D2061" t="s">
        <v>1341</v>
      </c>
      <c r="E2061" t="s">
        <v>187</v>
      </c>
      <c r="F2061">
        <v>2005</v>
      </c>
      <c r="G2061">
        <v>8.9866890000000001</v>
      </c>
    </row>
    <row r="2062" spans="1:7">
      <c r="A2062" t="s">
        <v>1297</v>
      </c>
      <c r="B2062" t="s">
        <v>1298</v>
      </c>
      <c r="C2062" t="s">
        <v>664</v>
      </c>
      <c r="D2062" t="s">
        <v>1341</v>
      </c>
      <c r="E2062" t="s">
        <v>187</v>
      </c>
      <c r="F2062">
        <v>2010</v>
      </c>
      <c r="G2062">
        <v>10.680179000000001</v>
      </c>
    </row>
    <row r="2063" spans="1:7">
      <c r="A2063" t="s">
        <v>1297</v>
      </c>
      <c r="B2063" t="s">
        <v>1298</v>
      </c>
      <c r="C2063" t="s">
        <v>664</v>
      </c>
      <c r="D2063" t="s">
        <v>1341</v>
      </c>
      <c r="E2063" t="s">
        <v>187</v>
      </c>
      <c r="F2063">
        <v>2012</v>
      </c>
      <c r="G2063">
        <v>12.663122</v>
      </c>
    </row>
    <row r="2064" spans="1:7">
      <c r="A2064" t="s">
        <v>1297</v>
      </c>
      <c r="B2064" t="s">
        <v>1298</v>
      </c>
      <c r="C2064" t="s">
        <v>664</v>
      </c>
      <c r="D2064" t="s">
        <v>1341</v>
      </c>
      <c r="E2064" t="s">
        <v>187</v>
      </c>
      <c r="F2064">
        <v>2016</v>
      </c>
      <c r="G2064">
        <v>15.550511999999999</v>
      </c>
    </row>
    <row r="2065" spans="1:7">
      <c r="A2065" t="s">
        <v>1297</v>
      </c>
      <c r="B2065" t="s">
        <v>1298</v>
      </c>
      <c r="C2065" t="s">
        <v>664</v>
      </c>
      <c r="D2065" t="s">
        <v>1341</v>
      </c>
      <c r="E2065" t="s">
        <v>187</v>
      </c>
      <c r="F2065">
        <v>2020</v>
      </c>
      <c r="G2065">
        <v>18.975300000000001</v>
      </c>
    </row>
    <row r="2066" spans="1:7">
      <c r="A2066" t="s">
        <v>1297</v>
      </c>
      <c r="B2066" t="s">
        <v>1298</v>
      </c>
      <c r="C2066" t="s">
        <v>682</v>
      </c>
      <c r="D2066" t="s">
        <v>1341</v>
      </c>
      <c r="E2066" t="s">
        <v>187</v>
      </c>
      <c r="F2066">
        <v>2016</v>
      </c>
      <c r="G2066">
        <v>30.728999999999999</v>
      </c>
    </row>
    <row r="2067" spans="1:7">
      <c r="A2067" t="s">
        <v>1297</v>
      </c>
      <c r="B2067" t="s">
        <v>1298</v>
      </c>
      <c r="C2067" t="s">
        <v>682</v>
      </c>
      <c r="D2067" t="s">
        <v>1341</v>
      </c>
      <c r="E2067" t="s">
        <v>187</v>
      </c>
      <c r="F2067">
        <v>2020</v>
      </c>
      <c r="G2067">
        <v>60.844999999999999</v>
      </c>
    </row>
    <row r="2068" spans="1:7">
      <c r="A2068" t="s">
        <v>1297</v>
      </c>
      <c r="B2068" t="s">
        <v>1298</v>
      </c>
      <c r="C2068" t="s">
        <v>655</v>
      </c>
      <c r="D2068" t="s">
        <v>1341</v>
      </c>
      <c r="E2068" t="s">
        <v>187</v>
      </c>
      <c r="F2068">
        <v>2005</v>
      </c>
      <c r="G2068">
        <v>86.465078000000005</v>
      </c>
    </row>
    <row r="2069" spans="1:7">
      <c r="A2069" t="s">
        <v>1297</v>
      </c>
      <c r="B2069" t="s">
        <v>1298</v>
      </c>
      <c r="C2069" t="s">
        <v>655</v>
      </c>
      <c r="D2069" t="s">
        <v>1341</v>
      </c>
      <c r="E2069" t="s">
        <v>187</v>
      </c>
      <c r="F2069">
        <v>2010</v>
      </c>
      <c r="G2069">
        <v>122.28567700000001</v>
      </c>
    </row>
    <row r="2070" spans="1:7">
      <c r="A2070" t="s">
        <v>1297</v>
      </c>
      <c r="B2070" t="s">
        <v>1298</v>
      </c>
      <c r="C2070" t="s">
        <v>655</v>
      </c>
      <c r="D2070" t="s">
        <v>1341</v>
      </c>
      <c r="E2070" t="s">
        <v>187</v>
      </c>
      <c r="F2070">
        <v>2012</v>
      </c>
      <c r="G2070">
        <v>138.59523799999999</v>
      </c>
    </row>
    <row r="2071" spans="1:7">
      <c r="A2071" t="s">
        <v>1297</v>
      </c>
      <c r="B2071" t="s">
        <v>1298</v>
      </c>
      <c r="C2071" t="s">
        <v>655</v>
      </c>
      <c r="D2071" t="s">
        <v>1341</v>
      </c>
      <c r="E2071" t="s">
        <v>187</v>
      </c>
      <c r="F2071">
        <v>2016</v>
      </c>
      <c r="G2071">
        <v>161.699309</v>
      </c>
    </row>
    <row r="2072" spans="1:7">
      <c r="A2072" t="s">
        <v>1297</v>
      </c>
      <c r="B2072" t="s">
        <v>1298</v>
      </c>
      <c r="C2072" t="s">
        <v>655</v>
      </c>
      <c r="D2072" t="s">
        <v>1341</v>
      </c>
      <c r="E2072" t="s">
        <v>187</v>
      </c>
      <c r="F2072">
        <v>2020</v>
      </c>
      <c r="G2072">
        <v>180.953339</v>
      </c>
    </row>
    <row r="2073" spans="1:7">
      <c r="A2073" t="s">
        <v>1297</v>
      </c>
      <c r="B2073" t="s">
        <v>1298</v>
      </c>
      <c r="C2073" t="s">
        <v>651</v>
      </c>
      <c r="D2073" t="s">
        <v>1341</v>
      </c>
      <c r="E2073" t="s">
        <v>187</v>
      </c>
      <c r="F2073">
        <v>2005</v>
      </c>
      <c r="G2073">
        <v>155.325546</v>
      </c>
    </row>
    <row r="2074" spans="1:7">
      <c r="A2074" t="s">
        <v>1297</v>
      </c>
      <c r="B2074" t="s">
        <v>1298</v>
      </c>
      <c r="C2074" t="s">
        <v>651</v>
      </c>
      <c r="D2074" t="s">
        <v>1341</v>
      </c>
      <c r="E2074" t="s">
        <v>187</v>
      </c>
      <c r="F2074">
        <v>2010</v>
      </c>
      <c r="G2074">
        <v>218.07897700000001</v>
      </c>
    </row>
    <row r="2075" spans="1:7">
      <c r="A2075" t="s">
        <v>1297</v>
      </c>
      <c r="B2075" t="s">
        <v>1298</v>
      </c>
      <c r="C2075" t="s">
        <v>651</v>
      </c>
      <c r="D2075" t="s">
        <v>1341</v>
      </c>
      <c r="E2075" t="s">
        <v>187</v>
      </c>
      <c r="F2075">
        <v>2012</v>
      </c>
      <c r="G2075">
        <v>224.974435</v>
      </c>
    </row>
    <row r="2076" spans="1:7">
      <c r="A2076" t="s">
        <v>1297</v>
      </c>
      <c r="B2076" t="s">
        <v>1298</v>
      </c>
      <c r="C2076" t="s">
        <v>651</v>
      </c>
      <c r="D2076" t="s">
        <v>1341</v>
      </c>
      <c r="E2076" t="s">
        <v>187</v>
      </c>
      <c r="F2076">
        <v>2016</v>
      </c>
      <c r="G2076">
        <v>234.13680099999999</v>
      </c>
    </row>
    <row r="2077" spans="1:7">
      <c r="A2077" t="s">
        <v>1297</v>
      </c>
      <c r="B2077" t="s">
        <v>1298</v>
      </c>
      <c r="C2077" t="s">
        <v>651</v>
      </c>
      <c r="D2077" t="s">
        <v>1341</v>
      </c>
      <c r="E2077" t="s">
        <v>187</v>
      </c>
      <c r="F2077">
        <v>2020</v>
      </c>
      <c r="G2077">
        <v>226.15870699999999</v>
      </c>
    </row>
    <row r="2078" spans="1:7">
      <c r="A2078" t="s">
        <v>1297</v>
      </c>
      <c r="B2078" t="s">
        <v>1298</v>
      </c>
      <c r="C2078" t="s">
        <v>659</v>
      </c>
      <c r="D2078" t="s">
        <v>1341</v>
      </c>
      <c r="E2078" t="s">
        <v>187</v>
      </c>
      <c r="F2078">
        <v>2005</v>
      </c>
      <c r="G2078">
        <v>206.24418399999999</v>
      </c>
    </row>
    <row r="2079" spans="1:7">
      <c r="A2079" t="s">
        <v>1297</v>
      </c>
      <c r="B2079" t="s">
        <v>1298</v>
      </c>
      <c r="C2079" t="s">
        <v>659</v>
      </c>
      <c r="D2079" t="s">
        <v>1341</v>
      </c>
      <c r="E2079" t="s">
        <v>187</v>
      </c>
      <c r="F2079">
        <v>2010</v>
      </c>
      <c r="G2079">
        <v>257.56057299999998</v>
      </c>
    </row>
    <row r="2080" spans="1:7">
      <c r="A2080" t="s">
        <v>1297</v>
      </c>
      <c r="B2080" t="s">
        <v>1298</v>
      </c>
      <c r="C2080" t="s">
        <v>659</v>
      </c>
      <c r="D2080" t="s">
        <v>1341</v>
      </c>
      <c r="E2080" t="s">
        <v>187</v>
      </c>
      <c r="F2080">
        <v>2012</v>
      </c>
      <c r="G2080">
        <v>259.870248</v>
      </c>
    </row>
    <row r="2081" spans="1:7">
      <c r="A2081" t="s">
        <v>1297</v>
      </c>
      <c r="B2081" t="s">
        <v>1298</v>
      </c>
      <c r="C2081" t="s">
        <v>659</v>
      </c>
      <c r="D2081" t="s">
        <v>1341</v>
      </c>
      <c r="E2081" t="s">
        <v>187</v>
      </c>
      <c r="F2081">
        <v>2016</v>
      </c>
      <c r="G2081">
        <v>301.89662700000002</v>
      </c>
    </row>
    <row r="2082" spans="1:7">
      <c r="A2082" t="s">
        <v>1297</v>
      </c>
      <c r="B2082" t="s">
        <v>1298</v>
      </c>
      <c r="C2082" t="s">
        <v>659</v>
      </c>
      <c r="D2082" t="s">
        <v>1341</v>
      </c>
      <c r="E2082" t="s">
        <v>187</v>
      </c>
      <c r="F2082">
        <v>2020</v>
      </c>
      <c r="G2082">
        <v>340.14212400000002</v>
      </c>
    </row>
    <row r="2083" spans="1:7">
      <c r="A2083" t="s">
        <v>1297</v>
      </c>
      <c r="B2083" t="s">
        <v>1298</v>
      </c>
      <c r="C2083" t="s">
        <v>666</v>
      </c>
      <c r="D2083" t="s">
        <v>1341</v>
      </c>
      <c r="E2083" t="s">
        <v>187</v>
      </c>
      <c r="F2083">
        <v>2005</v>
      </c>
      <c r="G2083">
        <v>35.920817999999997</v>
      </c>
    </row>
    <row r="2084" spans="1:7">
      <c r="A2084" t="s">
        <v>1297</v>
      </c>
      <c r="B2084" t="s">
        <v>1298</v>
      </c>
      <c r="C2084" t="s">
        <v>666</v>
      </c>
      <c r="D2084" t="s">
        <v>1341</v>
      </c>
      <c r="E2084" t="s">
        <v>187</v>
      </c>
      <c r="F2084">
        <v>2010</v>
      </c>
      <c r="G2084">
        <v>46.661402000000002</v>
      </c>
    </row>
    <row r="2085" spans="1:7">
      <c r="A2085" t="s">
        <v>1297</v>
      </c>
      <c r="B2085" t="s">
        <v>1298</v>
      </c>
      <c r="C2085" t="s">
        <v>666</v>
      </c>
      <c r="D2085" t="s">
        <v>1341</v>
      </c>
      <c r="E2085" t="s">
        <v>187</v>
      </c>
      <c r="F2085">
        <v>2012</v>
      </c>
      <c r="G2085">
        <v>46.520204999999997</v>
      </c>
    </row>
    <row r="2086" spans="1:7">
      <c r="A2086" t="s">
        <v>1297</v>
      </c>
      <c r="B2086" t="s">
        <v>1298</v>
      </c>
      <c r="C2086" t="s">
        <v>666</v>
      </c>
      <c r="D2086" t="s">
        <v>1341</v>
      </c>
      <c r="E2086" t="s">
        <v>187</v>
      </c>
      <c r="F2086">
        <v>2016</v>
      </c>
      <c r="G2086">
        <v>56.828904999999999</v>
      </c>
    </row>
    <row r="2087" spans="1:7">
      <c r="A2087" t="s">
        <v>1297</v>
      </c>
      <c r="B2087" t="s">
        <v>1298</v>
      </c>
      <c r="C2087" t="s">
        <v>666</v>
      </c>
      <c r="D2087" t="s">
        <v>1341</v>
      </c>
      <c r="E2087" t="s">
        <v>187</v>
      </c>
      <c r="F2087">
        <v>2020</v>
      </c>
      <c r="G2087">
        <v>61.22</v>
      </c>
    </row>
    <row r="2088" spans="1:7">
      <c r="A2088" t="s">
        <v>1297</v>
      </c>
      <c r="B2088" t="s">
        <v>1298</v>
      </c>
      <c r="C2088" t="s">
        <v>681</v>
      </c>
      <c r="D2088" t="s">
        <v>1341</v>
      </c>
      <c r="E2088" t="s">
        <v>187</v>
      </c>
      <c r="F2088">
        <v>2005</v>
      </c>
      <c r="G2088">
        <v>9.6300000000000008</v>
      </c>
    </row>
    <row r="2089" spans="1:7">
      <c r="A2089" t="s">
        <v>1297</v>
      </c>
      <c r="B2089" t="s">
        <v>1298</v>
      </c>
      <c r="C2089" t="s">
        <v>681</v>
      </c>
      <c r="D2089" t="s">
        <v>1341</v>
      </c>
      <c r="E2089" t="s">
        <v>187</v>
      </c>
      <c r="F2089">
        <v>2010</v>
      </c>
      <c r="G2089">
        <v>8.5830000000000002</v>
      </c>
    </row>
    <row r="2090" spans="1:7">
      <c r="A2090" t="s">
        <v>1297</v>
      </c>
      <c r="B2090" t="s">
        <v>1298</v>
      </c>
      <c r="C2090" t="s">
        <v>681</v>
      </c>
      <c r="D2090" t="s">
        <v>1341</v>
      </c>
      <c r="E2090" t="s">
        <v>187</v>
      </c>
      <c r="F2090">
        <v>2012</v>
      </c>
      <c r="G2090">
        <v>8.6460000000000008</v>
      </c>
    </row>
    <row r="2091" spans="1:7">
      <c r="A2091" t="s">
        <v>1297</v>
      </c>
      <c r="B2091" t="s">
        <v>1298</v>
      </c>
      <c r="C2091" t="s">
        <v>681</v>
      </c>
      <c r="D2091" t="s">
        <v>1341</v>
      </c>
      <c r="E2091" t="s">
        <v>187</v>
      </c>
      <c r="F2091">
        <v>2016</v>
      </c>
      <c r="G2091">
        <v>7.7869999999999999</v>
      </c>
    </row>
    <row r="2092" spans="1:7">
      <c r="A2092" t="s">
        <v>1297</v>
      </c>
      <c r="B2092" t="s">
        <v>1298</v>
      </c>
      <c r="C2092" t="s">
        <v>681</v>
      </c>
      <c r="D2092" t="s">
        <v>1341</v>
      </c>
      <c r="E2092" t="s">
        <v>187</v>
      </c>
      <c r="F2092">
        <v>2020</v>
      </c>
      <c r="G2092">
        <v>6.6989999999999998</v>
      </c>
    </row>
    <row r="2093" spans="1:7">
      <c r="A2093" t="s">
        <v>1297</v>
      </c>
      <c r="B2093" t="s">
        <v>1298</v>
      </c>
      <c r="C2093" t="s">
        <v>1303</v>
      </c>
      <c r="D2093" t="s">
        <v>1341</v>
      </c>
      <c r="E2093" t="s">
        <v>187</v>
      </c>
      <c r="F2093">
        <v>2016</v>
      </c>
      <c r="G2093">
        <v>16.231999999999999</v>
      </c>
    </row>
    <row r="2094" spans="1:7">
      <c r="A2094" t="s">
        <v>1297</v>
      </c>
      <c r="B2094" t="s">
        <v>1298</v>
      </c>
      <c r="C2094" t="s">
        <v>1303</v>
      </c>
      <c r="D2094" t="s">
        <v>1341</v>
      </c>
      <c r="E2094" t="s">
        <v>187</v>
      </c>
      <c r="F2094">
        <v>2020</v>
      </c>
      <c r="G2094">
        <v>10.279406</v>
      </c>
    </row>
    <row r="2095" spans="1:7">
      <c r="A2095" t="s">
        <v>1297</v>
      </c>
      <c r="B2095" t="s">
        <v>1298</v>
      </c>
      <c r="C2095" t="s">
        <v>656</v>
      </c>
      <c r="D2095" t="s">
        <v>1341</v>
      </c>
      <c r="E2095" t="s">
        <v>187</v>
      </c>
      <c r="F2095">
        <v>2005</v>
      </c>
      <c r="G2095">
        <v>555.35668199999998</v>
      </c>
    </row>
    <row r="2096" spans="1:7">
      <c r="A2096" t="s">
        <v>1297</v>
      </c>
      <c r="B2096" t="s">
        <v>1298</v>
      </c>
      <c r="C2096" t="s">
        <v>656</v>
      </c>
      <c r="D2096" t="s">
        <v>1341</v>
      </c>
      <c r="E2096" t="s">
        <v>187</v>
      </c>
      <c r="F2096">
        <v>2010</v>
      </c>
      <c r="G2096">
        <v>990.97634700000003</v>
      </c>
    </row>
    <row r="2097" spans="1:7">
      <c r="A2097" t="s">
        <v>1297</v>
      </c>
      <c r="B2097" t="s">
        <v>1298</v>
      </c>
      <c r="C2097" t="s">
        <v>656</v>
      </c>
      <c r="D2097" t="s">
        <v>1341</v>
      </c>
      <c r="E2097" t="s">
        <v>187</v>
      </c>
      <c r="F2097">
        <v>2012</v>
      </c>
      <c r="G2097">
        <v>1086.8180130000001</v>
      </c>
    </row>
    <row r="2098" spans="1:7">
      <c r="A2098" t="s">
        <v>1297</v>
      </c>
      <c r="B2098" t="s">
        <v>1298</v>
      </c>
      <c r="C2098" t="s">
        <v>656</v>
      </c>
      <c r="D2098" t="s">
        <v>1341</v>
      </c>
      <c r="E2098" t="s">
        <v>187</v>
      </c>
      <c r="F2098">
        <v>2016</v>
      </c>
      <c r="G2098">
        <v>1082.69687</v>
      </c>
    </row>
    <row r="2099" spans="1:7">
      <c r="A2099" t="s">
        <v>1297</v>
      </c>
      <c r="B2099" t="s">
        <v>1298</v>
      </c>
      <c r="C2099" t="s">
        <v>656</v>
      </c>
      <c r="D2099" t="s">
        <v>1341</v>
      </c>
      <c r="E2099" t="s">
        <v>187</v>
      </c>
      <c r="F2099">
        <v>2020</v>
      </c>
      <c r="G2099">
        <v>1130.6742280000001</v>
      </c>
    </row>
    <row r="2100" spans="1:7">
      <c r="A2100" t="s">
        <v>1297</v>
      </c>
      <c r="B2100" t="s">
        <v>1298</v>
      </c>
      <c r="C2100" t="s">
        <v>670</v>
      </c>
      <c r="D2100" t="s">
        <v>1341</v>
      </c>
      <c r="E2100" t="s">
        <v>187</v>
      </c>
      <c r="F2100">
        <v>2005</v>
      </c>
      <c r="G2100">
        <v>73.416224999999997</v>
      </c>
    </row>
    <row r="2101" spans="1:7">
      <c r="A2101" t="s">
        <v>1297</v>
      </c>
      <c r="B2101" t="s">
        <v>1298</v>
      </c>
      <c r="C2101" t="s">
        <v>670</v>
      </c>
      <c r="D2101" t="s">
        <v>1341</v>
      </c>
      <c r="E2101" t="s">
        <v>187</v>
      </c>
      <c r="F2101">
        <v>2010</v>
      </c>
      <c r="G2101">
        <v>111.972702</v>
      </c>
    </row>
    <row r="2102" spans="1:7">
      <c r="A2102" t="s">
        <v>1297</v>
      </c>
      <c r="B2102" t="s">
        <v>1298</v>
      </c>
      <c r="C2102" t="s">
        <v>670</v>
      </c>
      <c r="D2102" t="s">
        <v>1341</v>
      </c>
      <c r="E2102" t="s">
        <v>187</v>
      </c>
      <c r="F2102">
        <v>2012</v>
      </c>
      <c r="G2102">
        <v>142.73699999999999</v>
      </c>
    </row>
    <row r="2103" spans="1:7">
      <c r="A2103" t="s">
        <v>1297</v>
      </c>
      <c r="B2103" t="s">
        <v>1298</v>
      </c>
      <c r="C2103" t="s">
        <v>677</v>
      </c>
      <c r="D2103" t="s">
        <v>1341</v>
      </c>
      <c r="E2103" t="s">
        <v>187</v>
      </c>
      <c r="F2103">
        <v>2005</v>
      </c>
      <c r="G2103">
        <v>116.503248</v>
      </c>
    </row>
    <row r="2104" spans="1:7">
      <c r="A2104" t="s">
        <v>1297</v>
      </c>
      <c r="B2104" t="s">
        <v>1298</v>
      </c>
      <c r="C2104" t="s">
        <v>677</v>
      </c>
      <c r="D2104" t="s">
        <v>1341</v>
      </c>
      <c r="E2104" t="s">
        <v>187</v>
      </c>
      <c r="F2104">
        <v>2010</v>
      </c>
      <c r="G2104">
        <v>190.15304499999999</v>
      </c>
    </row>
    <row r="2105" spans="1:7">
      <c r="A2105" t="s">
        <v>1297</v>
      </c>
      <c r="B2105" t="s">
        <v>1298</v>
      </c>
      <c r="C2105" t="s">
        <v>677</v>
      </c>
      <c r="D2105" t="s">
        <v>1341</v>
      </c>
      <c r="E2105" t="s">
        <v>187</v>
      </c>
      <c r="F2105">
        <v>2012</v>
      </c>
      <c r="G2105">
        <v>217.793778</v>
      </c>
    </row>
    <row r="2106" spans="1:7">
      <c r="A2106" t="s">
        <v>1297</v>
      </c>
      <c r="B2106" t="s">
        <v>1298</v>
      </c>
      <c r="C2106" t="s">
        <v>677</v>
      </c>
      <c r="D2106" t="s">
        <v>1341</v>
      </c>
      <c r="E2106" t="s">
        <v>187</v>
      </c>
      <c r="F2106">
        <v>2016</v>
      </c>
      <c r="G2106">
        <v>327.09459399999997</v>
      </c>
    </row>
    <row r="2107" spans="1:7">
      <c r="A2107" t="s">
        <v>1297</v>
      </c>
      <c r="B2107" t="s">
        <v>1298</v>
      </c>
      <c r="C2107" t="s">
        <v>677</v>
      </c>
      <c r="D2107" t="s">
        <v>1341</v>
      </c>
      <c r="E2107" t="s">
        <v>187</v>
      </c>
      <c r="F2107">
        <v>2020</v>
      </c>
      <c r="G2107">
        <v>385.45827400000002</v>
      </c>
    </row>
    <row r="2108" spans="1:7">
      <c r="A2108" t="s">
        <v>1297</v>
      </c>
      <c r="B2108" t="s">
        <v>1298</v>
      </c>
      <c r="C2108" t="s">
        <v>654</v>
      </c>
      <c r="D2108" t="s">
        <v>1341</v>
      </c>
      <c r="E2108" t="s">
        <v>187</v>
      </c>
      <c r="F2108">
        <v>2005</v>
      </c>
      <c r="G2108">
        <v>0.26600000000000001</v>
      </c>
    </row>
    <row r="2109" spans="1:7">
      <c r="A2109" t="s">
        <v>1297</v>
      </c>
      <c r="B2109" t="s">
        <v>1298</v>
      </c>
      <c r="C2109" t="s">
        <v>654</v>
      </c>
      <c r="D2109" t="s">
        <v>1341</v>
      </c>
      <c r="E2109" t="s">
        <v>187</v>
      </c>
      <c r="F2109">
        <v>2010</v>
      </c>
      <c r="G2109">
        <v>0.88134900000000005</v>
      </c>
    </row>
    <row r="2110" spans="1:7">
      <c r="A2110" t="s">
        <v>1297</v>
      </c>
      <c r="B2110" t="s">
        <v>1298</v>
      </c>
      <c r="C2110" t="s">
        <v>654</v>
      </c>
      <c r="D2110" t="s">
        <v>1341</v>
      </c>
      <c r="E2110" t="s">
        <v>187</v>
      </c>
      <c r="F2110">
        <v>2012</v>
      </c>
      <c r="G2110">
        <v>1.2317929999999999</v>
      </c>
    </row>
    <row r="2111" spans="1:7">
      <c r="A2111" t="s">
        <v>1297</v>
      </c>
      <c r="B2111" t="s">
        <v>1298</v>
      </c>
      <c r="C2111" t="s">
        <v>654</v>
      </c>
      <c r="D2111" t="s">
        <v>1341</v>
      </c>
      <c r="E2111" t="s">
        <v>187</v>
      </c>
      <c r="F2111">
        <v>2016</v>
      </c>
      <c r="G2111">
        <v>1.304945</v>
      </c>
    </row>
    <row r="2112" spans="1:7">
      <c r="A2112" t="s">
        <v>1297</v>
      </c>
      <c r="B2112" t="s">
        <v>1298</v>
      </c>
      <c r="C2112" t="s">
        <v>654</v>
      </c>
      <c r="D2112" t="s">
        <v>1341</v>
      </c>
      <c r="E2112" t="s">
        <v>187</v>
      </c>
      <c r="F2112">
        <v>2020</v>
      </c>
      <c r="G2112">
        <v>1.671869</v>
      </c>
    </row>
    <row r="2113" spans="1:7">
      <c r="A2113" t="s">
        <v>1297</v>
      </c>
      <c r="B2113" t="s">
        <v>1298</v>
      </c>
      <c r="C2113" t="s">
        <v>680</v>
      </c>
      <c r="D2113" t="s">
        <v>1341</v>
      </c>
      <c r="E2113" t="s">
        <v>187</v>
      </c>
      <c r="F2113">
        <v>2005</v>
      </c>
      <c r="G2113">
        <v>7.6999999999999999E-2</v>
      </c>
    </row>
    <row r="2114" spans="1:7">
      <c r="A2114" t="s">
        <v>1297</v>
      </c>
      <c r="B2114" t="s">
        <v>1298</v>
      </c>
      <c r="C2114" t="s">
        <v>680</v>
      </c>
      <c r="D2114" t="s">
        <v>1341</v>
      </c>
      <c r="E2114" t="s">
        <v>187</v>
      </c>
      <c r="F2114">
        <v>2010</v>
      </c>
      <c r="G2114">
        <v>0.04</v>
      </c>
    </row>
    <row r="2115" spans="1:7">
      <c r="A2115" t="s">
        <v>1297</v>
      </c>
      <c r="B2115" t="s">
        <v>1298</v>
      </c>
      <c r="C2115" t="s">
        <v>680</v>
      </c>
      <c r="D2115" t="s">
        <v>1341</v>
      </c>
      <c r="E2115" t="s">
        <v>187</v>
      </c>
      <c r="F2115">
        <v>2012</v>
      </c>
      <c r="G2115">
        <v>7.5868000000000005E-2</v>
      </c>
    </row>
    <row r="2116" spans="1:7">
      <c r="A2116" t="s">
        <v>1297</v>
      </c>
      <c r="B2116" t="s">
        <v>1298</v>
      </c>
      <c r="C2116" t="s">
        <v>680</v>
      </c>
      <c r="D2116" t="s">
        <v>1341</v>
      </c>
      <c r="E2116" t="s">
        <v>187</v>
      </c>
      <c r="F2116">
        <v>2016</v>
      </c>
      <c r="G2116">
        <v>0.53600000000000003</v>
      </c>
    </row>
    <row r="2117" spans="1:7">
      <c r="A2117" t="s">
        <v>1297</v>
      </c>
      <c r="B2117" t="s">
        <v>1298</v>
      </c>
      <c r="C2117" t="s">
        <v>680</v>
      </c>
      <c r="D2117" t="s">
        <v>1341</v>
      </c>
      <c r="E2117" t="s">
        <v>187</v>
      </c>
      <c r="F2117">
        <v>2020</v>
      </c>
      <c r="G2117">
        <v>5.1274E-2</v>
      </c>
    </row>
    <row r="2118" spans="1:7">
      <c r="A2118" t="s">
        <v>1297</v>
      </c>
      <c r="B2118" t="s">
        <v>1298</v>
      </c>
      <c r="C2118" t="s">
        <v>669</v>
      </c>
      <c r="D2118" t="s">
        <v>1341</v>
      </c>
      <c r="E2118" t="s">
        <v>187</v>
      </c>
      <c r="F2118">
        <v>2016</v>
      </c>
      <c r="G2118">
        <v>0.10809199999999999</v>
      </c>
    </row>
    <row r="2119" spans="1:7">
      <c r="A2119" t="s">
        <v>1297</v>
      </c>
      <c r="B2119" t="s">
        <v>1298</v>
      </c>
      <c r="C2119" t="s">
        <v>669</v>
      </c>
      <c r="D2119" t="s">
        <v>1341</v>
      </c>
      <c r="E2119" t="s">
        <v>187</v>
      </c>
      <c r="F2119">
        <v>2020</v>
      </c>
      <c r="G2119">
        <v>6.8689E-2</v>
      </c>
    </row>
    <row r="2120" spans="1:7">
      <c r="A2120" t="s">
        <v>1297</v>
      </c>
      <c r="B2120" t="s">
        <v>1298</v>
      </c>
      <c r="C2120" t="s">
        <v>657</v>
      </c>
      <c r="D2120" t="s">
        <v>1341</v>
      </c>
      <c r="E2120" t="s">
        <v>187</v>
      </c>
      <c r="F2120">
        <v>2005</v>
      </c>
      <c r="G2120">
        <v>77.932192999999998</v>
      </c>
    </row>
    <row r="2121" spans="1:7">
      <c r="A2121" t="s">
        <v>1297</v>
      </c>
      <c r="B2121" t="s">
        <v>1298</v>
      </c>
      <c r="C2121" t="s">
        <v>657</v>
      </c>
      <c r="D2121" t="s">
        <v>1341</v>
      </c>
      <c r="E2121" t="s">
        <v>187</v>
      </c>
      <c r="F2121">
        <v>2010</v>
      </c>
      <c r="G2121">
        <v>98.040588</v>
      </c>
    </row>
    <row r="2122" spans="1:7">
      <c r="A2122" t="s">
        <v>1297</v>
      </c>
      <c r="B2122" t="s">
        <v>1298</v>
      </c>
      <c r="C2122" t="s">
        <v>657</v>
      </c>
      <c r="D2122" t="s">
        <v>1341</v>
      </c>
      <c r="E2122" t="s">
        <v>187</v>
      </c>
      <c r="F2122">
        <v>2012</v>
      </c>
      <c r="G2122">
        <v>84.753681999999998</v>
      </c>
    </row>
    <row r="2123" spans="1:7">
      <c r="A2123" t="s">
        <v>1297</v>
      </c>
      <c r="B2123" t="s">
        <v>1298</v>
      </c>
      <c r="C2123" t="s">
        <v>657</v>
      </c>
      <c r="D2123" t="s">
        <v>1341</v>
      </c>
      <c r="E2123" t="s">
        <v>187</v>
      </c>
      <c r="F2123">
        <v>2016</v>
      </c>
      <c r="G2123">
        <v>98.983433000000005</v>
      </c>
    </row>
    <row r="2124" spans="1:7">
      <c r="A2124" t="s">
        <v>1297</v>
      </c>
      <c r="B2124" t="s">
        <v>1298</v>
      </c>
      <c r="C2124" t="s">
        <v>657</v>
      </c>
      <c r="D2124" t="s">
        <v>1341</v>
      </c>
      <c r="E2124" t="s">
        <v>187</v>
      </c>
      <c r="F2124">
        <v>2020</v>
      </c>
      <c r="G2124">
        <v>100.47712900000001</v>
      </c>
    </row>
    <row r="2125" spans="1:7">
      <c r="A2125" t="s">
        <v>1297</v>
      </c>
      <c r="B2125" t="s">
        <v>1298</v>
      </c>
      <c r="C2125" t="s">
        <v>671</v>
      </c>
      <c r="D2125" t="s">
        <v>1341</v>
      </c>
      <c r="E2125" t="s">
        <v>187</v>
      </c>
      <c r="F2125">
        <v>2005</v>
      </c>
      <c r="G2125">
        <v>181.58108100000001</v>
      </c>
    </row>
    <row r="2126" spans="1:7">
      <c r="A2126" t="s">
        <v>1297</v>
      </c>
      <c r="B2126" t="s">
        <v>1298</v>
      </c>
      <c r="C2126" t="s">
        <v>671</v>
      </c>
      <c r="D2126" t="s">
        <v>1341</v>
      </c>
      <c r="E2126" t="s">
        <v>187</v>
      </c>
      <c r="F2126">
        <v>2010</v>
      </c>
      <c r="G2126">
        <v>269.19013000000001</v>
      </c>
    </row>
    <row r="2127" spans="1:7">
      <c r="A2127" t="s">
        <v>1297</v>
      </c>
      <c r="B2127" t="s">
        <v>1298</v>
      </c>
      <c r="C2127" t="s">
        <v>671</v>
      </c>
      <c r="D2127" t="s">
        <v>1341</v>
      </c>
      <c r="E2127" t="s">
        <v>187</v>
      </c>
      <c r="F2127">
        <v>2012</v>
      </c>
      <c r="G2127">
        <v>328.808335</v>
      </c>
    </row>
    <row r="2128" spans="1:7">
      <c r="A2128" t="s">
        <v>1297</v>
      </c>
      <c r="B2128" t="s">
        <v>1298</v>
      </c>
      <c r="C2128" t="s">
        <v>671</v>
      </c>
      <c r="D2128" t="s">
        <v>1341</v>
      </c>
      <c r="E2128" t="s">
        <v>187</v>
      </c>
      <c r="F2128">
        <v>2016</v>
      </c>
      <c r="G2128">
        <v>320.65670399999999</v>
      </c>
    </row>
    <row r="2129" spans="1:7">
      <c r="A2129" t="s">
        <v>1297</v>
      </c>
      <c r="B2129" t="s">
        <v>1298</v>
      </c>
      <c r="C2129" t="s">
        <v>671</v>
      </c>
      <c r="D2129" t="s">
        <v>1341</v>
      </c>
      <c r="E2129" t="s">
        <v>187</v>
      </c>
      <c r="F2129">
        <v>2020</v>
      </c>
      <c r="G2129">
        <v>317.76470699999999</v>
      </c>
    </row>
    <row r="2130" spans="1:7">
      <c r="A2130" t="s">
        <v>1297</v>
      </c>
      <c r="B2130" t="s">
        <v>1298</v>
      </c>
      <c r="C2130" t="s">
        <v>676</v>
      </c>
      <c r="D2130" t="s">
        <v>1341</v>
      </c>
      <c r="E2130" t="s">
        <v>187</v>
      </c>
      <c r="F2130">
        <v>2005</v>
      </c>
      <c r="G2130">
        <v>18.989425000000001</v>
      </c>
    </row>
    <row r="2131" spans="1:7">
      <c r="A2131" t="s">
        <v>1297</v>
      </c>
      <c r="B2131" t="s">
        <v>1298</v>
      </c>
      <c r="C2131" t="s">
        <v>676</v>
      </c>
      <c r="D2131" t="s">
        <v>1341</v>
      </c>
      <c r="E2131" t="s">
        <v>187</v>
      </c>
      <c r="F2131">
        <v>2010</v>
      </c>
      <c r="G2131">
        <v>39.248159999999999</v>
      </c>
    </row>
    <row r="2132" spans="1:7">
      <c r="A2132" t="s">
        <v>1297</v>
      </c>
      <c r="B2132" t="s">
        <v>1298</v>
      </c>
      <c r="C2132" t="s">
        <v>676</v>
      </c>
      <c r="D2132" t="s">
        <v>1341</v>
      </c>
      <c r="E2132" t="s">
        <v>187</v>
      </c>
      <c r="F2132">
        <v>2012</v>
      </c>
      <c r="G2132">
        <v>43.229599999999998</v>
      </c>
    </row>
    <row r="2133" spans="1:7">
      <c r="A2133" t="s">
        <v>1297</v>
      </c>
      <c r="B2133" t="s">
        <v>1298</v>
      </c>
      <c r="C2133" t="s">
        <v>676</v>
      </c>
      <c r="D2133" t="s">
        <v>1341</v>
      </c>
      <c r="E2133" t="s">
        <v>187</v>
      </c>
      <c r="F2133">
        <v>2016</v>
      </c>
      <c r="G2133">
        <v>48.915460000000003</v>
      </c>
    </row>
    <row r="2134" spans="1:7">
      <c r="A2134" t="s">
        <v>1297</v>
      </c>
      <c r="B2134" t="s">
        <v>1298</v>
      </c>
      <c r="C2134" t="s">
        <v>676</v>
      </c>
      <c r="D2134" t="s">
        <v>1341</v>
      </c>
      <c r="E2134" t="s">
        <v>187</v>
      </c>
      <c r="F2134">
        <v>2020</v>
      </c>
      <c r="G2134">
        <v>73.046402999999998</v>
      </c>
    </row>
    <row r="2135" spans="1:7">
      <c r="A2135" t="s">
        <v>1297</v>
      </c>
      <c r="B2135" t="s">
        <v>1298</v>
      </c>
      <c r="C2135" t="s">
        <v>670</v>
      </c>
      <c r="D2135" t="s">
        <v>1341</v>
      </c>
      <c r="E2135" t="s">
        <v>187</v>
      </c>
      <c r="F2135">
        <v>2016</v>
      </c>
      <c r="G2135">
        <v>154.90026</v>
      </c>
    </row>
    <row r="2136" spans="1:7">
      <c r="A2136" t="s">
        <v>1297</v>
      </c>
      <c r="B2136" t="s">
        <v>1298</v>
      </c>
      <c r="C2136" t="s">
        <v>670</v>
      </c>
      <c r="D2136" t="s">
        <v>1341</v>
      </c>
      <c r="E2136" t="s">
        <v>187</v>
      </c>
      <c r="F2136">
        <v>2020</v>
      </c>
      <c r="G2136">
        <v>181.84967800000001</v>
      </c>
    </row>
    <row r="2137" spans="1:7">
      <c r="A2137" t="s">
        <v>1297</v>
      </c>
      <c r="B2137" t="s">
        <v>1298</v>
      </c>
      <c r="C2137" t="s">
        <v>674</v>
      </c>
      <c r="D2137" t="s">
        <v>1341</v>
      </c>
      <c r="E2137" t="s">
        <v>187</v>
      </c>
      <c r="F2137">
        <v>2005</v>
      </c>
      <c r="G2137">
        <v>339.42306600000001</v>
      </c>
    </row>
    <row r="2138" spans="1:7">
      <c r="A2138" t="s">
        <v>1297</v>
      </c>
      <c r="B2138" t="s">
        <v>1298</v>
      </c>
      <c r="C2138" t="s">
        <v>674</v>
      </c>
      <c r="D2138" t="s">
        <v>1341</v>
      </c>
      <c r="E2138" t="s">
        <v>187</v>
      </c>
      <c r="F2138">
        <v>2010</v>
      </c>
      <c r="G2138">
        <v>440.377925</v>
      </c>
    </row>
    <row r="2139" spans="1:7">
      <c r="A2139" t="s">
        <v>1297</v>
      </c>
      <c r="B2139" t="s">
        <v>1298</v>
      </c>
      <c r="C2139" t="s">
        <v>674</v>
      </c>
      <c r="D2139" t="s">
        <v>1341</v>
      </c>
      <c r="E2139" t="s">
        <v>187</v>
      </c>
      <c r="F2139">
        <v>2012</v>
      </c>
      <c r="G2139">
        <v>438.45113700000002</v>
      </c>
    </row>
    <row r="2140" spans="1:7">
      <c r="A2140" t="s">
        <v>1297</v>
      </c>
      <c r="B2140" t="s">
        <v>1298</v>
      </c>
      <c r="C2140" t="s">
        <v>674</v>
      </c>
      <c r="D2140" t="s">
        <v>1341</v>
      </c>
      <c r="E2140" t="s">
        <v>187</v>
      </c>
      <c r="F2140">
        <v>2016</v>
      </c>
      <c r="G2140">
        <v>442.53790400000003</v>
      </c>
    </row>
    <row r="2141" spans="1:7">
      <c r="A2141" t="s">
        <v>1297</v>
      </c>
      <c r="B2141" t="s">
        <v>1298</v>
      </c>
      <c r="C2141" t="s">
        <v>674</v>
      </c>
      <c r="D2141" t="s">
        <v>1341</v>
      </c>
      <c r="E2141" t="s">
        <v>187</v>
      </c>
      <c r="F2141">
        <v>2020</v>
      </c>
      <c r="G2141">
        <v>456.97639800000002</v>
      </c>
    </row>
    <row r="2142" spans="1:7">
      <c r="A2142" t="s">
        <v>1297</v>
      </c>
      <c r="B2142" t="s">
        <v>1298</v>
      </c>
      <c r="C2142" t="s">
        <v>665</v>
      </c>
      <c r="D2142" t="s">
        <v>1341</v>
      </c>
      <c r="E2142" t="s">
        <v>187</v>
      </c>
      <c r="F2142">
        <v>2005</v>
      </c>
      <c r="G2142">
        <v>217.905</v>
      </c>
    </row>
    <row r="2143" spans="1:7">
      <c r="A2143" t="s">
        <v>1297</v>
      </c>
      <c r="B2143" t="s">
        <v>1298</v>
      </c>
      <c r="C2143" t="s">
        <v>665</v>
      </c>
      <c r="D2143" t="s">
        <v>1341</v>
      </c>
      <c r="E2143" t="s">
        <v>187</v>
      </c>
      <c r="F2143">
        <v>2010</v>
      </c>
      <c r="G2143">
        <v>382.71738900000003</v>
      </c>
    </row>
    <row r="2144" spans="1:7">
      <c r="A2144" t="s">
        <v>1297</v>
      </c>
      <c r="B2144" t="s">
        <v>1298</v>
      </c>
      <c r="C2144" t="s">
        <v>665</v>
      </c>
      <c r="D2144" t="s">
        <v>1341</v>
      </c>
      <c r="E2144" t="s">
        <v>187</v>
      </c>
      <c r="F2144">
        <v>2012</v>
      </c>
      <c r="G2144">
        <v>402.62771600000002</v>
      </c>
    </row>
    <row r="2145" spans="1:7">
      <c r="A2145" t="s">
        <v>1297</v>
      </c>
      <c r="B2145" t="s">
        <v>1298</v>
      </c>
      <c r="C2145" t="s">
        <v>665</v>
      </c>
      <c r="D2145" t="s">
        <v>1341</v>
      </c>
      <c r="E2145" t="s">
        <v>187</v>
      </c>
      <c r="F2145">
        <v>2016</v>
      </c>
      <c r="G2145">
        <v>449.15407499999998</v>
      </c>
    </row>
    <row r="2146" spans="1:7">
      <c r="A2146" t="s">
        <v>1297</v>
      </c>
      <c r="B2146" t="s">
        <v>1298</v>
      </c>
      <c r="C2146" t="s">
        <v>665</v>
      </c>
      <c r="D2146" t="s">
        <v>1341</v>
      </c>
      <c r="E2146" t="s">
        <v>187</v>
      </c>
      <c r="F2146">
        <v>2020</v>
      </c>
      <c r="G2146">
        <v>469.30871500000001</v>
      </c>
    </row>
    <row r="2147" spans="1:7">
      <c r="A2147" t="s">
        <v>1297</v>
      </c>
      <c r="B2147" t="s">
        <v>1298</v>
      </c>
      <c r="C2147" t="s">
        <v>667</v>
      </c>
      <c r="D2147" t="s">
        <v>1341</v>
      </c>
      <c r="E2147" t="s">
        <v>187</v>
      </c>
      <c r="F2147">
        <v>2005</v>
      </c>
      <c r="G2147">
        <v>2.3968389999999999</v>
      </c>
    </row>
    <row r="2148" spans="1:7">
      <c r="A2148" t="s">
        <v>1297</v>
      </c>
      <c r="B2148" t="s">
        <v>1298</v>
      </c>
      <c r="C2148" t="s">
        <v>667</v>
      </c>
      <c r="D2148" t="s">
        <v>1341</v>
      </c>
      <c r="E2148" t="s">
        <v>187</v>
      </c>
      <c r="F2148">
        <v>2010</v>
      </c>
      <c r="G2148">
        <v>2.963562</v>
      </c>
    </row>
    <row r="2149" spans="1:7">
      <c r="A2149" t="s">
        <v>1297</v>
      </c>
      <c r="B2149" t="s">
        <v>1298</v>
      </c>
      <c r="C2149" t="s">
        <v>667</v>
      </c>
      <c r="D2149" t="s">
        <v>1341</v>
      </c>
      <c r="E2149" t="s">
        <v>187</v>
      </c>
      <c r="F2149">
        <v>2012</v>
      </c>
      <c r="G2149">
        <v>2.964998</v>
      </c>
    </row>
    <row r="2150" spans="1:7">
      <c r="A2150" t="s">
        <v>1297</v>
      </c>
      <c r="B2150" t="s">
        <v>1298</v>
      </c>
      <c r="C2150" t="s">
        <v>667</v>
      </c>
      <c r="D2150" t="s">
        <v>1341</v>
      </c>
      <c r="E2150" t="s">
        <v>187</v>
      </c>
      <c r="F2150">
        <v>2016</v>
      </c>
      <c r="G2150">
        <v>4.0090589999999997</v>
      </c>
    </row>
    <row r="2151" spans="1:7">
      <c r="A2151" t="s">
        <v>1297</v>
      </c>
      <c r="B2151" t="s">
        <v>1298</v>
      </c>
      <c r="C2151" t="s">
        <v>667</v>
      </c>
      <c r="D2151" t="s">
        <v>1341</v>
      </c>
      <c r="E2151" t="s">
        <v>187</v>
      </c>
      <c r="F2151">
        <v>2020</v>
      </c>
      <c r="G2151">
        <v>6.1059910000000004</v>
      </c>
    </row>
    <row r="2152" spans="1:7">
      <c r="A2152" t="s">
        <v>1297</v>
      </c>
      <c r="B2152" t="s">
        <v>1298</v>
      </c>
      <c r="C2152" t="s">
        <v>685</v>
      </c>
      <c r="D2152" t="s">
        <v>1341</v>
      </c>
      <c r="E2152" t="s">
        <v>187</v>
      </c>
      <c r="F2152">
        <v>2005</v>
      </c>
      <c r="G2152">
        <v>8.5760000000000005</v>
      </c>
    </row>
    <row r="2153" spans="1:7">
      <c r="A2153" t="s">
        <v>1297</v>
      </c>
      <c r="B2153" t="s">
        <v>1298</v>
      </c>
      <c r="C2153" t="s">
        <v>685</v>
      </c>
      <c r="D2153" t="s">
        <v>1341</v>
      </c>
      <c r="E2153" t="s">
        <v>187</v>
      </c>
      <c r="F2153">
        <v>2010</v>
      </c>
      <c r="G2153">
        <v>8.0669629999999994</v>
      </c>
    </row>
    <row r="2154" spans="1:7">
      <c r="A2154" t="s">
        <v>1297</v>
      </c>
      <c r="B2154" t="s">
        <v>1298</v>
      </c>
      <c r="C2154" t="s">
        <v>685</v>
      </c>
      <c r="D2154" t="s">
        <v>1341</v>
      </c>
      <c r="E2154" t="s">
        <v>187</v>
      </c>
      <c r="F2154">
        <v>2012</v>
      </c>
      <c r="G2154">
        <v>8.9977079999999994</v>
      </c>
    </row>
    <row r="2155" spans="1:7">
      <c r="A2155" t="s">
        <v>1297</v>
      </c>
      <c r="B2155" t="s">
        <v>1298</v>
      </c>
      <c r="C2155" t="s">
        <v>685</v>
      </c>
      <c r="D2155" t="s">
        <v>1341</v>
      </c>
      <c r="E2155" t="s">
        <v>187</v>
      </c>
      <c r="F2155">
        <v>2016</v>
      </c>
      <c r="G2155">
        <v>8.1619530000000005</v>
      </c>
    </row>
    <row r="2156" spans="1:7">
      <c r="A2156" t="s">
        <v>1297</v>
      </c>
      <c r="B2156" t="s">
        <v>1298</v>
      </c>
      <c r="C2156" t="s">
        <v>685</v>
      </c>
      <c r="D2156" t="s">
        <v>1341</v>
      </c>
      <c r="E2156" t="s">
        <v>187</v>
      </c>
      <c r="F2156">
        <v>2020</v>
      </c>
      <c r="G2156">
        <v>6.9931999999999999</v>
      </c>
    </row>
    <row r="2157" spans="1:7">
      <c r="A2157" t="s">
        <v>1297</v>
      </c>
      <c r="B2157" t="s">
        <v>1298</v>
      </c>
      <c r="C2157" t="s">
        <v>679</v>
      </c>
      <c r="D2157" t="s">
        <v>1341</v>
      </c>
      <c r="E2157" t="s">
        <v>187</v>
      </c>
      <c r="F2157">
        <v>2005</v>
      </c>
      <c r="G2157">
        <v>52.151000000000003</v>
      </c>
    </row>
    <row r="2158" spans="1:7">
      <c r="A2158" t="s">
        <v>1297</v>
      </c>
      <c r="B2158" t="s">
        <v>1298</v>
      </c>
      <c r="C2158" t="s">
        <v>679</v>
      </c>
      <c r="D2158" t="s">
        <v>1341</v>
      </c>
      <c r="E2158" t="s">
        <v>187</v>
      </c>
      <c r="F2158">
        <v>2010</v>
      </c>
      <c r="G2158">
        <v>56.705500000000001</v>
      </c>
    </row>
    <row r="2159" spans="1:7">
      <c r="A2159" t="s">
        <v>1297</v>
      </c>
      <c r="B2159" t="s">
        <v>1298</v>
      </c>
      <c r="C2159" t="s">
        <v>679</v>
      </c>
      <c r="D2159" t="s">
        <v>1341</v>
      </c>
      <c r="E2159" t="s">
        <v>187</v>
      </c>
      <c r="F2159">
        <v>2012</v>
      </c>
      <c r="G2159">
        <v>54.901499999999999</v>
      </c>
    </row>
    <row r="2160" spans="1:7">
      <c r="A2160" t="s">
        <v>1297</v>
      </c>
      <c r="B2160" t="s">
        <v>1298</v>
      </c>
      <c r="C2160" t="s">
        <v>679</v>
      </c>
      <c r="D2160" t="s">
        <v>1341</v>
      </c>
      <c r="E2160" t="s">
        <v>187</v>
      </c>
      <c r="F2160">
        <v>2016</v>
      </c>
      <c r="G2160">
        <v>47.037999999999997</v>
      </c>
    </row>
    <row r="2161" spans="1:7">
      <c r="A2161" t="s">
        <v>1297</v>
      </c>
      <c r="B2161" t="s">
        <v>1298</v>
      </c>
      <c r="C2161" t="s">
        <v>679</v>
      </c>
      <c r="D2161" t="s">
        <v>1341</v>
      </c>
      <c r="E2161" t="s">
        <v>187</v>
      </c>
      <c r="F2161">
        <v>2020</v>
      </c>
      <c r="G2161">
        <v>54.037407999999999</v>
      </c>
    </row>
    <row r="2162" spans="1:7">
      <c r="A2162" t="s">
        <v>1297</v>
      </c>
      <c r="B2162" t="s">
        <v>1298</v>
      </c>
      <c r="C2162" t="s">
        <v>1302</v>
      </c>
      <c r="D2162" t="s">
        <v>1341</v>
      </c>
      <c r="E2162" t="s">
        <v>187</v>
      </c>
      <c r="F2162">
        <v>2005</v>
      </c>
      <c r="G2162">
        <v>6.9669999999999996</v>
      </c>
    </row>
    <row r="2163" spans="1:7">
      <c r="A2163" t="s">
        <v>1297</v>
      </c>
      <c r="B2163" t="s">
        <v>1298</v>
      </c>
      <c r="C2163" t="s">
        <v>1302</v>
      </c>
      <c r="D2163" t="s">
        <v>1341</v>
      </c>
      <c r="E2163" t="s">
        <v>187</v>
      </c>
      <c r="F2163">
        <v>2010</v>
      </c>
      <c r="G2163">
        <v>9.8439999999999994</v>
      </c>
    </row>
    <row r="2164" spans="1:7">
      <c r="A2164" t="s">
        <v>1297</v>
      </c>
      <c r="B2164" t="s">
        <v>1298</v>
      </c>
      <c r="C2164" t="s">
        <v>1302</v>
      </c>
      <c r="D2164" t="s">
        <v>1341</v>
      </c>
      <c r="E2164" t="s">
        <v>187</v>
      </c>
      <c r="F2164">
        <v>2012</v>
      </c>
      <c r="G2164">
        <v>10.234999999999999</v>
      </c>
    </row>
    <row r="2165" spans="1:7">
      <c r="A2165" t="s">
        <v>1297</v>
      </c>
      <c r="B2165" t="s">
        <v>1298</v>
      </c>
      <c r="C2165" t="s">
        <v>1302</v>
      </c>
      <c r="D2165" t="s">
        <v>1341</v>
      </c>
      <c r="E2165" t="s">
        <v>187</v>
      </c>
      <c r="F2165">
        <v>2016</v>
      </c>
      <c r="G2165">
        <v>14.823</v>
      </c>
    </row>
    <row r="2166" spans="1:7">
      <c r="A2166" t="s">
        <v>1297</v>
      </c>
      <c r="B2166" t="s">
        <v>1298</v>
      </c>
      <c r="C2166" t="s">
        <v>1302</v>
      </c>
      <c r="D2166" t="s">
        <v>1341</v>
      </c>
      <c r="E2166" t="s">
        <v>187</v>
      </c>
      <c r="F2166">
        <v>2020</v>
      </c>
      <c r="G2166">
        <v>13.364459</v>
      </c>
    </row>
    <row r="2167" spans="1:7">
      <c r="A2167" t="s">
        <v>1297</v>
      </c>
      <c r="B2167" t="s">
        <v>1298</v>
      </c>
      <c r="C2167" t="s">
        <v>1300</v>
      </c>
      <c r="D2167" t="s">
        <v>1341</v>
      </c>
      <c r="E2167" t="s">
        <v>187</v>
      </c>
      <c r="F2167">
        <v>2010</v>
      </c>
      <c r="G2167">
        <v>21.158000000000001</v>
      </c>
    </row>
    <row r="2168" spans="1:7">
      <c r="A2168" t="s">
        <v>1297</v>
      </c>
      <c r="B2168" t="s">
        <v>1298</v>
      </c>
      <c r="C2168" t="s">
        <v>1300</v>
      </c>
      <c r="D2168" t="s">
        <v>1341</v>
      </c>
      <c r="E2168" t="s">
        <v>187</v>
      </c>
      <c r="F2168">
        <v>2012</v>
      </c>
      <c r="G2168">
        <v>24.285</v>
      </c>
    </row>
    <row r="2169" spans="1:7">
      <c r="A2169" t="s">
        <v>1297</v>
      </c>
      <c r="B2169" t="s">
        <v>1298</v>
      </c>
      <c r="C2169" t="s">
        <v>1300</v>
      </c>
      <c r="D2169" t="s">
        <v>1341</v>
      </c>
      <c r="E2169" t="s">
        <v>187</v>
      </c>
      <c r="F2169">
        <v>2016</v>
      </c>
      <c r="G2169">
        <v>29.149000000000001</v>
      </c>
    </row>
    <row r="2170" spans="1:7">
      <c r="A2170" t="s">
        <v>1297</v>
      </c>
      <c r="B2170" t="s">
        <v>1298</v>
      </c>
      <c r="C2170" t="s">
        <v>1300</v>
      </c>
      <c r="D2170" t="s">
        <v>1341</v>
      </c>
      <c r="E2170" t="s">
        <v>187</v>
      </c>
      <c r="F2170">
        <v>2020</v>
      </c>
      <c r="G2170">
        <v>27.346</v>
      </c>
    </row>
    <row r="2171" spans="1:7">
      <c r="A2171" t="s">
        <v>1297</v>
      </c>
      <c r="B2171" t="s">
        <v>1298</v>
      </c>
      <c r="C2171" t="s">
        <v>1301</v>
      </c>
      <c r="D2171" t="s">
        <v>1341</v>
      </c>
      <c r="E2171" t="s">
        <v>187</v>
      </c>
      <c r="F2171">
        <v>2005</v>
      </c>
      <c r="G2171">
        <v>223.24199999999999</v>
      </c>
    </row>
    <row r="2172" spans="1:7">
      <c r="A2172" t="s">
        <v>1297</v>
      </c>
      <c r="B2172" t="s">
        <v>1298</v>
      </c>
      <c r="C2172" t="s">
        <v>1301</v>
      </c>
      <c r="D2172" t="s">
        <v>1341</v>
      </c>
      <c r="E2172" t="s">
        <v>187</v>
      </c>
      <c r="F2172">
        <v>2010</v>
      </c>
      <c r="G2172">
        <v>189.43041600000001</v>
      </c>
    </row>
    <row r="2173" spans="1:7">
      <c r="A2173" t="s">
        <v>1297</v>
      </c>
      <c r="B2173" t="s">
        <v>1298</v>
      </c>
      <c r="C2173" t="s">
        <v>1301</v>
      </c>
      <c r="D2173" t="s">
        <v>1341</v>
      </c>
      <c r="E2173" t="s">
        <v>187</v>
      </c>
      <c r="F2173">
        <v>2012</v>
      </c>
      <c r="G2173">
        <v>151.40373700000001</v>
      </c>
    </row>
    <row r="2174" spans="1:7">
      <c r="A2174" t="s">
        <v>1297</v>
      </c>
      <c r="B2174" t="s">
        <v>1298</v>
      </c>
      <c r="C2174" t="s">
        <v>1301</v>
      </c>
      <c r="D2174" t="s">
        <v>1341</v>
      </c>
      <c r="E2174" t="s">
        <v>187</v>
      </c>
      <c r="F2174">
        <v>2016</v>
      </c>
      <c r="G2174">
        <v>128.55994799999999</v>
      </c>
    </row>
    <row r="2175" spans="1:7">
      <c r="A2175" t="s">
        <v>1297</v>
      </c>
      <c r="B2175" t="s">
        <v>1298</v>
      </c>
      <c r="C2175" t="s">
        <v>660</v>
      </c>
      <c r="D2175" t="s">
        <v>1341</v>
      </c>
      <c r="E2175" t="s">
        <v>187</v>
      </c>
      <c r="F2175">
        <v>2005</v>
      </c>
      <c r="G2175">
        <v>291.53699999999998</v>
      </c>
    </row>
    <row r="2176" spans="1:7">
      <c r="A2176" t="s">
        <v>1297</v>
      </c>
      <c r="B2176" t="s">
        <v>1298</v>
      </c>
      <c r="C2176" t="s">
        <v>660</v>
      </c>
      <c r="D2176" t="s">
        <v>1341</v>
      </c>
      <c r="E2176" t="s">
        <v>187</v>
      </c>
      <c r="F2176">
        <v>2010</v>
      </c>
      <c r="G2176">
        <v>344.817588</v>
      </c>
    </row>
    <row r="2177" spans="1:7">
      <c r="A2177" t="s">
        <v>1297</v>
      </c>
      <c r="B2177" t="s">
        <v>1298</v>
      </c>
      <c r="C2177" t="s">
        <v>660</v>
      </c>
      <c r="D2177" t="s">
        <v>1341</v>
      </c>
      <c r="E2177" t="s">
        <v>187</v>
      </c>
      <c r="F2177">
        <v>2012</v>
      </c>
      <c r="G2177">
        <v>353.47786400000001</v>
      </c>
    </row>
    <row r="2178" spans="1:7">
      <c r="A2178" t="s">
        <v>1297</v>
      </c>
      <c r="B2178" t="s">
        <v>1298</v>
      </c>
      <c r="C2178" t="s">
        <v>660</v>
      </c>
      <c r="D2178" t="s">
        <v>1341</v>
      </c>
      <c r="E2178" t="s">
        <v>187</v>
      </c>
      <c r="F2178">
        <v>2016</v>
      </c>
      <c r="G2178">
        <v>373.16357199999999</v>
      </c>
    </row>
    <row r="2179" spans="1:7">
      <c r="A2179" t="s">
        <v>1297</v>
      </c>
      <c r="B2179" t="s">
        <v>1298</v>
      </c>
      <c r="C2179" t="s">
        <v>660</v>
      </c>
      <c r="D2179" t="s">
        <v>1341</v>
      </c>
      <c r="E2179" t="s">
        <v>187</v>
      </c>
      <c r="F2179">
        <v>2020</v>
      </c>
      <c r="G2179">
        <v>414.33218599999998</v>
      </c>
    </row>
    <row r="2180" spans="1:7">
      <c r="A2180" t="s">
        <v>1297</v>
      </c>
      <c r="B2180" t="s">
        <v>1298</v>
      </c>
      <c r="C2180" t="s">
        <v>662</v>
      </c>
      <c r="D2180" t="s">
        <v>1341</v>
      </c>
      <c r="E2180" t="s">
        <v>187</v>
      </c>
      <c r="F2180">
        <v>2005</v>
      </c>
      <c r="G2180">
        <v>41.445</v>
      </c>
    </row>
    <row r="2181" spans="1:7">
      <c r="A2181" t="s">
        <v>1297</v>
      </c>
      <c r="B2181" t="s">
        <v>1298</v>
      </c>
      <c r="C2181" t="s">
        <v>662</v>
      </c>
      <c r="D2181" t="s">
        <v>1341</v>
      </c>
      <c r="E2181" t="s">
        <v>187</v>
      </c>
      <c r="F2181">
        <v>2010</v>
      </c>
      <c r="G2181">
        <v>37.125520000000002</v>
      </c>
    </row>
    <row r="2182" spans="1:7">
      <c r="A2182" t="s">
        <v>1297</v>
      </c>
      <c r="B2182" t="s">
        <v>1298</v>
      </c>
      <c r="C2182" t="s">
        <v>662</v>
      </c>
      <c r="D2182" t="s">
        <v>1341</v>
      </c>
      <c r="E2182" t="s">
        <v>187</v>
      </c>
      <c r="F2182">
        <v>2012</v>
      </c>
      <c r="G2182">
        <v>50.792259999999999</v>
      </c>
    </row>
    <row r="2183" spans="1:7">
      <c r="A2183" t="s">
        <v>1297</v>
      </c>
      <c r="B2183" t="s">
        <v>1298</v>
      </c>
      <c r="C2183" t="s">
        <v>662</v>
      </c>
      <c r="D2183" t="s">
        <v>1341</v>
      </c>
      <c r="E2183" t="s">
        <v>187</v>
      </c>
      <c r="F2183">
        <v>2016</v>
      </c>
      <c r="G2183">
        <v>43.435051000000001</v>
      </c>
    </row>
    <row r="2184" spans="1:7">
      <c r="A2184" t="s">
        <v>1297</v>
      </c>
      <c r="B2184" t="s">
        <v>1298</v>
      </c>
      <c r="C2184" t="s">
        <v>662</v>
      </c>
      <c r="D2184" t="s">
        <v>1341</v>
      </c>
      <c r="E2184" t="s">
        <v>187</v>
      </c>
      <c r="F2184">
        <v>2020</v>
      </c>
      <c r="G2184">
        <v>45.055112000000001</v>
      </c>
    </row>
    <row r="2185" spans="1:7">
      <c r="A2185" t="s">
        <v>1297</v>
      </c>
      <c r="B2185" t="s">
        <v>1298</v>
      </c>
      <c r="C2185" t="s">
        <v>684</v>
      </c>
      <c r="D2185" t="s">
        <v>1341</v>
      </c>
      <c r="E2185" t="s">
        <v>187</v>
      </c>
      <c r="F2185">
        <v>2005</v>
      </c>
      <c r="G2185">
        <v>6.0960000000000001</v>
      </c>
    </row>
    <row r="2186" spans="1:7">
      <c r="A2186" t="s">
        <v>1297</v>
      </c>
      <c r="B2186" t="s">
        <v>1298</v>
      </c>
      <c r="C2186" t="s">
        <v>684</v>
      </c>
      <c r="D2186" t="s">
        <v>1341</v>
      </c>
      <c r="E2186" t="s">
        <v>187</v>
      </c>
      <c r="F2186">
        <v>2010</v>
      </c>
      <c r="G2186">
        <v>6.8209999999999997</v>
      </c>
    </row>
    <row r="2187" spans="1:7">
      <c r="A2187" t="s">
        <v>1297</v>
      </c>
      <c r="B2187" t="s">
        <v>1298</v>
      </c>
      <c r="C2187" t="s">
        <v>684</v>
      </c>
      <c r="D2187" t="s">
        <v>1341</v>
      </c>
      <c r="E2187" t="s">
        <v>187</v>
      </c>
      <c r="F2187">
        <v>2012</v>
      </c>
      <c r="G2187">
        <v>7.6760000000000002</v>
      </c>
    </row>
    <row r="2188" spans="1:7">
      <c r="A2188" t="s">
        <v>1297</v>
      </c>
      <c r="B2188" t="s">
        <v>1298</v>
      </c>
      <c r="C2188" t="s">
        <v>684</v>
      </c>
      <c r="D2188" t="s">
        <v>1341</v>
      </c>
      <c r="E2188" t="s">
        <v>187</v>
      </c>
      <c r="F2188">
        <v>2016</v>
      </c>
      <c r="G2188">
        <v>7.8239999999999998</v>
      </c>
    </row>
    <row r="2189" spans="1:7">
      <c r="A2189" t="s">
        <v>1297</v>
      </c>
      <c r="B2189" t="s">
        <v>1298</v>
      </c>
      <c r="C2189" t="s">
        <v>684</v>
      </c>
      <c r="D2189" t="s">
        <v>1341</v>
      </c>
      <c r="E2189" t="s">
        <v>187</v>
      </c>
      <c r="F2189">
        <v>2020</v>
      </c>
      <c r="G2189">
        <v>7.27</v>
      </c>
    </row>
    <row r="2190" spans="1:7">
      <c r="A2190" t="s">
        <v>1297</v>
      </c>
      <c r="B2190" t="s">
        <v>1298</v>
      </c>
      <c r="C2190" t="s">
        <v>669</v>
      </c>
      <c r="D2190" t="s">
        <v>1341</v>
      </c>
      <c r="E2190" t="s">
        <v>187</v>
      </c>
      <c r="F2190">
        <v>2010</v>
      </c>
      <c r="G2190">
        <v>2.8570000000000002E-2</v>
      </c>
    </row>
    <row r="2191" spans="1:7">
      <c r="A2191" t="s">
        <v>1297</v>
      </c>
      <c r="B2191" t="s">
        <v>1298</v>
      </c>
      <c r="C2191" t="s">
        <v>669</v>
      </c>
      <c r="D2191" t="s">
        <v>1341</v>
      </c>
      <c r="E2191" t="s">
        <v>187</v>
      </c>
      <c r="F2191">
        <v>2012</v>
      </c>
      <c r="G2191">
        <v>0.13395899999999999</v>
      </c>
    </row>
    <row r="2192" spans="1:7">
      <c r="A2192" t="s">
        <v>1297</v>
      </c>
      <c r="B2192" t="s">
        <v>1298</v>
      </c>
      <c r="C2192" t="s">
        <v>653</v>
      </c>
      <c r="D2192" t="s">
        <v>1341</v>
      </c>
      <c r="E2192" t="s">
        <v>187</v>
      </c>
      <c r="F2192">
        <v>2005</v>
      </c>
      <c r="G2192">
        <v>30.05</v>
      </c>
    </row>
    <row r="2193" spans="1:7">
      <c r="A2193" t="s">
        <v>1297</v>
      </c>
      <c r="B2193" t="s">
        <v>1298</v>
      </c>
      <c r="C2193" t="s">
        <v>653</v>
      </c>
      <c r="D2193" t="s">
        <v>1341</v>
      </c>
      <c r="E2193" t="s">
        <v>187</v>
      </c>
      <c r="F2193">
        <v>2010</v>
      </c>
      <c r="G2193">
        <v>40.205361000000003</v>
      </c>
    </row>
    <row r="2194" spans="1:7">
      <c r="A2194" t="s">
        <v>1297</v>
      </c>
      <c r="B2194" t="s">
        <v>1298</v>
      </c>
      <c r="C2194" t="s">
        <v>653</v>
      </c>
      <c r="D2194" t="s">
        <v>1341</v>
      </c>
      <c r="E2194" t="s">
        <v>187</v>
      </c>
      <c r="F2194">
        <v>2012</v>
      </c>
      <c r="G2194">
        <v>46.931323999999996</v>
      </c>
    </row>
    <row r="2195" spans="1:7">
      <c r="A2195" t="s">
        <v>1297</v>
      </c>
      <c r="B2195" t="s">
        <v>1298</v>
      </c>
      <c r="C2195" t="s">
        <v>653</v>
      </c>
      <c r="D2195" t="s">
        <v>1341</v>
      </c>
      <c r="E2195" t="s">
        <v>187</v>
      </c>
      <c r="F2195">
        <v>2016</v>
      </c>
      <c r="G2195">
        <v>53.701493999999997</v>
      </c>
    </row>
    <row r="2196" spans="1:7">
      <c r="A2196" t="s">
        <v>1297</v>
      </c>
      <c r="B2196" t="s">
        <v>1298</v>
      </c>
      <c r="C2196" t="s">
        <v>653</v>
      </c>
      <c r="D2196" t="s">
        <v>1341</v>
      </c>
      <c r="E2196" t="s">
        <v>187</v>
      </c>
      <c r="F2196">
        <v>2020</v>
      </c>
      <c r="G2196">
        <v>79.353997000000007</v>
      </c>
    </row>
    <row r="2197" spans="1:7">
      <c r="A2197" t="s">
        <v>1297</v>
      </c>
      <c r="B2197" t="s">
        <v>1298</v>
      </c>
      <c r="C2197" t="s">
        <v>668</v>
      </c>
      <c r="D2197" t="s">
        <v>1341</v>
      </c>
      <c r="E2197" t="s">
        <v>187</v>
      </c>
      <c r="F2197">
        <v>2005</v>
      </c>
      <c r="G2197">
        <v>65.470119999999994</v>
      </c>
    </row>
    <row r="2198" spans="1:7">
      <c r="A2198" t="s">
        <v>1297</v>
      </c>
      <c r="B2198" t="s">
        <v>1298</v>
      </c>
      <c r="C2198" t="s">
        <v>668</v>
      </c>
      <c r="D2198" t="s">
        <v>1341</v>
      </c>
      <c r="E2198" t="s">
        <v>187</v>
      </c>
      <c r="F2198">
        <v>2010</v>
      </c>
      <c r="G2198">
        <v>69.394833000000006</v>
      </c>
    </row>
    <row r="2199" spans="1:7">
      <c r="A2199" t="s">
        <v>1297</v>
      </c>
      <c r="B2199" t="s">
        <v>1298</v>
      </c>
      <c r="C2199" t="s">
        <v>668</v>
      </c>
      <c r="D2199" t="s">
        <v>1341</v>
      </c>
      <c r="E2199" t="s">
        <v>187</v>
      </c>
      <c r="F2199">
        <v>2012</v>
      </c>
      <c r="G2199">
        <v>83.853774999999999</v>
      </c>
    </row>
    <row r="2200" spans="1:7">
      <c r="A2200" t="s">
        <v>1297</v>
      </c>
      <c r="B2200" t="s">
        <v>1298</v>
      </c>
      <c r="C2200" t="s">
        <v>668</v>
      </c>
      <c r="D2200" t="s">
        <v>1341</v>
      </c>
      <c r="E2200" t="s">
        <v>187</v>
      </c>
      <c r="F2200">
        <v>2016</v>
      </c>
      <c r="G2200">
        <v>92.479033999999999</v>
      </c>
    </row>
    <row r="2201" spans="1:7">
      <c r="A2201" t="s">
        <v>1297</v>
      </c>
      <c r="B2201" t="s">
        <v>1298</v>
      </c>
      <c r="C2201" t="s">
        <v>668</v>
      </c>
      <c r="D2201" t="s">
        <v>1341</v>
      </c>
      <c r="E2201" t="s">
        <v>187</v>
      </c>
      <c r="F2201">
        <v>2020</v>
      </c>
      <c r="G2201">
        <v>109.576307</v>
      </c>
    </row>
    <row r="2202" spans="1:7">
      <c r="A2202" t="s">
        <v>1297</v>
      </c>
      <c r="B2202" t="s">
        <v>1298</v>
      </c>
      <c r="C2202" t="s">
        <v>658</v>
      </c>
      <c r="D2202" t="s">
        <v>1341</v>
      </c>
      <c r="E2202" t="s">
        <v>187</v>
      </c>
      <c r="F2202">
        <v>2005</v>
      </c>
      <c r="G2202">
        <v>28.707999999999998</v>
      </c>
    </row>
    <row r="2203" spans="1:7">
      <c r="A2203" t="s">
        <v>1297</v>
      </c>
      <c r="B2203" t="s">
        <v>1298</v>
      </c>
      <c r="C2203" t="s">
        <v>658</v>
      </c>
      <c r="D2203" t="s">
        <v>1341</v>
      </c>
      <c r="E2203" t="s">
        <v>187</v>
      </c>
      <c r="F2203">
        <v>2010</v>
      </c>
      <c r="G2203">
        <v>40.250999999999998</v>
      </c>
    </row>
    <row r="2204" spans="1:7">
      <c r="A2204" t="s">
        <v>1297</v>
      </c>
      <c r="B2204" t="s">
        <v>1298</v>
      </c>
      <c r="C2204" t="s">
        <v>658</v>
      </c>
      <c r="D2204" t="s">
        <v>1341</v>
      </c>
      <c r="E2204" t="s">
        <v>187</v>
      </c>
      <c r="F2204">
        <v>2012</v>
      </c>
      <c r="G2204">
        <v>42.512999999999998</v>
      </c>
    </row>
    <row r="2205" spans="1:7">
      <c r="A2205" t="s">
        <v>1297</v>
      </c>
      <c r="B2205" t="s">
        <v>1298</v>
      </c>
      <c r="C2205" t="s">
        <v>658</v>
      </c>
      <c r="D2205" t="s">
        <v>1341</v>
      </c>
      <c r="E2205" t="s">
        <v>187</v>
      </c>
      <c r="F2205">
        <v>2016</v>
      </c>
      <c r="G2205">
        <v>60.161999999999999</v>
      </c>
    </row>
    <row r="2206" spans="1:7">
      <c r="A2206" t="s">
        <v>1297</v>
      </c>
      <c r="B2206" t="s">
        <v>1298</v>
      </c>
      <c r="C2206" t="s">
        <v>658</v>
      </c>
      <c r="D2206" t="s">
        <v>1341</v>
      </c>
      <c r="E2206" t="s">
        <v>187</v>
      </c>
      <c r="F2206">
        <v>2020</v>
      </c>
      <c r="G2206">
        <v>75.293845000000005</v>
      </c>
    </row>
    <row r="2207" spans="1:7">
      <c r="A2207" t="s">
        <v>1297</v>
      </c>
      <c r="B2207" t="s">
        <v>1298</v>
      </c>
      <c r="C2207" t="s">
        <v>673</v>
      </c>
      <c r="D2207" t="s">
        <v>1341</v>
      </c>
      <c r="E2207" t="s">
        <v>187</v>
      </c>
      <c r="F2207">
        <v>2005</v>
      </c>
      <c r="G2207">
        <v>135.18600000000001</v>
      </c>
    </row>
    <row r="2208" spans="1:7">
      <c r="A2208" t="s">
        <v>1297</v>
      </c>
      <c r="B2208" t="s">
        <v>1298</v>
      </c>
      <c r="C2208" t="s">
        <v>673</v>
      </c>
      <c r="D2208" t="s">
        <v>1341</v>
      </c>
      <c r="E2208" t="s">
        <v>187</v>
      </c>
      <c r="F2208">
        <v>2010</v>
      </c>
      <c r="G2208">
        <v>165.35184899999999</v>
      </c>
    </row>
    <row r="2209" spans="1:7">
      <c r="A2209" t="s">
        <v>1297</v>
      </c>
      <c r="B2209" t="s">
        <v>1298</v>
      </c>
      <c r="C2209" t="s">
        <v>673</v>
      </c>
      <c r="D2209" t="s">
        <v>1341</v>
      </c>
      <c r="E2209" t="s">
        <v>187</v>
      </c>
      <c r="F2209">
        <v>2012</v>
      </c>
      <c r="G2209">
        <v>165.532793</v>
      </c>
    </row>
    <row r="2210" spans="1:7">
      <c r="A2210" t="s">
        <v>1297</v>
      </c>
      <c r="B2210" t="s">
        <v>1298</v>
      </c>
      <c r="C2210" t="s">
        <v>673</v>
      </c>
      <c r="D2210" t="s">
        <v>1341</v>
      </c>
      <c r="E2210" t="s">
        <v>187</v>
      </c>
      <c r="F2210">
        <v>2016</v>
      </c>
      <c r="G2210">
        <v>158.50231400000001</v>
      </c>
    </row>
    <row r="2211" spans="1:7">
      <c r="A2211" t="s">
        <v>1297</v>
      </c>
      <c r="B2211" t="s">
        <v>1298</v>
      </c>
      <c r="C2211" t="s">
        <v>673</v>
      </c>
      <c r="D2211" t="s">
        <v>1341</v>
      </c>
      <c r="E2211" t="s">
        <v>187</v>
      </c>
      <c r="F2211">
        <v>2020</v>
      </c>
      <c r="G2211">
        <v>154.751924</v>
      </c>
    </row>
    <row r="2212" spans="1:7">
      <c r="A2212" t="s">
        <v>1297</v>
      </c>
      <c r="B2212" t="s">
        <v>1298</v>
      </c>
      <c r="C2212" t="s">
        <v>672</v>
      </c>
      <c r="D2212" t="s">
        <v>1341</v>
      </c>
      <c r="E2212" t="s">
        <v>187</v>
      </c>
      <c r="F2212">
        <v>2005</v>
      </c>
      <c r="G2212">
        <v>118.363883</v>
      </c>
    </row>
    <row r="2213" spans="1:7">
      <c r="A2213" t="s">
        <v>1297</v>
      </c>
      <c r="B2213" t="s">
        <v>1298</v>
      </c>
      <c r="C2213" t="s">
        <v>672</v>
      </c>
      <c r="D2213" t="s">
        <v>1341</v>
      </c>
      <c r="E2213" t="s">
        <v>187</v>
      </c>
      <c r="F2213">
        <v>2010</v>
      </c>
      <c r="G2213">
        <v>134.67843300000001</v>
      </c>
    </row>
    <row r="2214" spans="1:7">
      <c r="A2214" t="s">
        <v>1297</v>
      </c>
      <c r="B2214" t="s">
        <v>1298</v>
      </c>
      <c r="C2214" t="s">
        <v>672</v>
      </c>
      <c r="D2214" t="s">
        <v>1341</v>
      </c>
      <c r="E2214" t="s">
        <v>187</v>
      </c>
      <c r="F2214">
        <v>2012</v>
      </c>
      <c r="G2214">
        <v>123.973966</v>
      </c>
    </row>
    <row r="2215" spans="1:7">
      <c r="A2215" t="s">
        <v>1297</v>
      </c>
      <c r="B2215" t="s">
        <v>1298</v>
      </c>
      <c r="C2215" t="s">
        <v>672</v>
      </c>
      <c r="D2215" t="s">
        <v>1341</v>
      </c>
      <c r="E2215" t="s">
        <v>187</v>
      </c>
      <c r="F2215">
        <v>2016</v>
      </c>
      <c r="G2215">
        <v>129.22118900000001</v>
      </c>
    </row>
    <row r="2216" spans="1:7">
      <c r="A2216" t="s">
        <v>1297</v>
      </c>
      <c r="B2216" t="s">
        <v>1298</v>
      </c>
      <c r="C2216" t="s">
        <v>672</v>
      </c>
      <c r="D2216" t="s">
        <v>1341</v>
      </c>
      <c r="E2216" t="s">
        <v>187</v>
      </c>
      <c r="F2216">
        <v>2020</v>
      </c>
      <c r="G2216">
        <v>141.29637600000001</v>
      </c>
    </row>
    <row r="2217" spans="1:7">
      <c r="A2217" t="s">
        <v>1297</v>
      </c>
      <c r="B2217" t="s">
        <v>1298</v>
      </c>
      <c r="C2217" t="s">
        <v>289</v>
      </c>
      <c r="D2217" t="s">
        <v>1341</v>
      </c>
      <c r="E2217" t="s">
        <v>187</v>
      </c>
      <c r="F2217">
        <v>2005</v>
      </c>
      <c r="G2217">
        <v>52.222000000000001</v>
      </c>
    </row>
    <row r="2218" spans="1:7">
      <c r="A2218" t="s">
        <v>1297</v>
      </c>
      <c r="B2218" t="s">
        <v>1298</v>
      </c>
      <c r="C2218" t="s">
        <v>289</v>
      </c>
      <c r="D2218" t="s">
        <v>1341</v>
      </c>
      <c r="E2218" t="s">
        <v>187</v>
      </c>
      <c r="F2218">
        <v>2010</v>
      </c>
      <c r="G2218">
        <v>56.864733000000001</v>
      </c>
    </row>
    <row r="2219" spans="1:7">
      <c r="A2219" t="s">
        <v>1297</v>
      </c>
      <c r="B2219" t="s">
        <v>1298</v>
      </c>
      <c r="C2219" t="s">
        <v>289</v>
      </c>
      <c r="D2219" t="s">
        <v>1341</v>
      </c>
      <c r="E2219" t="s">
        <v>187</v>
      </c>
      <c r="F2219">
        <v>2012</v>
      </c>
      <c r="G2219">
        <v>62.192810999999999</v>
      </c>
    </row>
    <row r="2220" spans="1:7">
      <c r="A2220" t="s">
        <v>1297</v>
      </c>
      <c r="B2220" t="s">
        <v>1298</v>
      </c>
      <c r="C2220" t="s">
        <v>289</v>
      </c>
      <c r="D2220" t="s">
        <v>1341</v>
      </c>
      <c r="E2220" t="s">
        <v>187</v>
      </c>
      <c r="F2220">
        <v>2016</v>
      </c>
      <c r="G2220">
        <v>66.105824999999996</v>
      </c>
    </row>
    <row r="2221" spans="1:7">
      <c r="A2221" t="s">
        <v>1297</v>
      </c>
      <c r="B2221" t="s">
        <v>1298</v>
      </c>
      <c r="C2221" t="s">
        <v>289</v>
      </c>
      <c r="D2221" t="s">
        <v>1341</v>
      </c>
      <c r="E2221" t="s">
        <v>187</v>
      </c>
      <c r="F2221">
        <v>2020</v>
      </c>
      <c r="G2221">
        <v>65.709520999999995</v>
      </c>
    </row>
    <row r="2222" spans="1:7">
      <c r="A2222" t="s">
        <v>1297</v>
      </c>
      <c r="B2222" t="s">
        <v>1298</v>
      </c>
      <c r="C2222" t="s">
        <v>663</v>
      </c>
      <c r="D2222" t="s">
        <v>1341</v>
      </c>
      <c r="E2222" t="s">
        <v>187</v>
      </c>
      <c r="F2222">
        <v>2005</v>
      </c>
      <c r="G2222">
        <v>66.265767999999994</v>
      </c>
    </row>
    <row r="2223" spans="1:7">
      <c r="A2223" t="s">
        <v>1297</v>
      </c>
      <c r="B2223" t="s">
        <v>1298</v>
      </c>
      <c r="C2223" t="s">
        <v>663</v>
      </c>
      <c r="D2223" t="s">
        <v>1341</v>
      </c>
      <c r="E2223" t="s">
        <v>187</v>
      </c>
      <c r="F2223">
        <v>2010</v>
      </c>
      <c r="G2223">
        <v>107.94060500000001</v>
      </c>
    </row>
    <row r="2224" spans="1:7">
      <c r="A2224" t="s">
        <v>1297</v>
      </c>
      <c r="B2224" t="s">
        <v>1298</v>
      </c>
      <c r="C2224" t="s">
        <v>663</v>
      </c>
      <c r="D2224" t="s">
        <v>1341</v>
      </c>
      <c r="E2224" t="s">
        <v>187</v>
      </c>
      <c r="F2224">
        <v>2012</v>
      </c>
      <c r="G2224">
        <v>122.77384499999999</v>
      </c>
    </row>
    <row r="2225" spans="1:7">
      <c r="A2225" t="s">
        <v>1297</v>
      </c>
      <c r="B2225" t="s">
        <v>1298</v>
      </c>
      <c r="C2225" t="s">
        <v>663</v>
      </c>
      <c r="D2225" t="s">
        <v>1341</v>
      </c>
      <c r="E2225" t="s">
        <v>187</v>
      </c>
      <c r="F2225">
        <v>2016</v>
      </c>
      <c r="G2225">
        <v>124.230576</v>
      </c>
    </row>
    <row r="2226" spans="1:7">
      <c r="A2226" t="s">
        <v>1297</v>
      </c>
      <c r="B2226" t="s">
        <v>1298</v>
      </c>
      <c r="C2226" t="s">
        <v>663</v>
      </c>
      <c r="D2226" t="s">
        <v>1341</v>
      </c>
      <c r="E2226" t="s">
        <v>187</v>
      </c>
      <c r="F2226">
        <v>2020</v>
      </c>
      <c r="G2226">
        <v>111.3112</v>
      </c>
    </row>
    <row r="2227" spans="1:7">
      <c r="A2227" t="s">
        <v>1297</v>
      </c>
      <c r="B2227" t="s">
        <v>1298</v>
      </c>
      <c r="C2227" t="s">
        <v>675</v>
      </c>
      <c r="D2227" t="s">
        <v>1341</v>
      </c>
      <c r="E2227" t="s">
        <v>187</v>
      </c>
      <c r="F2227">
        <v>2005</v>
      </c>
      <c r="G2227">
        <v>29.715</v>
      </c>
    </row>
    <row r="2228" spans="1:7">
      <c r="A2228" t="s">
        <v>1297</v>
      </c>
      <c r="B2228" t="s">
        <v>1298</v>
      </c>
      <c r="C2228" t="s">
        <v>675</v>
      </c>
      <c r="D2228" t="s">
        <v>1341</v>
      </c>
      <c r="E2228" t="s">
        <v>187</v>
      </c>
      <c r="F2228">
        <v>2010</v>
      </c>
      <c r="G2228">
        <v>29.647694000000001</v>
      </c>
    </row>
    <row r="2229" spans="1:7">
      <c r="A2229" t="s">
        <v>1297</v>
      </c>
      <c r="B2229" t="s">
        <v>1298</v>
      </c>
      <c r="C2229" t="s">
        <v>675</v>
      </c>
      <c r="D2229" t="s">
        <v>1341</v>
      </c>
      <c r="E2229" t="s">
        <v>187</v>
      </c>
      <c r="F2229">
        <v>2012</v>
      </c>
      <c r="G2229">
        <v>28.170262000000001</v>
      </c>
    </row>
    <row r="2230" spans="1:7">
      <c r="A2230" t="s">
        <v>1297</v>
      </c>
      <c r="B2230" t="s">
        <v>1298</v>
      </c>
      <c r="C2230" t="s">
        <v>675</v>
      </c>
      <c r="D2230" t="s">
        <v>1341</v>
      </c>
      <c r="E2230" t="s">
        <v>187</v>
      </c>
      <c r="F2230">
        <v>2016</v>
      </c>
      <c r="G2230">
        <v>28.488</v>
      </c>
    </row>
    <row r="2231" spans="1:7">
      <c r="A2231" t="s">
        <v>1297</v>
      </c>
      <c r="B2231" t="s">
        <v>1298</v>
      </c>
      <c r="C2231" t="s">
        <v>675</v>
      </c>
      <c r="D2231" t="s">
        <v>1341</v>
      </c>
      <c r="E2231" t="s">
        <v>187</v>
      </c>
      <c r="F2231">
        <v>2020</v>
      </c>
      <c r="G2231">
        <v>23.812467999999999</v>
      </c>
    </row>
    <row r="2232" spans="1:7">
      <c r="A2232" t="s">
        <v>1297</v>
      </c>
      <c r="B2232" t="s">
        <v>1298</v>
      </c>
      <c r="C2232" t="s">
        <v>652</v>
      </c>
      <c r="D2232" t="s">
        <v>1341</v>
      </c>
      <c r="E2232" t="s">
        <v>187</v>
      </c>
      <c r="F2232">
        <v>2005</v>
      </c>
      <c r="G2232">
        <v>34.526009000000002</v>
      </c>
    </row>
    <row r="2233" spans="1:7">
      <c r="A2233" t="s">
        <v>1297</v>
      </c>
      <c r="B2233" t="s">
        <v>1298</v>
      </c>
      <c r="C2233" t="s">
        <v>652</v>
      </c>
      <c r="D2233" t="s">
        <v>1341</v>
      </c>
      <c r="E2233" t="s">
        <v>187</v>
      </c>
      <c r="F2233">
        <v>2010</v>
      </c>
      <c r="G2233">
        <v>93.654995999999997</v>
      </c>
    </row>
    <row r="2234" spans="1:7">
      <c r="A2234" t="s">
        <v>1297</v>
      </c>
      <c r="B2234" t="s">
        <v>1298</v>
      </c>
      <c r="C2234" t="s">
        <v>652</v>
      </c>
      <c r="D2234" t="s">
        <v>1341</v>
      </c>
      <c r="E2234" t="s">
        <v>187</v>
      </c>
      <c r="F2234">
        <v>2012</v>
      </c>
      <c r="G2234">
        <v>97.250876000000005</v>
      </c>
    </row>
    <row r="2235" spans="1:7">
      <c r="A2235" t="s">
        <v>1297</v>
      </c>
      <c r="B2235" t="s">
        <v>1298</v>
      </c>
      <c r="C2235" t="s">
        <v>652</v>
      </c>
      <c r="D2235" t="s">
        <v>1341</v>
      </c>
      <c r="E2235" t="s">
        <v>187</v>
      </c>
      <c r="F2235">
        <v>2016</v>
      </c>
      <c r="G2235">
        <v>94.889114000000006</v>
      </c>
    </row>
    <row r="2236" spans="1:7">
      <c r="A2236" t="s">
        <v>1297</v>
      </c>
      <c r="B2236" t="s">
        <v>1298</v>
      </c>
      <c r="C2236" t="s">
        <v>652</v>
      </c>
      <c r="D2236" t="s">
        <v>1341</v>
      </c>
      <c r="E2236" t="s">
        <v>187</v>
      </c>
      <c r="F2236">
        <v>2020</v>
      </c>
      <c r="G2236">
        <v>94.805857000000003</v>
      </c>
    </row>
    <row r="2237" spans="1:7">
      <c r="A2237" t="s">
        <v>1297</v>
      </c>
      <c r="B2237" t="s">
        <v>1298</v>
      </c>
      <c r="C2237" t="s">
        <v>686</v>
      </c>
      <c r="D2237" t="s">
        <v>1341</v>
      </c>
      <c r="E2237" t="s">
        <v>187</v>
      </c>
      <c r="F2237">
        <v>2005</v>
      </c>
      <c r="G2237">
        <v>37.799999999999997</v>
      </c>
    </row>
    <row r="2238" spans="1:7">
      <c r="A2238" t="s">
        <v>1297</v>
      </c>
      <c r="B2238" t="s">
        <v>1298</v>
      </c>
      <c r="C2238" t="s">
        <v>686</v>
      </c>
      <c r="D2238" t="s">
        <v>1341</v>
      </c>
      <c r="E2238" t="s">
        <v>187</v>
      </c>
      <c r="F2238">
        <v>2010</v>
      </c>
      <c r="G2238">
        <v>43.393000000000001</v>
      </c>
    </row>
    <row r="2239" spans="1:7">
      <c r="A2239" t="s">
        <v>1297</v>
      </c>
      <c r="B2239" t="s">
        <v>1298</v>
      </c>
      <c r="C2239" t="s">
        <v>686</v>
      </c>
      <c r="D2239" t="s">
        <v>1341</v>
      </c>
      <c r="E2239" t="s">
        <v>187</v>
      </c>
      <c r="F2239">
        <v>2012</v>
      </c>
      <c r="G2239">
        <v>44.225999999999999</v>
      </c>
    </row>
    <row r="2240" spans="1:7">
      <c r="A2240" t="s">
        <v>1297</v>
      </c>
      <c r="B2240" t="s">
        <v>1298</v>
      </c>
      <c r="C2240" t="s">
        <v>686</v>
      </c>
      <c r="D2240" t="s">
        <v>1341</v>
      </c>
      <c r="E2240" t="s">
        <v>187</v>
      </c>
      <c r="F2240">
        <v>2016</v>
      </c>
      <c r="G2240">
        <v>46.566000000000003</v>
      </c>
    </row>
    <row r="2241" spans="1:7">
      <c r="A2241" t="s">
        <v>1297</v>
      </c>
      <c r="B2241" t="s">
        <v>1298</v>
      </c>
      <c r="C2241" t="s">
        <v>686</v>
      </c>
      <c r="D2241" t="s">
        <v>1341</v>
      </c>
      <c r="E2241" t="s">
        <v>187</v>
      </c>
      <c r="F2241">
        <v>2020</v>
      </c>
      <c r="G2241">
        <v>50.439858000000001</v>
      </c>
    </row>
    <row r="2242" spans="1:7">
      <c r="A2242" t="s">
        <v>1297</v>
      </c>
      <c r="B2242" t="s">
        <v>1298</v>
      </c>
      <c r="C2242" t="s">
        <v>661</v>
      </c>
      <c r="D2242" t="s">
        <v>1341</v>
      </c>
      <c r="E2242" t="s">
        <v>187</v>
      </c>
      <c r="F2242">
        <v>2005</v>
      </c>
      <c r="G2242">
        <v>461.57712700000002</v>
      </c>
    </row>
    <row r="2243" spans="1:7">
      <c r="A2243" t="s">
        <v>1297</v>
      </c>
      <c r="B2243" t="s">
        <v>1298</v>
      </c>
      <c r="C2243" t="s">
        <v>661</v>
      </c>
      <c r="D2243" t="s">
        <v>1341</v>
      </c>
      <c r="E2243" t="s">
        <v>187</v>
      </c>
      <c r="F2243">
        <v>2010</v>
      </c>
      <c r="G2243">
        <v>597.24793</v>
      </c>
    </row>
    <row r="2244" spans="1:7">
      <c r="A2244" t="s">
        <v>1297</v>
      </c>
      <c r="B2244" t="s">
        <v>1298</v>
      </c>
      <c r="C2244" t="s">
        <v>661</v>
      </c>
      <c r="D2244" t="s">
        <v>1341</v>
      </c>
      <c r="E2244" t="s">
        <v>187</v>
      </c>
      <c r="F2244">
        <v>2012</v>
      </c>
      <c r="G2244">
        <v>588.41416400000003</v>
      </c>
    </row>
    <row r="2245" spans="1:7">
      <c r="A2245" t="s">
        <v>1297</v>
      </c>
      <c r="B2245" t="s">
        <v>1298</v>
      </c>
      <c r="C2245" t="s">
        <v>661</v>
      </c>
      <c r="D2245" t="s">
        <v>1341</v>
      </c>
      <c r="E2245" t="s">
        <v>187</v>
      </c>
      <c r="F2245">
        <v>2016</v>
      </c>
      <c r="G2245">
        <v>631.42575799999997</v>
      </c>
    </row>
    <row r="2246" spans="1:7">
      <c r="A2246" t="s">
        <v>1297</v>
      </c>
      <c r="B2246" t="s">
        <v>1298</v>
      </c>
      <c r="C2246" t="s">
        <v>661</v>
      </c>
      <c r="D2246" t="s">
        <v>1341</v>
      </c>
      <c r="E2246" t="s">
        <v>187</v>
      </c>
      <c r="F2246">
        <v>2020</v>
      </c>
      <c r="G2246">
        <v>625.76113299999997</v>
      </c>
    </row>
    <row r="2247" spans="1:7">
      <c r="A2247" t="s">
        <v>1297</v>
      </c>
      <c r="B2247" t="s">
        <v>1298</v>
      </c>
      <c r="C2247" t="s">
        <v>1299</v>
      </c>
      <c r="D2247" t="s">
        <v>1341</v>
      </c>
      <c r="E2247" t="s">
        <v>187</v>
      </c>
      <c r="F2247">
        <v>2005</v>
      </c>
      <c r="G2247">
        <v>10.952</v>
      </c>
    </row>
    <row r="2248" spans="1:7">
      <c r="A2248" t="s">
        <v>1297</v>
      </c>
      <c r="B2248" t="s">
        <v>1298</v>
      </c>
      <c r="C2248" t="s">
        <v>1299</v>
      </c>
      <c r="D2248" t="s">
        <v>1341</v>
      </c>
      <c r="E2248" t="s">
        <v>187</v>
      </c>
      <c r="F2248">
        <v>2010</v>
      </c>
      <c r="G2248">
        <v>69.753</v>
      </c>
    </row>
    <row r="2249" spans="1:7">
      <c r="A2249" t="s">
        <v>1297</v>
      </c>
      <c r="B2249" t="s">
        <v>1298</v>
      </c>
      <c r="C2249" t="s">
        <v>1299</v>
      </c>
      <c r="D2249" t="s">
        <v>1341</v>
      </c>
      <c r="E2249" t="s">
        <v>187</v>
      </c>
      <c r="F2249">
        <v>2012</v>
      </c>
      <c r="G2249">
        <v>72.796000000000006</v>
      </c>
    </row>
    <row r="2250" spans="1:7">
      <c r="A2250" t="s">
        <v>1297</v>
      </c>
      <c r="B2250" t="s">
        <v>1298</v>
      </c>
      <c r="C2250" t="s">
        <v>1299</v>
      </c>
      <c r="D2250" t="s">
        <v>1341</v>
      </c>
      <c r="E2250" t="s">
        <v>187</v>
      </c>
      <c r="F2250">
        <v>2016</v>
      </c>
      <c r="G2250">
        <v>140.18849399999999</v>
      </c>
    </row>
    <row r="2251" spans="1:7">
      <c r="A2251" t="s">
        <v>1297</v>
      </c>
      <c r="B2251" t="s">
        <v>1298</v>
      </c>
      <c r="C2251" t="s">
        <v>1299</v>
      </c>
      <c r="D2251" t="s">
        <v>1341</v>
      </c>
      <c r="E2251" t="s">
        <v>187</v>
      </c>
      <c r="F2251">
        <v>2020</v>
      </c>
      <c r="G2251">
        <v>158.52991499999999</v>
      </c>
    </row>
    <row r="2252" spans="1:7">
      <c r="A2252" t="s">
        <v>1297</v>
      </c>
      <c r="B2252" t="s">
        <v>1298</v>
      </c>
      <c r="C2252" t="s">
        <v>654</v>
      </c>
      <c r="D2252" t="s">
        <v>1342</v>
      </c>
      <c r="E2252" t="s">
        <v>187</v>
      </c>
      <c r="F2252">
        <v>2012</v>
      </c>
      <c r="G2252">
        <v>0.624</v>
      </c>
    </row>
    <row r="2253" spans="1:7">
      <c r="A2253" t="s">
        <v>1297</v>
      </c>
      <c r="B2253" t="s">
        <v>1298</v>
      </c>
      <c r="C2253" t="s">
        <v>654</v>
      </c>
      <c r="D2253" t="s">
        <v>1342</v>
      </c>
      <c r="E2253" t="s">
        <v>187</v>
      </c>
      <c r="F2253">
        <v>2016</v>
      </c>
      <c r="G2253">
        <v>0.47499999999999998</v>
      </c>
    </row>
    <row r="2254" spans="1:7">
      <c r="A2254" t="s">
        <v>1297</v>
      </c>
      <c r="B2254" t="s">
        <v>1298</v>
      </c>
      <c r="C2254" t="s">
        <v>654</v>
      </c>
      <c r="D2254" t="s">
        <v>1342</v>
      </c>
      <c r="E2254" t="s">
        <v>187</v>
      </c>
      <c r="F2254">
        <v>2020</v>
      </c>
      <c r="G2254">
        <v>0.57691999999999999</v>
      </c>
    </row>
    <row r="2255" spans="1:7">
      <c r="A2255" t="s">
        <v>1297</v>
      </c>
      <c r="B2255" t="s">
        <v>1298</v>
      </c>
      <c r="C2255" t="s">
        <v>663</v>
      </c>
      <c r="D2255" t="s">
        <v>1342</v>
      </c>
      <c r="E2255" t="s">
        <v>187</v>
      </c>
      <c r="F2255">
        <v>2005</v>
      </c>
      <c r="G2255">
        <v>21.2302</v>
      </c>
    </row>
    <row r="2256" spans="1:7">
      <c r="A2256" t="s">
        <v>1297</v>
      </c>
      <c r="B2256" t="s">
        <v>1298</v>
      </c>
      <c r="C2256" t="s">
        <v>663</v>
      </c>
      <c r="D2256" t="s">
        <v>1342</v>
      </c>
      <c r="E2256" t="s">
        <v>187</v>
      </c>
      <c r="F2256">
        <v>2010</v>
      </c>
      <c r="G2256">
        <v>37.7684</v>
      </c>
    </row>
    <row r="2257" spans="1:7">
      <c r="A2257" t="s">
        <v>1297</v>
      </c>
      <c r="B2257" t="s">
        <v>1298</v>
      </c>
      <c r="C2257" t="s">
        <v>663</v>
      </c>
      <c r="D2257" t="s">
        <v>1342</v>
      </c>
      <c r="E2257" t="s">
        <v>187</v>
      </c>
      <c r="F2257">
        <v>2012</v>
      </c>
      <c r="G2257">
        <v>28.1067</v>
      </c>
    </row>
    <row r="2258" spans="1:7">
      <c r="A2258" t="s">
        <v>1297</v>
      </c>
      <c r="B2258" t="s">
        <v>1298</v>
      </c>
      <c r="C2258" t="s">
        <v>663</v>
      </c>
      <c r="D2258" t="s">
        <v>1342</v>
      </c>
      <c r="E2258" t="s">
        <v>187</v>
      </c>
      <c r="F2258">
        <v>2016</v>
      </c>
      <c r="G2258">
        <v>32.897100000000002</v>
      </c>
    </row>
    <row r="2259" spans="1:7">
      <c r="A2259" t="s">
        <v>1297</v>
      </c>
      <c r="B2259" t="s">
        <v>1298</v>
      </c>
      <c r="C2259" t="s">
        <v>663</v>
      </c>
      <c r="D2259" t="s">
        <v>1342</v>
      </c>
      <c r="E2259" t="s">
        <v>187</v>
      </c>
      <c r="F2259">
        <v>2020</v>
      </c>
      <c r="G2259">
        <v>34.897799999999997</v>
      </c>
    </row>
    <row r="2260" spans="1:7">
      <c r="A2260" t="s">
        <v>1297</v>
      </c>
      <c r="B2260" t="s">
        <v>1298</v>
      </c>
      <c r="C2260" t="s">
        <v>666</v>
      </c>
      <c r="D2260" t="s">
        <v>1342</v>
      </c>
      <c r="E2260" t="s">
        <v>187</v>
      </c>
      <c r="F2260">
        <v>2005</v>
      </c>
      <c r="G2260">
        <v>7.6795030000000004</v>
      </c>
    </row>
    <row r="2261" spans="1:7">
      <c r="A2261" t="s">
        <v>1297</v>
      </c>
      <c r="B2261" t="s">
        <v>1298</v>
      </c>
      <c r="C2261" t="s">
        <v>666</v>
      </c>
      <c r="D2261" t="s">
        <v>1342</v>
      </c>
      <c r="E2261" t="s">
        <v>187</v>
      </c>
      <c r="F2261">
        <v>2010</v>
      </c>
      <c r="G2261">
        <v>15.412151</v>
      </c>
    </row>
    <row r="2262" spans="1:7">
      <c r="A2262" t="s">
        <v>1297</v>
      </c>
      <c r="B2262" t="s">
        <v>1298</v>
      </c>
      <c r="C2262" t="s">
        <v>666</v>
      </c>
      <c r="D2262" t="s">
        <v>1342</v>
      </c>
      <c r="E2262" t="s">
        <v>187</v>
      </c>
      <c r="F2262">
        <v>2012</v>
      </c>
      <c r="G2262">
        <v>20.1814</v>
      </c>
    </row>
    <row r="2263" spans="1:7">
      <c r="A2263" t="s">
        <v>1297</v>
      </c>
      <c r="B2263" t="s">
        <v>1298</v>
      </c>
      <c r="C2263" t="s">
        <v>666</v>
      </c>
      <c r="D2263" t="s">
        <v>1342</v>
      </c>
      <c r="E2263" t="s">
        <v>187</v>
      </c>
      <c r="F2263">
        <v>2016</v>
      </c>
      <c r="G2263">
        <v>38.030524999999997</v>
      </c>
    </row>
    <row r="2264" spans="1:7">
      <c r="A2264" t="s">
        <v>1297</v>
      </c>
      <c r="B2264" t="s">
        <v>1298</v>
      </c>
      <c r="C2264" t="s">
        <v>666</v>
      </c>
      <c r="D2264" t="s">
        <v>1342</v>
      </c>
      <c r="E2264" t="s">
        <v>187</v>
      </c>
      <c r="F2264">
        <v>2020</v>
      </c>
      <c r="G2264">
        <v>44.552104</v>
      </c>
    </row>
    <row r="2265" spans="1:7">
      <c r="A2265" t="s">
        <v>1297</v>
      </c>
      <c r="B2265" t="s">
        <v>1298</v>
      </c>
      <c r="C2265" t="s">
        <v>672</v>
      </c>
      <c r="D2265" t="s">
        <v>1342</v>
      </c>
      <c r="E2265" t="s">
        <v>187</v>
      </c>
      <c r="F2265">
        <v>2005</v>
      </c>
      <c r="G2265">
        <v>13.54379</v>
      </c>
    </row>
    <row r="2266" spans="1:7">
      <c r="A2266" t="s">
        <v>1297</v>
      </c>
      <c r="B2266" t="s">
        <v>1298</v>
      </c>
      <c r="C2266" t="s">
        <v>672</v>
      </c>
      <c r="D2266" t="s">
        <v>1342</v>
      </c>
      <c r="E2266" t="s">
        <v>187</v>
      </c>
      <c r="F2266">
        <v>2010</v>
      </c>
      <c r="G2266">
        <v>36.956071999999999</v>
      </c>
    </row>
    <row r="2267" spans="1:7">
      <c r="A2267" t="s">
        <v>1297</v>
      </c>
      <c r="B2267" t="s">
        <v>1298</v>
      </c>
      <c r="C2267" t="s">
        <v>672</v>
      </c>
      <c r="D2267" t="s">
        <v>1342</v>
      </c>
      <c r="E2267" t="s">
        <v>187</v>
      </c>
      <c r="F2267">
        <v>2012</v>
      </c>
      <c r="G2267">
        <v>40.196323</v>
      </c>
    </row>
    <row r="2268" spans="1:7">
      <c r="A2268" t="s">
        <v>1297</v>
      </c>
      <c r="B2268" t="s">
        <v>1298</v>
      </c>
      <c r="C2268" t="s">
        <v>672</v>
      </c>
      <c r="D2268" t="s">
        <v>1342</v>
      </c>
      <c r="E2268" t="s">
        <v>187</v>
      </c>
      <c r="F2268">
        <v>2016</v>
      </c>
      <c r="G2268">
        <v>45.311501999999997</v>
      </c>
    </row>
    <row r="2269" spans="1:7">
      <c r="A2269" t="s">
        <v>1297</v>
      </c>
      <c r="B2269" t="s">
        <v>1298</v>
      </c>
      <c r="C2269" t="s">
        <v>672</v>
      </c>
      <c r="D2269" t="s">
        <v>1342</v>
      </c>
      <c r="E2269" t="s">
        <v>187</v>
      </c>
      <c r="F2269">
        <v>2020</v>
      </c>
      <c r="G2269">
        <v>50.168331000000002</v>
      </c>
    </row>
    <row r="2270" spans="1:7">
      <c r="A2270" t="s">
        <v>1297</v>
      </c>
      <c r="B2270" t="s">
        <v>1298</v>
      </c>
      <c r="C2270" t="s">
        <v>658</v>
      </c>
      <c r="D2270" t="s">
        <v>1342</v>
      </c>
      <c r="E2270" t="s">
        <v>187</v>
      </c>
      <c r="F2270">
        <v>2005</v>
      </c>
      <c r="G2270">
        <v>5.5449999999999999</v>
      </c>
    </row>
    <row r="2271" spans="1:7">
      <c r="A2271" t="s">
        <v>1297</v>
      </c>
      <c r="B2271" t="s">
        <v>1298</v>
      </c>
      <c r="C2271" t="s">
        <v>658</v>
      </c>
      <c r="D2271" t="s">
        <v>1342</v>
      </c>
      <c r="E2271" t="s">
        <v>187</v>
      </c>
      <c r="F2271">
        <v>2010</v>
      </c>
      <c r="G2271">
        <v>11.256</v>
      </c>
    </row>
    <row r="2272" spans="1:7">
      <c r="A2272" t="s">
        <v>1297</v>
      </c>
      <c r="B2272" t="s">
        <v>1298</v>
      </c>
      <c r="C2272" t="s">
        <v>671</v>
      </c>
      <c r="D2272" t="s">
        <v>1342</v>
      </c>
      <c r="E2272" t="s">
        <v>187</v>
      </c>
      <c r="F2272">
        <v>2005</v>
      </c>
      <c r="G2272">
        <v>20.037354000000001</v>
      </c>
    </row>
    <row r="2273" spans="1:7">
      <c r="A2273" t="s">
        <v>1297</v>
      </c>
      <c r="B2273" t="s">
        <v>1298</v>
      </c>
      <c r="C2273" t="s">
        <v>671</v>
      </c>
      <c r="D2273" t="s">
        <v>1342</v>
      </c>
      <c r="E2273" t="s">
        <v>187</v>
      </c>
      <c r="F2273">
        <v>2010</v>
      </c>
      <c r="G2273">
        <v>95.530832000000004</v>
      </c>
    </row>
    <row r="2274" spans="1:7">
      <c r="A2274" t="s">
        <v>1297</v>
      </c>
      <c r="B2274" t="s">
        <v>1298</v>
      </c>
      <c r="C2274" t="s">
        <v>671</v>
      </c>
      <c r="D2274" t="s">
        <v>1342</v>
      </c>
      <c r="E2274" t="s">
        <v>187</v>
      </c>
      <c r="F2274">
        <v>2012</v>
      </c>
      <c r="G2274">
        <v>142.47626399999999</v>
      </c>
    </row>
    <row r="2275" spans="1:7">
      <c r="A2275" t="s">
        <v>1297</v>
      </c>
      <c r="B2275" t="s">
        <v>1298</v>
      </c>
      <c r="C2275" t="s">
        <v>671</v>
      </c>
      <c r="D2275" t="s">
        <v>1342</v>
      </c>
      <c r="E2275" t="s">
        <v>187</v>
      </c>
      <c r="F2275">
        <v>2016</v>
      </c>
      <c r="G2275">
        <v>100.19629999999999</v>
      </c>
    </row>
    <row r="2276" spans="1:7">
      <c r="A2276" t="s">
        <v>1297</v>
      </c>
      <c r="B2276" t="s">
        <v>1298</v>
      </c>
      <c r="C2276" t="s">
        <v>671</v>
      </c>
      <c r="D2276" t="s">
        <v>1342</v>
      </c>
      <c r="E2276" t="s">
        <v>187</v>
      </c>
      <c r="F2276">
        <v>2020</v>
      </c>
      <c r="G2276">
        <v>120.813244</v>
      </c>
    </row>
    <row r="2277" spans="1:7">
      <c r="A2277" t="s">
        <v>1297</v>
      </c>
      <c r="B2277" t="s">
        <v>1298</v>
      </c>
      <c r="C2277" t="s">
        <v>664</v>
      </c>
      <c r="D2277" t="s">
        <v>1342</v>
      </c>
      <c r="E2277" t="s">
        <v>187</v>
      </c>
      <c r="F2277">
        <v>2005</v>
      </c>
      <c r="G2277">
        <v>1.289574</v>
      </c>
    </row>
    <row r="2278" spans="1:7">
      <c r="A2278" t="s">
        <v>1297</v>
      </c>
      <c r="B2278" t="s">
        <v>1298</v>
      </c>
      <c r="C2278" t="s">
        <v>664</v>
      </c>
      <c r="D2278" t="s">
        <v>1342</v>
      </c>
      <c r="E2278" t="s">
        <v>187</v>
      </c>
      <c r="F2278">
        <v>2010</v>
      </c>
      <c r="G2278">
        <v>6.9070159999999996</v>
      </c>
    </row>
    <row r="2279" spans="1:7">
      <c r="A2279" t="s">
        <v>1297</v>
      </c>
      <c r="B2279" t="s">
        <v>1298</v>
      </c>
      <c r="C2279" t="s">
        <v>664</v>
      </c>
      <c r="D2279" t="s">
        <v>1342</v>
      </c>
      <c r="E2279" t="s">
        <v>187</v>
      </c>
      <c r="F2279">
        <v>2012</v>
      </c>
      <c r="G2279">
        <v>7.2111099999999997</v>
      </c>
    </row>
    <row r="2280" spans="1:7">
      <c r="A2280" t="s">
        <v>1297</v>
      </c>
      <c r="B2280" t="s">
        <v>1298</v>
      </c>
      <c r="C2280" t="s">
        <v>664</v>
      </c>
      <c r="D2280" t="s">
        <v>1342</v>
      </c>
      <c r="E2280" t="s">
        <v>187</v>
      </c>
      <c r="F2280">
        <v>2016</v>
      </c>
      <c r="G2280">
        <v>10.271786000000001</v>
      </c>
    </row>
    <row r="2281" spans="1:7">
      <c r="A2281" t="s">
        <v>1297</v>
      </c>
      <c r="B2281" t="s">
        <v>1298</v>
      </c>
      <c r="C2281" t="s">
        <v>664</v>
      </c>
      <c r="D2281" t="s">
        <v>1342</v>
      </c>
      <c r="E2281" t="s">
        <v>187</v>
      </c>
      <c r="F2281">
        <v>2020</v>
      </c>
      <c r="G2281">
        <v>12.933389999999999</v>
      </c>
    </row>
    <row r="2282" spans="1:7">
      <c r="A2282" t="s">
        <v>1297</v>
      </c>
      <c r="B2282" t="s">
        <v>1298</v>
      </c>
      <c r="C2282" t="s">
        <v>652</v>
      </c>
      <c r="D2282" t="s">
        <v>1342</v>
      </c>
      <c r="E2282" t="s">
        <v>187</v>
      </c>
      <c r="F2282">
        <v>2005</v>
      </c>
      <c r="G2282">
        <v>20.204006</v>
      </c>
    </row>
    <row r="2283" spans="1:7">
      <c r="A2283" t="s">
        <v>1297</v>
      </c>
      <c r="B2283" t="s">
        <v>1298</v>
      </c>
      <c r="C2283" t="s">
        <v>652</v>
      </c>
      <c r="D2283" t="s">
        <v>1342</v>
      </c>
      <c r="E2283" t="s">
        <v>187</v>
      </c>
      <c r="F2283">
        <v>2010</v>
      </c>
      <c r="G2283">
        <v>60.958575000000003</v>
      </c>
    </row>
    <row r="2284" spans="1:7">
      <c r="A2284" t="s">
        <v>1297</v>
      </c>
      <c r="B2284" t="s">
        <v>1298</v>
      </c>
      <c r="C2284" t="s">
        <v>652</v>
      </c>
      <c r="D2284" t="s">
        <v>1342</v>
      </c>
      <c r="E2284" t="s">
        <v>187</v>
      </c>
      <c r="F2284">
        <v>2012</v>
      </c>
      <c r="G2284">
        <v>70.057524999999998</v>
      </c>
    </row>
    <row r="2285" spans="1:7">
      <c r="A2285" t="s">
        <v>1297</v>
      </c>
      <c r="B2285" t="s">
        <v>1298</v>
      </c>
      <c r="C2285" t="s">
        <v>652</v>
      </c>
      <c r="D2285" t="s">
        <v>1342</v>
      </c>
      <c r="E2285" t="s">
        <v>187</v>
      </c>
      <c r="F2285">
        <v>2016</v>
      </c>
      <c r="G2285">
        <v>73.192188000000002</v>
      </c>
    </row>
    <row r="2286" spans="1:7">
      <c r="A2286" t="s">
        <v>1297</v>
      </c>
      <c r="B2286" t="s">
        <v>1298</v>
      </c>
      <c r="C2286" t="s">
        <v>652</v>
      </c>
      <c r="D2286" t="s">
        <v>1342</v>
      </c>
      <c r="E2286" t="s">
        <v>187</v>
      </c>
      <c r="F2286">
        <v>2020</v>
      </c>
      <c r="G2286">
        <v>72.963820999999996</v>
      </c>
    </row>
    <row r="2287" spans="1:7">
      <c r="A2287" t="s">
        <v>1297</v>
      </c>
      <c r="B2287" t="s">
        <v>1298</v>
      </c>
      <c r="C2287" t="s">
        <v>653</v>
      </c>
      <c r="D2287" t="s">
        <v>1342</v>
      </c>
      <c r="E2287" t="s">
        <v>187</v>
      </c>
      <c r="F2287">
        <v>2005</v>
      </c>
      <c r="G2287">
        <v>0.04</v>
      </c>
    </row>
    <row r="2288" spans="1:7">
      <c r="A2288" t="s">
        <v>1297</v>
      </c>
      <c r="B2288" t="s">
        <v>1298</v>
      </c>
      <c r="C2288" t="s">
        <v>653</v>
      </c>
      <c r="D2288" t="s">
        <v>1342</v>
      </c>
      <c r="E2288" t="s">
        <v>187</v>
      </c>
      <c r="F2288">
        <v>2010</v>
      </c>
      <c r="G2288">
        <v>1.4630590000000001</v>
      </c>
    </row>
    <row r="2289" spans="1:7">
      <c r="A2289" t="s">
        <v>1297</v>
      </c>
      <c r="B2289" t="s">
        <v>1298</v>
      </c>
      <c r="C2289" t="s">
        <v>653</v>
      </c>
      <c r="D2289" t="s">
        <v>1342</v>
      </c>
      <c r="E2289" t="s">
        <v>187</v>
      </c>
      <c r="F2289">
        <v>2012</v>
      </c>
      <c r="G2289">
        <v>4.2583130000000002</v>
      </c>
    </row>
    <row r="2290" spans="1:7">
      <c r="A2290" t="s">
        <v>1297</v>
      </c>
      <c r="B2290" t="s">
        <v>1298</v>
      </c>
      <c r="C2290" t="s">
        <v>653</v>
      </c>
      <c r="D2290" t="s">
        <v>1342</v>
      </c>
      <c r="E2290" t="s">
        <v>187</v>
      </c>
      <c r="F2290">
        <v>2016</v>
      </c>
      <c r="G2290">
        <v>11.289125</v>
      </c>
    </row>
    <row r="2291" spans="1:7">
      <c r="A2291" t="s">
        <v>1297</v>
      </c>
      <c r="B2291" t="s">
        <v>1298</v>
      </c>
      <c r="C2291" t="s">
        <v>653</v>
      </c>
      <c r="D2291" t="s">
        <v>1342</v>
      </c>
      <c r="E2291" t="s">
        <v>187</v>
      </c>
      <c r="F2291">
        <v>2020</v>
      </c>
      <c r="G2291">
        <v>32.001764999999999</v>
      </c>
    </row>
    <row r="2292" spans="1:7">
      <c r="A2292" t="s">
        <v>1297</v>
      </c>
      <c r="B2292" t="s">
        <v>1298</v>
      </c>
      <c r="C2292" t="s">
        <v>651</v>
      </c>
      <c r="D2292" t="s">
        <v>1342</v>
      </c>
      <c r="E2292" t="s">
        <v>187</v>
      </c>
      <c r="F2292">
        <v>2005</v>
      </c>
      <c r="G2292">
        <v>40.288916</v>
      </c>
    </row>
    <row r="2293" spans="1:7">
      <c r="A2293" t="s">
        <v>1297</v>
      </c>
      <c r="B2293" t="s">
        <v>1298</v>
      </c>
      <c r="C2293" t="s">
        <v>651</v>
      </c>
      <c r="D2293" t="s">
        <v>1342</v>
      </c>
      <c r="E2293" t="s">
        <v>187</v>
      </c>
      <c r="F2293">
        <v>2010</v>
      </c>
      <c r="G2293">
        <v>88.398518999999993</v>
      </c>
    </row>
    <row r="2294" spans="1:7">
      <c r="A2294" t="s">
        <v>1297</v>
      </c>
      <c r="B2294" t="s">
        <v>1298</v>
      </c>
      <c r="C2294" t="s">
        <v>651</v>
      </c>
      <c r="D2294" t="s">
        <v>1342</v>
      </c>
      <c r="E2294" t="s">
        <v>187</v>
      </c>
      <c r="F2294">
        <v>2012</v>
      </c>
      <c r="G2294">
        <v>100.008284</v>
      </c>
    </row>
    <row r="2295" spans="1:7">
      <c r="A2295" t="s">
        <v>1297</v>
      </c>
      <c r="B2295" t="s">
        <v>1298</v>
      </c>
      <c r="C2295" t="s">
        <v>651</v>
      </c>
      <c r="D2295" t="s">
        <v>1342</v>
      </c>
      <c r="E2295" t="s">
        <v>187</v>
      </c>
      <c r="F2295">
        <v>2016</v>
      </c>
      <c r="G2295">
        <v>97.237043999999997</v>
      </c>
    </row>
    <row r="2296" spans="1:7">
      <c r="A2296" t="s">
        <v>1297</v>
      </c>
      <c r="B2296" t="s">
        <v>1298</v>
      </c>
      <c r="C2296" t="s">
        <v>651</v>
      </c>
      <c r="D2296" t="s">
        <v>1342</v>
      </c>
      <c r="E2296" t="s">
        <v>187</v>
      </c>
      <c r="F2296">
        <v>2020</v>
      </c>
      <c r="G2296">
        <v>92.101096999999996</v>
      </c>
    </row>
    <row r="2297" spans="1:7">
      <c r="A2297" t="s">
        <v>1297</v>
      </c>
      <c r="B2297" t="s">
        <v>1298</v>
      </c>
      <c r="C2297" t="s">
        <v>661</v>
      </c>
      <c r="D2297" t="s">
        <v>1342</v>
      </c>
      <c r="E2297" t="s">
        <v>187</v>
      </c>
      <c r="F2297">
        <v>2005</v>
      </c>
      <c r="G2297">
        <v>100.69671099999999</v>
      </c>
    </row>
    <row r="2298" spans="1:7">
      <c r="A2298" t="s">
        <v>1297</v>
      </c>
      <c r="B2298" t="s">
        <v>1298</v>
      </c>
      <c r="C2298" t="s">
        <v>661</v>
      </c>
      <c r="D2298" t="s">
        <v>1342</v>
      </c>
      <c r="E2298" t="s">
        <v>187</v>
      </c>
      <c r="F2298">
        <v>2010</v>
      </c>
      <c r="G2298">
        <v>220.97381200000001</v>
      </c>
    </row>
    <row r="2299" spans="1:7">
      <c r="A2299" t="s">
        <v>1297</v>
      </c>
      <c r="B2299" t="s">
        <v>1298</v>
      </c>
      <c r="C2299" t="s">
        <v>661</v>
      </c>
      <c r="D2299" t="s">
        <v>1342</v>
      </c>
      <c r="E2299" t="s">
        <v>187</v>
      </c>
      <c r="F2299">
        <v>2012</v>
      </c>
      <c r="G2299">
        <v>223.29224500000001</v>
      </c>
    </row>
    <row r="2300" spans="1:7">
      <c r="A2300" t="s">
        <v>1297</v>
      </c>
      <c r="B2300" t="s">
        <v>1298</v>
      </c>
      <c r="C2300" t="s">
        <v>661</v>
      </c>
      <c r="D2300" t="s">
        <v>1342</v>
      </c>
      <c r="E2300" t="s">
        <v>187</v>
      </c>
      <c r="F2300">
        <v>2016</v>
      </c>
      <c r="G2300">
        <v>293.20404300000001</v>
      </c>
    </row>
    <row r="2301" spans="1:7">
      <c r="A2301" t="s">
        <v>1297</v>
      </c>
      <c r="B2301" t="s">
        <v>1298</v>
      </c>
      <c r="C2301" t="s">
        <v>661</v>
      </c>
      <c r="D2301" t="s">
        <v>1342</v>
      </c>
      <c r="E2301" t="s">
        <v>187</v>
      </c>
      <c r="F2301">
        <v>2020</v>
      </c>
      <c r="G2301">
        <v>322.80248899999998</v>
      </c>
    </row>
    <row r="2302" spans="1:7">
      <c r="A2302" t="s">
        <v>1297</v>
      </c>
      <c r="B2302" t="s">
        <v>1298</v>
      </c>
      <c r="C2302" t="s">
        <v>1300</v>
      </c>
      <c r="D2302" t="s">
        <v>1342</v>
      </c>
      <c r="E2302" t="s">
        <v>187</v>
      </c>
      <c r="F2302">
        <v>2010</v>
      </c>
      <c r="G2302">
        <v>0.51800000000000002</v>
      </c>
    </row>
    <row r="2303" spans="1:7">
      <c r="A2303" t="s">
        <v>1297</v>
      </c>
      <c r="B2303" t="s">
        <v>1298</v>
      </c>
      <c r="C2303" t="s">
        <v>1300</v>
      </c>
      <c r="D2303" t="s">
        <v>1342</v>
      </c>
      <c r="E2303" t="s">
        <v>187</v>
      </c>
      <c r="F2303">
        <v>2012</v>
      </c>
      <c r="G2303">
        <v>0.25600000000000001</v>
      </c>
    </row>
    <row r="2304" spans="1:7">
      <c r="A2304" t="s">
        <v>1297</v>
      </c>
      <c r="B2304" t="s">
        <v>1298</v>
      </c>
      <c r="C2304" t="s">
        <v>1300</v>
      </c>
      <c r="D2304" t="s">
        <v>1342</v>
      </c>
      <c r="E2304" t="s">
        <v>187</v>
      </c>
      <c r="F2304">
        <v>2016</v>
      </c>
      <c r="G2304">
        <v>0.81200000000000006</v>
      </c>
    </row>
    <row r="2305" spans="1:7">
      <c r="A2305" t="s">
        <v>1297</v>
      </c>
      <c r="B2305" t="s">
        <v>1298</v>
      </c>
      <c r="C2305" t="s">
        <v>1300</v>
      </c>
      <c r="D2305" t="s">
        <v>1342</v>
      </c>
      <c r="E2305" t="s">
        <v>187</v>
      </c>
      <c r="F2305">
        <v>2020</v>
      </c>
      <c r="G2305">
        <v>0.875</v>
      </c>
    </row>
    <row r="2306" spans="1:7">
      <c r="A2306" t="s">
        <v>1297</v>
      </c>
      <c r="B2306" t="s">
        <v>1298</v>
      </c>
      <c r="C2306" t="s">
        <v>659</v>
      </c>
      <c r="D2306" t="s">
        <v>1342</v>
      </c>
      <c r="E2306" t="s">
        <v>187</v>
      </c>
      <c r="F2306">
        <v>2005</v>
      </c>
      <c r="G2306">
        <v>61.296289000000002</v>
      </c>
    </row>
    <row r="2307" spans="1:7">
      <c r="A2307" t="s">
        <v>1297</v>
      </c>
      <c r="B2307" t="s">
        <v>1298</v>
      </c>
      <c r="C2307" t="s">
        <v>659</v>
      </c>
      <c r="D2307" t="s">
        <v>1342</v>
      </c>
      <c r="E2307" t="s">
        <v>187</v>
      </c>
      <c r="F2307">
        <v>2010</v>
      </c>
      <c r="G2307">
        <v>109.560819</v>
      </c>
    </row>
    <row r="2308" spans="1:7">
      <c r="A2308" t="s">
        <v>1297</v>
      </c>
      <c r="B2308" t="s">
        <v>1298</v>
      </c>
      <c r="C2308" t="s">
        <v>659</v>
      </c>
      <c r="D2308" t="s">
        <v>1342</v>
      </c>
      <c r="E2308" t="s">
        <v>187</v>
      </c>
      <c r="F2308">
        <v>2012</v>
      </c>
      <c r="G2308">
        <v>148.75040100000001</v>
      </c>
    </row>
    <row r="2309" spans="1:7">
      <c r="A2309" t="s">
        <v>1297</v>
      </c>
      <c r="B2309" t="s">
        <v>1298</v>
      </c>
      <c r="C2309" t="s">
        <v>659</v>
      </c>
      <c r="D2309" t="s">
        <v>1342</v>
      </c>
      <c r="E2309" t="s">
        <v>187</v>
      </c>
      <c r="F2309">
        <v>2016</v>
      </c>
      <c r="G2309">
        <v>121.11069000000001</v>
      </c>
    </row>
    <row r="2310" spans="1:7">
      <c r="A2310" t="s">
        <v>1297</v>
      </c>
      <c r="B2310" t="s">
        <v>1298</v>
      </c>
      <c r="C2310" t="s">
        <v>659</v>
      </c>
      <c r="D2310" t="s">
        <v>1342</v>
      </c>
      <c r="E2310" t="s">
        <v>187</v>
      </c>
      <c r="F2310">
        <v>2020</v>
      </c>
      <c r="G2310">
        <v>142.95942299999999</v>
      </c>
    </row>
    <row r="2311" spans="1:7">
      <c r="A2311" t="s">
        <v>1297</v>
      </c>
      <c r="B2311" t="s">
        <v>1298</v>
      </c>
      <c r="C2311" t="s">
        <v>289</v>
      </c>
      <c r="D2311" t="s">
        <v>1342</v>
      </c>
      <c r="E2311" t="s">
        <v>187</v>
      </c>
      <c r="F2311">
        <v>2005</v>
      </c>
      <c r="G2311">
        <v>0.17757100000000001</v>
      </c>
    </row>
    <row r="2312" spans="1:7">
      <c r="A2312" t="s">
        <v>1297</v>
      </c>
      <c r="B2312" t="s">
        <v>1298</v>
      </c>
      <c r="C2312" t="s">
        <v>289</v>
      </c>
      <c r="D2312" t="s">
        <v>1342</v>
      </c>
      <c r="E2312" t="s">
        <v>187</v>
      </c>
      <c r="F2312">
        <v>2010</v>
      </c>
      <c r="G2312">
        <v>0.70391300000000001</v>
      </c>
    </row>
    <row r="2313" spans="1:7">
      <c r="A2313" t="s">
        <v>1297</v>
      </c>
      <c r="B2313" t="s">
        <v>1298</v>
      </c>
      <c r="C2313" t="s">
        <v>289</v>
      </c>
      <c r="D2313" t="s">
        <v>1342</v>
      </c>
      <c r="E2313" t="s">
        <v>187</v>
      </c>
      <c r="F2313">
        <v>2012</v>
      </c>
      <c r="G2313">
        <v>2.920525</v>
      </c>
    </row>
    <row r="2314" spans="1:7">
      <c r="A2314" t="s">
        <v>1297</v>
      </c>
      <c r="B2314" t="s">
        <v>1298</v>
      </c>
      <c r="C2314" t="s">
        <v>289</v>
      </c>
      <c r="D2314" t="s">
        <v>1342</v>
      </c>
      <c r="E2314" t="s">
        <v>187</v>
      </c>
      <c r="F2314">
        <v>2016</v>
      </c>
      <c r="G2314">
        <v>6.2756179999999997</v>
      </c>
    </row>
    <row r="2315" spans="1:7">
      <c r="A2315" t="s">
        <v>1297</v>
      </c>
      <c r="B2315" t="s">
        <v>1298</v>
      </c>
      <c r="C2315" t="s">
        <v>289</v>
      </c>
      <c r="D2315" t="s">
        <v>1342</v>
      </c>
      <c r="E2315" t="s">
        <v>187</v>
      </c>
      <c r="F2315">
        <v>2020</v>
      </c>
      <c r="G2315">
        <v>14.725346</v>
      </c>
    </row>
    <row r="2316" spans="1:7">
      <c r="A2316" t="s">
        <v>1297</v>
      </c>
      <c r="B2316" t="s">
        <v>1298</v>
      </c>
      <c r="C2316" t="s">
        <v>673</v>
      </c>
      <c r="D2316" t="s">
        <v>1342</v>
      </c>
      <c r="E2316" t="s">
        <v>187</v>
      </c>
      <c r="F2316">
        <v>2005</v>
      </c>
      <c r="G2316">
        <v>0.83199999999999996</v>
      </c>
    </row>
    <row r="2317" spans="1:7">
      <c r="A2317" t="s">
        <v>1297</v>
      </c>
      <c r="B2317" t="s">
        <v>1298</v>
      </c>
      <c r="C2317" t="s">
        <v>673</v>
      </c>
      <c r="D2317" t="s">
        <v>1342</v>
      </c>
      <c r="E2317" t="s">
        <v>187</v>
      </c>
      <c r="F2317">
        <v>2010</v>
      </c>
      <c r="G2317">
        <v>7.3416480000000002</v>
      </c>
    </row>
    <row r="2318" spans="1:7">
      <c r="A2318" t="s">
        <v>1297</v>
      </c>
      <c r="B2318" t="s">
        <v>1298</v>
      </c>
      <c r="C2318" t="s">
        <v>673</v>
      </c>
      <c r="D2318" t="s">
        <v>1342</v>
      </c>
      <c r="E2318" t="s">
        <v>187</v>
      </c>
      <c r="F2318">
        <v>2012</v>
      </c>
      <c r="G2318">
        <v>11.177141000000001</v>
      </c>
    </row>
    <row r="2319" spans="1:7">
      <c r="A2319" t="s">
        <v>1297</v>
      </c>
      <c r="B2319" t="s">
        <v>1298</v>
      </c>
      <c r="C2319" t="s">
        <v>673</v>
      </c>
      <c r="D2319" t="s">
        <v>1342</v>
      </c>
      <c r="E2319" t="s">
        <v>187</v>
      </c>
      <c r="F2319">
        <v>2016</v>
      </c>
      <c r="G2319">
        <v>18.478567999999999</v>
      </c>
    </row>
    <row r="2320" spans="1:7">
      <c r="A2320" t="s">
        <v>1297</v>
      </c>
      <c r="B2320" t="s">
        <v>1298</v>
      </c>
      <c r="C2320" t="s">
        <v>673</v>
      </c>
      <c r="D2320" t="s">
        <v>1342</v>
      </c>
      <c r="E2320" t="s">
        <v>187</v>
      </c>
      <c r="F2320">
        <v>2020</v>
      </c>
      <c r="G2320">
        <v>23.525158000000001</v>
      </c>
    </row>
    <row r="2321" spans="1:7">
      <c r="A2321" t="s">
        <v>1297</v>
      </c>
      <c r="B2321" t="s">
        <v>1298</v>
      </c>
      <c r="C2321" t="s">
        <v>676</v>
      </c>
      <c r="D2321" t="s">
        <v>1342</v>
      </c>
      <c r="E2321" t="s">
        <v>187</v>
      </c>
      <c r="F2321">
        <v>2005</v>
      </c>
      <c r="G2321">
        <v>3.5680839999999998</v>
      </c>
    </row>
    <row r="2322" spans="1:7">
      <c r="A2322" t="s">
        <v>1297</v>
      </c>
      <c r="B2322" t="s">
        <v>1298</v>
      </c>
      <c r="C2322" t="s">
        <v>676</v>
      </c>
      <c r="D2322" t="s">
        <v>1342</v>
      </c>
      <c r="E2322" t="s">
        <v>187</v>
      </c>
      <c r="F2322">
        <v>2010</v>
      </c>
      <c r="G2322">
        <v>20.347341</v>
      </c>
    </row>
    <row r="2323" spans="1:7">
      <c r="A2323" t="s">
        <v>1297</v>
      </c>
      <c r="B2323" t="s">
        <v>1298</v>
      </c>
      <c r="C2323" t="s">
        <v>676</v>
      </c>
      <c r="D2323" t="s">
        <v>1342</v>
      </c>
      <c r="E2323" t="s">
        <v>187</v>
      </c>
      <c r="F2323">
        <v>2012</v>
      </c>
      <c r="G2323">
        <v>28.173044000000001</v>
      </c>
    </row>
    <row r="2324" spans="1:7">
      <c r="A2324" t="s">
        <v>1297</v>
      </c>
      <c r="B2324" t="s">
        <v>1298</v>
      </c>
      <c r="C2324" t="s">
        <v>676</v>
      </c>
      <c r="D2324" t="s">
        <v>1342</v>
      </c>
      <c r="E2324" t="s">
        <v>187</v>
      </c>
      <c r="F2324">
        <v>2016</v>
      </c>
      <c r="G2324">
        <v>30.905448</v>
      </c>
    </row>
    <row r="2325" spans="1:7">
      <c r="A2325" t="s">
        <v>1297</v>
      </c>
      <c r="B2325" t="s">
        <v>1298</v>
      </c>
      <c r="C2325" t="s">
        <v>676</v>
      </c>
      <c r="D2325" t="s">
        <v>1342</v>
      </c>
      <c r="E2325" t="s">
        <v>187</v>
      </c>
      <c r="F2325">
        <v>2020</v>
      </c>
      <c r="G2325">
        <v>29.598908000000002</v>
      </c>
    </row>
    <row r="2326" spans="1:7">
      <c r="A2326" t="s">
        <v>1297</v>
      </c>
      <c r="B2326" t="s">
        <v>1298</v>
      </c>
      <c r="C2326" t="s">
        <v>662</v>
      </c>
      <c r="D2326" t="s">
        <v>1342</v>
      </c>
      <c r="E2326" t="s">
        <v>187</v>
      </c>
      <c r="F2326">
        <v>2005</v>
      </c>
      <c r="G2326">
        <v>1.1621300000000001</v>
      </c>
    </row>
    <row r="2327" spans="1:7">
      <c r="A2327" t="s">
        <v>1297</v>
      </c>
      <c r="B2327" t="s">
        <v>1298</v>
      </c>
      <c r="C2327" t="s">
        <v>662</v>
      </c>
      <c r="D2327" t="s">
        <v>1342</v>
      </c>
      <c r="E2327" t="s">
        <v>187</v>
      </c>
      <c r="F2327">
        <v>2010</v>
      </c>
      <c r="G2327">
        <v>7.4146089999999996</v>
      </c>
    </row>
    <row r="2328" spans="1:7">
      <c r="A2328" t="s">
        <v>1297</v>
      </c>
      <c r="B2328" t="s">
        <v>1298</v>
      </c>
      <c r="C2328" t="s">
        <v>662</v>
      </c>
      <c r="D2328" t="s">
        <v>1342</v>
      </c>
      <c r="E2328" t="s">
        <v>187</v>
      </c>
      <c r="F2328">
        <v>2012</v>
      </c>
      <c r="G2328">
        <v>8.5924049999999994</v>
      </c>
    </row>
    <row r="2329" spans="1:7">
      <c r="A2329" t="s">
        <v>1297</v>
      </c>
      <c r="B2329" t="s">
        <v>1298</v>
      </c>
      <c r="C2329" t="s">
        <v>662</v>
      </c>
      <c r="D2329" t="s">
        <v>1342</v>
      </c>
      <c r="E2329" t="s">
        <v>187</v>
      </c>
      <c r="F2329">
        <v>2016</v>
      </c>
      <c r="G2329">
        <v>11.13876</v>
      </c>
    </row>
    <row r="2330" spans="1:7">
      <c r="A2330" t="s">
        <v>1297</v>
      </c>
      <c r="B2330" t="s">
        <v>1298</v>
      </c>
      <c r="C2330" t="s">
        <v>662</v>
      </c>
      <c r="D2330" t="s">
        <v>1342</v>
      </c>
      <c r="E2330" t="s">
        <v>187</v>
      </c>
      <c r="F2330">
        <v>2020</v>
      </c>
      <c r="G2330">
        <v>13.528191</v>
      </c>
    </row>
    <row r="2331" spans="1:7">
      <c r="A2331" t="s">
        <v>1297</v>
      </c>
      <c r="B2331" t="s">
        <v>1298</v>
      </c>
      <c r="C2331" t="s">
        <v>1301</v>
      </c>
      <c r="D2331" t="s">
        <v>1342</v>
      </c>
      <c r="E2331" t="s">
        <v>187</v>
      </c>
      <c r="F2331">
        <v>2005</v>
      </c>
      <c r="G2331">
        <v>0.34100000000000003</v>
      </c>
    </row>
    <row r="2332" spans="1:7">
      <c r="A2332" t="s">
        <v>1297</v>
      </c>
      <c r="B2332" t="s">
        <v>1298</v>
      </c>
      <c r="C2332" t="s">
        <v>1301</v>
      </c>
      <c r="D2332" t="s">
        <v>1342</v>
      </c>
      <c r="E2332" t="s">
        <v>187</v>
      </c>
      <c r="F2332">
        <v>2010</v>
      </c>
      <c r="G2332">
        <v>3.7323409999999999</v>
      </c>
    </row>
    <row r="2333" spans="1:7">
      <c r="A2333" t="s">
        <v>1297</v>
      </c>
      <c r="B2333" t="s">
        <v>1298</v>
      </c>
      <c r="C2333" t="s">
        <v>1301</v>
      </c>
      <c r="D2333" t="s">
        <v>1342</v>
      </c>
      <c r="E2333" t="s">
        <v>187</v>
      </c>
      <c r="F2333">
        <v>2012</v>
      </c>
      <c r="G2333">
        <v>6.8804360000000004</v>
      </c>
    </row>
    <row r="2334" spans="1:7">
      <c r="A2334" t="s">
        <v>1297</v>
      </c>
      <c r="B2334" t="s">
        <v>1298</v>
      </c>
      <c r="C2334" t="s">
        <v>1301</v>
      </c>
      <c r="D2334" t="s">
        <v>1342</v>
      </c>
      <c r="E2334" t="s">
        <v>187</v>
      </c>
      <c r="F2334">
        <v>2016</v>
      </c>
      <c r="G2334">
        <v>20.923853999999999</v>
      </c>
    </row>
    <row r="2335" spans="1:7">
      <c r="A2335" t="s">
        <v>1297</v>
      </c>
      <c r="B2335" t="s">
        <v>1298</v>
      </c>
      <c r="C2335" t="s">
        <v>1301</v>
      </c>
      <c r="D2335" t="s">
        <v>1342</v>
      </c>
      <c r="E2335" t="s">
        <v>187</v>
      </c>
      <c r="F2335">
        <v>2020</v>
      </c>
      <c r="G2335">
        <v>6.5289999999999999</v>
      </c>
    </row>
    <row r="2336" spans="1:7">
      <c r="A2336" t="s">
        <v>1297</v>
      </c>
      <c r="B2336" t="s">
        <v>1298</v>
      </c>
      <c r="C2336" t="s">
        <v>682</v>
      </c>
      <c r="D2336" t="s">
        <v>1342</v>
      </c>
      <c r="E2336" t="s">
        <v>187</v>
      </c>
      <c r="F2336">
        <v>2016</v>
      </c>
      <c r="G2336">
        <v>4.1740000000000004</v>
      </c>
    </row>
    <row r="2337" spans="1:7">
      <c r="A2337" t="s">
        <v>1297</v>
      </c>
      <c r="B2337" t="s">
        <v>1298</v>
      </c>
      <c r="C2337" t="s">
        <v>682</v>
      </c>
      <c r="D2337" t="s">
        <v>1342</v>
      </c>
      <c r="E2337" t="s">
        <v>187</v>
      </c>
      <c r="F2337">
        <v>2020</v>
      </c>
      <c r="G2337">
        <v>3.9401579999999998</v>
      </c>
    </row>
    <row r="2338" spans="1:7">
      <c r="A2338" t="s">
        <v>1297</v>
      </c>
      <c r="B2338" t="s">
        <v>1298</v>
      </c>
      <c r="C2338" t="s">
        <v>656</v>
      </c>
      <c r="D2338" t="s">
        <v>1342</v>
      </c>
      <c r="E2338" t="s">
        <v>187</v>
      </c>
      <c r="F2338">
        <v>2005</v>
      </c>
      <c r="G2338">
        <v>212.706199</v>
      </c>
    </row>
    <row r="2339" spans="1:7">
      <c r="A2339" t="s">
        <v>1297</v>
      </c>
      <c r="B2339" t="s">
        <v>1298</v>
      </c>
      <c r="C2339" t="s">
        <v>656</v>
      </c>
      <c r="D2339" t="s">
        <v>1342</v>
      </c>
      <c r="E2339" t="s">
        <v>187</v>
      </c>
      <c r="F2339">
        <v>2010</v>
      </c>
      <c r="G2339">
        <v>473.41228699999999</v>
      </c>
    </row>
    <row r="2340" spans="1:7">
      <c r="A2340" t="s">
        <v>1297</v>
      </c>
      <c r="B2340" t="s">
        <v>1298</v>
      </c>
      <c r="C2340" t="s">
        <v>656</v>
      </c>
      <c r="D2340" t="s">
        <v>1342</v>
      </c>
      <c r="E2340" t="s">
        <v>187</v>
      </c>
      <c r="F2340">
        <v>2012</v>
      </c>
      <c r="G2340">
        <v>572.18481499999996</v>
      </c>
    </row>
    <row r="2341" spans="1:7">
      <c r="A2341" t="s">
        <v>1297</v>
      </c>
      <c r="B2341" t="s">
        <v>1298</v>
      </c>
      <c r="C2341" t="s">
        <v>656</v>
      </c>
      <c r="D2341" t="s">
        <v>1342</v>
      </c>
      <c r="E2341" t="s">
        <v>187</v>
      </c>
      <c r="F2341">
        <v>2016</v>
      </c>
      <c r="G2341">
        <v>611.30800699999998</v>
      </c>
    </row>
    <row r="2342" spans="1:7">
      <c r="A2342" t="s">
        <v>1297</v>
      </c>
      <c r="B2342" t="s">
        <v>1298</v>
      </c>
      <c r="C2342" t="s">
        <v>656</v>
      </c>
      <c r="D2342" t="s">
        <v>1342</v>
      </c>
      <c r="E2342" t="s">
        <v>187</v>
      </c>
      <c r="F2342">
        <v>2020</v>
      </c>
      <c r="G2342">
        <v>607.26082399999996</v>
      </c>
    </row>
    <row r="2343" spans="1:7">
      <c r="A2343" t="s">
        <v>1297</v>
      </c>
      <c r="B2343" t="s">
        <v>1298</v>
      </c>
      <c r="C2343" t="s">
        <v>654</v>
      </c>
      <c r="D2343" t="s">
        <v>1342</v>
      </c>
      <c r="E2343" t="s">
        <v>187</v>
      </c>
      <c r="F2343">
        <v>2005</v>
      </c>
      <c r="G2343">
        <v>0.17399999999999999</v>
      </c>
    </row>
    <row r="2344" spans="1:7">
      <c r="A2344" t="s">
        <v>1297</v>
      </c>
      <c r="B2344" t="s">
        <v>1298</v>
      </c>
      <c r="C2344" t="s">
        <v>654</v>
      </c>
      <c r="D2344" t="s">
        <v>1342</v>
      </c>
      <c r="E2344" t="s">
        <v>187</v>
      </c>
      <c r="F2344">
        <v>2010</v>
      </c>
      <c r="G2344">
        <v>0.439</v>
      </c>
    </row>
    <row r="2345" spans="1:7">
      <c r="A2345" t="s">
        <v>1297</v>
      </c>
      <c r="B2345" t="s">
        <v>1298</v>
      </c>
      <c r="C2345" t="s">
        <v>660</v>
      </c>
      <c r="D2345" t="s">
        <v>1342</v>
      </c>
      <c r="E2345" t="s">
        <v>187</v>
      </c>
      <c r="F2345">
        <v>2010</v>
      </c>
      <c r="G2345">
        <v>144.15698800000001</v>
      </c>
    </row>
    <row r="2346" spans="1:7">
      <c r="A2346" t="s">
        <v>1297</v>
      </c>
      <c r="B2346" t="s">
        <v>1298</v>
      </c>
      <c r="C2346" t="s">
        <v>660</v>
      </c>
      <c r="D2346" t="s">
        <v>1342</v>
      </c>
      <c r="E2346" t="s">
        <v>187</v>
      </c>
      <c r="F2346">
        <v>2012</v>
      </c>
      <c r="G2346">
        <v>156.96738300000001</v>
      </c>
    </row>
    <row r="2347" spans="1:7">
      <c r="A2347" t="s">
        <v>1297</v>
      </c>
      <c r="B2347" t="s">
        <v>1298</v>
      </c>
      <c r="C2347" t="s">
        <v>660</v>
      </c>
      <c r="D2347" t="s">
        <v>1342</v>
      </c>
      <c r="E2347" t="s">
        <v>187</v>
      </c>
      <c r="F2347">
        <v>2016</v>
      </c>
      <c r="G2347">
        <v>160.625584</v>
      </c>
    </row>
    <row r="2348" spans="1:7">
      <c r="A2348" t="s">
        <v>1297</v>
      </c>
      <c r="B2348" t="s">
        <v>1298</v>
      </c>
      <c r="C2348" t="s">
        <v>660</v>
      </c>
      <c r="D2348" t="s">
        <v>1342</v>
      </c>
      <c r="E2348" t="s">
        <v>187</v>
      </c>
      <c r="F2348">
        <v>2020</v>
      </c>
      <c r="G2348">
        <v>182.55867699999999</v>
      </c>
    </row>
    <row r="2349" spans="1:7">
      <c r="A2349" t="s">
        <v>1297</v>
      </c>
      <c r="B2349" t="s">
        <v>1298</v>
      </c>
      <c r="C2349" t="s">
        <v>679</v>
      </c>
      <c r="D2349" t="s">
        <v>1342</v>
      </c>
      <c r="E2349" t="s">
        <v>187</v>
      </c>
      <c r="F2349">
        <v>2005</v>
      </c>
      <c r="G2349">
        <v>8.0103729999999995</v>
      </c>
    </row>
    <row r="2350" spans="1:7">
      <c r="A2350" t="s">
        <v>1297</v>
      </c>
      <c r="B2350" t="s">
        <v>1298</v>
      </c>
      <c r="C2350" t="s">
        <v>679</v>
      </c>
      <c r="D2350" t="s">
        <v>1342</v>
      </c>
      <c r="E2350" t="s">
        <v>187</v>
      </c>
      <c r="F2350">
        <v>2010</v>
      </c>
      <c r="G2350">
        <v>16.067632</v>
      </c>
    </row>
    <row r="2351" spans="1:7">
      <c r="A2351" t="s">
        <v>1297</v>
      </c>
      <c r="B2351" t="s">
        <v>1298</v>
      </c>
      <c r="C2351" t="s">
        <v>679</v>
      </c>
      <c r="D2351" t="s">
        <v>1342</v>
      </c>
      <c r="E2351" t="s">
        <v>187</v>
      </c>
      <c r="F2351">
        <v>2012</v>
      </c>
      <c r="G2351">
        <v>19.173373999999999</v>
      </c>
    </row>
    <row r="2352" spans="1:7">
      <c r="A2352" t="s">
        <v>1297</v>
      </c>
      <c r="B2352" t="s">
        <v>1298</v>
      </c>
      <c r="C2352" t="s">
        <v>679</v>
      </c>
      <c r="D2352" t="s">
        <v>1342</v>
      </c>
      <c r="E2352" t="s">
        <v>187</v>
      </c>
      <c r="F2352">
        <v>2016</v>
      </c>
      <c r="G2352">
        <v>33.426482999999998</v>
      </c>
    </row>
    <row r="2353" spans="1:7">
      <c r="A2353" t="s">
        <v>1297</v>
      </c>
      <c r="B2353" t="s">
        <v>1298</v>
      </c>
      <c r="C2353" t="s">
        <v>679</v>
      </c>
      <c r="D2353" t="s">
        <v>1342</v>
      </c>
      <c r="E2353" t="s">
        <v>187</v>
      </c>
      <c r="F2353">
        <v>2020</v>
      </c>
      <c r="G2353">
        <v>41.453175000000002</v>
      </c>
    </row>
    <row r="2354" spans="1:7">
      <c r="A2354" t="s">
        <v>1297</v>
      </c>
      <c r="B2354" t="s">
        <v>1298</v>
      </c>
      <c r="C2354" t="s">
        <v>686</v>
      </c>
      <c r="D2354" t="s">
        <v>1342</v>
      </c>
      <c r="E2354" t="s">
        <v>187</v>
      </c>
      <c r="F2354">
        <v>2010</v>
      </c>
      <c r="G2354">
        <v>8.4000000000000005E-2</v>
      </c>
    </row>
    <row r="2355" spans="1:7">
      <c r="A2355" t="s">
        <v>1297</v>
      </c>
      <c r="B2355" t="s">
        <v>1298</v>
      </c>
      <c r="C2355" t="s">
        <v>686</v>
      </c>
      <c r="D2355" t="s">
        <v>1342</v>
      </c>
      <c r="E2355" t="s">
        <v>187</v>
      </c>
      <c r="F2355">
        <v>2012</v>
      </c>
      <c r="G2355">
        <v>0.891513</v>
      </c>
    </row>
    <row r="2356" spans="1:7">
      <c r="A2356" t="s">
        <v>1297</v>
      </c>
      <c r="B2356" t="s">
        <v>1298</v>
      </c>
      <c r="C2356" t="s">
        <v>686</v>
      </c>
      <c r="D2356" t="s">
        <v>1342</v>
      </c>
      <c r="E2356" t="s">
        <v>187</v>
      </c>
      <c r="F2356">
        <v>2016</v>
      </c>
      <c r="G2356">
        <v>1.5522009999999999</v>
      </c>
    </row>
    <row r="2357" spans="1:7">
      <c r="A2357" t="s">
        <v>1297</v>
      </c>
      <c r="B2357" t="s">
        <v>1298</v>
      </c>
      <c r="C2357" t="s">
        <v>686</v>
      </c>
      <c r="D2357" t="s">
        <v>1342</v>
      </c>
      <c r="E2357" t="s">
        <v>187</v>
      </c>
      <c r="F2357">
        <v>2020</v>
      </c>
      <c r="G2357">
        <v>2.1151740000000001</v>
      </c>
    </row>
    <row r="2358" spans="1:7">
      <c r="A2358" t="s">
        <v>1297</v>
      </c>
      <c r="B2358" t="s">
        <v>1298</v>
      </c>
      <c r="C2358" t="s">
        <v>670</v>
      </c>
      <c r="D2358" t="s">
        <v>1342</v>
      </c>
      <c r="E2358" t="s">
        <v>187</v>
      </c>
      <c r="F2358">
        <v>2005</v>
      </c>
      <c r="G2358">
        <v>62.529798999999997</v>
      </c>
    </row>
    <row r="2359" spans="1:7">
      <c r="A2359" t="s">
        <v>1297</v>
      </c>
      <c r="B2359" t="s">
        <v>1298</v>
      </c>
      <c r="C2359" t="s">
        <v>670</v>
      </c>
      <c r="D2359" t="s">
        <v>1342</v>
      </c>
      <c r="E2359" t="s">
        <v>187</v>
      </c>
      <c r="F2359">
        <v>2010</v>
      </c>
      <c r="G2359">
        <v>91.062368000000006</v>
      </c>
    </row>
    <row r="2360" spans="1:7">
      <c r="A2360" t="s">
        <v>1297</v>
      </c>
      <c r="B2360" t="s">
        <v>1298</v>
      </c>
      <c r="C2360" t="s">
        <v>670</v>
      </c>
      <c r="D2360" t="s">
        <v>1342</v>
      </c>
      <c r="E2360" t="s">
        <v>187</v>
      </c>
      <c r="F2360">
        <v>2012</v>
      </c>
      <c r="G2360">
        <v>100.084739</v>
      </c>
    </row>
    <row r="2361" spans="1:7">
      <c r="A2361" t="s">
        <v>1297</v>
      </c>
      <c r="B2361" t="s">
        <v>1298</v>
      </c>
      <c r="C2361" t="s">
        <v>670</v>
      </c>
      <c r="D2361" t="s">
        <v>1342</v>
      </c>
      <c r="E2361" t="s">
        <v>187</v>
      </c>
      <c r="F2361">
        <v>2016</v>
      </c>
      <c r="G2361">
        <v>88.552220000000005</v>
      </c>
    </row>
    <row r="2362" spans="1:7">
      <c r="A2362" t="s">
        <v>1297</v>
      </c>
      <c r="B2362" t="s">
        <v>1298</v>
      </c>
      <c r="C2362" t="s">
        <v>670</v>
      </c>
      <c r="D2362" t="s">
        <v>1342</v>
      </c>
      <c r="E2362" t="s">
        <v>187</v>
      </c>
      <c r="F2362">
        <v>2020</v>
      </c>
      <c r="G2362">
        <v>123.146863</v>
      </c>
    </row>
    <row r="2363" spans="1:7">
      <c r="A2363" t="s">
        <v>1297</v>
      </c>
      <c r="B2363" t="s">
        <v>1298</v>
      </c>
      <c r="C2363" t="s">
        <v>658</v>
      </c>
      <c r="D2363" t="s">
        <v>1342</v>
      </c>
      <c r="E2363" t="s">
        <v>187</v>
      </c>
      <c r="F2363">
        <v>2012</v>
      </c>
      <c r="G2363">
        <v>14.098000000000001</v>
      </c>
    </row>
    <row r="2364" spans="1:7">
      <c r="A2364" t="s">
        <v>1297</v>
      </c>
      <c r="B2364" t="s">
        <v>1298</v>
      </c>
      <c r="C2364" t="s">
        <v>658</v>
      </c>
      <c r="D2364" t="s">
        <v>1342</v>
      </c>
      <c r="E2364" t="s">
        <v>187</v>
      </c>
      <c r="F2364">
        <v>2016</v>
      </c>
      <c r="G2364">
        <v>22.061</v>
      </c>
    </row>
    <row r="2365" spans="1:7">
      <c r="A2365" t="s">
        <v>1297</v>
      </c>
      <c r="B2365" t="s">
        <v>1298</v>
      </c>
      <c r="C2365" t="s">
        <v>658</v>
      </c>
      <c r="D2365" t="s">
        <v>1342</v>
      </c>
      <c r="E2365" t="s">
        <v>187</v>
      </c>
      <c r="F2365">
        <v>2020</v>
      </c>
      <c r="G2365">
        <v>28.379090999999999</v>
      </c>
    </row>
    <row r="2366" spans="1:7">
      <c r="A2366" t="s">
        <v>1297</v>
      </c>
      <c r="B2366" t="s">
        <v>1298</v>
      </c>
      <c r="C2366" t="s">
        <v>684</v>
      </c>
      <c r="D2366" t="s">
        <v>1342</v>
      </c>
      <c r="E2366" t="s">
        <v>187</v>
      </c>
      <c r="F2366">
        <v>2020</v>
      </c>
      <c r="G2366">
        <v>2.1999999999999999E-2</v>
      </c>
    </row>
    <row r="2367" spans="1:7">
      <c r="A2367" t="s">
        <v>1297</v>
      </c>
      <c r="B2367" t="s">
        <v>1298</v>
      </c>
      <c r="C2367" t="s">
        <v>667</v>
      </c>
      <c r="D2367" t="s">
        <v>1342</v>
      </c>
      <c r="E2367" t="s">
        <v>187</v>
      </c>
      <c r="F2367">
        <v>2005</v>
      </c>
      <c r="G2367">
        <v>0.67962199999999995</v>
      </c>
    </row>
    <row r="2368" spans="1:7">
      <c r="A2368" t="s">
        <v>1297</v>
      </c>
      <c r="B2368" t="s">
        <v>1298</v>
      </c>
      <c r="C2368" t="s">
        <v>667</v>
      </c>
      <c r="D2368" t="s">
        <v>1342</v>
      </c>
      <c r="E2368" t="s">
        <v>187</v>
      </c>
      <c r="F2368">
        <v>2010</v>
      </c>
      <c r="G2368">
        <v>0.916246</v>
      </c>
    </row>
    <row r="2369" spans="1:7">
      <c r="A2369" t="s">
        <v>1297</v>
      </c>
      <c r="B2369" t="s">
        <v>1298</v>
      </c>
      <c r="C2369" t="s">
        <v>667</v>
      </c>
      <c r="D2369" t="s">
        <v>1342</v>
      </c>
      <c r="E2369" t="s">
        <v>187</v>
      </c>
      <c r="F2369">
        <v>2012</v>
      </c>
      <c r="G2369">
        <v>1.2435970000000001</v>
      </c>
    </row>
    <row r="2370" spans="1:7">
      <c r="A2370" t="s">
        <v>1297</v>
      </c>
      <c r="B2370" t="s">
        <v>1298</v>
      </c>
      <c r="C2370" t="s">
        <v>667</v>
      </c>
      <c r="D2370" t="s">
        <v>1342</v>
      </c>
      <c r="E2370" t="s">
        <v>187</v>
      </c>
      <c r="F2370">
        <v>2016</v>
      </c>
      <c r="G2370">
        <v>2.460337</v>
      </c>
    </row>
    <row r="2371" spans="1:7">
      <c r="A2371" t="s">
        <v>1297</v>
      </c>
      <c r="B2371" t="s">
        <v>1298</v>
      </c>
      <c r="C2371" t="s">
        <v>667</v>
      </c>
      <c r="D2371" t="s">
        <v>1342</v>
      </c>
      <c r="E2371" t="s">
        <v>187</v>
      </c>
      <c r="F2371">
        <v>2020</v>
      </c>
      <c r="G2371">
        <v>5.4425569999999999</v>
      </c>
    </row>
    <row r="2372" spans="1:7">
      <c r="A2372" t="s">
        <v>1297</v>
      </c>
      <c r="B2372" t="s">
        <v>1298</v>
      </c>
      <c r="C2372" t="s">
        <v>685</v>
      </c>
      <c r="D2372" t="s">
        <v>1342</v>
      </c>
      <c r="E2372" t="s">
        <v>187</v>
      </c>
      <c r="F2372">
        <v>2010</v>
      </c>
      <c r="G2372">
        <v>1.8315000000000001E-2</v>
      </c>
    </row>
    <row r="2373" spans="1:7">
      <c r="A2373" t="s">
        <v>1297</v>
      </c>
      <c r="B2373" t="s">
        <v>1298</v>
      </c>
      <c r="C2373" t="s">
        <v>685</v>
      </c>
      <c r="D2373" t="s">
        <v>1342</v>
      </c>
      <c r="E2373" t="s">
        <v>187</v>
      </c>
      <c r="F2373">
        <v>2012</v>
      </c>
      <c r="G2373">
        <v>9.4719999999999995E-3</v>
      </c>
    </row>
    <row r="2374" spans="1:7">
      <c r="A2374" t="s">
        <v>1297</v>
      </c>
      <c r="B2374" t="s">
        <v>1298</v>
      </c>
      <c r="C2374" t="s">
        <v>685</v>
      </c>
      <c r="D2374" t="s">
        <v>1342</v>
      </c>
      <c r="E2374" t="s">
        <v>187</v>
      </c>
      <c r="F2374">
        <v>2016</v>
      </c>
      <c r="G2374">
        <v>0.521872</v>
      </c>
    </row>
    <row r="2375" spans="1:7">
      <c r="A2375" t="s">
        <v>1297</v>
      </c>
      <c r="B2375" t="s">
        <v>1298</v>
      </c>
      <c r="C2375" t="s">
        <v>685</v>
      </c>
      <c r="D2375" t="s">
        <v>1342</v>
      </c>
      <c r="E2375" t="s">
        <v>187</v>
      </c>
      <c r="F2375">
        <v>2020</v>
      </c>
      <c r="G2375">
        <v>0.79728900000000003</v>
      </c>
    </row>
    <row r="2376" spans="1:7">
      <c r="A2376" t="s">
        <v>1297</v>
      </c>
      <c r="B2376" t="s">
        <v>1298</v>
      </c>
      <c r="C2376" t="s">
        <v>665</v>
      </c>
      <c r="D2376" t="s">
        <v>1342</v>
      </c>
      <c r="E2376" t="s">
        <v>187</v>
      </c>
      <c r="F2376">
        <v>2005</v>
      </c>
      <c r="G2376">
        <v>79.110257000000004</v>
      </c>
    </row>
    <row r="2377" spans="1:7">
      <c r="A2377" t="s">
        <v>1297</v>
      </c>
      <c r="B2377" t="s">
        <v>1298</v>
      </c>
      <c r="C2377" t="s">
        <v>665</v>
      </c>
      <c r="D2377" t="s">
        <v>1342</v>
      </c>
      <c r="E2377" t="s">
        <v>187</v>
      </c>
      <c r="F2377">
        <v>2010</v>
      </c>
      <c r="G2377">
        <v>177.34046900000001</v>
      </c>
    </row>
    <row r="2378" spans="1:7">
      <c r="A2378" t="s">
        <v>1297</v>
      </c>
      <c r="B2378" t="s">
        <v>1298</v>
      </c>
      <c r="C2378" t="s">
        <v>665</v>
      </c>
      <c r="D2378" t="s">
        <v>1342</v>
      </c>
      <c r="E2378" t="s">
        <v>187</v>
      </c>
      <c r="F2378">
        <v>2012</v>
      </c>
      <c r="G2378">
        <v>228.92149599999999</v>
      </c>
    </row>
    <row r="2379" spans="1:7">
      <c r="A2379" t="s">
        <v>1297</v>
      </c>
      <c r="B2379" t="s">
        <v>1298</v>
      </c>
      <c r="C2379" t="s">
        <v>665</v>
      </c>
      <c r="D2379" t="s">
        <v>1342</v>
      </c>
      <c r="E2379" t="s">
        <v>187</v>
      </c>
      <c r="F2379">
        <v>2016</v>
      </c>
      <c r="G2379">
        <v>273.05015300000002</v>
      </c>
    </row>
    <row r="2380" spans="1:7">
      <c r="A2380" t="s">
        <v>1297</v>
      </c>
      <c r="B2380" t="s">
        <v>1298</v>
      </c>
      <c r="C2380" t="s">
        <v>665</v>
      </c>
      <c r="D2380" t="s">
        <v>1342</v>
      </c>
      <c r="E2380" t="s">
        <v>187</v>
      </c>
      <c r="F2380">
        <v>2020</v>
      </c>
      <c r="G2380">
        <v>288.59024299999999</v>
      </c>
    </row>
    <row r="2381" spans="1:7">
      <c r="A2381" t="s">
        <v>1297</v>
      </c>
      <c r="B2381" t="s">
        <v>1298</v>
      </c>
      <c r="C2381" t="s">
        <v>674</v>
      </c>
      <c r="D2381" t="s">
        <v>1342</v>
      </c>
      <c r="E2381" t="s">
        <v>187</v>
      </c>
      <c r="F2381">
        <v>2005</v>
      </c>
      <c r="G2381">
        <v>164.68618900000001</v>
      </c>
    </row>
    <row r="2382" spans="1:7">
      <c r="A2382" t="s">
        <v>1297</v>
      </c>
      <c r="B2382" t="s">
        <v>1298</v>
      </c>
      <c r="C2382" t="s">
        <v>674</v>
      </c>
      <c r="D2382" t="s">
        <v>1342</v>
      </c>
      <c r="E2382" t="s">
        <v>187</v>
      </c>
      <c r="F2382">
        <v>2010</v>
      </c>
      <c r="G2382">
        <v>237.28859</v>
      </c>
    </row>
    <row r="2383" spans="1:7">
      <c r="A2383" t="s">
        <v>1297</v>
      </c>
      <c r="B2383" t="s">
        <v>1298</v>
      </c>
      <c r="C2383" t="s">
        <v>674</v>
      </c>
      <c r="D2383" t="s">
        <v>1342</v>
      </c>
      <c r="E2383" t="s">
        <v>187</v>
      </c>
      <c r="F2383">
        <v>2012</v>
      </c>
      <c r="G2383">
        <v>227.46900199999999</v>
      </c>
    </row>
    <row r="2384" spans="1:7">
      <c r="A2384" t="s">
        <v>1297</v>
      </c>
      <c r="B2384" t="s">
        <v>1298</v>
      </c>
      <c r="C2384" t="s">
        <v>674</v>
      </c>
      <c r="D2384" t="s">
        <v>1342</v>
      </c>
      <c r="E2384" t="s">
        <v>187</v>
      </c>
      <c r="F2384">
        <v>2016</v>
      </c>
      <c r="G2384">
        <v>246.71208100000001</v>
      </c>
    </row>
    <row r="2385" spans="1:7">
      <c r="A2385" t="s">
        <v>1297</v>
      </c>
      <c r="B2385" t="s">
        <v>1298</v>
      </c>
      <c r="C2385" t="s">
        <v>674</v>
      </c>
      <c r="D2385" t="s">
        <v>1342</v>
      </c>
      <c r="E2385" t="s">
        <v>187</v>
      </c>
      <c r="F2385">
        <v>2020</v>
      </c>
      <c r="G2385">
        <v>275.141841</v>
      </c>
    </row>
    <row r="2386" spans="1:7">
      <c r="A2386" t="s">
        <v>1297</v>
      </c>
      <c r="B2386" t="s">
        <v>1298</v>
      </c>
      <c r="C2386" t="s">
        <v>668</v>
      </c>
      <c r="D2386" t="s">
        <v>1342</v>
      </c>
      <c r="E2386" t="s">
        <v>187</v>
      </c>
      <c r="F2386">
        <v>2005</v>
      </c>
      <c r="G2386">
        <v>7.5465999999999998</v>
      </c>
    </row>
    <row r="2387" spans="1:7">
      <c r="A2387" t="s">
        <v>1297</v>
      </c>
      <c r="B2387" t="s">
        <v>1298</v>
      </c>
      <c r="C2387" t="s">
        <v>668</v>
      </c>
      <c r="D2387" t="s">
        <v>1342</v>
      </c>
      <c r="E2387" t="s">
        <v>187</v>
      </c>
      <c r="F2387">
        <v>2010</v>
      </c>
      <c r="G2387">
        <v>9.0346320000000002</v>
      </c>
    </row>
    <row r="2388" spans="1:7">
      <c r="A2388" t="s">
        <v>1297</v>
      </c>
      <c r="B2388" t="s">
        <v>1298</v>
      </c>
      <c r="C2388" t="s">
        <v>668</v>
      </c>
      <c r="D2388" t="s">
        <v>1342</v>
      </c>
      <c r="E2388" t="s">
        <v>187</v>
      </c>
      <c r="F2388">
        <v>2012</v>
      </c>
      <c r="G2388">
        <v>11.127188</v>
      </c>
    </row>
    <row r="2389" spans="1:7">
      <c r="A2389" t="s">
        <v>1297</v>
      </c>
      <c r="B2389" t="s">
        <v>1298</v>
      </c>
      <c r="C2389" t="s">
        <v>668</v>
      </c>
      <c r="D2389" t="s">
        <v>1342</v>
      </c>
      <c r="E2389" t="s">
        <v>187</v>
      </c>
      <c r="F2389">
        <v>2016</v>
      </c>
      <c r="G2389">
        <v>21.958323</v>
      </c>
    </row>
    <row r="2390" spans="1:7">
      <c r="A2390" t="s">
        <v>1297</v>
      </c>
      <c r="B2390" t="s">
        <v>1298</v>
      </c>
      <c r="C2390" t="s">
        <v>668</v>
      </c>
      <c r="D2390" t="s">
        <v>1342</v>
      </c>
      <c r="E2390" t="s">
        <v>187</v>
      </c>
      <c r="F2390">
        <v>2020</v>
      </c>
      <c r="G2390">
        <v>26.588070999999999</v>
      </c>
    </row>
    <row r="2391" spans="1:7">
      <c r="A2391" t="s">
        <v>1297</v>
      </c>
      <c r="B2391" t="s">
        <v>1298</v>
      </c>
      <c r="C2391" t="s">
        <v>677</v>
      </c>
      <c r="D2391" t="s">
        <v>1342</v>
      </c>
      <c r="E2391" t="s">
        <v>187</v>
      </c>
      <c r="F2391">
        <v>2005</v>
      </c>
      <c r="G2391">
        <v>114.38934999999999</v>
      </c>
    </row>
    <row r="2392" spans="1:7">
      <c r="A2392" t="s">
        <v>1297</v>
      </c>
      <c r="B2392" t="s">
        <v>1298</v>
      </c>
      <c r="C2392" t="s">
        <v>677</v>
      </c>
      <c r="D2392" t="s">
        <v>1342</v>
      </c>
      <c r="E2392" t="s">
        <v>187</v>
      </c>
      <c r="F2392">
        <v>2010</v>
      </c>
      <c r="G2392">
        <v>188.45887500000001</v>
      </c>
    </row>
    <row r="2393" spans="1:7">
      <c r="A2393" t="s">
        <v>1297</v>
      </c>
      <c r="B2393" t="s">
        <v>1298</v>
      </c>
      <c r="C2393" t="s">
        <v>677</v>
      </c>
      <c r="D2393" t="s">
        <v>1342</v>
      </c>
      <c r="E2393" t="s">
        <v>187</v>
      </c>
      <c r="F2393">
        <v>2012</v>
      </c>
      <c r="G2393">
        <v>198.85858099999999</v>
      </c>
    </row>
    <row r="2394" spans="1:7">
      <c r="A2394" t="s">
        <v>1297</v>
      </c>
      <c r="B2394" t="s">
        <v>1298</v>
      </c>
      <c r="C2394" t="s">
        <v>677</v>
      </c>
      <c r="D2394" t="s">
        <v>1342</v>
      </c>
      <c r="E2394" t="s">
        <v>187</v>
      </c>
      <c r="F2394">
        <v>2016</v>
      </c>
      <c r="G2394">
        <v>335.16637200000002</v>
      </c>
    </row>
    <row r="2395" spans="1:7">
      <c r="A2395" t="s">
        <v>1297</v>
      </c>
      <c r="B2395" t="s">
        <v>1298</v>
      </c>
      <c r="C2395" t="s">
        <v>677</v>
      </c>
      <c r="D2395" t="s">
        <v>1342</v>
      </c>
      <c r="E2395" t="s">
        <v>187</v>
      </c>
      <c r="F2395">
        <v>2020</v>
      </c>
      <c r="G2395">
        <v>436.437254</v>
      </c>
    </row>
    <row r="2396" spans="1:7">
      <c r="A2396" t="s">
        <v>1297</v>
      </c>
      <c r="B2396" t="s">
        <v>1298</v>
      </c>
      <c r="C2396" t="s">
        <v>669</v>
      </c>
      <c r="D2396" t="s">
        <v>1342</v>
      </c>
      <c r="E2396" t="s">
        <v>187</v>
      </c>
      <c r="F2396">
        <v>2012</v>
      </c>
      <c r="G2396">
        <v>0.13100000000000001</v>
      </c>
    </row>
    <row r="2397" spans="1:7">
      <c r="A2397" t="s">
        <v>1297</v>
      </c>
      <c r="B2397" t="s">
        <v>1298</v>
      </c>
      <c r="C2397" t="s">
        <v>669</v>
      </c>
      <c r="D2397" t="s">
        <v>1342</v>
      </c>
      <c r="E2397" t="s">
        <v>187</v>
      </c>
      <c r="F2397">
        <v>2016</v>
      </c>
      <c r="G2397">
        <v>0.27839999999999998</v>
      </c>
    </row>
    <row r="2398" spans="1:7">
      <c r="A2398" t="s">
        <v>1297</v>
      </c>
      <c r="B2398" t="s">
        <v>1298</v>
      </c>
      <c r="C2398" t="s">
        <v>669</v>
      </c>
      <c r="D2398" t="s">
        <v>1342</v>
      </c>
      <c r="E2398" t="s">
        <v>187</v>
      </c>
      <c r="F2398">
        <v>2020</v>
      </c>
      <c r="G2398">
        <v>0.49462899999999999</v>
      </c>
    </row>
    <row r="2399" spans="1:7">
      <c r="A2399" t="s">
        <v>1297</v>
      </c>
      <c r="B2399" t="s">
        <v>1298</v>
      </c>
      <c r="C2399" t="s">
        <v>1299</v>
      </c>
      <c r="D2399" t="s">
        <v>1342</v>
      </c>
      <c r="E2399" t="s">
        <v>187</v>
      </c>
      <c r="F2399">
        <v>2005</v>
      </c>
      <c r="G2399">
        <v>2.427</v>
      </c>
    </row>
    <row r="2400" spans="1:7">
      <c r="A2400" t="s">
        <v>1297</v>
      </c>
      <c r="B2400" t="s">
        <v>1298</v>
      </c>
      <c r="C2400" t="s">
        <v>1299</v>
      </c>
      <c r="D2400" t="s">
        <v>1342</v>
      </c>
      <c r="E2400" t="s">
        <v>187</v>
      </c>
      <c r="F2400">
        <v>2010</v>
      </c>
      <c r="G2400">
        <v>29.231000000000002</v>
      </c>
    </row>
    <row r="2401" spans="1:7">
      <c r="A2401" t="s">
        <v>1297</v>
      </c>
      <c r="B2401" t="s">
        <v>1298</v>
      </c>
      <c r="C2401" t="s">
        <v>1299</v>
      </c>
      <c r="D2401" t="s">
        <v>1342</v>
      </c>
      <c r="E2401" t="s">
        <v>187</v>
      </c>
      <c r="F2401">
        <v>2012</v>
      </c>
      <c r="G2401">
        <v>31.664666</v>
      </c>
    </row>
    <row r="2402" spans="1:7">
      <c r="A2402" t="s">
        <v>1297</v>
      </c>
      <c r="B2402" t="s">
        <v>1298</v>
      </c>
      <c r="C2402" t="s">
        <v>1299</v>
      </c>
      <c r="D2402" t="s">
        <v>1342</v>
      </c>
      <c r="E2402" t="s">
        <v>187</v>
      </c>
      <c r="F2402">
        <v>2016</v>
      </c>
      <c r="G2402">
        <v>55.547933</v>
      </c>
    </row>
    <row r="2403" spans="1:7">
      <c r="A2403" t="s">
        <v>1297</v>
      </c>
      <c r="B2403" t="s">
        <v>1298</v>
      </c>
      <c r="C2403" t="s">
        <v>1299</v>
      </c>
      <c r="D2403" t="s">
        <v>1342</v>
      </c>
      <c r="E2403" t="s">
        <v>187</v>
      </c>
      <c r="F2403">
        <v>2020</v>
      </c>
      <c r="G2403">
        <v>65.194421000000006</v>
      </c>
    </row>
    <row r="2404" spans="1:7">
      <c r="A2404" t="s">
        <v>1297</v>
      </c>
      <c r="B2404" t="s">
        <v>1298</v>
      </c>
      <c r="C2404" t="s">
        <v>680</v>
      </c>
      <c r="D2404" t="s">
        <v>1342</v>
      </c>
      <c r="E2404" t="s">
        <v>187</v>
      </c>
      <c r="F2404">
        <v>2005</v>
      </c>
      <c r="G2404">
        <v>7.7297000000000005E-2</v>
      </c>
    </row>
    <row r="2405" spans="1:7">
      <c r="A2405" t="s">
        <v>1297</v>
      </c>
      <c r="B2405" t="s">
        <v>1298</v>
      </c>
      <c r="C2405" t="s">
        <v>680</v>
      </c>
      <c r="D2405" t="s">
        <v>1342</v>
      </c>
      <c r="E2405" t="s">
        <v>187</v>
      </c>
      <c r="F2405">
        <v>2010</v>
      </c>
      <c r="G2405">
        <v>1.7999999999999999E-2</v>
      </c>
    </row>
    <row r="2406" spans="1:7">
      <c r="A2406" t="s">
        <v>1297</v>
      </c>
      <c r="B2406" t="s">
        <v>1298</v>
      </c>
      <c r="C2406" t="s">
        <v>680</v>
      </c>
      <c r="D2406" t="s">
        <v>1342</v>
      </c>
      <c r="E2406" t="s">
        <v>187</v>
      </c>
      <c r="F2406">
        <v>2016</v>
      </c>
      <c r="G2406">
        <v>0.632463</v>
      </c>
    </row>
    <row r="2407" spans="1:7">
      <c r="A2407" t="s">
        <v>1297</v>
      </c>
      <c r="B2407" t="s">
        <v>1298</v>
      </c>
      <c r="C2407" t="s">
        <v>680</v>
      </c>
      <c r="D2407" t="s">
        <v>1342</v>
      </c>
      <c r="E2407" t="s">
        <v>187</v>
      </c>
      <c r="F2407">
        <v>2020</v>
      </c>
      <c r="G2407">
        <v>0.81206100000000003</v>
      </c>
    </row>
    <row r="2408" spans="1:7">
      <c r="A2408" t="s">
        <v>1297</v>
      </c>
      <c r="B2408" t="s">
        <v>1298</v>
      </c>
      <c r="C2408" t="s">
        <v>675</v>
      </c>
      <c r="D2408" t="s">
        <v>1342</v>
      </c>
      <c r="E2408" t="s">
        <v>187</v>
      </c>
      <c r="F2408">
        <v>2005</v>
      </c>
      <c r="G2408">
        <v>1.534</v>
      </c>
    </row>
    <row r="2409" spans="1:7">
      <c r="A2409" t="s">
        <v>1297</v>
      </c>
      <c r="B2409" t="s">
        <v>1298</v>
      </c>
      <c r="C2409" t="s">
        <v>675</v>
      </c>
      <c r="D2409" t="s">
        <v>1342</v>
      </c>
      <c r="E2409" t="s">
        <v>187</v>
      </c>
      <c r="F2409">
        <v>2010</v>
      </c>
      <c r="G2409">
        <v>4.7049370000000001</v>
      </c>
    </row>
    <row r="2410" spans="1:7">
      <c r="A2410" t="s">
        <v>1297</v>
      </c>
      <c r="B2410" t="s">
        <v>1298</v>
      </c>
      <c r="C2410" t="s">
        <v>675</v>
      </c>
      <c r="D2410" t="s">
        <v>1342</v>
      </c>
      <c r="E2410" t="s">
        <v>187</v>
      </c>
      <c r="F2410">
        <v>2012</v>
      </c>
      <c r="G2410">
        <v>5.2271479999999997</v>
      </c>
    </row>
    <row r="2411" spans="1:7">
      <c r="A2411" t="s">
        <v>1297</v>
      </c>
      <c r="B2411" t="s">
        <v>1298</v>
      </c>
      <c r="C2411" t="s">
        <v>675</v>
      </c>
      <c r="D2411" t="s">
        <v>1342</v>
      </c>
      <c r="E2411" t="s">
        <v>187</v>
      </c>
      <c r="F2411">
        <v>2016</v>
      </c>
      <c r="G2411">
        <v>4.0181870000000002</v>
      </c>
    </row>
    <row r="2412" spans="1:7">
      <c r="A2412" t="s">
        <v>1297</v>
      </c>
      <c r="B2412" t="s">
        <v>1298</v>
      </c>
      <c r="C2412" t="s">
        <v>675</v>
      </c>
      <c r="D2412" t="s">
        <v>1342</v>
      </c>
      <c r="E2412" t="s">
        <v>187</v>
      </c>
      <c r="F2412">
        <v>2020</v>
      </c>
      <c r="G2412">
        <v>7.4904580000000003</v>
      </c>
    </row>
    <row r="2413" spans="1:7">
      <c r="A2413" t="s">
        <v>1297</v>
      </c>
      <c r="B2413" t="s">
        <v>1298</v>
      </c>
      <c r="C2413" t="s">
        <v>657</v>
      </c>
      <c r="D2413" t="s">
        <v>1342</v>
      </c>
      <c r="E2413" t="s">
        <v>187</v>
      </c>
      <c r="F2413">
        <v>2005</v>
      </c>
      <c r="G2413">
        <v>56.275508000000002</v>
      </c>
    </row>
    <row r="2414" spans="1:7">
      <c r="A2414" t="s">
        <v>1297</v>
      </c>
      <c r="B2414" t="s">
        <v>1298</v>
      </c>
      <c r="C2414" t="s">
        <v>657</v>
      </c>
      <c r="D2414" t="s">
        <v>1342</v>
      </c>
      <c r="E2414" t="s">
        <v>187</v>
      </c>
      <c r="F2414">
        <v>2010</v>
      </c>
      <c r="G2414">
        <v>81.319109999999995</v>
      </c>
    </row>
    <row r="2415" spans="1:7">
      <c r="A2415" t="s">
        <v>1297</v>
      </c>
      <c r="B2415" t="s">
        <v>1298</v>
      </c>
      <c r="C2415" t="s">
        <v>657</v>
      </c>
      <c r="D2415" t="s">
        <v>1342</v>
      </c>
      <c r="E2415" t="s">
        <v>187</v>
      </c>
      <c r="F2415">
        <v>2012</v>
      </c>
      <c r="G2415">
        <v>90.471968000000004</v>
      </c>
    </row>
    <row r="2416" spans="1:7">
      <c r="A2416" t="s">
        <v>1297</v>
      </c>
      <c r="B2416" t="s">
        <v>1298</v>
      </c>
      <c r="C2416" t="s">
        <v>657</v>
      </c>
      <c r="D2416" t="s">
        <v>1342</v>
      </c>
      <c r="E2416" t="s">
        <v>187</v>
      </c>
      <c r="F2416">
        <v>2016</v>
      </c>
      <c r="G2416">
        <v>105.182993</v>
      </c>
    </row>
    <row r="2417" spans="1:7">
      <c r="A2417" t="s">
        <v>1297</v>
      </c>
      <c r="B2417" t="s">
        <v>1298</v>
      </c>
      <c r="C2417" t="s">
        <v>657</v>
      </c>
      <c r="D2417" t="s">
        <v>1342</v>
      </c>
      <c r="E2417" t="s">
        <v>187</v>
      </c>
      <c r="F2417">
        <v>2020</v>
      </c>
      <c r="G2417">
        <v>129.73875899999999</v>
      </c>
    </row>
    <row r="2418" spans="1:7">
      <c r="A2418" t="s">
        <v>1297</v>
      </c>
      <c r="B2418" t="s">
        <v>1298</v>
      </c>
      <c r="C2418" t="s">
        <v>681</v>
      </c>
      <c r="D2418" t="s">
        <v>1342</v>
      </c>
      <c r="E2418" t="s">
        <v>187</v>
      </c>
      <c r="F2418">
        <v>2016</v>
      </c>
      <c r="G2418">
        <v>3.9468399999999999</v>
      </c>
    </row>
    <row r="2419" spans="1:7">
      <c r="A2419" t="s">
        <v>1297</v>
      </c>
      <c r="B2419" t="s">
        <v>1298</v>
      </c>
      <c r="C2419" t="s">
        <v>681</v>
      </c>
      <c r="D2419" t="s">
        <v>1342</v>
      </c>
      <c r="E2419" t="s">
        <v>187</v>
      </c>
      <c r="F2419">
        <v>2020</v>
      </c>
      <c r="G2419">
        <v>5.1694500000000003</v>
      </c>
    </row>
    <row r="2420" spans="1:7">
      <c r="A2420" t="s">
        <v>1297</v>
      </c>
      <c r="B2420" t="s">
        <v>1298</v>
      </c>
      <c r="C2420" t="s">
        <v>655</v>
      </c>
      <c r="D2420" t="s">
        <v>1342</v>
      </c>
      <c r="E2420" t="s">
        <v>187</v>
      </c>
      <c r="F2420">
        <v>2005</v>
      </c>
      <c r="G2420">
        <v>10.246511999999999</v>
      </c>
    </row>
    <row r="2421" spans="1:7">
      <c r="A2421" t="s">
        <v>1297</v>
      </c>
      <c r="B2421" t="s">
        <v>1298</v>
      </c>
      <c r="C2421" t="s">
        <v>655</v>
      </c>
      <c r="D2421" t="s">
        <v>1342</v>
      </c>
      <c r="E2421" t="s">
        <v>187</v>
      </c>
      <c r="F2421">
        <v>2010</v>
      </c>
      <c r="G2421">
        <v>32.664915000000001</v>
      </c>
    </row>
    <row r="2422" spans="1:7">
      <c r="A2422" t="s">
        <v>1297</v>
      </c>
      <c r="B2422" t="s">
        <v>1298</v>
      </c>
      <c r="C2422" t="s">
        <v>655</v>
      </c>
      <c r="D2422" t="s">
        <v>1342</v>
      </c>
      <c r="E2422" t="s">
        <v>187</v>
      </c>
      <c r="F2422">
        <v>2012</v>
      </c>
      <c r="G2422">
        <v>46.203817000000001</v>
      </c>
    </row>
    <row r="2423" spans="1:7">
      <c r="A2423" t="s">
        <v>1297</v>
      </c>
      <c r="B2423" t="s">
        <v>1298</v>
      </c>
      <c r="C2423" t="s">
        <v>655</v>
      </c>
      <c r="D2423" t="s">
        <v>1342</v>
      </c>
      <c r="E2423" t="s">
        <v>187</v>
      </c>
      <c r="F2423">
        <v>2016</v>
      </c>
      <c r="G2423">
        <v>59.516022</v>
      </c>
    </row>
    <row r="2424" spans="1:7">
      <c r="A2424" t="s">
        <v>1297</v>
      </c>
      <c r="B2424" t="s">
        <v>1298</v>
      </c>
      <c r="C2424" t="s">
        <v>655</v>
      </c>
      <c r="D2424" t="s">
        <v>1342</v>
      </c>
      <c r="E2424" t="s">
        <v>187</v>
      </c>
      <c r="F2424">
        <v>2020</v>
      </c>
      <c r="G2424">
        <v>64.854354999999998</v>
      </c>
    </row>
    <row r="2425" spans="1:7">
      <c r="A2425" t="s">
        <v>1297</v>
      </c>
      <c r="B2425" t="s">
        <v>1298</v>
      </c>
      <c r="C2425" t="s">
        <v>660</v>
      </c>
      <c r="D2425" t="s">
        <v>1342</v>
      </c>
      <c r="E2425" t="s">
        <v>187</v>
      </c>
      <c r="F2425">
        <v>2005</v>
      </c>
      <c r="G2425">
        <v>113.055999</v>
      </c>
    </row>
    <row r="2426" spans="1:7">
      <c r="A2426" t="s">
        <v>1297</v>
      </c>
      <c r="B2426" t="s">
        <v>1298</v>
      </c>
      <c r="C2426" t="s">
        <v>669</v>
      </c>
      <c r="D2426" t="s">
        <v>1343</v>
      </c>
      <c r="E2426" t="s">
        <v>187</v>
      </c>
      <c r="F2426">
        <v>2020</v>
      </c>
      <c r="G2426">
        <v>0.488041</v>
      </c>
    </row>
    <row r="2427" spans="1:7">
      <c r="A2427" t="s">
        <v>1297</v>
      </c>
      <c r="B2427" t="s">
        <v>1298</v>
      </c>
      <c r="C2427" t="s">
        <v>664</v>
      </c>
      <c r="D2427" t="s">
        <v>1343</v>
      </c>
      <c r="E2427" t="s">
        <v>187</v>
      </c>
      <c r="F2427">
        <v>2005</v>
      </c>
      <c r="G2427">
        <v>0.50136899999999995</v>
      </c>
    </row>
    <row r="2428" spans="1:7">
      <c r="A2428" t="s">
        <v>1297</v>
      </c>
      <c r="B2428" t="s">
        <v>1298</v>
      </c>
      <c r="C2428" t="s">
        <v>664</v>
      </c>
      <c r="D2428" t="s">
        <v>1343</v>
      </c>
      <c r="E2428" t="s">
        <v>187</v>
      </c>
      <c r="F2428">
        <v>2010</v>
      </c>
      <c r="G2428">
        <v>4.9124670000000004</v>
      </c>
    </row>
    <row r="2429" spans="1:7">
      <c r="A2429" t="s">
        <v>1297</v>
      </c>
      <c r="B2429" t="s">
        <v>1298</v>
      </c>
      <c r="C2429" t="s">
        <v>664</v>
      </c>
      <c r="D2429" t="s">
        <v>1343</v>
      </c>
      <c r="E2429" t="s">
        <v>187</v>
      </c>
      <c r="F2429">
        <v>2012</v>
      </c>
      <c r="G2429">
        <v>4.083742</v>
      </c>
    </row>
    <row r="2430" spans="1:7">
      <c r="A2430" t="s">
        <v>1297</v>
      </c>
      <c r="B2430" t="s">
        <v>1298</v>
      </c>
      <c r="C2430" t="s">
        <v>664</v>
      </c>
      <c r="D2430" t="s">
        <v>1343</v>
      </c>
      <c r="E2430" t="s">
        <v>187</v>
      </c>
      <c r="F2430">
        <v>2016</v>
      </c>
      <c r="G2430">
        <v>5.9741390000000001</v>
      </c>
    </row>
    <row r="2431" spans="1:7">
      <c r="A2431" t="s">
        <v>1297</v>
      </c>
      <c r="B2431" t="s">
        <v>1298</v>
      </c>
      <c r="C2431" t="s">
        <v>664</v>
      </c>
      <c r="D2431" t="s">
        <v>1343</v>
      </c>
      <c r="E2431" t="s">
        <v>187</v>
      </c>
      <c r="F2431">
        <v>2020</v>
      </c>
      <c r="G2431">
        <v>7.0290290000000004</v>
      </c>
    </row>
    <row r="2432" spans="1:7">
      <c r="A2432" t="s">
        <v>1297</v>
      </c>
      <c r="B2432" t="s">
        <v>1298</v>
      </c>
      <c r="C2432" t="s">
        <v>672</v>
      </c>
      <c r="D2432" t="s">
        <v>1343</v>
      </c>
      <c r="E2432" t="s">
        <v>187</v>
      </c>
      <c r="F2432">
        <v>2005</v>
      </c>
      <c r="G2432">
        <v>6.0504949999999997</v>
      </c>
    </row>
    <row r="2433" spans="1:7">
      <c r="A2433" t="s">
        <v>1297</v>
      </c>
      <c r="B2433" t="s">
        <v>1298</v>
      </c>
      <c r="C2433" t="s">
        <v>672</v>
      </c>
      <c r="D2433" t="s">
        <v>1343</v>
      </c>
      <c r="E2433" t="s">
        <v>187</v>
      </c>
      <c r="F2433">
        <v>2010</v>
      </c>
      <c r="G2433">
        <v>22.914802000000002</v>
      </c>
    </row>
    <row r="2434" spans="1:7">
      <c r="A2434" t="s">
        <v>1297</v>
      </c>
      <c r="B2434" t="s">
        <v>1298</v>
      </c>
      <c r="C2434" t="s">
        <v>672</v>
      </c>
      <c r="D2434" t="s">
        <v>1343</v>
      </c>
      <c r="E2434" t="s">
        <v>187</v>
      </c>
      <c r="F2434">
        <v>2012</v>
      </c>
      <c r="G2434">
        <v>22.653997</v>
      </c>
    </row>
    <row r="2435" spans="1:7">
      <c r="A2435" t="s">
        <v>1297</v>
      </c>
      <c r="B2435" t="s">
        <v>1298</v>
      </c>
      <c r="C2435" t="s">
        <v>672</v>
      </c>
      <c r="D2435" t="s">
        <v>1343</v>
      </c>
      <c r="E2435" t="s">
        <v>187</v>
      </c>
      <c r="F2435">
        <v>2016</v>
      </c>
      <c r="G2435">
        <v>22.634105999999999</v>
      </c>
    </row>
    <row r="2436" spans="1:7">
      <c r="A2436" t="s">
        <v>1297</v>
      </c>
      <c r="B2436" t="s">
        <v>1298</v>
      </c>
      <c r="C2436" t="s">
        <v>672</v>
      </c>
      <c r="D2436" t="s">
        <v>1343</v>
      </c>
      <c r="E2436" t="s">
        <v>187</v>
      </c>
      <c r="F2436">
        <v>2020</v>
      </c>
      <c r="G2436">
        <v>23.696576</v>
      </c>
    </row>
    <row r="2437" spans="1:7">
      <c r="A2437" t="s">
        <v>1297</v>
      </c>
      <c r="B2437" t="s">
        <v>1298</v>
      </c>
      <c r="C2437" t="s">
        <v>666</v>
      </c>
      <c r="D2437" t="s">
        <v>1343</v>
      </c>
      <c r="E2437" t="s">
        <v>187</v>
      </c>
      <c r="F2437">
        <v>2005</v>
      </c>
      <c r="G2437">
        <v>5.785253</v>
      </c>
    </row>
    <row r="2438" spans="1:7">
      <c r="A2438" t="s">
        <v>1297</v>
      </c>
      <c r="B2438" t="s">
        <v>1298</v>
      </c>
      <c r="C2438" t="s">
        <v>666</v>
      </c>
      <c r="D2438" t="s">
        <v>1343</v>
      </c>
      <c r="E2438" t="s">
        <v>187</v>
      </c>
      <c r="F2438">
        <v>2010</v>
      </c>
      <c r="G2438">
        <v>12.012437</v>
      </c>
    </row>
    <row r="2439" spans="1:7">
      <c r="A2439" t="s">
        <v>1297</v>
      </c>
      <c r="B2439" t="s">
        <v>1298</v>
      </c>
      <c r="C2439" t="s">
        <v>666</v>
      </c>
      <c r="D2439" t="s">
        <v>1343</v>
      </c>
      <c r="E2439" t="s">
        <v>187</v>
      </c>
      <c r="F2439">
        <v>2012</v>
      </c>
      <c r="G2439">
        <v>16.456201</v>
      </c>
    </row>
    <row r="2440" spans="1:7">
      <c r="A2440" t="s">
        <v>1297</v>
      </c>
      <c r="B2440" t="s">
        <v>1298</v>
      </c>
      <c r="C2440" t="s">
        <v>666</v>
      </c>
      <c r="D2440" t="s">
        <v>1343</v>
      </c>
      <c r="E2440" t="s">
        <v>187</v>
      </c>
      <c r="F2440">
        <v>2016</v>
      </c>
      <c r="G2440">
        <v>30.898980000000002</v>
      </c>
    </row>
    <row r="2441" spans="1:7">
      <c r="A2441" t="s">
        <v>1297</v>
      </c>
      <c r="B2441" t="s">
        <v>1298</v>
      </c>
      <c r="C2441" t="s">
        <v>666</v>
      </c>
      <c r="D2441" t="s">
        <v>1343</v>
      </c>
      <c r="E2441" t="s">
        <v>187</v>
      </c>
      <c r="F2441">
        <v>2020</v>
      </c>
      <c r="G2441">
        <v>37.080390999999999</v>
      </c>
    </row>
    <row r="2442" spans="1:7">
      <c r="A2442" t="s">
        <v>1297</v>
      </c>
      <c r="B2442" t="s">
        <v>1298</v>
      </c>
      <c r="C2442" t="s">
        <v>652</v>
      </c>
      <c r="D2442" t="s">
        <v>1343</v>
      </c>
      <c r="E2442" t="s">
        <v>187</v>
      </c>
      <c r="F2442">
        <v>2005</v>
      </c>
      <c r="G2442">
        <v>7.3925830000000001</v>
      </c>
    </row>
    <row r="2443" spans="1:7">
      <c r="A2443" t="s">
        <v>1297</v>
      </c>
      <c r="B2443" t="s">
        <v>1298</v>
      </c>
      <c r="C2443" t="s">
        <v>652</v>
      </c>
      <c r="D2443" t="s">
        <v>1343</v>
      </c>
      <c r="E2443" t="s">
        <v>187</v>
      </c>
      <c r="F2443">
        <v>2010</v>
      </c>
      <c r="G2443">
        <v>33.000298000000001</v>
      </c>
    </row>
    <row r="2444" spans="1:7">
      <c r="A2444" t="s">
        <v>1297</v>
      </c>
      <c r="B2444" t="s">
        <v>1298</v>
      </c>
      <c r="C2444" t="s">
        <v>652</v>
      </c>
      <c r="D2444" t="s">
        <v>1343</v>
      </c>
      <c r="E2444" t="s">
        <v>187</v>
      </c>
      <c r="F2444">
        <v>2012</v>
      </c>
      <c r="G2444">
        <v>35.501595000000002</v>
      </c>
    </row>
    <row r="2445" spans="1:7">
      <c r="A2445" t="s">
        <v>1297</v>
      </c>
      <c r="B2445" t="s">
        <v>1298</v>
      </c>
      <c r="C2445" t="s">
        <v>652</v>
      </c>
      <c r="D2445" t="s">
        <v>1343</v>
      </c>
      <c r="E2445" t="s">
        <v>187</v>
      </c>
      <c r="F2445">
        <v>2016</v>
      </c>
      <c r="G2445">
        <v>40.954577</v>
      </c>
    </row>
    <row r="2446" spans="1:7">
      <c r="A2446" t="s">
        <v>1297</v>
      </c>
      <c r="B2446" t="s">
        <v>1298</v>
      </c>
      <c r="C2446" t="s">
        <v>652</v>
      </c>
      <c r="D2446" t="s">
        <v>1343</v>
      </c>
      <c r="E2446" t="s">
        <v>187</v>
      </c>
      <c r="F2446">
        <v>2020</v>
      </c>
      <c r="G2446">
        <v>42.587992999999997</v>
      </c>
    </row>
    <row r="2447" spans="1:7">
      <c r="A2447" t="s">
        <v>1297</v>
      </c>
      <c r="B2447" t="s">
        <v>1298</v>
      </c>
      <c r="C2447" t="s">
        <v>665</v>
      </c>
      <c r="D2447" t="s">
        <v>1343</v>
      </c>
      <c r="E2447" t="s">
        <v>187</v>
      </c>
      <c r="F2447">
        <v>2005</v>
      </c>
      <c r="G2447">
        <v>33.126131000000001</v>
      </c>
    </row>
    <row r="2448" spans="1:7">
      <c r="A2448" t="s">
        <v>1297</v>
      </c>
      <c r="B2448" t="s">
        <v>1298</v>
      </c>
      <c r="C2448" t="s">
        <v>665</v>
      </c>
      <c r="D2448" t="s">
        <v>1343</v>
      </c>
      <c r="E2448" t="s">
        <v>187</v>
      </c>
      <c r="F2448">
        <v>2010</v>
      </c>
      <c r="G2448">
        <v>104.611458</v>
      </c>
    </row>
    <row r="2449" spans="1:7">
      <c r="A2449" t="s">
        <v>1297</v>
      </c>
      <c r="B2449" t="s">
        <v>1298</v>
      </c>
      <c r="C2449" t="s">
        <v>665</v>
      </c>
      <c r="D2449" t="s">
        <v>1343</v>
      </c>
      <c r="E2449" t="s">
        <v>187</v>
      </c>
      <c r="F2449">
        <v>2012</v>
      </c>
      <c r="G2449">
        <v>126.793648</v>
      </c>
    </row>
    <row r="2450" spans="1:7">
      <c r="A2450" t="s">
        <v>1297</v>
      </c>
      <c r="B2450" t="s">
        <v>1298</v>
      </c>
      <c r="C2450" t="s">
        <v>665</v>
      </c>
      <c r="D2450" t="s">
        <v>1343</v>
      </c>
      <c r="E2450" t="s">
        <v>187</v>
      </c>
      <c r="F2450">
        <v>2016</v>
      </c>
      <c r="G2450">
        <v>152.405304</v>
      </c>
    </row>
    <row r="2451" spans="1:7">
      <c r="A2451" t="s">
        <v>1297</v>
      </c>
      <c r="B2451" t="s">
        <v>1298</v>
      </c>
      <c r="C2451" t="s">
        <v>665</v>
      </c>
      <c r="D2451" t="s">
        <v>1343</v>
      </c>
      <c r="E2451" t="s">
        <v>187</v>
      </c>
      <c r="F2451">
        <v>2020</v>
      </c>
      <c r="G2451">
        <v>165.754423</v>
      </c>
    </row>
    <row r="2452" spans="1:7">
      <c r="A2452" t="s">
        <v>1297</v>
      </c>
      <c r="B2452" t="s">
        <v>1298</v>
      </c>
      <c r="C2452" t="s">
        <v>653</v>
      </c>
      <c r="D2452" t="s">
        <v>1343</v>
      </c>
      <c r="E2452" t="s">
        <v>187</v>
      </c>
      <c r="F2452">
        <v>2005</v>
      </c>
      <c r="G2452">
        <v>3.1E-2</v>
      </c>
    </row>
    <row r="2453" spans="1:7">
      <c r="A2453" t="s">
        <v>1297</v>
      </c>
      <c r="B2453" t="s">
        <v>1298</v>
      </c>
      <c r="C2453" t="s">
        <v>653</v>
      </c>
      <c r="D2453" t="s">
        <v>1343</v>
      </c>
      <c r="E2453" t="s">
        <v>187</v>
      </c>
      <c r="F2453">
        <v>2010</v>
      </c>
      <c r="G2453">
        <v>1.122873</v>
      </c>
    </row>
    <row r="2454" spans="1:7">
      <c r="A2454" t="s">
        <v>1297</v>
      </c>
      <c r="B2454" t="s">
        <v>1298</v>
      </c>
      <c r="C2454" t="s">
        <v>653</v>
      </c>
      <c r="D2454" t="s">
        <v>1343</v>
      </c>
      <c r="E2454" t="s">
        <v>187</v>
      </c>
      <c r="F2454">
        <v>2012</v>
      </c>
      <c r="G2454">
        <v>3.964353</v>
      </c>
    </row>
    <row r="2455" spans="1:7">
      <c r="A2455" t="s">
        <v>1297</v>
      </c>
      <c r="B2455" t="s">
        <v>1298</v>
      </c>
      <c r="C2455" t="s">
        <v>660</v>
      </c>
      <c r="D2455" t="s">
        <v>1343</v>
      </c>
      <c r="E2455" t="s">
        <v>187</v>
      </c>
      <c r="F2455">
        <v>2012</v>
      </c>
      <c r="G2455">
        <v>124.87320200000001</v>
      </c>
    </row>
    <row r="2456" spans="1:7">
      <c r="A2456" t="s">
        <v>1297</v>
      </c>
      <c r="B2456" t="s">
        <v>1298</v>
      </c>
      <c r="C2456" t="s">
        <v>660</v>
      </c>
      <c r="D2456" t="s">
        <v>1343</v>
      </c>
      <c r="E2456" t="s">
        <v>187</v>
      </c>
      <c r="F2456">
        <v>2016</v>
      </c>
      <c r="G2456">
        <v>135.42261400000001</v>
      </c>
    </row>
    <row r="2457" spans="1:7">
      <c r="A2457" t="s">
        <v>1297</v>
      </c>
      <c r="B2457" t="s">
        <v>1298</v>
      </c>
      <c r="C2457" t="s">
        <v>660</v>
      </c>
      <c r="D2457" t="s">
        <v>1343</v>
      </c>
      <c r="E2457" t="s">
        <v>187</v>
      </c>
      <c r="F2457">
        <v>2020</v>
      </c>
      <c r="G2457">
        <v>152.35379599999999</v>
      </c>
    </row>
    <row r="2458" spans="1:7">
      <c r="A2458" t="s">
        <v>1297</v>
      </c>
      <c r="B2458" t="s">
        <v>1298</v>
      </c>
      <c r="C2458" t="s">
        <v>1300</v>
      </c>
      <c r="D2458" t="s">
        <v>1343</v>
      </c>
      <c r="E2458" t="s">
        <v>187</v>
      </c>
      <c r="F2458">
        <v>2010</v>
      </c>
      <c r="G2458">
        <v>0.189</v>
      </c>
    </row>
    <row r="2459" spans="1:7">
      <c r="A2459" t="s">
        <v>1297</v>
      </c>
      <c r="B2459" t="s">
        <v>1298</v>
      </c>
      <c r="C2459" t="s">
        <v>1300</v>
      </c>
      <c r="D2459" t="s">
        <v>1343</v>
      </c>
      <c r="E2459" t="s">
        <v>187</v>
      </c>
      <c r="F2459">
        <v>2012</v>
      </c>
      <c r="G2459">
        <v>0.159</v>
      </c>
    </row>
    <row r="2460" spans="1:7">
      <c r="A2460" t="s">
        <v>1297</v>
      </c>
      <c r="B2460" t="s">
        <v>1298</v>
      </c>
      <c r="C2460" t="s">
        <v>663</v>
      </c>
      <c r="D2460" t="s">
        <v>1343</v>
      </c>
      <c r="E2460" t="s">
        <v>187</v>
      </c>
      <c r="F2460">
        <v>2005</v>
      </c>
      <c r="G2460">
        <v>6.916696</v>
      </c>
    </row>
    <row r="2461" spans="1:7">
      <c r="A2461" t="s">
        <v>1297</v>
      </c>
      <c r="B2461" t="s">
        <v>1298</v>
      </c>
      <c r="C2461" t="s">
        <v>663</v>
      </c>
      <c r="D2461" t="s">
        <v>1343</v>
      </c>
      <c r="E2461" t="s">
        <v>187</v>
      </c>
      <c r="F2461">
        <v>2010</v>
      </c>
      <c r="G2461">
        <v>18.681652</v>
      </c>
    </row>
    <row r="2462" spans="1:7">
      <c r="A2462" t="s">
        <v>1297</v>
      </c>
      <c r="B2462" t="s">
        <v>1298</v>
      </c>
      <c r="C2462" t="s">
        <v>663</v>
      </c>
      <c r="D2462" t="s">
        <v>1343</v>
      </c>
      <c r="E2462" t="s">
        <v>187</v>
      </c>
      <c r="F2462">
        <v>2012</v>
      </c>
      <c r="G2462">
        <v>16.064077000000001</v>
      </c>
    </row>
    <row r="2463" spans="1:7">
      <c r="A2463" t="s">
        <v>1297</v>
      </c>
      <c r="B2463" t="s">
        <v>1298</v>
      </c>
      <c r="C2463" t="s">
        <v>663</v>
      </c>
      <c r="D2463" t="s">
        <v>1343</v>
      </c>
      <c r="E2463" t="s">
        <v>187</v>
      </c>
      <c r="F2463">
        <v>2016</v>
      </c>
      <c r="G2463">
        <v>18.74099</v>
      </c>
    </row>
    <row r="2464" spans="1:7">
      <c r="A2464" t="s">
        <v>1297</v>
      </c>
      <c r="B2464" t="s">
        <v>1298</v>
      </c>
      <c r="C2464" t="s">
        <v>663</v>
      </c>
      <c r="D2464" t="s">
        <v>1343</v>
      </c>
      <c r="E2464" t="s">
        <v>187</v>
      </c>
      <c r="F2464">
        <v>2020</v>
      </c>
      <c r="G2464">
        <v>19.402861999999999</v>
      </c>
    </row>
    <row r="2465" spans="1:7">
      <c r="A2465" t="s">
        <v>1297</v>
      </c>
      <c r="B2465" t="s">
        <v>1298</v>
      </c>
      <c r="C2465" t="s">
        <v>686</v>
      </c>
      <c r="D2465" t="s">
        <v>1343</v>
      </c>
      <c r="E2465" t="s">
        <v>187</v>
      </c>
      <c r="F2465">
        <v>2010</v>
      </c>
      <c r="G2465">
        <v>6.7000000000000004E-2</v>
      </c>
    </row>
    <row r="2466" spans="1:7">
      <c r="A2466" t="s">
        <v>1297</v>
      </c>
      <c r="B2466" t="s">
        <v>1298</v>
      </c>
      <c r="C2466" t="s">
        <v>686</v>
      </c>
      <c r="D2466" t="s">
        <v>1343</v>
      </c>
      <c r="E2466" t="s">
        <v>187</v>
      </c>
      <c r="F2466">
        <v>2012</v>
      </c>
      <c r="G2466">
        <v>0.35260000000000002</v>
      </c>
    </row>
    <row r="2467" spans="1:7">
      <c r="A2467" t="s">
        <v>1297</v>
      </c>
      <c r="B2467" t="s">
        <v>1298</v>
      </c>
      <c r="C2467" t="s">
        <v>686</v>
      </c>
      <c r="D2467" t="s">
        <v>1343</v>
      </c>
      <c r="E2467" t="s">
        <v>187</v>
      </c>
      <c r="F2467">
        <v>2016</v>
      </c>
      <c r="G2467">
        <v>0.72040400000000004</v>
      </c>
    </row>
    <row r="2468" spans="1:7">
      <c r="A2468" t="s">
        <v>1297</v>
      </c>
      <c r="B2468" t="s">
        <v>1298</v>
      </c>
      <c r="C2468" t="s">
        <v>686</v>
      </c>
      <c r="D2468" t="s">
        <v>1343</v>
      </c>
      <c r="E2468" t="s">
        <v>187</v>
      </c>
      <c r="F2468">
        <v>2020</v>
      </c>
      <c r="G2468">
        <v>1.152601</v>
      </c>
    </row>
    <row r="2469" spans="1:7">
      <c r="A2469" t="s">
        <v>1297</v>
      </c>
      <c r="B2469" t="s">
        <v>1298</v>
      </c>
      <c r="C2469" t="s">
        <v>659</v>
      </c>
      <c r="D2469" t="s">
        <v>1343</v>
      </c>
      <c r="E2469" t="s">
        <v>187</v>
      </c>
      <c r="F2469">
        <v>2005</v>
      </c>
      <c r="G2469">
        <v>20.655353999999999</v>
      </c>
    </row>
    <row r="2470" spans="1:7">
      <c r="A2470" t="s">
        <v>1297</v>
      </c>
      <c r="B2470" t="s">
        <v>1298</v>
      </c>
      <c r="C2470" t="s">
        <v>659</v>
      </c>
      <c r="D2470" t="s">
        <v>1343</v>
      </c>
      <c r="E2470" t="s">
        <v>187</v>
      </c>
      <c r="F2470">
        <v>2010</v>
      </c>
      <c r="G2470">
        <v>76.405434</v>
      </c>
    </row>
    <row r="2471" spans="1:7">
      <c r="A2471" t="s">
        <v>1297</v>
      </c>
      <c r="B2471" t="s">
        <v>1298</v>
      </c>
      <c r="C2471" t="s">
        <v>659</v>
      </c>
      <c r="D2471" t="s">
        <v>1343</v>
      </c>
      <c r="E2471" t="s">
        <v>187</v>
      </c>
      <c r="F2471">
        <v>2012</v>
      </c>
      <c r="G2471">
        <v>109.191312</v>
      </c>
    </row>
    <row r="2472" spans="1:7">
      <c r="A2472" t="s">
        <v>1297</v>
      </c>
      <c r="B2472" t="s">
        <v>1298</v>
      </c>
      <c r="C2472" t="s">
        <v>659</v>
      </c>
      <c r="D2472" t="s">
        <v>1343</v>
      </c>
      <c r="E2472" t="s">
        <v>187</v>
      </c>
      <c r="F2472">
        <v>2016</v>
      </c>
      <c r="G2472">
        <v>69.292613000000003</v>
      </c>
    </row>
    <row r="2473" spans="1:7">
      <c r="A2473" t="s">
        <v>1297</v>
      </c>
      <c r="B2473" t="s">
        <v>1298</v>
      </c>
      <c r="C2473" t="s">
        <v>659</v>
      </c>
      <c r="D2473" t="s">
        <v>1343</v>
      </c>
      <c r="E2473" t="s">
        <v>187</v>
      </c>
      <c r="F2473">
        <v>2020</v>
      </c>
      <c r="G2473">
        <v>89.993153000000007</v>
      </c>
    </row>
    <row r="2474" spans="1:7">
      <c r="A2474" t="s">
        <v>1297</v>
      </c>
      <c r="B2474" t="s">
        <v>1298</v>
      </c>
      <c r="C2474" t="s">
        <v>653</v>
      </c>
      <c r="D2474" t="s">
        <v>1343</v>
      </c>
      <c r="E2474" t="s">
        <v>187</v>
      </c>
      <c r="F2474">
        <v>2016</v>
      </c>
      <c r="G2474">
        <v>9.1037970000000001</v>
      </c>
    </row>
    <row r="2475" spans="1:7">
      <c r="A2475" t="s">
        <v>1297</v>
      </c>
      <c r="B2475" t="s">
        <v>1298</v>
      </c>
      <c r="C2475" t="s">
        <v>653</v>
      </c>
      <c r="D2475" t="s">
        <v>1343</v>
      </c>
      <c r="E2475" t="s">
        <v>187</v>
      </c>
      <c r="F2475">
        <v>2020</v>
      </c>
      <c r="G2475">
        <v>21.364508000000001</v>
      </c>
    </row>
    <row r="2476" spans="1:7">
      <c r="A2476" t="s">
        <v>1297</v>
      </c>
      <c r="B2476" t="s">
        <v>1298</v>
      </c>
      <c r="C2476" t="s">
        <v>654</v>
      </c>
      <c r="D2476" t="s">
        <v>1343</v>
      </c>
      <c r="E2476" t="s">
        <v>187</v>
      </c>
      <c r="F2476">
        <v>2005</v>
      </c>
      <c r="G2476">
        <v>6.1600000000000002E-2</v>
      </c>
    </row>
    <row r="2477" spans="1:7">
      <c r="A2477" t="s">
        <v>1297</v>
      </c>
      <c r="B2477" t="s">
        <v>1298</v>
      </c>
      <c r="C2477" t="s">
        <v>654</v>
      </c>
      <c r="D2477" t="s">
        <v>1343</v>
      </c>
      <c r="E2477" t="s">
        <v>187</v>
      </c>
      <c r="F2477">
        <v>2010</v>
      </c>
      <c r="G2477">
        <v>0.38294600000000001</v>
      </c>
    </row>
    <row r="2478" spans="1:7">
      <c r="A2478" t="s">
        <v>1297</v>
      </c>
      <c r="B2478" t="s">
        <v>1298</v>
      </c>
      <c r="C2478" t="s">
        <v>654</v>
      </c>
      <c r="D2478" t="s">
        <v>1343</v>
      </c>
      <c r="E2478" t="s">
        <v>187</v>
      </c>
      <c r="F2478">
        <v>2012</v>
      </c>
      <c r="G2478">
        <v>0.49884800000000001</v>
      </c>
    </row>
    <row r="2479" spans="1:7">
      <c r="A2479" t="s">
        <v>1297</v>
      </c>
      <c r="B2479" t="s">
        <v>1298</v>
      </c>
      <c r="C2479" t="s">
        <v>654</v>
      </c>
      <c r="D2479" t="s">
        <v>1343</v>
      </c>
      <c r="E2479" t="s">
        <v>187</v>
      </c>
      <c r="F2479">
        <v>2016</v>
      </c>
      <c r="G2479">
        <v>0.29627599999999998</v>
      </c>
    </row>
    <row r="2480" spans="1:7">
      <c r="A2480" t="s">
        <v>1297</v>
      </c>
      <c r="B2480" t="s">
        <v>1298</v>
      </c>
      <c r="C2480" t="s">
        <v>654</v>
      </c>
      <c r="D2480" t="s">
        <v>1343</v>
      </c>
      <c r="E2480" t="s">
        <v>187</v>
      </c>
      <c r="F2480">
        <v>2020</v>
      </c>
      <c r="G2480">
        <v>0.43868499999999999</v>
      </c>
    </row>
    <row r="2481" spans="1:7">
      <c r="A2481" t="s">
        <v>1297</v>
      </c>
      <c r="B2481" t="s">
        <v>1298</v>
      </c>
      <c r="C2481" t="s">
        <v>1301</v>
      </c>
      <c r="D2481" t="s">
        <v>1343</v>
      </c>
      <c r="E2481" t="s">
        <v>187</v>
      </c>
      <c r="F2481">
        <v>2005</v>
      </c>
      <c r="G2481">
        <v>0.122459</v>
      </c>
    </row>
    <row r="2482" spans="1:7">
      <c r="A2482" t="s">
        <v>1297</v>
      </c>
      <c r="B2482" t="s">
        <v>1298</v>
      </c>
      <c r="C2482" t="s">
        <v>1301</v>
      </c>
      <c r="D2482" t="s">
        <v>1343</v>
      </c>
      <c r="E2482" t="s">
        <v>187</v>
      </c>
      <c r="F2482">
        <v>2010</v>
      </c>
      <c r="G2482">
        <v>1.6772260000000001</v>
      </c>
    </row>
    <row r="2483" spans="1:7">
      <c r="A2483" t="s">
        <v>1297</v>
      </c>
      <c r="B2483" t="s">
        <v>1298</v>
      </c>
      <c r="C2483" t="s">
        <v>1301</v>
      </c>
      <c r="D2483" t="s">
        <v>1343</v>
      </c>
      <c r="E2483" t="s">
        <v>187</v>
      </c>
      <c r="F2483">
        <v>2012</v>
      </c>
      <c r="G2483">
        <v>4.097588</v>
      </c>
    </row>
    <row r="2484" spans="1:7">
      <c r="A2484" t="s">
        <v>1297</v>
      </c>
      <c r="B2484" t="s">
        <v>1298</v>
      </c>
      <c r="C2484" t="s">
        <v>1301</v>
      </c>
      <c r="D2484" t="s">
        <v>1343</v>
      </c>
      <c r="E2484" t="s">
        <v>187</v>
      </c>
      <c r="F2484">
        <v>2016</v>
      </c>
      <c r="G2484">
        <v>14.374271999999999</v>
      </c>
    </row>
    <row r="2485" spans="1:7">
      <c r="A2485" t="s">
        <v>1297</v>
      </c>
      <c r="B2485" t="s">
        <v>1298</v>
      </c>
      <c r="C2485" t="s">
        <v>1301</v>
      </c>
      <c r="D2485" t="s">
        <v>1343</v>
      </c>
      <c r="E2485" t="s">
        <v>187</v>
      </c>
      <c r="F2485">
        <v>2020</v>
      </c>
      <c r="G2485">
        <v>7.0063000000000004</v>
      </c>
    </row>
    <row r="2486" spans="1:7">
      <c r="A2486" t="s">
        <v>1297</v>
      </c>
      <c r="B2486" t="s">
        <v>1298</v>
      </c>
      <c r="C2486" t="s">
        <v>671</v>
      </c>
      <c r="D2486" t="s">
        <v>1343</v>
      </c>
      <c r="E2486" t="s">
        <v>187</v>
      </c>
      <c r="F2486">
        <v>2005</v>
      </c>
      <c r="G2486">
        <v>9.9888010000000005</v>
      </c>
    </row>
    <row r="2487" spans="1:7">
      <c r="A2487" t="s">
        <v>1297</v>
      </c>
      <c r="B2487" t="s">
        <v>1298</v>
      </c>
      <c r="C2487" t="s">
        <v>671</v>
      </c>
      <c r="D2487" t="s">
        <v>1343</v>
      </c>
      <c r="E2487" t="s">
        <v>187</v>
      </c>
      <c r="F2487">
        <v>2010</v>
      </c>
      <c r="G2487">
        <v>60.840116000000002</v>
      </c>
    </row>
    <row r="2488" spans="1:7">
      <c r="A2488" t="s">
        <v>1297</v>
      </c>
      <c r="B2488" t="s">
        <v>1298</v>
      </c>
      <c r="C2488" t="s">
        <v>671</v>
      </c>
      <c r="D2488" t="s">
        <v>1343</v>
      </c>
      <c r="E2488" t="s">
        <v>187</v>
      </c>
      <c r="F2488">
        <v>2012</v>
      </c>
      <c r="G2488">
        <v>87.869176999999993</v>
      </c>
    </row>
    <row r="2489" spans="1:7">
      <c r="A2489" t="s">
        <v>1297</v>
      </c>
      <c r="B2489" t="s">
        <v>1298</v>
      </c>
      <c r="C2489" t="s">
        <v>671</v>
      </c>
      <c r="D2489" t="s">
        <v>1343</v>
      </c>
      <c r="E2489" t="s">
        <v>187</v>
      </c>
      <c r="F2489">
        <v>2016</v>
      </c>
      <c r="G2489">
        <v>60.960982999999999</v>
      </c>
    </row>
    <row r="2490" spans="1:7">
      <c r="A2490" t="s">
        <v>1297</v>
      </c>
      <c r="B2490" t="s">
        <v>1298</v>
      </c>
      <c r="C2490" t="s">
        <v>671</v>
      </c>
      <c r="D2490" t="s">
        <v>1343</v>
      </c>
      <c r="E2490" t="s">
        <v>187</v>
      </c>
      <c r="F2490">
        <v>2020</v>
      </c>
      <c r="G2490">
        <v>83.983532999999994</v>
      </c>
    </row>
    <row r="2491" spans="1:7">
      <c r="A2491" t="s">
        <v>1297</v>
      </c>
      <c r="B2491" t="s">
        <v>1298</v>
      </c>
      <c r="C2491" t="s">
        <v>1300</v>
      </c>
      <c r="D2491" t="s">
        <v>1343</v>
      </c>
      <c r="E2491" t="s">
        <v>187</v>
      </c>
      <c r="F2491">
        <v>2016</v>
      </c>
      <c r="G2491">
        <v>0.37922800000000001</v>
      </c>
    </row>
    <row r="2492" spans="1:7">
      <c r="A2492" t="s">
        <v>1297</v>
      </c>
      <c r="B2492" t="s">
        <v>1298</v>
      </c>
      <c r="C2492" t="s">
        <v>1300</v>
      </c>
      <c r="D2492" t="s">
        <v>1343</v>
      </c>
      <c r="E2492" t="s">
        <v>187</v>
      </c>
      <c r="F2492">
        <v>2020</v>
      </c>
      <c r="G2492">
        <v>0.48424299999999998</v>
      </c>
    </row>
    <row r="2493" spans="1:7">
      <c r="A2493" t="s">
        <v>1297</v>
      </c>
      <c r="B2493" t="s">
        <v>1298</v>
      </c>
      <c r="C2493" t="s">
        <v>670</v>
      </c>
      <c r="D2493" t="s">
        <v>1343</v>
      </c>
      <c r="E2493" t="s">
        <v>187</v>
      </c>
      <c r="F2493">
        <v>2005</v>
      </c>
      <c r="G2493">
        <v>24.000565000000002</v>
      </c>
    </row>
    <row r="2494" spans="1:7">
      <c r="A2494" t="s">
        <v>1297</v>
      </c>
      <c r="B2494" t="s">
        <v>1298</v>
      </c>
      <c r="C2494" t="s">
        <v>670</v>
      </c>
      <c r="D2494" t="s">
        <v>1343</v>
      </c>
      <c r="E2494" t="s">
        <v>187</v>
      </c>
      <c r="F2494">
        <v>2010</v>
      </c>
      <c r="G2494">
        <v>41.839294000000002</v>
      </c>
    </row>
    <row r="2495" spans="1:7">
      <c r="A2495" t="s">
        <v>1297</v>
      </c>
      <c r="B2495" t="s">
        <v>1298</v>
      </c>
      <c r="C2495" t="s">
        <v>670</v>
      </c>
      <c r="D2495" t="s">
        <v>1343</v>
      </c>
      <c r="E2495" t="s">
        <v>187</v>
      </c>
      <c r="F2495">
        <v>2012</v>
      </c>
      <c r="G2495">
        <v>49.928317999999997</v>
      </c>
    </row>
    <row r="2496" spans="1:7">
      <c r="A2496" t="s">
        <v>1297</v>
      </c>
      <c r="B2496" t="s">
        <v>1298</v>
      </c>
      <c r="C2496" t="s">
        <v>670</v>
      </c>
      <c r="D2496" t="s">
        <v>1343</v>
      </c>
      <c r="E2496" t="s">
        <v>187</v>
      </c>
      <c r="F2496">
        <v>2016</v>
      </c>
      <c r="G2496">
        <v>45.709066</v>
      </c>
    </row>
    <row r="2497" spans="1:7">
      <c r="A2497" t="s">
        <v>1297</v>
      </c>
      <c r="B2497" t="s">
        <v>1298</v>
      </c>
      <c r="C2497" t="s">
        <v>670</v>
      </c>
      <c r="D2497" t="s">
        <v>1343</v>
      </c>
      <c r="E2497" t="s">
        <v>187</v>
      </c>
      <c r="F2497">
        <v>2020</v>
      </c>
      <c r="G2497">
        <v>77.126811000000004</v>
      </c>
    </row>
    <row r="2498" spans="1:7">
      <c r="A2498" t="s">
        <v>1297</v>
      </c>
      <c r="B2498" t="s">
        <v>1298</v>
      </c>
      <c r="C2498" t="s">
        <v>679</v>
      </c>
      <c r="D2498" t="s">
        <v>1343</v>
      </c>
      <c r="E2498" t="s">
        <v>187</v>
      </c>
      <c r="F2498">
        <v>2005</v>
      </c>
      <c r="G2498">
        <v>6.1227309999999999</v>
      </c>
    </row>
    <row r="2499" spans="1:7">
      <c r="A2499" t="s">
        <v>1297</v>
      </c>
      <c r="B2499" t="s">
        <v>1298</v>
      </c>
      <c r="C2499" t="s">
        <v>679</v>
      </c>
      <c r="D2499" t="s">
        <v>1343</v>
      </c>
      <c r="E2499" t="s">
        <v>187</v>
      </c>
      <c r="F2499">
        <v>2010</v>
      </c>
      <c r="G2499">
        <v>13.605812999999999</v>
      </c>
    </row>
    <row r="2500" spans="1:7">
      <c r="A2500" t="s">
        <v>1297</v>
      </c>
      <c r="B2500" t="s">
        <v>1298</v>
      </c>
      <c r="C2500" t="s">
        <v>679</v>
      </c>
      <c r="D2500" t="s">
        <v>1343</v>
      </c>
      <c r="E2500" t="s">
        <v>187</v>
      </c>
      <c r="F2500">
        <v>2012</v>
      </c>
      <c r="G2500">
        <v>14.674763</v>
      </c>
    </row>
    <row r="2501" spans="1:7">
      <c r="A2501" t="s">
        <v>1297</v>
      </c>
      <c r="B2501" t="s">
        <v>1298</v>
      </c>
      <c r="C2501" t="s">
        <v>679</v>
      </c>
      <c r="D2501" t="s">
        <v>1343</v>
      </c>
      <c r="E2501" t="s">
        <v>187</v>
      </c>
      <c r="F2501">
        <v>2016</v>
      </c>
      <c r="G2501">
        <v>27.522455000000001</v>
      </c>
    </row>
    <row r="2502" spans="1:7">
      <c r="A2502" t="s">
        <v>1297</v>
      </c>
      <c r="B2502" t="s">
        <v>1298</v>
      </c>
      <c r="C2502" t="s">
        <v>679</v>
      </c>
      <c r="D2502" t="s">
        <v>1343</v>
      </c>
      <c r="E2502" t="s">
        <v>187</v>
      </c>
      <c r="F2502">
        <v>2020</v>
      </c>
      <c r="G2502">
        <v>34.867382999999997</v>
      </c>
    </row>
    <row r="2503" spans="1:7">
      <c r="A2503" t="s">
        <v>1297</v>
      </c>
      <c r="B2503" t="s">
        <v>1298</v>
      </c>
      <c r="C2503" t="s">
        <v>669</v>
      </c>
      <c r="D2503" t="s">
        <v>1343</v>
      </c>
      <c r="E2503" t="s">
        <v>187</v>
      </c>
      <c r="F2503">
        <v>2012</v>
      </c>
      <c r="G2503">
        <v>0.114026</v>
      </c>
    </row>
    <row r="2504" spans="1:7">
      <c r="A2504" t="s">
        <v>1297</v>
      </c>
      <c r="B2504" t="s">
        <v>1298</v>
      </c>
      <c r="C2504" t="s">
        <v>669</v>
      </c>
      <c r="D2504" t="s">
        <v>1343</v>
      </c>
      <c r="E2504" t="s">
        <v>187</v>
      </c>
      <c r="F2504">
        <v>2016</v>
      </c>
      <c r="G2504">
        <v>0.26930500000000002</v>
      </c>
    </row>
    <row r="2505" spans="1:7">
      <c r="A2505" t="s">
        <v>1297</v>
      </c>
      <c r="B2505" t="s">
        <v>1298</v>
      </c>
      <c r="C2505" t="s">
        <v>657</v>
      </c>
      <c r="D2505" t="s">
        <v>1343</v>
      </c>
      <c r="E2505" t="s">
        <v>187</v>
      </c>
      <c r="F2505">
        <v>2005</v>
      </c>
      <c r="G2505">
        <v>47.634667</v>
      </c>
    </row>
    <row r="2506" spans="1:7">
      <c r="A2506" t="s">
        <v>1297</v>
      </c>
      <c r="B2506" t="s">
        <v>1298</v>
      </c>
      <c r="C2506" t="s">
        <v>657</v>
      </c>
      <c r="D2506" t="s">
        <v>1343</v>
      </c>
      <c r="E2506" t="s">
        <v>187</v>
      </c>
      <c r="F2506">
        <v>2010</v>
      </c>
      <c r="G2506">
        <v>69.610726</v>
      </c>
    </row>
    <row r="2507" spans="1:7">
      <c r="A2507" t="s">
        <v>1297</v>
      </c>
      <c r="B2507" t="s">
        <v>1298</v>
      </c>
      <c r="C2507" t="s">
        <v>657</v>
      </c>
      <c r="D2507" t="s">
        <v>1343</v>
      </c>
      <c r="E2507" t="s">
        <v>187</v>
      </c>
      <c r="F2507">
        <v>2012</v>
      </c>
      <c r="G2507">
        <v>80.305239999999998</v>
      </c>
    </row>
    <row r="2508" spans="1:7">
      <c r="A2508" t="s">
        <v>1297</v>
      </c>
      <c r="B2508" t="s">
        <v>1298</v>
      </c>
      <c r="C2508" t="s">
        <v>657</v>
      </c>
      <c r="D2508" t="s">
        <v>1343</v>
      </c>
      <c r="E2508" t="s">
        <v>187</v>
      </c>
      <c r="F2508">
        <v>2016</v>
      </c>
      <c r="G2508">
        <v>93.686164000000005</v>
      </c>
    </row>
    <row r="2509" spans="1:7">
      <c r="A2509" t="s">
        <v>1297</v>
      </c>
      <c r="B2509" t="s">
        <v>1298</v>
      </c>
      <c r="C2509" t="s">
        <v>657</v>
      </c>
      <c r="D2509" t="s">
        <v>1343</v>
      </c>
      <c r="E2509" t="s">
        <v>187</v>
      </c>
      <c r="F2509">
        <v>2020</v>
      </c>
      <c r="G2509">
        <v>114.369226</v>
      </c>
    </row>
    <row r="2510" spans="1:7">
      <c r="A2510" t="s">
        <v>1297</v>
      </c>
      <c r="B2510" t="s">
        <v>1298</v>
      </c>
      <c r="C2510" t="s">
        <v>674</v>
      </c>
      <c r="D2510" t="s">
        <v>1343</v>
      </c>
      <c r="E2510" t="s">
        <v>187</v>
      </c>
      <c r="F2510">
        <v>2005</v>
      </c>
      <c r="G2510">
        <v>159.905687</v>
      </c>
    </row>
    <row r="2511" spans="1:7">
      <c r="A2511" t="s">
        <v>1297</v>
      </c>
      <c r="B2511" t="s">
        <v>1298</v>
      </c>
      <c r="C2511" t="s">
        <v>674</v>
      </c>
      <c r="D2511" t="s">
        <v>1343</v>
      </c>
      <c r="E2511" t="s">
        <v>187</v>
      </c>
      <c r="F2511">
        <v>2010</v>
      </c>
      <c r="G2511">
        <v>219.462693</v>
      </c>
    </row>
    <row r="2512" spans="1:7">
      <c r="A2512" t="s">
        <v>1297</v>
      </c>
      <c r="B2512" t="s">
        <v>1298</v>
      </c>
      <c r="C2512" t="s">
        <v>674</v>
      </c>
      <c r="D2512" t="s">
        <v>1343</v>
      </c>
      <c r="E2512" t="s">
        <v>187</v>
      </c>
      <c r="F2512">
        <v>2012</v>
      </c>
      <c r="G2512">
        <v>207.06727000000001</v>
      </c>
    </row>
    <row r="2513" spans="1:7">
      <c r="A2513" t="s">
        <v>1297</v>
      </c>
      <c r="B2513" t="s">
        <v>1298</v>
      </c>
      <c r="C2513" t="s">
        <v>674</v>
      </c>
      <c r="D2513" t="s">
        <v>1343</v>
      </c>
      <c r="E2513" t="s">
        <v>187</v>
      </c>
      <c r="F2513">
        <v>2016</v>
      </c>
      <c r="G2513">
        <v>227.15162599999999</v>
      </c>
    </row>
    <row r="2514" spans="1:7">
      <c r="A2514" t="s">
        <v>1297</v>
      </c>
      <c r="B2514" t="s">
        <v>1298</v>
      </c>
      <c r="C2514" t="s">
        <v>674</v>
      </c>
      <c r="D2514" t="s">
        <v>1343</v>
      </c>
      <c r="E2514" t="s">
        <v>187</v>
      </c>
      <c r="F2514">
        <v>2020</v>
      </c>
      <c r="G2514">
        <v>246.62600599999999</v>
      </c>
    </row>
    <row r="2515" spans="1:7">
      <c r="A2515" t="s">
        <v>1297</v>
      </c>
      <c r="B2515" t="s">
        <v>1298</v>
      </c>
      <c r="C2515" t="s">
        <v>684</v>
      </c>
      <c r="D2515" t="s">
        <v>1343</v>
      </c>
      <c r="E2515" t="s">
        <v>187</v>
      </c>
      <c r="F2515">
        <v>2020</v>
      </c>
      <c r="G2515">
        <v>8.8090000000000009E-3</v>
      </c>
    </row>
    <row r="2516" spans="1:7">
      <c r="A2516" t="s">
        <v>1297</v>
      </c>
      <c r="B2516" t="s">
        <v>1298</v>
      </c>
      <c r="C2516" t="s">
        <v>661</v>
      </c>
      <c r="D2516" t="s">
        <v>1343</v>
      </c>
      <c r="E2516" t="s">
        <v>187</v>
      </c>
      <c r="F2516">
        <v>2005</v>
      </c>
      <c r="G2516">
        <v>47.880600000000001</v>
      </c>
    </row>
    <row r="2517" spans="1:7">
      <c r="A2517" t="s">
        <v>1297</v>
      </c>
      <c r="B2517" t="s">
        <v>1298</v>
      </c>
      <c r="C2517" t="s">
        <v>661</v>
      </c>
      <c r="D2517" t="s">
        <v>1343</v>
      </c>
      <c r="E2517" t="s">
        <v>187</v>
      </c>
      <c r="F2517">
        <v>2010</v>
      </c>
      <c r="G2517">
        <v>144.85974200000001</v>
      </c>
    </row>
    <row r="2518" spans="1:7">
      <c r="A2518" t="s">
        <v>1297</v>
      </c>
      <c r="B2518" t="s">
        <v>1298</v>
      </c>
      <c r="C2518" t="s">
        <v>661</v>
      </c>
      <c r="D2518" t="s">
        <v>1343</v>
      </c>
      <c r="E2518" t="s">
        <v>187</v>
      </c>
      <c r="F2518">
        <v>2012</v>
      </c>
      <c r="G2518">
        <v>164.96429699999999</v>
      </c>
    </row>
    <row r="2519" spans="1:7">
      <c r="A2519" t="s">
        <v>1297</v>
      </c>
      <c r="B2519" t="s">
        <v>1298</v>
      </c>
      <c r="C2519" t="s">
        <v>661</v>
      </c>
      <c r="D2519" t="s">
        <v>1343</v>
      </c>
      <c r="E2519" t="s">
        <v>187</v>
      </c>
      <c r="F2519">
        <v>2016</v>
      </c>
      <c r="G2519">
        <v>219.879154</v>
      </c>
    </row>
    <row r="2520" spans="1:7">
      <c r="A2520" t="s">
        <v>1297</v>
      </c>
      <c r="B2520" t="s">
        <v>1298</v>
      </c>
      <c r="C2520" t="s">
        <v>661</v>
      </c>
      <c r="D2520" t="s">
        <v>1343</v>
      </c>
      <c r="E2520" t="s">
        <v>187</v>
      </c>
      <c r="F2520">
        <v>2020</v>
      </c>
      <c r="G2520">
        <v>248.27592100000001</v>
      </c>
    </row>
    <row r="2521" spans="1:7">
      <c r="A2521" t="s">
        <v>1297</v>
      </c>
      <c r="B2521" t="s">
        <v>1298</v>
      </c>
      <c r="C2521" t="s">
        <v>676</v>
      </c>
      <c r="D2521" t="s">
        <v>1343</v>
      </c>
      <c r="E2521" t="s">
        <v>187</v>
      </c>
      <c r="F2521">
        <v>2005</v>
      </c>
      <c r="G2521">
        <v>2.499743</v>
      </c>
    </row>
    <row r="2522" spans="1:7">
      <c r="A2522" t="s">
        <v>1297</v>
      </c>
      <c r="B2522" t="s">
        <v>1298</v>
      </c>
      <c r="C2522" t="s">
        <v>676</v>
      </c>
      <c r="D2522" t="s">
        <v>1343</v>
      </c>
      <c r="E2522" t="s">
        <v>187</v>
      </c>
      <c r="F2522">
        <v>2010</v>
      </c>
      <c r="G2522">
        <v>13.452906</v>
      </c>
    </row>
    <row r="2523" spans="1:7">
      <c r="A2523" t="s">
        <v>1297</v>
      </c>
      <c r="B2523" t="s">
        <v>1298</v>
      </c>
      <c r="C2523" t="s">
        <v>676</v>
      </c>
      <c r="D2523" t="s">
        <v>1343</v>
      </c>
      <c r="E2523" t="s">
        <v>187</v>
      </c>
      <c r="F2523">
        <v>2012</v>
      </c>
      <c r="G2523">
        <v>16.992355</v>
      </c>
    </row>
    <row r="2524" spans="1:7">
      <c r="A2524" t="s">
        <v>1297</v>
      </c>
      <c r="B2524" t="s">
        <v>1298</v>
      </c>
      <c r="C2524" t="s">
        <v>676</v>
      </c>
      <c r="D2524" t="s">
        <v>1343</v>
      </c>
      <c r="E2524" t="s">
        <v>187</v>
      </c>
      <c r="F2524">
        <v>2016</v>
      </c>
      <c r="G2524">
        <v>18.824615999999999</v>
      </c>
    </row>
    <row r="2525" spans="1:7">
      <c r="A2525" t="s">
        <v>1297</v>
      </c>
      <c r="B2525" t="s">
        <v>1298</v>
      </c>
      <c r="C2525" t="s">
        <v>676</v>
      </c>
      <c r="D2525" t="s">
        <v>1343</v>
      </c>
      <c r="E2525" t="s">
        <v>187</v>
      </c>
      <c r="F2525">
        <v>2020</v>
      </c>
      <c r="G2525">
        <v>19.365157</v>
      </c>
    </row>
    <row r="2526" spans="1:7">
      <c r="A2526" t="s">
        <v>1297</v>
      </c>
      <c r="B2526" t="s">
        <v>1298</v>
      </c>
      <c r="C2526" t="s">
        <v>677</v>
      </c>
      <c r="D2526" t="s">
        <v>1343</v>
      </c>
      <c r="E2526" t="s">
        <v>187</v>
      </c>
      <c r="F2526">
        <v>2005</v>
      </c>
      <c r="G2526">
        <v>35.642257999999998</v>
      </c>
    </row>
    <row r="2527" spans="1:7">
      <c r="A2527" t="s">
        <v>1297</v>
      </c>
      <c r="B2527" t="s">
        <v>1298</v>
      </c>
      <c r="C2527" t="s">
        <v>677</v>
      </c>
      <c r="D2527" t="s">
        <v>1343</v>
      </c>
      <c r="E2527" t="s">
        <v>187</v>
      </c>
      <c r="F2527">
        <v>2010</v>
      </c>
      <c r="G2527">
        <v>92.439356000000004</v>
      </c>
    </row>
    <row r="2528" spans="1:7">
      <c r="A2528" t="s">
        <v>1297</v>
      </c>
      <c r="B2528" t="s">
        <v>1298</v>
      </c>
      <c r="C2528" t="s">
        <v>677</v>
      </c>
      <c r="D2528" t="s">
        <v>1343</v>
      </c>
      <c r="E2528" t="s">
        <v>187</v>
      </c>
      <c r="F2528">
        <v>2012</v>
      </c>
      <c r="G2528">
        <v>92.202127000000004</v>
      </c>
    </row>
    <row r="2529" spans="1:7">
      <c r="A2529" t="s">
        <v>1297</v>
      </c>
      <c r="B2529" t="s">
        <v>1298</v>
      </c>
      <c r="C2529" t="s">
        <v>677</v>
      </c>
      <c r="D2529" t="s">
        <v>1343</v>
      </c>
      <c r="E2529" t="s">
        <v>187</v>
      </c>
      <c r="F2529">
        <v>2016</v>
      </c>
      <c r="G2529">
        <v>151.763012</v>
      </c>
    </row>
    <row r="2530" spans="1:7">
      <c r="A2530" t="s">
        <v>1297</v>
      </c>
      <c r="B2530" t="s">
        <v>1298</v>
      </c>
      <c r="C2530" t="s">
        <v>677</v>
      </c>
      <c r="D2530" t="s">
        <v>1343</v>
      </c>
      <c r="E2530" t="s">
        <v>187</v>
      </c>
      <c r="F2530">
        <v>2020</v>
      </c>
      <c r="G2530">
        <v>211.04590200000001</v>
      </c>
    </row>
    <row r="2531" spans="1:7">
      <c r="A2531" t="s">
        <v>1297</v>
      </c>
      <c r="B2531" t="s">
        <v>1298</v>
      </c>
      <c r="C2531" t="s">
        <v>682</v>
      </c>
      <c r="D2531" t="s">
        <v>1343</v>
      </c>
      <c r="E2531" t="s">
        <v>187</v>
      </c>
      <c r="F2531">
        <v>2016</v>
      </c>
      <c r="G2531">
        <v>1.88859</v>
      </c>
    </row>
    <row r="2532" spans="1:7">
      <c r="A2532" t="s">
        <v>1297</v>
      </c>
      <c r="B2532" t="s">
        <v>1298</v>
      </c>
      <c r="C2532" t="s">
        <v>682</v>
      </c>
      <c r="D2532" t="s">
        <v>1343</v>
      </c>
      <c r="E2532" t="s">
        <v>187</v>
      </c>
      <c r="F2532">
        <v>2020</v>
      </c>
      <c r="G2532">
        <v>2.2134640000000001</v>
      </c>
    </row>
    <row r="2533" spans="1:7">
      <c r="A2533" t="s">
        <v>1297</v>
      </c>
      <c r="B2533" t="s">
        <v>1298</v>
      </c>
      <c r="C2533" t="s">
        <v>656</v>
      </c>
      <c r="D2533" t="s">
        <v>1343</v>
      </c>
      <c r="E2533" t="s">
        <v>187</v>
      </c>
      <c r="F2533">
        <v>2005</v>
      </c>
      <c r="G2533">
        <v>111.634125</v>
      </c>
    </row>
    <row r="2534" spans="1:7">
      <c r="A2534" t="s">
        <v>1297</v>
      </c>
      <c r="B2534" t="s">
        <v>1298</v>
      </c>
      <c r="C2534" t="s">
        <v>656</v>
      </c>
      <c r="D2534" t="s">
        <v>1343</v>
      </c>
      <c r="E2534" t="s">
        <v>187</v>
      </c>
      <c r="F2534">
        <v>2010</v>
      </c>
      <c r="G2534">
        <v>281.93926900000002</v>
      </c>
    </row>
    <row r="2535" spans="1:7">
      <c r="A2535" t="s">
        <v>1297</v>
      </c>
      <c r="B2535" t="s">
        <v>1298</v>
      </c>
      <c r="C2535" t="s">
        <v>656</v>
      </c>
      <c r="D2535" t="s">
        <v>1343</v>
      </c>
      <c r="E2535" t="s">
        <v>187</v>
      </c>
      <c r="F2535">
        <v>2012</v>
      </c>
      <c r="G2535">
        <v>337.47208999999998</v>
      </c>
    </row>
    <row r="2536" spans="1:7">
      <c r="A2536" t="s">
        <v>1297</v>
      </c>
      <c r="B2536" t="s">
        <v>1298</v>
      </c>
      <c r="C2536" t="s">
        <v>656</v>
      </c>
      <c r="D2536" t="s">
        <v>1343</v>
      </c>
      <c r="E2536" t="s">
        <v>187</v>
      </c>
      <c r="F2536">
        <v>2016</v>
      </c>
      <c r="G2536">
        <v>368.664805</v>
      </c>
    </row>
    <row r="2537" spans="1:7">
      <c r="A2537" t="s">
        <v>1297</v>
      </c>
      <c r="B2537" t="s">
        <v>1298</v>
      </c>
      <c r="C2537" t="s">
        <v>656</v>
      </c>
      <c r="D2537" t="s">
        <v>1343</v>
      </c>
      <c r="E2537" t="s">
        <v>187</v>
      </c>
      <c r="F2537">
        <v>2020</v>
      </c>
      <c r="G2537">
        <v>382.40681599999999</v>
      </c>
    </row>
    <row r="2538" spans="1:7">
      <c r="A2538" t="s">
        <v>1297</v>
      </c>
      <c r="B2538" t="s">
        <v>1298</v>
      </c>
      <c r="C2538" t="s">
        <v>680</v>
      </c>
      <c r="D2538" t="s">
        <v>1343</v>
      </c>
      <c r="E2538" t="s">
        <v>187</v>
      </c>
      <c r="F2538">
        <v>2005</v>
      </c>
      <c r="G2538">
        <v>4.3173999999999997E-2</v>
      </c>
    </row>
    <row r="2539" spans="1:7">
      <c r="A2539" t="s">
        <v>1297</v>
      </c>
      <c r="B2539" t="s">
        <v>1298</v>
      </c>
      <c r="C2539" t="s">
        <v>680</v>
      </c>
      <c r="D2539" t="s">
        <v>1343</v>
      </c>
      <c r="E2539" t="s">
        <v>187</v>
      </c>
      <c r="F2539">
        <v>2010</v>
      </c>
      <c r="G2539">
        <v>1.4E-2</v>
      </c>
    </row>
    <row r="2540" spans="1:7">
      <c r="A2540" t="s">
        <v>1297</v>
      </c>
      <c r="B2540" t="s">
        <v>1298</v>
      </c>
      <c r="C2540" t="s">
        <v>680</v>
      </c>
      <c r="D2540" t="s">
        <v>1343</v>
      </c>
      <c r="E2540" t="s">
        <v>187</v>
      </c>
      <c r="F2540">
        <v>2016</v>
      </c>
      <c r="G2540">
        <v>0.62746500000000005</v>
      </c>
    </row>
    <row r="2541" spans="1:7">
      <c r="A2541" t="s">
        <v>1297</v>
      </c>
      <c r="B2541" t="s">
        <v>1298</v>
      </c>
      <c r="C2541" t="s">
        <v>680</v>
      </c>
      <c r="D2541" t="s">
        <v>1343</v>
      </c>
      <c r="E2541" t="s">
        <v>187</v>
      </c>
      <c r="F2541">
        <v>2020</v>
      </c>
      <c r="G2541">
        <v>0.81206100000000003</v>
      </c>
    </row>
    <row r="2542" spans="1:7">
      <c r="A2542" t="s">
        <v>1297</v>
      </c>
      <c r="B2542" t="s">
        <v>1298</v>
      </c>
      <c r="C2542" t="s">
        <v>289</v>
      </c>
      <c r="D2542" t="s">
        <v>1343</v>
      </c>
      <c r="E2542" t="s">
        <v>187</v>
      </c>
      <c r="F2542">
        <v>2005</v>
      </c>
      <c r="G2542">
        <v>5.04E-2</v>
      </c>
    </row>
    <row r="2543" spans="1:7">
      <c r="A2543" t="s">
        <v>1297</v>
      </c>
      <c r="B2543" t="s">
        <v>1298</v>
      </c>
      <c r="C2543" t="s">
        <v>289</v>
      </c>
      <c r="D2543" t="s">
        <v>1343</v>
      </c>
      <c r="E2543" t="s">
        <v>187</v>
      </c>
      <c r="F2543">
        <v>2010</v>
      </c>
      <c r="G2543">
        <v>0.41583300000000001</v>
      </c>
    </row>
    <row r="2544" spans="1:7">
      <c r="A2544" t="s">
        <v>1297</v>
      </c>
      <c r="B2544" t="s">
        <v>1298</v>
      </c>
      <c r="C2544" t="s">
        <v>289</v>
      </c>
      <c r="D2544" t="s">
        <v>1343</v>
      </c>
      <c r="E2544" t="s">
        <v>187</v>
      </c>
      <c r="F2544">
        <v>2012</v>
      </c>
      <c r="G2544">
        <v>1.7698860000000001</v>
      </c>
    </row>
    <row r="2545" spans="1:7">
      <c r="A2545" t="s">
        <v>1297</v>
      </c>
      <c r="B2545" t="s">
        <v>1298</v>
      </c>
      <c r="C2545" t="s">
        <v>289</v>
      </c>
      <c r="D2545" t="s">
        <v>1343</v>
      </c>
      <c r="E2545" t="s">
        <v>187</v>
      </c>
      <c r="F2545">
        <v>2016</v>
      </c>
      <c r="G2545">
        <v>3.0181260000000001</v>
      </c>
    </row>
    <row r="2546" spans="1:7">
      <c r="A2546" t="s">
        <v>1297</v>
      </c>
      <c r="B2546" t="s">
        <v>1298</v>
      </c>
      <c r="C2546" t="s">
        <v>289</v>
      </c>
      <c r="D2546" t="s">
        <v>1343</v>
      </c>
      <c r="E2546" t="s">
        <v>187</v>
      </c>
      <c r="F2546">
        <v>2020</v>
      </c>
      <c r="G2546">
        <v>8.4512820000000008</v>
      </c>
    </row>
    <row r="2547" spans="1:7">
      <c r="A2547" t="s">
        <v>1297</v>
      </c>
      <c r="B2547" t="s">
        <v>1298</v>
      </c>
      <c r="C2547" t="s">
        <v>675</v>
      </c>
      <c r="D2547" t="s">
        <v>1343</v>
      </c>
      <c r="E2547" t="s">
        <v>187</v>
      </c>
      <c r="F2547">
        <v>2005</v>
      </c>
      <c r="G2547">
        <v>0.80140299999999998</v>
      </c>
    </row>
    <row r="2548" spans="1:7">
      <c r="A2548" t="s">
        <v>1297</v>
      </c>
      <c r="B2548" t="s">
        <v>1298</v>
      </c>
      <c r="C2548" t="s">
        <v>675</v>
      </c>
      <c r="D2548" t="s">
        <v>1343</v>
      </c>
      <c r="E2548" t="s">
        <v>187</v>
      </c>
      <c r="F2548">
        <v>2010</v>
      </c>
      <c r="G2548">
        <v>3.4560569999999999</v>
      </c>
    </row>
    <row r="2549" spans="1:7">
      <c r="A2549" t="s">
        <v>1297</v>
      </c>
      <c r="B2549" t="s">
        <v>1298</v>
      </c>
      <c r="C2549" t="s">
        <v>675</v>
      </c>
      <c r="D2549" t="s">
        <v>1343</v>
      </c>
      <c r="E2549" t="s">
        <v>187</v>
      </c>
      <c r="F2549">
        <v>2012</v>
      </c>
      <c r="G2549">
        <v>4.0990440000000001</v>
      </c>
    </row>
    <row r="2550" spans="1:7">
      <c r="A2550" t="s">
        <v>1297</v>
      </c>
      <c r="B2550" t="s">
        <v>1298</v>
      </c>
      <c r="C2550" t="s">
        <v>675</v>
      </c>
      <c r="D2550" t="s">
        <v>1343</v>
      </c>
      <c r="E2550" t="s">
        <v>187</v>
      </c>
      <c r="F2550">
        <v>2016</v>
      </c>
      <c r="G2550">
        <v>3.0747499999999999</v>
      </c>
    </row>
    <row r="2551" spans="1:7">
      <c r="A2551" t="s">
        <v>1297</v>
      </c>
      <c r="B2551" t="s">
        <v>1298</v>
      </c>
      <c r="C2551" t="s">
        <v>675</v>
      </c>
      <c r="D2551" t="s">
        <v>1343</v>
      </c>
      <c r="E2551" t="s">
        <v>187</v>
      </c>
      <c r="F2551">
        <v>2020</v>
      </c>
      <c r="G2551">
        <v>6.3861619999999997</v>
      </c>
    </row>
    <row r="2552" spans="1:7">
      <c r="A2552" t="s">
        <v>1297</v>
      </c>
      <c r="B2552" t="s">
        <v>1298</v>
      </c>
      <c r="C2552" t="s">
        <v>668</v>
      </c>
      <c r="D2552" t="s">
        <v>1343</v>
      </c>
      <c r="E2552" t="s">
        <v>187</v>
      </c>
      <c r="F2552">
        <v>2005</v>
      </c>
      <c r="G2552">
        <v>4.85412</v>
      </c>
    </row>
    <row r="2553" spans="1:7">
      <c r="A2553" t="s">
        <v>1297</v>
      </c>
      <c r="B2553" t="s">
        <v>1298</v>
      </c>
      <c r="C2553" t="s">
        <v>668</v>
      </c>
      <c r="D2553" t="s">
        <v>1343</v>
      </c>
      <c r="E2553" t="s">
        <v>187</v>
      </c>
      <c r="F2553">
        <v>2010</v>
      </c>
      <c r="G2553">
        <v>5.92598</v>
      </c>
    </row>
    <row r="2554" spans="1:7">
      <c r="A2554" t="s">
        <v>1297</v>
      </c>
      <c r="B2554" t="s">
        <v>1298</v>
      </c>
      <c r="C2554" t="s">
        <v>668</v>
      </c>
      <c r="D2554" t="s">
        <v>1343</v>
      </c>
      <c r="E2554" t="s">
        <v>187</v>
      </c>
      <c r="F2554">
        <v>2012</v>
      </c>
      <c r="G2554">
        <v>7.3124440000000002</v>
      </c>
    </row>
    <row r="2555" spans="1:7">
      <c r="A2555" t="s">
        <v>1297</v>
      </c>
      <c r="B2555" t="s">
        <v>1298</v>
      </c>
      <c r="C2555" t="s">
        <v>668</v>
      </c>
      <c r="D2555" t="s">
        <v>1343</v>
      </c>
      <c r="E2555" t="s">
        <v>187</v>
      </c>
      <c r="F2555">
        <v>2016</v>
      </c>
      <c r="G2555">
        <v>15.336058</v>
      </c>
    </row>
    <row r="2556" spans="1:7">
      <c r="A2556" t="s">
        <v>1297</v>
      </c>
      <c r="B2556" t="s">
        <v>1298</v>
      </c>
      <c r="C2556" t="s">
        <v>668</v>
      </c>
      <c r="D2556" t="s">
        <v>1343</v>
      </c>
      <c r="E2556" t="s">
        <v>187</v>
      </c>
      <c r="F2556">
        <v>2020</v>
      </c>
      <c r="G2556">
        <v>20.578665000000001</v>
      </c>
    </row>
    <row r="2557" spans="1:7">
      <c r="A2557" t="s">
        <v>1297</v>
      </c>
      <c r="B2557" t="s">
        <v>1298</v>
      </c>
      <c r="C2557" t="s">
        <v>655</v>
      </c>
      <c r="D2557" t="s">
        <v>1343</v>
      </c>
      <c r="E2557" t="s">
        <v>187</v>
      </c>
      <c r="F2557">
        <v>2005</v>
      </c>
      <c r="G2557">
        <v>6.5297080000000003</v>
      </c>
    </row>
    <row r="2558" spans="1:7">
      <c r="A2558" t="s">
        <v>1297</v>
      </c>
      <c r="B2558" t="s">
        <v>1298</v>
      </c>
      <c r="C2558" t="s">
        <v>655</v>
      </c>
      <c r="D2558" t="s">
        <v>1343</v>
      </c>
      <c r="E2558" t="s">
        <v>187</v>
      </c>
      <c r="F2558">
        <v>2010</v>
      </c>
      <c r="G2558">
        <v>20.736757000000001</v>
      </c>
    </row>
    <row r="2559" spans="1:7">
      <c r="A2559" t="s">
        <v>1297</v>
      </c>
      <c r="B2559" t="s">
        <v>1298</v>
      </c>
      <c r="C2559" t="s">
        <v>655</v>
      </c>
      <c r="D2559" t="s">
        <v>1343</v>
      </c>
      <c r="E2559" t="s">
        <v>187</v>
      </c>
      <c r="F2559">
        <v>2012</v>
      </c>
      <c r="G2559">
        <v>28.545029</v>
      </c>
    </row>
    <row r="2560" spans="1:7">
      <c r="A2560" t="s">
        <v>1297</v>
      </c>
      <c r="B2560" t="s">
        <v>1298</v>
      </c>
      <c r="C2560" t="s">
        <v>655</v>
      </c>
      <c r="D2560" t="s">
        <v>1343</v>
      </c>
      <c r="E2560" t="s">
        <v>187</v>
      </c>
      <c r="F2560">
        <v>2016</v>
      </c>
      <c r="G2560">
        <v>38.002397000000002</v>
      </c>
    </row>
    <row r="2561" spans="1:7">
      <c r="A2561" t="s">
        <v>1297</v>
      </c>
      <c r="B2561" t="s">
        <v>1298</v>
      </c>
      <c r="C2561" t="s">
        <v>655</v>
      </c>
      <c r="D2561" t="s">
        <v>1343</v>
      </c>
      <c r="E2561" t="s">
        <v>187</v>
      </c>
      <c r="F2561">
        <v>2020</v>
      </c>
      <c r="G2561">
        <v>40.980252</v>
      </c>
    </row>
    <row r="2562" spans="1:7">
      <c r="A2562" t="s">
        <v>1297</v>
      </c>
      <c r="B2562" t="s">
        <v>1298</v>
      </c>
      <c r="C2562" t="s">
        <v>662</v>
      </c>
      <c r="D2562" t="s">
        <v>1343</v>
      </c>
      <c r="E2562" t="s">
        <v>187</v>
      </c>
      <c r="F2562">
        <v>2005</v>
      </c>
      <c r="G2562">
        <v>0.43747200000000003</v>
      </c>
    </row>
    <row r="2563" spans="1:7">
      <c r="A2563" t="s">
        <v>1297</v>
      </c>
      <c r="B2563" t="s">
        <v>1298</v>
      </c>
      <c r="C2563" t="s">
        <v>662</v>
      </c>
      <c r="D2563" t="s">
        <v>1343</v>
      </c>
      <c r="E2563" t="s">
        <v>187</v>
      </c>
      <c r="F2563">
        <v>2010</v>
      </c>
      <c r="G2563">
        <v>5.9320000000000004</v>
      </c>
    </row>
    <row r="2564" spans="1:7">
      <c r="A2564" t="s">
        <v>1297</v>
      </c>
      <c r="B2564" t="s">
        <v>1298</v>
      </c>
      <c r="C2564" t="s">
        <v>662</v>
      </c>
      <c r="D2564" t="s">
        <v>1343</v>
      </c>
      <c r="E2564" t="s">
        <v>187</v>
      </c>
      <c r="F2564">
        <v>2012</v>
      </c>
      <c r="G2564">
        <v>6.0224580000000003</v>
      </c>
    </row>
    <row r="2565" spans="1:7">
      <c r="A2565" t="s">
        <v>1297</v>
      </c>
      <c r="B2565" t="s">
        <v>1298</v>
      </c>
      <c r="C2565" t="s">
        <v>662</v>
      </c>
      <c r="D2565" t="s">
        <v>1343</v>
      </c>
      <c r="E2565" t="s">
        <v>187</v>
      </c>
      <c r="F2565">
        <v>2016</v>
      </c>
      <c r="G2565">
        <v>8.0470279999999992</v>
      </c>
    </row>
    <row r="2566" spans="1:7">
      <c r="A2566" t="s">
        <v>1297</v>
      </c>
      <c r="B2566" t="s">
        <v>1298</v>
      </c>
      <c r="C2566" t="s">
        <v>662</v>
      </c>
      <c r="D2566" t="s">
        <v>1343</v>
      </c>
      <c r="E2566" t="s">
        <v>187</v>
      </c>
      <c r="F2566">
        <v>2020</v>
      </c>
      <c r="G2566">
        <v>9.9752790000000005</v>
      </c>
    </row>
    <row r="2567" spans="1:7">
      <c r="A2567" t="s">
        <v>1297</v>
      </c>
      <c r="B2567" t="s">
        <v>1298</v>
      </c>
      <c r="C2567" t="s">
        <v>1299</v>
      </c>
      <c r="D2567" t="s">
        <v>1343</v>
      </c>
      <c r="E2567" t="s">
        <v>187</v>
      </c>
      <c r="F2567">
        <v>2005</v>
      </c>
      <c r="G2567">
        <v>0.76700000000000002</v>
      </c>
    </row>
    <row r="2568" spans="1:7">
      <c r="A2568" t="s">
        <v>1297</v>
      </c>
      <c r="B2568" t="s">
        <v>1298</v>
      </c>
      <c r="C2568" t="s">
        <v>1299</v>
      </c>
      <c r="D2568" t="s">
        <v>1343</v>
      </c>
      <c r="E2568" t="s">
        <v>187</v>
      </c>
      <c r="F2568">
        <v>2010</v>
      </c>
      <c r="G2568">
        <v>12.670299999999999</v>
      </c>
    </row>
    <row r="2569" spans="1:7">
      <c r="A2569" t="s">
        <v>1297</v>
      </c>
      <c r="B2569" t="s">
        <v>1298</v>
      </c>
      <c r="C2569" t="s">
        <v>1299</v>
      </c>
      <c r="D2569" t="s">
        <v>1343</v>
      </c>
      <c r="E2569" t="s">
        <v>187</v>
      </c>
      <c r="F2569">
        <v>2012</v>
      </c>
      <c r="G2569">
        <v>14.125400000000001</v>
      </c>
    </row>
    <row r="2570" spans="1:7">
      <c r="A2570" t="s">
        <v>1297</v>
      </c>
      <c r="B2570" t="s">
        <v>1298</v>
      </c>
      <c r="C2570" t="s">
        <v>1299</v>
      </c>
      <c r="D2570" t="s">
        <v>1343</v>
      </c>
      <c r="E2570" t="s">
        <v>187</v>
      </c>
      <c r="F2570">
        <v>2016</v>
      </c>
      <c r="G2570">
        <v>29.301835000000001</v>
      </c>
    </row>
    <row r="2571" spans="1:7">
      <c r="A2571" t="s">
        <v>1297</v>
      </c>
      <c r="B2571" t="s">
        <v>1298</v>
      </c>
      <c r="C2571" t="s">
        <v>1299</v>
      </c>
      <c r="D2571" t="s">
        <v>1343</v>
      </c>
      <c r="E2571" t="s">
        <v>187</v>
      </c>
      <c r="F2571">
        <v>2020</v>
      </c>
      <c r="G2571">
        <v>45.83043</v>
      </c>
    </row>
    <row r="2572" spans="1:7">
      <c r="A2572" t="s">
        <v>1297</v>
      </c>
      <c r="B2572" t="s">
        <v>1298</v>
      </c>
      <c r="C2572" t="s">
        <v>658</v>
      </c>
      <c r="D2572" t="s">
        <v>1343</v>
      </c>
      <c r="E2572" t="s">
        <v>187</v>
      </c>
      <c r="F2572">
        <v>2005</v>
      </c>
      <c r="G2572">
        <v>3.982192</v>
      </c>
    </row>
    <row r="2573" spans="1:7">
      <c r="A2573" t="s">
        <v>1297</v>
      </c>
      <c r="B2573" t="s">
        <v>1298</v>
      </c>
      <c r="C2573" t="s">
        <v>658</v>
      </c>
      <c r="D2573" t="s">
        <v>1343</v>
      </c>
      <c r="E2573" t="s">
        <v>187</v>
      </c>
      <c r="F2573">
        <v>2010</v>
      </c>
      <c r="G2573">
        <v>8.6200360000000007</v>
      </c>
    </row>
    <row r="2574" spans="1:7">
      <c r="A2574" t="s">
        <v>1297</v>
      </c>
      <c r="B2574" t="s">
        <v>1298</v>
      </c>
      <c r="C2574" t="s">
        <v>658</v>
      </c>
      <c r="D2574" t="s">
        <v>1343</v>
      </c>
      <c r="E2574" t="s">
        <v>187</v>
      </c>
      <c r="F2574">
        <v>2012</v>
      </c>
      <c r="G2574">
        <v>11.095250999999999</v>
      </c>
    </row>
    <row r="2575" spans="1:7">
      <c r="A2575" t="s">
        <v>1297</v>
      </c>
      <c r="B2575" t="s">
        <v>1298</v>
      </c>
      <c r="C2575" t="s">
        <v>658</v>
      </c>
      <c r="D2575" t="s">
        <v>1343</v>
      </c>
      <c r="E2575" t="s">
        <v>187</v>
      </c>
      <c r="F2575">
        <v>2016</v>
      </c>
      <c r="G2575">
        <v>16.849768000000001</v>
      </c>
    </row>
    <row r="2576" spans="1:7">
      <c r="A2576" t="s">
        <v>1297</v>
      </c>
      <c r="B2576" t="s">
        <v>1298</v>
      </c>
      <c r="C2576" t="s">
        <v>658</v>
      </c>
      <c r="D2576" t="s">
        <v>1343</v>
      </c>
      <c r="E2576" t="s">
        <v>187</v>
      </c>
      <c r="F2576">
        <v>2020</v>
      </c>
      <c r="G2576">
        <v>17.507930000000002</v>
      </c>
    </row>
    <row r="2577" spans="1:7">
      <c r="A2577" t="s">
        <v>1297</v>
      </c>
      <c r="B2577" t="s">
        <v>1298</v>
      </c>
      <c r="C2577" t="s">
        <v>651</v>
      </c>
      <c r="D2577" t="s">
        <v>1343</v>
      </c>
      <c r="E2577" t="s">
        <v>187</v>
      </c>
      <c r="F2577">
        <v>2005</v>
      </c>
      <c r="G2577">
        <v>23.349667</v>
      </c>
    </row>
    <row r="2578" spans="1:7">
      <c r="A2578" t="s">
        <v>1297</v>
      </c>
      <c r="B2578" t="s">
        <v>1298</v>
      </c>
      <c r="C2578" t="s">
        <v>651</v>
      </c>
      <c r="D2578" t="s">
        <v>1343</v>
      </c>
      <c r="E2578" t="s">
        <v>187</v>
      </c>
      <c r="F2578">
        <v>2010</v>
      </c>
      <c r="G2578">
        <v>58.740299</v>
      </c>
    </row>
    <row r="2579" spans="1:7">
      <c r="A2579" t="s">
        <v>1297</v>
      </c>
      <c r="B2579" t="s">
        <v>1298</v>
      </c>
      <c r="C2579" t="s">
        <v>651</v>
      </c>
      <c r="D2579" t="s">
        <v>1343</v>
      </c>
      <c r="E2579" t="s">
        <v>187</v>
      </c>
      <c r="F2579">
        <v>2012</v>
      </c>
      <c r="G2579">
        <v>65.311261000000002</v>
      </c>
    </row>
    <row r="2580" spans="1:7">
      <c r="A2580" t="s">
        <v>1297</v>
      </c>
      <c r="B2580" t="s">
        <v>1298</v>
      </c>
      <c r="C2580" t="s">
        <v>651</v>
      </c>
      <c r="D2580" t="s">
        <v>1343</v>
      </c>
      <c r="E2580" t="s">
        <v>187</v>
      </c>
      <c r="F2580">
        <v>2016</v>
      </c>
      <c r="G2580">
        <v>66.265409000000005</v>
      </c>
    </row>
    <row r="2581" spans="1:7">
      <c r="A2581" t="s">
        <v>1297</v>
      </c>
      <c r="B2581" t="s">
        <v>1298</v>
      </c>
      <c r="C2581" t="s">
        <v>651</v>
      </c>
      <c r="D2581" t="s">
        <v>1343</v>
      </c>
      <c r="E2581" t="s">
        <v>187</v>
      </c>
      <c r="F2581">
        <v>2020</v>
      </c>
      <c r="G2581">
        <v>68.012816000000001</v>
      </c>
    </row>
    <row r="2582" spans="1:7">
      <c r="A2582" t="s">
        <v>1297</v>
      </c>
      <c r="B2582" t="s">
        <v>1298</v>
      </c>
      <c r="C2582" t="s">
        <v>673</v>
      </c>
      <c r="D2582" t="s">
        <v>1343</v>
      </c>
      <c r="E2582" t="s">
        <v>187</v>
      </c>
      <c r="F2582">
        <v>2005</v>
      </c>
      <c r="G2582">
        <v>0.74760000000000004</v>
      </c>
    </row>
    <row r="2583" spans="1:7">
      <c r="A2583" t="s">
        <v>1297</v>
      </c>
      <c r="B2583" t="s">
        <v>1298</v>
      </c>
      <c r="C2583" t="s">
        <v>673</v>
      </c>
      <c r="D2583" t="s">
        <v>1343</v>
      </c>
      <c r="E2583" t="s">
        <v>187</v>
      </c>
      <c r="F2583">
        <v>2010</v>
      </c>
      <c r="G2583">
        <v>6.6647639999999999</v>
      </c>
    </row>
    <row r="2584" spans="1:7">
      <c r="A2584" t="s">
        <v>1297</v>
      </c>
      <c r="B2584" t="s">
        <v>1298</v>
      </c>
      <c r="C2584" t="s">
        <v>673</v>
      </c>
      <c r="D2584" t="s">
        <v>1343</v>
      </c>
      <c r="E2584" t="s">
        <v>187</v>
      </c>
      <c r="F2584">
        <v>2012</v>
      </c>
      <c r="G2584">
        <v>8.8740799999999993</v>
      </c>
    </row>
    <row r="2585" spans="1:7">
      <c r="A2585" t="s">
        <v>1297</v>
      </c>
      <c r="B2585" t="s">
        <v>1298</v>
      </c>
      <c r="C2585" t="s">
        <v>673</v>
      </c>
      <c r="D2585" t="s">
        <v>1343</v>
      </c>
      <c r="E2585" t="s">
        <v>187</v>
      </c>
      <c r="F2585">
        <v>2016</v>
      </c>
      <c r="G2585">
        <v>15.382690999999999</v>
      </c>
    </row>
    <row r="2586" spans="1:7">
      <c r="A2586" t="s">
        <v>1297</v>
      </c>
      <c r="B2586" t="s">
        <v>1298</v>
      </c>
      <c r="C2586" t="s">
        <v>673</v>
      </c>
      <c r="D2586" t="s">
        <v>1343</v>
      </c>
      <c r="E2586" t="s">
        <v>187</v>
      </c>
      <c r="F2586">
        <v>2020</v>
      </c>
      <c r="G2586">
        <v>20.197493000000001</v>
      </c>
    </row>
    <row r="2587" spans="1:7">
      <c r="A2587" t="s">
        <v>1297</v>
      </c>
      <c r="B2587" t="s">
        <v>1298</v>
      </c>
      <c r="C2587" t="s">
        <v>685</v>
      </c>
      <c r="D2587" t="s">
        <v>1343</v>
      </c>
      <c r="E2587" t="s">
        <v>187</v>
      </c>
      <c r="F2587">
        <v>2010</v>
      </c>
      <c r="G2587">
        <v>1.8315000000000001E-2</v>
      </c>
    </row>
    <row r="2588" spans="1:7">
      <c r="A2588" t="s">
        <v>1297</v>
      </c>
      <c r="B2588" t="s">
        <v>1298</v>
      </c>
      <c r="C2588" t="s">
        <v>685</v>
      </c>
      <c r="D2588" t="s">
        <v>1343</v>
      </c>
      <c r="E2588" t="s">
        <v>187</v>
      </c>
      <c r="F2588">
        <v>2012</v>
      </c>
      <c r="G2588">
        <v>9.4719999999999995E-3</v>
      </c>
    </row>
    <row r="2589" spans="1:7">
      <c r="A2589" t="s">
        <v>1297</v>
      </c>
      <c r="B2589" t="s">
        <v>1298</v>
      </c>
      <c r="C2589" t="s">
        <v>685</v>
      </c>
      <c r="D2589" t="s">
        <v>1343</v>
      </c>
      <c r="E2589" t="s">
        <v>187</v>
      </c>
      <c r="F2589">
        <v>2016</v>
      </c>
      <c r="G2589">
        <v>0.132716</v>
      </c>
    </row>
    <row r="2590" spans="1:7">
      <c r="A2590" t="s">
        <v>1297</v>
      </c>
      <c r="B2590" t="s">
        <v>1298</v>
      </c>
      <c r="C2590" t="s">
        <v>685</v>
      </c>
      <c r="D2590" t="s">
        <v>1343</v>
      </c>
      <c r="E2590" t="s">
        <v>187</v>
      </c>
      <c r="F2590">
        <v>2020</v>
      </c>
      <c r="G2590">
        <v>0.202178</v>
      </c>
    </row>
    <row r="2591" spans="1:7">
      <c r="A2591" t="s">
        <v>1297</v>
      </c>
      <c r="B2591" t="s">
        <v>1298</v>
      </c>
      <c r="C2591" t="s">
        <v>681</v>
      </c>
      <c r="D2591" t="s">
        <v>1343</v>
      </c>
      <c r="E2591" t="s">
        <v>187</v>
      </c>
      <c r="F2591">
        <v>2016</v>
      </c>
      <c r="G2591">
        <v>3.6360399999999999</v>
      </c>
    </row>
    <row r="2592" spans="1:7">
      <c r="A2592" t="s">
        <v>1297</v>
      </c>
      <c r="B2592" t="s">
        <v>1298</v>
      </c>
      <c r="C2592" t="s">
        <v>681</v>
      </c>
      <c r="D2592" t="s">
        <v>1343</v>
      </c>
      <c r="E2592" t="s">
        <v>187</v>
      </c>
      <c r="F2592">
        <v>2020</v>
      </c>
      <c r="G2592">
        <v>5.0906500000000001</v>
      </c>
    </row>
    <row r="2593" spans="1:7">
      <c r="A2593" t="s">
        <v>1297</v>
      </c>
      <c r="B2593" t="s">
        <v>1298</v>
      </c>
      <c r="C2593" t="s">
        <v>667</v>
      </c>
      <c r="D2593" t="s">
        <v>1343</v>
      </c>
      <c r="E2593" t="s">
        <v>187</v>
      </c>
      <c r="F2593">
        <v>2005</v>
      </c>
      <c r="G2593">
        <v>0.20577100000000001</v>
      </c>
    </row>
    <row r="2594" spans="1:7">
      <c r="A2594" t="s">
        <v>1297</v>
      </c>
      <c r="B2594" t="s">
        <v>1298</v>
      </c>
      <c r="C2594" t="s">
        <v>667</v>
      </c>
      <c r="D2594" t="s">
        <v>1343</v>
      </c>
      <c r="E2594" t="s">
        <v>187</v>
      </c>
      <c r="F2594">
        <v>2010</v>
      </c>
      <c r="G2594">
        <v>0.41619400000000001</v>
      </c>
    </row>
    <row r="2595" spans="1:7">
      <c r="A2595" t="s">
        <v>1297</v>
      </c>
      <c r="B2595" t="s">
        <v>1298</v>
      </c>
      <c r="C2595" t="s">
        <v>667</v>
      </c>
      <c r="D2595" t="s">
        <v>1343</v>
      </c>
      <c r="E2595" t="s">
        <v>187</v>
      </c>
      <c r="F2595">
        <v>2012</v>
      </c>
      <c r="G2595">
        <v>0.52526600000000001</v>
      </c>
    </row>
    <row r="2596" spans="1:7">
      <c r="A2596" t="s">
        <v>1297</v>
      </c>
      <c r="B2596" t="s">
        <v>1298</v>
      </c>
      <c r="C2596" t="s">
        <v>667</v>
      </c>
      <c r="D2596" t="s">
        <v>1343</v>
      </c>
      <c r="E2596" t="s">
        <v>187</v>
      </c>
      <c r="F2596">
        <v>2016</v>
      </c>
      <c r="G2596">
        <v>1.1673020000000001</v>
      </c>
    </row>
    <row r="2597" spans="1:7">
      <c r="A2597" t="s">
        <v>1297</v>
      </c>
      <c r="B2597" t="s">
        <v>1298</v>
      </c>
      <c r="C2597" t="s">
        <v>667</v>
      </c>
      <c r="D2597" t="s">
        <v>1343</v>
      </c>
      <c r="E2597" t="s">
        <v>187</v>
      </c>
      <c r="F2597">
        <v>2020</v>
      </c>
      <c r="G2597">
        <v>3.5778159999999999</v>
      </c>
    </row>
    <row r="2598" spans="1:7">
      <c r="A2598" t="s">
        <v>1297</v>
      </c>
      <c r="B2598" t="s">
        <v>1298</v>
      </c>
      <c r="C2598" t="s">
        <v>660</v>
      </c>
      <c r="D2598" t="s">
        <v>1343</v>
      </c>
      <c r="E2598" t="s">
        <v>187</v>
      </c>
      <c r="F2598">
        <v>2005</v>
      </c>
      <c r="G2598">
        <v>85.170201000000006</v>
      </c>
    </row>
    <row r="2599" spans="1:7">
      <c r="A2599" t="s">
        <v>1297</v>
      </c>
      <c r="B2599" t="s">
        <v>1298</v>
      </c>
      <c r="C2599" t="s">
        <v>660</v>
      </c>
      <c r="D2599" t="s">
        <v>1343</v>
      </c>
      <c r="E2599" t="s">
        <v>187</v>
      </c>
      <c r="F2599">
        <v>2010</v>
      </c>
      <c r="G2599">
        <v>113.74517299999999</v>
      </c>
    </row>
    <row r="2600" spans="1:7">
      <c r="A2600" t="s">
        <v>1297</v>
      </c>
      <c r="B2600" t="s">
        <v>1298</v>
      </c>
      <c r="C2600" t="s">
        <v>676</v>
      </c>
      <c r="D2600" t="s">
        <v>1344</v>
      </c>
      <c r="E2600" t="s">
        <v>187</v>
      </c>
      <c r="F2600">
        <v>2005</v>
      </c>
      <c r="G2600">
        <v>2.4597999999999998E-2</v>
      </c>
    </row>
    <row r="2601" spans="1:7">
      <c r="A2601" t="s">
        <v>1297</v>
      </c>
      <c r="B2601" t="s">
        <v>1298</v>
      </c>
      <c r="C2601" t="s">
        <v>676</v>
      </c>
      <c r="D2601" t="s">
        <v>1344</v>
      </c>
      <c r="E2601" t="s">
        <v>187</v>
      </c>
      <c r="F2601">
        <v>2010</v>
      </c>
      <c r="G2601">
        <v>3.3444000000000002E-2</v>
      </c>
    </row>
    <row r="2602" spans="1:7">
      <c r="A2602" t="s">
        <v>1297</v>
      </c>
      <c r="B2602" t="s">
        <v>1298</v>
      </c>
      <c r="C2602" t="s">
        <v>676</v>
      </c>
      <c r="D2602" t="s">
        <v>1344</v>
      </c>
      <c r="E2602" t="s">
        <v>187</v>
      </c>
      <c r="F2602">
        <v>2012</v>
      </c>
      <c r="G2602">
        <v>0.11161</v>
      </c>
    </row>
    <row r="2603" spans="1:7">
      <c r="A2603" t="s">
        <v>1297</v>
      </c>
      <c r="B2603" t="s">
        <v>1298</v>
      </c>
      <c r="C2603" t="s">
        <v>676</v>
      </c>
      <c r="D2603" t="s">
        <v>1344</v>
      </c>
      <c r="E2603" t="s">
        <v>187</v>
      </c>
      <c r="F2603">
        <v>2016</v>
      </c>
      <c r="G2603">
        <v>2.1437999999999999E-2</v>
      </c>
    </row>
    <row r="2604" spans="1:7">
      <c r="A2604" t="s">
        <v>1297</v>
      </c>
      <c r="B2604" t="s">
        <v>1298</v>
      </c>
      <c r="C2604" t="s">
        <v>676</v>
      </c>
      <c r="D2604" t="s">
        <v>1344</v>
      </c>
      <c r="E2604" t="s">
        <v>187</v>
      </c>
      <c r="F2604">
        <v>2020</v>
      </c>
      <c r="G2604">
        <v>1.1181999999999999E-2</v>
      </c>
    </row>
    <row r="2605" spans="1:7">
      <c r="A2605" t="s">
        <v>1297</v>
      </c>
      <c r="B2605" t="s">
        <v>1298</v>
      </c>
      <c r="C2605" t="s">
        <v>655</v>
      </c>
      <c r="D2605" t="s">
        <v>1344</v>
      </c>
      <c r="E2605" t="s">
        <v>187</v>
      </c>
      <c r="F2605">
        <v>2005</v>
      </c>
      <c r="G2605">
        <v>1.8974610000000001</v>
      </c>
    </row>
    <row r="2606" spans="1:7">
      <c r="A2606" t="s">
        <v>1297</v>
      </c>
      <c r="B2606" t="s">
        <v>1298</v>
      </c>
      <c r="C2606" t="s">
        <v>655</v>
      </c>
      <c r="D2606" t="s">
        <v>1344</v>
      </c>
      <c r="E2606" t="s">
        <v>187</v>
      </c>
      <c r="F2606">
        <v>2010</v>
      </c>
      <c r="G2606">
        <v>1.2270840000000001</v>
      </c>
    </row>
    <row r="2607" spans="1:7">
      <c r="A2607" t="s">
        <v>1297</v>
      </c>
      <c r="B2607" t="s">
        <v>1298</v>
      </c>
      <c r="C2607" t="s">
        <v>655</v>
      </c>
      <c r="D2607" t="s">
        <v>1344</v>
      </c>
      <c r="E2607" t="s">
        <v>187</v>
      </c>
      <c r="F2607">
        <v>2012</v>
      </c>
      <c r="G2607">
        <v>1.1764319999999999</v>
      </c>
    </row>
    <row r="2608" spans="1:7">
      <c r="A2608" t="s">
        <v>1297</v>
      </c>
      <c r="B2608" t="s">
        <v>1298</v>
      </c>
      <c r="C2608" t="s">
        <v>655</v>
      </c>
      <c r="D2608" t="s">
        <v>1344</v>
      </c>
      <c r="E2608" t="s">
        <v>187</v>
      </c>
      <c r="F2608">
        <v>2016</v>
      </c>
      <c r="G2608">
        <v>1.4496340000000001</v>
      </c>
    </row>
    <row r="2609" spans="1:7">
      <c r="A2609" t="s">
        <v>1297</v>
      </c>
      <c r="B2609" t="s">
        <v>1298</v>
      </c>
      <c r="C2609" t="s">
        <v>655</v>
      </c>
      <c r="D2609" t="s">
        <v>1344</v>
      </c>
      <c r="E2609" t="s">
        <v>187</v>
      </c>
      <c r="F2609">
        <v>2020</v>
      </c>
      <c r="G2609">
        <v>0.52228699999999995</v>
      </c>
    </row>
    <row r="2610" spans="1:7">
      <c r="A2610" t="s">
        <v>1297</v>
      </c>
      <c r="B2610" t="s">
        <v>1298</v>
      </c>
      <c r="C2610" t="s">
        <v>663</v>
      </c>
      <c r="D2610" t="s">
        <v>1344</v>
      </c>
      <c r="E2610" t="s">
        <v>187</v>
      </c>
      <c r="F2610">
        <v>2005</v>
      </c>
      <c r="G2610">
        <v>0.84742399999999996</v>
      </c>
    </row>
    <row r="2611" spans="1:7">
      <c r="A2611" t="s">
        <v>1297</v>
      </c>
      <c r="B2611" t="s">
        <v>1298</v>
      </c>
      <c r="C2611" t="s">
        <v>663</v>
      </c>
      <c r="D2611" t="s">
        <v>1344</v>
      </c>
      <c r="E2611" t="s">
        <v>187</v>
      </c>
      <c r="F2611">
        <v>2010</v>
      </c>
      <c r="G2611">
        <v>3.143E-2</v>
      </c>
    </row>
    <row r="2612" spans="1:7">
      <c r="A2612" t="s">
        <v>1297</v>
      </c>
      <c r="B2612" t="s">
        <v>1298</v>
      </c>
      <c r="C2612" t="s">
        <v>663</v>
      </c>
      <c r="D2612" t="s">
        <v>1344</v>
      </c>
      <c r="E2612" t="s">
        <v>187</v>
      </c>
      <c r="F2612">
        <v>2012</v>
      </c>
      <c r="G2612">
        <v>2.9600000000000001E-2</v>
      </c>
    </row>
    <row r="2613" spans="1:7">
      <c r="A2613" t="s">
        <v>1297</v>
      </c>
      <c r="B2613" t="s">
        <v>1298</v>
      </c>
      <c r="C2613" t="s">
        <v>682</v>
      </c>
      <c r="D2613" t="s">
        <v>1344</v>
      </c>
      <c r="E2613" t="s">
        <v>187</v>
      </c>
      <c r="F2613">
        <v>2016</v>
      </c>
      <c r="G2613">
        <v>0.10803</v>
      </c>
    </row>
    <row r="2614" spans="1:7">
      <c r="A2614" t="s">
        <v>1297</v>
      </c>
      <c r="B2614" t="s">
        <v>1298</v>
      </c>
      <c r="C2614" t="s">
        <v>686</v>
      </c>
      <c r="D2614" t="s">
        <v>1344</v>
      </c>
      <c r="E2614" t="s">
        <v>187</v>
      </c>
      <c r="F2614">
        <v>2020</v>
      </c>
      <c r="G2614">
        <v>7.1130000000000004E-3</v>
      </c>
    </row>
    <row r="2615" spans="1:7">
      <c r="A2615" t="s">
        <v>1297</v>
      </c>
      <c r="B2615" t="s">
        <v>1298</v>
      </c>
      <c r="C2615" t="s">
        <v>686</v>
      </c>
      <c r="D2615" t="s">
        <v>1344</v>
      </c>
      <c r="E2615" t="s">
        <v>187</v>
      </c>
      <c r="F2615">
        <v>2010</v>
      </c>
      <c r="G2615">
        <v>3.0377999999999999E-2</v>
      </c>
    </row>
    <row r="2616" spans="1:7">
      <c r="A2616" t="s">
        <v>1297</v>
      </c>
      <c r="B2616" t="s">
        <v>1298</v>
      </c>
      <c r="C2616" t="s">
        <v>686</v>
      </c>
      <c r="D2616" t="s">
        <v>1344</v>
      </c>
      <c r="E2616" t="s">
        <v>187</v>
      </c>
      <c r="F2616">
        <v>2012</v>
      </c>
      <c r="G2616">
        <v>3.0634000000000002E-2</v>
      </c>
    </row>
    <row r="2617" spans="1:7">
      <c r="A2617" t="s">
        <v>1297</v>
      </c>
      <c r="B2617" t="s">
        <v>1298</v>
      </c>
      <c r="C2617" t="s">
        <v>686</v>
      </c>
      <c r="D2617" t="s">
        <v>1344</v>
      </c>
      <c r="E2617" t="s">
        <v>187</v>
      </c>
      <c r="F2617">
        <v>2016</v>
      </c>
      <c r="G2617">
        <v>3.6680999999999998E-2</v>
      </c>
    </row>
    <row r="2618" spans="1:7">
      <c r="A2618" t="s">
        <v>1297</v>
      </c>
      <c r="B2618" t="s">
        <v>1298</v>
      </c>
      <c r="C2618" t="s">
        <v>653</v>
      </c>
      <c r="D2618" t="s">
        <v>1344</v>
      </c>
      <c r="E2618" t="s">
        <v>187</v>
      </c>
      <c r="F2618">
        <v>2010</v>
      </c>
      <c r="G2618">
        <v>0.45724900000000002</v>
      </c>
    </row>
    <row r="2619" spans="1:7">
      <c r="A2619" t="s">
        <v>1297</v>
      </c>
      <c r="B2619" t="s">
        <v>1298</v>
      </c>
      <c r="C2619" t="s">
        <v>653</v>
      </c>
      <c r="D2619" t="s">
        <v>1344</v>
      </c>
      <c r="E2619" t="s">
        <v>187</v>
      </c>
      <c r="F2619">
        <v>2012</v>
      </c>
      <c r="G2619">
        <v>0.209176</v>
      </c>
    </row>
    <row r="2620" spans="1:7">
      <c r="A2620" t="s">
        <v>1297</v>
      </c>
      <c r="B2620" t="s">
        <v>1298</v>
      </c>
      <c r="C2620" t="s">
        <v>653</v>
      </c>
      <c r="D2620" t="s">
        <v>1344</v>
      </c>
      <c r="E2620" t="s">
        <v>187</v>
      </c>
      <c r="F2620">
        <v>2020</v>
      </c>
      <c r="G2620">
        <v>7.7261999999999997E-2</v>
      </c>
    </row>
    <row r="2621" spans="1:7">
      <c r="A2621" t="s">
        <v>1297</v>
      </c>
      <c r="B2621" t="s">
        <v>1298</v>
      </c>
      <c r="C2621" t="s">
        <v>673</v>
      </c>
      <c r="D2621" t="s">
        <v>1344</v>
      </c>
      <c r="E2621" t="s">
        <v>187</v>
      </c>
      <c r="F2621">
        <v>2005</v>
      </c>
      <c r="G2621">
        <v>0.68573200000000001</v>
      </c>
    </row>
    <row r="2622" spans="1:7">
      <c r="A2622" t="s">
        <v>1297</v>
      </c>
      <c r="B2622" t="s">
        <v>1298</v>
      </c>
      <c r="C2622" t="s">
        <v>673</v>
      </c>
      <c r="D2622" t="s">
        <v>1344</v>
      </c>
      <c r="E2622" t="s">
        <v>187</v>
      </c>
      <c r="F2622">
        <v>2010</v>
      </c>
      <c r="G2622">
        <v>0.33783200000000002</v>
      </c>
    </row>
    <row r="2623" spans="1:7">
      <c r="A2623" t="s">
        <v>1297</v>
      </c>
      <c r="B2623" t="s">
        <v>1298</v>
      </c>
      <c r="C2623" t="s">
        <v>1299</v>
      </c>
      <c r="D2623" t="s">
        <v>1344</v>
      </c>
      <c r="E2623" t="s">
        <v>187</v>
      </c>
      <c r="F2623">
        <v>2005</v>
      </c>
      <c r="G2623">
        <v>1.18496</v>
      </c>
    </row>
    <row r="2624" spans="1:7">
      <c r="A2624" t="s">
        <v>1297</v>
      </c>
      <c r="B2624" t="s">
        <v>1298</v>
      </c>
      <c r="C2624" t="s">
        <v>1299</v>
      </c>
      <c r="D2624" t="s">
        <v>1344</v>
      </c>
      <c r="E2624" t="s">
        <v>187</v>
      </c>
      <c r="F2624">
        <v>2010</v>
      </c>
      <c r="G2624">
        <v>0.57974499999999995</v>
      </c>
    </row>
    <row r="2625" spans="1:7">
      <c r="A2625" t="s">
        <v>1297</v>
      </c>
      <c r="B2625" t="s">
        <v>1298</v>
      </c>
      <c r="C2625" t="s">
        <v>1299</v>
      </c>
      <c r="D2625" t="s">
        <v>1344</v>
      </c>
      <c r="E2625" t="s">
        <v>187</v>
      </c>
      <c r="F2625">
        <v>2012</v>
      </c>
      <c r="G2625">
        <v>0.58741600000000005</v>
      </c>
    </row>
    <row r="2626" spans="1:7">
      <c r="A2626" t="s">
        <v>1297</v>
      </c>
      <c r="B2626" t="s">
        <v>1298</v>
      </c>
      <c r="C2626" t="s">
        <v>1299</v>
      </c>
      <c r="D2626" t="s">
        <v>1344</v>
      </c>
      <c r="E2626" t="s">
        <v>187</v>
      </c>
      <c r="F2626">
        <v>2016</v>
      </c>
      <c r="G2626">
        <v>6.5948999999999994E-2</v>
      </c>
    </row>
    <row r="2627" spans="1:7">
      <c r="A2627" t="s">
        <v>1297</v>
      </c>
      <c r="B2627" t="s">
        <v>1298</v>
      </c>
      <c r="C2627" t="s">
        <v>1299</v>
      </c>
      <c r="D2627" t="s">
        <v>1344</v>
      </c>
      <c r="E2627" t="s">
        <v>187</v>
      </c>
      <c r="F2627">
        <v>2020</v>
      </c>
      <c r="G2627">
        <v>8.7931999999999996E-2</v>
      </c>
    </row>
    <row r="2628" spans="1:7">
      <c r="A2628" t="s">
        <v>1297</v>
      </c>
      <c r="B2628" t="s">
        <v>1298</v>
      </c>
      <c r="C2628" t="s">
        <v>659</v>
      </c>
      <c r="D2628" t="s">
        <v>1345</v>
      </c>
      <c r="E2628" t="s">
        <v>187</v>
      </c>
      <c r="F2628">
        <v>2005</v>
      </c>
      <c r="G2628">
        <v>17.385000000000002</v>
      </c>
    </row>
    <row r="2629" spans="1:7">
      <c r="A2629" t="s">
        <v>1297</v>
      </c>
      <c r="B2629" t="s">
        <v>1298</v>
      </c>
      <c r="C2629" t="s">
        <v>659</v>
      </c>
      <c r="D2629" t="s">
        <v>1345</v>
      </c>
      <c r="E2629" t="s">
        <v>187</v>
      </c>
      <c r="F2629">
        <v>2010</v>
      </c>
      <c r="G2629">
        <v>45.659928000000001</v>
      </c>
    </row>
    <row r="2630" spans="1:7">
      <c r="A2630" t="s">
        <v>1297</v>
      </c>
      <c r="B2630" t="s">
        <v>1298</v>
      </c>
      <c r="C2630" t="s">
        <v>659</v>
      </c>
      <c r="D2630" t="s">
        <v>1345</v>
      </c>
      <c r="E2630" t="s">
        <v>187</v>
      </c>
      <c r="F2630">
        <v>2012</v>
      </c>
      <c r="G2630">
        <v>56.258149000000003</v>
      </c>
    </row>
    <row r="2631" spans="1:7">
      <c r="A2631" t="s">
        <v>1297</v>
      </c>
      <c r="B2631" t="s">
        <v>1298</v>
      </c>
      <c r="C2631" t="s">
        <v>659</v>
      </c>
      <c r="D2631" t="s">
        <v>1345</v>
      </c>
      <c r="E2631" t="s">
        <v>187</v>
      </c>
      <c r="F2631">
        <v>2016</v>
      </c>
      <c r="G2631">
        <v>14.441445</v>
      </c>
    </row>
    <row r="2632" spans="1:7">
      <c r="A2632" t="s">
        <v>1297</v>
      </c>
      <c r="B2632" t="s">
        <v>1298</v>
      </c>
      <c r="C2632" t="s">
        <v>659</v>
      </c>
      <c r="D2632" t="s">
        <v>1345</v>
      </c>
      <c r="E2632" t="s">
        <v>187</v>
      </c>
      <c r="F2632">
        <v>2020</v>
      </c>
      <c r="G2632">
        <v>41.750456</v>
      </c>
    </row>
    <row r="2633" spans="1:7">
      <c r="A2633" t="s">
        <v>1297</v>
      </c>
      <c r="B2633" t="s">
        <v>1298</v>
      </c>
      <c r="C2633" t="s">
        <v>1301</v>
      </c>
      <c r="D2633" t="s">
        <v>1345</v>
      </c>
      <c r="E2633" t="s">
        <v>187</v>
      </c>
      <c r="F2633">
        <v>2010</v>
      </c>
      <c r="G2633">
        <v>0.18714500000000001</v>
      </c>
    </row>
    <row r="2634" spans="1:7">
      <c r="A2634" t="s">
        <v>1297</v>
      </c>
      <c r="B2634" t="s">
        <v>1298</v>
      </c>
      <c r="C2634" t="s">
        <v>1301</v>
      </c>
      <c r="D2634" t="s">
        <v>1345</v>
      </c>
      <c r="E2634" t="s">
        <v>187</v>
      </c>
      <c r="F2634">
        <v>2012</v>
      </c>
      <c r="G2634">
        <v>3.463625</v>
      </c>
    </row>
    <row r="2635" spans="1:7">
      <c r="A2635" t="s">
        <v>1297</v>
      </c>
      <c r="B2635" t="s">
        <v>1298</v>
      </c>
      <c r="C2635" t="s">
        <v>1301</v>
      </c>
      <c r="D2635" t="s">
        <v>1345</v>
      </c>
      <c r="E2635" t="s">
        <v>187</v>
      </c>
      <c r="F2635">
        <v>2016</v>
      </c>
      <c r="G2635">
        <v>6.57043</v>
      </c>
    </row>
    <row r="2636" spans="1:7">
      <c r="A2636" t="s">
        <v>1297</v>
      </c>
      <c r="B2636" t="s">
        <v>1298</v>
      </c>
      <c r="C2636" t="s">
        <v>1301</v>
      </c>
      <c r="D2636" t="s">
        <v>1345</v>
      </c>
      <c r="E2636" t="s">
        <v>187</v>
      </c>
      <c r="F2636">
        <v>2020</v>
      </c>
      <c r="G2636">
        <v>6.7150879999999997</v>
      </c>
    </row>
    <row r="2637" spans="1:7">
      <c r="A2637" t="s">
        <v>1297</v>
      </c>
      <c r="B2637" t="s">
        <v>1298</v>
      </c>
      <c r="C2637" t="s">
        <v>657</v>
      </c>
      <c r="D2637" t="s">
        <v>1345</v>
      </c>
      <c r="E2637" t="s">
        <v>187</v>
      </c>
      <c r="F2637">
        <v>2005</v>
      </c>
      <c r="G2637">
        <v>2.3424960000000001</v>
      </c>
    </row>
    <row r="2638" spans="1:7">
      <c r="A2638" t="s">
        <v>1297</v>
      </c>
      <c r="B2638" t="s">
        <v>1298</v>
      </c>
      <c r="C2638" t="s">
        <v>657</v>
      </c>
      <c r="D2638" t="s">
        <v>1345</v>
      </c>
      <c r="E2638" t="s">
        <v>187</v>
      </c>
      <c r="F2638">
        <v>2010</v>
      </c>
      <c r="G2638">
        <v>1.7352399999999999</v>
      </c>
    </row>
    <row r="2639" spans="1:7">
      <c r="A2639" t="s">
        <v>1297</v>
      </c>
      <c r="B2639" t="s">
        <v>1298</v>
      </c>
      <c r="C2639" t="s">
        <v>657</v>
      </c>
      <c r="D2639" t="s">
        <v>1345</v>
      </c>
      <c r="E2639" t="s">
        <v>187</v>
      </c>
      <c r="F2639">
        <v>2012</v>
      </c>
      <c r="G2639">
        <v>0.26652999999999999</v>
      </c>
    </row>
    <row r="2640" spans="1:7">
      <c r="A2640" t="s">
        <v>1297</v>
      </c>
      <c r="B2640" t="s">
        <v>1298</v>
      </c>
      <c r="C2640" t="s">
        <v>657</v>
      </c>
      <c r="D2640" t="s">
        <v>1345</v>
      </c>
      <c r="E2640" t="s">
        <v>187</v>
      </c>
      <c r="F2640">
        <v>2016</v>
      </c>
      <c r="G2640">
        <v>0.50591200000000003</v>
      </c>
    </row>
    <row r="2641" spans="1:7">
      <c r="A2641" t="s">
        <v>1297</v>
      </c>
      <c r="B2641" t="s">
        <v>1298</v>
      </c>
      <c r="C2641" t="s">
        <v>657</v>
      </c>
      <c r="D2641" t="s">
        <v>1345</v>
      </c>
      <c r="E2641" t="s">
        <v>187</v>
      </c>
      <c r="F2641">
        <v>2020</v>
      </c>
      <c r="G2641">
        <v>1.0943529999999999</v>
      </c>
    </row>
    <row r="2642" spans="1:7">
      <c r="A2642" t="s">
        <v>1297</v>
      </c>
      <c r="B2642" t="s">
        <v>1298</v>
      </c>
      <c r="C2642" t="s">
        <v>661</v>
      </c>
      <c r="D2642" t="s">
        <v>1345</v>
      </c>
      <c r="E2642" t="s">
        <v>187</v>
      </c>
      <c r="F2642">
        <v>2005</v>
      </c>
      <c r="G2642">
        <v>25.7895</v>
      </c>
    </row>
    <row r="2643" spans="1:7">
      <c r="A2643" t="s">
        <v>1297</v>
      </c>
      <c r="B2643" t="s">
        <v>1298</v>
      </c>
      <c r="C2643" t="s">
        <v>661</v>
      </c>
      <c r="D2643" t="s">
        <v>1345</v>
      </c>
      <c r="E2643" t="s">
        <v>187</v>
      </c>
      <c r="F2643">
        <v>2010</v>
      </c>
      <c r="G2643">
        <v>7.3384999999999998</v>
      </c>
    </row>
    <row r="2644" spans="1:7">
      <c r="A2644" t="s">
        <v>1297</v>
      </c>
      <c r="B2644" t="s">
        <v>1298</v>
      </c>
      <c r="C2644" t="s">
        <v>661</v>
      </c>
      <c r="D2644" t="s">
        <v>1345</v>
      </c>
      <c r="E2644" t="s">
        <v>187</v>
      </c>
      <c r="F2644">
        <v>2012</v>
      </c>
      <c r="G2644">
        <v>2.016</v>
      </c>
    </row>
    <row r="2645" spans="1:7">
      <c r="A2645" t="s">
        <v>1297</v>
      </c>
      <c r="B2645" t="s">
        <v>1298</v>
      </c>
      <c r="C2645" t="s">
        <v>661</v>
      </c>
      <c r="D2645" t="s">
        <v>1345</v>
      </c>
      <c r="E2645" t="s">
        <v>187</v>
      </c>
      <c r="F2645">
        <v>2016</v>
      </c>
      <c r="G2645">
        <v>2.3239999999999998</v>
      </c>
    </row>
    <row r="2646" spans="1:7">
      <c r="A2646" t="s">
        <v>1297</v>
      </c>
      <c r="B2646" t="s">
        <v>1298</v>
      </c>
      <c r="C2646" t="s">
        <v>661</v>
      </c>
      <c r="D2646" t="s">
        <v>1345</v>
      </c>
      <c r="E2646" t="s">
        <v>187</v>
      </c>
      <c r="F2646">
        <v>2020</v>
      </c>
      <c r="G2646">
        <v>0.16584399999999999</v>
      </c>
    </row>
    <row r="2647" spans="1:7">
      <c r="A2647" t="s">
        <v>1297</v>
      </c>
      <c r="B2647" t="s">
        <v>1298</v>
      </c>
      <c r="C2647" t="s">
        <v>663</v>
      </c>
      <c r="D2647" t="s">
        <v>1345</v>
      </c>
      <c r="E2647" t="s">
        <v>187</v>
      </c>
      <c r="F2647">
        <v>2005</v>
      </c>
      <c r="G2647">
        <v>6.3839819999999996</v>
      </c>
    </row>
    <row r="2648" spans="1:7">
      <c r="A2648" t="s">
        <v>1297</v>
      </c>
      <c r="B2648" t="s">
        <v>1298</v>
      </c>
      <c r="C2648" t="s">
        <v>663</v>
      </c>
      <c r="D2648" t="s">
        <v>1345</v>
      </c>
      <c r="E2648" t="s">
        <v>187</v>
      </c>
      <c r="F2648">
        <v>2010</v>
      </c>
      <c r="G2648">
        <v>11.68932</v>
      </c>
    </row>
    <row r="2649" spans="1:7">
      <c r="A2649" t="s">
        <v>1297</v>
      </c>
      <c r="B2649" t="s">
        <v>1298</v>
      </c>
      <c r="C2649" t="s">
        <v>663</v>
      </c>
      <c r="D2649" t="s">
        <v>1345</v>
      </c>
      <c r="E2649" t="s">
        <v>187</v>
      </c>
      <c r="F2649">
        <v>2012</v>
      </c>
      <c r="G2649">
        <v>12.096019999999999</v>
      </c>
    </row>
    <row r="2650" spans="1:7">
      <c r="A2650" t="s">
        <v>1297</v>
      </c>
      <c r="B2650" t="s">
        <v>1298</v>
      </c>
      <c r="C2650" t="s">
        <v>663</v>
      </c>
      <c r="D2650" t="s">
        <v>1345</v>
      </c>
      <c r="E2650" t="s">
        <v>187</v>
      </c>
      <c r="F2650">
        <v>2016</v>
      </c>
      <c r="G2650">
        <v>15.633732999999999</v>
      </c>
    </row>
    <row r="2651" spans="1:7">
      <c r="A2651" t="s">
        <v>1297</v>
      </c>
      <c r="B2651" t="s">
        <v>1298</v>
      </c>
      <c r="C2651" t="s">
        <v>663</v>
      </c>
      <c r="D2651" t="s">
        <v>1345</v>
      </c>
      <c r="E2651" t="s">
        <v>187</v>
      </c>
      <c r="F2651">
        <v>2020</v>
      </c>
      <c r="G2651">
        <v>9.7592320000000008</v>
      </c>
    </row>
    <row r="2652" spans="1:7">
      <c r="A2652" t="s">
        <v>1297</v>
      </c>
      <c r="B2652" t="s">
        <v>1298</v>
      </c>
      <c r="C2652" t="s">
        <v>655</v>
      </c>
      <c r="D2652" t="s">
        <v>1345</v>
      </c>
      <c r="E2652" t="s">
        <v>187</v>
      </c>
      <c r="F2652">
        <v>2005</v>
      </c>
      <c r="G2652">
        <v>193.400432</v>
      </c>
    </row>
    <row r="2653" spans="1:7">
      <c r="A2653" t="s">
        <v>1297</v>
      </c>
      <c r="B2653" t="s">
        <v>1298</v>
      </c>
      <c r="C2653" t="s">
        <v>655</v>
      </c>
      <c r="D2653" t="s">
        <v>1345</v>
      </c>
      <c r="E2653" t="s">
        <v>187</v>
      </c>
      <c r="F2653">
        <v>2010</v>
      </c>
      <c r="G2653">
        <v>219.17412999999999</v>
      </c>
    </row>
    <row r="2654" spans="1:7">
      <c r="A2654" t="s">
        <v>1297</v>
      </c>
      <c r="B2654" t="s">
        <v>1298</v>
      </c>
      <c r="C2654" t="s">
        <v>655</v>
      </c>
      <c r="D2654" t="s">
        <v>1345</v>
      </c>
      <c r="E2654" t="s">
        <v>187</v>
      </c>
      <c r="F2654">
        <v>2012</v>
      </c>
      <c r="G2654">
        <v>178.39760699999999</v>
      </c>
    </row>
    <row r="2655" spans="1:7">
      <c r="A2655" t="s">
        <v>1297</v>
      </c>
      <c r="B2655" t="s">
        <v>1298</v>
      </c>
      <c r="C2655" t="s">
        <v>655</v>
      </c>
      <c r="D2655" t="s">
        <v>1345</v>
      </c>
      <c r="E2655" t="s">
        <v>187</v>
      </c>
      <c r="F2655">
        <v>2016</v>
      </c>
      <c r="G2655">
        <v>133.71704199999999</v>
      </c>
    </row>
    <row r="2656" spans="1:7">
      <c r="A2656" t="s">
        <v>1297</v>
      </c>
      <c r="B2656" t="s">
        <v>1298</v>
      </c>
      <c r="C2656" t="s">
        <v>655</v>
      </c>
      <c r="D2656" t="s">
        <v>1345</v>
      </c>
      <c r="E2656" t="s">
        <v>187</v>
      </c>
      <c r="F2656">
        <v>2020</v>
      </c>
      <c r="G2656">
        <v>70.164655999999994</v>
      </c>
    </row>
    <row r="2657" spans="1:7">
      <c r="A2657" t="s">
        <v>1297</v>
      </c>
      <c r="B2657" t="s">
        <v>1298</v>
      </c>
      <c r="C2657" t="s">
        <v>653</v>
      </c>
      <c r="D2657" t="s">
        <v>1345</v>
      </c>
      <c r="E2657" t="s">
        <v>187</v>
      </c>
      <c r="F2657">
        <v>2005</v>
      </c>
      <c r="G2657">
        <v>0.57267000000000001</v>
      </c>
    </row>
    <row r="2658" spans="1:7">
      <c r="A2658" t="s">
        <v>1297</v>
      </c>
      <c r="B2658" t="s">
        <v>1298</v>
      </c>
      <c r="C2658" t="s">
        <v>653</v>
      </c>
      <c r="D2658" t="s">
        <v>1345</v>
      </c>
      <c r="E2658" t="s">
        <v>187</v>
      </c>
      <c r="F2658">
        <v>2010</v>
      </c>
      <c r="G2658">
        <v>1.968432</v>
      </c>
    </row>
    <row r="2659" spans="1:7">
      <c r="A2659" t="s">
        <v>1297</v>
      </c>
      <c r="B2659" t="s">
        <v>1298</v>
      </c>
      <c r="C2659" t="s">
        <v>675</v>
      </c>
      <c r="D2659" t="s">
        <v>1345</v>
      </c>
      <c r="E2659" t="s">
        <v>187</v>
      </c>
      <c r="F2659">
        <v>2005</v>
      </c>
      <c r="G2659">
        <v>0.40960000000000002</v>
      </c>
    </row>
    <row r="2660" spans="1:7">
      <c r="A2660" t="s">
        <v>1297</v>
      </c>
      <c r="B2660" t="s">
        <v>1298</v>
      </c>
      <c r="C2660" t="s">
        <v>675</v>
      </c>
      <c r="D2660" t="s">
        <v>1345</v>
      </c>
      <c r="E2660" t="s">
        <v>187</v>
      </c>
      <c r="F2660">
        <v>2012</v>
      </c>
      <c r="G2660">
        <v>2.5413999999999999E-2</v>
      </c>
    </row>
    <row r="2661" spans="1:7">
      <c r="A2661" t="s">
        <v>1297</v>
      </c>
      <c r="B2661" t="s">
        <v>1298</v>
      </c>
      <c r="C2661" t="s">
        <v>652</v>
      </c>
      <c r="D2661" t="s">
        <v>1345</v>
      </c>
      <c r="E2661" t="s">
        <v>187</v>
      </c>
      <c r="F2661">
        <v>2005</v>
      </c>
      <c r="G2661">
        <v>32.158200000000001</v>
      </c>
    </row>
    <row r="2662" spans="1:7">
      <c r="A2662" t="s">
        <v>1297</v>
      </c>
      <c r="B2662" t="s">
        <v>1298</v>
      </c>
      <c r="C2662" t="s">
        <v>652</v>
      </c>
      <c r="D2662" t="s">
        <v>1345</v>
      </c>
      <c r="E2662" t="s">
        <v>187</v>
      </c>
      <c r="F2662">
        <v>2010</v>
      </c>
      <c r="G2662">
        <v>28.990894999999998</v>
      </c>
    </row>
    <row r="2663" spans="1:7">
      <c r="A2663" t="s">
        <v>1297</v>
      </c>
      <c r="B2663" t="s">
        <v>1298</v>
      </c>
      <c r="C2663" t="s">
        <v>652</v>
      </c>
      <c r="D2663" t="s">
        <v>1345</v>
      </c>
      <c r="E2663" t="s">
        <v>187</v>
      </c>
      <c r="F2663">
        <v>2012</v>
      </c>
      <c r="G2663">
        <v>34.449792000000002</v>
      </c>
    </row>
    <row r="2664" spans="1:7">
      <c r="A2664" t="s">
        <v>1297</v>
      </c>
      <c r="B2664" t="s">
        <v>1298</v>
      </c>
      <c r="C2664" t="s">
        <v>652</v>
      </c>
      <c r="D2664" t="s">
        <v>1345</v>
      </c>
      <c r="E2664" t="s">
        <v>187</v>
      </c>
      <c r="F2664">
        <v>2016</v>
      </c>
      <c r="G2664">
        <v>2.1414409999999999</v>
      </c>
    </row>
    <row r="2665" spans="1:7">
      <c r="A2665" t="s">
        <v>1297</v>
      </c>
      <c r="B2665" t="s">
        <v>1298</v>
      </c>
      <c r="C2665" t="s">
        <v>652</v>
      </c>
      <c r="D2665" t="s">
        <v>1345</v>
      </c>
      <c r="E2665" t="s">
        <v>187</v>
      </c>
      <c r="F2665">
        <v>2020</v>
      </c>
      <c r="G2665">
        <v>3.4597560000000001</v>
      </c>
    </row>
    <row r="2666" spans="1:7">
      <c r="A2666" t="s">
        <v>1297</v>
      </c>
      <c r="B2666" t="s">
        <v>1298</v>
      </c>
      <c r="C2666" t="s">
        <v>656</v>
      </c>
      <c r="D2666" t="s">
        <v>1345</v>
      </c>
      <c r="E2666" t="s">
        <v>187</v>
      </c>
      <c r="F2666">
        <v>2005</v>
      </c>
      <c r="G2666">
        <v>25.153010999999999</v>
      </c>
    </row>
    <row r="2667" spans="1:7">
      <c r="A2667" t="s">
        <v>1297</v>
      </c>
      <c r="B2667" t="s">
        <v>1298</v>
      </c>
      <c r="C2667" t="s">
        <v>656</v>
      </c>
      <c r="D2667" t="s">
        <v>1345</v>
      </c>
      <c r="E2667" t="s">
        <v>187</v>
      </c>
      <c r="F2667">
        <v>2010</v>
      </c>
      <c r="G2667">
        <v>39.667622000000001</v>
      </c>
    </row>
    <row r="2668" spans="1:7">
      <c r="A2668" t="s">
        <v>1297</v>
      </c>
      <c r="B2668" t="s">
        <v>1298</v>
      </c>
      <c r="C2668" t="s">
        <v>656</v>
      </c>
      <c r="D2668" t="s">
        <v>1345</v>
      </c>
      <c r="E2668" t="s">
        <v>187</v>
      </c>
      <c r="F2668">
        <v>2012</v>
      </c>
      <c r="G2668">
        <v>48.855243999999999</v>
      </c>
    </row>
    <row r="2669" spans="1:7">
      <c r="A2669" t="s">
        <v>1297</v>
      </c>
      <c r="B2669" t="s">
        <v>1298</v>
      </c>
      <c r="C2669" t="s">
        <v>656</v>
      </c>
      <c r="D2669" t="s">
        <v>1345</v>
      </c>
      <c r="E2669" t="s">
        <v>187</v>
      </c>
      <c r="F2669">
        <v>2016</v>
      </c>
      <c r="G2669">
        <v>58.673209999999997</v>
      </c>
    </row>
    <row r="2670" spans="1:7">
      <c r="A2670" t="s">
        <v>1297</v>
      </c>
      <c r="B2670" t="s">
        <v>1298</v>
      </c>
      <c r="C2670" t="s">
        <v>656</v>
      </c>
      <c r="D2670" t="s">
        <v>1345</v>
      </c>
      <c r="E2670" t="s">
        <v>187</v>
      </c>
      <c r="F2670">
        <v>2020</v>
      </c>
      <c r="G2670">
        <v>62.836528999999999</v>
      </c>
    </row>
    <row r="2671" spans="1:7">
      <c r="A2671" t="s">
        <v>1297</v>
      </c>
      <c r="B2671" t="s">
        <v>1298</v>
      </c>
      <c r="C2671" t="s">
        <v>668</v>
      </c>
      <c r="D2671" t="s">
        <v>1345</v>
      </c>
      <c r="E2671" t="s">
        <v>187</v>
      </c>
      <c r="F2671">
        <v>2010</v>
      </c>
      <c r="G2671">
        <v>5.2440000000000001E-2</v>
      </c>
    </row>
    <row r="2672" spans="1:7">
      <c r="A2672" t="s">
        <v>1297</v>
      </c>
      <c r="B2672" t="s">
        <v>1298</v>
      </c>
      <c r="C2672" t="s">
        <v>668</v>
      </c>
      <c r="D2672" t="s">
        <v>1345</v>
      </c>
      <c r="E2672" t="s">
        <v>187</v>
      </c>
      <c r="F2672">
        <v>2012</v>
      </c>
      <c r="G2672">
        <v>0.159746</v>
      </c>
    </row>
    <row r="2673" spans="1:7">
      <c r="A2673" t="s">
        <v>1297</v>
      </c>
      <c r="B2673" t="s">
        <v>1298</v>
      </c>
      <c r="C2673" t="s">
        <v>668</v>
      </c>
      <c r="D2673" t="s">
        <v>1345</v>
      </c>
      <c r="E2673" t="s">
        <v>187</v>
      </c>
      <c r="F2673">
        <v>2016</v>
      </c>
      <c r="G2673">
        <v>0.14232</v>
      </c>
    </row>
    <row r="2674" spans="1:7">
      <c r="A2674" t="s">
        <v>1297</v>
      </c>
      <c r="B2674" t="s">
        <v>1298</v>
      </c>
      <c r="C2674" t="s">
        <v>668</v>
      </c>
      <c r="D2674" t="s">
        <v>1345</v>
      </c>
      <c r="E2674" t="s">
        <v>187</v>
      </c>
      <c r="F2674">
        <v>2020</v>
      </c>
      <c r="G2674">
        <v>0.11480600000000001</v>
      </c>
    </row>
    <row r="2675" spans="1:7">
      <c r="A2675" t="s">
        <v>1297</v>
      </c>
      <c r="B2675" t="s">
        <v>1298</v>
      </c>
      <c r="C2675" t="s">
        <v>679</v>
      </c>
      <c r="D2675" t="s">
        <v>1345</v>
      </c>
      <c r="E2675" t="s">
        <v>187</v>
      </c>
      <c r="F2675">
        <v>2005</v>
      </c>
      <c r="G2675">
        <v>46.871600000000001</v>
      </c>
    </row>
    <row r="2676" spans="1:7">
      <c r="A2676" t="s">
        <v>1297</v>
      </c>
      <c r="B2676" t="s">
        <v>1298</v>
      </c>
      <c r="C2676" t="s">
        <v>679</v>
      </c>
      <c r="D2676" t="s">
        <v>1345</v>
      </c>
      <c r="E2676" t="s">
        <v>187</v>
      </c>
      <c r="F2676">
        <v>2010</v>
      </c>
      <c r="G2676">
        <v>47.631100000000004</v>
      </c>
    </row>
    <row r="2677" spans="1:7">
      <c r="A2677" t="s">
        <v>1297</v>
      </c>
      <c r="B2677" t="s">
        <v>1298</v>
      </c>
      <c r="C2677" t="s">
        <v>679</v>
      </c>
      <c r="D2677" t="s">
        <v>1345</v>
      </c>
      <c r="E2677" t="s">
        <v>187</v>
      </c>
      <c r="F2677">
        <v>2012</v>
      </c>
      <c r="G2677">
        <v>35.913800000000002</v>
      </c>
    </row>
    <row r="2678" spans="1:7">
      <c r="A2678" t="s">
        <v>1297</v>
      </c>
      <c r="B2678" t="s">
        <v>1298</v>
      </c>
      <c r="C2678" t="s">
        <v>679</v>
      </c>
      <c r="D2678" t="s">
        <v>1345</v>
      </c>
      <c r="E2678" t="s">
        <v>187</v>
      </c>
      <c r="F2678">
        <v>2016</v>
      </c>
      <c r="G2678">
        <v>25.627199999999998</v>
      </c>
    </row>
    <row r="2679" spans="1:7">
      <c r="A2679" t="s">
        <v>1297</v>
      </c>
      <c r="B2679" t="s">
        <v>1298</v>
      </c>
      <c r="C2679" t="s">
        <v>679</v>
      </c>
      <c r="D2679" t="s">
        <v>1345</v>
      </c>
      <c r="E2679" t="s">
        <v>187</v>
      </c>
      <c r="F2679">
        <v>2020</v>
      </c>
      <c r="G2679">
        <v>2.2190889999999999</v>
      </c>
    </row>
    <row r="2680" spans="1:7">
      <c r="A2680" t="s">
        <v>1297</v>
      </c>
      <c r="B2680" t="s">
        <v>1298</v>
      </c>
      <c r="C2680" t="s">
        <v>651</v>
      </c>
      <c r="D2680" t="s">
        <v>1345</v>
      </c>
      <c r="E2680" t="s">
        <v>187</v>
      </c>
      <c r="F2680">
        <v>2005</v>
      </c>
      <c r="G2680">
        <v>0.64277600000000001</v>
      </c>
    </row>
    <row r="2681" spans="1:7">
      <c r="A2681" t="s">
        <v>1297</v>
      </c>
      <c r="B2681" t="s">
        <v>1298</v>
      </c>
      <c r="C2681" t="s">
        <v>651</v>
      </c>
      <c r="D2681" t="s">
        <v>1345</v>
      </c>
      <c r="E2681" t="s">
        <v>187</v>
      </c>
      <c r="F2681">
        <v>2010</v>
      </c>
      <c r="G2681">
        <v>0.197323</v>
      </c>
    </row>
    <row r="2682" spans="1:7">
      <c r="A2682" t="s">
        <v>1297</v>
      </c>
      <c r="B2682" t="s">
        <v>1298</v>
      </c>
      <c r="C2682" t="s">
        <v>651</v>
      </c>
      <c r="D2682" t="s">
        <v>1345</v>
      </c>
      <c r="E2682" t="s">
        <v>187</v>
      </c>
      <c r="F2682">
        <v>2012</v>
      </c>
      <c r="G2682">
        <v>7.3429999999999995E-2</v>
      </c>
    </row>
    <row r="2683" spans="1:7">
      <c r="A2683" t="s">
        <v>1297</v>
      </c>
      <c r="B2683" t="s">
        <v>1298</v>
      </c>
      <c r="C2683" t="s">
        <v>651</v>
      </c>
      <c r="D2683" t="s">
        <v>1345</v>
      </c>
      <c r="E2683" t="s">
        <v>187</v>
      </c>
      <c r="F2683">
        <v>2016</v>
      </c>
      <c r="G2683">
        <v>1.4581390000000001</v>
      </c>
    </row>
    <row r="2684" spans="1:7">
      <c r="A2684" t="s">
        <v>1297</v>
      </c>
      <c r="B2684" t="s">
        <v>1298</v>
      </c>
      <c r="C2684" t="s">
        <v>651</v>
      </c>
      <c r="D2684" t="s">
        <v>1345</v>
      </c>
      <c r="E2684" t="s">
        <v>187</v>
      </c>
      <c r="F2684">
        <v>2020</v>
      </c>
      <c r="G2684">
        <v>1.3939980000000001</v>
      </c>
    </row>
    <row r="2685" spans="1:7">
      <c r="A2685" t="s">
        <v>1297</v>
      </c>
      <c r="B2685" t="s">
        <v>1298</v>
      </c>
      <c r="C2685" t="s">
        <v>674</v>
      </c>
      <c r="D2685" t="s">
        <v>1345</v>
      </c>
      <c r="E2685" t="s">
        <v>187</v>
      </c>
      <c r="F2685">
        <v>2005</v>
      </c>
      <c r="G2685">
        <v>1.125291</v>
      </c>
    </row>
    <row r="2686" spans="1:7">
      <c r="A2686" t="s">
        <v>1297</v>
      </c>
      <c r="B2686" t="s">
        <v>1298</v>
      </c>
      <c r="C2686" t="s">
        <v>674</v>
      </c>
      <c r="D2686" t="s">
        <v>1345</v>
      </c>
      <c r="E2686" t="s">
        <v>187</v>
      </c>
      <c r="F2686">
        <v>2010</v>
      </c>
      <c r="G2686">
        <v>0.95404</v>
      </c>
    </row>
    <row r="2687" spans="1:7">
      <c r="A2687" t="s">
        <v>1297</v>
      </c>
      <c r="B2687" t="s">
        <v>1298</v>
      </c>
      <c r="C2687" t="s">
        <v>674</v>
      </c>
      <c r="D2687" t="s">
        <v>1345</v>
      </c>
      <c r="E2687" t="s">
        <v>187</v>
      </c>
      <c r="F2687">
        <v>2012</v>
      </c>
      <c r="G2687">
        <v>0.64515999999999996</v>
      </c>
    </row>
    <row r="2688" spans="1:7">
      <c r="A2688" t="s">
        <v>1297</v>
      </c>
      <c r="B2688" t="s">
        <v>1298</v>
      </c>
      <c r="C2688" t="s">
        <v>674</v>
      </c>
      <c r="D2688" t="s">
        <v>1345</v>
      </c>
      <c r="E2688" t="s">
        <v>187</v>
      </c>
      <c r="F2688">
        <v>2016</v>
      </c>
      <c r="G2688">
        <v>0.78624000000000005</v>
      </c>
    </row>
    <row r="2689" spans="1:7">
      <c r="A2689" t="s">
        <v>1297</v>
      </c>
      <c r="B2689" t="s">
        <v>1298</v>
      </c>
      <c r="C2689" t="s">
        <v>674</v>
      </c>
      <c r="D2689" t="s">
        <v>1345</v>
      </c>
      <c r="E2689" t="s">
        <v>187</v>
      </c>
      <c r="F2689">
        <v>2020</v>
      </c>
      <c r="G2689">
        <v>1.37592</v>
      </c>
    </row>
    <row r="2690" spans="1:7">
      <c r="A2690" t="s">
        <v>1297</v>
      </c>
      <c r="B2690" t="s">
        <v>1298</v>
      </c>
      <c r="C2690" t="s">
        <v>682</v>
      </c>
      <c r="D2690" t="s">
        <v>1345</v>
      </c>
      <c r="E2690" t="s">
        <v>187</v>
      </c>
      <c r="F2690">
        <v>2016</v>
      </c>
      <c r="G2690">
        <v>13.546754</v>
      </c>
    </row>
    <row r="2691" spans="1:7">
      <c r="A2691" t="s">
        <v>1297</v>
      </c>
      <c r="B2691" t="s">
        <v>1298</v>
      </c>
      <c r="C2691" t="s">
        <v>682</v>
      </c>
      <c r="D2691" t="s">
        <v>1345</v>
      </c>
      <c r="E2691" t="s">
        <v>187</v>
      </c>
      <c r="F2691">
        <v>2020</v>
      </c>
      <c r="G2691">
        <v>14.714149000000001</v>
      </c>
    </row>
    <row r="2692" spans="1:7">
      <c r="A2692" t="s">
        <v>1297</v>
      </c>
      <c r="B2692" t="s">
        <v>1298</v>
      </c>
      <c r="C2692" t="s">
        <v>653</v>
      </c>
      <c r="D2692" t="s">
        <v>1345</v>
      </c>
      <c r="E2692" t="s">
        <v>187</v>
      </c>
      <c r="F2692">
        <v>2012</v>
      </c>
      <c r="G2692">
        <v>2.8348580000000001</v>
      </c>
    </row>
    <row r="2693" spans="1:7">
      <c r="A2693" t="s">
        <v>1297</v>
      </c>
      <c r="B2693" t="s">
        <v>1298</v>
      </c>
      <c r="C2693" t="s">
        <v>653</v>
      </c>
      <c r="D2693" t="s">
        <v>1345</v>
      </c>
      <c r="E2693" t="s">
        <v>187</v>
      </c>
      <c r="F2693">
        <v>2016</v>
      </c>
      <c r="G2693">
        <v>0.184008</v>
      </c>
    </row>
    <row r="2694" spans="1:7">
      <c r="A2694" t="s">
        <v>1297</v>
      </c>
      <c r="B2694" t="s">
        <v>1298</v>
      </c>
      <c r="C2694" t="s">
        <v>653</v>
      </c>
      <c r="D2694" t="s">
        <v>1345</v>
      </c>
      <c r="E2694" t="s">
        <v>187</v>
      </c>
      <c r="F2694">
        <v>2020</v>
      </c>
      <c r="G2694">
        <v>0.907524</v>
      </c>
    </row>
    <row r="2695" spans="1:7">
      <c r="A2695" t="s">
        <v>1297</v>
      </c>
      <c r="B2695" t="s">
        <v>1298</v>
      </c>
      <c r="C2695" t="s">
        <v>666</v>
      </c>
      <c r="D2695" t="s">
        <v>1345</v>
      </c>
      <c r="E2695" t="s">
        <v>187</v>
      </c>
      <c r="F2695">
        <v>2005</v>
      </c>
      <c r="G2695">
        <v>4.5409999999999999E-2</v>
      </c>
    </row>
    <row r="2696" spans="1:7">
      <c r="A2696" t="s">
        <v>1297</v>
      </c>
      <c r="B2696" t="s">
        <v>1298</v>
      </c>
      <c r="C2696" t="s">
        <v>666</v>
      </c>
      <c r="D2696" t="s">
        <v>1345</v>
      </c>
      <c r="E2696" t="s">
        <v>187</v>
      </c>
      <c r="F2696">
        <v>2010</v>
      </c>
      <c r="G2696">
        <v>0.86085</v>
      </c>
    </row>
    <row r="2697" spans="1:7">
      <c r="A2697" t="s">
        <v>1297</v>
      </c>
      <c r="B2697" t="s">
        <v>1298</v>
      </c>
      <c r="C2697" t="s">
        <v>666</v>
      </c>
      <c r="D2697" t="s">
        <v>1345</v>
      </c>
      <c r="E2697" t="s">
        <v>187</v>
      </c>
      <c r="F2697">
        <v>2012</v>
      </c>
      <c r="G2697">
        <v>0.57776000000000005</v>
      </c>
    </row>
    <row r="2698" spans="1:7">
      <c r="A2698" t="s">
        <v>1297</v>
      </c>
      <c r="B2698" t="s">
        <v>1298</v>
      </c>
      <c r="C2698" t="s">
        <v>677</v>
      </c>
      <c r="D2698" t="s">
        <v>1345</v>
      </c>
      <c r="E2698" t="s">
        <v>187</v>
      </c>
      <c r="F2698">
        <v>2005</v>
      </c>
      <c r="G2698">
        <v>20.717534000000001</v>
      </c>
    </row>
    <row r="2699" spans="1:7">
      <c r="A2699" t="s">
        <v>1297</v>
      </c>
      <c r="B2699" t="s">
        <v>1298</v>
      </c>
      <c r="C2699" t="s">
        <v>677</v>
      </c>
      <c r="D2699" t="s">
        <v>1345</v>
      </c>
      <c r="E2699" t="s">
        <v>187</v>
      </c>
      <c r="F2699">
        <v>2010</v>
      </c>
      <c r="G2699">
        <v>36.752015999999998</v>
      </c>
    </row>
    <row r="2700" spans="1:7">
      <c r="A2700" t="s">
        <v>1297</v>
      </c>
      <c r="B2700" t="s">
        <v>1298</v>
      </c>
      <c r="C2700" t="s">
        <v>677</v>
      </c>
      <c r="D2700" t="s">
        <v>1345</v>
      </c>
      <c r="E2700" t="s">
        <v>187</v>
      </c>
      <c r="F2700">
        <v>2012</v>
      </c>
      <c r="G2700">
        <v>31.020626</v>
      </c>
    </row>
    <row r="2701" spans="1:7">
      <c r="A2701" t="s">
        <v>1297</v>
      </c>
      <c r="B2701" t="s">
        <v>1298</v>
      </c>
      <c r="C2701" t="s">
        <v>677</v>
      </c>
      <c r="D2701" t="s">
        <v>1345</v>
      </c>
      <c r="E2701" t="s">
        <v>187</v>
      </c>
      <c r="F2701">
        <v>2016</v>
      </c>
      <c r="G2701">
        <v>13.885084000000001</v>
      </c>
    </row>
    <row r="2702" spans="1:7">
      <c r="A2702" t="s">
        <v>1297</v>
      </c>
      <c r="B2702" t="s">
        <v>1298</v>
      </c>
      <c r="C2702" t="s">
        <v>677</v>
      </c>
      <c r="D2702" t="s">
        <v>1345</v>
      </c>
      <c r="E2702" t="s">
        <v>187</v>
      </c>
      <c r="F2702">
        <v>2020</v>
      </c>
      <c r="G2702">
        <v>19.989405000000001</v>
      </c>
    </row>
    <row r="2703" spans="1:7">
      <c r="A2703" t="s">
        <v>1297</v>
      </c>
      <c r="B2703" t="s">
        <v>1298</v>
      </c>
      <c r="C2703" t="s">
        <v>684</v>
      </c>
      <c r="D2703" t="s">
        <v>1345</v>
      </c>
      <c r="E2703" t="s">
        <v>187</v>
      </c>
      <c r="F2703">
        <v>2005</v>
      </c>
      <c r="G2703">
        <v>0.67510400000000004</v>
      </c>
    </row>
    <row r="2704" spans="1:7">
      <c r="A2704" t="s">
        <v>1297</v>
      </c>
      <c r="B2704" t="s">
        <v>1298</v>
      </c>
      <c r="C2704" t="s">
        <v>684</v>
      </c>
      <c r="D2704" t="s">
        <v>1345</v>
      </c>
      <c r="E2704" t="s">
        <v>187</v>
      </c>
      <c r="F2704">
        <v>2010</v>
      </c>
      <c r="G2704">
        <v>0.63549</v>
      </c>
    </row>
    <row r="2705" spans="1:7">
      <c r="A2705" t="s">
        <v>1297</v>
      </c>
      <c r="B2705" t="s">
        <v>1298</v>
      </c>
      <c r="C2705" t="s">
        <v>684</v>
      </c>
      <c r="D2705" t="s">
        <v>1345</v>
      </c>
      <c r="E2705" t="s">
        <v>187</v>
      </c>
      <c r="F2705">
        <v>2012</v>
      </c>
      <c r="G2705">
        <v>0.50654999999999994</v>
      </c>
    </row>
    <row r="2706" spans="1:7">
      <c r="A2706" t="s">
        <v>1297</v>
      </c>
      <c r="B2706" t="s">
        <v>1298</v>
      </c>
      <c r="C2706" t="s">
        <v>684</v>
      </c>
      <c r="D2706" t="s">
        <v>1345</v>
      </c>
      <c r="E2706" t="s">
        <v>187</v>
      </c>
      <c r="F2706">
        <v>2016</v>
      </c>
      <c r="G2706">
        <v>0.39832800000000002</v>
      </c>
    </row>
    <row r="2707" spans="1:7">
      <c r="A2707" t="s">
        <v>1297</v>
      </c>
      <c r="B2707" t="s">
        <v>1298</v>
      </c>
      <c r="C2707" t="s">
        <v>684</v>
      </c>
      <c r="D2707" t="s">
        <v>1345</v>
      </c>
      <c r="E2707" t="s">
        <v>187</v>
      </c>
      <c r="F2707">
        <v>2020</v>
      </c>
      <c r="G2707">
        <v>1.142978</v>
      </c>
    </row>
    <row r="2708" spans="1:7">
      <c r="A2708" t="s">
        <v>1297</v>
      </c>
      <c r="B2708" t="s">
        <v>1298</v>
      </c>
      <c r="C2708" t="s">
        <v>685</v>
      </c>
      <c r="D2708" t="s">
        <v>1345</v>
      </c>
      <c r="E2708" t="s">
        <v>187</v>
      </c>
      <c r="F2708">
        <v>2005</v>
      </c>
      <c r="G2708">
        <v>1.0488000000000001E-2</v>
      </c>
    </row>
    <row r="2709" spans="1:7">
      <c r="A2709" t="s">
        <v>1297</v>
      </c>
      <c r="B2709" t="s">
        <v>1298</v>
      </c>
      <c r="C2709" t="s">
        <v>685</v>
      </c>
      <c r="D2709" t="s">
        <v>1345</v>
      </c>
      <c r="E2709" t="s">
        <v>187</v>
      </c>
      <c r="F2709">
        <v>2010</v>
      </c>
      <c r="G2709">
        <v>0.50475000000000003</v>
      </c>
    </row>
    <row r="2710" spans="1:7">
      <c r="A2710" t="s">
        <v>1297</v>
      </c>
      <c r="B2710" t="s">
        <v>1298</v>
      </c>
      <c r="C2710" t="s">
        <v>685</v>
      </c>
      <c r="D2710" t="s">
        <v>1345</v>
      </c>
      <c r="E2710" t="s">
        <v>187</v>
      </c>
      <c r="F2710">
        <v>2012</v>
      </c>
      <c r="G2710">
        <v>0.35066799999999998</v>
      </c>
    </row>
    <row r="2711" spans="1:7">
      <c r="A2711" t="s">
        <v>1297</v>
      </c>
      <c r="B2711" t="s">
        <v>1298</v>
      </c>
      <c r="C2711" t="s">
        <v>685</v>
      </c>
      <c r="D2711" t="s">
        <v>1345</v>
      </c>
      <c r="E2711" t="s">
        <v>187</v>
      </c>
      <c r="F2711">
        <v>2016</v>
      </c>
      <c r="G2711">
        <v>4.1640999999999997E-2</v>
      </c>
    </row>
    <row r="2712" spans="1:7">
      <c r="A2712" t="s">
        <v>1297</v>
      </c>
      <c r="B2712" t="s">
        <v>1298</v>
      </c>
      <c r="C2712" t="s">
        <v>685</v>
      </c>
      <c r="D2712" t="s">
        <v>1345</v>
      </c>
      <c r="E2712" t="s">
        <v>187</v>
      </c>
      <c r="F2712">
        <v>2020</v>
      </c>
      <c r="G2712">
        <v>2.0041E-2</v>
      </c>
    </row>
    <row r="2713" spans="1:7">
      <c r="A2713" t="s">
        <v>1297</v>
      </c>
      <c r="B2713" t="s">
        <v>1298</v>
      </c>
      <c r="C2713" t="s">
        <v>662</v>
      </c>
      <c r="D2713" t="s">
        <v>1345</v>
      </c>
      <c r="E2713" t="s">
        <v>187</v>
      </c>
      <c r="F2713">
        <v>2005</v>
      </c>
      <c r="G2713">
        <v>1.1199760000000001</v>
      </c>
    </row>
    <row r="2714" spans="1:7">
      <c r="A2714" t="s">
        <v>1297</v>
      </c>
      <c r="B2714" t="s">
        <v>1298</v>
      </c>
      <c r="C2714" t="s">
        <v>662</v>
      </c>
      <c r="D2714" t="s">
        <v>1345</v>
      </c>
      <c r="E2714" t="s">
        <v>187</v>
      </c>
      <c r="F2714">
        <v>2012</v>
      </c>
      <c r="G2714">
        <v>0.29754000000000003</v>
      </c>
    </row>
    <row r="2715" spans="1:7">
      <c r="A2715" t="s">
        <v>1297</v>
      </c>
      <c r="B2715" t="s">
        <v>1298</v>
      </c>
      <c r="C2715" t="s">
        <v>686</v>
      </c>
      <c r="D2715" t="s">
        <v>1345</v>
      </c>
      <c r="E2715" t="s">
        <v>187</v>
      </c>
      <c r="F2715">
        <v>2005</v>
      </c>
      <c r="G2715">
        <v>1.9430320000000001</v>
      </c>
    </row>
    <row r="2716" spans="1:7">
      <c r="A2716" t="s">
        <v>1297</v>
      </c>
      <c r="B2716" t="s">
        <v>1298</v>
      </c>
      <c r="C2716" t="s">
        <v>686</v>
      </c>
      <c r="D2716" t="s">
        <v>1345</v>
      </c>
      <c r="E2716" t="s">
        <v>187</v>
      </c>
      <c r="F2716">
        <v>2010</v>
      </c>
      <c r="G2716">
        <v>1.679762</v>
      </c>
    </row>
    <row r="2717" spans="1:7">
      <c r="A2717" t="s">
        <v>1297</v>
      </c>
      <c r="B2717" t="s">
        <v>1298</v>
      </c>
      <c r="C2717" t="s">
        <v>686</v>
      </c>
      <c r="D2717" t="s">
        <v>1345</v>
      </c>
      <c r="E2717" t="s">
        <v>187</v>
      </c>
      <c r="F2717">
        <v>2012</v>
      </c>
      <c r="G2717">
        <v>0.24099100000000001</v>
      </c>
    </row>
    <row r="2718" spans="1:7">
      <c r="A2718" t="s">
        <v>1297</v>
      </c>
      <c r="B2718" t="s">
        <v>1298</v>
      </c>
      <c r="C2718" t="s">
        <v>686</v>
      </c>
      <c r="D2718" t="s">
        <v>1345</v>
      </c>
      <c r="E2718" t="s">
        <v>187</v>
      </c>
      <c r="F2718">
        <v>2016</v>
      </c>
      <c r="G2718">
        <v>0.59643599999999997</v>
      </c>
    </row>
    <row r="2719" spans="1:7">
      <c r="A2719" t="s">
        <v>1297</v>
      </c>
      <c r="B2719" t="s">
        <v>1298</v>
      </c>
      <c r="C2719" t="s">
        <v>686</v>
      </c>
      <c r="D2719" t="s">
        <v>1345</v>
      </c>
      <c r="E2719" t="s">
        <v>187</v>
      </c>
      <c r="F2719">
        <v>2020</v>
      </c>
      <c r="G2719">
        <v>0.75845499999999999</v>
      </c>
    </row>
    <row r="2720" spans="1:7">
      <c r="A2720" t="s">
        <v>1297</v>
      </c>
      <c r="B2720" t="s">
        <v>1298</v>
      </c>
      <c r="C2720" t="s">
        <v>665</v>
      </c>
      <c r="D2720" t="s">
        <v>1345</v>
      </c>
      <c r="E2720" t="s">
        <v>187</v>
      </c>
      <c r="F2720">
        <v>2005</v>
      </c>
      <c r="G2720">
        <v>6.641</v>
      </c>
    </row>
    <row r="2721" spans="1:7">
      <c r="A2721" t="s">
        <v>1297</v>
      </c>
      <c r="B2721" t="s">
        <v>1298</v>
      </c>
      <c r="C2721" t="s">
        <v>665</v>
      </c>
      <c r="D2721" t="s">
        <v>1345</v>
      </c>
      <c r="E2721" t="s">
        <v>187</v>
      </c>
      <c r="F2721">
        <v>2010</v>
      </c>
      <c r="G2721">
        <v>8.9135150000000003</v>
      </c>
    </row>
    <row r="2722" spans="1:7">
      <c r="A2722" t="s">
        <v>1297</v>
      </c>
      <c r="B2722" t="s">
        <v>1298</v>
      </c>
      <c r="C2722" t="s">
        <v>665</v>
      </c>
      <c r="D2722" t="s">
        <v>1345</v>
      </c>
      <c r="E2722" t="s">
        <v>187</v>
      </c>
      <c r="F2722">
        <v>2012</v>
      </c>
      <c r="G2722">
        <v>8.8350240000000007</v>
      </c>
    </row>
    <row r="2723" spans="1:7">
      <c r="A2723" t="s">
        <v>1297</v>
      </c>
      <c r="B2723" t="s">
        <v>1298</v>
      </c>
      <c r="C2723" t="s">
        <v>665</v>
      </c>
      <c r="D2723" t="s">
        <v>1345</v>
      </c>
      <c r="E2723" t="s">
        <v>187</v>
      </c>
      <c r="F2723">
        <v>2016</v>
      </c>
      <c r="G2723">
        <v>10.610379999999999</v>
      </c>
    </row>
    <row r="2724" spans="1:7">
      <c r="A2724" t="s">
        <v>1297</v>
      </c>
      <c r="B2724" t="s">
        <v>1298</v>
      </c>
      <c r="C2724" t="s">
        <v>665</v>
      </c>
      <c r="D2724" t="s">
        <v>1345</v>
      </c>
      <c r="E2724" t="s">
        <v>187</v>
      </c>
      <c r="F2724">
        <v>2020</v>
      </c>
      <c r="G2724">
        <v>8.3996139999999997</v>
      </c>
    </row>
    <row r="2725" spans="1:7">
      <c r="A2725" t="s">
        <v>1297</v>
      </c>
      <c r="B2725" t="s">
        <v>1298</v>
      </c>
      <c r="C2725" t="s">
        <v>673</v>
      </c>
      <c r="D2725" t="s">
        <v>1345</v>
      </c>
      <c r="E2725" t="s">
        <v>187</v>
      </c>
      <c r="F2725">
        <v>2005</v>
      </c>
      <c r="G2725">
        <v>0.92295000000000005</v>
      </c>
    </row>
    <row r="2726" spans="1:7">
      <c r="A2726" t="s">
        <v>1297</v>
      </c>
      <c r="B2726" t="s">
        <v>1298</v>
      </c>
      <c r="C2726" t="s">
        <v>673</v>
      </c>
      <c r="D2726" t="s">
        <v>1345</v>
      </c>
      <c r="E2726" t="s">
        <v>187</v>
      </c>
      <c r="F2726">
        <v>2010</v>
      </c>
      <c r="G2726">
        <v>2.0732620000000002</v>
      </c>
    </row>
    <row r="2727" spans="1:7">
      <c r="A2727" t="s">
        <v>1297</v>
      </c>
      <c r="B2727" t="s">
        <v>1298</v>
      </c>
      <c r="C2727" t="s">
        <v>673</v>
      </c>
      <c r="D2727" t="s">
        <v>1345</v>
      </c>
      <c r="E2727" t="s">
        <v>187</v>
      </c>
      <c r="F2727">
        <v>2012</v>
      </c>
      <c r="G2727">
        <v>0.55652400000000002</v>
      </c>
    </row>
    <row r="2728" spans="1:7">
      <c r="A2728" t="s">
        <v>1297</v>
      </c>
      <c r="B2728" t="s">
        <v>1298</v>
      </c>
      <c r="C2728" t="s">
        <v>673</v>
      </c>
      <c r="D2728" t="s">
        <v>1345</v>
      </c>
      <c r="E2728" t="s">
        <v>187</v>
      </c>
      <c r="F2728">
        <v>2016</v>
      </c>
      <c r="G2728">
        <v>2.2172999999999998E-2</v>
      </c>
    </row>
    <row r="2729" spans="1:7">
      <c r="A2729" t="s">
        <v>1297</v>
      </c>
      <c r="B2729" t="s">
        <v>1298</v>
      </c>
      <c r="C2729" t="s">
        <v>673</v>
      </c>
      <c r="D2729" t="s">
        <v>1345</v>
      </c>
      <c r="E2729" t="s">
        <v>187</v>
      </c>
      <c r="F2729">
        <v>2020</v>
      </c>
      <c r="G2729">
        <v>3.8379999999999998E-3</v>
      </c>
    </row>
    <row r="2730" spans="1:7">
      <c r="A2730" t="s">
        <v>1297</v>
      </c>
      <c r="B2730" t="s">
        <v>1298</v>
      </c>
      <c r="C2730" t="s">
        <v>660</v>
      </c>
      <c r="D2730" t="s">
        <v>1345</v>
      </c>
      <c r="E2730" t="s">
        <v>187</v>
      </c>
      <c r="F2730">
        <v>2005</v>
      </c>
      <c r="G2730">
        <v>1.4059999999999999</v>
      </c>
    </row>
    <row r="2731" spans="1:7">
      <c r="A2731" t="s">
        <v>1297</v>
      </c>
      <c r="B2731" t="s">
        <v>1298</v>
      </c>
      <c r="C2731" t="s">
        <v>660</v>
      </c>
      <c r="D2731" t="s">
        <v>1345</v>
      </c>
      <c r="E2731" t="s">
        <v>187</v>
      </c>
      <c r="F2731">
        <v>2010</v>
      </c>
      <c r="G2731">
        <v>1.3674999999999999</v>
      </c>
    </row>
    <row r="2732" spans="1:7">
      <c r="A2732" t="s">
        <v>1297</v>
      </c>
      <c r="B2732" t="s">
        <v>1298</v>
      </c>
      <c r="C2732" t="s">
        <v>660</v>
      </c>
      <c r="D2732" t="s">
        <v>1345</v>
      </c>
      <c r="E2732" t="s">
        <v>187</v>
      </c>
      <c r="F2732">
        <v>2012</v>
      </c>
      <c r="G2732">
        <v>2.1248</v>
      </c>
    </row>
    <row r="2733" spans="1:7">
      <c r="A2733" t="s">
        <v>1297</v>
      </c>
      <c r="B2733" t="s">
        <v>1298</v>
      </c>
      <c r="C2733" t="s">
        <v>660</v>
      </c>
      <c r="D2733" t="s">
        <v>1345</v>
      </c>
      <c r="E2733" t="s">
        <v>187</v>
      </c>
      <c r="F2733">
        <v>2016</v>
      </c>
      <c r="G2733">
        <v>2.9512</v>
      </c>
    </row>
    <row r="2734" spans="1:7">
      <c r="A2734" t="s">
        <v>1297</v>
      </c>
      <c r="B2734" t="s">
        <v>1298</v>
      </c>
      <c r="C2734" t="s">
        <v>660</v>
      </c>
      <c r="D2734" t="s">
        <v>1345</v>
      </c>
      <c r="E2734" t="s">
        <v>187</v>
      </c>
      <c r="F2734">
        <v>2020</v>
      </c>
      <c r="G2734">
        <v>6.2111999999999998</v>
      </c>
    </row>
    <row r="2735" spans="1:7">
      <c r="A2735" t="s">
        <v>1297</v>
      </c>
      <c r="B2735" t="s">
        <v>1298</v>
      </c>
      <c r="C2735" t="s">
        <v>1299</v>
      </c>
      <c r="D2735" t="s">
        <v>1345</v>
      </c>
      <c r="E2735" t="s">
        <v>187</v>
      </c>
      <c r="F2735">
        <v>2005</v>
      </c>
      <c r="G2735">
        <v>79.137941999999995</v>
      </c>
    </row>
    <row r="2736" spans="1:7">
      <c r="A2736" t="s">
        <v>1297</v>
      </c>
      <c r="B2736" t="s">
        <v>1298</v>
      </c>
      <c r="C2736" t="s">
        <v>1299</v>
      </c>
      <c r="D2736" t="s">
        <v>1345</v>
      </c>
      <c r="E2736" t="s">
        <v>187</v>
      </c>
      <c r="F2736">
        <v>2010</v>
      </c>
      <c r="G2736">
        <v>201.27338900000001</v>
      </c>
    </row>
    <row r="2737" spans="1:7">
      <c r="A2737" t="s">
        <v>1297</v>
      </c>
      <c r="B2737" t="s">
        <v>1298</v>
      </c>
      <c r="C2737" t="s">
        <v>1299</v>
      </c>
      <c r="D2737" t="s">
        <v>1345</v>
      </c>
      <c r="E2737" t="s">
        <v>187</v>
      </c>
      <c r="F2737">
        <v>2012</v>
      </c>
      <c r="G2737">
        <v>216.89690400000001</v>
      </c>
    </row>
    <row r="2738" spans="1:7">
      <c r="A2738" t="s">
        <v>1297</v>
      </c>
      <c r="B2738" t="s">
        <v>1298</v>
      </c>
      <c r="C2738" t="s">
        <v>1299</v>
      </c>
      <c r="D2738" t="s">
        <v>1345</v>
      </c>
      <c r="E2738" t="s">
        <v>187</v>
      </c>
      <c r="F2738">
        <v>2016</v>
      </c>
      <c r="G2738">
        <v>20.487493000000001</v>
      </c>
    </row>
    <row r="2739" spans="1:7">
      <c r="A2739" t="s">
        <v>1297</v>
      </c>
      <c r="B2739" t="s">
        <v>1298</v>
      </c>
      <c r="C2739" t="s">
        <v>1299</v>
      </c>
      <c r="D2739" t="s">
        <v>1345</v>
      </c>
      <c r="E2739" t="s">
        <v>187</v>
      </c>
      <c r="F2739">
        <v>2020</v>
      </c>
      <c r="G2739">
        <v>1.9536530000000001</v>
      </c>
    </row>
    <row r="2740" spans="1:7">
      <c r="A2740" t="s">
        <v>1297</v>
      </c>
      <c r="B2740" t="s">
        <v>1298</v>
      </c>
      <c r="C2740" t="s">
        <v>1302</v>
      </c>
      <c r="D2740" t="s">
        <v>1345</v>
      </c>
      <c r="E2740" t="s">
        <v>187</v>
      </c>
      <c r="F2740">
        <v>2005</v>
      </c>
      <c r="G2740">
        <v>0.14043600000000001</v>
      </c>
    </row>
    <row r="2741" spans="1:7">
      <c r="A2741" t="s">
        <v>1297</v>
      </c>
      <c r="B2741" t="s">
        <v>1298</v>
      </c>
      <c r="C2741" t="s">
        <v>1302</v>
      </c>
      <c r="D2741" t="s">
        <v>1345</v>
      </c>
      <c r="E2741" t="s">
        <v>187</v>
      </c>
      <c r="F2741">
        <v>2010</v>
      </c>
      <c r="G2741">
        <v>0.14043600000000001</v>
      </c>
    </row>
    <row r="2742" spans="1:7">
      <c r="A2742" t="s">
        <v>1297</v>
      </c>
      <c r="B2742" t="s">
        <v>1298</v>
      </c>
      <c r="C2742" t="s">
        <v>1302</v>
      </c>
      <c r="D2742" t="s">
        <v>1345</v>
      </c>
      <c r="E2742" t="s">
        <v>187</v>
      </c>
      <c r="F2742">
        <v>2016</v>
      </c>
      <c r="G2742">
        <v>0.14043600000000001</v>
      </c>
    </row>
    <row r="2743" spans="1:7">
      <c r="A2743" t="s">
        <v>1297</v>
      </c>
      <c r="B2743" t="s">
        <v>1298</v>
      </c>
      <c r="C2743" t="s">
        <v>1302</v>
      </c>
      <c r="D2743" t="s">
        <v>1345</v>
      </c>
      <c r="E2743" t="s">
        <v>187</v>
      </c>
      <c r="F2743">
        <v>2020</v>
      </c>
      <c r="G2743">
        <v>0.212448</v>
      </c>
    </row>
    <row r="2744" spans="1:7">
      <c r="A2744" t="s">
        <v>1297</v>
      </c>
      <c r="B2744" t="s">
        <v>1298</v>
      </c>
      <c r="C2744" t="s">
        <v>1303</v>
      </c>
      <c r="D2744" t="s">
        <v>1345</v>
      </c>
      <c r="E2744" t="s">
        <v>187</v>
      </c>
      <c r="F2744">
        <v>2016</v>
      </c>
      <c r="G2744">
        <v>3.4000000000000002E-2</v>
      </c>
    </row>
    <row r="2745" spans="1:7">
      <c r="A2745" t="s">
        <v>1297</v>
      </c>
      <c r="B2745" t="s">
        <v>1298</v>
      </c>
      <c r="C2745" t="s">
        <v>1303</v>
      </c>
      <c r="D2745" t="s">
        <v>1345</v>
      </c>
      <c r="E2745" t="s">
        <v>187</v>
      </c>
      <c r="F2745">
        <v>2020</v>
      </c>
      <c r="G2745">
        <v>1.1475000000000001E-2</v>
      </c>
    </row>
    <row r="2746" spans="1:7">
      <c r="A2746" t="s">
        <v>1297</v>
      </c>
      <c r="B2746" t="s">
        <v>1298</v>
      </c>
      <c r="C2746" t="s">
        <v>658</v>
      </c>
      <c r="D2746" t="s">
        <v>1345</v>
      </c>
      <c r="E2746" t="s">
        <v>187</v>
      </c>
      <c r="F2746">
        <v>2005</v>
      </c>
      <c r="G2746">
        <v>1.0545</v>
      </c>
    </row>
    <row r="2747" spans="1:7">
      <c r="A2747" t="s">
        <v>1297</v>
      </c>
      <c r="B2747" t="s">
        <v>1298</v>
      </c>
      <c r="C2747" t="s">
        <v>658</v>
      </c>
      <c r="D2747" t="s">
        <v>1345</v>
      </c>
      <c r="E2747" t="s">
        <v>187</v>
      </c>
      <c r="F2747">
        <v>2010</v>
      </c>
      <c r="G2747">
        <v>0.59850000000000003</v>
      </c>
    </row>
    <row r="2748" spans="1:7">
      <c r="A2748" t="s">
        <v>1297</v>
      </c>
      <c r="B2748" t="s">
        <v>1298</v>
      </c>
      <c r="C2748" t="s">
        <v>658</v>
      </c>
      <c r="D2748" t="s">
        <v>1345</v>
      </c>
      <c r="E2748" t="s">
        <v>187</v>
      </c>
      <c r="F2748">
        <v>2012</v>
      </c>
      <c r="G2748">
        <v>0.68266000000000004</v>
      </c>
    </row>
    <row r="2749" spans="1:7">
      <c r="A2749" t="s">
        <v>1297</v>
      </c>
      <c r="B2749" t="s">
        <v>1298</v>
      </c>
      <c r="C2749" t="s">
        <v>658</v>
      </c>
      <c r="D2749" t="s">
        <v>1345</v>
      </c>
      <c r="E2749" t="s">
        <v>187</v>
      </c>
      <c r="F2749">
        <v>2016</v>
      </c>
      <c r="G2749">
        <v>0.3705</v>
      </c>
    </row>
    <row r="2750" spans="1:7">
      <c r="A2750" t="s">
        <v>1297</v>
      </c>
      <c r="B2750" t="s">
        <v>1298</v>
      </c>
      <c r="C2750" t="s">
        <v>658</v>
      </c>
      <c r="D2750" t="s">
        <v>1345</v>
      </c>
      <c r="E2750" t="s">
        <v>187</v>
      </c>
      <c r="F2750">
        <v>2020</v>
      </c>
      <c r="G2750">
        <v>0.58054499999999998</v>
      </c>
    </row>
    <row r="2751" spans="1:7">
      <c r="A2751" t="s">
        <v>1297</v>
      </c>
      <c r="B2751" t="s">
        <v>1298</v>
      </c>
      <c r="C2751" t="s">
        <v>671</v>
      </c>
      <c r="D2751" t="s">
        <v>1345</v>
      </c>
      <c r="E2751" t="s">
        <v>187</v>
      </c>
      <c r="F2751">
        <v>2005</v>
      </c>
      <c r="G2751">
        <v>634.02619100000004</v>
      </c>
    </row>
    <row r="2752" spans="1:7">
      <c r="A2752" t="s">
        <v>1297</v>
      </c>
      <c r="B2752" t="s">
        <v>1298</v>
      </c>
      <c r="C2752" t="s">
        <v>671</v>
      </c>
      <c r="D2752" t="s">
        <v>1345</v>
      </c>
      <c r="E2752" t="s">
        <v>187</v>
      </c>
      <c r="F2752">
        <v>2010</v>
      </c>
      <c r="G2752">
        <v>460.934166</v>
      </c>
    </row>
    <row r="2753" spans="1:7">
      <c r="A2753" t="s">
        <v>1297</v>
      </c>
      <c r="B2753" t="s">
        <v>1298</v>
      </c>
      <c r="C2753" t="s">
        <v>671</v>
      </c>
      <c r="D2753" t="s">
        <v>1345</v>
      </c>
      <c r="E2753" t="s">
        <v>187</v>
      </c>
      <c r="F2753">
        <v>2012</v>
      </c>
      <c r="G2753">
        <v>391.73784599999999</v>
      </c>
    </row>
    <row r="2754" spans="1:7">
      <c r="A2754" t="s">
        <v>1297</v>
      </c>
      <c r="B2754" t="s">
        <v>1298</v>
      </c>
      <c r="C2754" t="s">
        <v>671</v>
      </c>
      <c r="D2754" t="s">
        <v>1345</v>
      </c>
      <c r="E2754" t="s">
        <v>187</v>
      </c>
      <c r="F2754">
        <v>2016</v>
      </c>
      <c r="G2754">
        <v>453.213369</v>
      </c>
    </row>
    <row r="2755" spans="1:7">
      <c r="A2755" t="s">
        <v>1297</v>
      </c>
      <c r="B2755" t="s">
        <v>1298</v>
      </c>
      <c r="C2755" t="s">
        <v>671</v>
      </c>
      <c r="D2755" t="s">
        <v>1345</v>
      </c>
      <c r="E2755" t="s">
        <v>187</v>
      </c>
      <c r="F2755">
        <v>2020</v>
      </c>
      <c r="G2755">
        <v>311.10966999999999</v>
      </c>
    </row>
    <row r="2756" spans="1:7">
      <c r="A2756" t="s">
        <v>1297</v>
      </c>
      <c r="B2756" t="s">
        <v>1298</v>
      </c>
      <c r="C2756" t="s">
        <v>664</v>
      </c>
      <c r="D2756" t="s">
        <v>1345</v>
      </c>
      <c r="E2756" t="s">
        <v>187</v>
      </c>
      <c r="F2756">
        <v>2005</v>
      </c>
      <c r="G2756">
        <v>0.38110899999999998</v>
      </c>
    </row>
    <row r="2757" spans="1:7">
      <c r="A2757" t="s">
        <v>1297</v>
      </c>
      <c r="B2757" t="s">
        <v>1298</v>
      </c>
      <c r="C2757" t="s">
        <v>664</v>
      </c>
      <c r="D2757" t="s">
        <v>1345</v>
      </c>
      <c r="E2757" t="s">
        <v>187</v>
      </c>
      <c r="F2757">
        <v>2010</v>
      </c>
      <c r="G2757">
        <v>0.30125400000000002</v>
      </c>
    </row>
    <row r="2758" spans="1:7">
      <c r="A2758" t="s">
        <v>1297</v>
      </c>
      <c r="B2758" t="s">
        <v>1298</v>
      </c>
      <c r="C2758" t="s">
        <v>664</v>
      </c>
      <c r="D2758" t="s">
        <v>1345</v>
      </c>
      <c r="E2758" t="s">
        <v>187</v>
      </c>
      <c r="F2758">
        <v>2012</v>
      </c>
      <c r="G2758">
        <v>0.39043800000000001</v>
      </c>
    </row>
    <row r="2759" spans="1:7">
      <c r="A2759" t="s">
        <v>1297</v>
      </c>
      <c r="B2759" t="s">
        <v>1298</v>
      </c>
      <c r="C2759" t="s">
        <v>664</v>
      </c>
      <c r="D2759" t="s">
        <v>1345</v>
      </c>
      <c r="E2759" t="s">
        <v>187</v>
      </c>
      <c r="F2759">
        <v>2016</v>
      </c>
      <c r="G2759">
        <v>0.38563399999999998</v>
      </c>
    </row>
    <row r="2760" spans="1:7">
      <c r="A2760" t="s">
        <v>1297</v>
      </c>
      <c r="B2760" t="s">
        <v>1298</v>
      </c>
      <c r="C2760" t="s">
        <v>676</v>
      </c>
      <c r="D2760" t="s">
        <v>1345</v>
      </c>
      <c r="E2760" t="s">
        <v>187</v>
      </c>
      <c r="F2760">
        <v>2005</v>
      </c>
      <c r="G2760">
        <v>6.2897470000000002</v>
      </c>
    </row>
    <row r="2761" spans="1:7">
      <c r="A2761" t="s">
        <v>1297</v>
      </c>
      <c r="B2761" t="s">
        <v>1298</v>
      </c>
      <c r="C2761" t="s">
        <v>676</v>
      </c>
      <c r="D2761" t="s">
        <v>1345</v>
      </c>
      <c r="E2761" t="s">
        <v>187</v>
      </c>
      <c r="F2761">
        <v>2010</v>
      </c>
      <c r="G2761">
        <v>11.051562000000001</v>
      </c>
    </row>
    <row r="2762" spans="1:7">
      <c r="A2762" t="s">
        <v>1297</v>
      </c>
      <c r="B2762" t="s">
        <v>1298</v>
      </c>
      <c r="C2762" t="s">
        <v>676</v>
      </c>
      <c r="D2762" t="s">
        <v>1345</v>
      </c>
      <c r="E2762" t="s">
        <v>187</v>
      </c>
      <c r="F2762">
        <v>2012</v>
      </c>
      <c r="G2762">
        <v>3.3089460000000002</v>
      </c>
    </row>
    <row r="2763" spans="1:7">
      <c r="A2763" t="s">
        <v>1297</v>
      </c>
      <c r="B2763" t="s">
        <v>1298</v>
      </c>
      <c r="C2763" t="s">
        <v>676</v>
      </c>
      <c r="D2763" t="s">
        <v>1345</v>
      </c>
      <c r="E2763" t="s">
        <v>187</v>
      </c>
      <c r="F2763">
        <v>2016</v>
      </c>
      <c r="G2763">
        <v>2.3425099999999999</v>
      </c>
    </row>
    <row r="2764" spans="1:7">
      <c r="A2764" t="s">
        <v>1297</v>
      </c>
      <c r="B2764" t="s">
        <v>1298</v>
      </c>
      <c r="C2764" t="s">
        <v>676</v>
      </c>
      <c r="D2764" t="s">
        <v>1345</v>
      </c>
      <c r="E2764" t="s">
        <v>187</v>
      </c>
      <c r="F2764">
        <v>2020</v>
      </c>
      <c r="G2764">
        <v>3.57544</v>
      </c>
    </row>
    <row r="2765" spans="1:7">
      <c r="A2765" t="s">
        <v>1297</v>
      </c>
      <c r="B2765" t="s">
        <v>1298</v>
      </c>
      <c r="C2765" t="s">
        <v>670</v>
      </c>
      <c r="D2765" t="s">
        <v>1345</v>
      </c>
      <c r="E2765" t="s">
        <v>187</v>
      </c>
      <c r="F2765">
        <v>2005</v>
      </c>
      <c r="G2765">
        <v>11.1256</v>
      </c>
    </row>
    <row r="2766" spans="1:7">
      <c r="A2766" t="s">
        <v>1297</v>
      </c>
      <c r="B2766" t="s">
        <v>1298</v>
      </c>
      <c r="C2766" t="s">
        <v>670</v>
      </c>
      <c r="D2766" t="s">
        <v>1345</v>
      </c>
      <c r="E2766" t="s">
        <v>187</v>
      </c>
      <c r="F2766">
        <v>2010</v>
      </c>
      <c r="G2766">
        <v>4.6369999999999996</v>
      </c>
    </row>
    <row r="2767" spans="1:7">
      <c r="A2767" t="s">
        <v>1297</v>
      </c>
      <c r="B2767" t="s">
        <v>1298</v>
      </c>
      <c r="C2767" t="s">
        <v>670</v>
      </c>
      <c r="D2767" t="s">
        <v>1345</v>
      </c>
      <c r="E2767" t="s">
        <v>187</v>
      </c>
      <c r="F2767">
        <v>2012</v>
      </c>
      <c r="G2767">
        <v>3.3216999999999999</v>
      </c>
    </row>
    <row r="2768" spans="1:7">
      <c r="A2768" t="s">
        <v>1297</v>
      </c>
      <c r="B2768" t="s">
        <v>1298</v>
      </c>
      <c r="C2768" t="s">
        <v>670</v>
      </c>
      <c r="D2768" t="s">
        <v>1345</v>
      </c>
      <c r="E2768" t="s">
        <v>187</v>
      </c>
      <c r="F2768">
        <v>2016</v>
      </c>
      <c r="G2768">
        <v>3.1948400000000001</v>
      </c>
    </row>
    <row r="2769" spans="1:7">
      <c r="A2769" t="s">
        <v>1297</v>
      </c>
      <c r="B2769" t="s">
        <v>1298</v>
      </c>
      <c r="C2769" t="s">
        <v>670</v>
      </c>
      <c r="D2769" t="s">
        <v>1345</v>
      </c>
      <c r="E2769" t="s">
        <v>187</v>
      </c>
      <c r="F2769">
        <v>2020</v>
      </c>
      <c r="G2769">
        <v>4.1873589999999998</v>
      </c>
    </row>
    <row r="2770" spans="1:7">
      <c r="A2770" t="s">
        <v>1297</v>
      </c>
      <c r="B2770" t="s">
        <v>1298</v>
      </c>
      <c r="C2770" t="s">
        <v>681</v>
      </c>
      <c r="D2770" t="s">
        <v>1346</v>
      </c>
      <c r="E2770" t="s">
        <v>187</v>
      </c>
      <c r="F2770">
        <v>2012</v>
      </c>
      <c r="G2770">
        <v>3.1840380000000001</v>
      </c>
    </row>
    <row r="2771" spans="1:7">
      <c r="A2771" t="s">
        <v>1297</v>
      </c>
      <c r="B2771" t="s">
        <v>1298</v>
      </c>
      <c r="C2771" t="s">
        <v>681</v>
      </c>
      <c r="D2771" t="s">
        <v>1346</v>
      </c>
      <c r="E2771" t="s">
        <v>187</v>
      </c>
      <c r="F2771">
        <v>2016</v>
      </c>
      <c r="G2771">
        <v>1.9729350000000001</v>
      </c>
    </row>
    <row r="2772" spans="1:7">
      <c r="A2772" t="s">
        <v>1297</v>
      </c>
      <c r="B2772" t="s">
        <v>1298</v>
      </c>
      <c r="C2772" t="s">
        <v>681</v>
      </c>
      <c r="D2772" t="s">
        <v>1346</v>
      </c>
      <c r="E2772" t="s">
        <v>187</v>
      </c>
      <c r="F2772">
        <v>2020</v>
      </c>
      <c r="G2772">
        <v>4.9946979999999996</v>
      </c>
    </row>
    <row r="2773" spans="1:7">
      <c r="A2773" t="s">
        <v>1297</v>
      </c>
      <c r="B2773" t="s">
        <v>1298</v>
      </c>
      <c r="C2773" t="s">
        <v>664</v>
      </c>
      <c r="D2773" t="s">
        <v>1346</v>
      </c>
      <c r="E2773" t="s">
        <v>187</v>
      </c>
      <c r="F2773">
        <v>2005</v>
      </c>
      <c r="G2773">
        <v>8.7695930000000004</v>
      </c>
    </row>
    <row r="2774" spans="1:7">
      <c r="A2774" t="s">
        <v>1297</v>
      </c>
      <c r="B2774" t="s">
        <v>1298</v>
      </c>
      <c r="C2774" t="s">
        <v>664</v>
      </c>
      <c r="D2774" t="s">
        <v>1346</v>
      </c>
      <c r="E2774" t="s">
        <v>187</v>
      </c>
      <c r="F2774">
        <v>2010</v>
      </c>
      <c r="G2774">
        <v>5.1919050000000002</v>
      </c>
    </row>
    <row r="2775" spans="1:7">
      <c r="A2775" t="s">
        <v>1297</v>
      </c>
      <c r="B2775" t="s">
        <v>1298</v>
      </c>
      <c r="C2775" t="s">
        <v>664</v>
      </c>
      <c r="D2775" t="s">
        <v>1346</v>
      </c>
      <c r="E2775" t="s">
        <v>187</v>
      </c>
      <c r="F2775">
        <v>2012</v>
      </c>
      <c r="G2775">
        <v>3.9903870000000001</v>
      </c>
    </row>
    <row r="2776" spans="1:7">
      <c r="A2776" t="s">
        <v>1297</v>
      </c>
      <c r="B2776" t="s">
        <v>1298</v>
      </c>
      <c r="C2776" t="s">
        <v>664</v>
      </c>
      <c r="D2776" t="s">
        <v>1346</v>
      </c>
      <c r="E2776" t="s">
        <v>187</v>
      </c>
      <c r="F2776">
        <v>2016</v>
      </c>
      <c r="G2776">
        <v>4.4574819999999997</v>
      </c>
    </row>
    <row r="2777" spans="1:7">
      <c r="A2777" t="s">
        <v>1297</v>
      </c>
      <c r="B2777" t="s">
        <v>1298</v>
      </c>
      <c r="C2777" t="s">
        <v>664</v>
      </c>
      <c r="D2777" t="s">
        <v>1346</v>
      </c>
      <c r="E2777" t="s">
        <v>187</v>
      </c>
      <c r="F2777">
        <v>2020</v>
      </c>
      <c r="G2777">
        <v>3.3133940000000002</v>
      </c>
    </row>
    <row r="2778" spans="1:7">
      <c r="A2778" t="s">
        <v>1297</v>
      </c>
      <c r="B2778" t="s">
        <v>1298</v>
      </c>
      <c r="C2778" t="s">
        <v>665</v>
      </c>
      <c r="D2778" t="s">
        <v>1346</v>
      </c>
      <c r="E2778" t="s">
        <v>187</v>
      </c>
      <c r="F2778">
        <v>2005</v>
      </c>
      <c r="G2778">
        <v>55.521659</v>
      </c>
    </row>
    <row r="2779" spans="1:7">
      <c r="A2779" t="s">
        <v>1297</v>
      </c>
      <c r="B2779" t="s">
        <v>1298</v>
      </c>
      <c r="C2779" t="s">
        <v>665</v>
      </c>
      <c r="D2779" t="s">
        <v>1346</v>
      </c>
      <c r="E2779" t="s">
        <v>187</v>
      </c>
      <c r="F2779">
        <v>2010</v>
      </c>
      <c r="G2779">
        <v>25.944925999999999</v>
      </c>
    </row>
    <row r="2780" spans="1:7">
      <c r="A2780" t="s">
        <v>1297</v>
      </c>
      <c r="B2780" t="s">
        <v>1298</v>
      </c>
      <c r="C2780" t="s">
        <v>665</v>
      </c>
      <c r="D2780" t="s">
        <v>1346</v>
      </c>
      <c r="E2780" t="s">
        <v>187</v>
      </c>
      <c r="F2780">
        <v>2012</v>
      </c>
      <c r="G2780">
        <v>39.806559999999998</v>
      </c>
    </row>
    <row r="2781" spans="1:7">
      <c r="A2781" t="s">
        <v>1297</v>
      </c>
      <c r="B2781" t="s">
        <v>1298</v>
      </c>
      <c r="C2781" t="s">
        <v>665</v>
      </c>
      <c r="D2781" t="s">
        <v>1346</v>
      </c>
      <c r="E2781" t="s">
        <v>187</v>
      </c>
      <c r="F2781">
        <v>2016</v>
      </c>
      <c r="G2781">
        <v>28.806611</v>
      </c>
    </row>
    <row r="2782" spans="1:7">
      <c r="A2782" t="s">
        <v>1297</v>
      </c>
      <c r="B2782" t="s">
        <v>1298</v>
      </c>
      <c r="C2782" t="s">
        <v>665</v>
      </c>
      <c r="D2782" t="s">
        <v>1346</v>
      </c>
      <c r="E2782" t="s">
        <v>187</v>
      </c>
      <c r="F2782">
        <v>2020</v>
      </c>
      <c r="G2782">
        <v>24.914045999999999</v>
      </c>
    </row>
    <row r="2783" spans="1:7">
      <c r="A2783" t="s">
        <v>1297</v>
      </c>
      <c r="B2783" t="s">
        <v>1298</v>
      </c>
      <c r="C2783" t="s">
        <v>663</v>
      </c>
      <c r="D2783" t="s">
        <v>1346</v>
      </c>
      <c r="E2783" t="s">
        <v>187</v>
      </c>
      <c r="F2783">
        <v>2005</v>
      </c>
      <c r="G2783">
        <v>8.9440609999999996</v>
      </c>
    </row>
    <row r="2784" spans="1:7">
      <c r="A2784" t="s">
        <v>1297</v>
      </c>
      <c r="B2784" t="s">
        <v>1298</v>
      </c>
      <c r="C2784" t="s">
        <v>663</v>
      </c>
      <c r="D2784" t="s">
        <v>1346</v>
      </c>
      <c r="E2784" t="s">
        <v>187</v>
      </c>
      <c r="F2784">
        <v>2010</v>
      </c>
      <c r="G2784">
        <v>3.5789900000000001</v>
      </c>
    </row>
    <row r="2785" spans="1:7">
      <c r="A2785" t="s">
        <v>1297</v>
      </c>
      <c r="B2785" t="s">
        <v>1298</v>
      </c>
      <c r="C2785" t="s">
        <v>663</v>
      </c>
      <c r="D2785" t="s">
        <v>1346</v>
      </c>
      <c r="E2785" t="s">
        <v>187</v>
      </c>
      <c r="F2785">
        <v>2012</v>
      </c>
      <c r="G2785">
        <v>3.1644000000000001</v>
      </c>
    </row>
    <row r="2786" spans="1:7">
      <c r="A2786" t="s">
        <v>1297</v>
      </c>
      <c r="B2786" t="s">
        <v>1298</v>
      </c>
      <c r="C2786" t="s">
        <v>663</v>
      </c>
      <c r="D2786" t="s">
        <v>1346</v>
      </c>
      <c r="E2786" t="s">
        <v>187</v>
      </c>
      <c r="F2786">
        <v>2016</v>
      </c>
      <c r="G2786">
        <v>3.183106</v>
      </c>
    </row>
    <row r="2787" spans="1:7">
      <c r="A2787" t="s">
        <v>1297</v>
      </c>
      <c r="B2787" t="s">
        <v>1298</v>
      </c>
      <c r="C2787" t="s">
        <v>663</v>
      </c>
      <c r="D2787" t="s">
        <v>1346</v>
      </c>
      <c r="E2787" t="s">
        <v>187</v>
      </c>
      <c r="F2787">
        <v>2020</v>
      </c>
      <c r="G2787">
        <v>4.5181259999999996</v>
      </c>
    </row>
    <row r="2788" spans="1:7">
      <c r="A2788" t="s">
        <v>1297</v>
      </c>
      <c r="B2788" t="s">
        <v>1298</v>
      </c>
      <c r="C2788" t="s">
        <v>686</v>
      </c>
      <c r="D2788" t="s">
        <v>1346</v>
      </c>
      <c r="E2788" t="s">
        <v>187</v>
      </c>
      <c r="F2788">
        <v>2005</v>
      </c>
      <c r="G2788">
        <v>18.890972999999999</v>
      </c>
    </row>
    <row r="2789" spans="1:7">
      <c r="A2789" t="s">
        <v>1297</v>
      </c>
      <c r="B2789" t="s">
        <v>1298</v>
      </c>
      <c r="C2789" t="s">
        <v>686</v>
      </c>
      <c r="D2789" t="s">
        <v>1346</v>
      </c>
      <c r="E2789" t="s">
        <v>187</v>
      </c>
      <c r="F2789">
        <v>2010</v>
      </c>
      <c r="G2789">
        <v>14.423054</v>
      </c>
    </row>
    <row r="2790" spans="1:7">
      <c r="A2790" t="s">
        <v>1297</v>
      </c>
      <c r="B2790" t="s">
        <v>1298</v>
      </c>
      <c r="C2790" t="s">
        <v>686</v>
      </c>
      <c r="D2790" t="s">
        <v>1346</v>
      </c>
      <c r="E2790" t="s">
        <v>187</v>
      </c>
      <c r="F2790">
        <v>2012</v>
      </c>
      <c r="G2790">
        <v>13.129688</v>
      </c>
    </row>
    <row r="2791" spans="1:7">
      <c r="A2791" t="s">
        <v>1297</v>
      </c>
      <c r="B2791" t="s">
        <v>1298</v>
      </c>
      <c r="C2791" t="s">
        <v>686</v>
      </c>
      <c r="D2791" t="s">
        <v>1346</v>
      </c>
      <c r="E2791" t="s">
        <v>187</v>
      </c>
      <c r="F2791">
        <v>2016</v>
      </c>
      <c r="G2791">
        <v>14.746358000000001</v>
      </c>
    </row>
    <row r="2792" spans="1:7">
      <c r="A2792" t="s">
        <v>1297</v>
      </c>
      <c r="B2792" t="s">
        <v>1298</v>
      </c>
      <c r="C2792" t="s">
        <v>686</v>
      </c>
      <c r="D2792" t="s">
        <v>1346</v>
      </c>
      <c r="E2792" t="s">
        <v>187</v>
      </c>
      <c r="F2792">
        <v>2020</v>
      </c>
      <c r="G2792">
        <v>6.2611699999999999</v>
      </c>
    </row>
    <row r="2793" spans="1:7">
      <c r="A2793" t="s">
        <v>1297</v>
      </c>
      <c r="B2793" t="s">
        <v>1298</v>
      </c>
      <c r="C2793" t="s">
        <v>685</v>
      </c>
      <c r="D2793" t="s">
        <v>1346</v>
      </c>
      <c r="E2793" t="s">
        <v>187</v>
      </c>
      <c r="F2793">
        <v>2005</v>
      </c>
      <c r="G2793">
        <v>5.1685410000000003</v>
      </c>
    </row>
    <row r="2794" spans="1:7">
      <c r="A2794" t="s">
        <v>1297</v>
      </c>
      <c r="B2794" t="s">
        <v>1298</v>
      </c>
      <c r="C2794" t="s">
        <v>685</v>
      </c>
      <c r="D2794" t="s">
        <v>1346</v>
      </c>
      <c r="E2794" t="s">
        <v>187</v>
      </c>
      <c r="F2794">
        <v>2010</v>
      </c>
      <c r="G2794">
        <v>4.589715</v>
      </c>
    </row>
    <row r="2795" spans="1:7">
      <c r="A2795" t="s">
        <v>1297</v>
      </c>
      <c r="B2795" t="s">
        <v>1298</v>
      </c>
      <c r="C2795" t="s">
        <v>685</v>
      </c>
      <c r="D2795" t="s">
        <v>1346</v>
      </c>
      <c r="E2795" t="s">
        <v>187</v>
      </c>
      <c r="F2795">
        <v>2012</v>
      </c>
      <c r="G2795">
        <v>5.9648529999999997</v>
      </c>
    </row>
    <row r="2796" spans="1:7">
      <c r="A2796" t="s">
        <v>1297</v>
      </c>
      <c r="B2796" t="s">
        <v>1298</v>
      </c>
      <c r="C2796" t="s">
        <v>685</v>
      </c>
      <c r="D2796" t="s">
        <v>1346</v>
      </c>
      <c r="E2796" t="s">
        <v>187</v>
      </c>
      <c r="F2796">
        <v>2016</v>
      </c>
      <c r="G2796">
        <v>5.2623369999999996</v>
      </c>
    </row>
    <row r="2797" spans="1:7">
      <c r="A2797" t="s">
        <v>1297</v>
      </c>
      <c r="B2797" t="s">
        <v>1298</v>
      </c>
      <c r="C2797" t="s">
        <v>685</v>
      </c>
      <c r="D2797" t="s">
        <v>1346</v>
      </c>
      <c r="E2797" t="s">
        <v>187</v>
      </c>
      <c r="F2797">
        <v>2020</v>
      </c>
      <c r="G2797">
        <v>5.3740259999999997</v>
      </c>
    </row>
    <row r="2798" spans="1:7">
      <c r="A2798" t="s">
        <v>1297</v>
      </c>
      <c r="B2798" t="s">
        <v>1298</v>
      </c>
      <c r="C2798" t="s">
        <v>659</v>
      </c>
      <c r="D2798" t="s">
        <v>1346</v>
      </c>
      <c r="E2798" t="s">
        <v>187</v>
      </c>
      <c r="F2798">
        <v>2005</v>
      </c>
      <c r="G2798">
        <v>21.382829999999998</v>
      </c>
    </row>
    <row r="2799" spans="1:7">
      <c r="A2799" t="s">
        <v>1297</v>
      </c>
      <c r="B2799" t="s">
        <v>1298</v>
      </c>
      <c r="C2799" t="s">
        <v>659</v>
      </c>
      <c r="D2799" t="s">
        <v>1346</v>
      </c>
      <c r="E2799" t="s">
        <v>187</v>
      </c>
      <c r="F2799">
        <v>2010</v>
      </c>
      <c r="G2799">
        <v>12.71325</v>
      </c>
    </row>
    <row r="2800" spans="1:7">
      <c r="A2800" t="s">
        <v>1297</v>
      </c>
      <c r="B2800" t="s">
        <v>1298</v>
      </c>
      <c r="C2800" t="s">
        <v>659</v>
      </c>
      <c r="D2800" t="s">
        <v>1346</v>
      </c>
      <c r="E2800" t="s">
        <v>187</v>
      </c>
      <c r="F2800">
        <v>2012</v>
      </c>
      <c r="G2800">
        <v>14.308540000000001</v>
      </c>
    </row>
    <row r="2801" spans="1:7">
      <c r="A2801" t="s">
        <v>1297</v>
      </c>
      <c r="B2801" t="s">
        <v>1298</v>
      </c>
      <c r="C2801" t="s">
        <v>659</v>
      </c>
      <c r="D2801" t="s">
        <v>1346</v>
      </c>
      <c r="E2801" t="s">
        <v>187</v>
      </c>
      <c r="F2801">
        <v>2016</v>
      </c>
      <c r="G2801">
        <v>12.401235</v>
      </c>
    </row>
    <row r="2802" spans="1:7">
      <c r="A2802" t="s">
        <v>1297</v>
      </c>
      <c r="B2802" t="s">
        <v>1298</v>
      </c>
      <c r="C2802" t="s">
        <v>659</v>
      </c>
      <c r="D2802" t="s">
        <v>1346</v>
      </c>
      <c r="E2802" t="s">
        <v>187</v>
      </c>
      <c r="F2802">
        <v>2020</v>
      </c>
      <c r="G2802">
        <v>9.8039000000000005</v>
      </c>
    </row>
    <row r="2803" spans="1:7">
      <c r="A2803" t="s">
        <v>1297</v>
      </c>
      <c r="B2803" t="s">
        <v>1298</v>
      </c>
      <c r="C2803" t="s">
        <v>1303</v>
      </c>
      <c r="D2803" t="s">
        <v>1346</v>
      </c>
      <c r="E2803" t="s">
        <v>187</v>
      </c>
      <c r="F2803">
        <v>2016</v>
      </c>
      <c r="G2803">
        <v>10.40016</v>
      </c>
    </row>
    <row r="2804" spans="1:7">
      <c r="A2804" t="s">
        <v>1297</v>
      </c>
      <c r="B2804" t="s">
        <v>1298</v>
      </c>
      <c r="C2804" t="s">
        <v>1303</v>
      </c>
      <c r="D2804" t="s">
        <v>1346</v>
      </c>
      <c r="E2804" t="s">
        <v>187</v>
      </c>
      <c r="F2804">
        <v>2020</v>
      </c>
      <c r="G2804">
        <v>10.077209</v>
      </c>
    </row>
    <row r="2805" spans="1:7">
      <c r="A2805" t="s">
        <v>1297</v>
      </c>
      <c r="B2805" t="s">
        <v>1298</v>
      </c>
      <c r="C2805" t="s">
        <v>670</v>
      </c>
      <c r="D2805" t="s">
        <v>1346</v>
      </c>
      <c r="E2805" t="s">
        <v>187</v>
      </c>
      <c r="F2805">
        <v>2005</v>
      </c>
      <c r="G2805">
        <v>2.7179000000000002</v>
      </c>
    </row>
    <row r="2806" spans="1:7">
      <c r="A2806" t="s">
        <v>1297</v>
      </c>
      <c r="B2806" t="s">
        <v>1298</v>
      </c>
      <c r="C2806" t="s">
        <v>670</v>
      </c>
      <c r="D2806" t="s">
        <v>1346</v>
      </c>
      <c r="E2806" t="s">
        <v>187</v>
      </c>
      <c r="F2806">
        <v>2010</v>
      </c>
      <c r="G2806">
        <v>4.5631000000000004</v>
      </c>
    </row>
    <row r="2807" spans="1:7">
      <c r="A2807" t="s">
        <v>1297</v>
      </c>
      <c r="B2807" t="s">
        <v>1298</v>
      </c>
      <c r="C2807" t="s">
        <v>670</v>
      </c>
      <c r="D2807" t="s">
        <v>1346</v>
      </c>
      <c r="E2807" t="s">
        <v>187</v>
      </c>
      <c r="F2807">
        <v>2012</v>
      </c>
      <c r="G2807">
        <v>4.3605999999999998</v>
      </c>
    </row>
    <row r="2808" spans="1:7">
      <c r="A2808" t="s">
        <v>1297</v>
      </c>
      <c r="B2808" t="s">
        <v>1298</v>
      </c>
      <c r="C2808" t="s">
        <v>670</v>
      </c>
      <c r="D2808" t="s">
        <v>1346</v>
      </c>
      <c r="E2808" t="s">
        <v>187</v>
      </c>
      <c r="F2808">
        <v>2016</v>
      </c>
      <c r="G2808">
        <v>3.6217929999999998</v>
      </c>
    </row>
    <row r="2809" spans="1:7">
      <c r="A2809" t="s">
        <v>1297</v>
      </c>
      <c r="B2809" t="s">
        <v>1298</v>
      </c>
      <c r="C2809" t="s">
        <v>670</v>
      </c>
      <c r="D2809" t="s">
        <v>1346</v>
      </c>
      <c r="E2809" t="s">
        <v>187</v>
      </c>
      <c r="F2809">
        <v>2020</v>
      </c>
      <c r="G2809">
        <v>3.3070889999999999</v>
      </c>
    </row>
    <row r="2810" spans="1:7">
      <c r="A2810" t="s">
        <v>1297</v>
      </c>
      <c r="B2810" t="s">
        <v>1298</v>
      </c>
      <c r="C2810" t="s">
        <v>1301</v>
      </c>
      <c r="D2810" t="s">
        <v>1346</v>
      </c>
      <c r="E2810" t="s">
        <v>187</v>
      </c>
      <c r="F2810">
        <v>2005</v>
      </c>
      <c r="G2810">
        <v>315.54207700000001</v>
      </c>
    </row>
    <row r="2811" spans="1:7">
      <c r="A2811" t="s">
        <v>1297</v>
      </c>
      <c r="B2811" t="s">
        <v>1298</v>
      </c>
      <c r="C2811" t="s">
        <v>675</v>
      </c>
      <c r="D2811" t="s">
        <v>1346</v>
      </c>
      <c r="E2811" t="s">
        <v>187</v>
      </c>
      <c r="F2811">
        <v>2020</v>
      </c>
      <c r="G2811">
        <v>1.6663380000000001</v>
      </c>
    </row>
    <row r="2812" spans="1:7">
      <c r="A2812" t="s">
        <v>1297</v>
      </c>
      <c r="B2812" t="s">
        <v>1298</v>
      </c>
      <c r="C2812" t="s">
        <v>666</v>
      </c>
      <c r="D2812" t="s">
        <v>1346</v>
      </c>
      <c r="E2812" t="s">
        <v>187</v>
      </c>
      <c r="F2812">
        <v>2005</v>
      </c>
      <c r="G2812">
        <v>3.5925750000000001</v>
      </c>
    </row>
    <row r="2813" spans="1:7">
      <c r="A2813" t="s">
        <v>1297</v>
      </c>
      <c r="B2813" t="s">
        <v>1298</v>
      </c>
      <c r="C2813" t="s">
        <v>666</v>
      </c>
      <c r="D2813" t="s">
        <v>1346</v>
      </c>
      <c r="E2813" t="s">
        <v>187</v>
      </c>
      <c r="F2813">
        <v>2010</v>
      </c>
      <c r="G2813">
        <v>3.5368249999999999</v>
      </c>
    </row>
    <row r="2814" spans="1:7">
      <c r="A2814" t="s">
        <v>1297</v>
      </c>
      <c r="B2814" t="s">
        <v>1298</v>
      </c>
      <c r="C2814" t="s">
        <v>666</v>
      </c>
      <c r="D2814" t="s">
        <v>1346</v>
      </c>
      <c r="E2814" t="s">
        <v>187</v>
      </c>
      <c r="F2814">
        <v>2012</v>
      </c>
      <c r="G2814">
        <v>4.950285</v>
      </c>
    </row>
    <row r="2815" spans="1:7">
      <c r="A2815" t="s">
        <v>1297</v>
      </c>
      <c r="B2815" t="s">
        <v>1298</v>
      </c>
      <c r="C2815" t="s">
        <v>666</v>
      </c>
      <c r="D2815" t="s">
        <v>1346</v>
      </c>
      <c r="E2815" t="s">
        <v>187</v>
      </c>
      <c r="F2815">
        <v>2016</v>
      </c>
      <c r="G2815">
        <v>3.6339199999999998</v>
      </c>
    </row>
    <row r="2816" spans="1:7">
      <c r="A2816" t="s">
        <v>1297</v>
      </c>
      <c r="B2816" t="s">
        <v>1298</v>
      </c>
      <c r="C2816" t="s">
        <v>666</v>
      </c>
      <c r="D2816" t="s">
        <v>1346</v>
      </c>
      <c r="E2816" t="s">
        <v>187</v>
      </c>
      <c r="F2816">
        <v>2020</v>
      </c>
      <c r="G2816">
        <v>4.4185280000000002</v>
      </c>
    </row>
    <row r="2817" spans="1:7">
      <c r="A2817" t="s">
        <v>1297</v>
      </c>
      <c r="B2817" t="s">
        <v>1298</v>
      </c>
      <c r="C2817" t="s">
        <v>652</v>
      </c>
      <c r="D2817" t="s">
        <v>1346</v>
      </c>
      <c r="E2817" t="s">
        <v>187</v>
      </c>
      <c r="F2817">
        <v>2005</v>
      </c>
      <c r="G2817">
        <v>19.073187000000001</v>
      </c>
    </row>
    <row r="2818" spans="1:7">
      <c r="A2818" t="s">
        <v>1297</v>
      </c>
      <c r="B2818" t="s">
        <v>1298</v>
      </c>
      <c r="C2818" t="s">
        <v>652</v>
      </c>
      <c r="D2818" t="s">
        <v>1346</v>
      </c>
      <c r="E2818" t="s">
        <v>187</v>
      </c>
      <c r="F2818">
        <v>2010</v>
      </c>
      <c r="G2818">
        <v>15.037304000000001</v>
      </c>
    </row>
    <row r="2819" spans="1:7">
      <c r="A2819" t="s">
        <v>1297</v>
      </c>
      <c r="B2819" t="s">
        <v>1298</v>
      </c>
      <c r="C2819" t="s">
        <v>652</v>
      </c>
      <c r="D2819" t="s">
        <v>1346</v>
      </c>
      <c r="E2819" t="s">
        <v>187</v>
      </c>
      <c r="F2819">
        <v>2012</v>
      </c>
      <c r="G2819">
        <v>14.606002999999999</v>
      </c>
    </row>
    <row r="2820" spans="1:7">
      <c r="A2820" t="s">
        <v>1297</v>
      </c>
      <c r="B2820" t="s">
        <v>1298</v>
      </c>
      <c r="C2820" t="s">
        <v>652</v>
      </c>
      <c r="D2820" t="s">
        <v>1346</v>
      </c>
      <c r="E2820" t="s">
        <v>187</v>
      </c>
      <c r="F2820">
        <v>2016</v>
      </c>
      <c r="G2820">
        <v>17.571711000000001</v>
      </c>
    </row>
    <row r="2821" spans="1:7">
      <c r="A2821" t="s">
        <v>1297</v>
      </c>
      <c r="B2821" t="s">
        <v>1298</v>
      </c>
      <c r="C2821" t="s">
        <v>652</v>
      </c>
      <c r="D2821" t="s">
        <v>1346</v>
      </c>
      <c r="E2821" t="s">
        <v>187</v>
      </c>
      <c r="F2821">
        <v>2020</v>
      </c>
      <c r="G2821">
        <v>18.234943000000001</v>
      </c>
    </row>
    <row r="2822" spans="1:7">
      <c r="A2822" t="s">
        <v>1297</v>
      </c>
      <c r="B2822" t="s">
        <v>1298</v>
      </c>
      <c r="C2822" t="s">
        <v>289</v>
      </c>
      <c r="D2822" t="s">
        <v>1346</v>
      </c>
      <c r="E2822" t="s">
        <v>187</v>
      </c>
      <c r="F2822">
        <v>2005</v>
      </c>
      <c r="G2822">
        <v>5.68553</v>
      </c>
    </row>
    <row r="2823" spans="1:7">
      <c r="A2823" t="s">
        <v>1297</v>
      </c>
      <c r="B2823" t="s">
        <v>1298</v>
      </c>
      <c r="C2823" t="s">
        <v>289</v>
      </c>
      <c r="D2823" t="s">
        <v>1346</v>
      </c>
      <c r="E2823" t="s">
        <v>187</v>
      </c>
      <c r="F2823">
        <v>2010</v>
      </c>
      <c r="G2823">
        <v>6.0150990000000002</v>
      </c>
    </row>
    <row r="2824" spans="1:7">
      <c r="A2824" t="s">
        <v>1297</v>
      </c>
      <c r="B2824" t="s">
        <v>1298</v>
      </c>
      <c r="C2824" t="s">
        <v>289</v>
      </c>
      <c r="D2824" t="s">
        <v>1346</v>
      </c>
      <c r="E2824" t="s">
        <v>187</v>
      </c>
      <c r="F2824">
        <v>2012</v>
      </c>
      <c r="G2824">
        <v>5.1819249999999997</v>
      </c>
    </row>
    <row r="2825" spans="1:7">
      <c r="A2825" t="s">
        <v>1297</v>
      </c>
      <c r="B2825" t="s">
        <v>1298</v>
      </c>
      <c r="C2825" t="s">
        <v>289</v>
      </c>
      <c r="D2825" t="s">
        <v>1346</v>
      </c>
      <c r="E2825" t="s">
        <v>187</v>
      </c>
      <c r="F2825">
        <v>2016</v>
      </c>
      <c r="G2825">
        <v>2.6839179999999998</v>
      </c>
    </row>
    <row r="2826" spans="1:7">
      <c r="A2826" t="s">
        <v>1297</v>
      </c>
      <c r="B2826" t="s">
        <v>1298</v>
      </c>
      <c r="C2826" t="s">
        <v>289</v>
      </c>
      <c r="D2826" t="s">
        <v>1346</v>
      </c>
      <c r="E2826" t="s">
        <v>187</v>
      </c>
      <c r="F2826">
        <v>2020</v>
      </c>
      <c r="G2826">
        <v>3.3468399999999998</v>
      </c>
    </row>
    <row r="2827" spans="1:7">
      <c r="A2827" t="s">
        <v>1297</v>
      </c>
      <c r="B2827" t="s">
        <v>1298</v>
      </c>
      <c r="C2827" t="s">
        <v>1300</v>
      </c>
      <c r="D2827" t="s">
        <v>1346</v>
      </c>
      <c r="E2827" t="s">
        <v>187</v>
      </c>
      <c r="F2827">
        <v>2010</v>
      </c>
      <c r="G2827">
        <v>1.4440999999999999</v>
      </c>
    </row>
    <row r="2828" spans="1:7">
      <c r="A2828" t="s">
        <v>1297</v>
      </c>
      <c r="B2828" t="s">
        <v>1298</v>
      </c>
      <c r="C2828" t="s">
        <v>1300</v>
      </c>
      <c r="D2828" t="s">
        <v>1346</v>
      </c>
      <c r="E2828" t="s">
        <v>187</v>
      </c>
      <c r="F2828">
        <v>2012</v>
      </c>
      <c r="G2828">
        <v>1.2244159999999999</v>
      </c>
    </row>
    <row r="2829" spans="1:7">
      <c r="A2829" t="s">
        <v>1297</v>
      </c>
      <c r="B2829" t="s">
        <v>1298</v>
      </c>
      <c r="C2829" t="s">
        <v>1300</v>
      </c>
      <c r="D2829" t="s">
        <v>1346</v>
      </c>
      <c r="E2829" t="s">
        <v>187</v>
      </c>
      <c r="F2829">
        <v>2016</v>
      </c>
      <c r="G2829">
        <v>0.93308500000000005</v>
      </c>
    </row>
    <row r="2830" spans="1:7">
      <c r="A2830" t="s">
        <v>1297</v>
      </c>
      <c r="B2830" t="s">
        <v>1298</v>
      </c>
      <c r="C2830" t="s">
        <v>1300</v>
      </c>
      <c r="D2830" t="s">
        <v>1346</v>
      </c>
      <c r="E2830" t="s">
        <v>187</v>
      </c>
      <c r="F2830">
        <v>2020</v>
      </c>
      <c r="G2830">
        <v>0.93809399999999998</v>
      </c>
    </row>
    <row r="2831" spans="1:7">
      <c r="A2831" t="s">
        <v>1297</v>
      </c>
      <c r="B2831" t="s">
        <v>1298</v>
      </c>
      <c r="C2831" t="s">
        <v>672</v>
      </c>
      <c r="D2831" t="s">
        <v>1346</v>
      </c>
      <c r="E2831" t="s">
        <v>187</v>
      </c>
      <c r="F2831">
        <v>2005</v>
      </c>
      <c r="G2831">
        <v>0.70138699999999998</v>
      </c>
    </row>
    <row r="2832" spans="1:7">
      <c r="A2832" t="s">
        <v>1297</v>
      </c>
      <c r="B2832" t="s">
        <v>1298</v>
      </c>
      <c r="C2832" t="s">
        <v>672</v>
      </c>
      <c r="D2832" t="s">
        <v>1346</v>
      </c>
      <c r="E2832" t="s">
        <v>187</v>
      </c>
      <c r="F2832">
        <v>2010</v>
      </c>
      <c r="G2832">
        <v>2.0997439999999998</v>
      </c>
    </row>
    <row r="2833" spans="1:7">
      <c r="A2833" t="s">
        <v>1297</v>
      </c>
      <c r="B2833" t="s">
        <v>1298</v>
      </c>
      <c r="C2833" t="s">
        <v>672</v>
      </c>
      <c r="D2833" t="s">
        <v>1346</v>
      </c>
      <c r="E2833" t="s">
        <v>187</v>
      </c>
      <c r="F2833">
        <v>2012</v>
      </c>
      <c r="G2833">
        <v>0.83768799999999999</v>
      </c>
    </row>
    <row r="2834" spans="1:7">
      <c r="A2834" t="s">
        <v>1297</v>
      </c>
      <c r="B2834" t="s">
        <v>1298</v>
      </c>
      <c r="C2834" t="s">
        <v>672</v>
      </c>
      <c r="D2834" t="s">
        <v>1346</v>
      </c>
      <c r="E2834" t="s">
        <v>187</v>
      </c>
      <c r="F2834">
        <v>2016</v>
      </c>
      <c r="G2834">
        <v>0.53237400000000001</v>
      </c>
    </row>
    <row r="2835" spans="1:7">
      <c r="A2835" t="s">
        <v>1297</v>
      </c>
      <c r="B2835" t="s">
        <v>1298</v>
      </c>
      <c r="C2835" t="s">
        <v>672</v>
      </c>
      <c r="D2835" t="s">
        <v>1346</v>
      </c>
      <c r="E2835" t="s">
        <v>187</v>
      </c>
      <c r="F2835">
        <v>2020</v>
      </c>
      <c r="G2835">
        <v>0.45207399999999998</v>
      </c>
    </row>
    <row r="2836" spans="1:7">
      <c r="A2836" t="s">
        <v>1297</v>
      </c>
      <c r="B2836" t="s">
        <v>1298</v>
      </c>
      <c r="C2836" t="s">
        <v>656</v>
      </c>
      <c r="D2836" t="s">
        <v>1346</v>
      </c>
      <c r="E2836" t="s">
        <v>187</v>
      </c>
      <c r="F2836">
        <v>2005</v>
      </c>
      <c r="G2836">
        <v>139.701663</v>
      </c>
    </row>
    <row r="2837" spans="1:7">
      <c r="A2837" t="s">
        <v>1297</v>
      </c>
      <c r="B2837" t="s">
        <v>1298</v>
      </c>
      <c r="C2837" t="s">
        <v>656</v>
      </c>
      <c r="D2837" t="s">
        <v>1346</v>
      </c>
      <c r="E2837" t="s">
        <v>187</v>
      </c>
      <c r="F2837">
        <v>2010</v>
      </c>
      <c r="G2837">
        <v>137.677604</v>
      </c>
    </row>
    <row r="2838" spans="1:7">
      <c r="A2838" t="s">
        <v>1297</v>
      </c>
      <c r="B2838" t="s">
        <v>1298</v>
      </c>
      <c r="C2838" t="s">
        <v>656</v>
      </c>
      <c r="D2838" t="s">
        <v>1346</v>
      </c>
      <c r="E2838" t="s">
        <v>187</v>
      </c>
      <c r="F2838">
        <v>2012</v>
      </c>
      <c r="G2838">
        <v>146.37106199999999</v>
      </c>
    </row>
    <row r="2839" spans="1:7">
      <c r="A2839" t="s">
        <v>1297</v>
      </c>
      <c r="B2839" t="s">
        <v>1298</v>
      </c>
      <c r="C2839" t="s">
        <v>656</v>
      </c>
      <c r="D2839" t="s">
        <v>1346</v>
      </c>
      <c r="E2839" t="s">
        <v>187</v>
      </c>
      <c r="F2839">
        <v>2016</v>
      </c>
      <c r="G2839">
        <v>170.95313999999999</v>
      </c>
    </row>
    <row r="2840" spans="1:7">
      <c r="A2840" t="s">
        <v>1297</v>
      </c>
      <c r="B2840" t="s">
        <v>1298</v>
      </c>
      <c r="C2840" t="s">
        <v>656</v>
      </c>
      <c r="D2840" t="s">
        <v>1346</v>
      </c>
      <c r="E2840" t="s">
        <v>187</v>
      </c>
      <c r="F2840">
        <v>2020</v>
      </c>
      <c r="G2840">
        <v>128.70972699999999</v>
      </c>
    </row>
    <row r="2841" spans="1:7">
      <c r="A2841" t="s">
        <v>1297</v>
      </c>
      <c r="B2841" t="s">
        <v>1298</v>
      </c>
      <c r="C2841" t="s">
        <v>684</v>
      </c>
      <c r="D2841" t="s">
        <v>1346</v>
      </c>
      <c r="E2841" t="s">
        <v>187</v>
      </c>
      <c r="F2841">
        <v>2005</v>
      </c>
      <c r="G2841">
        <v>0.61904000000000003</v>
      </c>
    </row>
    <row r="2842" spans="1:7">
      <c r="A2842" t="s">
        <v>1297</v>
      </c>
      <c r="B2842" t="s">
        <v>1298</v>
      </c>
      <c r="C2842" t="s">
        <v>684</v>
      </c>
      <c r="D2842" t="s">
        <v>1346</v>
      </c>
      <c r="E2842" t="s">
        <v>187</v>
      </c>
      <c r="F2842">
        <v>2010</v>
      </c>
      <c r="G2842">
        <v>0.10131</v>
      </c>
    </row>
    <row r="2843" spans="1:7">
      <c r="A2843" t="s">
        <v>1297</v>
      </c>
      <c r="B2843" t="s">
        <v>1298</v>
      </c>
      <c r="C2843" t="s">
        <v>684</v>
      </c>
      <c r="D2843" t="s">
        <v>1346</v>
      </c>
      <c r="E2843" t="s">
        <v>187</v>
      </c>
      <c r="F2843">
        <v>2012</v>
      </c>
      <c r="G2843">
        <v>0.21182999999999999</v>
      </c>
    </row>
    <row r="2844" spans="1:7">
      <c r="A2844" t="s">
        <v>1297</v>
      </c>
      <c r="B2844" t="s">
        <v>1298</v>
      </c>
      <c r="C2844" t="s">
        <v>684</v>
      </c>
      <c r="D2844" t="s">
        <v>1346</v>
      </c>
      <c r="E2844" t="s">
        <v>187</v>
      </c>
      <c r="F2844">
        <v>2016</v>
      </c>
      <c r="G2844">
        <v>0.26555200000000001</v>
      </c>
    </row>
    <row r="2845" spans="1:7">
      <c r="A2845" t="s">
        <v>1297</v>
      </c>
      <c r="B2845" t="s">
        <v>1298</v>
      </c>
      <c r="C2845" t="s">
        <v>684</v>
      </c>
      <c r="D2845" t="s">
        <v>1346</v>
      </c>
      <c r="E2845" t="s">
        <v>187</v>
      </c>
      <c r="F2845">
        <v>2020</v>
      </c>
      <c r="G2845">
        <v>0.14041999999999999</v>
      </c>
    </row>
    <row r="2846" spans="1:7">
      <c r="A2846" t="s">
        <v>1297</v>
      </c>
      <c r="B2846" t="s">
        <v>1298</v>
      </c>
      <c r="C2846" t="s">
        <v>1301</v>
      </c>
      <c r="D2846" t="s">
        <v>1346</v>
      </c>
      <c r="E2846" t="s">
        <v>187</v>
      </c>
      <c r="F2846">
        <v>2010</v>
      </c>
      <c r="G2846">
        <v>274.11381499999999</v>
      </c>
    </row>
    <row r="2847" spans="1:7">
      <c r="A2847" t="s">
        <v>1297</v>
      </c>
      <c r="B2847" t="s">
        <v>1298</v>
      </c>
      <c r="C2847" t="s">
        <v>1301</v>
      </c>
      <c r="D2847" t="s">
        <v>1346</v>
      </c>
      <c r="E2847" t="s">
        <v>187</v>
      </c>
      <c r="F2847">
        <v>2012</v>
      </c>
      <c r="G2847">
        <v>257.33486099999999</v>
      </c>
    </row>
    <row r="2848" spans="1:7">
      <c r="A2848" t="s">
        <v>1297</v>
      </c>
      <c r="B2848" t="s">
        <v>1298</v>
      </c>
      <c r="C2848" t="s">
        <v>1301</v>
      </c>
      <c r="D2848" t="s">
        <v>1346</v>
      </c>
      <c r="E2848" t="s">
        <v>187</v>
      </c>
      <c r="F2848">
        <v>2016</v>
      </c>
      <c r="G2848">
        <v>259.26262300000002</v>
      </c>
    </row>
    <row r="2849" spans="1:7">
      <c r="A2849" t="s">
        <v>1297</v>
      </c>
      <c r="B2849" t="s">
        <v>1298</v>
      </c>
      <c r="C2849" t="s">
        <v>1301</v>
      </c>
      <c r="D2849" t="s">
        <v>1346</v>
      </c>
      <c r="E2849" t="s">
        <v>187</v>
      </c>
      <c r="F2849">
        <v>2020</v>
      </c>
      <c r="G2849">
        <v>241.54717400000001</v>
      </c>
    </row>
    <row r="2850" spans="1:7">
      <c r="A2850" t="s">
        <v>1297</v>
      </c>
      <c r="B2850" t="s">
        <v>1298</v>
      </c>
      <c r="C2850" t="s">
        <v>679</v>
      </c>
      <c r="D2850" t="s">
        <v>1346</v>
      </c>
      <c r="E2850" t="s">
        <v>187</v>
      </c>
      <c r="F2850">
        <v>2005</v>
      </c>
      <c r="G2850">
        <v>24.8645</v>
      </c>
    </row>
    <row r="2851" spans="1:7">
      <c r="A2851" t="s">
        <v>1297</v>
      </c>
      <c r="B2851" t="s">
        <v>1298</v>
      </c>
      <c r="C2851" t="s">
        <v>679</v>
      </c>
      <c r="D2851" t="s">
        <v>1346</v>
      </c>
      <c r="E2851" t="s">
        <v>187</v>
      </c>
      <c r="F2851">
        <v>2010</v>
      </c>
      <c r="G2851">
        <v>20.744800000000001</v>
      </c>
    </row>
    <row r="2852" spans="1:7">
      <c r="A2852" t="s">
        <v>1297</v>
      </c>
      <c r="B2852" t="s">
        <v>1298</v>
      </c>
      <c r="C2852" t="s">
        <v>679</v>
      </c>
      <c r="D2852" t="s">
        <v>1346</v>
      </c>
      <c r="E2852" t="s">
        <v>187</v>
      </c>
      <c r="F2852">
        <v>2012</v>
      </c>
      <c r="G2852">
        <v>19.851199999999999</v>
      </c>
    </row>
    <row r="2853" spans="1:7">
      <c r="A2853" t="s">
        <v>1297</v>
      </c>
      <c r="B2853" t="s">
        <v>1298</v>
      </c>
      <c r="C2853" t="s">
        <v>679</v>
      </c>
      <c r="D2853" t="s">
        <v>1346</v>
      </c>
      <c r="E2853" t="s">
        <v>187</v>
      </c>
      <c r="F2853">
        <v>2016</v>
      </c>
      <c r="G2853">
        <v>21.823</v>
      </c>
    </row>
    <row r="2854" spans="1:7">
      <c r="A2854" t="s">
        <v>1297</v>
      </c>
      <c r="B2854" t="s">
        <v>1298</v>
      </c>
      <c r="C2854" t="s">
        <v>679</v>
      </c>
      <c r="D2854" t="s">
        <v>1346</v>
      </c>
      <c r="E2854" t="s">
        <v>187</v>
      </c>
      <c r="F2854">
        <v>2020</v>
      </c>
      <c r="G2854">
        <v>20.544599999999999</v>
      </c>
    </row>
    <row r="2855" spans="1:7">
      <c r="A2855" t="s">
        <v>1297</v>
      </c>
      <c r="B2855" t="s">
        <v>1298</v>
      </c>
      <c r="C2855" t="s">
        <v>675</v>
      </c>
      <c r="D2855" t="s">
        <v>1346</v>
      </c>
      <c r="E2855" t="s">
        <v>187</v>
      </c>
      <c r="F2855">
        <v>2005</v>
      </c>
      <c r="G2855">
        <v>3.3453490000000001</v>
      </c>
    </row>
    <row r="2856" spans="1:7">
      <c r="A2856" t="s">
        <v>1297</v>
      </c>
      <c r="B2856" t="s">
        <v>1298</v>
      </c>
      <c r="C2856" t="s">
        <v>675</v>
      </c>
      <c r="D2856" t="s">
        <v>1346</v>
      </c>
      <c r="E2856" t="s">
        <v>187</v>
      </c>
      <c r="F2856">
        <v>2010</v>
      </c>
      <c r="G2856">
        <v>1.987287</v>
      </c>
    </row>
    <row r="2857" spans="1:7">
      <c r="A2857" t="s">
        <v>1297</v>
      </c>
      <c r="B2857" t="s">
        <v>1298</v>
      </c>
      <c r="C2857" t="s">
        <v>675</v>
      </c>
      <c r="D2857" t="s">
        <v>1346</v>
      </c>
      <c r="E2857" t="s">
        <v>187</v>
      </c>
      <c r="F2857">
        <v>2012</v>
      </c>
      <c r="G2857">
        <v>2.1266349999999998</v>
      </c>
    </row>
    <row r="2858" spans="1:7">
      <c r="A2858" t="s">
        <v>1297</v>
      </c>
      <c r="B2858" t="s">
        <v>1298</v>
      </c>
      <c r="C2858" t="s">
        <v>675</v>
      </c>
      <c r="D2858" t="s">
        <v>1346</v>
      </c>
      <c r="E2858" t="s">
        <v>187</v>
      </c>
      <c r="F2858">
        <v>2016</v>
      </c>
      <c r="G2858">
        <v>1.5185120000000001</v>
      </c>
    </row>
    <row r="2859" spans="1:7">
      <c r="A2859" t="s">
        <v>1297</v>
      </c>
      <c r="B2859" t="s">
        <v>1298</v>
      </c>
      <c r="C2859" t="s">
        <v>680</v>
      </c>
      <c r="D2859" t="s">
        <v>1346</v>
      </c>
      <c r="E2859" t="s">
        <v>187</v>
      </c>
      <c r="F2859">
        <v>2005</v>
      </c>
      <c r="G2859">
        <v>4.1619599999999997</v>
      </c>
    </row>
    <row r="2860" spans="1:7">
      <c r="A2860" t="s">
        <v>1297</v>
      </c>
      <c r="B2860" t="s">
        <v>1298</v>
      </c>
      <c r="C2860" t="s">
        <v>680</v>
      </c>
      <c r="D2860" t="s">
        <v>1346</v>
      </c>
      <c r="E2860" t="s">
        <v>187</v>
      </c>
      <c r="F2860">
        <v>2010</v>
      </c>
      <c r="G2860">
        <v>3.7734000000000001</v>
      </c>
    </row>
    <row r="2861" spans="1:7">
      <c r="A2861" t="s">
        <v>1297</v>
      </c>
      <c r="B2861" t="s">
        <v>1298</v>
      </c>
      <c r="C2861" t="s">
        <v>680</v>
      </c>
      <c r="D2861" t="s">
        <v>1346</v>
      </c>
      <c r="E2861" t="s">
        <v>187</v>
      </c>
      <c r="F2861">
        <v>2012</v>
      </c>
      <c r="G2861">
        <v>3.8786999999999998</v>
      </c>
    </row>
    <row r="2862" spans="1:7">
      <c r="A2862" t="s">
        <v>1297</v>
      </c>
      <c r="B2862" t="s">
        <v>1298</v>
      </c>
      <c r="C2862" t="s">
        <v>667</v>
      </c>
      <c r="D2862" t="s">
        <v>1346</v>
      </c>
      <c r="E2862" t="s">
        <v>187</v>
      </c>
      <c r="F2862">
        <v>2005</v>
      </c>
      <c r="G2862">
        <v>3.2188050000000001</v>
      </c>
    </row>
    <row r="2863" spans="1:7">
      <c r="A2863" t="s">
        <v>1297</v>
      </c>
      <c r="B2863" t="s">
        <v>1298</v>
      </c>
      <c r="C2863" t="s">
        <v>667</v>
      </c>
      <c r="D2863" t="s">
        <v>1346</v>
      </c>
      <c r="E2863" t="s">
        <v>187</v>
      </c>
      <c r="F2863">
        <v>2010</v>
      </c>
      <c r="G2863">
        <v>2.7813300000000001</v>
      </c>
    </row>
    <row r="2864" spans="1:7">
      <c r="A2864" t="s">
        <v>1297</v>
      </c>
      <c r="B2864" t="s">
        <v>1298</v>
      </c>
      <c r="C2864" t="s">
        <v>667</v>
      </c>
      <c r="D2864" t="s">
        <v>1346</v>
      </c>
      <c r="E2864" t="s">
        <v>187</v>
      </c>
      <c r="F2864">
        <v>2012</v>
      </c>
      <c r="G2864">
        <v>2.2308539999999999</v>
      </c>
    </row>
    <row r="2865" spans="1:7">
      <c r="A2865" t="s">
        <v>1297</v>
      </c>
      <c r="B2865" t="s">
        <v>1298</v>
      </c>
      <c r="C2865" t="s">
        <v>667</v>
      </c>
      <c r="D2865" t="s">
        <v>1346</v>
      </c>
      <c r="E2865" t="s">
        <v>187</v>
      </c>
      <c r="F2865">
        <v>2016</v>
      </c>
      <c r="G2865">
        <v>2.1686369999999999</v>
      </c>
    </row>
    <row r="2866" spans="1:7">
      <c r="A2866" t="s">
        <v>1297</v>
      </c>
      <c r="B2866" t="s">
        <v>1298</v>
      </c>
      <c r="C2866" t="s">
        <v>667</v>
      </c>
      <c r="D2866" t="s">
        <v>1346</v>
      </c>
      <c r="E2866" t="s">
        <v>187</v>
      </c>
      <c r="F2866">
        <v>2020</v>
      </c>
      <c r="G2866">
        <v>1.773884</v>
      </c>
    </row>
    <row r="2867" spans="1:7">
      <c r="A2867" t="s">
        <v>1297</v>
      </c>
      <c r="B2867" t="s">
        <v>1298</v>
      </c>
      <c r="C2867" t="s">
        <v>662</v>
      </c>
      <c r="D2867" t="s">
        <v>1346</v>
      </c>
      <c r="E2867" t="s">
        <v>187</v>
      </c>
      <c r="F2867">
        <v>2005</v>
      </c>
      <c r="G2867">
        <v>18.227957</v>
      </c>
    </row>
    <row r="2868" spans="1:7">
      <c r="A2868" t="s">
        <v>1297</v>
      </c>
      <c r="B2868" t="s">
        <v>1298</v>
      </c>
      <c r="C2868" t="s">
        <v>662</v>
      </c>
      <c r="D2868" t="s">
        <v>1346</v>
      </c>
      <c r="E2868" t="s">
        <v>187</v>
      </c>
      <c r="F2868">
        <v>2010</v>
      </c>
      <c r="G2868">
        <v>12.483708</v>
      </c>
    </row>
    <row r="2869" spans="1:7">
      <c r="A2869" t="s">
        <v>1297</v>
      </c>
      <c r="B2869" t="s">
        <v>1298</v>
      </c>
      <c r="C2869" t="s">
        <v>662</v>
      </c>
      <c r="D2869" t="s">
        <v>1346</v>
      </c>
      <c r="E2869" t="s">
        <v>187</v>
      </c>
      <c r="F2869">
        <v>2012</v>
      </c>
      <c r="G2869">
        <v>9.4983839999999997</v>
      </c>
    </row>
    <row r="2870" spans="1:7">
      <c r="A2870" t="s">
        <v>1297</v>
      </c>
      <c r="B2870" t="s">
        <v>1298</v>
      </c>
      <c r="C2870" t="s">
        <v>662</v>
      </c>
      <c r="D2870" t="s">
        <v>1346</v>
      </c>
      <c r="E2870" t="s">
        <v>187</v>
      </c>
      <c r="F2870">
        <v>2016</v>
      </c>
      <c r="G2870">
        <v>8.1115879999999994</v>
      </c>
    </row>
    <row r="2871" spans="1:7">
      <c r="A2871" t="s">
        <v>1297</v>
      </c>
      <c r="B2871" t="s">
        <v>1298</v>
      </c>
      <c r="C2871" t="s">
        <v>662</v>
      </c>
      <c r="D2871" t="s">
        <v>1346</v>
      </c>
      <c r="E2871" t="s">
        <v>187</v>
      </c>
      <c r="F2871">
        <v>2020</v>
      </c>
      <c r="G2871">
        <v>8.1324889999999996</v>
      </c>
    </row>
    <row r="2872" spans="1:7">
      <c r="A2872" t="s">
        <v>1297</v>
      </c>
      <c r="B2872" t="s">
        <v>1298</v>
      </c>
      <c r="C2872" t="s">
        <v>677</v>
      </c>
      <c r="D2872" t="s">
        <v>1346</v>
      </c>
      <c r="E2872" t="s">
        <v>187</v>
      </c>
      <c r="F2872">
        <v>2005</v>
      </c>
      <c r="G2872">
        <v>73.318008000000006</v>
      </c>
    </row>
    <row r="2873" spans="1:7">
      <c r="A2873" t="s">
        <v>1297</v>
      </c>
      <c r="B2873" t="s">
        <v>1298</v>
      </c>
      <c r="C2873" t="s">
        <v>677</v>
      </c>
      <c r="D2873" t="s">
        <v>1346</v>
      </c>
      <c r="E2873" t="s">
        <v>187</v>
      </c>
      <c r="F2873">
        <v>2010</v>
      </c>
      <c r="G2873">
        <v>66.322423999999998</v>
      </c>
    </row>
    <row r="2874" spans="1:7">
      <c r="A2874" t="s">
        <v>1297</v>
      </c>
      <c r="B2874" t="s">
        <v>1298</v>
      </c>
      <c r="C2874" t="s">
        <v>677</v>
      </c>
      <c r="D2874" t="s">
        <v>1346</v>
      </c>
      <c r="E2874" t="s">
        <v>187</v>
      </c>
      <c r="F2874">
        <v>2012</v>
      </c>
      <c r="G2874">
        <v>63.888249999999999</v>
      </c>
    </row>
    <row r="2875" spans="1:7">
      <c r="A2875" t="s">
        <v>1297</v>
      </c>
      <c r="B2875" t="s">
        <v>1298</v>
      </c>
      <c r="C2875" t="s">
        <v>677</v>
      </c>
      <c r="D2875" t="s">
        <v>1346</v>
      </c>
      <c r="E2875" t="s">
        <v>187</v>
      </c>
      <c r="F2875">
        <v>2016</v>
      </c>
      <c r="G2875">
        <v>61.225372</v>
      </c>
    </row>
    <row r="2876" spans="1:7">
      <c r="A2876" t="s">
        <v>1297</v>
      </c>
      <c r="B2876" t="s">
        <v>1298</v>
      </c>
      <c r="C2876" t="s">
        <v>677</v>
      </c>
      <c r="D2876" t="s">
        <v>1346</v>
      </c>
      <c r="E2876" t="s">
        <v>187</v>
      </c>
      <c r="F2876">
        <v>2020</v>
      </c>
      <c r="G2876">
        <v>45.169328999999998</v>
      </c>
    </row>
    <row r="2877" spans="1:7">
      <c r="A2877" t="s">
        <v>1297</v>
      </c>
      <c r="B2877" t="s">
        <v>1298</v>
      </c>
      <c r="C2877" t="s">
        <v>1302</v>
      </c>
      <c r="D2877" t="s">
        <v>1346</v>
      </c>
      <c r="E2877" t="s">
        <v>187</v>
      </c>
      <c r="F2877">
        <v>2005</v>
      </c>
      <c r="G2877">
        <v>1.2746329999999999</v>
      </c>
    </row>
    <row r="2878" spans="1:7">
      <c r="A2878" t="s">
        <v>1297</v>
      </c>
      <c r="B2878" t="s">
        <v>1298</v>
      </c>
      <c r="C2878" t="s">
        <v>1302</v>
      </c>
      <c r="D2878" t="s">
        <v>1346</v>
      </c>
      <c r="E2878" t="s">
        <v>187</v>
      </c>
      <c r="F2878">
        <v>2010</v>
      </c>
      <c r="G2878">
        <v>2.0492900000000001</v>
      </c>
    </row>
    <row r="2879" spans="1:7">
      <c r="A2879" t="s">
        <v>1297</v>
      </c>
      <c r="B2879" t="s">
        <v>1298</v>
      </c>
      <c r="C2879" t="s">
        <v>1302</v>
      </c>
      <c r="D2879" t="s">
        <v>1346</v>
      </c>
      <c r="E2879" t="s">
        <v>187</v>
      </c>
      <c r="F2879">
        <v>2012</v>
      </c>
      <c r="G2879">
        <v>2.129712</v>
      </c>
    </row>
    <row r="2880" spans="1:7">
      <c r="A2880" t="s">
        <v>1297</v>
      </c>
      <c r="B2880" t="s">
        <v>1298</v>
      </c>
      <c r="C2880" t="s">
        <v>1302</v>
      </c>
      <c r="D2880" t="s">
        <v>1346</v>
      </c>
      <c r="E2880" t="s">
        <v>187</v>
      </c>
      <c r="F2880">
        <v>2016</v>
      </c>
      <c r="G2880">
        <v>1.0749139999999999</v>
      </c>
    </row>
    <row r="2881" spans="1:7">
      <c r="A2881" t="s">
        <v>1297</v>
      </c>
      <c r="B2881" t="s">
        <v>1298</v>
      </c>
      <c r="C2881" t="s">
        <v>1302</v>
      </c>
      <c r="D2881" t="s">
        <v>1346</v>
      </c>
      <c r="E2881" t="s">
        <v>187</v>
      </c>
      <c r="F2881">
        <v>2020</v>
      </c>
      <c r="G2881">
        <v>0.43494100000000002</v>
      </c>
    </row>
    <row r="2882" spans="1:7">
      <c r="A2882" t="s">
        <v>1297</v>
      </c>
      <c r="B2882" t="s">
        <v>1298</v>
      </c>
      <c r="C2882" t="s">
        <v>660</v>
      </c>
      <c r="D2882" t="s">
        <v>1346</v>
      </c>
      <c r="E2882" t="s">
        <v>187</v>
      </c>
      <c r="F2882">
        <v>2005</v>
      </c>
      <c r="G2882">
        <v>12.60915</v>
      </c>
    </row>
    <row r="2883" spans="1:7">
      <c r="A2883" t="s">
        <v>1297</v>
      </c>
      <c r="B2883" t="s">
        <v>1298</v>
      </c>
      <c r="C2883" t="s">
        <v>660</v>
      </c>
      <c r="D2883" t="s">
        <v>1346</v>
      </c>
      <c r="E2883" t="s">
        <v>187</v>
      </c>
      <c r="F2883">
        <v>2010</v>
      </c>
      <c r="G2883">
        <v>9.0588099999999994</v>
      </c>
    </row>
    <row r="2884" spans="1:7">
      <c r="A2884" t="s">
        <v>1297</v>
      </c>
      <c r="B2884" t="s">
        <v>1298</v>
      </c>
      <c r="C2884" t="s">
        <v>660</v>
      </c>
      <c r="D2884" t="s">
        <v>1346</v>
      </c>
      <c r="E2884" t="s">
        <v>187</v>
      </c>
      <c r="F2884">
        <v>2012</v>
      </c>
      <c r="G2884">
        <v>4.2536350000000001</v>
      </c>
    </row>
    <row r="2885" spans="1:7">
      <c r="A2885" t="s">
        <v>1297</v>
      </c>
      <c r="B2885" t="s">
        <v>1298</v>
      </c>
      <c r="C2885" t="s">
        <v>660</v>
      </c>
      <c r="D2885" t="s">
        <v>1346</v>
      </c>
      <c r="E2885" t="s">
        <v>187</v>
      </c>
      <c r="F2885">
        <v>2016</v>
      </c>
      <c r="G2885">
        <v>5.7116720000000001</v>
      </c>
    </row>
    <row r="2886" spans="1:7">
      <c r="A2886" t="s">
        <v>1297</v>
      </c>
      <c r="B2886" t="s">
        <v>1298</v>
      </c>
      <c r="C2886" t="s">
        <v>660</v>
      </c>
      <c r="D2886" t="s">
        <v>1346</v>
      </c>
      <c r="E2886" t="s">
        <v>187</v>
      </c>
      <c r="F2886">
        <v>2020</v>
      </c>
      <c r="G2886">
        <v>4.8574520000000003</v>
      </c>
    </row>
    <row r="2887" spans="1:7">
      <c r="A2887" t="s">
        <v>1297</v>
      </c>
      <c r="B2887" t="s">
        <v>1298</v>
      </c>
      <c r="C2887" t="s">
        <v>671</v>
      </c>
      <c r="D2887" t="s">
        <v>1346</v>
      </c>
      <c r="E2887" t="s">
        <v>187</v>
      </c>
      <c r="F2887">
        <v>2005</v>
      </c>
      <c r="G2887">
        <v>159.217601</v>
      </c>
    </row>
    <row r="2888" spans="1:7">
      <c r="A2888" t="s">
        <v>1297</v>
      </c>
      <c r="B2888" t="s">
        <v>1298</v>
      </c>
      <c r="C2888" t="s">
        <v>671</v>
      </c>
      <c r="D2888" t="s">
        <v>1346</v>
      </c>
      <c r="E2888" t="s">
        <v>187</v>
      </c>
      <c r="F2888">
        <v>2010</v>
      </c>
      <c r="G2888">
        <v>132.991187</v>
      </c>
    </row>
    <row r="2889" spans="1:7">
      <c r="A2889" t="s">
        <v>1297</v>
      </c>
      <c r="B2889" t="s">
        <v>1298</v>
      </c>
      <c r="C2889" t="s">
        <v>671</v>
      </c>
      <c r="D2889" t="s">
        <v>1346</v>
      </c>
      <c r="E2889" t="s">
        <v>187</v>
      </c>
      <c r="F2889">
        <v>2012</v>
      </c>
      <c r="G2889">
        <v>137.301695</v>
      </c>
    </row>
    <row r="2890" spans="1:7">
      <c r="A2890" t="s">
        <v>1297</v>
      </c>
      <c r="B2890" t="s">
        <v>1298</v>
      </c>
      <c r="C2890" t="s">
        <v>671</v>
      </c>
      <c r="D2890" t="s">
        <v>1346</v>
      </c>
      <c r="E2890" t="s">
        <v>187</v>
      </c>
      <c r="F2890">
        <v>2016</v>
      </c>
      <c r="G2890">
        <v>119.55261400000001</v>
      </c>
    </row>
    <row r="2891" spans="1:7">
      <c r="A2891" t="s">
        <v>1297</v>
      </c>
      <c r="B2891" t="s">
        <v>1298</v>
      </c>
      <c r="C2891" t="s">
        <v>671</v>
      </c>
      <c r="D2891" t="s">
        <v>1346</v>
      </c>
      <c r="E2891" t="s">
        <v>187</v>
      </c>
      <c r="F2891">
        <v>2020</v>
      </c>
      <c r="G2891">
        <v>118.87843599999999</v>
      </c>
    </row>
    <row r="2892" spans="1:7">
      <c r="A2892" t="s">
        <v>1297</v>
      </c>
      <c r="B2892" t="s">
        <v>1298</v>
      </c>
      <c r="C2892" t="s">
        <v>658</v>
      </c>
      <c r="D2892" t="s">
        <v>1346</v>
      </c>
      <c r="E2892" t="s">
        <v>187</v>
      </c>
      <c r="F2892">
        <v>2005</v>
      </c>
      <c r="G2892">
        <v>0.325872</v>
      </c>
    </row>
    <row r="2893" spans="1:7">
      <c r="A2893" t="s">
        <v>1297</v>
      </c>
      <c r="B2893" t="s">
        <v>1298</v>
      </c>
      <c r="C2893" t="s">
        <v>658</v>
      </c>
      <c r="D2893" t="s">
        <v>1346</v>
      </c>
      <c r="E2893" t="s">
        <v>187</v>
      </c>
      <c r="F2893">
        <v>2010</v>
      </c>
      <c r="G2893">
        <v>1.2765200000000001</v>
      </c>
    </row>
    <row r="2894" spans="1:7">
      <c r="A2894" t="s">
        <v>1297</v>
      </c>
      <c r="B2894" t="s">
        <v>1298</v>
      </c>
      <c r="C2894" t="s">
        <v>658</v>
      </c>
      <c r="D2894" t="s">
        <v>1346</v>
      </c>
      <c r="E2894" t="s">
        <v>187</v>
      </c>
      <c r="F2894">
        <v>2012</v>
      </c>
      <c r="G2894">
        <v>1.416844</v>
      </c>
    </row>
    <row r="2895" spans="1:7">
      <c r="A2895" t="s">
        <v>1297</v>
      </c>
      <c r="B2895" t="s">
        <v>1298</v>
      </c>
      <c r="C2895" t="s">
        <v>658</v>
      </c>
      <c r="D2895" t="s">
        <v>1346</v>
      </c>
      <c r="E2895" t="s">
        <v>187</v>
      </c>
      <c r="F2895">
        <v>2016</v>
      </c>
      <c r="G2895">
        <v>0.54300000000000004</v>
      </c>
    </row>
    <row r="2896" spans="1:7">
      <c r="A2896" t="s">
        <v>1297</v>
      </c>
      <c r="B2896" t="s">
        <v>1298</v>
      </c>
      <c r="C2896" t="s">
        <v>658</v>
      </c>
      <c r="D2896" t="s">
        <v>1346</v>
      </c>
      <c r="E2896" t="s">
        <v>187</v>
      </c>
      <c r="F2896">
        <v>2020</v>
      </c>
      <c r="G2896">
        <v>1.1531009999999999</v>
      </c>
    </row>
    <row r="2897" spans="1:7">
      <c r="A2897" t="s">
        <v>1297</v>
      </c>
      <c r="B2897" t="s">
        <v>1298</v>
      </c>
      <c r="C2897" t="s">
        <v>653</v>
      </c>
      <c r="D2897" t="s">
        <v>1346</v>
      </c>
      <c r="E2897" t="s">
        <v>187</v>
      </c>
      <c r="F2897">
        <v>2005</v>
      </c>
      <c r="G2897">
        <v>17.512884</v>
      </c>
    </row>
    <row r="2898" spans="1:7">
      <c r="A2898" t="s">
        <v>1297</v>
      </c>
      <c r="B2898" t="s">
        <v>1298</v>
      </c>
      <c r="C2898" t="s">
        <v>653</v>
      </c>
      <c r="D2898" t="s">
        <v>1346</v>
      </c>
      <c r="E2898" t="s">
        <v>187</v>
      </c>
      <c r="F2898">
        <v>2010</v>
      </c>
      <c r="G2898">
        <v>8.8187099999999994</v>
      </c>
    </row>
    <row r="2899" spans="1:7">
      <c r="A2899" t="s">
        <v>1297</v>
      </c>
      <c r="B2899" t="s">
        <v>1298</v>
      </c>
      <c r="C2899" t="s">
        <v>653</v>
      </c>
      <c r="D2899" t="s">
        <v>1346</v>
      </c>
      <c r="E2899" t="s">
        <v>187</v>
      </c>
      <c r="F2899">
        <v>2012</v>
      </c>
      <c r="G2899">
        <v>7.1665179999999999</v>
      </c>
    </row>
    <row r="2900" spans="1:7">
      <c r="A2900" t="s">
        <v>1297</v>
      </c>
      <c r="B2900" t="s">
        <v>1298</v>
      </c>
      <c r="C2900" t="s">
        <v>653</v>
      </c>
      <c r="D2900" t="s">
        <v>1346</v>
      </c>
      <c r="E2900" t="s">
        <v>187</v>
      </c>
      <c r="F2900">
        <v>2016</v>
      </c>
      <c r="G2900">
        <v>7.1199560000000002</v>
      </c>
    </row>
    <row r="2901" spans="1:7">
      <c r="A2901" t="s">
        <v>1297</v>
      </c>
      <c r="B2901" t="s">
        <v>1298</v>
      </c>
      <c r="C2901" t="s">
        <v>653</v>
      </c>
      <c r="D2901" t="s">
        <v>1346</v>
      </c>
      <c r="E2901" t="s">
        <v>187</v>
      </c>
      <c r="F2901">
        <v>2020</v>
      </c>
      <c r="G2901">
        <v>8.2208600000000001</v>
      </c>
    </row>
    <row r="2902" spans="1:7">
      <c r="A2902" t="s">
        <v>1297</v>
      </c>
      <c r="B2902" t="s">
        <v>1298</v>
      </c>
      <c r="C2902" t="s">
        <v>668</v>
      </c>
      <c r="D2902" t="s">
        <v>1346</v>
      </c>
      <c r="E2902" t="s">
        <v>187</v>
      </c>
      <c r="F2902">
        <v>2005</v>
      </c>
      <c r="G2902">
        <v>1.1052299999999999</v>
      </c>
    </row>
    <row r="2903" spans="1:7">
      <c r="A2903" t="s">
        <v>1297</v>
      </c>
      <c r="B2903" t="s">
        <v>1298</v>
      </c>
      <c r="C2903" t="s">
        <v>668</v>
      </c>
      <c r="D2903" t="s">
        <v>1346</v>
      </c>
      <c r="E2903" t="s">
        <v>187</v>
      </c>
      <c r="F2903">
        <v>2010</v>
      </c>
      <c r="G2903">
        <v>1.9419900000000001</v>
      </c>
    </row>
    <row r="2904" spans="1:7">
      <c r="A2904" t="s">
        <v>1297</v>
      </c>
      <c r="B2904" t="s">
        <v>1298</v>
      </c>
      <c r="C2904" t="s">
        <v>668</v>
      </c>
      <c r="D2904" t="s">
        <v>1346</v>
      </c>
      <c r="E2904" t="s">
        <v>187</v>
      </c>
      <c r="F2904">
        <v>2012</v>
      </c>
      <c r="G2904">
        <v>2.2095389999999999</v>
      </c>
    </row>
    <row r="2905" spans="1:7">
      <c r="A2905" t="s">
        <v>1297</v>
      </c>
      <c r="B2905" t="s">
        <v>1298</v>
      </c>
      <c r="C2905" t="s">
        <v>668</v>
      </c>
      <c r="D2905" t="s">
        <v>1346</v>
      </c>
      <c r="E2905" t="s">
        <v>187</v>
      </c>
      <c r="F2905">
        <v>2016</v>
      </c>
      <c r="G2905">
        <v>0.73531999999999997</v>
      </c>
    </row>
    <row r="2906" spans="1:7">
      <c r="A2906" t="s">
        <v>1297</v>
      </c>
      <c r="B2906" t="s">
        <v>1298</v>
      </c>
      <c r="C2906" t="s">
        <v>668</v>
      </c>
      <c r="D2906" t="s">
        <v>1346</v>
      </c>
      <c r="E2906" t="s">
        <v>187</v>
      </c>
      <c r="F2906">
        <v>2020</v>
      </c>
      <c r="G2906">
        <v>1.213203</v>
      </c>
    </row>
    <row r="2907" spans="1:7">
      <c r="A2907" t="s">
        <v>1297</v>
      </c>
      <c r="B2907" t="s">
        <v>1298</v>
      </c>
      <c r="C2907" t="s">
        <v>651</v>
      </c>
      <c r="D2907" t="s">
        <v>1346</v>
      </c>
      <c r="E2907" t="s">
        <v>187</v>
      </c>
      <c r="F2907">
        <v>2005</v>
      </c>
      <c r="G2907">
        <v>15.863740999999999</v>
      </c>
    </row>
    <row r="2908" spans="1:7">
      <c r="A2908" t="s">
        <v>1297</v>
      </c>
      <c r="B2908" t="s">
        <v>1298</v>
      </c>
      <c r="C2908" t="s">
        <v>651</v>
      </c>
      <c r="D2908" t="s">
        <v>1346</v>
      </c>
      <c r="E2908" t="s">
        <v>187</v>
      </c>
      <c r="F2908">
        <v>2010</v>
      </c>
      <c r="G2908">
        <v>12.429186</v>
      </c>
    </row>
    <row r="2909" spans="1:7">
      <c r="A2909" t="s">
        <v>1297</v>
      </c>
      <c r="B2909" t="s">
        <v>1298</v>
      </c>
      <c r="C2909" t="s">
        <v>651</v>
      </c>
      <c r="D2909" t="s">
        <v>1346</v>
      </c>
      <c r="E2909" t="s">
        <v>187</v>
      </c>
      <c r="F2909">
        <v>2012</v>
      </c>
      <c r="G2909">
        <v>12.627686000000001</v>
      </c>
    </row>
    <row r="2910" spans="1:7">
      <c r="A2910" t="s">
        <v>1297</v>
      </c>
      <c r="B2910" t="s">
        <v>1298</v>
      </c>
      <c r="C2910" t="s">
        <v>651</v>
      </c>
      <c r="D2910" t="s">
        <v>1346</v>
      </c>
      <c r="E2910" t="s">
        <v>187</v>
      </c>
      <c r="F2910">
        <v>2016</v>
      </c>
      <c r="G2910">
        <v>14.230108</v>
      </c>
    </row>
    <row r="2911" spans="1:7">
      <c r="A2911" t="s">
        <v>1297</v>
      </c>
      <c r="B2911" t="s">
        <v>1298</v>
      </c>
      <c r="C2911" t="s">
        <v>651</v>
      </c>
      <c r="D2911" t="s">
        <v>1346</v>
      </c>
      <c r="E2911" t="s">
        <v>187</v>
      </c>
      <c r="F2911">
        <v>2020</v>
      </c>
      <c r="G2911">
        <v>11.391843</v>
      </c>
    </row>
    <row r="2912" spans="1:7">
      <c r="A2912" t="s">
        <v>1297</v>
      </c>
      <c r="B2912" t="s">
        <v>1298</v>
      </c>
      <c r="C2912" t="s">
        <v>654</v>
      </c>
      <c r="D2912" t="s">
        <v>1346</v>
      </c>
      <c r="E2912" t="s">
        <v>187</v>
      </c>
      <c r="F2912">
        <v>2005</v>
      </c>
      <c r="G2912">
        <v>1.4882919999999999</v>
      </c>
    </row>
    <row r="2913" spans="1:7">
      <c r="A2913" t="s">
        <v>1297</v>
      </c>
      <c r="B2913" t="s">
        <v>1298</v>
      </c>
      <c r="C2913" t="s">
        <v>654</v>
      </c>
      <c r="D2913" t="s">
        <v>1346</v>
      </c>
      <c r="E2913" t="s">
        <v>187</v>
      </c>
      <c r="F2913">
        <v>2010</v>
      </c>
      <c r="G2913">
        <v>0.69732000000000005</v>
      </c>
    </row>
    <row r="2914" spans="1:7">
      <c r="A2914" t="s">
        <v>1297</v>
      </c>
      <c r="B2914" t="s">
        <v>1298</v>
      </c>
      <c r="C2914" t="s">
        <v>654</v>
      </c>
      <c r="D2914" t="s">
        <v>1346</v>
      </c>
      <c r="E2914" t="s">
        <v>187</v>
      </c>
      <c r="F2914">
        <v>2020</v>
      </c>
      <c r="G2914">
        <v>0.72008700000000003</v>
      </c>
    </row>
    <row r="2915" spans="1:7">
      <c r="A2915" t="s">
        <v>1297</v>
      </c>
      <c r="B2915" t="s">
        <v>1298</v>
      </c>
      <c r="C2915" t="s">
        <v>681</v>
      </c>
      <c r="D2915" t="s">
        <v>1346</v>
      </c>
      <c r="E2915" t="s">
        <v>187</v>
      </c>
      <c r="F2915">
        <v>2005</v>
      </c>
      <c r="G2915">
        <v>0.413406</v>
      </c>
    </row>
    <row r="2916" spans="1:7">
      <c r="A2916" t="s">
        <v>1297</v>
      </c>
      <c r="B2916" t="s">
        <v>1298</v>
      </c>
      <c r="C2916" t="s">
        <v>655</v>
      </c>
      <c r="D2916" t="s">
        <v>1346</v>
      </c>
      <c r="E2916" t="s">
        <v>187</v>
      </c>
      <c r="F2916">
        <v>2005</v>
      </c>
      <c r="G2916">
        <v>87.001354000000006</v>
      </c>
    </row>
    <row r="2917" spans="1:7">
      <c r="A2917" t="s">
        <v>1297</v>
      </c>
      <c r="B2917" t="s">
        <v>1298</v>
      </c>
      <c r="C2917" t="s">
        <v>655</v>
      </c>
      <c r="D2917" t="s">
        <v>1346</v>
      </c>
      <c r="E2917" t="s">
        <v>187</v>
      </c>
      <c r="F2917">
        <v>2010</v>
      </c>
      <c r="G2917">
        <v>36.940257000000003</v>
      </c>
    </row>
    <row r="2918" spans="1:7">
      <c r="A2918" t="s">
        <v>1297</v>
      </c>
      <c r="B2918" t="s">
        <v>1298</v>
      </c>
      <c r="C2918" t="s">
        <v>655</v>
      </c>
      <c r="D2918" t="s">
        <v>1346</v>
      </c>
      <c r="E2918" t="s">
        <v>187</v>
      </c>
      <c r="F2918">
        <v>2012</v>
      </c>
      <c r="G2918">
        <v>38.250791999999997</v>
      </c>
    </row>
    <row r="2919" spans="1:7">
      <c r="A2919" t="s">
        <v>1297</v>
      </c>
      <c r="B2919" t="s">
        <v>1298</v>
      </c>
      <c r="C2919" t="s">
        <v>655</v>
      </c>
      <c r="D2919" t="s">
        <v>1346</v>
      </c>
      <c r="E2919" t="s">
        <v>187</v>
      </c>
      <c r="F2919">
        <v>2016</v>
      </c>
      <c r="G2919">
        <v>29.134796999999999</v>
      </c>
    </row>
    <row r="2920" spans="1:7">
      <c r="A2920" t="s">
        <v>1297</v>
      </c>
      <c r="B2920" t="s">
        <v>1298</v>
      </c>
      <c r="C2920" t="s">
        <v>655</v>
      </c>
      <c r="D2920" t="s">
        <v>1346</v>
      </c>
      <c r="E2920" t="s">
        <v>187</v>
      </c>
      <c r="F2920">
        <v>2020</v>
      </c>
      <c r="G2920">
        <v>31.334444999999999</v>
      </c>
    </row>
    <row r="2921" spans="1:7">
      <c r="A2921" t="s">
        <v>1297</v>
      </c>
      <c r="B2921" t="s">
        <v>1298</v>
      </c>
      <c r="C2921" t="s">
        <v>676</v>
      </c>
      <c r="D2921" t="s">
        <v>1346</v>
      </c>
      <c r="E2921" t="s">
        <v>187</v>
      </c>
      <c r="F2921">
        <v>2005</v>
      </c>
      <c r="G2921">
        <v>23.473528000000002</v>
      </c>
    </row>
    <row r="2922" spans="1:7">
      <c r="A2922" t="s">
        <v>1297</v>
      </c>
      <c r="B2922" t="s">
        <v>1298</v>
      </c>
      <c r="C2922" t="s">
        <v>676</v>
      </c>
      <c r="D2922" t="s">
        <v>1346</v>
      </c>
      <c r="E2922" t="s">
        <v>187</v>
      </c>
      <c r="F2922">
        <v>2010</v>
      </c>
      <c r="G2922">
        <v>15.827971</v>
      </c>
    </row>
    <row r="2923" spans="1:7">
      <c r="A2923" t="s">
        <v>1297</v>
      </c>
      <c r="B2923" t="s">
        <v>1298</v>
      </c>
      <c r="C2923" t="s">
        <v>676</v>
      </c>
      <c r="D2923" t="s">
        <v>1346</v>
      </c>
      <c r="E2923" t="s">
        <v>187</v>
      </c>
      <c r="F2923">
        <v>2012</v>
      </c>
      <c r="G2923">
        <v>14.851739</v>
      </c>
    </row>
    <row r="2924" spans="1:7">
      <c r="A2924" t="s">
        <v>1297</v>
      </c>
      <c r="B2924" t="s">
        <v>1298</v>
      </c>
      <c r="C2924" t="s">
        <v>676</v>
      </c>
      <c r="D2924" t="s">
        <v>1346</v>
      </c>
      <c r="E2924" t="s">
        <v>187</v>
      </c>
      <c r="F2924">
        <v>2016</v>
      </c>
      <c r="G2924">
        <v>11.920339999999999</v>
      </c>
    </row>
    <row r="2925" spans="1:7">
      <c r="A2925" t="s">
        <v>1297</v>
      </c>
      <c r="B2925" t="s">
        <v>1298</v>
      </c>
      <c r="C2925" t="s">
        <v>676</v>
      </c>
      <c r="D2925" t="s">
        <v>1346</v>
      </c>
      <c r="E2925" t="s">
        <v>187</v>
      </c>
      <c r="F2925">
        <v>2020</v>
      </c>
      <c r="G2925">
        <v>11.73964</v>
      </c>
    </row>
    <row r="2926" spans="1:7">
      <c r="A2926" t="s">
        <v>1297</v>
      </c>
      <c r="B2926" t="s">
        <v>1298</v>
      </c>
      <c r="C2926" t="s">
        <v>682</v>
      </c>
      <c r="D2926" t="s">
        <v>1346</v>
      </c>
      <c r="E2926" t="s">
        <v>187</v>
      </c>
      <c r="F2926">
        <v>2016</v>
      </c>
      <c r="G2926">
        <v>3.86415</v>
      </c>
    </row>
    <row r="2927" spans="1:7">
      <c r="A2927" t="s">
        <v>1297</v>
      </c>
      <c r="B2927" t="s">
        <v>1298</v>
      </c>
      <c r="C2927" t="s">
        <v>682</v>
      </c>
      <c r="D2927" t="s">
        <v>1346</v>
      </c>
      <c r="E2927" t="s">
        <v>187</v>
      </c>
      <c r="F2927">
        <v>2020</v>
      </c>
      <c r="G2927">
        <v>3.7925789999999999</v>
      </c>
    </row>
    <row r="2928" spans="1:7">
      <c r="A2928" t="s">
        <v>1297</v>
      </c>
      <c r="B2928" t="s">
        <v>1298</v>
      </c>
      <c r="C2928" t="s">
        <v>674</v>
      </c>
      <c r="D2928" t="s">
        <v>1346</v>
      </c>
      <c r="E2928" t="s">
        <v>187</v>
      </c>
      <c r="F2928">
        <v>2005</v>
      </c>
      <c r="G2928">
        <v>18.554345000000001</v>
      </c>
    </row>
    <row r="2929" spans="1:7">
      <c r="A2929" t="s">
        <v>1297</v>
      </c>
      <c r="B2929" t="s">
        <v>1298</v>
      </c>
      <c r="C2929" t="s">
        <v>674</v>
      </c>
      <c r="D2929" t="s">
        <v>1346</v>
      </c>
      <c r="E2929" t="s">
        <v>187</v>
      </c>
      <c r="F2929">
        <v>2010</v>
      </c>
      <c r="G2929">
        <v>15.47978</v>
      </c>
    </row>
    <row r="2930" spans="1:7">
      <c r="A2930" t="s">
        <v>1297</v>
      </c>
      <c r="B2930" t="s">
        <v>1298</v>
      </c>
      <c r="C2930" t="s">
        <v>674</v>
      </c>
      <c r="D2930" t="s">
        <v>1346</v>
      </c>
      <c r="E2930" t="s">
        <v>187</v>
      </c>
      <c r="F2930">
        <v>2012</v>
      </c>
      <c r="G2930">
        <v>16.836220000000001</v>
      </c>
    </row>
    <row r="2931" spans="1:7">
      <c r="A2931" t="s">
        <v>1297</v>
      </c>
      <c r="B2931" t="s">
        <v>1298</v>
      </c>
      <c r="C2931" t="s">
        <v>674</v>
      </c>
      <c r="D2931" t="s">
        <v>1346</v>
      </c>
      <c r="E2931" t="s">
        <v>187</v>
      </c>
      <c r="F2931">
        <v>2016</v>
      </c>
      <c r="G2931">
        <v>15.586</v>
      </c>
    </row>
    <row r="2932" spans="1:7">
      <c r="A2932" t="s">
        <v>1297</v>
      </c>
      <c r="B2932" t="s">
        <v>1298</v>
      </c>
      <c r="C2932" t="s">
        <v>674</v>
      </c>
      <c r="D2932" t="s">
        <v>1346</v>
      </c>
      <c r="E2932" t="s">
        <v>187</v>
      </c>
      <c r="F2932">
        <v>2020</v>
      </c>
      <c r="G2932">
        <v>14.4481</v>
      </c>
    </row>
    <row r="2933" spans="1:7">
      <c r="A2933" t="s">
        <v>1297</v>
      </c>
      <c r="B2933" t="s">
        <v>1298</v>
      </c>
      <c r="C2933" t="s">
        <v>673</v>
      </c>
      <c r="D2933" t="s">
        <v>1346</v>
      </c>
      <c r="E2933" t="s">
        <v>187</v>
      </c>
      <c r="F2933">
        <v>2005</v>
      </c>
      <c r="G2933">
        <v>23.854807000000001</v>
      </c>
    </row>
    <row r="2934" spans="1:7">
      <c r="A2934" t="s">
        <v>1297</v>
      </c>
      <c r="B2934" t="s">
        <v>1298</v>
      </c>
      <c r="C2934" t="s">
        <v>673</v>
      </c>
      <c r="D2934" t="s">
        <v>1346</v>
      </c>
      <c r="E2934" t="s">
        <v>187</v>
      </c>
      <c r="F2934">
        <v>2010</v>
      </c>
      <c r="G2934">
        <v>21.949584999999999</v>
      </c>
    </row>
    <row r="2935" spans="1:7">
      <c r="A2935" t="s">
        <v>1297</v>
      </c>
      <c r="B2935" t="s">
        <v>1298</v>
      </c>
      <c r="C2935" t="s">
        <v>673</v>
      </c>
      <c r="D2935" t="s">
        <v>1346</v>
      </c>
      <c r="E2935" t="s">
        <v>187</v>
      </c>
      <c r="F2935">
        <v>2012</v>
      </c>
      <c r="G2935">
        <v>30.894224000000001</v>
      </c>
    </row>
    <row r="2936" spans="1:7">
      <c r="A2936" t="s">
        <v>1297</v>
      </c>
      <c r="B2936" t="s">
        <v>1298</v>
      </c>
      <c r="C2936" t="s">
        <v>673</v>
      </c>
      <c r="D2936" t="s">
        <v>1346</v>
      </c>
      <c r="E2936" t="s">
        <v>187</v>
      </c>
      <c r="F2936">
        <v>2016</v>
      </c>
      <c r="G2936">
        <v>28.132681000000002</v>
      </c>
    </row>
    <row r="2937" spans="1:7">
      <c r="A2937" t="s">
        <v>1297</v>
      </c>
      <c r="B2937" t="s">
        <v>1298</v>
      </c>
      <c r="C2937" t="s">
        <v>673</v>
      </c>
      <c r="D2937" t="s">
        <v>1346</v>
      </c>
      <c r="E2937" t="s">
        <v>187</v>
      </c>
      <c r="F2937">
        <v>2020</v>
      </c>
      <c r="G2937">
        <v>25.901060999999999</v>
      </c>
    </row>
    <row r="2938" spans="1:7">
      <c r="A2938" t="s">
        <v>1297</v>
      </c>
      <c r="B2938" t="s">
        <v>1298</v>
      </c>
      <c r="C2938" t="s">
        <v>661</v>
      </c>
      <c r="D2938" t="s">
        <v>1346</v>
      </c>
      <c r="E2938" t="s">
        <v>187</v>
      </c>
      <c r="F2938">
        <v>2005</v>
      </c>
      <c r="G2938">
        <v>66.23</v>
      </c>
    </row>
    <row r="2939" spans="1:7">
      <c r="A2939" t="s">
        <v>1297</v>
      </c>
      <c r="B2939" t="s">
        <v>1298</v>
      </c>
      <c r="C2939" t="s">
        <v>661</v>
      </c>
      <c r="D2939" t="s">
        <v>1346</v>
      </c>
      <c r="E2939" t="s">
        <v>187</v>
      </c>
      <c r="F2939">
        <v>2010</v>
      </c>
      <c r="G2939">
        <v>56.875999999999998</v>
      </c>
    </row>
    <row r="2940" spans="1:7">
      <c r="A2940" t="s">
        <v>1297</v>
      </c>
      <c r="B2940" t="s">
        <v>1298</v>
      </c>
      <c r="C2940" t="s">
        <v>661</v>
      </c>
      <c r="D2940" t="s">
        <v>1346</v>
      </c>
      <c r="E2940" t="s">
        <v>187</v>
      </c>
      <c r="F2940">
        <v>2012</v>
      </c>
      <c r="G2940">
        <v>52.629519999999999</v>
      </c>
    </row>
    <row r="2941" spans="1:7">
      <c r="A2941" t="s">
        <v>1297</v>
      </c>
      <c r="B2941" t="s">
        <v>1298</v>
      </c>
      <c r="C2941" t="s">
        <v>661</v>
      </c>
      <c r="D2941" t="s">
        <v>1346</v>
      </c>
      <c r="E2941" t="s">
        <v>187</v>
      </c>
      <c r="F2941">
        <v>2016</v>
      </c>
      <c r="G2941">
        <v>42.277861999999999</v>
      </c>
    </row>
    <row r="2942" spans="1:7">
      <c r="A2942" t="s">
        <v>1297</v>
      </c>
      <c r="B2942" t="s">
        <v>1298</v>
      </c>
      <c r="C2942" t="s">
        <v>661</v>
      </c>
      <c r="D2942" t="s">
        <v>1346</v>
      </c>
      <c r="E2942" t="s">
        <v>187</v>
      </c>
      <c r="F2942">
        <v>2020</v>
      </c>
      <c r="G2942">
        <v>38.007617000000003</v>
      </c>
    </row>
    <row r="2943" spans="1:7">
      <c r="A2943" t="s">
        <v>1297</v>
      </c>
      <c r="B2943" t="s">
        <v>1298</v>
      </c>
      <c r="C2943" t="s">
        <v>1299</v>
      </c>
      <c r="D2943" t="s">
        <v>1346</v>
      </c>
      <c r="E2943" t="s">
        <v>187</v>
      </c>
      <c r="F2943">
        <v>2005</v>
      </c>
      <c r="G2943">
        <v>245.04144199999999</v>
      </c>
    </row>
    <row r="2944" spans="1:7">
      <c r="A2944" t="s">
        <v>1297</v>
      </c>
      <c r="B2944" t="s">
        <v>1298</v>
      </c>
      <c r="C2944" t="s">
        <v>1299</v>
      </c>
      <c r="D2944" t="s">
        <v>1346</v>
      </c>
      <c r="E2944" t="s">
        <v>187</v>
      </c>
      <c r="F2944">
        <v>2010</v>
      </c>
      <c r="G2944">
        <v>148.41680700000001</v>
      </c>
    </row>
    <row r="2945" spans="1:7">
      <c r="A2945" t="s">
        <v>1297</v>
      </c>
      <c r="B2945" t="s">
        <v>1298</v>
      </c>
      <c r="C2945" t="s">
        <v>1299</v>
      </c>
      <c r="D2945" t="s">
        <v>1346</v>
      </c>
      <c r="E2945" t="s">
        <v>187</v>
      </c>
      <c r="F2945">
        <v>2012</v>
      </c>
      <c r="G2945">
        <v>178.88332399999999</v>
      </c>
    </row>
    <row r="2946" spans="1:7">
      <c r="A2946" t="s">
        <v>1297</v>
      </c>
      <c r="B2946" t="s">
        <v>1298</v>
      </c>
      <c r="C2946" t="s">
        <v>1299</v>
      </c>
      <c r="D2946" t="s">
        <v>1346</v>
      </c>
      <c r="E2946" t="s">
        <v>187</v>
      </c>
      <c r="F2946">
        <v>2016</v>
      </c>
      <c r="G2946">
        <v>129.50934599999999</v>
      </c>
    </row>
    <row r="2947" spans="1:7">
      <c r="A2947" t="s">
        <v>1297</v>
      </c>
      <c r="B2947" t="s">
        <v>1298</v>
      </c>
      <c r="C2947" t="s">
        <v>1299</v>
      </c>
      <c r="D2947" t="s">
        <v>1346</v>
      </c>
      <c r="E2947" t="s">
        <v>187</v>
      </c>
      <c r="F2947">
        <v>2020</v>
      </c>
      <c r="G2947">
        <v>139.92262299999999</v>
      </c>
    </row>
    <row r="2948" spans="1:7">
      <c r="A2948" t="s">
        <v>1297</v>
      </c>
      <c r="B2948" t="s">
        <v>1298</v>
      </c>
      <c r="C2948" t="s">
        <v>657</v>
      </c>
      <c r="D2948" t="s">
        <v>1346</v>
      </c>
      <c r="E2948" t="s">
        <v>187</v>
      </c>
      <c r="F2948">
        <v>2005</v>
      </c>
      <c r="G2948">
        <v>8.9726999999999997</v>
      </c>
    </row>
    <row r="2949" spans="1:7">
      <c r="A2949" t="s">
        <v>1297</v>
      </c>
      <c r="B2949" t="s">
        <v>1298</v>
      </c>
      <c r="C2949" t="s">
        <v>657</v>
      </c>
      <c r="D2949" t="s">
        <v>1346</v>
      </c>
      <c r="E2949" t="s">
        <v>187</v>
      </c>
      <c r="F2949">
        <v>2010</v>
      </c>
      <c r="G2949">
        <v>4.4180799999999998</v>
      </c>
    </row>
    <row r="2950" spans="1:7">
      <c r="A2950" t="s">
        <v>1297</v>
      </c>
      <c r="B2950" t="s">
        <v>1298</v>
      </c>
      <c r="C2950" t="s">
        <v>657</v>
      </c>
      <c r="D2950" t="s">
        <v>1346</v>
      </c>
      <c r="E2950" t="s">
        <v>187</v>
      </c>
      <c r="F2950">
        <v>2012</v>
      </c>
      <c r="G2950">
        <v>3.64405</v>
      </c>
    </row>
    <row r="2951" spans="1:7">
      <c r="A2951" t="s">
        <v>1297</v>
      </c>
      <c r="B2951" t="s">
        <v>1298</v>
      </c>
      <c r="C2951" t="s">
        <v>657</v>
      </c>
      <c r="D2951" t="s">
        <v>1346</v>
      </c>
      <c r="E2951" t="s">
        <v>187</v>
      </c>
      <c r="F2951">
        <v>2016</v>
      </c>
      <c r="G2951">
        <v>4.4820859999999998</v>
      </c>
    </row>
    <row r="2952" spans="1:7">
      <c r="A2952" t="s">
        <v>1297</v>
      </c>
      <c r="B2952" t="s">
        <v>1298</v>
      </c>
      <c r="C2952" t="s">
        <v>657</v>
      </c>
      <c r="D2952" t="s">
        <v>1346</v>
      </c>
      <c r="E2952" t="s">
        <v>187</v>
      </c>
      <c r="F2952">
        <v>2020</v>
      </c>
      <c r="G2952">
        <v>4.3300039999999997</v>
      </c>
    </row>
    <row r="2953" spans="1:7">
      <c r="A2953" t="s">
        <v>1297</v>
      </c>
      <c r="B2953" t="s">
        <v>1298</v>
      </c>
      <c r="C2953" t="s">
        <v>681</v>
      </c>
      <c r="D2953" t="s">
        <v>1346</v>
      </c>
      <c r="E2953" t="s">
        <v>187</v>
      </c>
      <c r="F2953">
        <v>2010</v>
      </c>
      <c r="G2953">
        <v>4.5447379999999997</v>
      </c>
    </row>
    <row r="2954" spans="1:7">
      <c r="A2954" t="s">
        <v>1297</v>
      </c>
      <c r="B2954" t="s">
        <v>1298</v>
      </c>
      <c r="C2954" t="s">
        <v>674</v>
      </c>
      <c r="D2954" t="s">
        <v>1347</v>
      </c>
      <c r="E2954" t="s">
        <v>187</v>
      </c>
      <c r="F2954">
        <v>2005</v>
      </c>
      <c r="G2954">
        <v>0.67391999999999996</v>
      </c>
    </row>
    <row r="2955" spans="1:7">
      <c r="A2955" t="s">
        <v>1297</v>
      </c>
      <c r="B2955" t="s">
        <v>1298</v>
      </c>
      <c r="C2955" t="s">
        <v>674</v>
      </c>
      <c r="D2955" t="s">
        <v>1347</v>
      </c>
      <c r="E2955" t="s">
        <v>187</v>
      </c>
      <c r="F2955">
        <v>2010</v>
      </c>
      <c r="G2955">
        <v>0.64583999999999997</v>
      </c>
    </row>
    <row r="2956" spans="1:7">
      <c r="A2956" t="s">
        <v>1297</v>
      </c>
      <c r="B2956" t="s">
        <v>1298</v>
      </c>
      <c r="C2956" t="s">
        <v>674</v>
      </c>
      <c r="D2956" t="s">
        <v>1347</v>
      </c>
      <c r="E2956" t="s">
        <v>187</v>
      </c>
      <c r="F2956">
        <v>2012</v>
      </c>
      <c r="G2956">
        <v>0.53351999999999999</v>
      </c>
    </row>
    <row r="2957" spans="1:7">
      <c r="A2957" t="s">
        <v>1297</v>
      </c>
      <c r="B2957" t="s">
        <v>1298</v>
      </c>
      <c r="C2957" t="s">
        <v>674</v>
      </c>
      <c r="D2957" t="s">
        <v>1347</v>
      </c>
      <c r="E2957" t="s">
        <v>187</v>
      </c>
      <c r="F2957">
        <v>2016</v>
      </c>
      <c r="G2957">
        <v>0.58967999999999998</v>
      </c>
    </row>
    <row r="2958" spans="1:7">
      <c r="A2958" t="s">
        <v>1297</v>
      </c>
      <c r="B2958" t="s">
        <v>1298</v>
      </c>
      <c r="C2958" t="s">
        <v>674</v>
      </c>
      <c r="D2958" t="s">
        <v>1347</v>
      </c>
      <c r="E2958" t="s">
        <v>187</v>
      </c>
      <c r="F2958">
        <v>2020</v>
      </c>
      <c r="G2958">
        <v>0.58967999999999998</v>
      </c>
    </row>
    <row r="2959" spans="1:7">
      <c r="A2959" t="s">
        <v>1297</v>
      </c>
      <c r="B2959" t="s">
        <v>1298</v>
      </c>
      <c r="C2959" t="s">
        <v>1299</v>
      </c>
      <c r="D2959" t="s">
        <v>1347</v>
      </c>
      <c r="E2959" t="s">
        <v>187</v>
      </c>
      <c r="F2959">
        <v>2005</v>
      </c>
      <c r="G2959">
        <v>52.983212999999999</v>
      </c>
    </row>
    <row r="2960" spans="1:7">
      <c r="A2960" t="s">
        <v>1297</v>
      </c>
      <c r="B2960" t="s">
        <v>1298</v>
      </c>
      <c r="C2960" t="s">
        <v>1299</v>
      </c>
      <c r="D2960" t="s">
        <v>1347</v>
      </c>
      <c r="E2960" t="s">
        <v>187</v>
      </c>
      <c r="F2960">
        <v>2010</v>
      </c>
      <c r="G2960">
        <v>20.024450000000002</v>
      </c>
    </row>
    <row r="2961" spans="1:7">
      <c r="A2961" t="s">
        <v>1297</v>
      </c>
      <c r="B2961" t="s">
        <v>1298</v>
      </c>
      <c r="C2961" t="s">
        <v>1299</v>
      </c>
      <c r="D2961" t="s">
        <v>1347</v>
      </c>
      <c r="E2961" t="s">
        <v>187</v>
      </c>
      <c r="F2961">
        <v>2012</v>
      </c>
      <c r="G2961">
        <v>16.121524000000001</v>
      </c>
    </row>
    <row r="2962" spans="1:7">
      <c r="A2962" t="s">
        <v>1297</v>
      </c>
      <c r="B2962" t="s">
        <v>1298</v>
      </c>
      <c r="C2962" t="s">
        <v>1299</v>
      </c>
      <c r="D2962" t="s">
        <v>1347</v>
      </c>
      <c r="E2962" t="s">
        <v>187</v>
      </c>
      <c r="F2962">
        <v>2016</v>
      </c>
      <c r="G2962">
        <v>20.143322999999999</v>
      </c>
    </row>
    <row r="2963" spans="1:7">
      <c r="A2963" t="s">
        <v>1297</v>
      </c>
      <c r="B2963" t="s">
        <v>1298</v>
      </c>
      <c r="C2963" t="s">
        <v>1299</v>
      </c>
      <c r="D2963" t="s">
        <v>1347</v>
      </c>
      <c r="E2963" t="s">
        <v>187</v>
      </c>
      <c r="F2963">
        <v>2020</v>
      </c>
      <c r="G2963">
        <v>21.188092999999999</v>
      </c>
    </row>
    <row r="2964" spans="1:7">
      <c r="A2964" t="s">
        <v>1297</v>
      </c>
      <c r="B2964" t="s">
        <v>1298</v>
      </c>
      <c r="C2964" t="s">
        <v>653</v>
      </c>
      <c r="D2964" t="s">
        <v>1347</v>
      </c>
      <c r="E2964" t="s">
        <v>187</v>
      </c>
      <c r="F2964">
        <v>2010</v>
      </c>
      <c r="G2964">
        <v>2.3665080000000001</v>
      </c>
    </row>
    <row r="2965" spans="1:7">
      <c r="A2965" t="s">
        <v>1297</v>
      </c>
      <c r="B2965" t="s">
        <v>1298</v>
      </c>
      <c r="C2965" t="s">
        <v>653</v>
      </c>
      <c r="D2965" t="s">
        <v>1347</v>
      </c>
      <c r="E2965" t="s">
        <v>187</v>
      </c>
      <c r="F2965">
        <v>2012</v>
      </c>
      <c r="G2965">
        <v>2.1867779999999999</v>
      </c>
    </row>
    <row r="2966" spans="1:7">
      <c r="A2966" t="s">
        <v>1297</v>
      </c>
      <c r="B2966" t="s">
        <v>1298</v>
      </c>
      <c r="C2966" t="s">
        <v>653</v>
      </c>
      <c r="D2966" t="s">
        <v>1347</v>
      </c>
      <c r="E2966" t="s">
        <v>187</v>
      </c>
      <c r="F2966">
        <v>2016</v>
      </c>
      <c r="G2966">
        <v>2.3975279999999999</v>
      </c>
    </row>
    <row r="2967" spans="1:7">
      <c r="A2967" t="s">
        <v>1297</v>
      </c>
      <c r="B2967" t="s">
        <v>1298</v>
      </c>
      <c r="C2967" t="s">
        <v>653</v>
      </c>
      <c r="D2967" t="s">
        <v>1347</v>
      </c>
      <c r="E2967" t="s">
        <v>187</v>
      </c>
      <c r="F2967">
        <v>2020</v>
      </c>
      <c r="G2967">
        <v>2.0213619999999999</v>
      </c>
    </row>
    <row r="2968" spans="1:7">
      <c r="A2968" t="s">
        <v>1297</v>
      </c>
      <c r="B2968" t="s">
        <v>1298</v>
      </c>
      <c r="C2968" t="s">
        <v>682</v>
      </c>
      <c r="D2968" t="s">
        <v>1347</v>
      </c>
      <c r="E2968" t="s">
        <v>187</v>
      </c>
      <c r="F2968">
        <v>2020</v>
      </c>
      <c r="G2968">
        <v>0.629548</v>
      </c>
    </row>
    <row r="2969" spans="1:7">
      <c r="A2969" t="s">
        <v>1297</v>
      </c>
      <c r="B2969" t="s">
        <v>1298</v>
      </c>
      <c r="C2969" t="s">
        <v>651</v>
      </c>
      <c r="D2969" t="s">
        <v>1347</v>
      </c>
      <c r="E2969" t="s">
        <v>187</v>
      </c>
      <c r="F2969">
        <v>2005</v>
      </c>
      <c r="G2969">
        <v>0.60061200000000003</v>
      </c>
    </row>
    <row r="2970" spans="1:7">
      <c r="A2970" t="s">
        <v>1297</v>
      </c>
      <c r="B2970" t="s">
        <v>1298</v>
      </c>
      <c r="C2970" t="s">
        <v>651</v>
      </c>
      <c r="D2970" t="s">
        <v>1347</v>
      </c>
      <c r="E2970" t="s">
        <v>187</v>
      </c>
      <c r="F2970">
        <v>2010</v>
      </c>
      <c r="G2970">
        <v>0.66900000000000004</v>
      </c>
    </row>
    <row r="2971" spans="1:7">
      <c r="A2971" t="s">
        <v>1297</v>
      </c>
      <c r="B2971" t="s">
        <v>1298</v>
      </c>
      <c r="C2971" t="s">
        <v>651</v>
      </c>
      <c r="D2971" t="s">
        <v>1347</v>
      </c>
      <c r="E2971" t="s">
        <v>187</v>
      </c>
      <c r="F2971">
        <v>2012</v>
      </c>
      <c r="G2971">
        <v>1.1690449999999999</v>
      </c>
    </row>
    <row r="2972" spans="1:7">
      <c r="A2972" t="s">
        <v>1297</v>
      </c>
      <c r="B2972" t="s">
        <v>1298</v>
      </c>
      <c r="C2972" t="s">
        <v>651</v>
      </c>
      <c r="D2972" t="s">
        <v>1347</v>
      </c>
      <c r="E2972" t="s">
        <v>187</v>
      </c>
      <c r="F2972">
        <v>2016</v>
      </c>
      <c r="G2972">
        <v>0.65240799999999999</v>
      </c>
    </row>
    <row r="2973" spans="1:7">
      <c r="A2973" t="s">
        <v>1297</v>
      </c>
      <c r="B2973" t="s">
        <v>1298</v>
      </c>
      <c r="C2973" t="s">
        <v>651</v>
      </c>
      <c r="D2973" t="s">
        <v>1347</v>
      </c>
      <c r="E2973" t="s">
        <v>187</v>
      </c>
      <c r="F2973">
        <v>2020</v>
      </c>
      <c r="G2973">
        <v>1.6751119999999999</v>
      </c>
    </row>
    <row r="2974" spans="1:7">
      <c r="A2974" t="s">
        <v>1297</v>
      </c>
      <c r="B2974" t="s">
        <v>1298</v>
      </c>
      <c r="C2974" t="s">
        <v>675</v>
      </c>
      <c r="D2974" t="s">
        <v>1347</v>
      </c>
      <c r="E2974" t="s">
        <v>187</v>
      </c>
      <c r="F2974">
        <v>2005</v>
      </c>
      <c r="G2974">
        <v>1.0698270000000001</v>
      </c>
    </row>
    <row r="2975" spans="1:7">
      <c r="A2975" t="s">
        <v>1297</v>
      </c>
      <c r="B2975" t="s">
        <v>1298</v>
      </c>
      <c r="C2975" t="s">
        <v>675</v>
      </c>
      <c r="D2975" t="s">
        <v>1347</v>
      </c>
      <c r="E2975" t="s">
        <v>187</v>
      </c>
      <c r="F2975">
        <v>2010</v>
      </c>
      <c r="G2975">
        <v>0.208369</v>
      </c>
    </row>
    <row r="2976" spans="1:7">
      <c r="A2976" t="s">
        <v>1297</v>
      </c>
      <c r="B2976" t="s">
        <v>1298</v>
      </c>
      <c r="C2976" t="s">
        <v>675</v>
      </c>
      <c r="D2976" t="s">
        <v>1347</v>
      </c>
      <c r="E2976" t="s">
        <v>187</v>
      </c>
      <c r="F2976">
        <v>2012</v>
      </c>
      <c r="G2976">
        <v>0.178146</v>
      </c>
    </row>
    <row r="2977" spans="1:7">
      <c r="A2977" t="s">
        <v>1297</v>
      </c>
      <c r="B2977" t="s">
        <v>1298</v>
      </c>
      <c r="C2977" t="s">
        <v>675</v>
      </c>
      <c r="D2977" t="s">
        <v>1347</v>
      </c>
      <c r="E2977" t="s">
        <v>187</v>
      </c>
      <c r="F2977">
        <v>2016</v>
      </c>
      <c r="G2977">
        <v>0.25894899999999998</v>
      </c>
    </row>
    <row r="2978" spans="1:7">
      <c r="A2978" t="s">
        <v>1297</v>
      </c>
      <c r="B2978" t="s">
        <v>1298</v>
      </c>
      <c r="C2978" t="s">
        <v>675</v>
      </c>
      <c r="D2978" t="s">
        <v>1347</v>
      </c>
      <c r="E2978" t="s">
        <v>187</v>
      </c>
      <c r="F2978">
        <v>2020</v>
      </c>
      <c r="G2978">
        <v>0.27933400000000003</v>
      </c>
    </row>
    <row r="2979" spans="1:7">
      <c r="A2979" t="s">
        <v>1297</v>
      </c>
      <c r="B2979" t="s">
        <v>1298</v>
      </c>
      <c r="C2979" t="s">
        <v>679</v>
      </c>
      <c r="D2979" t="s">
        <v>1347</v>
      </c>
      <c r="E2979" t="s">
        <v>187</v>
      </c>
      <c r="F2979">
        <v>2012</v>
      </c>
      <c r="G2979">
        <v>2.1918000000000002</v>
      </c>
    </row>
    <row r="2980" spans="1:7">
      <c r="A2980" t="s">
        <v>1297</v>
      </c>
      <c r="B2980" t="s">
        <v>1298</v>
      </c>
      <c r="C2980" t="s">
        <v>679</v>
      </c>
      <c r="D2980" t="s">
        <v>1347</v>
      </c>
      <c r="E2980" t="s">
        <v>187</v>
      </c>
      <c r="F2980">
        <v>2016</v>
      </c>
      <c r="G2980">
        <v>2.1637</v>
      </c>
    </row>
    <row r="2981" spans="1:7">
      <c r="A2981" t="s">
        <v>1297</v>
      </c>
      <c r="B2981" t="s">
        <v>1298</v>
      </c>
      <c r="C2981" t="s">
        <v>679</v>
      </c>
      <c r="D2981" t="s">
        <v>1347</v>
      </c>
      <c r="E2981" t="s">
        <v>187</v>
      </c>
      <c r="F2981">
        <v>2020</v>
      </c>
      <c r="G2981">
        <v>2.2398509999999998</v>
      </c>
    </row>
    <row r="2982" spans="1:7">
      <c r="A2982" t="s">
        <v>1297</v>
      </c>
      <c r="B2982" t="s">
        <v>1298</v>
      </c>
      <c r="C2982" t="s">
        <v>676</v>
      </c>
      <c r="D2982" t="s">
        <v>1347</v>
      </c>
      <c r="E2982" t="s">
        <v>187</v>
      </c>
      <c r="F2982">
        <v>2005</v>
      </c>
      <c r="G2982">
        <v>1.5301439999999999</v>
      </c>
    </row>
    <row r="2983" spans="1:7">
      <c r="A2983" t="s">
        <v>1297</v>
      </c>
      <c r="B2983" t="s">
        <v>1298</v>
      </c>
      <c r="C2983" t="s">
        <v>676</v>
      </c>
      <c r="D2983" t="s">
        <v>1347</v>
      </c>
      <c r="E2983" t="s">
        <v>187</v>
      </c>
      <c r="F2983">
        <v>2010</v>
      </c>
      <c r="G2983">
        <v>2.1223359999999998</v>
      </c>
    </row>
    <row r="2984" spans="1:7">
      <c r="A2984" t="s">
        <v>1297</v>
      </c>
      <c r="B2984" t="s">
        <v>1298</v>
      </c>
      <c r="C2984" t="s">
        <v>676</v>
      </c>
      <c r="D2984" t="s">
        <v>1347</v>
      </c>
      <c r="E2984" t="s">
        <v>187</v>
      </c>
      <c r="F2984">
        <v>2012</v>
      </c>
      <c r="G2984">
        <v>2.3357230000000002</v>
      </c>
    </row>
    <row r="2985" spans="1:7">
      <c r="A2985" t="s">
        <v>1297</v>
      </c>
      <c r="B2985" t="s">
        <v>1298</v>
      </c>
      <c r="C2985" t="s">
        <v>676</v>
      </c>
      <c r="D2985" t="s">
        <v>1347</v>
      </c>
      <c r="E2985" t="s">
        <v>187</v>
      </c>
      <c r="F2985">
        <v>2016</v>
      </c>
      <c r="G2985">
        <v>2.032527</v>
      </c>
    </row>
    <row r="2986" spans="1:7">
      <c r="A2986" t="s">
        <v>1297</v>
      </c>
      <c r="B2986" t="s">
        <v>1298</v>
      </c>
      <c r="C2986" t="s">
        <v>676</v>
      </c>
      <c r="D2986" t="s">
        <v>1347</v>
      </c>
      <c r="E2986" t="s">
        <v>187</v>
      </c>
      <c r="F2986">
        <v>2020</v>
      </c>
      <c r="G2986">
        <v>2.0600209999999999</v>
      </c>
    </row>
    <row r="2987" spans="1:7">
      <c r="A2987" t="s">
        <v>1297</v>
      </c>
      <c r="B2987" t="s">
        <v>1298</v>
      </c>
      <c r="C2987" t="s">
        <v>680</v>
      </c>
      <c r="D2987" t="s">
        <v>1347</v>
      </c>
      <c r="E2987" t="s">
        <v>187</v>
      </c>
      <c r="F2987">
        <v>2016</v>
      </c>
      <c r="G2987">
        <v>4.1237539999999999</v>
      </c>
    </row>
    <row r="2988" spans="1:7">
      <c r="A2988" t="s">
        <v>1297</v>
      </c>
      <c r="B2988" t="s">
        <v>1298</v>
      </c>
      <c r="C2988" t="s">
        <v>680</v>
      </c>
      <c r="D2988" t="s">
        <v>1347</v>
      </c>
      <c r="E2988" t="s">
        <v>187</v>
      </c>
      <c r="F2988">
        <v>2020</v>
      </c>
      <c r="G2988">
        <v>4.5380409999999998</v>
      </c>
    </row>
    <row r="2989" spans="1:7">
      <c r="A2989" t="s">
        <v>1297</v>
      </c>
      <c r="B2989" t="s">
        <v>1298</v>
      </c>
      <c r="C2989" t="s">
        <v>656</v>
      </c>
      <c r="D2989" t="s">
        <v>1347</v>
      </c>
      <c r="E2989" t="s">
        <v>187</v>
      </c>
      <c r="F2989">
        <v>2005</v>
      </c>
      <c r="G2989">
        <v>10.16666</v>
      </c>
    </row>
    <row r="2990" spans="1:7">
      <c r="A2990" t="s">
        <v>1297</v>
      </c>
      <c r="B2990" t="s">
        <v>1298</v>
      </c>
      <c r="C2990" t="s">
        <v>656</v>
      </c>
      <c r="D2990" t="s">
        <v>1347</v>
      </c>
      <c r="E2990" t="s">
        <v>187</v>
      </c>
      <c r="F2990">
        <v>2010</v>
      </c>
      <c r="G2990">
        <v>14.836503</v>
      </c>
    </row>
    <row r="2991" spans="1:7">
      <c r="A2991" t="s">
        <v>1297</v>
      </c>
      <c r="B2991" t="s">
        <v>1298</v>
      </c>
      <c r="C2991" t="s">
        <v>656</v>
      </c>
      <c r="D2991" t="s">
        <v>1347</v>
      </c>
      <c r="E2991" t="s">
        <v>187</v>
      </c>
      <c r="F2991">
        <v>2012</v>
      </c>
      <c r="G2991">
        <v>14.398040999999999</v>
      </c>
    </row>
    <row r="2992" spans="1:7">
      <c r="A2992" t="s">
        <v>1297</v>
      </c>
      <c r="B2992" t="s">
        <v>1298</v>
      </c>
      <c r="C2992" t="s">
        <v>656</v>
      </c>
      <c r="D2992" t="s">
        <v>1347</v>
      </c>
      <c r="E2992" t="s">
        <v>187</v>
      </c>
      <c r="F2992">
        <v>2016</v>
      </c>
      <c r="G2992">
        <v>15.527844</v>
      </c>
    </row>
    <row r="2993" spans="1:7">
      <c r="A2993" t="s">
        <v>1297</v>
      </c>
      <c r="B2993" t="s">
        <v>1298</v>
      </c>
      <c r="C2993" t="s">
        <v>656</v>
      </c>
      <c r="D2993" t="s">
        <v>1347</v>
      </c>
      <c r="E2993" t="s">
        <v>187</v>
      </c>
      <c r="F2993">
        <v>2020</v>
      </c>
      <c r="G2993">
        <v>16.036491999999999</v>
      </c>
    </row>
    <row r="2994" spans="1:7">
      <c r="A2994" t="s">
        <v>1297</v>
      </c>
      <c r="B2994" t="s">
        <v>1298</v>
      </c>
      <c r="C2994" t="s">
        <v>679</v>
      </c>
      <c r="D2994" t="s">
        <v>1347</v>
      </c>
      <c r="E2994" t="s">
        <v>187</v>
      </c>
      <c r="F2994">
        <v>2005</v>
      </c>
      <c r="G2994">
        <v>2.3603999999999998</v>
      </c>
    </row>
    <row r="2995" spans="1:7">
      <c r="A2995" t="s">
        <v>1297</v>
      </c>
      <c r="B2995" t="s">
        <v>1298</v>
      </c>
      <c r="C2995" t="s">
        <v>679</v>
      </c>
      <c r="D2995" t="s">
        <v>1347</v>
      </c>
      <c r="E2995" t="s">
        <v>187</v>
      </c>
      <c r="F2995">
        <v>2010</v>
      </c>
      <c r="G2995">
        <v>2.0794000000000001</v>
      </c>
    </row>
    <row r="2996" spans="1:7">
      <c r="A2996" t="s">
        <v>1297</v>
      </c>
      <c r="B2996" t="s">
        <v>1298</v>
      </c>
      <c r="C2996" t="s">
        <v>686</v>
      </c>
      <c r="D2996" t="s">
        <v>1347</v>
      </c>
      <c r="E2996" t="s">
        <v>187</v>
      </c>
      <c r="F2996">
        <v>2010</v>
      </c>
      <c r="G2996">
        <v>0.97113899999999997</v>
      </c>
    </row>
    <row r="2997" spans="1:7">
      <c r="A2997" t="s">
        <v>1297</v>
      </c>
      <c r="B2997" t="s">
        <v>1298</v>
      </c>
      <c r="C2997" t="s">
        <v>686</v>
      </c>
      <c r="D2997" t="s">
        <v>1347</v>
      </c>
      <c r="E2997" t="s">
        <v>187</v>
      </c>
      <c r="F2997">
        <v>2012</v>
      </c>
      <c r="G2997">
        <v>1.1531549999999999</v>
      </c>
    </row>
    <row r="2998" spans="1:7">
      <c r="A2998" t="s">
        <v>1297</v>
      </c>
      <c r="B2998" t="s">
        <v>1298</v>
      </c>
      <c r="C2998" t="s">
        <v>686</v>
      </c>
      <c r="D2998" t="s">
        <v>1347</v>
      </c>
      <c r="E2998" t="s">
        <v>187</v>
      </c>
      <c r="F2998">
        <v>2016</v>
      </c>
      <c r="G2998">
        <v>0.11990000000000001</v>
      </c>
    </row>
    <row r="2999" spans="1:7">
      <c r="A2999" t="s">
        <v>1297</v>
      </c>
      <c r="B2999" t="s">
        <v>1298</v>
      </c>
      <c r="C2999" t="s">
        <v>686</v>
      </c>
      <c r="D2999" t="s">
        <v>1347</v>
      </c>
      <c r="E2999" t="s">
        <v>187</v>
      </c>
      <c r="F2999">
        <v>2020</v>
      </c>
      <c r="G2999">
        <v>0.15972500000000001</v>
      </c>
    </row>
    <row r="3000" spans="1:7">
      <c r="A3000" t="s">
        <v>1297</v>
      </c>
      <c r="B3000" t="s">
        <v>1298</v>
      </c>
      <c r="C3000" t="s">
        <v>670</v>
      </c>
      <c r="D3000" t="s">
        <v>1347</v>
      </c>
      <c r="E3000" t="s">
        <v>187</v>
      </c>
      <c r="F3000">
        <v>2005</v>
      </c>
      <c r="G3000">
        <v>6.1772130000000001</v>
      </c>
    </row>
    <row r="3001" spans="1:7">
      <c r="A3001" t="s">
        <v>1297</v>
      </c>
      <c r="B3001" t="s">
        <v>1298</v>
      </c>
      <c r="C3001" t="s">
        <v>670</v>
      </c>
      <c r="D3001" t="s">
        <v>1347</v>
      </c>
      <c r="E3001" t="s">
        <v>187</v>
      </c>
      <c r="F3001">
        <v>2010</v>
      </c>
      <c r="G3001">
        <v>5.5517130000000003</v>
      </c>
    </row>
    <row r="3002" spans="1:7">
      <c r="A3002" t="s">
        <v>1297</v>
      </c>
      <c r="B3002" t="s">
        <v>1298</v>
      </c>
      <c r="C3002" t="s">
        <v>670</v>
      </c>
      <c r="D3002" t="s">
        <v>1347</v>
      </c>
      <c r="E3002" t="s">
        <v>187</v>
      </c>
      <c r="F3002">
        <v>2012</v>
      </c>
      <c r="G3002">
        <v>5.4660419999999998</v>
      </c>
    </row>
    <row r="3003" spans="1:7">
      <c r="A3003" t="s">
        <v>1297</v>
      </c>
      <c r="B3003" t="s">
        <v>1298</v>
      </c>
      <c r="C3003" t="s">
        <v>670</v>
      </c>
      <c r="D3003" t="s">
        <v>1347</v>
      </c>
      <c r="E3003" t="s">
        <v>187</v>
      </c>
      <c r="F3003">
        <v>2016</v>
      </c>
      <c r="G3003">
        <v>2.3835099999999998</v>
      </c>
    </row>
    <row r="3004" spans="1:7">
      <c r="A3004" t="s">
        <v>1297</v>
      </c>
      <c r="B3004" t="s">
        <v>1298</v>
      </c>
      <c r="C3004" t="s">
        <v>670</v>
      </c>
      <c r="D3004" t="s">
        <v>1347</v>
      </c>
      <c r="E3004" t="s">
        <v>187</v>
      </c>
      <c r="F3004">
        <v>2020</v>
      </c>
      <c r="G3004">
        <v>2.4447830000000002</v>
      </c>
    </row>
    <row r="3005" spans="1:7">
      <c r="A3005" t="s">
        <v>1297</v>
      </c>
      <c r="B3005" t="s">
        <v>1298</v>
      </c>
      <c r="C3005" t="s">
        <v>663</v>
      </c>
      <c r="D3005" t="s">
        <v>1347</v>
      </c>
      <c r="E3005" t="s">
        <v>187</v>
      </c>
      <c r="F3005">
        <v>2016</v>
      </c>
      <c r="G3005">
        <v>0.49399999999999999</v>
      </c>
    </row>
    <row r="3006" spans="1:7">
      <c r="A3006" t="s">
        <v>1297</v>
      </c>
      <c r="B3006" t="s">
        <v>1298</v>
      </c>
      <c r="C3006" t="s">
        <v>663</v>
      </c>
      <c r="D3006" t="s">
        <v>1347</v>
      </c>
      <c r="E3006" t="s">
        <v>187</v>
      </c>
      <c r="F3006">
        <v>2020</v>
      </c>
      <c r="G3006">
        <v>0.45600000000000002</v>
      </c>
    </row>
    <row r="3007" spans="1:7">
      <c r="A3007" t="s">
        <v>1297</v>
      </c>
      <c r="B3007" t="s">
        <v>1298</v>
      </c>
      <c r="C3007" t="s">
        <v>671</v>
      </c>
      <c r="D3007" t="s">
        <v>1347</v>
      </c>
      <c r="E3007" t="s">
        <v>187</v>
      </c>
      <c r="F3007">
        <v>2005</v>
      </c>
      <c r="G3007">
        <v>7.5663580000000001</v>
      </c>
    </row>
    <row r="3008" spans="1:7">
      <c r="A3008" t="s">
        <v>1297</v>
      </c>
      <c r="B3008" t="s">
        <v>1298</v>
      </c>
      <c r="C3008" t="s">
        <v>671</v>
      </c>
      <c r="D3008" t="s">
        <v>1347</v>
      </c>
      <c r="E3008" t="s">
        <v>187</v>
      </c>
      <c r="F3008">
        <v>2010</v>
      </c>
      <c r="G3008">
        <v>3.5464639999999998</v>
      </c>
    </row>
    <row r="3009" spans="1:7">
      <c r="A3009" t="s">
        <v>1297</v>
      </c>
      <c r="B3009" t="s">
        <v>1298</v>
      </c>
      <c r="C3009" t="s">
        <v>671</v>
      </c>
      <c r="D3009" t="s">
        <v>1347</v>
      </c>
      <c r="E3009" t="s">
        <v>187</v>
      </c>
      <c r="F3009">
        <v>2012</v>
      </c>
      <c r="G3009">
        <v>3.5811519999999999</v>
      </c>
    </row>
    <row r="3010" spans="1:7">
      <c r="A3010" t="s">
        <v>1297</v>
      </c>
      <c r="B3010" t="s">
        <v>1298</v>
      </c>
      <c r="C3010" t="s">
        <v>671</v>
      </c>
      <c r="D3010" t="s">
        <v>1347</v>
      </c>
      <c r="E3010" t="s">
        <v>187</v>
      </c>
      <c r="F3010">
        <v>2016</v>
      </c>
      <c r="G3010">
        <v>4.0001499999999997</v>
      </c>
    </row>
    <row r="3011" spans="1:7">
      <c r="A3011" t="s">
        <v>1297</v>
      </c>
      <c r="B3011" t="s">
        <v>1298</v>
      </c>
      <c r="C3011" t="s">
        <v>671</v>
      </c>
      <c r="D3011" t="s">
        <v>1347</v>
      </c>
      <c r="E3011" t="s">
        <v>187</v>
      </c>
      <c r="F3011">
        <v>2020</v>
      </c>
      <c r="G3011">
        <v>0.97920300000000005</v>
      </c>
    </row>
    <row r="3012" spans="1:7">
      <c r="A3012" t="s">
        <v>1297</v>
      </c>
      <c r="B3012" t="s">
        <v>1298</v>
      </c>
      <c r="C3012" t="s">
        <v>652</v>
      </c>
      <c r="D3012" t="s">
        <v>1347</v>
      </c>
      <c r="E3012" t="s">
        <v>187</v>
      </c>
      <c r="F3012">
        <v>2005</v>
      </c>
      <c r="G3012">
        <v>7.0041320000000002</v>
      </c>
    </row>
    <row r="3013" spans="1:7">
      <c r="A3013" t="s">
        <v>1297</v>
      </c>
      <c r="B3013" t="s">
        <v>1298</v>
      </c>
      <c r="C3013" t="s">
        <v>652</v>
      </c>
      <c r="D3013" t="s">
        <v>1347</v>
      </c>
      <c r="E3013" t="s">
        <v>187</v>
      </c>
      <c r="F3013">
        <v>2010</v>
      </c>
      <c r="G3013">
        <v>7.1542599999999998</v>
      </c>
    </row>
    <row r="3014" spans="1:7">
      <c r="A3014" t="s">
        <v>1297</v>
      </c>
      <c r="B3014" t="s">
        <v>1298</v>
      </c>
      <c r="C3014" t="s">
        <v>652</v>
      </c>
      <c r="D3014" t="s">
        <v>1347</v>
      </c>
      <c r="E3014" t="s">
        <v>187</v>
      </c>
      <c r="F3014">
        <v>2012</v>
      </c>
      <c r="G3014">
        <v>6.9283359999999998</v>
      </c>
    </row>
    <row r="3015" spans="1:7">
      <c r="A3015" t="s">
        <v>1297</v>
      </c>
      <c r="B3015" t="s">
        <v>1298</v>
      </c>
      <c r="C3015" t="s">
        <v>652</v>
      </c>
      <c r="D3015" t="s">
        <v>1347</v>
      </c>
      <c r="E3015" t="s">
        <v>187</v>
      </c>
      <c r="F3015">
        <v>2016</v>
      </c>
      <c r="G3015">
        <v>10.637255</v>
      </c>
    </row>
    <row r="3016" spans="1:7">
      <c r="A3016" t="s">
        <v>1297</v>
      </c>
      <c r="B3016" t="s">
        <v>1298</v>
      </c>
      <c r="C3016" t="s">
        <v>652</v>
      </c>
      <c r="D3016" t="s">
        <v>1347</v>
      </c>
      <c r="E3016" t="s">
        <v>187</v>
      </c>
      <c r="F3016">
        <v>2020</v>
      </c>
      <c r="G3016">
        <v>10.810463</v>
      </c>
    </row>
    <row r="3017" spans="1:7">
      <c r="A3017" t="s">
        <v>1297</v>
      </c>
      <c r="B3017" t="s">
        <v>1298</v>
      </c>
      <c r="C3017" t="s">
        <v>665</v>
      </c>
      <c r="D3017" t="s">
        <v>1347</v>
      </c>
      <c r="E3017" t="s">
        <v>187</v>
      </c>
      <c r="F3017">
        <v>2005</v>
      </c>
      <c r="G3017">
        <v>6.8474640000000004</v>
      </c>
    </row>
    <row r="3018" spans="1:7">
      <c r="A3018" t="s">
        <v>1297</v>
      </c>
      <c r="B3018" t="s">
        <v>1298</v>
      </c>
      <c r="C3018" t="s">
        <v>665</v>
      </c>
      <c r="D3018" t="s">
        <v>1347</v>
      </c>
      <c r="E3018" t="s">
        <v>187</v>
      </c>
      <c r="F3018">
        <v>2010</v>
      </c>
      <c r="G3018">
        <v>5.4531840000000003</v>
      </c>
    </row>
    <row r="3019" spans="1:7">
      <c r="A3019" t="s">
        <v>1297</v>
      </c>
      <c r="B3019" t="s">
        <v>1298</v>
      </c>
      <c r="C3019" t="s">
        <v>665</v>
      </c>
      <c r="D3019" t="s">
        <v>1347</v>
      </c>
      <c r="E3019" t="s">
        <v>187</v>
      </c>
      <c r="F3019">
        <v>2012</v>
      </c>
      <c r="G3019">
        <v>5.8869600000000002</v>
      </c>
    </row>
    <row r="3020" spans="1:7">
      <c r="A3020" t="s">
        <v>1297</v>
      </c>
      <c r="B3020" t="s">
        <v>1298</v>
      </c>
      <c r="C3020" t="s">
        <v>665</v>
      </c>
      <c r="D3020" t="s">
        <v>1347</v>
      </c>
      <c r="E3020" t="s">
        <v>187</v>
      </c>
      <c r="F3020">
        <v>2016</v>
      </c>
      <c r="G3020">
        <v>2.7265920000000001</v>
      </c>
    </row>
    <row r="3021" spans="1:7">
      <c r="A3021" t="s">
        <v>1297</v>
      </c>
      <c r="B3021" t="s">
        <v>1298</v>
      </c>
      <c r="C3021" t="s">
        <v>665</v>
      </c>
      <c r="D3021" t="s">
        <v>1347</v>
      </c>
      <c r="E3021" t="s">
        <v>187</v>
      </c>
      <c r="F3021">
        <v>2020</v>
      </c>
      <c r="G3021">
        <v>1.730925</v>
      </c>
    </row>
    <row r="3022" spans="1:7">
      <c r="A3022" t="s">
        <v>1297</v>
      </c>
      <c r="B3022" t="s">
        <v>1298</v>
      </c>
      <c r="C3022" t="s">
        <v>659</v>
      </c>
      <c r="D3022" t="s">
        <v>1347</v>
      </c>
      <c r="E3022" t="s">
        <v>187</v>
      </c>
      <c r="F3022">
        <v>2016</v>
      </c>
      <c r="G3022">
        <v>1.68</v>
      </c>
    </row>
    <row r="3023" spans="1:7">
      <c r="A3023" t="s">
        <v>1297</v>
      </c>
      <c r="B3023" t="s">
        <v>1298</v>
      </c>
      <c r="C3023" t="s">
        <v>659</v>
      </c>
      <c r="D3023" t="s">
        <v>1347</v>
      </c>
      <c r="E3023" t="s">
        <v>187</v>
      </c>
      <c r="F3023">
        <v>2020</v>
      </c>
      <c r="G3023">
        <v>1.4737199999999999</v>
      </c>
    </row>
    <row r="3024" spans="1:7">
      <c r="A3024" t="s">
        <v>1297</v>
      </c>
      <c r="B3024" t="s">
        <v>1298</v>
      </c>
      <c r="C3024" t="s">
        <v>673</v>
      </c>
      <c r="D3024" t="s">
        <v>1347</v>
      </c>
      <c r="E3024" t="s">
        <v>187</v>
      </c>
      <c r="F3024">
        <v>2016</v>
      </c>
      <c r="G3024">
        <v>2.6359E-2</v>
      </c>
    </row>
    <row r="3025" spans="1:7">
      <c r="A3025" t="s">
        <v>1297</v>
      </c>
      <c r="B3025" t="s">
        <v>1298</v>
      </c>
      <c r="C3025" t="s">
        <v>673</v>
      </c>
      <c r="D3025" t="s">
        <v>1347</v>
      </c>
      <c r="E3025" t="s">
        <v>187</v>
      </c>
      <c r="F3025">
        <v>2020</v>
      </c>
      <c r="G3025">
        <v>1.4952E-2</v>
      </c>
    </row>
    <row r="3026" spans="1:7">
      <c r="A3026" t="s">
        <v>1297</v>
      </c>
      <c r="B3026" t="s">
        <v>1298</v>
      </c>
      <c r="C3026" t="s">
        <v>655</v>
      </c>
      <c r="D3026" t="s">
        <v>1347</v>
      </c>
      <c r="E3026" t="s">
        <v>187</v>
      </c>
      <c r="F3026">
        <v>2005</v>
      </c>
      <c r="G3026">
        <v>12.395552</v>
      </c>
    </row>
    <row r="3027" spans="1:7">
      <c r="A3027" t="s">
        <v>1297</v>
      </c>
      <c r="B3027" t="s">
        <v>1298</v>
      </c>
      <c r="C3027" t="s">
        <v>655</v>
      </c>
      <c r="D3027" t="s">
        <v>1347</v>
      </c>
      <c r="E3027" t="s">
        <v>187</v>
      </c>
      <c r="F3027">
        <v>2010</v>
      </c>
      <c r="G3027">
        <v>13.538779999999999</v>
      </c>
    </row>
    <row r="3028" spans="1:7">
      <c r="A3028" t="s">
        <v>1297</v>
      </c>
      <c r="B3028" t="s">
        <v>1298</v>
      </c>
      <c r="C3028" t="s">
        <v>655</v>
      </c>
      <c r="D3028" t="s">
        <v>1347</v>
      </c>
      <c r="E3028" t="s">
        <v>187</v>
      </c>
      <c r="F3028">
        <v>2012</v>
      </c>
      <c r="G3028">
        <v>14.528995999999999</v>
      </c>
    </row>
    <row r="3029" spans="1:7">
      <c r="A3029" t="s">
        <v>1297</v>
      </c>
      <c r="B3029" t="s">
        <v>1298</v>
      </c>
      <c r="C3029" t="s">
        <v>655</v>
      </c>
      <c r="D3029" t="s">
        <v>1347</v>
      </c>
      <c r="E3029" t="s">
        <v>187</v>
      </c>
      <c r="F3029">
        <v>2016</v>
      </c>
      <c r="G3029">
        <v>15.233632999999999</v>
      </c>
    </row>
    <row r="3030" spans="1:7">
      <c r="A3030" t="s">
        <v>1297</v>
      </c>
      <c r="B3030" t="s">
        <v>1298</v>
      </c>
      <c r="C3030" t="s">
        <v>655</v>
      </c>
      <c r="D3030" t="s">
        <v>1347</v>
      </c>
      <c r="E3030" t="s">
        <v>187</v>
      </c>
      <c r="F3030">
        <v>2020</v>
      </c>
      <c r="G3030">
        <v>13.723515000000001</v>
      </c>
    </row>
    <row r="3031" spans="1:7">
      <c r="A3031" t="s">
        <v>1297</v>
      </c>
      <c r="B3031" t="s">
        <v>1298</v>
      </c>
      <c r="C3031" t="s">
        <v>677</v>
      </c>
      <c r="D3031" t="s">
        <v>1347</v>
      </c>
      <c r="E3031" t="s">
        <v>187</v>
      </c>
      <c r="F3031">
        <v>2005</v>
      </c>
      <c r="G3031">
        <v>5.6667389999999997</v>
      </c>
    </row>
    <row r="3032" spans="1:7">
      <c r="A3032" t="s">
        <v>1297</v>
      </c>
      <c r="B3032" t="s">
        <v>1298</v>
      </c>
      <c r="C3032" t="s">
        <v>677</v>
      </c>
      <c r="D3032" t="s">
        <v>1347</v>
      </c>
      <c r="E3032" t="s">
        <v>187</v>
      </c>
      <c r="F3032">
        <v>2010</v>
      </c>
      <c r="G3032">
        <v>5.8108050000000002</v>
      </c>
    </row>
    <row r="3033" spans="1:7">
      <c r="A3033" t="s">
        <v>1297</v>
      </c>
      <c r="B3033" t="s">
        <v>1298</v>
      </c>
      <c r="C3033" t="s">
        <v>677</v>
      </c>
      <c r="D3033" t="s">
        <v>1347</v>
      </c>
      <c r="E3033" t="s">
        <v>187</v>
      </c>
      <c r="F3033">
        <v>2012</v>
      </c>
      <c r="G3033">
        <v>5.2713000000000001</v>
      </c>
    </row>
    <row r="3034" spans="1:7">
      <c r="A3034" t="s">
        <v>1297</v>
      </c>
      <c r="B3034" t="s">
        <v>1298</v>
      </c>
      <c r="C3034" t="s">
        <v>677</v>
      </c>
      <c r="D3034" t="s">
        <v>1347</v>
      </c>
      <c r="E3034" t="s">
        <v>187</v>
      </c>
      <c r="F3034">
        <v>2016</v>
      </c>
      <c r="G3034">
        <v>1.815825</v>
      </c>
    </row>
    <row r="3035" spans="1:7">
      <c r="A3035" t="s">
        <v>1297</v>
      </c>
      <c r="B3035" t="s">
        <v>1298</v>
      </c>
      <c r="C3035" t="s">
        <v>677</v>
      </c>
      <c r="D3035" t="s">
        <v>1347</v>
      </c>
      <c r="E3035" t="s">
        <v>187</v>
      </c>
      <c r="F3035">
        <v>2020</v>
      </c>
      <c r="G3035">
        <v>1.9853529999999999</v>
      </c>
    </row>
    <row r="3036" spans="1:7">
      <c r="A3036" t="s">
        <v>1297</v>
      </c>
      <c r="B3036" t="s">
        <v>1298</v>
      </c>
      <c r="C3036" t="s">
        <v>661</v>
      </c>
      <c r="D3036" t="s">
        <v>1347</v>
      </c>
      <c r="E3036" t="s">
        <v>187</v>
      </c>
      <c r="F3036">
        <v>2005</v>
      </c>
      <c r="G3036">
        <v>3.7519999999999998</v>
      </c>
    </row>
    <row r="3037" spans="1:7">
      <c r="A3037" t="s">
        <v>1297</v>
      </c>
      <c r="B3037" t="s">
        <v>1298</v>
      </c>
      <c r="C3037" t="s">
        <v>661</v>
      </c>
      <c r="D3037" t="s">
        <v>1347</v>
      </c>
      <c r="E3037" t="s">
        <v>187</v>
      </c>
      <c r="F3037">
        <v>2010</v>
      </c>
      <c r="G3037">
        <v>1.9039999999999999</v>
      </c>
    </row>
    <row r="3038" spans="1:7">
      <c r="A3038" t="s">
        <v>1297</v>
      </c>
      <c r="B3038" t="s">
        <v>1298</v>
      </c>
      <c r="C3038" t="s">
        <v>661</v>
      </c>
      <c r="D3038" t="s">
        <v>1347</v>
      </c>
      <c r="E3038" t="s">
        <v>187</v>
      </c>
      <c r="F3038">
        <v>2012</v>
      </c>
      <c r="G3038">
        <v>10.556191999999999</v>
      </c>
    </row>
    <row r="3039" spans="1:7">
      <c r="A3039" t="s">
        <v>1297</v>
      </c>
      <c r="B3039" t="s">
        <v>1298</v>
      </c>
      <c r="C3039" t="s">
        <v>661</v>
      </c>
      <c r="D3039" t="s">
        <v>1347</v>
      </c>
      <c r="E3039" t="s">
        <v>187</v>
      </c>
      <c r="F3039">
        <v>2016</v>
      </c>
      <c r="G3039">
        <v>13.371434000000001</v>
      </c>
    </row>
    <row r="3040" spans="1:7">
      <c r="A3040" t="s">
        <v>1297</v>
      </c>
      <c r="B3040" t="s">
        <v>1298</v>
      </c>
      <c r="C3040" t="s">
        <v>661</v>
      </c>
      <c r="D3040" t="s">
        <v>1347</v>
      </c>
      <c r="E3040" t="s">
        <v>187</v>
      </c>
      <c r="F3040">
        <v>2020</v>
      </c>
      <c r="G3040">
        <v>11.249771000000001</v>
      </c>
    </row>
    <row r="3041" spans="1:7">
      <c r="A3041" t="s">
        <v>1297</v>
      </c>
      <c r="B3041" t="s">
        <v>1298</v>
      </c>
      <c r="C3041" t="s">
        <v>685</v>
      </c>
      <c r="D3041" t="s">
        <v>1348</v>
      </c>
      <c r="E3041" t="s">
        <v>187</v>
      </c>
      <c r="F3041">
        <v>2016</v>
      </c>
      <c r="G3041">
        <v>3.6374999999999998E-2</v>
      </c>
    </row>
    <row r="3042" spans="1:7">
      <c r="A3042" t="s">
        <v>1297</v>
      </c>
      <c r="B3042" t="s">
        <v>1298</v>
      </c>
      <c r="C3042" t="s">
        <v>685</v>
      </c>
      <c r="D3042" t="s">
        <v>1348</v>
      </c>
      <c r="E3042" t="s">
        <v>187</v>
      </c>
      <c r="F3042">
        <v>2020</v>
      </c>
      <c r="G3042">
        <v>2.3428000000000001E-2</v>
      </c>
    </row>
    <row r="3043" spans="1:7">
      <c r="A3043" t="s">
        <v>1297</v>
      </c>
      <c r="B3043" t="s">
        <v>1298</v>
      </c>
      <c r="C3043" t="s">
        <v>661</v>
      </c>
      <c r="D3043" t="s">
        <v>1348</v>
      </c>
      <c r="E3043" t="s">
        <v>187</v>
      </c>
      <c r="F3043">
        <v>2012</v>
      </c>
      <c r="G3043">
        <v>9.0322E-2</v>
      </c>
    </row>
    <row r="3044" spans="1:7">
      <c r="A3044" t="s">
        <v>1297</v>
      </c>
      <c r="B3044" t="s">
        <v>1298</v>
      </c>
      <c r="C3044" t="s">
        <v>661</v>
      </c>
      <c r="D3044" t="s">
        <v>1348</v>
      </c>
      <c r="E3044" t="s">
        <v>187</v>
      </c>
      <c r="F3044">
        <v>2016</v>
      </c>
      <c r="G3044">
        <v>8.4000000000000005E-2</v>
      </c>
    </row>
    <row r="3045" spans="1:7">
      <c r="A3045" t="s">
        <v>1297</v>
      </c>
      <c r="B3045" t="s">
        <v>1298</v>
      </c>
      <c r="C3045" t="s">
        <v>661</v>
      </c>
      <c r="D3045" t="s">
        <v>1348</v>
      </c>
      <c r="E3045" t="s">
        <v>187</v>
      </c>
      <c r="F3045">
        <v>2020</v>
      </c>
      <c r="G3045">
        <v>6.0419E-2</v>
      </c>
    </row>
    <row r="3046" spans="1:7">
      <c r="A3046" t="s">
        <v>1297</v>
      </c>
      <c r="B3046" t="s">
        <v>1298</v>
      </c>
      <c r="C3046" t="s">
        <v>686</v>
      </c>
      <c r="D3046" t="s">
        <v>1348</v>
      </c>
      <c r="E3046" t="s">
        <v>187</v>
      </c>
      <c r="F3046">
        <v>2010</v>
      </c>
      <c r="G3046">
        <v>7.3553999999999994E-2</v>
      </c>
    </row>
    <row r="3047" spans="1:7">
      <c r="A3047" t="s">
        <v>1297</v>
      </c>
      <c r="B3047" t="s">
        <v>1298</v>
      </c>
      <c r="C3047" t="s">
        <v>686</v>
      </c>
      <c r="D3047" t="s">
        <v>1348</v>
      </c>
      <c r="E3047" t="s">
        <v>187</v>
      </c>
      <c r="F3047">
        <v>2012</v>
      </c>
      <c r="G3047">
        <v>1.3101E-2</v>
      </c>
    </row>
    <row r="3048" spans="1:7">
      <c r="A3048" t="s">
        <v>1297</v>
      </c>
      <c r="B3048" t="s">
        <v>1298</v>
      </c>
      <c r="C3048" t="s">
        <v>686</v>
      </c>
      <c r="D3048" t="s">
        <v>1348</v>
      </c>
      <c r="E3048" t="s">
        <v>187</v>
      </c>
      <c r="F3048">
        <v>2020</v>
      </c>
      <c r="G3048">
        <v>1.8619999999999999E-3</v>
      </c>
    </row>
    <row r="3049" spans="1:7">
      <c r="A3049" t="s">
        <v>1297</v>
      </c>
      <c r="B3049" t="s">
        <v>1298</v>
      </c>
      <c r="C3049" t="s">
        <v>658</v>
      </c>
      <c r="D3049" t="s">
        <v>1348</v>
      </c>
      <c r="E3049" t="s">
        <v>187</v>
      </c>
      <c r="F3049">
        <v>2020</v>
      </c>
      <c r="G3049">
        <v>1.247E-2</v>
      </c>
    </row>
    <row r="3050" spans="1:7">
      <c r="A3050" t="s">
        <v>1297</v>
      </c>
      <c r="B3050" t="s">
        <v>1298</v>
      </c>
      <c r="C3050" t="s">
        <v>671</v>
      </c>
      <c r="D3050" t="s">
        <v>1348</v>
      </c>
      <c r="E3050" t="s">
        <v>187</v>
      </c>
      <c r="F3050">
        <v>2005</v>
      </c>
      <c r="G3050">
        <v>38.978687999999998</v>
      </c>
    </row>
    <row r="3051" spans="1:7">
      <c r="A3051" t="s">
        <v>1297</v>
      </c>
      <c r="B3051" t="s">
        <v>1298</v>
      </c>
      <c r="C3051" t="s">
        <v>671</v>
      </c>
      <c r="D3051" t="s">
        <v>1348</v>
      </c>
      <c r="E3051" t="s">
        <v>187</v>
      </c>
      <c r="F3051">
        <v>2010</v>
      </c>
      <c r="G3051">
        <v>49.904971000000003</v>
      </c>
    </row>
    <row r="3052" spans="1:7">
      <c r="A3052" t="s">
        <v>1297</v>
      </c>
      <c r="B3052" t="s">
        <v>1298</v>
      </c>
      <c r="C3052" t="s">
        <v>671</v>
      </c>
      <c r="D3052" t="s">
        <v>1348</v>
      </c>
      <c r="E3052" t="s">
        <v>187</v>
      </c>
      <c r="F3052">
        <v>2012</v>
      </c>
      <c r="G3052">
        <v>45.501725</v>
      </c>
    </row>
    <row r="3053" spans="1:7">
      <c r="A3053" t="s">
        <v>1297</v>
      </c>
      <c r="B3053" t="s">
        <v>1298</v>
      </c>
      <c r="C3053" t="s">
        <v>671</v>
      </c>
      <c r="D3053" t="s">
        <v>1348</v>
      </c>
      <c r="E3053" t="s">
        <v>187</v>
      </c>
      <c r="F3053">
        <v>2016</v>
      </c>
      <c r="G3053">
        <v>40.873202999999997</v>
      </c>
    </row>
    <row r="3054" spans="1:7">
      <c r="A3054" t="s">
        <v>1297</v>
      </c>
      <c r="B3054" t="s">
        <v>1298</v>
      </c>
      <c r="C3054" t="s">
        <v>671</v>
      </c>
      <c r="D3054" t="s">
        <v>1348</v>
      </c>
      <c r="E3054" t="s">
        <v>187</v>
      </c>
      <c r="F3054">
        <v>2020</v>
      </c>
      <c r="G3054">
        <v>30.77561</v>
      </c>
    </row>
    <row r="3055" spans="1:7">
      <c r="A3055" t="s">
        <v>1297</v>
      </c>
      <c r="B3055" t="s">
        <v>1298</v>
      </c>
      <c r="C3055" t="s">
        <v>666</v>
      </c>
      <c r="D3055" t="s">
        <v>1348</v>
      </c>
      <c r="E3055" t="s">
        <v>187</v>
      </c>
      <c r="F3055">
        <v>2005</v>
      </c>
      <c r="G3055">
        <v>4.5409999999999999E-2</v>
      </c>
    </row>
    <row r="3056" spans="1:7">
      <c r="A3056" t="s">
        <v>1297</v>
      </c>
      <c r="B3056" t="s">
        <v>1298</v>
      </c>
      <c r="C3056" t="s">
        <v>666</v>
      </c>
      <c r="D3056" t="s">
        <v>1348</v>
      </c>
      <c r="E3056" t="s">
        <v>187</v>
      </c>
      <c r="F3056">
        <v>2010</v>
      </c>
      <c r="G3056">
        <v>2.2704999999999999E-2</v>
      </c>
    </row>
    <row r="3057" spans="1:7">
      <c r="A3057" t="s">
        <v>1297</v>
      </c>
      <c r="B3057" t="s">
        <v>1298</v>
      </c>
      <c r="C3057" t="s">
        <v>666</v>
      </c>
      <c r="D3057" t="s">
        <v>1348</v>
      </c>
      <c r="E3057" t="s">
        <v>187</v>
      </c>
      <c r="F3057">
        <v>2012</v>
      </c>
      <c r="G3057">
        <v>2.512E-2</v>
      </c>
    </row>
    <row r="3058" spans="1:7">
      <c r="A3058" t="s">
        <v>1297</v>
      </c>
      <c r="B3058" t="s">
        <v>1298</v>
      </c>
      <c r="C3058" t="s">
        <v>666</v>
      </c>
      <c r="D3058" t="s">
        <v>1348</v>
      </c>
      <c r="E3058" t="s">
        <v>187</v>
      </c>
      <c r="F3058">
        <v>2016</v>
      </c>
      <c r="G3058">
        <v>0.10048</v>
      </c>
    </row>
    <row r="3059" spans="1:7">
      <c r="A3059" t="s">
        <v>1297</v>
      </c>
      <c r="B3059" t="s">
        <v>1298</v>
      </c>
      <c r="C3059" t="s">
        <v>666</v>
      </c>
      <c r="D3059" t="s">
        <v>1348</v>
      </c>
      <c r="E3059" t="s">
        <v>187</v>
      </c>
      <c r="F3059">
        <v>2020</v>
      </c>
      <c r="G3059">
        <v>7.2847999999999996E-2</v>
      </c>
    </row>
    <row r="3060" spans="1:7">
      <c r="A3060" t="s">
        <v>1297</v>
      </c>
      <c r="B3060" t="s">
        <v>1298</v>
      </c>
      <c r="C3060" t="s">
        <v>651</v>
      </c>
      <c r="D3060" t="s">
        <v>1348</v>
      </c>
      <c r="E3060" t="s">
        <v>187</v>
      </c>
      <c r="F3060">
        <v>2005</v>
      </c>
      <c r="G3060">
        <v>0.12504599999999999</v>
      </c>
    </row>
    <row r="3061" spans="1:7">
      <c r="A3061" t="s">
        <v>1297</v>
      </c>
      <c r="B3061" t="s">
        <v>1298</v>
      </c>
      <c r="C3061" t="s">
        <v>651</v>
      </c>
      <c r="D3061" t="s">
        <v>1348</v>
      </c>
      <c r="E3061" t="s">
        <v>187</v>
      </c>
      <c r="F3061">
        <v>2010</v>
      </c>
      <c r="G3061">
        <v>5.6106999999999997E-2</v>
      </c>
    </row>
    <row r="3062" spans="1:7">
      <c r="A3062" t="s">
        <v>1297</v>
      </c>
      <c r="B3062" t="s">
        <v>1298</v>
      </c>
      <c r="C3062" t="s">
        <v>651</v>
      </c>
      <c r="D3062" t="s">
        <v>1348</v>
      </c>
      <c r="E3062" t="s">
        <v>187</v>
      </c>
      <c r="F3062">
        <v>2012</v>
      </c>
      <c r="G3062">
        <v>3.8977999999999999E-2</v>
      </c>
    </row>
    <row r="3063" spans="1:7">
      <c r="A3063" t="s">
        <v>1297</v>
      </c>
      <c r="B3063" t="s">
        <v>1298</v>
      </c>
      <c r="C3063" t="s">
        <v>651</v>
      </c>
      <c r="D3063" t="s">
        <v>1348</v>
      </c>
      <c r="E3063" t="s">
        <v>187</v>
      </c>
      <c r="F3063">
        <v>2016</v>
      </c>
      <c r="G3063">
        <v>1.9231999999999999E-2</v>
      </c>
    </row>
    <row r="3064" spans="1:7">
      <c r="A3064" t="s">
        <v>1297</v>
      </c>
      <c r="B3064" t="s">
        <v>1298</v>
      </c>
      <c r="C3064" t="s">
        <v>651</v>
      </c>
      <c r="D3064" t="s">
        <v>1348</v>
      </c>
      <c r="E3064" t="s">
        <v>187</v>
      </c>
      <c r="F3064">
        <v>2020</v>
      </c>
      <c r="G3064">
        <v>1.6962999999999999E-2</v>
      </c>
    </row>
    <row r="3065" spans="1:7">
      <c r="A3065" t="s">
        <v>1297</v>
      </c>
      <c r="B3065" t="s">
        <v>1298</v>
      </c>
      <c r="C3065" t="s">
        <v>682</v>
      </c>
      <c r="D3065" t="s">
        <v>1348</v>
      </c>
      <c r="E3065" t="s">
        <v>187</v>
      </c>
      <c r="F3065">
        <v>2020</v>
      </c>
      <c r="G3065">
        <v>7.4660000000000004E-3</v>
      </c>
    </row>
    <row r="3066" spans="1:7">
      <c r="A3066" t="s">
        <v>1297</v>
      </c>
      <c r="B3066" t="s">
        <v>1298</v>
      </c>
      <c r="C3066" t="s">
        <v>663</v>
      </c>
      <c r="D3066" t="s">
        <v>1348</v>
      </c>
      <c r="E3066" t="s">
        <v>187</v>
      </c>
      <c r="F3066">
        <v>2005</v>
      </c>
      <c r="G3066">
        <v>0.17735500000000001</v>
      </c>
    </row>
    <row r="3067" spans="1:7">
      <c r="A3067" t="s">
        <v>1297</v>
      </c>
      <c r="B3067" t="s">
        <v>1298</v>
      </c>
      <c r="C3067" t="s">
        <v>663</v>
      </c>
      <c r="D3067" t="s">
        <v>1348</v>
      </c>
      <c r="E3067" t="s">
        <v>187</v>
      </c>
      <c r="F3067">
        <v>2010</v>
      </c>
      <c r="G3067">
        <v>1.7229999999999999E-2</v>
      </c>
    </row>
    <row r="3068" spans="1:7">
      <c r="A3068" t="s">
        <v>1297</v>
      </c>
      <c r="B3068" t="s">
        <v>1298</v>
      </c>
      <c r="C3068" t="s">
        <v>663</v>
      </c>
      <c r="D3068" t="s">
        <v>1348</v>
      </c>
      <c r="E3068" t="s">
        <v>187</v>
      </c>
      <c r="F3068">
        <v>2012</v>
      </c>
      <c r="G3068">
        <v>1.7850000000000001E-2</v>
      </c>
    </row>
    <row r="3069" spans="1:7">
      <c r="A3069" t="s">
        <v>1297</v>
      </c>
      <c r="B3069" t="s">
        <v>1298</v>
      </c>
      <c r="C3069" t="s">
        <v>663</v>
      </c>
      <c r="D3069" t="s">
        <v>1348</v>
      </c>
      <c r="E3069" t="s">
        <v>187</v>
      </c>
      <c r="F3069">
        <v>2016</v>
      </c>
      <c r="G3069">
        <v>1.8166000000000002E-2</v>
      </c>
    </row>
    <row r="3070" spans="1:7">
      <c r="A3070" t="s">
        <v>1297</v>
      </c>
      <c r="B3070" t="s">
        <v>1298</v>
      </c>
      <c r="C3070" t="s">
        <v>663</v>
      </c>
      <c r="D3070" t="s">
        <v>1348</v>
      </c>
      <c r="E3070" t="s">
        <v>187</v>
      </c>
      <c r="F3070">
        <v>2020</v>
      </c>
      <c r="G3070">
        <v>6.1269999999999998E-2</v>
      </c>
    </row>
    <row r="3071" spans="1:7">
      <c r="A3071" t="s">
        <v>1297</v>
      </c>
      <c r="B3071" t="s">
        <v>1298</v>
      </c>
      <c r="C3071" t="s">
        <v>685</v>
      </c>
      <c r="D3071" t="s">
        <v>1348</v>
      </c>
      <c r="E3071" t="s">
        <v>187</v>
      </c>
      <c r="F3071">
        <v>2005</v>
      </c>
      <c r="G3071">
        <v>8.3560000000000006E-3</v>
      </c>
    </row>
    <row r="3072" spans="1:7">
      <c r="A3072" t="s">
        <v>1297</v>
      </c>
      <c r="B3072" t="s">
        <v>1298</v>
      </c>
      <c r="C3072" t="s">
        <v>657</v>
      </c>
      <c r="D3072" t="s">
        <v>1348</v>
      </c>
      <c r="E3072" t="s">
        <v>187</v>
      </c>
      <c r="F3072">
        <v>2010</v>
      </c>
      <c r="G3072">
        <v>1.31976</v>
      </c>
    </row>
    <row r="3073" spans="1:7">
      <c r="A3073" t="s">
        <v>1297</v>
      </c>
      <c r="B3073" t="s">
        <v>1298</v>
      </c>
      <c r="C3073" t="s">
        <v>657</v>
      </c>
      <c r="D3073" t="s">
        <v>1348</v>
      </c>
      <c r="E3073" t="s">
        <v>187</v>
      </c>
      <c r="F3073">
        <v>2012</v>
      </c>
      <c r="G3073">
        <v>1.1630400000000001</v>
      </c>
    </row>
    <row r="3074" spans="1:7">
      <c r="A3074" t="s">
        <v>1297</v>
      </c>
      <c r="B3074" t="s">
        <v>1298</v>
      </c>
      <c r="C3074" t="s">
        <v>657</v>
      </c>
      <c r="D3074" t="s">
        <v>1348</v>
      </c>
      <c r="E3074" t="s">
        <v>187</v>
      </c>
      <c r="F3074">
        <v>2016</v>
      </c>
      <c r="G3074">
        <v>0.620058</v>
      </c>
    </row>
    <row r="3075" spans="1:7">
      <c r="A3075" t="s">
        <v>1297</v>
      </c>
      <c r="B3075" t="s">
        <v>1298</v>
      </c>
      <c r="C3075" t="s">
        <v>657</v>
      </c>
      <c r="D3075" t="s">
        <v>1348</v>
      </c>
      <c r="E3075" t="s">
        <v>187</v>
      </c>
      <c r="F3075">
        <v>2020</v>
      </c>
      <c r="G3075">
        <v>0.22057499999999999</v>
      </c>
    </row>
    <row r="3076" spans="1:7">
      <c r="A3076" t="s">
        <v>1297</v>
      </c>
      <c r="B3076" t="s">
        <v>1298</v>
      </c>
      <c r="C3076" t="s">
        <v>662</v>
      </c>
      <c r="D3076" t="s">
        <v>1348</v>
      </c>
      <c r="E3076" t="s">
        <v>187</v>
      </c>
      <c r="F3076">
        <v>2005</v>
      </c>
      <c r="G3076">
        <v>0.104</v>
      </c>
    </row>
    <row r="3077" spans="1:7">
      <c r="A3077" t="s">
        <v>1297</v>
      </c>
      <c r="B3077" t="s">
        <v>1298</v>
      </c>
      <c r="C3077" t="s">
        <v>662</v>
      </c>
      <c r="D3077" t="s">
        <v>1348</v>
      </c>
      <c r="E3077" t="s">
        <v>187</v>
      </c>
      <c r="F3077">
        <v>2016</v>
      </c>
      <c r="G3077">
        <v>2.0383999999999999E-2</v>
      </c>
    </row>
    <row r="3078" spans="1:7">
      <c r="A3078" t="s">
        <v>1297</v>
      </c>
      <c r="B3078" t="s">
        <v>1298</v>
      </c>
      <c r="C3078" t="s">
        <v>662</v>
      </c>
      <c r="D3078" t="s">
        <v>1348</v>
      </c>
      <c r="E3078" t="s">
        <v>187</v>
      </c>
      <c r="F3078">
        <v>2020</v>
      </c>
      <c r="G3078">
        <v>2.5593000000000001E-2</v>
      </c>
    </row>
    <row r="3079" spans="1:7">
      <c r="A3079" t="s">
        <v>1297</v>
      </c>
      <c r="B3079" t="s">
        <v>1298</v>
      </c>
      <c r="C3079" t="s">
        <v>668</v>
      </c>
      <c r="D3079" t="s">
        <v>1348</v>
      </c>
      <c r="E3079" t="s">
        <v>187</v>
      </c>
      <c r="F3079">
        <v>2005</v>
      </c>
      <c r="G3079">
        <v>5.2440000000000001E-2</v>
      </c>
    </row>
    <row r="3080" spans="1:7">
      <c r="A3080" t="s">
        <v>1297</v>
      </c>
      <c r="B3080" t="s">
        <v>1298</v>
      </c>
      <c r="C3080" t="s">
        <v>668</v>
      </c>
      <c r="D3080" t="s">
        <v>1348</v>
      </c>
      <c r="E3080" t="s">
        <v>187</v>
      </c>
      <c r="F3080">
        <v>2010</v>
      </c>
      <c r="G3080">
        <v>2.622E-2</v>
      </c>
    </row>
    <row r="3081" spans="1:7">
      <c r="A3081" t="s">
        <v>1297</v>
      </c>
      <c r="B3081" t="s">
        <v>1298</v>
      </c>
      <c r="C3081" t="s">
        <v>668</v>
      </c>
      <c r="D3081" t="s">
        <v>1348</v>
      </c>
      <c r="E3081" t="s">
        <v>187</v>
      </c>
      <c r="F3081">
        <v>2012</v>
      </c>
      <c r="G3081">
        <v>5.2440000000000001E-2</v>
      </c>
    </row>
    <row r="3082" spans="1:7">
      <c r="A3082" t="s">
        <v>1297</v>
      </c>
      <c r="B3082" t="s">
        <v>1298</v>
      </c>
      <c r="C3082" t="s">
        <v>668</v>
      </c>
      <c r="D3082" t="s">
        <v>1348</v>
      </c>
      <c r="E3082" t="s">
        <v>187</v>
      </c>
      <c r="F3082">
        <v>2020</v>
      </c>
      <c r="G3082">
        <v>3.6499999999999998E-4</v>
      </c>
    </row>
    <row r="3083" spans="1:7">
      <c r="A3083" t="s">
        <v>1297</v>
      </c>
      <c r="B3083" t="s">
        <v>1298</v>
      </c>
      <c r="C3083" t="s">
        <v>673</v>
      </c>
      <c r="D3083" t="s">
        <v>1348</v>
      </c>
      <c r="E3083" t="s">
        <v>187</v>
      </c>
      <c r="F3083">
        <v>2005</v>
      </c>
      <c r="G3083">
        <v>7.7840000000000001E-3</v>
      </c>
    </row>
    <row r="3084" spans="1:7">
      <c r="A3084" t="s">
        <v>1297</v>
      </c>
      <c r="B3084" t="s">
        <v>1298</v>
      </c>
      <c r="C3084" t="s">
        <v>673</v>
      </c>
      <c r="D3084" t="s">
        <v>1348</v>
      </c>
      <c r="E3084" t="s">
        <v>187</v>
      </c>
      <c r="F3084">
        <v>2020</v>
      </c>
      <c r="G3084">
        <v>4.9899999999999999E-4</v>
      </c>
    </row>
    <row r="3085" spans="1:7">
      <c r="A3085" t="s">
        <v>1297</v>
      </c>
      <c r="B3085" t="s">
        <v>1298</v>
      </c>
      <c r="C3085" t="s">
        <v>653</v>
      </c>
      <c r="D3085" t="s">
        <v>1348</v>
      </c>
      <c r="E3085" t="s">
        <v>187</v>
      </c>
      <c r="F3085">
        <v>2005</v>
      </c>
      <c r="G3085">
        <v>0.197024</v>
      </c>
    </row>
    <row r="3086" spans="1:7">
      <c r="A3086" t="s">
        <v>1297</v>
      </c>
      <c r="B3086" t="s">
        <v>1298</v>
      </c>
      <c r="C3086" t="s">
        <v>653</v>
      </c>
      <c r="D3086" t="s">
        <v>1348</v>
      </c>
      <c r="E3086" t="s">
        <v>187</v>
      </c>
      <c r="F3086">
        <v>2010</v>
      </c>
      <c r="G3086">
        <v>0.16686100000000001</v>
      </c>
    </row>
    <row r="3087" spans="1:7">
      <c r="A3087" t="s">
        <v>1297</v>
      </c>
      <c r="B3087" t="s">
        <v>1298</v>
      </c>
      <c r="C3087" t="s">
        <v>653</v>
      </c>
      <c r="D3087" t="s">
        <v>1348</v>
      </c>
      <c r="E3087" t="s">
        <v>187</v>
      </c>
      <c r="F3087">
        <v>2012</v>
      </c>
      <c r="G3087">
        <v>0.18319099999999999</v>
      </c>
    </row>
    <row r="3088" spans="1:7">
      <c r="A3088" t="s">
        <v>1297</v>
      </c>
      <c r="B3088" t="s">
        <v>1298</v>
      </c>
      <c r="C3088" t="s">
        <v>653</v>
      </c>
      <c r="D3088" t="s">
        <v>1348</v>
      </c>
      <c r="E3088" t="s">
        <v>187</v>
      </c>
      <c r="F3088">
        <v>2016</v>
      </c>
      <c r="G3088">
        <v>0.31403500000000001</v>
      </c>
    </row>
    <row r="3089" spans="1:7">
      <c r="A3089" t="s">
        <v>1297</v>
      </c>
      <c r="B3089" t="s">
        <v>1298</v>
      </c>
      <c r="C3089" t="s">
        <v>653</v>
      </c>
      <c r="D3089" t="s">
        <v>1348</v>
      </c>
      <c r="E3089" t="s">
        <v>187</v>
      </c>
      <c r="F3089">
        <v>2020</v>
      </c>
      <c r="G3089">
        <v>0.41885600000000001</v>
      </c>
    </row>
    <row r="3090" spans="1:7">
      <c r="A3090" t="s">
        <v>1297</v>
      </c>
      <c r="B3090" t="s">
        <v>1298</v>
      </c>
      <c r="C3090" t="s">
        <v>1303</v>
      </c>
      <c r="D3090" t="s">
        <v>1348</v>
      </c>
      <c r="E3090" t="s">
        <v>187</v>
      </c>
      <c r="F3090">
        <v>2020</v>
      </c>
      <c r="G3090">
        <v>4.3660000000000001E-3</v>
      </c>
    </row>
    <row r="3091" spans="1:7">
      <c r="A3091" t="s">
        <v>1297</v>
      </c>
      <c r="B3091" t="s">
        <v>1298</v>
      </c>
      <c r="C3091" t="s">
        <v>656</v>
      </c>
      <c r="D3091" t="s">
        <v>1348</v>
      </c>
      <c r="E3091" t="s">
        <v>187</v>
      </c>
      <c r="F3091">
        <v>2005</v>
      </c>
      <c r="G3091">
        <v>0.58262000000000003</v>
      </c>
    </row>
    <row r="3092" spans="1:7">
      <c r="A3092" t="s">
        <v>1297</v>
      </c>
      <c r="B3092" t="s">
        <v>1298</v>
      </c>
      <c r="C3092" t="s">
        <v>660</v>
      </c>
      <c r="D3092" t="s">
        <v>1348</v>
      </c>
      <c r="E3092" t="s">
        <v>187</v>
      </c>
      <c r="F3092">
        <v>2005</v>
      </c>
      <c r="G3092">
        <v>0.15329999999999999</v>
      </c>
    </row>
    <row r="3093" spans="1:7">
      <c r="A3093" t="s">
        <v>1297</v>
      </c>
      <c r="B3093" t="s">
        <v>1298</v>
      </c>
      <c r="C3093" t="s">
        <v>660</v>
      </c>
      <c r="D3093" t="s">
        <v>1348</v>
      </c>
      <c r="E3093" t="s">
        <v>187</v>
      </c>
      <c r="F3093">
        <v>2010</v>
      </c>
      <c r="G3093">
        <v>0.17572099999999999</v>
      </c>
    </row>
    <row r="3094" spans="1:7">
      <c r="A3094" t="s">
        <v>1297</v>
      </c>
      <c r="B3094" t="s">
        <v>1298</v>
      </c>
      <c r="C3094" t="s">
        <v>660</v>
      </c>
      <c r="D3094" t="s">
        <v>1348</v>
      </c>
      <c r="E3094" t="s">
        <v>187</v>
      </c>
      <c r="F3094">
        <v>2012</v>
      </c>
      <c r="G3094">
        <v>0.14799000000000001</v>
      </c>
    </row>
    <row r="3095" spans="1:7">
      <c r="A3095" t="s">
        <v>1297</v>
      </c>
      <c r="B3095" t="s">
        <v>1298</v>
      </c>
      <c r="C3095" t="s">
        <v>660</v>
      </c>
      <c r="D3095" t="s">
        <v>1348</v>
      </c>
      <c r="E3095" t="s">
        <v>187</v>
      </c>
      <c r="F3095">
        <v>2016</v>
      </c>
      <c r="G3095">
        <v>9.9715999999999999E-2</v>
      </c>
    </row>
    <row r="3096" spans="1:7">
      <c r="A3096" t="s">
        <v>1297</v>
      </c>
      <c r="B3096" t="s">
        <v>1298</v>
      </c>
      <c r="C3096" t="s">
        <v>660</v>
      </c>
      <c r="D3096" t="s">
        <v>1348</v>
      </c>
      <c r="E3096" t="s">
        <v>187</v>
      </c>
      <c r="F3096">
        <v>2020</v>
      </c>
      <c r="G3096">
        <v>7.4570999999999998E-2</v>
      </c>
    </row>
    <row r="3097" spans="1:7">
      <c r="A3097" t="s">
        <v>1297</v>
      </c>
      <c r="B3097" t="s">
        <v>1298</v>
      </c>
      <c r="C3097" t="s">
        <v>676</v>
      </c>
      <c r="D3097" t="s">
        <v>1348</v>
      </c>
      <c r="E3097" t="s">
        <v>187</v>
      </c>
      <c r="F3097">
        <v>2005</v>
      </c>
      <c r="G3097">
        <v>7.3793999999999998E-2</v>
      </c>
    </row>
    <row r="3098" spans="1:7">
      <c r="A3098" t="s">
        <v>1297</v>
      </c>
      <c r="B3098" t="s">
        <v>1298</v>
      </c>
      <c r="C3098" t="s">
        <v>676</v>
      </c>
      <c r="D3098" t="s">
        <v>1348</v>
      </c>
      <c r="E3098" t="s">
        <v>187</v>
      </c>
      <c r="F3098">
        <v>2010</v>
      </c>
      <c r="G3098">
        <v>3.3444000000000002E-2</v>
      </c>
    </row>
    <row r="3099" spans="1:7">
      <c r="A3099" t="s">
        <v>1297</v>
      </c>
      <c r="B3099" t="s">
        <v>1298</v>
      </c>
      <c r="C3099" t="s">
        <v>676</v>
      </c>
      <c r="D3099" t="s">
        <v>1348</v>
      </c>
      <c r="E3099" t="s">
        <v>187</v>
      </c>
      <c r="F3099">
        <v>2012</v>
      </c>
      <c r="G3099">
        <v>2.2322000000000002E-2</v>
      </c>
    </row>
    <row r="3100" spans="1:7">
      <c r="A3100" t="s">
        <v>1297</v>
      </c>
      <c r="B3100" t="s">
        <v>1298</v>
      </c>
      <c r="C3100" t="s">
        <v>676</v>
      </c>
      <c r="D3100" t="s">
        <v>1348</v>
      </c>
      <c r="E3100" t="s">
        <v>187</v>
      </c>
      <c r="F3100">
        <v>2016</v>
      </c>
      <c r="G3100">
        <v>1.0718999999999999E-2</v>
      </c>
    </row>
    <row r="3101" spans="1:7">
      <c r="A3101" t="s">
        <v>1297</v>
      </c>
      <c r="B3101" t="s">
        <v>1298</v>
      </c>
      <c r="C3101" t="s">
        <v>676</v>
      </c>
      <c r="D3101" t="s">
        <v>1348</v>
      </c>
      <c r="E3101" t="s">
        <v>187</v>
      </c>
      <c r="F3101">
        <v>2020</v>
      </c>
      <c r="G3101">
        <v>1.1181999999999999E-2</v>
      </c>
    </row>
    <row r="3102" spans="1:7">
      <c r="A3102" t="s">
        <v>1297</v>
      </c>
      <c r="B3102" t="s">
        <v>1298</v>
      </c>
      <c r="C3102" t="s">
        <v>658</v>
      </c>
      <c r="D3102" t="s">
        <v>1348</v>
      </c>
      <c r="E3102" t="s">
        <v>187</v>
      </c>
      <c r="F3102">
        <v>2005</v>
      </c>
      <c r="G3102">
        <v>2.7156E-2</v>
      </c>
    </row>
    <row r="3103" spans="1:7">
      <c r="A3103" t="s">
        <v>1297</v>
      </c>
      <c r="B3103" t="s">
        <v>1298</v>
      </c>
      <c r="C3103" t="s">
        <v>658</v>
      </c>
      <c r="D3103" t="s">
        <v>1348</v>
      </c>
      <c r="E3103" t="s">
        <v>187</v>
      </c>
      <c r="F3103">
        <v>2016</v>
      </c>
      <c r="G3103">
        <v>0.1086</v>
      </c>
    </row>
    <row r="3104" spans="1:7">
      <c r="A3104" t="s">
        <v>1297</v>
      </c>
      <c r="B3104" t="s">
        <v>1298</v>
      </c>
      <c r="C3104" t="s">
        <v>655</v>
      </c>
      <c r="D3104" t="s">
        <v>1348</v>
      </c>
      <c r="E3104" t="s">
        <v>187</v>
      </c>
      <c r="F3104">
        <v>2005</v>
      </c>
      <c r="G3104">
        <v>0.81709500000000002</v>
      </c>
    </row>
    <row r="3105" spans="1:7">
      <c r="A3105" t="s">
        <v>1297</v>
      </c>
      <c r="B3105" t="s">
        <v>1298</v>
      </c>
      <c r="C3105" t="s">
        <v>655</v>
      </c>
      <c r="D3105" t="s">
        <v>1348</v>
      </c>
      <c r="E3105" t="s">
        <v>187</v>
      </c>
      <c r="F3105">
        <v>2010</v>
      </c>
      <c r="G3105">
        <v>0.545964</v>
      </c>
    </row>
    <row r="3106" spans="1:7">
      <c r="A3106" t="s">
        <v>1297</v>
      </c>
      <c r="B3106" t="s">
        <v>1298</v>
      </c>
      <c r="C3106" t="s">
        <v>655</v>
      </c>
      <c r="D3106" t="s">
        <v>1348</v>
      </c>
      <c r="E3106" t="s">
        <v>187</v>
      </c>
      <c r="F3106">
        <v>2012</v>
      </c>
      <c r="G3106">
        <v>0.448963</v>
      </c>
    </row>
    <row r="3107" spans="1:7">
      <c r="A3107" t="s">
        <v>1297</v>
      </c>
      <c r="B3107" t="s">
        <v>1298</v>
      </c>
      <c r="C3107" t="s">
        <v>655</v>
      </c>
      <c r="D3107" t="s">
        <v>1348</v>
      </c>
      <c r="E3107" t="s">
        <v>187</v>
      </c>
      <c r="F3107">
        <v>2016</v>
      </c>
      <c r="G3107">
        <v>0.34359499999999998</v>
      </c>
    </row>
    <row r="3108" spans="1:7">
      <c r="A3108" t="s">
        <v>1297</v>
      </c>
      <c r="B3108" t="s">
        <v>1298</v>
      </c>
      <c r="C3108" t="s">
        <v>655</v>
      </c>
      <c r="D3108" t="s">
        <v>1348</v>
      </c>
      <c r="E3108" t="s">
        <v>187</v>
      </c>
      <c r="F3108">
        <v>2020</v>
      </c>
      <c r="G3108">
        <v>0.243454</v>
      </c>
    </row>
    <row r="3109" spans="1:7">
      <c r="A3109" t="s">
        <v>1297</v>
      </c>
      <c r="B3109" t="s">
        <v>1298</v>
      </c>
      <c r="C3109" t="s">
        <v>677</v>
      </c>
      <c r="D3109" t="s">
        <v>1348</v>
      </c>
      <c r="E3109" t="s">
        <v>187</v>
      </c>
      <c r="F3109">
        <v>2005</v>
      </c>
      <c r="G3109">
        <v>0.27369900000000003</v>
      </c>
    </row>
    <row r="3110" spans="1:7">
      <c r="A3110" t="s">
        <v>1297</v>
      </c>
      <c r="B3110" t="s">
        <v>1298</v>
      </c>
      <c r="C3110" t="s">
        <v>677</v>
      </c>
      <c r="D3110" t="s">
        <v>1348</v>
      </c>
      <c r="E3110" t="s">
        <v>187</v>
      </c>
      <c r="F3110">
        <v>2010</v>
      </c>
      <c r="G3110">
        <v>2.9586999999999999E-2</v>
      </c>
    </row>
    <row r="3111" spans="1:7">
      <c r="A3111" t="s">
        <v>1297</v>
      </c>
      <c r="B3111" t="s">
        <v>1298</v>
      </c>
      <c r="C3111" t="s">
        <v>677</v>
      </c>
      <c r="D3111" t="s">
        <v>1348</v>
      </c>
      <c r="E3111" t="s">
        <v>187</v>
      </c>
      <c r="F3111">
        <v>2012</v>
      </c>
      <c r="G3111">
        <v>2.9793E-2</v>
      </c>
    </row>
    <row r="3112" spans="1:7">
      <c r="A3112" t="s">
        <v>1297</v>
      </c>
      <c r="B3112" t="s">
        <v>1298</v>
      </c>
      <c r="C3112" t="s">
        <v>652</v>
      </c>
      <c r="D3112" t="s">
        <v>1348</v>
      </c>
      <c r="E3112" t="s">
        <v>187</v>
      </c>
      <c r="F3112">
        <v>2005</v>
      </c>
      <c r="G3112">
        <v>0.705152</v>
      </c>
    </row>
    <row r="3113" spans="1:7">
      <c r="A3113" t="s">
        <v>1297</v>
      </c>
      <c r="B3113" t="s">
        <v>1298</v>
      </c>
      <c r="C3113" t="s">
        <v>652</v>
      </c>
      <c r="D3113" t="s">
        <v>1348</v>
      </c>
      <c r="E3113" t="s">
        <v>187</v>
      </c>
      <c r="F3113">
        <v>2010</v>
      </c>
      <c r="G3113">
        <v>0.50368000000000002</v>
      </c>
    </row>
    <row r="3114" spans="1:7">
      <c r="A3114" t="s">
        <v>1297</v>
      </c>
      <c r="B3114" t="s">
        <v>1298</v>
      </c>
      <c r="C3114" t="s">
        <v>652</v>
      </c>
      <c r="D3114" t="s">
        <v>1348</v>
      </c>
      <c r="E3114" t="s">
        <v>187</v>
      </c>
      <c r="F3114">
        <v>2012</v>
      </c>
      <c r="G3114">
        <v>0.26711299999999999</v>
      </c>
    </row>
    <row r="3115" spans="1:7">
      <c r="A3115" t="s">
        <v>1297</v>
      </c>
      <c r="B3115" t="s">
        <v>1298</v>
      </c>
      <c r="C3115" t="s">
        <v>652</v>
      </c>
      <c r="D3115" t="s">
        <v>1348</v>
      </c>
      <c r="E3115" t="s">
        <v>187</v>
      </c>
      <c r="F3115">
        <v>2016</v>
      </c>
      <c r="G3115">
        <v>0.67793400000000004</v>
      </c>
    </row>
    <row r="3116" spans="1:7">
      <c r="A3116" t="s">
        <v>1297</v>
      </c>
      <c r="B3116" t="s">
        <v>1298</v>
      </c>
      <c r="C3116" t="s">
        <v>652</v>
      </c>
      <c r="D3116" t="s">
        <v>1348</v>
      </c>
      <c r="E3116" t="s">
        <v>187</v>
      </c>
      <c r="F3116">
        <v>2020</v>
      </c>
      <c r="G3116">
        <v>0.252525</v>
      </c>
    </row>
    <row r="3117" spans="1:7">
      <c r="A3117" t="s">
        <v>1297</v>
      </c>
      <c r="B3117" t="s">
        <v>1298</v>
      </c>
      <c r="C3117" t="s">
        <v>1299</v>
      </c>
      <c r="D3117" t="s">
        <v>1348</v>
      </c>
      <c r="E3117" t="s">
        <v>187</v>
      </c>
      <c r="F3117">
        <v>2005</v>
      </c>
      <c r="G3117">
        <v>40.368105</v>
      </c>
    </row>
    <row r="3118" spans="1:7">
      <c r="A3118" t="s">
        <v>1297</v>
      </c>
      <c r="B3118" t="s">
        <v>1298</v>
      </c>
      <c r="C3118" t="s">
        <v>1299</v>
      </c>
      <c r="D3118" t="s">
        <v>1348</v>
      </c>
      <c r="E3118" t="s">
        <v>187</v>
      </c>
      <c r="F3118">
        <v>2010</v>
      </c>
      <c r="G3118">
        <v>0.69872000000000001</v>
      </c>
    </row>
    <row r="3119" spans="1:7">
      <c r="A3119" t="s">
        <v>1297</v>
      </c>
      <c r="B3119" t="s">
        <v>1298</v>
      </c>
      <c r="C3119" t="s">
        <v>1299</v>
      </c>
      <c r="D3119" t="s">
        <v>1348</v>
      </c>
      <c r="E3119" t="s">
        <v>187</v>
      </c>
      <c r="F3119">
        <v>2012</v>
      </c>
      <c r="G3119">
        <v>0.56248600000000004</v>
      </c>
    </row>
    <row r="3120" spans="1:7">
      <c r="A3120" t="s">
        <v>1297</v>
      </c>
      <c r="B3120" t="s">
        <v>1298</v>
      </c>
      <c r="C3120" t="s">
        <v>1299</v>
      </c>
      <c r="D3120" t="s">
        <v>1348</v>
      </c>
      <c r="E3120" t="s">
        <v>187</v>
      </c>
      <c r="F3120">
        <v>2016</v>
      </c>
      <c r="G3120">
        <v>0.30054900000000001</v>
      </c>
    </row>
    <row r="3121" spans="1:7">
      <c r="A3121" t="s">
        <v>1297</v>
      </c>
      <c r="B3121" t="s">
        <v>1298</v>
      </c>
      <c r="C3121" t="s">
        <v>1299</v>
      </c>
      <c r="D3121" t="s">
        <v>1348</v>
      </c>
      <c r="E3121" t="s">
        <v>187</v>
      </c>
      <c r="F3121">
        <v>2020</v>
      </c>
      <c r="G3121">
        <v>0.25869300000000001</v>
      </c>
    </row>
    <row r="3122" spans="1:7">
      <c r="A3122" t="s">
        <v>1297</v>
      </c>
      <c r="B3122" t="s">
        <v>1298</v>
      </c>
      <c r="C3122" t="s">
        <v>1300</v>
      </c>
      <c r="D3122" t="s">
        <v>1348</v>
      </c>
      <c r="E3122" t="s">
        <v>187</v>
      </c>
      <c r="F3122">
        <v>2016</v>
      </c>
      <c r="G3122">
        <v>2.477E-2</v>
      </c>
    </row>
    <row r="3123" spans="1:7">
      <c r="A3123" t="s">
        <v>1297</v>
      </c>
      <c r="B3123" t="s">
        <v>1298</v>
      </c>
      <c r="C3123" t="s">
        <v>1300</v>
      </c>
      <c r="D3123" t="s">
        <v>1348</v>
      </c>
      <c r="E3123" t="s">
        <v>187</v>
      </c>
      <c r="F3123">
        <v>2020</v>
      </c>
      <c r="G3123">
        <v>5.4567999999999998E-2</v>
      </c>
    </row>
    <row r="3124" spans="1:7">
      <c r="A3124" t="s">
        <v>1297</v>
      </c>
      <c r="B3124" t="s">
        <v>1298</v>
      </c>
      <c r="C3124" t="s">
        <v>1302</v>
      </c>
      <c r="D3124" t="s">
        <v>1348</v>
      </c>
      <c r="E3124" t="s">
        <v>187</v>
      </c>
      <c r="F3124">
        <v>2005</v>
      </c>
      <c r="G3124">
        <v>0.16384199999999999</v>
      </c>
    </row>
    <row r="3125" spans="1:7">
      <c r="A3125" t="s">
        <v>1297</v>
      </c>
      <c r="B3125" t="s">
        <v>1298</v>
      </c>
      <c r="C3125" t="s">
        <v>1302</v>
      </c>
      <c r="D3125" t="s">
        <v>1348</v>
      </c>
      <c r="E3125" t="s">
        <v>187</v>
      </c>
      <c r="F3125">
        <v>2010</v>
      </c>
      <c r="G3125">
        <v>7.8019999999999999E-3</v>
      </c>
    </row>
    <row r="3126" spans="1:7">
      <c r="A3126" t="s">
        <v>1297</v>
      </c>
      <c r="B3126" t="s">
        <v>1298</v>
      </c>
      <c r="C3126" t="s">
        <v>1302</v>
      </c>
      <c r="D3126" t="s">
        <v>1348</v>
      </c>
      <c r="E3126" t="s">
        <v>187</v>
      </c>
      <c r="F3126">
        <v>2016</v>
      </c>
      <c r="G3126">
        <v>4.6811999999999999E-2</v>
      </c>
    </row>
    <row r="3127" spans="1:7">
      <c r="A3127" t="s">
        <v>1297</v>
      </c>
      <c r="B3127" t="s">
        <v>1298</v>
      </c>
      <c r="C3127" t="s">
        <v>657</v>
      </c>
      <c r="D3127" t="s">
        <v>1348</v>
      </c>
      <c r="E3127" t="s">
        <v>187</v>
      </c>
      <c r="F3127">
        <v>2005</v>
      </c>
      <c r="G3127">
        <v>1.644984</v>
      </c>
    </row>
    <row r="3128" spans="1:7">
      <c r="A3128" t="s">
        <v>1297</v>
      </c>
      <c r="B3128" t="s">
        <v>1298</v>
      </c>
      <c r="C3128" t="s">
        <v>658</v>
      </c>
      <c r="D3128" t="s">
        <v>1349</v>
      </c>
      <c r="E3128" t="s">
        <v>187</v>
      </c>
      <c r="F3128">
        <v>2020</v>
      </c>
      <c r="G3128">
        <v>4.0153000000000001E-2</v>
      </c>
    </row>
    <row r="3129" spans="1:7">
      <c r="A3129" t="s">
        <v>1297</v>
      </c>
      <c r="B3129" t="s">
        <v>1298</v>
      </c>
      <c r="C3129" t="s">
        <v>684</v>
      </c>
      <c r="D3129" t="s">
        <v>1349</v>
      </c>
      <c r="E3129" t="s">
        <v>187</v>
      </c>
      <c r="F3129">
        <v>2005</v>
      </c>
      <c r="G3129">
        <v>0.11051999999999999</v>
      </c>
    </row>
    <row r="3130" spans="1:7">
      <c r="A3130" t="s">
        <v>1297</v>
      </c>
      <c r="B3130" t="s">
        <v>1298</v>
      </c>
      <c r="C3130" t="s">
        <v>684</v>
      </c>
      <c r="D3130" t="s">
        <v>1349</v>
      </c>
      <c r="E3130" t="s">
        <v>187</v>
      </c>
      <c r="F3130">
        <v>2010</v>
      </c>
      <c r="G3130">
        <v>0.12894</v>
      </c>
    </row>
    <row r="3131" spans="1:7">
      <c r="A3131" t="s">
        <v>1297</v>
      </c>
      <c r="B3131" t="s">
        <v>1298</v>
      </c>
      <c r="C3131" t="s">
        <v>684</v>
      </c>
      <c r="D3131" t="s">
        <v>1349</v>
      </c>
      <c r="E3131" t="s">
        <v>187</v>
      </c>
      <c r="F3131">
        <v>2016</v>
      </c>
      <c r="G3131">
        <v>6.6388000000000003E-2</v>
      </c>
    </row>
    <row r="3132" spans="1:7">
      <c r="A3132" t="s">
        <v>1297</v>
      </c>
      <c r="B3132" t="s">
        <v>1298</v>
      </c>
      <c r="C3132" t="s">
        <v>684</v>
      </c>
      <c r="D3132" t="s">
        <v>1349</v>
      </c>
      <c r="E3132" t="s">
        <v>187</v>
      </c>
      <c r="F3132">
        <v>2020</v>
      </c>
      <c r="G3132">
        <v>8.5697999999999996E-2</v>
      </c>
    </row>
    <row r="3133" spans="1:7">
      <c r="A3133" t="s">
        <v>1297</v>
      </c>
      <c r="B3133" t="s">
        <v>1298</v>
      </c>
      <c r="C3133" t="s">
        <v>653</v>
      </c>
      <c r="D3133" t="s">
        <v>1349</v>
      </c>
      <c r="E3133" t="s">
        <v>187</v>
      </c>
      <c r="F3133">
        <v>2005</v>
      </c>
      <c r="G3133">
        <v>0.25194699999999998</v>
      </c>
    </row>
    <row r="3134" spans="1:7">
      <c r="A3134" t="s">
        <v>1297</v>
      </c>
      <c r="B3134" t="s">
        <v>1298</v>
      </c>
      <c r="C3134" t="s">
        <v>653</v>
      </c>
      <c r="D3134" t="s">
        <v>1349</v>
      </c>
      <c r="E3134" t="s">
        <v>187</v>
      </c>
      <c r="F3134">
        <v>2010</v>
      </c>
      <c r="G3134">
        <v>0.17901</v>
      </c>
    </row>
    <row r="3135" spans="1:7">
      <c r="A3135" t="s">
        <v>1297</v>
      </c>
      <c r="B3135" t="s">
        <v>1298</v>
      </c>
      <c r="C3135" t="s">
        <v>653</v>
      </c>
      <c r="D3135" t="s">
        <v>1349</v>
      </c>
      <c r="E3135" t="s">
        <v>187</v>
      </c>
      <c r="F3135">
        <v>2012</v>
      </c>
      <c r="G3135">
        <v>0.15076500000000001</v>
      </c>
    </row>
    <row r="3136" spans="1:7">
      <c r="A3136" t="s">
        <v>1297</v>
      </c>
      <c r="B3136" t="s">
        <v>1298</v>
      </c>
      <c r="C3136" t="s">
        <v>653</v>
      </c>
      <c r="D3136" t="s">
        <v>1349</v>
      </c>
      <c r="E3136" t="s">
        <v>187</v>
      </c>
      <c r="F3136">
        <v>2016</v>
      </c>
      <c r="G3136">
        <v>0.249746</v>
      </c>
    </row>
    <row r="3137" spans="1:7">
      <c r="A3137" t="s">
        <v>1297</v>
      </c>
      <c r="B3137" t="s">
        <v>1298</v>
      </c>
      <c r="C3137" t="s">
        <v>653</v>
      </c>
      <c r="D3137" t="s">
        <v>1349</v>
      </c>
      <c r="E3137" t="s">
        <v>187</v>
      </c>
      <c r="F3137">
        <v>2020</v>
      </c>
      <c r="G3137">
        <v>0.160493</v>
      </c>
    </row>
    <row r="3138" spans="1:7">
      <c r="A3138" t="s">
        <v>1297</v>
      </c>
      <c r="B3138" t="s">
        <v>1298</v>
      </c>
      <c r="C3138" t="s">
        <v>1299</v>
      </c>
      <c r="D3138" t="s">
        <v>1349</v>
      </c>
      <c r="E3138" t="s">
        <v>187</v>
      </c>
      <c r="F3138">
        <v>2010</v>
      </c>
      <c r="G3138">
        <v>7.0090349999999999</v>
      </c>
    </row>
    <row r="3139" spans="1:7">
      <c r="A3139" t="s">
        <v>1297</v>
      </c>
      <c r="B3139" t="s">
        <v>1298</v>
      </c>
      <c r="C3139" t="s">
        <v>1299</v>
      </c>
      <c r="D3139" t="s">
        <v>1349</v>
      </c>
      <c r="E3139" t="s">
        <v>187</v>
      </c>
      <c r="F3139">
        <v>2012</v>
      </c>
      <c r="G3139">
        <v>5.1911880000000004</v>
      </c>
    </row>
    <row r="3140" spans="1:7">
      <c r="A3140" t="s">
        <v>1297</v>
      </c>
      <c r="B3140" t="s">
        <v>1298</v>
      </c>
      <c r="C3140" t="s">
        <v>1299</v>
      </c>
      <c r="D3140" t="s">
        <v>1349</v>
      </c>
      <c r="E3140" t="s">
        <v>187</v>
      </c>
      <c r="F3140">
        <v>2016</v>
      </c>
      <c r="G3140">
        <v>6.1314669999999998</v>
      </c>
    </row>
    <row r="3141" spans="1:7">
      <c r="A3141" t="s">
        <v>1297</v>
      </c>
      <c r="B3141" t="s">
        <v>1298</v>
      </c>
      <c r="C3141" t="s">
        <v>1299</v>
      </c>
      <c r="D3141" t="s">
        <v>1349</v>
      </c>
      <c r="E3141" t="s">
        <v>187</v>
      </c>
      <c r="F3141">
        <v>2020</v>
      </c>
      <c r="G3141">
        <v>18.699818</v>
      </c>
    </row>
    <row r="3142" spans="1:7">
      <c r="A3142" t="s">
        <v>1297</v>
      </c>
      <c r="B3142" t="s">
        <v>1298</v>
      </c>
      <c r="C3142" t="s">
        <v>679</v>
      </c>
      <c r="D3142" t="s">
        <v>1349</v>
      </c>
      <c r="E3142" t="s">
        <v>187</v>
      </c>
      <c r="F3142">
        <v>2020</v>
      </c>
      <c r="G3142">
        <v>3.934E-3</v>
      </c>
    </row>
    <row r="3143" spans="1:7">
      <c r="A3143" t="s">
        <v>1297</v>
      </c>
      <c r="B3143" t="s">
        <v>1298</v>
      </c>
      <c r="C3143" t="s">
        <v>671</v>
      </c>
      <c r="D3143" t="s">
        <v>1349</v>
      </c>
      <c r="E3143" t="s">
        <v>187</v>
      </c>
      <c r="F3143">
        <v>2005</v>
      </c>
      <c r="G3143">
        <v>28.029319000000001</v>
      </c>
    </row>
    <row r="3144" spans="1:7">
      <c r="A3144" t="s">
        <v>1297</v>
      </c>
      <c r="B3144" t="s">
        <v>1298</v>
      </c>
      <c r="C3144" t="s">
        <v>671</v>
      </c>
      <c r="D3144" t="s">
        <v>1349</v>
      </c>
      <c r="E3144" t="s">
        <v>187</v>
      </c>
      <c r="F3144">
        <v>2010</v>
      </c>
      <c r="G3144">
        <v>38.047440000000002</v>
      </c>
    </row>
    <row r="3145" spans="1:7">
      <c r="A3145" t="s">
        <v>1297</v>
      </c>
      <c r="B3145" t="s">
        <v>1298</v>
      </c>
      <c r="C3145" t="s">
        <v>671</v>
      </c>
      <c r="D3145" t="s">
        <v>1349</v>
      </c>
      <c r="E3145" t="s">
        <v>187</v>
      </c>
      <c r="F3145">
        <v>2012</v>
      </c>
      <c r="G3145">
        <v>34.111072</v>
      </c>
    </row>
    <row r="3146" spans="1:7">
      <c r="A3146" t="s">
        <v>1297</v>
      </c>
      <c r="B3146" t="s">
        <v>1298</v>
      </c>
      <c r="C3146" t="s">
        <v>671</v>
      </c>
      <c r="D3146" t="s">
        <v>1349</v>
      </c>
      <c r="E3146" t="s">
        <v>187</v>
      </c>
      <c r="F3146">
        <v>2016</v>
      </c>
      <c r="G3146">
        <v>28.393547999999999</v>
      </c>
    </row>
    <row r="3147" spans="1:7">
      <c r="A3147" t="s">
        <v>1297</v>
      </c>
      <c r="B3147" t="s">
        <v>1298</v>
      </c>
      <c r="C3147" t="s">
        <v>671</v>
      </c>
      <c r="D3147" t="s">
        <v>1349</v>
      </c>
      <c r="E3147" t="s">
        <v>187</v>
      </c>
      <c r="F3147">
        <v>2020</v>
      </c>
      <c r="G3147">
        <v>20.567021</v>
      </c>
    </row>
    <row r="3148" spans="1:7">
      <c r="A3148" t="s">
        <v>1297</v>
      </c>
      <c r="B3148" t="s">
        <v>1298</v>
      </c>
      <c r="C3148" t="s">
        <v>1301</v>
      </c>
      <c r="D3148" t="s">
        <v>1349</v>
      </c>
      <c r="E3148" t="s">
        <v>187</v>
      </c>
      <c r="F3148">
        <v>2005</v>
      </c>
      <c r="G3148">
        <v>8.9050399999999996</v>
      </c>
    </row>
    <row r="3149" spans="1:7">
      <c r="A3149" t="s">
        <v>1297</v>
      </c>
      <c r="B3149" t="s">
        <v>1298</v>
      </c>
      <c r="C3149" t="s">
        <v>1301</v>
      </c>
      <c r="D3149" t="s">
        <v>1349</v>
      </c>
      <c r="E3149" t="s">
        <v>187</v>
      </c>
      <c r="F3149">
        <v>2010</v>
      </c>
      <c r="G3149">
        <v>170.42606000000001</v>
      </c>
    </row>
    <row r="3150" spans="1:7">
      <c r="A3150" t="s">
        <v>1297</v>
      </c>
      <c r="B3150" t="s">
        <v>1298</v>
      </c>
      <c r="C3150" t="s">
        <v>1301</v>
      </c>
      <c r="D3150" t="s">
        <v>1349</v>
      </c>
      <c r="E3150" t="s">
        <v>187</v>
      </c>
      <c r="F3150">
        <v>2012</v>
      </c>
      <c r="G3150">
        <v>184.75610399999999</v>
      </c>
    </row>
    <row r="3151" spans="1:7">
      <c r="A3151" t="s">
        <v>1297</v>
      </c>
      <c r="B3151" t="s">
        <v>1298</v>
      </c>
      <c r="C3151" t="s">
        <v>1301</v>
      </c>
      <c r="D3151" t="s">
        <v>1349</v>
      </c>
      <c r="E3151" t="s">
        <v>187</v>
      </c>
      <c r="F3151">
        <v>2016</v>
      </c>
      <c r="G3151">
        <v>155.0745</v>
      </c>
    </row>
    <row r="3152" spans="1:7">
      <c r="A3152" t="s">
        <v>1297</v>
      </c>
      <c r="B3152" t="s">
        <v>1298</v>
      </c>
      <c r="C3152" t="s">
        <v>1301</v>
      </c>
      <c r="D3152" t="s">
        <v>1349</v>
      </c>
      <c r="E3152" t="s">
        <v>187</v>
      </c>
      <c r="F3152">
        <v>2020</v>
      </c>
      <c r="G3152">
        <v>124.10558</v>
      </c>
    </row>
    <row r="3153" spans="1:7">
      <c r="A3153" t="s">
        <v>1297</v>
      </c>
      <c r="B3153" t="s">
        <v>1298</v>
      </c>
      <c r="C3153" t="s">
        <v>686</v>
      </c>
      <c r="D3153" t="s">
        <v>1349</v>
      </c>
      <c r="E3153" t="s">
        <v>187</v>
      </c>
      <c r="F3153">
        <v>2005</v>
      </c>
      <c r="G3153">
        <v>3.6202359999999998</v>
      </c>
    </row>
    <row r="3154" spans="1:7">
      <c r="A3154" t="s">
        <v>1297</v>
      </c>
      <c r="B3154" t="s">
        <v>1298</v>
      </c>
      <c r="C3154" t="s">
        <v>686</v>
      </c>
      <c r="D3154" t="s">
        <v>1349</v>
      </c>
      <c r="E3154" t="s">
        <v>187</v>
      </c>
      <c r="F3154">
        <v>2010</v>
      </c>
      <c r="G3154">
        <v>8.6415550000000003</v>
      </c>
    </row>
    <row r="3155" spans="1:7">
      <c r="A3155" t="s">
        <v>1297</v>
      </c>
      <c r="B3155" t="s">
        <v>1298</v>
      </c>
      <c r="C3155" t="s">
        <v>686</v>
      </c>
      <c r="D3155" t="s">
        <v>1349</v>
      </c>
      <c r="E3155" t="s">
        <v>187</v>
      </c>
      <c r="F3155">
        <v>2012</v>
      </c>
      <c r="G3155">
        <v>5.1716329999999999</v>
      </c>
    </row>
    <row r="3156" spans="1:7">
      <c r="A3156" t="s">
        <v>1297</v>
      </c>
      <c r="B3156" t="s">
        <v>1298</v>
      </c>
      <c r="C3156" t="s">
        <v>686</v>
      </c>
      <c r="D3156" t="s">
        <v>1349</v>
      </c>
      <c r="E3156" t="s">
        <v>187</v>
      </c>
      <c r="F3156">
        <v>2016</v>
      </c>
      <c r="G3156">
        <v>2.8210060000000001</v>
      </c>
    </row>
    <row r="3157" spans="1:7">
      <c r="A3157" t="s">
        <v>1297</v>
      </c>
      <c r="B3157" t="s">
        <v>1298</v>
      </c>
      <c r="C3157" t="s">
        <v>686</v>
      </c>
      <c r="D3157" t="s">
        <v>1349</v>
      </c>
      <c r="E3157" t="s">
        <v>187</v>
      </c>
      <c r="F3157">
        <v>2020</v>
      </c>
      <c r="G3157">
        <v>1.5301340000000001</v>
      </c>
    </row>
    <row r="3158" spans="1:7">
      <c r="A3158" t="s">
        <v>1297</v>
      </c>
      <c r="B3158" t="s">
        <v>1298</v>
      </c>
      <c r="C3158" t="s">
        <v>1303</v>
      </c>
      <c r="D3158" t="s">
        <v>1349</v>
      </c>
      <c r="E3158" t="s">
        <v>187</v>
      </c>
      <c r="F3158">
        <v>2016</v>
      </c>
      <c r="G3158">
        <v>4.4549999999999999E-2</v>
      </c>
    </row>
    <row r="3159" spans="1:7">
      <c r="A3159" t="s">
        <v>1297</v>
      </c>
      <c r="B3159" t="s">
        <v>1298</v>
      </c>
      <c r="C3159" t="s">
        <v>1303</v>
      </c>
      <c r="D3159" t="s">
        <v>1349</v>
      </c>
      <c r="E3159" t="s">
        <v>187</v>
      </c>
      <c r="F3159">
        <v>2020</v>
      </c>
      <c r="G3159">
        <v>2.5000000000000001E-4</v>
      </c>
    </row>
    <row r="3160" spans="1:7">
      <c r="A3160" t="s">
        <v>1297</v>
      </c>
      <c r="B3160" t="s">
        <v>1298</v>
      </c>
      <c r="C3160" t="s">
        <v>681</v>
      </c>
      <c r="D3160" t="s">
        <v>1349</v>
      </c>
      <c r="E3160" t="s">
        <v>187</v>
      </c>
      <c r="F3160">
        <v>2005</v>
      </c>
      <c r="G3160">
        <v>0.118116</v>
      </c>
    </row>
    <row r="3161" spans="1:7">
      <c r="A3161" t="s">
        <v>1297</v>
      </c>
      <c r="B3161" t="s">
        <v>1298</v>
      </c>
      <c r="C3161" t="s">
        <v>681</v>
      </c>
      <c r="D3161" t="s">
        <v>1349</v>
      </c>
      <c r="E3161" t="s">
        <v>187</v>
      </c>
      <c r="F3161">
        <v>2010</v>
      </c>
      <c r="G3161">
        <v>9.8430000000000004E-2</v>
      </c>
    </row>
    <row r="3162" spans="1:7">
      <c r="A3162" t="s">
        <v>1297</v>
      </c>
      <c r="B3162" t="s">
        <v>1298</v>
      </c>
      <c r="C3162" t="s">
        <v>681</v>
      </c>
      <c r="D3162" t="s">
        <v>1349</v>
      </c>
      <c r="E3162" t="s">
        <v>187</v>
      </c>
      <c r="F3162">
        <v>2012</v>
      </c>
      <c r="G3162">
        <v>3.9371999999999997E-2</v>
      </c>
    </row>
    <row r="3163" spans="1:7">
      <c r="A3163" t="s">
        <v>1297</v>
      </c>
      <c r="B3163" t="s">
        <v>1298</v>
      </c>
      <c r="C3163" t="s">
        <v>681</v>
      </c>
      <c r="D3163" t="s">
        <v>1349</v>
      </c>
      <c r="E3163" t="s">
        <v>187</v>
      </c>
      <c r="F3163">
        <v>2016</v>
      </c>
      <c r="G3163">
        <v>0.150978</v>
      </c>
    </row>
    <row r="3164" spans="1:7">
      <c r="A3164" t="s">
        <v>1297</v>
      </c>
      <c r="B3164" t="s">
        <v>1298</v>
      </c>
      <c r="C3164" t="s">
        <v>681</v>
      </c>
      <c r="D3164" t="s">
        <v>1349</v>
      </c>
      <c r="E3164" t="s">
        <v>187</v>
      </c>
      <c r="F3164">
        <v>2020</v>
      </c>
      <c r="G3164">
        <v>0.17609</v>
      </c>
    </row>
    <row r="3165" spans="1:7">
      <c r="A3165" t="s">
        <v>1297</v>
      </c>
      <c r="B3165" t="s">
        <v>1298</v>
      </c>
      <c r="C3165" t="s">
        <v>664</v>
      </c>
      <c r="D3165" t="s">
        <v>1349</v>
      </c>
      <c r="E3165" t="s">
        <v>187</v>
      </c>
      <c r="F3165">
        <v>2005</v>
      </c>
      <c r="G3165">
        <v>1.1144130000000001</v>
      </c>
    </row>
    <row r="3166" spans="1:7">
      <c r="A3166" t="s">
        <v>1297</v>
      </c>
      <c r="B3166" t="s">
        <v>1298</v>
      </c>
      <c r="C3166" t="s">
        <v>664</v>
      </c>
      <c r="D3166" t="s">
        <v>1349</v>
      </c>
      <c r="E3166" t="s">
        <v>187</v>
      </c>
      <c r="F3166">
        <v>2010</v>
      </c>
      <c r="G3166">
        <v>7.9900000000000006E-3</v>
      </c>
    </row>
    <row r="3167" spans="1:7">
      <c r="A3167" t="s">
        <v>1297</v>
      </c>
      <c r="B3167" t="s">
        <v>1298</v>
      </c>
      <c r="C3167" t="s">
        <v>664</v>
      </c>
      <c r="D3167" t="s">
        <v>1349</v>
      </c>
      <c r="E3167" t="s">
        <v>187</v>
      </c>
      <c r="F3167">
        <v>2012</v>
      </c>
      <c r="G3167">
        <v>1.8038999999999999E-2</v>
      </c>
    </row>
    <row r="3168" spans="1:7">
      <c r="A3168" t="s">
        <v>1297</v>
      </c>
      <c r="B3168" t="s">
        <v>1298</v>
      </c>
      <c r="C3168" t="s">
        <v>664</v>
      </c>
      <c r="D3168" t="s">
        <v>1349</v>
      </c>
      <c r="E3168" t="s">
        <v>187</v>
      </c>
      <c r="F3168">
        <v>2016</v>
      </c>
      <c r="G3168">
        <v>2.7198E-2</v>
      </c>
    </row>
    <row r="3169" spans="1:7">
      <c r="A3169" t="s">
        <v>1297</v>
      </c>
      <c r="B3169" t="s">
        <v>1298</v>
      </c>
      <c r="C3169" t="s">
        <v>664</v>
      </c>
      <c r="D3169" t="s">
        <v>1349</v>
      </c>
      <c r="E3169" t="s">
        <v>187</v>
      </c>
      <c r="F3169">
        <v>2020</v>
      </c>
      <c r="G3169">
        <v>2.2603999999999999E-2</v>
      </c>
    </row>
    <row r="3170" spans="1:7">
      <c r="A3170" t="s">
        <v>1297</v>
      </c>
      <c r="B3170" t="s">
        <v>1298</v>
      </c>
      <c r="C3170" t="s">
        <v>651</v>
      </c>
      <c r="D3170" t="s">
        <v>1349</v>
      </c>
      <c r="E3170" t="s">
        <v>187</v>
      </c>
      <c r="F3170">
        <v>2005</v>
      </c>
      <c r="G3170">
        <v>0.70991599999999999</v>
      </c>
    </row>
    <row r="3171" spans="1:7">
      <c r="A3171" t="s">
        <v>1297</v>
      </c>
      <c r="B3171" t="s">
        <v>1298</v>
      </c>
      <c r="C3171" t="s">
        <v>651</v>
      </c>
      <c r="D3171" t="s">
        <v>1349</v>
      </c>
      <c r="E3171" t="s">
        <v>187</v>
      </c>
      <c r="F3171">
        <v>2010</v>
      </c>
      <c r="G3171">
        <v>0.212336</v>
      </c>
    </row>
    <row r="3172" spans="1:7">
      <c r="A3172" t="s">
        <v>1297</v>
      </c>
      <c r="B3172" t="s">
        <v>1298</v>
      </c>
      <c r="C3172" t="s">
        <v>651</v>
      </c>
      <c r="D3172" t="s">
        <v>1349</v>
      </c>
      <c r="E3172" t="s">
        <v>187</v>
      </c>
      <c r="F3172">
        <v>2012</v>
      </c>
      <c r="G3172">
        <v>2.699E-3</v>
      </c>
    </row>
    <row r="3173" spans="1:7">
      <c r="A3173" t="s">
        <v>1297</v>
      </c>
      <c r="B3173" t="s">
        <v>1298</v>
      </c>
      <c r="C3173" t="s">
        <v>677</v>
      </c>
      <c r="D3173" t="s">
        <v>1349</v>
      </c>
      <c r="E3173" t="s">
        <v>187</v>
      </c>
      <c r="F3173">
        <v>2005</v>
      </c>
      <c r="G3173">
        <v>1.3380840000000001</v>
      </c>
    </row>
    <row r="3174" spans="1:7">
      <c r="A3174" t="s">
        <v>1297</v>
      </c>
      <c r="B3174" t="s">
        <v>1298</v>
      </c>
      <c r="C3174" t="s">
        <v>677</v>
      </c>
      <c r="D3174" t="s">
        <v>1349</v>
      </c>
      <c r="E3174" t="s">
        <v>187</v>
      </c>
      <c r="F3174">
        <v>2010</v>
      </c>
      <c r="G3174">
        <v>0.94678399999999996</v>
      </c>
    </row>
    <row r="3175" spans="1:7">
      <c r="A3175" t="s">
        <v>1297</v>
      </c>
      <c r="B3175" t="s">
        <v>1298</v>
      </c>
      <c r="C3175" t="s">
        <v>677</v>
      </c>
      <c r="D3175" t="s">
        <v>1349</v>
      </c>
      <c r="E3175" t="s">
        <v>187</v>
      </c>
      <c r="F3175">
        <v>2012</v>
      </c>
      <c r="G3175">
        <v>0.50648099999999996</v>
      </c>
    </row>
    <row r="3176" spans="1:7">
      <c r="A3176" t="s">
        <v>1297</v>
      </c>
      <c r="B3176" t="s">
        <v>1298</v>
      </c>
      <c r="C3176" t="s">
        <v>677</v>
      </c>
      <c r="D3176" t="s">
        <v>1349</v>
      </c>
      <c r="E3176" t="s">
        <v>187</v>
      </c>
      <c r="F3176">
        <v>2016</v>
      </c>
      <c r="G3176">
        <v>0.96132300000000004</v>
      </c>
    </row>
    <row r="3177" spans="1:7">
      <c r="A3177" t="s">
        <v>1297</v>
      </c>
      <c r="B3177" t="s">
        <v>1298</v>
      </c>
      <c r="C3177" t="s">
        <v>677</v>
      </c>
      <c r="D3177" t="s">
        <v>1349</v>
      </c>
      <c r="E3177" t="s">
        <v>187</v>
      </c>
      <c r="F3177">
        <v>2020</v>
      </c>
      <c r="G3177">
        <v>0.65556000000000003</v>
      </c>
    </row>
    <row r="3178" spans="1:7">
      <c r="A3178" t="s">
        <v>1297</v>
      </c>
      <c r="B3178" t="s">
        <v>1298</v>
      </c>
      <c r="C3178" t="s">
        <v>658</v>
      </c>
      <c r="D3178" t="s">
        <v>1349</v>
      </c>
      <c r="E3178" t="s">
        <v>187</v>
      </c>
      <c r="F3178">
        <v>2005</v>
      </c>
      <c r="G3178">
        <v>0.27156000000000002</v>
      </c>
    </row>
    <row r="3179" spans="1:7">
      <c r="A3179" t="s">
        <v>1297</v>
      </c>
      <c r="B3179" t="s">
        <v>1298</v>
      </c>
      <c r="C3179" t="s">
        <v>658</v>
      </c>
      <c r="D3179" t="s">
        <v>1349</v>
      </c>
      <c r="E3179" t="s">
        <v>187</v>
      </c>
      <c r="F3179">
        <v>2010</v>
      </c>
      <c r="G3179">
        <v>8.1479999999999997E-2</v>
      </c>
    </row>
    <row r="3180" spans="1:7">
      <c r="A3180" t="s">
        <v>1297</v>
      </c>
      <c r="B3180" t="s">
        <v>1298</v>
      </c>
      <c r="C3180" t="s">
        <v>658</v>
      </c>
      <c r="D3180" t="s">
        <v>1349</v>
      </c>
      <c r="E3180" t="s">
        <v>187</v>
      </c>
      <c r="F3180">
        <v>2012</v>
      </c>
      <c r="G3180">
        <v>5.4494000000000001E-2</v>
      </c>
    </row>
    <row r="3181" spans="1:7">
      <c r="A3181" t="s">
        <v>1297</v>
      </c>
      <c r="B3181" t="s">
        <v>1298</v>
      </c>
      <c r="C3181" t="s">
        <v>1300</v>
      </c>
      <c r="D3181" t="s">
        <v>1349</v>
      </c>
      <c r="E3181" t="s">
        <v>187</v>
      </c>
      <c r="F3181">
        <v>2010</v>
      </c>
      <c r="G3181">
        <v>1.05064</v>
      </c>
    </row>
    <row r="3182" spans="1:7">
      <c r="A3182" t="s">
        <v>1297</v>
      </c>
      <c r="B3182" t="s">
        <v>1298</v>
      </c>
      <c r="C3182" t="s">
        <v>1300</v>
      </c>
      <c r="D3182" t="s">
        <v>1349</v>
      </c>
      <c r="E3182" t="s">
        <v>187</v>
      </c>
      <c r="F3182">
        <v>2012</v>
      </c>
      <c r="G3182">
        <v>0.95265599999999995</v>
      </c>
    </row>
    <row r="3183" spans="1:7">
      <c r="A3183" t="s">
        <v>1297</v>
      </c>
      <c r="B3183" t="s">
        <v>1298</v>
      </c>
      <c r="C3183" t="s">
        <v>682</v>
      </c>
      <c r="D3183" t="s">
        <v>1349</v>
      </c>
      <c r="E3183" t="s">
        <v>187</v>
      </c>
      <c r="F3183">
        <v>2016</v>
      </c>
      <c r="G3183">
        <v>4.5696690000000002</v>
      </c>
    </row>
    <row r="3184" spans="1:7">
      <c r="A3184" t="s">
        <v>1297</v>
      </c>
      <c r="B3184" t="s">
        <v>1298</v>
      </c>
      <c r="C3184" t="s">
        <v>1300</v>
      </c>
      <c r="D3184" t="s">
        <v>1349</v>
      </c>
      <c r="E3184" t="s">
        <v>187</v>
      </c>
      <c r="F3184">
        <v>2016</v>
      </c>
      <c r="G3184">
        <v>0.73463999999999996</v>
      </c>
    </row>
    <row r="3185" spans="1:7">
      <c r="A3185" t="s">
        <v>1297</v>
      </c>
      <c r="B3185" t="s">
        <v>1298</v>
      </c>
      <c r="C3185" t="s">
        <v>670</v>
      </c>
      <c r="D3185" t="s">
        <v>1349</v>
      </c>
      <c r="E3185" t="s">
        <v>187</v>
      </c>
      <c r="F3185">
        <v>2005</v>
      </c>
      <c r="G3185">
        <v>0.04</v>
      </c>
    </row>
    <row r="3186" spans="1:7">
      <c r="A3186" t="s">
        <v>1297</v>
      </c>
      <c r="B3186" t="s">
        <v>1298</v>
      </c>
      <c r="C3186" t="s">
        <v>670</v>
      </c>
      <c r="D3186" t="s">
        <v>1349</v>
      </c>
      <c r="E3186" t="s">
        <v>187</v>
      </c>
      <c r="F3186">
        <v>2010</v>
      </c>
      <c r="G3186">
        <v>0.16</v>
      </c>
    </row>
    <row r="3187" spans="1:7">
      <c r="A3187" t="s">
        <v>1297</v>
      </c>
      <c r="B3187" t="s">
        <v>1298</v>
      </c>
      <c r="C3187" t="s">
        <v>670</v>
      </c>
      <c r="D3187" t="s">
        <v>1349</v>
      </c>
      <c r="E3187" t="s">
        <v>187</v>
      </c>
      <c r="F3187">
        <v>2012</v>
      </c>
      <c r="G3187">
        <v>0.16</v>
      </c>
    </row>
    <row r="3188" spans="1:7">
      <c r="A3188" t="s">
        <v>1297</v>
      </c>
      <c r="B3188" t="s">
        <v>1298</v>
      </c>
      <c r="C3188" t="s">
        <v>670</v>
      </c>
      <c r="D3188" t="s">
        <v>1349</v>
      </c>
      <c r="E3188" t="s">
        <v>187</v>
      </c>
      <c r="F3188">
        <v>2016</v>
      </c>
      <c r="G3188">
        <v>0.11984</v>
      </c>
    </row>
    <row r="3189" spans="1:7">
      <c r="A3189" t="s">
        <v>1297</v>
      </c>
      <c r="B3189" t="s">
        <v>1298</v>
      </c>
      <c r="C3189" t="s">
        <v>670</v>
      </c>
      <c r="D3189" t="s">
        <v>1349</v>
      </c>
      <c r="E3189" t="s">
        <v>187</v>
      </c>
      <c r="F3189">
        <v>2020</v>
      </c>
      <c r="G3189">
        <v>0.12614</v>
      </c>
    </row>
    <row r="3190" spans="1:7">
      <c r="A3190" t="s">
        <v>1297</v>
      </c>
      <c r="B3190" t="s">
        <v>1298</v>
      </c>
      <c r="C3190" t="s">
        <v>289</v>
      </c>
      <c r="D3190" t="s">
        <v>1349</v>
      </c>
      <c r="E3190" t="s">
        <v>187</v>
      </c>
      <c r="F3190">
        <v>2005</v>
      </c>
      <c r="G3190">
        <v>1.7100000000000001E-2</v>
      </c>
    </row>
    <row r="3191" spans="1:7">
      <c r="A3191" t="s">
        <v>1297</v>
      </c>
      <c r="B3191" t="s">
        <v>1298</v>
      </c>
      <c r="C3191" t="s">
        <v>289</v>
      </c>
      <c r="D3191" t="s">
        <v>1349</v>
      </c>
      <c r="E3191" t="s">
        <v>187</v>
      </c>
      <c r="F3191">
        <v>2010</v>
      </c>
      <c r="G3191">
        <v>4.9829999999999999E-2</v>
      </c>
    </row>
    <row r="3192" spans="1:7">
      <c r="A3192" t="s">
        <v>1297</v>
      </c>
      <c r="B3192" t="s">
        <v>1298</v>
      </c>
      <c r="C3192" t="s">
        <v>289</v>
      </c>
      <c r="D3192" t="s">
        <v>1349</v>
      </c>
      <c r="E3192" t="s">
        <v>187</v>
      </c>
      <c r="F3192">
        <v>2012</v>
      </c>
      <c r="G3192">
        <v>8.5625000000000007E-2</v>
      </c>
    </row>
    <row r="3193" spans="1:7">
      <c r="A3193" t="s">
        <v>1297</v>
      </c>
      <c r="B3193" t="s">
        <v>1298</v>
      </c>
      <c r="C3193" t="s">
        <v>655</v>
      </c>
      <c r="D3193" t="s">
        <v>1349</v>
      </c>
      <c r="E3193" t="s">
        <v>187</v>
      </c>
      <c r="F3193">
        <v>2005</v>
      </c>
      <c r="G3193">
        <v>3.1854619999999998</v>
      </c>
    </row>
    <row r="3194" spans="1:7">
      <c r="A3194" t="s">
        <v>1297</v>
      </c>
      <c r="B3194" t="s">
        <v>1298</v>
      </c>
      <c r="C3194" t="s">
        <v>655</v>
      </c>
      <c r="D3194" t="s">
        <v>1349</v>
      </c>
      <c r="E3194" t="s">
        <v>187</v>
      </c>
      <c r="F3194">
        <v>2010</v>
      </c>
      <c r="G3194">
        <v>1.651454</v>
      </c>
    </row>
    <row r="3195" spans="1:7">
      <c r="A3195" t="s">
        <v>1297</v>
      </c>
      <c r="B3195" t="s">
        <v>1298</v>
      </c>
      <c r="C3195" t="s">
        <v>655</v>
      </c>
      <c r="D3195" t="s">
        <v>1349</v>
      </c>
      <c r="E3195" t="s">
        <v>187</v>
      </c>
      <c r="F3195">
        <v>2012</v>
      </c>
      <c r="G3195">
        <v>1.350333</v>
      </c>
    </row>
    <row r="3196" spans="1:7">
      <c r="A3196" t="s">
        <v>1297</v>
      </c>
      <c r="B3196" t="s">
        <v>1298</v>
      </c>
      <c r="C3196" t="s">
        <v>655</v>
      </c>
      <c r="D3196" t="s">
        <v>1349</v>
      </c>
      <c r="E3196" t="s">
        <v>187</v>
      </c>
      <c r="F3196">
        <v>2016</v>
      </c>
      <c r="G3196">
        <v>1.381688</v>
      </c>
    </row>
    <row r="3197" spans="1:7">
      <c r="A3197" t="s">
        <v>1297</v>
      </c>
      <c r="B3197" t="s">
        <v>1298</v>
      </c>
      <c r="C3197" t="s">
        <v>655</v>
      </c>
      <c r="D3197" t="s">
        <v>1349</v>
      </c>
      <c r="E3197" t="s">
        <v>187</v>
      </c>
      <c r="F3197">
        <v>2020</v>
      </c>
      <c r="G3197">
        <v>1.141135</v>
      </c>
    </row>
    <row r="3198" spans="1:7">
      <c r="A3198" t="s">
        <v>1297</v>
      </c>
      <c r="B3198" t="s">
        <v>1298</v>
      </c>
      <c r="C3198" t="s">
        <v>673</v>
      </c>
      <c r="D3198" t="s">
        <v>1349</v>
      </c>
      <c r="E3198" t="s">
        <v>187</v>
      </c>
      <c r="F3198">
        <v>2005</v>
      </c>
      <c r="G3198">
        <v>1.5568E-2</v>
      </c>
    </row>
    <row r="3199" spans="1:7">
      <c r="A3199" t="s">
        <v>1297</v>
      </c>
      <c r="B3199" t="s">
        <v>1298</v>
      </c>
      <c r="C3199" t="s">
        <v>673</v>
      </c>
      <c r="D3199" t="s">
        <v>1349</v>
      </c>
      <c r="E3199" t="s">
        <v>187</v>
      </c>
      <c r="F3199">
        <v>2010</v>
      </c>
      <c r="G3199">
        <v>2.3147999999999998E-2</v>
      </c>
    </row>
    <row r="3200" spans="1:7">
      <c r="A3200" t="s">
        <v>1297</v>
      </c>
      <c r="B3200" t="s">
        <v>1298</v>
      </c>
      <c r="C3200" t="s">
        <v>673</v>
      </c>
      <c r="D3200" t="s">
        <v>1349</v>
      </c>
      <c r="E3200" t="s">
        <v>187</v>
      </c>
      <c r="F3200">
        <v>2012</v>
      </c>
      <c r="G3200">
        <v>1.7395999999999998E-2</v>
      </c>
    </row>
    <row r="3201" spans="1:7">
      <c r="A3201" t="s">
        <v>1297</v>
      </c>
      <c r="B3201" t="s">
        <v>1298</v>
      </c>
      <c r="C3201" t="s">
        <v>673</v>
      </c>
      <c r="D3201" t="s">
        <v>1349</v>
      </c>
      <c r="E3201" t="s">
        <v>187</v>
      </c>
      <c r="F3201">
        <v>2016</v>
      </c>
      <c r="G3201">
        <v>3.6955000000000002E-2</v>
      </c>
    </row>
    <row r="3202" spans="1:7">
      <c r="A3202" t="s">
        <v>1297</v>
      </c>
      <c r="B3202" t="s">
        <v>1298</v>
      </c>
      <c r="C3202" t="s">
        <v>673</v>
      </c>
      <c r="D3202" t="s">
        <v>1349</v>
      </c>
      <c r="E3202" t="s">
        <v>187</v>
      </c>
      <c r="F3202">
        <v>2020</v>
      </c>
      <c r="G3202">
        <v>1.7103E-2</v>
      </c>
    </row>
    <row r="3203" spans="1:7">
      <c r="A3203" t="s">
        <v>1297</v>
      </c>
      <c r="B3203" t="s">
        <v>1298</v>
      </c>
      <c r="C3203" t="s">
        <v>676</v>
      </c>
      <c r="D3203" t="s">
        <v>1349</v>
      </c>
      <c r="E3203" t="s">
        <v>187</v>
      </c>
      <c r="F3203">
        <v>2005</v>
      </c>
      <c r="G3203">
        <v>1.2584249999999999</v>
      </c>
    </row>
    <row r="3204" spans="1:7">
      <c r="A3204" t="s">
        <v>1297</v>
      </c>
      <c r="B3204" t="s">
        <v>1298</v>
      </c>
      <c r="C3204" t="s">
        <v>676</v>
      </c>
      <c r="D3204" t="s">
        <v>1349</v>
      </c>
      <c r="E3204" t="s">
        <v>187</v>
      </c>
      <c r="F3204">
        <v>2010</v>
      </c>
      <c r="G3204">
        <v>11.707984</v>
      </c>
    </row>
    <row r="3205" spans="1:7">
      <c r="A3205" t="s">
        <v>1297</v>
      </c>
      <c r="B3205" t="s">
        <v>1298</v>
      </c>
      <c r="C3205" t="s">
        <v>676</v>
      </c>
      <c r="D3205" t="s">
        <v>1349</v>
      </c>
      <c r="E3205" t="s">
        <v>187</v>
      </c>
      <c r="F3205">
        <v>2012</v>
      </c>
      <c r="G3205">
        <v>3.7937249999999998</v>
      </c>
    </row>
    <row r="3206" spans="1:7">
      <c r="A3206" t="s">
        <v>1297</v>
      </c>
      <c r="B3206" t="s">
        <v>1298</v>
      </c>
      <c r="C3206" t="s">
        <v>676</v>
      </c>
      <c r="D3206" t="s">
        <v>1349</v>
      </c>
      <c r="E3206" t="s">
        <v>187</v>
      </c>
      <c r="F3206">
        <v>2016</v>
      </c>
      <c r="G3206">
        <v>2.3866869999999998</v>
      </c>
    </row>
    <row r="3207" spans="1:7">
      <c r="A3207" t="s">
        <v>1297</v>
      </c>
      <c r="B3207" t="s">
        <v>1298</v>
      </c>
      <c r="C3207" t="s">
        <v>676</v>
      </c>
      <c r="D3207" t="s">
        <v>1349</v>
      </c>
      <c r="E3207" t="s">
        <v>187</v>
      </c>
      <c r="F3207">
        <v>2020</v>
      </c>
      <c r="G3207">
        <v>5.1100209999999997</v>
      </c>
    </row>
    <row r="3208" spans="1:7">
      <c r="A3208" t="s">
        <v>1297</v>
      </c>
      <c r="B3208" t="s">
        <v>1298</v>
      </c>
      <c r="C3208" t="s">
        <v>1300</v>
      </c>
      <c r="D3208" t="s">
        <v>1349</v>
      </c>
      <c r="E3208" t="s">
        <v>187</v>
      </c>
      <c r="F3208">
        <v>2020</v>
      </c>
      <c r="G3208">
        <v>0.73192699999999999</v>
      </c>
    </row>
    <row r="3209" spans="1:7">
      <c r="A3209" t="s">
        <v>1297</v>
      </c>
      <c r="B3209" t="s">
        <v>1298</v>
      </c>
      <c r="C3209" t="s">
        <v>656</v>
      </c>
      <c r="D3209" t="s">
        <v>1349</v>
      </c>
      <c r="E3209" t="s">
        <v>187</v>
      </c>
      <c r="F3209">
        <v>2005</v>
      </c>
      <c r="G3209">
        <v>3.2299220000000002</v>
      </c>
    </row>
    <row r="3210" spans="1:7">
      <c r="A3210" t="s">
        <v>1297</v>
      </c>
      <c r="B3210" t="s">
        <v>1298</v>
      </c>
      <c r="C3210" t="s">
        <v>656</v>
      </c>
      <c r="D3210" t="s">
        <v>1349</v>
      </c>
      <c r="E3210" t="s">
        <v>187</v>
      </c>
      <c r="F3210">
        <v>2010</v>
      </c>
      <c r="G3210">
        <v>3.9649139999999998</v>
      </c>
    </row>
    <row r="3211" spans="1:7">
      <c r="A3211" t="s">
        <v>1297</v>
      </c>
      <c r="B3211" t="s">
        <v>1298</v>
      </c>
      <c r="C3211" t="s">
        <v>656</v>
      </c>
      <c r="D3211" t="s">
        <v>1349</v>
      </c>
      <c r="E3211" t="s">
        <v>187</v>
      </c>
      <c r="F3211">
        <v>2012</v>
      </c>
      <c r="G3211">
        <v>4.3152990000000004</v>
      </c>
    </row>
    <row r="3212" spans="1:7">
      <c r="A3212" t="s">
        <v>1297</v>
      </c>
      <c r="B3212" t="s">
        <v>1298</v>
      </c>
      <c r="C3212" t="s">
        <v>656</v>
      </c>
      <c r="D3212" t="s">
        <v>1349</v>
      </c>
      <c r="E3212" t="s">
        <v>187</v>
      </c>
      <c r="F3212">
        <v>2016</v>
      </c>
      <c r="G3212">
        <v>1.1476759999999999</v>
      </c>
    </row>
    <row r="3213" spans="1:7">
      <c r="A3213" t="s">
        <v>1297</v>
      </c>
      <c r="B3213" t="s">
        <v>1298</v>
      </c>
      <c r="C3213" t="s">
        <v>656</v>
      </c>
      <c r="D3213" t="s">
        <v>1349</v>
      </c>
      <c r="E3213" t="s">
        <v>187</v>
      </c>
      <c r="F3213">
        <v>2020</v>
      </c>
      <c r="G3213">
        <v>8.6551000000000003E-2</v>
      </c>
    </row>
    <row r="3214" spans="1:7">
      <c r="A3214" t="s">
        <v>1297</v>
      </c>
      <c r="B3214" t="s">
        <v>1298</v>
      </c>
      <c r="C3214" t="s">
        <v>685</v>
      </c>
      <c r="D3214" t="s">
        <v>1349</v>
      </c>
      <c r="E3214" t="s">
        <v>187</v>
      </c>
      <c r="F3214">
        <v>2005</v>
      </c>
      <c r="G3214">
        <v>0.192188</v>
      </c>
    </row>
    <row r="3215" spans="1:7">
      <c r="A3215" t="s">
        <v>1297</v>
      </c>
      <c r="B3215" t="s">
        <v>1298</v>
      </c>
      <c r="C3215" t="s">
        <v>685</v>
      </c>
      <c r="D3215" t="s">
        <v>1349</v>
      </c>
      <c r="E3215" t="s">
        <v>187</v>
      </c>
      <c r="F3215">
        <v>2010</v>
      </c>
      <c r="G3215">
        <v>2.9364000000000001E-2</v>
      </c>
    </row>
    <row r="3216" spans="1:7">
      <c r="A3216" t="s">
        <v>1297</v>
      </c>
      <c r="B3216" t="s">
        <v>1298</v>
      </c>
      <c r="C3216" t="s">
        <v>685</v>
      </c>
      <c r="D3216" t="s">
        <v>1349</v>
      </c>
      <c r="E3216" t="s">
        <v>187</v>
      </c>
      <c r="F3216">
        <v>2012</v>
      </c>
      <c r="G3216">
        <v>6.5240000000000006E-2</v>
      </c>
    </row>
    <row r="3217" spans="1:7">
      <c r="A3217" t="s">
        <v>1297</v>
      </c>
      <c r="B3217" t="s">
        <v>1298</v>
      </c>
      <c r="C3217" t="s">
        <v>685</v>
      </c>
      <c r="D3217" t="s">
        <v>1349</v>
      </c>
      <c r="E3217" t="s">
        <v>187</v>
      </c>
      <c r="F3217">
        <v>2016</v>
      </c>
      <c r="G3217">
        <v>2.9762E-2</v>
      </c>
    </row>
    <row r="3218" spans="1:7">
      <c r="A3218" t="s">
        <v>1297</v>
      </c>
      <c r="B3218" t="s">
        <v>1298</v>
      </c>
      <c r="C3218" t="s">
        <v>685</v>
      </c>
      <c r="D3218" t="s">
        <v>1349</v>
      </c>
      <c r="E3218" t="s">
        <v>187</v>
      </c>
      <c r="F3218">
        <v>2020</v>
      </c>
      <c r="G3218">
        <v>2.2338E-2</v>
      </c>
    </row>
    <row r="3219" spans="1:7">
      <c r="A3219" t="s">
        <v>1297</v>
      </c>
      <c r="B3219" t="s">
        <v>1298</v>
      </c>
      <c r="C3219" t="s">
        <v>668</v>
      </c>
      <c r="D3219" t="s">
        <v>1349</v>
      </c>
      <c r="E3219" t="s">
        <v>187</v>
      </c>
      <c r="F3219">
        <v>2005</v>
      </c>
      <c r="G3219">
        <v>0.97014</v>
      </c>
    </row>
    <row r="3220" spans="1:7">
      <c r="A3220" t="s">
        <v>1297</v>
      </c>
      <c r="B3220" t="s">
        <v>1298</v>
      </c>
      <c r="C3220" t="s">
        <v>668</v>
      </c>
      <c r="D3220" t="s">
        <v>1349</v>
      </c>
      <c r="E3220" t="s">
        <v>187</v>
      </c>
      <c r="F3220">
        <v>2010</v>
      </c>
      <c r="G3220">
        <v>0.89148000000000005</v>
      </c>
    </row>
    <row r="3221" spans="1:7">
      <c r="A3221" t="s">
        <v>1297</v>
      </c>
      <c r="B3221" t="s">
        <v>1298</v>
      </c>
      <c r="C3221" t="s">
        <v>668</v>
      </c>
      <c r="D3221" t="s">
        <v>1349</v>
      </c>
      <c r="E3221" t="s">
        <v>187</v>
      </c>
      <c r="F3221">
        <v>2012</v>
      </c>
      <c r="G3221">
        <v>0.39329999999999998</v>
      </c>
    </row>
    <row r="3222" spans="1:7">
      <c r="A3222" t="s">
        <v>1297</v>
      </c>
      <c r="B3222" t="s">
        <v>1298</v>
      </c>
      <c r="C3222" t="s">
        <v>668</v>
      </c>
      <c r="D3222" t="s">
        <v>1349</v>
      </c>
      <c r="E3222" t="s">
        <v>187</v>
      </c>
      <c r="F3222">
        <v>2016</v>
      </c>
      <c r="G3222">
        <v>0.24091299999999999</v>
      </c>
    </row>
    <row r="3223" spans="1:7">
      <c r="A3223" t="s">
        <v>1297</v>
      </c>
      <c r="B3223" t="s">
        <v>1298</v>
      </c>
      <c r="C3223" t="s">
        <v>668</v>
      </c>
      <c r="D3223" t="s">
        <v>1349</v>
      </c>
      <c r="E3223" t="s">
        <v>187</v>
      </c>
      <c r="F3223">
        <v>2020</v>
      </c>
      <c r="G3223">
        <v>8.9538000000000006E-2</v>
      </c>
    </row>
    <row r="3224" spans="1:7">
      <c r="A3224" t="s">
        <v>1297</v>
      </c>
      <c r="B3224" t="s">
        <v>1298</v>
      </c>
      <c r="C3224" t="s">
        <v>666</v>
      </c>
      <c r="D3224" t="s">
        <v>1349</v>
      </c>
      <c r="E3224" t="s">
        <v>187</v>
      </c>
      <c r="F3224">
        <v>2005</v>
      </c>
      <c r="G3224">
        <v>2.0727500000000001</v>
      </c>
    </row>
    <row r="3225" spans="1:7">
      <c r="A3225" t="s">
        <v>1297</v>
      </c>
      <c r="B3225" t="s">
        <v>1298</v>
      </c>
      <c r="C3225" t="s">
        <v>666</v>
      </c>
      <c r="D3225" t="s">
        <v>1349</v>
      </c>
      <c r="E3225" t="s">
        <v>187</v>
      </c>
      <c r="F3225">
        <v>2010</v>
      </c>
      <c r="G3225">
        <v>1.8096300000000001</v>
      </c>
    </row>
    <row r="3226" spans="1:7">
      <c r="A3226" t="s">
        <v>1297</v>
      </c>
      <c r="B3226" t="s">
        <v>1298</v>
      </c>
      <c r="C3226" t="s">
        <v>666</v>
      </c>
      <c r="D3226" t="s">
        <v>1349</v>
      </c>
      <c r="E3226" t="s">
        <v>187</v>
      </c>
      <c r="F3226">
        <v>2012</v>
      </c>
      <c r="G3226">
        <v>1.3062400000000001</v>
      </c>
    </row>
    <row r="3227" spans="1:7">
      <c r="A3227" t="s">
        <v>1297</v>
      </c>
      <c r="B3227" t="s">
        <v>1298</v>
      </c>
      <c r="C3227" t="s">
        <v>666</v>
      </c>
      <c r="D3227" t="s">
        <v>1349</v>
      </c>
      <c r="E3227" t="s">
        <v>187</v>
      </c>
      <c r="F3227">
        <v>2016</v>
      </c>
      <c r="G3227">
        <v>1.3313600000000001</v>
      </c>
    </row>
    <row r="3228" spans="1:7">
      <c r="A3228" t="s">
        <v>1297</v>
      </c>
      <c r="B3228" t="s">
        <v>1298</v>
      </c>
      <c r="C3228" t="s">
        <v>666</v>
      </c>
      <c r="D3228" t="s">
        <v>1349</v>
      </c>
      <c r="E3228" t="s">
        <v>187</v>
      </c>
      <c r="F3228">
        <v>2020</v>
      </c>
      <c r="G3228">
        <v>1.195471</v>
      </c>
    </row>
    <row r="3229" spans="1:7">
      <c r="A3229" t="s">
        <v>1297</v>
      </c>
      <c r="B3229" t="s">
        <v>1298</v>
      </c>
      <c r="C3229" t="s">
        <v>661</v>
      </c>
      <c r="D3229" t="s">
        <v>1349</v>
      </c>
      <c r="E3229" t="s">
        <v>187</v>
      </c>
      <c r="F3229">
        <v>2005</v>
      </c>
      <c r="G3229">
        <v>6.23</v>
      </c>
    </row>
    <row r="3230" spans="1:7">
      <c r="A3230" t="s">
        <v>1297</v>
      </c>
      <c r="B3230" t="s">
        <v>1298</v>
      </c>
      <c r="C3230" t="s">
        <v>661</v>
      </c>
      <c r="D3230" t="s">
        <v>1349</v>
      </c>
      <c r="E3230" t="s">
        <v>187</v>
      </c>
      <c r="F3230">
        <v>2010</v>
      </c>
      <c r="G3230">
        <v>5.4859999999999998</v>
      </c>
    </row>
    <row r="3231" spans="1:7">
      <c r="A3231" t="s">
        <v>1297</v>
      </c>
      <c r="B3231" t="s">
        <v>1298</v>
      </c>
      <c r="C3231" t="s">
        <v>661</v>
      </c>
      <c r="D3231" t="s">
        <v>1349</v>
      </c>
      <c r="E3231" t="s">
        <v>187</v>
      </c>
      <c r="F3231">
        <v>2012</v>
      </c>
      <c r="G3231">
        <v>2.1613380000000002</v>
      </c>
    </row>
    <row r="3232" spans="1:7">
      <c r="A3232" t="s">
        <v>1297</v>
      </c>
      <c r="B3232" t="s">
        <v>1298</v>
      </c>
      <c r="C3232" t="s">
        <v>661</v>
      </c>
      <c r="D3232" t="s">
        <v>1349</v>
      </c>
      <c r="E3232" t="s">
        <v>187</v>
      </c>
      <c r="F3232">
        <v>2016</v>
      </c>
      <c r="G3232">
        <v>1.8468979999999999</v>
      </c>
    </row>
    <row r="3233" spans="1:8">
      <c r="A3233" t="s">
        <v>1297</v>
      </c>
      <c r="B3233" t="s">
        <v>1298</v>
      </c>
      <c r="C3233" t="s">
        <v>661</v>
      </c>
      <c r="D3233" t="s">
        <v>1349</v>
      </c>
      <c r="E3233" t="s">
        <v>187</v>
      </c>
      <c r="F3233">
        <v>2020</v>
      </c>
      <c r="G3233">
        <v>1.4623189999999999</v>
      </c>
    </row>
    <row r="3234" spans="1:8">
      <c r="A3234" t="s">
        <v>1297</v>
      </c>
      <c r="B3234" t="s">
        <v>1298</v>
      </c>
      <c r="C3234" t="s">
        <v>663</v>
      </c>
      <c r="D3234" t="s">
        <v>1349</v>
      </c>
      <c r="E3234" t="s">
        <v>187</v>
      </c>
      <c r="F3234">
        <v>2005</v>
      </c>
      <c r="G3234">
        <v>0.10012</v>
      </c>
    </row>
    <row r="3235" spans="1:8">
      <c r="A3235" t="s">
        <v>1297</v>
      </c>
      <c r="B3235" t="s">
        <v>1298</v>
      </c>
      <c r="C3235" t="s">
        <v>663</v>
      </c>
      <c r="D3235" t="s">
        <v>1349</v>
      </c>
      <c r="E3235" t="s">
        <v>187</v>
      </c>
      <c r="F3235">
        <v>2010</v>
      </c>
      <c r="G3235">
        <v>0.11446000000000001</v>
      </c>
    </row>
    <row r="3236" spans="1:8">
      <c r="A3236" t="s">
        <v>1297</v>
      </c>
      <c r="B3236" t="s">
        <v>1298</v>
      </c>
      <c r="C3236" t="s">
        <v>663</v>
      </c>
      <c r="D3236" t="s">
        <v>1349</v>
      </c>
      <c r="E3236" t="s">
        <v>187</v>
      </c>
      <c r="F3236">
        <v>2012</v>
      </c>
      <c r="G3236">
        <v>3.5700000000000003E-2</v>
      </c>
    </row>
    <row r="3237" spans="1:8">
      <c r="A3237" t="s">
        <v>1297</v>
      </c>
      <c r="B3237" t="s">
        <v>1298</v>
      </c>
      <c r="C3237" t="s">
        <v>663</v>
      </c>
      <c r="D3237" t="s">
        <v>1349</v>
      </c>
      <c r="E3237" t="s">
        <v>187</v>
      </c>
      <c r="F3237">
        <v>2016</v>
      </c>
      <c r="G3237">
        <v>0.12098</v>
      </c>
    </row>
    <row r="3238" spans="1:8">
      <c r="A3238" t="s">
        <v>1297</v>
      </c>
      <c r="B3238" t="s">
        <v>1298</v>
      </c>
      <c r="C3238" t="s">
        <v>663</v>
      </c>
      <c r="D3238" t="s">
        <v>1349</v>
      </c>
      <c r="E3238" t="s">
        <v>187</v>
      </c>
      <c r="F3238">
        <v>2020</v>
      </c>
      <c r="G3238">
        <v>6.2219999999999998E-2</v>
      </c>
    </row>
    <row r="3239" spans="1:8">
      <c r="A3239" t="s">
        <v>1297</v>
      </c>
      <c r="B3239" t="s">
        <v>1298</v>
      </c>
      <c r="C3239" t="s">
        <v>682</v>
      </c>
      <c r="D3239" t="s">
        <v>1349</v>
      </c>
      <c r="E3239" t="s">
        <v>187</v>
      </c>
      <c r="F3239">
        <v>2020</v>
      </c>
      <c r="G3239">
        <v>1.753331</v>
      </c>
    </row>
    <row r="3240" spans="1:8">
      <c r="A3240" t="s">
        <v>1297</v>
      </c>
      <c r="B3240" t="s">
        <v>1298</v>
      </c>
      <c r="C3240" t="s">
        <v>1302</v>
      </c>
      <c r="D3240" t="s">
        <v>1349</v>
      </c>
      <c r="E3240" t="s">
        <v>187</v>
      </c>
      <c r="F3240">
        <v>2005</v>
      </c>
      <c r="G3240">
        <v>0.21065400000000001</v>
      </c>
    </row>
    <row r="3241" spans="1:8">
      <c r="A3241" t="s">
        <v>1297</v>
      </c>
      <c r="B3241" t="s">
        <v>1298</v>
      </c>
      <c r="C3241" t="s">
        <v>1302</v>
      </c>
      <c r="D3241" t="s">
        <v>1349</v>
      </c>
      <c r="E3241" t="s">
        <v>187</v>
      </c>
      <c r="F3241">
        <v>2010</v>
      </c>
      <c r="G3241">
        <v>0.21065400000000001</v>
      </c>
    </row>
    <row r="3242" spans="1:8">
      <c r="A3242" t="s">
        <v>1297</v>
      </c>
      <c r="B3242" t="s">
        <v>1298</v>
      </c>
      <c r="C3242" t="s">
        <v>1302</v>
      </c>
      <c r="D3242" t="s">
        <v>1349</v>
      </c>
      <c r="E3242" t="s">
        <v>187</v>
      </c>
      <c r="F3242">
        <v>2012</v>
      </c>
      <c r="G3242">
        <v>0.10922800000000001</v>
      </c>
    </row>
    <row r="3243" spans="1:8">
      <c r="A3243" t="s">
        <v>1297</v>
      </c>
      <c r="B3243" t="s">
        <v>1298</v>
      </c>
      <c r="C3243" t="s">
        <v>1302</v>
      </c>
      <c r="D3243" t="s">
        <v>1349</v>
      </c>
      <c r="E3243" t="s">
        <v>187</v>
      </c>
      <c r="F3243">
        <v>2016</v>
      </c>
      <c r="G3243">
        <v>2.6838880000000001</v>
      </c>
    </row>
    <row r="3244" spans="1:8">
      <c r="A3244" t="s">
        <v>1297</v>
      </c>
      <c r="B3244" t="s">
        <v>1298</v>
      </c>
      <c r="C3244" t="s">
        <v>1302</v>
      </c>
      <c r="D3244" t="s">
        <v>1349</v>
      </c>
      <c r="E3244" t="s">
        <v>187</v>
      </c>
      <c r="F3244">
        <v>2020</v>
      </c>
      <c r="G3244">
        <v>0.31920300000000001</v>
      </c>
    </row>
    <row r="3245" spans="1:8">
      <c r="A3245" t="s">
        <v>1297</v>
      </c>
      <c r="B3245" t="s">
        <v>1298</v>
      </c>
      <c r="C3245" t="s">
        <v>655</v>
      </c>
      <c r="D3245" t="s">
        <v>1350</v>
      </c>
      <c r="E3245" t="s">
        <v>187</v>
      </c>
      <c r="F3245">
        <v>2020</v>
      </c>
      <c r="G3245" s="14">
        <v>1.5E-5</v>
      </c>
      <c r="H3245" s="14"/>
    </row>
    <row r="3246" spans="1:8">
      <c r="A3246" t="s">
        <v>1297</v>
      </c>
      <c r="B3246" t="s">
        <v>1298</v>
      </c>
      <c r="C3246" t="s">
        <v>684</v>
      </c>
      <c r="D3246" t="s">
        <v>1351</v>
      </c>
      <c r="E3246" t="s">
        <v>187</v>
      </c>
      <c r="F3246">
        <v>2010</v>
      </c>
      <c r="G3246">
        <v>0.23025000000000001</v>
      </c>
    </row>
    <row r="3247" spans="1:8">
      <c r="A3247" t="s">
        <v>1297</v>
      </c>
      <c r="B3247" t="s">
        <v>1298</v>
      </c>
      <c r="C3247" t="s">
        <v>684</v>
      </c>
      <c r="D3247" t="s">
        <v>1351</v>
      </c>
      <c r="E3247" t="s">
        <v>187</v>
      </c>
      <c r="F3247">
        <v>2012</v>
      </c>
      <c r="G3247">
        <v>0.12894</v>
      </c>
    </row>
    <row r="3248" spans="1:8">
      <c r="A3248" t="s">
        <v>1297</v>
      </c>
      <c r="B3248" t="s">
        <v>1298</v>
      </c>
      <c r="C3248" t="s">
        <v>684</v>
      </c>
      <c r="D3248" t="s">
        <v>1351</v>
      </c>
      <c r="E3248" t="s">
        <v>187</v>
      </c>
      <c r="F3248">
        <v>2016</v>
      </c>
      <c r="G3248">
        <v>0.18967999999999999</v>
      </c>
    </row>
    <row r="3249" spans="1:7">
      <c r="A3249" t="s">
        <v>1297</v>
      </c>
      <c r="B3249" t="s">
        <v>1298</v>
      </c>
      <c r="C3249" t="s">
        <v>684</v>
      </c>
      <c r="D3249" t="s">
        <v>1351</v>
      </c>
      <c r="E3249" t="s">
        <v>187</v>
      </c>
      <c r="F3249">
        <v>2020</v>
      </c>
      <c r="G3249">
        <v>8.9828000000000005E-2</v>
      </c>
    </row>
    <row r="3250" spans="1:7">
      <c r="A3250" t="s">
        <v>1297</v>
      </c>
      <c r="B3250" t="s">
        <v>1298</v>
      </c>
      <c r="C3250" t="s">
        <v>1301</v>
      </c>
      <c r="D3250" t="s">
        <v>1351</v>
      </c>
      <c r="E3250" t="s">
        <v>187</v>
      </c>
      <c r="F3250">
        <v>2005</v>
      </c>
      <c r="G3250">
        <v>92.562597999999994</v>
      </c>
    </row>
    <row r="3251" spans="1:7">
      <c r="A3251" t="s">
        <v>1297</v>
      </c>
      <c r="B3251" t="s">
        <v>1298</v>
      </c>
      <c r="C3251" t="s">
        <v>1301</v>
      </c>
      <c r="D3251" t="s">
        <v>1351</v>
      </c>
      <c r="E3251" t="s">
        <v>187</v>
      </c>
      <c r="F3251">
        <v>2010</v>
      </c>
      <c r="G3251">
        <v>141.762686</v>
      </c>
    </row>
    <row r="3252" spans="1:7">
      <c r="A3252" t="s">
        <v>1297</v>
      </c>
      <c r="B3252" t="s">
        <v>1298</v>
      </c>
      <c r="C3252" t="s">
        <v>1301</v>
      </c>
      <c r="D3252" t="s">
        <v>1351</v>
      </c>
      <c r="E3252" t="s">
        <v>187</v>
      </c>
      <c r="F3252">
        <v>2012</v>
      </c>
      <c r="G3252">
        <v>128.28667999999999</v>
      </c>
    </row>
    <row r="3253" spans="1:7">
      <c r="A3253" t="s">
        <v>1297</v>
      </c>
      <c r="B3253" t="s">
        <v>1298</v>
      </c>
      <c r="C3253" t="s">
        <v>1301</v>
      </c>
      <c r="D3253" t="s">
        <v>1351</v>
      </c>
      <c r="E3253" t="s">
        <v>187</v>
      </c>
      <c r="F3253">
        <v>2016</v>
      </c>
      <c r="G3253">
        <v>85.952104000000006</v>
      </c>
    </row>
    <row r="3254" spans="1:7">
      <c r="A3254" t="s">
        <v>1297</v>
      </c>
      <c r="B3254" t="s">
        <v>1298</v>
      </c>
      <c r="C3254" t="s">
        <v>1301</v>
      </c>
      <c r="D3254" t="s">
        <v>1351</v>
      </c>
      <c r="E3254" t="s">
        <v>187</v>
      </c>
      <c r="F3254">
        <v>2020</v>
      </c>
      <c r="G3254">
        <v>54.337060000000001</v>
      </c>
    </row>
    <row r="3255" spans="1:7">
      <c r="A3255" t="s">
        <v>1297</v>
      </c>
      <c r="B3255" t="s">
        <v>1298</v>
      </c>
      <c r="C3255" t="s">
        <v>663</v>
      </c>
      <c r="D3255" t="s">
        <v>1351</v>
      </c>
      <c r="E3255" t="s">
        <v>187</v>
      </c>
      <c r="F3255">
        <v>2005</v>
      </c>
      <c r="G3255">
        <v>10.149816</v>
      </c>
    </row>
    <row r="3256" spans="1:7">
      <c r="A3256" t="s">
        <v>1297</v>
      </c>
      <c r="B3256" t="s">
        <v>1298</v>
      </c>
      <c r="C3256" t="s">
        <v>663</v>
      </c>
      <c r="D3256" t="s">
        <v>1351</v>
      </c>
      <c r="E3256" t="s">
        <v>187</v>
      </c>
      <c r="F3256">
        <v>2010</v>
      </c>
      <c r="G3256">
        <v>6.2297700000000003</v>
      </c>
    </row>
    <row r="3257" spans="1:7">
      <c r="A3257" t="s">
        <v>1297</v>
      </c>
      <c r="B3257" t="s">
        <v>1298</v>
      </c>
      <c r="C3257" t="s">
        <v>663</v>
      </c>
      <c r="D3257" t="s">
        <v>1351</v>
      </c>
      <c r="E3257" t="s">
        <v>187</v>
      </c>
      <c r="F3257">
        <v>2012</v>
      </c>
      <c r="G3257">
        <v>6.36808</v>
      </c>
    </row>
    <row r="3258" spans="1:7">
      <c r="A3258" t="s">
        <v>1297</v>
      </c>
      <c r="B3258" t="s">
        <v>1298</v>
      </c>
      <c r="C3258" t="s">
        <v>663</v>
      </c>
      <c r="D3258" t="s">
        <v>1351</v>
      </c>
      <c r="E3258" t="s">
        <v>187</v>
      </c>
      <c r="F3258">
        <v>2016</v>
      </c>
      <c r="G3258">
        <v>5.047625</v>
      </c>
    </row>
    <row r="3259" spans="1:7">
      <c r="A3259" t="s">
        <v>1297</v>
      </c>
      <c r="B3259" t="s">
        <v>1298</v>
      </c>
      <c r="C3259" t="s">
        <v>663</v>
      </c>
      <c r="D3259" t="s">
        <v>1351</v>
      </c>
      <c r="E3259" t="s">
        <v>187</v>
      </c>
      <c r="F3259">
        <v>2020</v>
      </c>
      <c r="G3259">
        <v>2.954583</v>
      </c>
    </row>
    <row r="3260" spans="1:7">
      <c r="A3260" t="s">
        <v>1297</v>
      </c>
      <c r="B3260" t="s">
        <v>1298</v>
      </c>
      <c r="C3260" t="s">
        <v>665</v>
      </c>
      <c r="D3260" t="s">
        <v>1351</v>
      </c>
      <c r="E3260" t="s">
        <v>187</v>
      </c>
      <c r="F3260">
        <v>2005</v>
      </c>
      <c r="G3260">
        <v>0.29245700000000002</v>
      </c>
    </row>
    <row r="3261" spans="1:7">
      <c r="A3261" t="s">
        <v>1297</v>
      </c>
      <c r="B3261" t="s">
        <v>1298</v>
      </c>
      <c r="C3261" t="s">
        <v>665</v>
      </c>
      <c r="D3261" t="s">
        <v>1351</v>
      </c>
      <c r="E3261" t="s">
        <v>187</v>
      </c>
      <c r="F3261">
        <v>2010</v>
      </c>
      <c r="G3261">
        <v>0.15181800000000001</v>
      </c>
    </row>
    <row r="3262" spans="1:7">
      <c r="A3262" t="s">
        <v>1297</v>
      </c>
      <c r="B3262" t="s">
        <v>1298</v>
      </c>
      <c r="C3262" t="s">
        <v>665</v>
      </c>
      <c r="D3262" t="s">
        <v>1351</v>
      </c>
      <c r="E3262" t="s">
        <v>187</v>
      </c>
      <c r="F3262">
        <v>2012</v>
      </c>
      <c r="G3262">
        <v>0.101312</v>
      </c>
    </row>
    <row r="3263" spans="1:7">
      <c r="A3263" t="s">
        <v>1297</v>
      </c>
      <c r="B3263" t="s">
        <v>1298</v>
      </c>
      <c r="C3263" t="s">
        <v>675</v>
      </c>
      <c r="D3263" t="s">
        <v>1351</v>
      </c>
      <c r="E3263" t="s">
        <v>187</v>
      </c>
      <c r="F3263">
        <v>2010</v>
      </c>
      <c r="G3263">
        <v>5.6007000000000001E-2</v>
      </c>
    </row>
    <row r="3264" spans="1:7">
      <c r="A3264" t="s">
        <v>1297</v>
      </c>
      <c r="B3264" t="s">
        <v>1298</v>
      </c>
      <c r="C3264" t="s">
        <v>675</v>
      </c>
      <c r="D3264" t="s">
        <v>1351</v>
      </c>
      <c r="E3264" t="s">
        <v>187</v>
      </c>
      <c r="F3264">
        <v>2012</v>
      </c>
      <c r="G3264">
        <v>1.8904000000000001E-2</v>
      </c>
    </row>
    <row r="3265" spans="1:7">
      <c r="A3265" t="s">
        <v>1297</v>
      </c>
      <c r="B3265" t="s">
        <v>1298</v>
      </c>
      <c r="C3265" t="s">
        <v>675</v>
      </c>
      <c r="D3265" t="s">
        <v>1351</v>
      </c>
      <c r="E3265" t="s">
        <v>187</v>
      </c>
      <c r="F3265">
        <v>2020</v>
      </c>
      <c r="G3265">
        <v>2.7420000000000001E-3</v>
      </c>
    </row>
    <row r="3266" spans="1:7">
      <c r="A3266" t="s">
        <v>1297</v>
      </c>
      <c r="B3266" t="s">
        <v>1298</v>
      </c>
      <c r="C3266" t="s">
        <v>664</v>
      </c>
      <c r="D3266" t="s">
        <v>1351</v>
      </c>
      <c r="E3266" t="s">
        <v>187</v>
      </c>
      <c r="F3266">
        <v>2005</v>
      </c>
      <c r="G3266">
        <v>9.7741389999999999</v>
      </c>
    </row>
    <row r="3267" spans="1:7">
      <c r="A3267" t="s">
        <v>1297</v>
      </c>
      <c r="B3267" t="s">
        <v>1298</v>
      </c>
      <c r="C3267" t="s">
        <v>664</v>
      </c>
      <c r="D3267" t="s">
        <v>1351</v>
      </c>
      <c r="E3267" t="s">
        <v>187</v>
      </c>
      <c r="F3267">
        <v>2010</v>
      </c>
      <c r="G3267">
        <v>9.6076540000000001</v>
      </c>
    </row>
    <row r="3268" spans="1:7">
      <c r="A3268" t="s">
        <v>1297</v>
      </c>
      <c r="B3268" t="s">
        <v>1298</v>
      </c>
      <c r="C3268" t="s">
        <v>664</v>
      </c>
      <c r="D3268" t="s">
        <v>1351</v>
      </c>
      <c r="E3268" t="s">
        <v>187</v>
      </c>
      <c r="F3268">
        <v>2012</v>
      </c>
      <c r="G3268">
        <v>9.7254450000000006</v>
      </c>
    </row>
    <row r="3269" spans="1:7">
      <c r="A3269" t="s">
        <v>1297</v>
      </c>
      <c r="B3269" t="s">
        <v>1298</v>
      </c>
      <c r="C3269" t="s">
        <v>664</v>
      </c>
      <c r="D3269" t="s">
        <v>1351</v>
      </c>
      <c r="E3269" t="s">
        <v>187</v>
      </c>
      <c r="F3269">
        <v>2016</v>
      </c>
      <c r="G3269">
        <v>8.0698220000000003</v>
      </c>
    </row>
    <row r="3270" spans="1:7">
      <c r="A3270" t="s">
        <v>1297</v>
      </c>
      <c r="B3270" t="s">
        <v>1298</v>
      </c>
      <c r="C3270" t="s">
        <v>664</v>
      </c>
      <c r="D3270" t="s">
        <v>1351</v>
      </c>
      <c r="E3270" t="s">
        <v>187</v>
      </c>
      <c r="F3270">
        <v>2020</v>
      </c>
      <c r="G3270">
        <v>6.4799170000000004</v>
      </c>
    </row>
    <row r="3271" spans="1:7">
      <c r="A3271" t="s">
        <v>1297</v>
      </c>
      <c r="B3271" t="s">
        <v>1298</v>
      </c>
      <c r="C3271" t="s">
        <v>1302</v>
      </c>
      <c r="D3271" t="s">
        <v>1351</v>
      </c>
      <c r="E3271" t="s">
        <v>187</v>
      </c>
      <c r="F3271">
        <v>2005</v>
      </c>
      <c r="G3271">
        <v>0.16384199999999999</v>
      </c>
    </row>
    <row r="3272" spans="1:7">
      <c r="A3272" t="s">
        <v>1297</v>
      </c>
      <c r="B3272" t="s">
        <v>1298</v>
      </c>
      <c r="C3272" t="s">
        <v>1302</v>
      </c>
      <c r="D3272" t="s">
        <v>1351</v>
      </c>
      <c r="E3272" t="s">
        <v>187</v>
      </c>
      <c r="F3272">
        <v>2010</v>
      </c>
      <c r="G3272">
        <v>0.92843799999999999</v>
      </c>
    </row>
    <row r="3273" spans="1:7">
      <c r="A3273" t="s">
        <v>1297</v>
      </c>
      <c r="B3273" t="s">
        <v>1298</v>
      </c>
      <c r="C3273" t="s">
        <v>1302</v>
      </c>
      <c r="D3273" t="s">
        <v>1351</v>
      </c>
      <c r="E3273" t="s">
        <v>187</v>
      </c>
      <c r="F3273">
        <v>2012</v>
      </c>
      <c r="G3273">
        <v>0.67877399999999999</v>
      </c>
    </row>
    <row r="3274" spans="1:7">
      <c r="A3274" t="s">
        <v>1297</v>
      </c>
      <c r="B3274" t="s">
        <v>1298</v>
      </c>
      <c r="C3274" t="s">
        <v>1302</v>
      </c>
      <c r="D3274" t="s">
        <v>1351</v>
      </c>
      <c r="E3274" t="s">
        <v>187</v>
      </c>
      <c r="F3274">
        <v>2016</v>
      </c>
      <c r="G3274">
        <v>0.36669400000000002</v>
      </c>
    </row>
    <row r="3275" spans="1:7">
      <c r="A3275" t="s">
        <v>1297</v>
      </c>
      <c r="B3275" t="s">
        <v>1298</v>
      </c>
      <c r="C3275" t="s">
        <v>1302</v>
      </c>
      <c r="D3275" t="s">
        <v>1351</v>
      </c>
      <c r="E3275" t="s">
        <v>187</v>
      </c>
      <c r="F3275">
        <v>2020</v>
      </c>
      <c r="G3275">
        <v>0.105436</v>
      </c>
    </row>
    <row r="3276" spans="1:7">
      <c r="A3276" t="s">
        <v>1297</v>
      </c>
      <c r="B3276" t="s">
        <v>1298</v>
      </c>
      <c r="C3276" t="s">
        <v>1300</v>
      </c>
      <c r="D3276" t="s">
        <v>1351</v>
      </c>
      <c r="E3276" t="s">
        <v>187</v>
      </c>
      <c r="F3276">
        <v>2010</v>
      </c>
      <c r="G3276">
        <v>2.1064799999999999</v>
      </c>
    </row>
    <row r="3277" spans="1:7">
      <c r="A3277" t="s">
        <v>1297</v>
      </c>
      <c r="B3277" t="s">
        <v>1298</v>
      </c>
      <c r="C3277" t="s">
        <v>1300</v>
      </c>
      <c r="D3277" t="s">
        <v>1351</v>
      </c>
      <c r="E3277" t="s">
        <v>187</v>
      </c>
      <c r="F3277">
        <v>2012</v>
      </c>
      <c r="G3277">
        <v>2.2710240000000002</v>
      </c>
    </row>
    <row r="3278" spans="1:7">
      <c r="A3278" t="s">
        <v>1297</v>
      </c>
      <c r="B3278" t="s">
        <v>1298</v>
      </c>
      <c r="C3278" t="s">
        <v>684</v>
      </c>
      <c r="D3278" t="s">
        <v>1351</v>
      </c>
      <c r="E3278" t="s">
        <v>187</v>
      </c>
      <c r="F3278">
        <v>2005</v>
      </c>
      <c r="G3278">
        <v>0.16578000000000001</v>
      </c>
    </row>
    <row r="3279" spans="1:7">
      <c r="A3279" t="s">
        <v>1297</v>
      </c>
      <c r="B3279" t="s">
        <v>1298</v>
      </c>
      <c r="C3279" t="s">
        <v>1300</v>
      </c>
      <c r="D3279" t="s">
        <v>1351</v>
      </c>
      <c r="E3279" t="s">
        <v>187</v>
      </c>
      <c r="F3279">
        <v>2016</v>
      </c>
      <c r="G3279">
        <v>1.21373</v>
      </c>
    </row>
    <row r="3280" spans="1:7">
      <c r="A3280" t="s">
        <v>1297</v>
      </c>
      <c r="B3280" t="s">
        <v>1298</v>
      </c>
      <c r="C3280" t="s">
        <v>1300</v>
      </c>
      <c r="D3280" t="s">
        <v>1351</v>
      </c>
      <c r="E3280" t="s">
        <v>187</v>
      </c>
      <c r="F3280">
        <v>2020</v>
      </c>
      <c r="G3280">
        <v>2.5326710000000001</v>
      </c>
    </row>
    <row r="3281" spans="1:7">
      <c r="A3281" t="s">
        <v>1297</v>
      </c>
      <c r="B3281" t="s">
        <v>1298</v>
      </c>
      <c r="C3281" t="s">
        <v>686</v>
      </c>
      <c r="D3281" t="s">
        <v>1351</v>
      </c>
      <c r="E3281" t="s">
        <v>187</v>
      </c>
      <c r="F3281">
        <v>2005</v>
      </c>
      <c r="G3281">
        <v>18.837662000000002</v>
      </c>
    </row>
    <row r="3282" spans="1:7">
      <c r="A3282" t="s">
        <v>1297</v>
      </c>
      <c r="B3282" t="s">
        <v>1298</v>
      </c>
      <c r="C3282" t="s">
        <v>686</v>
      </c>
      <c r="D3282" t="s">
        <v>1351</v>
      </c>
      <c r="E3282" t="s">
        <v>187</v>
      </c>
      <c r="F3282">
        <v>2010</v>
      </c>
      <c r="G3282">
        <v>9.6986229999999995</v>
      </c>
    </row>
    <row r="3283" spans="1:7">
      <c r="A3283" t="s">
        <v>1297</v>
      </c>
      <c r="B3283" t="s">
        <v>1298</v>
      </c>
      <c r="C3283" t="s">
        <v>686</v>
      </c>
      <c r="D3283" t="s">
        <v>1351</v>
      </c>
      <c r="E3283" t="s">
        <v>187</v>
      </c>
      <c r="F3283">
        <v>2012</v>
      </c>
      <c r="G3283">
        <v>10.031483</v>
      </c>
    </row>
    <row r="3284" spans="1:7">
      <c r="A3284" t="s">
        <v>1297</v>
      </c>
      <c r="B3284" t="s">
        <v>1298</v>
      </c>
      <c r="C3284" t="s">
        <v>686</v>
      </c>
      <c r="D3284" t="s">
        <v>1351</v>
      </c>
      <c r="E3284" t="s">
        <v>187</v>
      </c>
      <c r="F3284">
        <v>2016</v>
      </c>
      <c r="G3284">
        <v>9.0285580000000003</v>
      </c>
    </row>
    <row r="3285" spans="1:7">
      <c r="A3285" t="s">
        <v>1297</v>
      </c>
      <c r="B3285" t="s">
        <v>1298</v>
      </c>
      <c r="C3285" t="s">
        <v>686</v>
      </c>
      <c r="D3285" t="s">
        <v>1351</v>
      </c>
      <c r="E3285" t="s">
        <v>187</v>
      </c>
      <c r="F3285">
        <v>2020</v>
      </c>
      <c r="G3285">
        <v>8.7681760000000004</v>
      </c>
    </row>
    <row r="3286" spans="1:7">
      <c r="A3286" t="s">
        <v>1297</v>
      </c>
      <c r="B3286" t="s">
        <v>1298</v>
      </c>
      <c r="C3286" t="s">
        <v>668</v>
      </c>
      <c r="D3286" t="s">
        <v>1351</v>
      </c>
      <c r="E3286" t="s">
        <v>187</v>
      </c>
      <c r="F3286">
        <v>2005</v>
      </c>
      <c r="G3286">
        <v>0.94391999999999998</v>
      </c>
    </row>
    <row r="3287" spans="1:7">
      <c r="A3287" t="s">
        <v>1297</v>
      </c>
      <c r="B3287" t="s">
        <v>1298</v>
      </c>
      <c r="C3287" t="s">
        <v>668</v>
      </c>
      <c r="D3287" t="s">
        <v>1351</v>
      </c>
      <c r="E3287" t="s">
        <v>187</v>
      </c>
      <c r="F3287">
        <v>2010</v>
      </c>
      <c r="G3287">
        <v>1.0488</v>
      </c>
    </row>
    <row r="3288" spans="1:7">
      <c r="A3288" t="s">
        <v>1297</v>
      </c>
      <c r="B3288" t="s">
        <v>1298</v>
      </c>
      <c r="C3288" t="s">
        <v>668</v>
      </c>
      <c r="D3288" t="s">
        <v>1351</v>
      </c>
      <c r="E3288" t="s">
        <v>187</v>
      </c>
      <c r="F3288">
        <v>2012</v>
      </c>
      <c r="G3288">
        <v>0.57684000000000002</v>
      </c>
    </row>
    <row r="3289" spans="1:7">
      <c r="A3289" t="s">
        <v>1297</v>
      </c>
      <c r="B3289" t="s">
        <v>1298</v>
      </c>
      <c r="C3289" t="s">
        <v>668</v>
      </c>
      <c r="D3289" t="s">
        <v>1351</v>
      </c>
      <c r="E3289" t="s">
        <v>187</v>
      </c>
      <c r="F3289">
        <v>2016</v>
      </c>
      <c r="G3289">
        <v>0.49812000000000001</v>
      </c>
    </row>
    <row r="3290" spans="1:7">
      <c r="A3290" t="s">
        <v>1297</v>
      </c>
      <c r="B3290" t="s">
        <v>1298</v>
      </c>
      <c r="C3290" t="s">
        <v>668</v>
      </c>
      <c r="D3290" t="s">
        <v>1351</v>
      </c>
      <c r="E3290" t="s">
        <v>187</v>
      </c>
      <c r="F3290">
        <v>2020</v>
      </c>
      <c r="G3290">
        <v>0.194912</v>
      </c>
    </row>
    <row r="3291" spans="1:7">
      <c r="A3291" t="s">
        <v>1297</v>
      </c>
      <c r="B3291" t="s">
        <v>1298</v>
      </c>
      <c r="C3291" t="s">
        <v>660</v>
      </c>
      <c r="D3291" t="s">
        <v>1351</v>
      </c>
      <c r="E3291" t="s">
        <v>187</v>
      </c>
      <c r="F3291">
        <v>2005</v>
      </c>
      <c r="G3291">
        <v>2.555E-2</v>
      </c>
    </row>
    <row r="3292" spans="1:7">
      <c r="A3292" t="s">
        <v>1297</v>
      </c>
      <c r="B3292" t="s">
        <v>1298</v>
      </c>
      <c r="C3292" t="s">
        <v>660</v>
      </c>
      <c r="D3292" t="s">
        <v>1351</v>
      </c>
      <c r="E3292" t="s">
        <v>187</v>
      </c>
      <c r="F3292">
        <v>2010</v>
      </c>
      <c r="G3292">
        <v>2.5103E-2</v>
      </c>
    </row>
    <row r="3293" spans="1:7">
      <c r="A3293" t="s">
        <v>1297</v>
      </c>
      <c r="B3293" t="s">
        <v>1298</v>
      </c>
      <c r="C3293" t="s">
        <v>660</v>
      </c>
      <c r="D3293" t="s">
        <v>1351</v>
      </c>
      <c r="E3293" t="s">
        <v>187</v>
      </c>
      <c r="F3293">
        <v>2012</v>
      </c>
      <c r="G3293">
        <v>2.4664999999999999E-2</v>
      </c>
    </row>
    <row r="3294" spans="1:7">
      <c r="A3294" t="s">
        <v>1297</v>
      </c>
      <c r="B3294" t="s">
        <v>1298</v>
      </c>
      <c r="C3294" t="s">
        <v>289</v>
      </c>
      <c r="D3294" t="s">
        <v>1351</v>
      </c>
      <c r="E3294" t="s">
        <v>187</v>
      </c>
      <c r="F3294">
        <v>2005</v>
      </c>
      <c r="G3294">
        <v>0.42749999999999999</v>
      </c>
    </row>
    <row r="3295" spans="1:7">
      <c r="A3295" t="s">
        <v>1297</v>
      </c>
      <c r="B3295" t="s">
        <v>1298</v>
      </c>
      <c r="C3295" t="s">
        <v>289</v>
      </c>
      <c r="D3295" t="s">
        <v>1351</v>
      </c>
      <c r="E3295" t="s">
        <v>187</v>
      </c>
      <c r="F3295">
        <v>2010</v>
      </c>
      <c r="G3295">
        <v>0.24915000000000001</v>
      </c>
    </row>
    <row r="3296" spans="1:7">
      <c r="A3296" t="s">
        <v>1297</v>
      </c>
      <c r="B3296" t="s">
        <v>1298</v>
      </c>
      <c r="C3296" t="s">
        <v>289</v>
      </c>
      <c r="D3296" t="s">
        <v>1351</v>
      </c>
      <c r="E3296" t="s">
        <v>187</v>
      </c>
      <c r="F3296">
        <v>2012</v>
      </c>
      <c r="G3296">
        <v>0.15412500000000001</v>
      </c>
    </row>
    <row r="3297" spans="1:7">
      <c r="A3297" t="s">
        <v>1297</v>
      </c>
      <c r="B3297" t="s">
        <v>1298</v>
      </c>
      <c r="C3297" t="s">
        <v>289</v>
      </c>
      <c r="D3297" t="s">
        <v>1351</v>
      </c>
      <c r="E3297" t="s">
        <v>187</v>
      </c>
      <c r="F3297">
        <v>2016</v>
      </c>
      <c r="G3297">
        <v>0.118174</v>
      </c>
    </row>
    <row r="3298" spans="1:7">
      <c r="A3298" t="s">
        <v>1297</v>
      </c>
      <c r="B3298" t="s">
        <v>1298</v>
      </c>
      <c r="C3298" t="s">
        <v>289</v>
      </c>
      <c r="D3298" t="s">
        <v>1351</v>
      </c>
      <c r="E3298" t="s">
        <v>187</v>
      </c>
      <c r="F3298">
        <v>2020</v>
      </c>
      <c r="G3298">
        <v>0.11627999999999999</v>
      </c>
    </row>
    <row r="3299" spans="1:7">
      <c r="A3299" t="s">
        <v>1297</v>
      </c>
      <c r="B3299" t="s">
        <v>1298</v>
      </c>
      <c r="C3299" t="s">
        <v>659</v>
      </c>
      <c r="D3299" t="s">
        <v>1351</v>
      </c>
      <c r="E3299" t="s">
        <v>187</v>
      </c>
      <c r="F3299">
        <v>2005</v>
      </c>
      <c r="G3299">
        <v>8.7537500000000001</v>
      </c>
    </row>
    <row r="3300" spans="1:7">
      <c r="A3300" t="s">
        <v>1297</v>
      </c>
      <c r="B3300" t="s">
        <v>1298</v>
      </c>
      <c r="C3300" t="s">
        <v>659</v>
      </c>
      <c r="D3300" t="s">
        <v>1351</v>
      </c>
      <c r="E3300" t="s">
        <v>187</v>
      </c>
      <c r="F3300">
        <v>2010</v>
      </c>
      <c r="G3300">
        <v>7.2417499999999997</v>
      </c>
    </row>
    <row r="3301" spans="1:7">
      <c r="A3301" t="s">
        <v>1297</v>
      </c>
      <c r="B3301" t="s">
        <v>1298</v>
      </c>
      <c r="C3301" t="s">
        <v>659</v>
      </c>
      <c r="D3301" t="s">
        <v>1351</v>
      </c>
      <c r="E3301" t="s">
        <v>187</v>
      </c>
      <c r="F3301">
        <v>2012</v>
      </c>
      <c r="G3301">
        <v>4.5865</v>
      </c>
    </row>
    <row r="3302" spans="1:7">
      <c r="A3302" t="s">
        <v>1297</v>
      </c>
      <c r="B3302" t="s">
        <v>1298</v>
      </c>
      <c r="C3302" t="s">
        <v>659</v>
      </c>
      <c r="D3302" t="s">
        <v>1351</v>
      </c>
      <c r="E3302" t="s">
        <v>187</v>
      </c>
      <c r="F3302">
        <v>2016</v>
      </c>
      <c r="G3302">
        <v>3.3102</v>
      </c>
    </row>
    <row r="3303" spans="1:7">
      <c r="A3303" t="s">
        <v>1297</v>
      </c>
      <c r="B3303" t="s">
        <v>1298</v>
      </c>
      <c r="C3303" t="s">
        <v>659</v>
      </c>
      <c r="D3303" t="s">
        <v>1351</v>
      </c>
      <c r="E3303" t="s">
        <v>187</v>
      </c>
      <c r="F3303">
        <v>2020</v>
      </c>
      <c r="G3303">
        <v>2.7185000000000001</v>
      </c>
    </row>
    <row r="3304" spans="1:7">
      <c r="A3304" t="s">
        <v>1297</v>
      </c>
      <c r="B3304" t="s">
        <v>1298</v>
      </c>
      <c r="C3304" t="s">
        <v>661</v>
      </c>
      <c r="D3304" t="s">
        <v>1351</v>
      </c>
      <c r="E3304" t="s">
        <v>187</v>
      </c>
      <c r="F3304">
        <v>2005</v>
      </c>
      <c r="G3304">
        <v>9.1059999999999999</v>
      </c>
    </row>
    <row r="3305" spans="1:7">
      <c r="A3305" t="s">
        <v>1297</v>
      </c>
      <c r="B3305" t="s">
        <v>1298</v>
      </c>
      <c r="C3305" t="s">
        <v>661</v>
      </c>
      <c r="D3305" t="s">
        <v>1351</v>
      </c>
      <c r="E3305" t="s">
        <v>187</v>
      </c>
      <c r="F3305">
        <v>2010</v>
      </c>
      <c r="G3305">
        <v>9.4640000000000004</v>
      </c>
    </row>
    <row r="3306" spans="1:7">
      <c r="A3306" t="s">
        <v>1297</v>
      </c>
      <c r="B3306" t="s">
        <v>1298</v>
      </c>
      <c r="C3306" t="s">
        <v>661</v>
      </c>
      <c r="D3306" t="s">
        <v>1351</v>
      </c>
      <c r="E3306" t="s">
        <v>187</v>
      </c>
      <c r="F3306">
        <v>2012</v>
      </c>
      <c r="G3306">
        <v>1.889796</v>
      </c>
    </row>
    <row r="3307" spans="1:7">
      <c r="A3307" t="s">
        <v>1297</v>
      </c>
      <c r="B3307" t="s">
        <v>1298</v>
      </c>
      <c r="C3307" t="s">
        <v>661</v>
      </c>
      <c r="D3307" t="s">
        <v>1351</v>
      </c>
      <c r="E3307" t="s">
        <v>187</v>
      </c>
      <c r="F3307">
        <v>2016</v>
      </c>
      <c r="G3307">
        <v>1.58161</v>
      </c>
    </row>
    <row r="3308" spans="1:7">
      <c r="A3308" t="s">
        <v>1297</v>
      </c>
      <c r="B3308" t="s">
        <v>1298</v>
      </c>
      <c r="C3308" t="s">
        <v>661</v>
      </c>
      <c r="D3308" t="s">
        <v>1351</v>
      </c>
      <c r="E3308" t="s">
        <v>187</v>
      </c>
      <c r="F3308">
        <v>2020</v>
      </c>
      <c r="G3308">
        <v>1.023784</v>
      </c>
    </row>
    <row r="3309" spans="1:7">
      <c r="A3309" t="s">
        <v>1297</v>
      </c>
      <c r="B3309" t="s">
        <v>1298</v>
      </c>
      <c r="C3309" t="s">
        <v>651</v>
      </c>
      <c r="D3309" t="s">
        <v>1351</v>
      </c>
      <c r="E3309" t="s">
        <v>187</v>
      </c>
      <c r="F3309">
        <v>2005</v>
      </c>
      <c r="G3309">
        <v>3.9185859999999999</v>
      </c>
    </row>
    <row r="3310" spans="1:7">
      <c r="A3310" t="s">
        <v>1297</v>
      </c>
      <c r="B3310" t="s">
        <v>1298</v>
      </c>
      <c r="C3310" t="s">
        <v>651</v>
      </c>
      <c r="D3310" t="s">
        <v>1351</v>
      </c>
      <c r="E3310" t="s">
        <v>187</v>
      </c>
      <c r="F3310">
        <v>2010</v>
      </c>
      <c r="G3310">
        <v>2.5662970000000001</v>
      </c>
    </row>
    <row r="3311" spans="1:7">
      <c r="A3311" t="s">
        <v>1297</v>
      </c>
      <c r="B3311" t="s">
        <v>1298</v>
      </c>
      <c r="C3311" t="s">
        <v>651</v>
      </c>
      <c r="D3311" t="s">
        <v>1351</v>
      </c>
      <c r="E3311" t="s">
        <v>187</v>
      </c>
      <c r="F3311">
        <v>2012</v>
      </c>
      <c r="G3311">
        <v>1.7525980000000001</v>
      </c>
    </row>
    <row r="3312" spans="1:7">
      <c r="A3312" t="s">
        <v>1297</v>
      </c>
      <c r="B3312" t="s">
        <v>1298</v>
      </c>
      <c r="C3312" t="s">
        <v>651</v>
      </c>
      <c r="D3312" t="s">
        <v>1351</v>
      </c>
      <c r="E3312" t="s">
        <v>187</v>
      </c>
      <c r="F3312">
        <v>2016</v>
      </c>
      <c r="G3312">
        <v>0.86014900000000005</v>
      </c>
    </row>
    <row r="3313" spans="1:7">
      <c r="A3313" t="s">
        <v>1297</v>
      </c>
      <c r="B3313" t="s">
        <v>1298</v>
      </c>
      <c r="C3313" t="s">
        <v>651</v>
      </c>
      <c r="D3313" t="s">
        <v>1351</v>
      </c>
      <c r="E3313" t="s">
        <v>187</v>
      </c>
      <c r="F3313">
        <v>2020</v>
      </c>
      <c r="G3313">
        <v>0.80531699999999995</v>
      </c>
    </row>
    <row r="3314" spans="1:7">
      <c r="A3314" t="s">
        <v>1297</v>
      </c>
      <c r="B3314" t="s">
        <v>1298</v>
      </c>
      <c r="C3314" t="s">
        <v>657</v>
      </c>
      <c r="D3314" t="s">
        <v>1351</v>
      </c>
      <c r="E3314" t="s">
        <v>187</v>
      </c>
      <c r="F3314">
        <v>2010</v>
      </c>
      <c r="G3314">
        <v>1.83E-2</v>
      </c>
    </row>
    <row r="3315" spans="1:7">
      <c r="A3315" t="s">
        <v>1297</v>
      </c>
      <c r="B3315" t="s">
        <v>1298</v>
      </c>
      <c r="C3315" t="s">
        <v>657</v>
      </c>
      <c r="D3315" t="s">
        <v>1351</v>
      </c>
      <c r="E3315" t="s">
        <v>187</v>
      </c>
      <c r="F3315">
        <v>2012</v>
      </c>
      <c r="G3315">
        <v>1.83E-2</v>
      </c>
    </row>
    <row r="3316" spans="1:7">
      <c r="A3316" t="s">
        <v>1297</v>
      </c>
      <c r="B3316" t="s">
        <v>1298</v>
      </c>
      <c r="C3316" t="s">
        <v>657</v>
      </c>
      <c r="D3316" t="s">
        <v>1351</v>
      </c>
      <c r="E3316" t="s">
        <v>187</v>
      </c>
      <c r="F3316">
        <v>2016</v>
      </c>
      <c r="G3316">
        <v>8.2399999999999997E-4</v>
      </c>
    </row>
    <row r="3317" spans="1:7">
      <c r="A3317" t="s">
        <v>1297</v>
      </c>
      <c r="B3317" t="s">
        <v>1298</v>
      </c>
      <c r="C3317" t="s">
        <v>662</v>
      </c>
      <c r="D3317" t="s">
        <v>1351</v>
      </c>
      <c r="E3317" t="s">
        <v>187</v>
      </c>
      <c r="F3317">
        <v>2005</v>
      </c>
      <c r="G3317">
        <v>0.197546</v>
      </c>
    </row>
    <row r="3318" spans="1:7">
      <c r="A3318" t="s">
        <v>1297</v>
      </c>
      <c r="B3318" t="s">
        <v>1298</v>
      </c>
      <c r="C3318" t="s">
        <v>662</v>
      </c>
      <c r="D3318" t="s">
        <v>1351</v>
      </c>
      <c r="E3318" t="s">
        <v>187</v>
      </c>
      <c r="F3318">
        <v>2010</v>
      </c>
      <c r="G3318">
        <v>0.14089399999999999</v>
      </c>
    </row>
    <row r="3319" spans="1:7">
      <c r="A3319" t="s">
        <v>1297</v>
      </c>
      <c r="B3319" t="s">
        <v>1298</v>
      </c>
      <c r="C3319" t="s">
        <v>662</v>
      </c>
      <c r="D3319" t="s">
        <v>1351</v>
      </c>
      <c r="E3319" t="s">
        <v>187</v>
      </c>
      <c r="F3319">
        <v>2012</v>
      </c>
      <c r="G3319">
        <v>1.6049999999999998E-2</v>
      </c>
    </row>
    <row r="3320" spans="1:7">
      <c r="A3320" t="s">
        <v>1297</v>
      </c>
      <c r="B3320" t="s">
        <v>1298</v>
      </c>
      <c r="C3320" t="s">
        <v>662</v>
      </c>
      <c r="D3320" t="s">
        <v>1351</v>
      </c>
      <c r="E3320" t="s">
        <v>187</v>
      </c>
      <c r="F3320">
        <v>2016</v>
      </c>
      <c r="G3320">
        <v>8.1535999999999997E-2</v>
      </c>
    </row>
    <row r="3321" spans="1:7">
      <c r="A3321" t="s">
        <v>1297</v>
      </c>
      <c r="B3321" t="s">
        <v>1298</v>
      </c>
      <c r="C3321" t="s">
        <v>662</v>
      </c>
      <c r="D3321" t="s">
        <v>1351</v>
      </c>
      <c r="E3321" t="s">
        <v>187</v>
      </c>
      <c r="F3321">
        <v>2020</v>
      </c>
      <c r="G3321">
        <v>0.14269899999999999</v>
      </c>
    </row>
    <row r="3322" spans="1:7">
      <c r="A3322" t="s">
        <v>1297</v>
      </c>
      <c r="B3322" t="s">
        <v>1298</v>
      </c>
      <c r="C3322" t="s">
        <v>1299</v>
      </c>
      <c r="D3322" t="s">
        <v>1351</v>
      </c>
      <c r="E3322" t="s">
        <v>187</v>
      </c>
      <c r="F3322">
        <v>2016</v>
      </c>
      <c r="G3322">
        <v>9.557995</v>
      </c>
    </row>
    <row r="3323" spans="1:7">
      <c r="A3323" t="s">
        <v>1297</v>
      </c>
      <c r="B3323" t="s">
        <v>1298</v>
      </c>
      <c r="C3323" t="s">
        <v>1299</v>
      </c>
      <c r="D3323" t="s">
        <v>1351</v>
      </c>
      <c r="E3323" t="s">
        <v>187</v>
      </c>
      <c r="F3323">
        <v>2020</v>
      </c>
      <c r="G3323">
        <v>6.3573069999999996</v>
      </c>
    </row>
    <row r="3324" spans="1:7">
      <c r="A3324" t="s">
        <v>1297</v>
      </c>
      <c r="B3324" t="s">
        <v>1298</v>
      </c>
      <c r="C3324" t="s">
        <v>666</v>
      </c>
      <c r="D3324" t="s">
        <v>1351</v>
      </c>
      <c r="E3324" t="s">
        <v>187</v>
      </c>
      <c r="F3324">
        <v>2005</v>
      </c>
      <c r="G3324">
        <v>1.05908</v>
      </c>
    </row>
    <row r="3325" spans="1:7">
      <c r="A3325" t="s">
        <v>1297</v>
      </c>
      <c r="B3325" t="s">
        <v>1298</v>
      </c>
      <c r="C3325" t="s">
        <v>666</v>
      </c>
      <c r="D3325" t="s">
        <v>1351</v>
      </c>
      <c r="E3325" t="s">
        <v>187</v>
      </c>
      <c r="F3325">
        <v>2010</v>
      </c>
      <c r="G3325">
        <v>2.0870799999999998</v>
      </c>
    </row>
    <row r="3326" spans="1:7">
      <c r="A3326" t="s">
        <v>1297</v>
      </c>
      <c r="B3326" t="s">
        <v>1298</v>
      </c>
      <c r="C3326" t="s">
        <v>666</v>
      </c>
      <c r="D3326" t="s">
        <v>1351</v>
      </c>
      <c r="E3326" t="s">
        <v>187</v>
      </c>
      <c r="F3326">
        <v>2012</v>
      </c>
      <c r="G3326">
        <v>1.978205</v>
      </c>
    </row>
    <row r="3327" spans="1:7">
      <c r="A3327" t="s">
        <v>1297</v>
      </c>
      <c r="B3327" t="s">
        <v>1298</v>
      </c>
      <c r="C3327" t="s">
        <v>666</v>
      </c>
      <c r="D3327" t="s">
        <v>1351</v>
      </c>
      <c r="E3327" t="s">
        <v>187</v>
      </c>
      <c r="F3327">
        <v>2016</v>
      </c>
      <c r="G3327">
        <v>1.5299050000000001</v>
      </c>
    </row>
    <row r="3328" spans="1:7">
      <c r="A3328" t="s">
        <v>1297</v>
      </c>
      <c r="B3328" t="s">
        <v>1298</v>
      </c>
      <c r="C3328" t="s">
        <v>666</v>
      </c>
      <c r="D3328" t="s">
        <v>1351</v>
      </c>
      <c r="E3328" t="s">
        <v>187</v>
      </c>
      <c r="F3328">
        <v>2020</v>
      </c>
      <c r="G3328">
        <v>1.326336</v>
      </c>
    </row>
    <row r="3329" spans="1:7">
      <c r="A3329" t="s">
        <v>1297</v>
      </c>
      <c r="B3329" t="s">
        <v>1298</v>
      </c>
      <c r="C3329" t="s">
        <v>673</v>
      </c>
      <c r="D3329" t="s">
        <v>1351</v>
      </c>
      <c r="E3329" t="s">
        <v>187</v>
      </c>
      <c r="F3329">
        <v>2005</v>
      </c>
      <c r="G3329">
        <v>0.56823199999999996</v>
      </c>
    </row>
    <row r="3330" spans="1:7">
      <c r="A3330" t="s">
        <v>1297</v>
      </c>
      <c r="B3330" t="s">
        <v>1298</v>
      </c>
      <c r="C3330" t="s">
        <v>673</v>
      </c>
      <c r="D3330" t="s">
        <v>1351</v>
      </c>
      <c r="E3330" t="s">
        <v>187</v>
      </c>
      <c r="F3330">
        <v>2010</v>
      </c>
      <c r="G3330">
        <v>0.40894799999999998</v>
      </c>
    </row>
    <row r="3331" spans="1:7">
      <c r="A3331" t="s">
        <v>1297</v>
      </c>
      <c r="B3331" t="s">
        <v>1298</v>
      </c>
      <c r="C3331" t="s">
        <v>673</v>
      </c>
      <c r="D3331" t="s">
        <v>1351</v>
      </c>
      <c r="E3331" t="s">
        <v>187</v>
      </c>
      <c r="F3331">
        <v>2012</v>
      </c>
      <c r="G3331">
        <v>1.165532</v>
      </c>
    </row>
    <row r="3332" spans="1:7">
      <c r="A3332" t="s">
        <v>1297</v>
      </c>
      <c r="B3332" t="s">
        <v>1298</v>
      </c>
      <c r="C3332" t="s">
        <v>673</v>
      </c>
      <c r="D3332" t="s">
        <v>1351</v>
      </c>
      <c r="E3332" t="s">
        <v>187</v>
      </c>
      <c r="F3332">
        <v>2016</v>
      </c>
      <c r="G3332">
        <v>2.3613770000000001</v>
      </c>
    </row>
    <row r="3333" spans="1:7">
      <c r="A3333" t="s">
        <v>1297</v>
      </c>
      <c r="B3333" t="s">
        <v>1298</v>
      </c>
      <c r="C3333" t="s">
        <v>673</v>
      </c>
      <c r="D3333" t="s">
        <v>1351</v>
      </c>
      <c r="E3333" t="s">
        <v>187</v>
      </c>
      <c r="F3333">
        <v>2020</v>
      </c>
      <c r="G3333">
        <v>1.703619</v>
      </c>
    </row>
    <row r="3334" spans="1:7">
      <c r="A3334" t="s">
        <v>1297</v>
      </c>
      <c r="B3334" t="s">
        <v>1298</v>
      </c>
      <c r="C3334" t="s">
        <v>655</v>
      </c>
      <c r="D3334" t="s">
        <v>1351</v>
      </c>
      <c r="E3334" t="s">
        <v>187</v>
      </c>
      <c r="F3334">
        <v>2005</v>
      </c>
      <c r="G3334">
        <v>28.7912</v>
      </c>
    </row>
    <row r="3335" spans="1:7">
      <c r="A3335" t="s">
        <v>1297</v>
      </c>
      <c r="B3335" t="s">
        <v>1298</v>
      </c>
      <c r="C3335" t="s">
        <v>655</v>
      </c>
      <c r="D3335" t="s">
        <v>1351</v>
      </c>
      <c r="E3335" t="s">
        <v>187</v>
      </c>
      <c r="F3335">
        <v>2010</v>
      </c>
      <c r="G3335">
        <v>39.813184</v>
      </c>
    </row>
    <row r="3336" spans="1:7">
      <c r="A3336" t="s">
        <v>1297</v>
      </c>
      <c r="B3336" t="s">
        <v>1298</v>
      </c>
      <c r="C3336" t="s">
        <v>655</v>
      </c>
      <c r="D3336" t="s">
        <v>1351</v>
      </c>
      <c r="E3336" t="s">
        <v>187</v>
      </c>
      <c r="F3336">
        <v>2012</v>
      </c>
      <c r="G3336">
        <v>39.264848000000001</v>
      </c>
    </row>
    <row r="3337" spans="1:7">
      <c r="A3337" t="s">
        <v>1297</v>
      </c>
      <c r="B3337" t="s">
        <v>1298</v>
      </c>
      <c r="C3337" t="s">
        <v>655</v>
      </c>
      <c r="D3337" t="s">
        <v>1351</v>
      </c>
      <c r="E3337" t="s">
        <v>187</v>
      </c>
      <c r="F3337">
        <v>2016</v>
      </c>
      <c r="G3337">
        <v>34.331935999999999</v>
      </c>
    </row>
    <row r="3338" spans="1:7">
      <c r="A3338" t="s">
        <v>1297</v>
      </c>
      <c r="B3338" t="s">
        <v>1298</v>
      </c>
      <c r="C3338" t="s">
        <v>655</v>
      </c>
      <c r="D3338" t="s">
        <v>1351</v>
      </c>
      <c r="E3338" t="s">
        <v>187</v>
      </c>
      <c r="F3338">
        <v>2020</v>
      </c>
      <c r="G3338">
        <v>28.885807</v>
      </c>
    </row>
    <row r="3339" spans="1:7">
      <c r="A3339" t="s">
        <v>1297</v>
      </c>
      <c r="B3339" t="s">
        <v>1298</v>
      </c>
      <c r="C3339" t="s">
        <v>1299</v>
      </c>
      <c r="D3339" t="s">
        <v>1351</v>
      </c>
      <c r="E3339" t="s">
        <v>187</v>
      </c>
      <c r="F3339">
        <v>2005</v>
      </c>
      <c r="G3339">
        <v>14.846867</v>
      </c>
    </row>
    <row r="3340" spans="1:7">
      <c r="A3340" t="s">
        <v>1297</v>
      </c>
      <c r="B3340" t="s">
        <v>1298</v>
      </c>
      <c r="C3340" t="s">
        <v>1299</v>
      </c>
      <c r="D3340" t="s">
        <v>1351</v>
      </c>
      <c r="E3340" t="s">
        <v>187</v>
      </c>
      <c r="F3340">
        <v>2010</v>
      </c>
      <c r="G3340">
        <v>17.358825</v>
      </c>
    </row>
    <row r="3341" spans="1:7">
      <c r="A3341" t="s">
        <v>1297</v>
      </c>
      <c r="B3341" t="s">
        <v>1298</v>
      </c>
      <c r="C3341" t="s">
        <v>1299</v>
      </c>
      <c r="D3341" t="s">
        <v>1351</v>
      </c>
      <c r="E3341" t="s">
        <v>187</v>
      </c>
      <c r="F3341">
        <v>2012</v>
      </c>
      <c r="G3341">
        <v>27.837140000000002</v>
      </c>
    </row>
    <row r="3342" spans="1:7">
      <c r="A3342" t="s">
        <v>1297</v>
      </c>
      <c r="B3342" t="s">
        <v>1298</v>
      </c>
      <c r="C3342" t="s">
        <v>652</v>
      </c>
      <c r="D3342" t="s">
        <v>1351</v>
      </c>
      <c r="E3342" t="s">
        <v>187</v>
      </c>
      <c r="F3342">
        <v>2005</v>
      </c>
      <c r="G3342">
        <v>4.6975220000000002</v>
      </c>
    </row>
    <row r="3343" spans="1:7">
      <c r="A3343" t="s">
        <v>1297</v>
      </c>
      <c r="B3343" t="s">
        <v>1298</v>
      </c>
      <c r="C3343" t="s">
        <v>652</v>
      </c>
      <c r="D3343" t="s">
        <v>1351</v>
      </c>
      <c r="E3343" t="s">
        <v>187</v>
      </c>
      <c r="F3343">
        <v>2010</v>
      </c>
      <c r="G3343">
        <v>4.461894</v>
      </c>
    </row>
    <row r="3344" spans="1:7">
      <c r="A3344" t="s">
        <v>1297</v>
      </c>
      <c r="B3344" t="s">
        <v>1298</v>
      </c>
      <c r="C3344" t="s">
        <v>652</v>
      </c>
      <c r="D3344" t="s">
        <v>1351</v>
      </c>
      <c r="E3344" t="s">
        <v>187</v>
      </c>
      <c r="F3344">
        <v>2012</v>
      </c>
      <c r="G3344">
        <v>4.0247060000000001</v>
      </c>
    </row>
    <row r="3345" spans="1:7">
      <c r="A3345" t="s">
        <v>1297</v>
      </c>
      <c r="B3345" t="s">
        <v>1298</v>
      </c>
      <c r="C3345" t="s">
        <v>652</v>
      </c>
      <c r="D3345" t="s">
        <v>1351</v>
      </c>
      <c r="E3345" t="s">
        <v>187</v>
      </c>
      <c r="F3345">
        <v>2016</v>
      </c>
      <c r="G3345">
        <v>3.2110409999999998</v>
      </c>
    </row>
    <row r="3346" spans="1:7">
      <c r="A3346" t="s">
        <v>1297</v>
      </c>
      <c r="B3346" t="s">
        <v>1298</v>
      </c>
      <c r="C3346" t="s">
        <v>652</v>
      </c>
      <c r="D3346" t="s">
        <v>1351</v>
      </c>
      <c r="E3346" t="s">
        <v>187</v>
      </c>
      <c r="F3346">
        <v>2020</v>
      </c>
      <c r="G3346">
        <v>1.9248019999999999</v>
      </c>
    </row>
    <row r="3347" spans="1:7">
      <c r="A3347" t="s">
        <v>1297</v>
      </c>
      <c r="B3347" t="s">
        <v>1298</v>
      </c>
      <c r="C3347" t="s">
        <v>676</v>
      </c>
      <c r="D3347" t="s">
        <v>1351</v>
      </c>
      <c r="E3347" t="s">
        <v>187</v>
      </c>
      <c r="F3347">
        <v>2005</v>
      </c>
      <c r="G3347">
        <v>2.1051669999999998</v>
      </c>
    </row>
    <row r="3348" spans="1:7">
      <c r="A3348" t="s">
        <v>1297</v>
      </c>
      <c r="B3348" t="s">
        <v>1298</v>
      </c>
      <c r="C3348" t="s">
        <v>676</v>
      </c>
      <c r="D3348" t="s">
        <v>1351</v>
      </c>
      <c r="E3348" t="s">
        <v>187</v>
      </c>
      <c r="F3348">
        <v>2010</v>
      </c>
      <c r="G3348">
        <v>2.2045970000000001</v>
      </c>
    </row>
    <row r="3349" spans="1:7">
      <c r="A3349" t="s">
        <v>1297</v>
      </c>
      <c r="B3349" t="s">
        <v>1298</v>
      </c>
      <c r="C3349" t="s">
        <v>676</v>
      </c>
      <c r="D3349" t="s">
        <v>1351</v>
      </c>
      <c r="E3349" t="s">
        <v>187</v>
      </c>
      <c r="F3349">
        <v>2012</v>
      </c>
      <c r="G3349">
        <v>1.8668499999999999</v>
      </c>
    </row>
    <row r="3350" spans="1:7">
      <c r="A3350" t="s">
        <v>1297</v>
      </c>
      <c r="B3350" t="s">
        <v>1298</v>
      </c>
      <c r="C3350" t="s">
        <v>676</v>
      </c>
      <c r="D3350" t="s">
        <v>1351</v>
      </c>
      <c r="E3350" t="s">
        <v>187</v>
      </c>
      <c r="F3350">
        <v>2016</v>
      </c>
      <c r="G3350">
        <v>1.2390460000000001</v>
      </c>
    </row>
    <row r="3351" spans="1:7">
      <c r="A3351" t="s">
        <v>1297</v>
      </c>
      <c r="B3351" t="s">
        <v>1298</v>
      </c>
      <c r="C3351" t="s">
        <v>676</v>
      </c>
      <c r="D3351" t="s">
        <v>1351</v>
      </c>
      <c r="E3351" t="s">
        <v>187</v>
      </c>
      <c r="F3351">
        <v>2020</v>
      </c>
      <c r="G3351">
        <v>1.192766</v>
      </c>
    </row>
    <row r="3352" spans="1:7">
      <c r="A3352" t="s">
        <v>1297</v>
      </c>
      <c r="B3352" t="s">
        <v>1298</v>
      </c>
      <c r="C3352" t="s">
        <v>677</v>
      </c>
      <c r="D3352" t="s">
        <v>1351</v>
      </c>
      <c r="E3352" t="s">
        <v>187</v>
      </c>
      <c r="F3352">
        <v>2005</v>
      </c>
      <c r="G3352">
        <v>27.596209999999999</v>
      </c>
    </row>
    <row r="3353" spans="1:7">
      <c r="A3353" t="s">
        <v>1297</v>
      </c>
      <c r="B3353" t="s">
        <v>1298</v>
      </c>
      <c r="C3353" t="s">
        <v>677</v>
      </c>
      <c r="D3353" t="s">
        <v>1351</v>
      </c>
      <c r="E3353" t="s">
        <v>187</v>
      </c>
      <c r="F3353">
        <v>2010</v>
      </c>
      <c r="G3353">
        <v>30.375463</v>
      </c>
    </row>
    <row r="3354" spans="1:7">
      <c r="A3354" t="s">
        <v>1297</v>
      </c>
      <c r="B3354" t="s">
        <v>1298</v>
      </c>
      <c r="C3354" t="s">
        <v>677</v>
      </c>
      <c r="D3354" t="s">
        <v>1351</v>
      </c>
      <c r="E3354" t="s">
        <v>187</v>
      </c>
      <c r="F3354">
        <v>2012</v>
      </c>
      <c r="G3354">
        <v>27.451512000000001</v>
      </c>
    </row>
    <row r="3355" spans="1:7">
      <c r="A3355" t="s">
        <v>1297</v>
      </c>
      <c r="B3355" t="s">
        <v>1298</v>
      </c>
      <c r="C3355" t="s">
        <v>677</v>
      </c>
      <c r="D3355" t="s">
        <v>1351</v>
      </c>
      <c r="E3355" t="s">
        <v>187</v>
      </c>
      <c r="F3355">
        <v>2016</v>
      </c>
      <c r="G3355">
        <v>22.703209999999999</v>
      </c>
    </row>
    <row r="3356" spans="1:7">
      <c r="A3356" t="s">
        <v>1297</v>
      </c>
      <c r="B3356" t="s">
        <v>1298</v>
      </c>
      <c r="C3356" t="s">
        <v>677</v>
      </c>
      <c r="D3356" t="s">
        <v>1351</v>
      </c>
      <c r="E3356" t="s">
        <v>187</v>
      </c>
      <c r="F3356">
        <v>2020</v>
      </c>
      <c r="G3356">
        <v>19.10098</v>
      </c>
    </row>
    <row r="3357" spans="1:7">
      <c r="A3357" t="s">
        <v>1297</v>
      </c>
      <c r="B3357" t="s">
        <v>1298</v>
      </c>
      <c r="C3357" t="s">
        <v>685</v>
      </c>
      <c r="D3357" t="s">
        <v>1351</v>
      </c>
      <c r="E3357" t="s">
        <v>187</v>
      </c>
      <c r="F3357">
        <v>2005</v>
      </c>
      <c r="G3357">
        <v>0.15876399999999999</v>
      </c>
    </row>
    <row r="3358" spans="1:7">
      <c r="A3358" t="s">
        <v>1297</v>
      </c>
      <c r="B3358" t="s">
        <v>1298</v>
      </c>
      <c r="C3358" t="s">
        <v>685</v>
      </c>
      <c r="D3358" t="s">
        <v>1351</v>
      </c>
      <c r="E3358" t="s">
        <v>187</v>
      </c>
      <c r="F3358">
        <v>2010</v>
      </c>
      <c r="G3358">
        <v>8.8092000000000004E-2</v>
      </c>
    </row>
    <row r="3359" spans="1:7">
      <c r="A3359" t="s">
        <v>1297</v>
      </c>
      <c r="B3359" t="s">
        <v>1298</v>
      </c>
      <c r="C3359" t="s">
        <v>685</v>
      </c>
      <c r="D3359" t="s">
        <v>1351</v>
      </c>
      <c r="E3359" t="s">
        <v>187</v>
      </c>
      <c r="F3359">
        <v>2012</v>
      </c>
      <c r="G3359">
        <v>6.5240000000000006E-2</v>
      </c>
    </row>
    <row r="3360" spans="1:7">
      <c r="A3360" t="s">
        <v>1297</v>
      </c>
      <c r="B3360" t="s">
        <v>1298</v>
      </c>
      <c r="C3360" t="s">
        <v>685</v>
      </c>
      <c r="D3360" t="s">
        <v>1351</v>
      </c>
      <c r="E3360" t="s">
        <v>187</v>
      </c>
      <c r="F3360">
        <v>2016</v>
      </c>
      <c r="G3360">
        <v>3.8154E-2</v>
      </c>
    </row>
    <row r="3361" spans="1:7">
      <c r="A3361" t="s">
        <v>1297</v>
      </c>
      <c r="B3361" t="s">
        <v>1298</v>
      </c>
      <c r="C3361" t="s">
        <v>685</v>
      </c>
      <c r="D3361" t="s">
        <v>1351</v>
      </c>
      <c r="E3361" t="s">
        <v>187</v>
      </c>
      <c r="F3361">
        <v>2020</v>
      </c>
      <c r="G3361">
        <v>2.5649999999999999E-2</v>
      </c>
    </row>
    <row r="3362" spans="1:7">
      <c r="A3362" t="s">
        <v>1297</v>
      </c>
      <c r="B3362" t="s">
        <v>1298</v>
      </c>
      <c r="C3362" t="s">
        <v>656</v>
      </c>
      <c r="D3362" t="s">
        <v>1351</v>
      </c>
      <c r="E3362" t="s">
        <v>187</v>
      </c>
      <c r="F3362">
        <v>2005</v>
      </c>
      <c r="G3362">
        <v>25.259128</v>
      </c>
    </row>
    <row r="3363" spans="1:7">
      <c r="A3363" t="s">
        <v>1297</v>
      </c>
      <c r="B3363" t="s">
        <v>1298</v>
      </c>
      <c r="C3363" t="s">
        <v>656</v>
      </c>
      <c r="D3363" t="s">
        <v>1351</v>
      </c>
      <c r="E3363" t="s">
        <v>187</v>
      </c>
      <c r="F3363">
        <v>2010</v>
      </c>
      <c r="G3363">
        <v>41.538983000000002</v>
      </c>
    </row>
    <row r="3364" spans="1:7">
      <c r="A3364" t="s">
        <v>1297</v>
      </c>
      <c r="B3364" t="s">
        <v>1298</v>
      </c>
      <c r="C3364" t="s">
        <v>656</v>
      </c>
      <c r="D3364" t="s">
        <v>1351</v>
      </c>
      <c r="E3364" t="s">
        <v>187</v>
      </c>
      <c r="F3364">
        <v>2012</v>
      </c>
      <c r="G3364">
        <v>31.101431999999999</v>
      </c>
    </row>
    <row r="3365" spans="1:7">
      <c r="A3365" t="s">
        <v>1297</v>
      </c>
      <c r="B3365" t="s">
        <v>1298</v>
      </c>
      <c r="C3365" t="s">
        <v>656</v>
      </c>
      <c r="D3365" t="s">
        <v>1351</v>
      </c>
      <c r="E3365" t="s">
        <v>187</v>
      </c>
      <c r="F3365">
        <v>2016</v>
      </c>
      <c r="G3365">
        <v>21.75376</v>
      </c>
    </row>
    <row r="3366" spans="1:7">
      <c r="A3366" t="s">
        <v>1297</v>
      </c>
      <c r="B3366" t="s">
        <v>1298</v>
      </c>
      <c r="C3366" t="s">
        <v>656</v>
      </c>
      <c r="D3366" t="s">
        <v>1351</v>
      </c>
      <c r="E3366" t="s">
        <v>187</v>
      </c>
      <c r="F3366">
        <v>2020</v>
      </c>
      <c r="G3366">
        <v>14.460181</v>
      </c>
    </row>
    <row r="3367" spans="1:7">
      <c r="A3367" t="s">
        <v>1297</v>
      </c>
      <c r="B3367" t="s">
        <v>1298</v>
      </c>
      <c r="C3367" t="s">
        <v>658</v>
      </c>
      <c r="D3367" t="s">
        <v>1351</v>
      </c>
      <c r="E3367" t="s">
        <v>187</v>
      </c>
      <c r="F3367">
        <v>2005</v>
      </c>
      <c r="G3367">
        <v>0.787524</v>
      </c>
    </row>
    <row r="3368" spans="1:7">
      <c r="A3368" t="s">
        <v>1297</v>
      </c>
      <c r="B3368" t="s">
        <v>1298</v>
      </c>
      <c r="C3368" t="s">
        <v>658</v>
      </c>
      <c r="D3368" t="s">
        <v>1351</v>
      </c>
      <c r="E3368" t="s">
        <v>187</v>
      </c>
      <c r="F3368">
        <v>2010</v>
      </c>
      <c r="G3368">
        <v>0.21728</v>
      </c>
    </row>
    <row r="3369" spans="1:7">
      <c r="A3369" t="s">
        <v>1297</v>
      </c>
      <c r="B3369" t="s">
        <v>1298</v>
      </c>
      <c r="C3369" t="s">
        <v>658</v>
      </c>
      <c r="D3369" t="s">
        <v>1351</v>
      </c>
      <c r="E3369" t="s">
        <v>187</v>
      </c>
      <c r="F3369">
        <v>2012</v>
      </c>
      <c r="G3369">
        <v>0.245223</v>
      </c>
    </row>
    <row r="3370" spans="1:7">
      <c r="A3370" t="s">
        <v>1297</v>
      </c>
      <c r="B3370" t="s">
        <v>1298</v>
      </c>
      <c r="C3370" t="s">
        <v>658</v>
      </c>
      <c r="D3370" t="s">
        <v>1351</v>
      </c>
      <c r="E3370" t="s">
        <v>187</v>
      </c>
      <c r="F3370">
        <v>2016</v>
      </c>
      <c r="G3370">
        <v>8.1449999999999995E-2</v>
      </c>
    </row>
    <row r="3371" spans="1:7">
      <c r="A3371" t="s">
        <v>1297</v>
      </c>
      <c r="B3371" t="s">
        <v>1298</v>
      </c>
      <c r="C3371" t="s">
        <v>658</v>
      </c>
      <c r="D3371" t="s">
        <v>1351</v>
      </c>
      <c r="E3371" t="s">
        <v>187</v>
      </c>
      <c r="F3371">
        <v>2020</v>
      </c>
      <c r="G3371">
        <v>4.9880000000000001E-2</v>
      </c>
    </row>
    <row r="3372" spans="1:7">
      <c r="A3372" t="s">
        <v>1297</v>
      </c>
      <c r="B3372" t="s">
        <v>1298</v>
      </c>
      <c r="C3372" t="s">
        <v>671</v>
      </c>
      <c r="D3372" t="s">
        <v>1351</v>
      </c>
      <c r="E3372" t="s">
        <v>187</v>
      </c>
      <c r="F3372">
        <v>2005</v>
      </c>
      <c r="G3372">
        <v>254.93200999999999</v>
      </c>
    </row>
    <row r="3373" spans="1:7">
      <c r="A3373" t="s">
        <v>1297</v>
      </c>
      <c r="B3373" t="s">
        <v>1298</v>
      </c>
      <c r="C3373" t="s">
        <v>671</v>
      </c>
      <c r="D3373" t="s">
        <v>1351</v>
      </c>
      <c r="E3373" t="s">
        <v>187</v>
      </c>
      <c r="F3373">
        <v>2010</v>
      </c>
      <c r="G3373">
        <v>330.18863199999998</v>
      </c>
    </row>
    <row r="3374" spans="1:7">
      <c r="A3374" t="s">
        <v>1297</v>
      </c>
      <c r="B3374" t="s">
        <v>1298</v>
      </c>
      <c r="C3374" t="s">
        <v>671</v>
      </c>
      <c r="D3374" t="s">
        <v>1351</v>
      </c>
      <c r="E3374" t="s">
        <v>187</v>
      </c>
      <c r="F3374">
        <v>2012</v>
      </c>
      <c r="G3374">
        <v>300.88042999999999</v>
      </c>
    </row>
    <row r="3375" spans="1:7">
      <c r="A3375" t="s">
        <v>1297</v>
      </c>
      <c r="B3375" t="s">
        <v>1298</v>
      </c>
      <c r="C3375" t="s">
        <v>671</v>
      </c>
      <c r="D3375" t="s">
        <v>1351</v>
      </c>
      <c r="E3375" t="s">
        <v>187</v>
      </c>
      <c r="F3375">
        <v>2016</v>
      </c>
      <c r="G3375">
        <v>275.73095000000001</v>
      </c>
    </row>
    <row r="3376" spans="1:7">
      <c r="A3376" t="s">
        <v>1297</v>
      </c>
      <c r="B3376" t="s">
        <v>1298</v>
      </c>
      <c r="C3376" t="s">
        <v>671</v>
      </c>
      <c r="D3376" t="s">
        <v>1351</v>
      </c>
      <c r="E3376" t="s">
        <v>187</v>
      </c>
      <c r="F3376">
        <v>2020</v>
      </c>
      <c r="G3376">
        <v>208.45183900000001</v>
      </c>
    </row>
    <row r="3377" spans="1:7">
      <c r="A3377" t="s">
        <v>1297</v>
      </c>
      <c r="B3377" t="s">
        <v>1298</v>
      </c>
      <c r="C3377" t="s">
        <v>670</v>
      </c>
      <c r="D3377" t="s">
        <v>1351</v>
      </c>
      <c r="E3377" t="s">
        <v>187</v>
      </c>
      <c r="F3377">
        <v>2005</v>
      </c>
      <c r="G3377">
        <v>4.9299999999999997E-2</v>
      </c>
    </row>
    <row r="3378" spans="1:7">
      <c r="A3378" t="s">
        <v>1297</v>
      </c>
      <c r="B3378" t="s">
        <v>1298</v>
      </c>
      <c r="C3378" t="s">
        <v>670</v>
      </c>
      <c r="D3378" t="s">
        <v>1351</v>
      </c>
      <c r="E3378" t="s">
        <v>187</v>
      </c>
      <c r="F3378">
        <v>2010</v>
      </c>
      <c r="G3378">
        <v>0.08</v>
      </c>
    </row>
    <row r="3379" spans="1:7">
      <c r="A3379" t="s">
        <v>1297</v>
      </c>
      <c r="B3379" t="s">
        <v>1298</v>
      </c>
      <c r="C3379" t="s">
        <v>670</v>
      </c>
      <c r="D3379" t="s">
        <v>1351</v>
      </c>
      <c r="E3379" t="s">
        <v>187</v>
      </c>
      <c r="F3379">
        <v>2012</v>
      </c>
      <c r="G3379">
        <v>0.08</v>
      </c>
    </row>
    <row r="3380" spans="1:7">
      <c r="A3380" t="s">
        <v>1297</v>
      </c>
      <c r="B3380" t="s">
        <v>1298</v>
      </c>
      <c r="C3380" t="s">
        <v>670</v>
      </c>
      <c r="D3380" t="s">
        <v>1351</v>
      </c>
      <c r="E3380" t="s">
        <v>187</v>
      </c>
      <c r="F3380">
        <v>2016</v>
      </c>
      <c r="G3380">
        <v>4.5106E-2</v>
      </c>
    </row>
    <row r="3381" spans="1:7">
      <c r="A3381" t="s">
        <v>1297</v>
      </c>
      <c r="B3381" t="s">
        <v>1298</v>
      </c>
      <c r="C3381" t="s">
        <v>670</v>
      </c>
      <c r="D3381" t="s">
        <v>1351</v>
      </c>
      <c r="E3381" t="s">
        <v>187</v>
      </c>
      <c r="F3381">
        <v>2020</v>
      </c>
      <c r="G3381">
        <v>4.6920000000000003E-2</v>
      </c>
    </row>
    <row r="3382" spans="1:7">
      <c r="A3382" t="s">
        <v>1297</v>
      </c>
      <c r="B3382" t="s">
        <v>1298</v>
      </c>
      <c r="C3382" t="s">
        <v>1303</v>
      </c>
      <c r="D3382" t="s">
        <v>1351</v>
      </c>
      <c r="E3382" t="s">
        <v>187</v>
      </c>
      <c r="F3382">
        <v>2016</v>
      </c>
      <c r="G3382">
        <v>3.4000000000000002E-2</v>
      </c>
    </row>
    <row r="3383" spans="1:7">
      <c r="A3383" t="s">
        <v>1297</v>
      </c>
      <c r="B3383" t="s">
        <v>1298</v>
      </c>
      <c r="C3383" t="s">
        <v>1303</v>
      </c>
      <c r="D3383" t="s">
        <v>1351</v>
      </c>
      <c r="E3383" t="s">
        <v>187</v>
      </c>
      <c r="F3383">
        <v>2020</v>
      </c>
      <c r="G3383">
        <v>9.3779999999999992E-3</v>
      </c>
    </row>
    <row r="3384" spans="1:7">
      <c r="A3384" t="s">
        <v>1297</v>
      </c>
      <c r="B3384" t="s">
        <v>1298</v>
      </c>
      <c r="C3384" t="s">
        <v>679</v>
      </c>
      <c r="D3384" t="s">
        <v>1351</v>
      </c>
      <c r="E3384" t="s">
        <v>187</v>
      </c>
      <c r="F3384">
        <v>2005</v>
      </c>
      <c r="G3384">
        <v>2.8500000000000001E-2</v>
      </c>
    </row>
    <row r="3385" spans="1:7">
      <c r="A3385" t="s">
        <v>1297</v>
      </c>
      <c r="B3385" t="s">
        <v>1298</v>
      </c>
      <c r="C3385" t="s">
        <v>667</v>
      </c>
      <c r="D3385" t="s">
        <v>1351</v>
      </c>
      <c r="E3385" t="s">
        <v>187</v>
      </c>
      <c r="F3385">
        <v>2005</v>
      </c>
      <c r="G3385">
        <v>3.0058999999999999E-2</v>
      </c>
    </row>
    <row r="3386" spans="1:7">
      <c r="A3386" t="s">
        <v>1297</v>
      </c>
      <c r="B3386" t="s">
        <v>1298</v>
      </c>
      <c r="C3386" t="s">
        <v>667</v>
      </c>
      <c r="D3386" t="s">
        <v>1351</v>
      </c>
      <c r="E3386" t="s">
        <v>187</v>
      </c>
      <c r="F3386">
        <v>2010</v>
      </c>
      <c r="G3386">
        <v>2.5340000000000001E-2</v>
      </c>
    </row>
    <row r="3387" spans="1:7">
      <c r="A3387" t="s">
        <v>1297</v>
      </c>
      <c r="B3387" t="s">
        <v>1298</v>
      </c>
      <c r="C3387" t="s">
        <v>667</v>
      </c>
      <c r="D3387" t="s">
        <v>1351</v>
      </c>
      <c r="E3387" t="s">
        <v>187</v>
      </c>
      <c r="F3387">
        <v>2012</v>
      </c>
      <c r="G3387">
        <v>1.8748000000000001E-2</v>
      </c>
    </row>
    <row r="3388" spans="1:7">
      <c r="A3388" t="s">
        <v>1297</v>
      </c>
      <c r="B3388" t="s">
        <v>1298</v>
      </c>
      <c r="C3388" t="s">
        <v>667</v>
      </c>
      <c r="D3388" t="s">
        <v>1351</v>
      </c>
      <c r="E3388" t="s">
        <v>187</v>
      </c>
      <c r="F3388">
        <v>2016</v>
      </c>
      <c r="G3388">
        <v>2.4556999999999999E-2</v>
      </c>
    </row>
    <row r="3389" spans="1:7">
      <c r="A3389" t="s">
        <v>1297</v>
      </c>
      <c r="B3389" t="s">
        <v>1298</v>
      </c>
      <c r="C3389" t="s">
        <v>667</v>
      </c>
      <c r="D3389" t="s">
        <v>1351</v>
      </c>
      <c r="E3389" t="s">
        <v>187</v>
      </c>
      <c r="F3389">
        <v>2020</v>
      </c>
      <c r="G3389">
        <v>1.0413E-2</v>
      </c>
    </row>
    <row r="3390" spans="1:7">
      <c r="A3390" t="s">
        <v>1297</v>
      </c>
      <c r="B3390" t="s">
        <v>1298</v>
      </c>
      <c r="C3390" t="s">
        <v>682</v>
      </c>
      <c r="D3390" t="s">
        <v>1351</v>
      </c>
      <c r="E3390" t="s">
        <v>187</v>
      </c>
      <c r="F3390">
        <v>2016</v>
      </c>
      <c r="G3390">
        <v>3.0788549999999999</v>
      </c>
    </row>
    <row r="3391" spans="1:7">
      <c r="A3391" t="s">
        <v>1297</v>
      </c>
      <c r="B3391" t="s">
        <v>1298</v>
      </c>
      <c r="C3391" t="s">
        <v>682</v>
      </c>
      <c r="D3391" t="s">
        <v>1351</v>
      </c>
      <c r="E3391" t="s">
        <v>187</v>
      </c>
      <c r="F3391">
        <v>2020</v>
      </c>
      <c r="G3391">
        <v>2.3986999999999998</v>
      </c>
    </row>
    <row r="3392" spans="1:7">
      <c r="A3392" t="s">
        <v>1297</v>
      </c>
      <c r="B3392" t="s">
        <v>1298</v>
      </c>
      <c r="C3392" t="s">
        <v>653</v>
      </c>
      <c r="D3392" t="s">
        <v>1351</v>
      </c>
      <c r="E3392" t="s">
        <v>187</v>
      </c>
      <c r="F3392">
        <v>2005</v>
      </c>
      <c r="G3392">
        <v>9.8080449999999999</v>
      </c>
    </row>
    <row r="3393" spans="1:7">
      <c r="A3393" t="s">
        <v>1297</v>
      </c>
      <c r="B3393" t="s">
        <v>1298</v>
      </c>
      <c r="C3393" t="s">
        <v>653</v>
      </c>
      <c r="D3393" t="s">
        <v>1351</v>
      </c>
      <c r="E3393" t="s">
        <v>187</v>
      </c>
      <c r="F3393">
        <v>2010</v>
      </c>
      <c r="G3393">
        <v>8.00854</v>
      </c>
    </row>
    <row r="3394" spans="1:7">
      <c r="A3394" t="s">
        <v>1297</v>
      </c>
      <c r="B3394" t="s">
        <v>1298</v>
      </c>
      <c r="C3394" t="s">
        <v>653</v>
      </c>
      <c r="D3394" t="s">
        <v>1351</v>
      </c>
      <c r="E3394" t="s">
        <v>187</v>
      </c>
      <c r="F3394">
        <v>2012</v>
      </c>
      <c r="G3394">
        <v>9.6754470000000001</v>
      </c>
    </row>
    <row r="3395" spans="1:7">
      <c r="A3395" t="s">
        <v>1297</v>
      </c>
      <c r="B3395" t="s">
        <v>1298</v>
      </c>
      <c r="C3395" t="s">
        <v>653</v>
      </c>
      <c r="D3395" t="s">
        <v>1351</v>
      </c>
      <c r="E3395" t="s">
        <v>187</v>
      </c>
      <c r="F3395">
        <v>2016</v>
      </c>
      <c r="G3395">
        <v>6.3045850000000003</v>
      </c>
    </row>
    <row r="3396" spans="1:7">
      <c r="A3396" t="s">
        <v>1297</v>
      </c>
      <c r="B3396" t="s">
        <v>1298</v>
      </c>
      <c r="C3396" t="s">
        <v>653</v>
      </c>
      <c r="D3396" t="s">
        <v>1351</v>
      </c>
      <c r="E3396" t="s">
        <v>187</v>
      </c>
      <c r="F3396">
        <v>2020</v>
      </c>
      <c r="G3396">
        <v>4.2831979999999996</v>
      </c>
    </row>
    <row r="3397" spans="1:7">
      <c r="A3397" t="s">
        <v>1297</v>
      </c>
      <c r="B3397" t="s">
        <v>1298</v>
      </c>
      <c r="C3397" t="s">
        <v>681</v>
      </c>
      <c r="D3397" t="s">
        <v>1351</v>
      </c>
      <c r="E3397" t="s">
        <v>187</v>
      </c>
      <c r="F3397">
        <v>2012</v>
      </c>
      <c r="G3397">
        <v>9.8429999999999993E-3</v>
      </c>
    </row>
    <row r="3398" spans="1:7">
      <c r="A3398" t="s">
        <v>1297</v>
      </c>
      <c r="B3398" t="s">
        <v>1298</v>
      </c>
      <c r="C3398" t="s">
        <v>671</v>
      </c>
      <c r="D3398" t="s">
        <v>1352</v>
      </c>
      <c r="E3398" t="s">
        <v>187</v>
      </c>
      <c r="F3398">
        <v>2016</v>
      </c>
      <c r="G3398">
        <v>1.2467999999999999</v>
      </c>
    </row>
    <row r="3399" spans="1:7">
      <c r="A3399" t="s">
        <v>1297</v>
      </c>
      <c r="B3399" t="s">
        <v>1298</v>
      </c>
      <c r="C3399" t="s">
        <v>671</v>
      </c>
      <c r="D3399" t="s">
        <v>1352</v>
      </c>
      <c r="E3399" t="s">
        <v>187</v>
      </c>
      <c r="F3399">
        <v>2020</v>
      </c>
      <c r="G3399">
        <v>2.3990000000000001E-2</v>
      </c>
    </row>
    <row r="3400" spans="1:7">
      <c r="A3400" t="s">
        <v>1297</v>
      </c>
      <c r="B3400" t="s">
        <v>1298</v>
      </c>
      <c r="C3400" t="s">
        <v>661</v>
      </c>
      <c r="D3400" t="s">
        <v>1352</v>
      </c>
      <c r="E3400" t="s">
        <v>187</v>
      </c>
      <c r="F3400">
        <v>2005</v>
      </c>
      <c r="G3400">
        <v>3.7519999999999998</v>
      </c>
    </row>
    <row r="3401" spans="1:7">
      <c r="A3401" t="s">
        <v>1297</v>
      </c>
      <c r="B3401" t="s">
        <v>1298</v>
      </c>
      <c r="C3401" t="s">
        <v>661</v>
      </c>
      <c r="D3401" t="s">
        <v>1352</v>
      </c>
      <c r="E3401" t="s">
        <v>187</v>
      </c>
      <c r="F3401">
        <v>2010</v>
      </c>
      <c r="G3401">
        <v>1.9039999999999999</v>
      </c>
    </row>
    <row r="3402" spans="1:7">
      <c r="A3402" t="s">
        <v>1297</v>
      </c>
      <c r="B3402" t="s">
        <v>1298</v>
      </c>
      <c r="C3402" t="s">
        <v>665</v>
      </c>
      <c r="D3402" t="s">
        <v>1352</v>
      </c>
      <c r="E3402" t="s">
        <v>187</v>
      </c>
      <c r="F3402">
        <v>2005</v>
      </c>
      <c r="G3402">
        <v>6.8474640000000004</v>
      </c>
    </row>
    <row r="3403" spans="1:7">
      <c r="A3403" t="s">
        <v>1297</v>
      </c>
      <c r="B3403" t="s">
        <v>1298</v>
      </c>
      <c r="C3403" t="s">
        <v>665</v>
      </c>
      <c r="D3403" t="s">
        <v>1352</v>
      </c>
      <c r="E3403" t="s">
        <v>187</v>
      </c>
      <c r="F3403">
        <v>2010</v>
      </c>
      <c r="G3403">
        <v>5.4531840000000003</v>
      </c>
    </row>
    <row r="3404" spans="1:7">
      <c r="A3404" t="s">
        <v>1297</v>
      </c>
      <c r="B3404" t="s">
        <v>1298</v>
      </c>
      <c r="C3404" t="s">
        <v>665</v>
      </c>
      <c r="D3404" t="s">
        <v>1352</v>
      </c>
      <c r="E3404" t="s">
        <v>187</v>
      </c>
      <c r="F3404">
        <v>2012</v>
      </c>
      <c r="G3404">
        <v>5.8869600000000002</v>
      </c>
    </row>
    <row r="3405" spans="1:7">
      <c r="A3405" t="s">
        <v>1297</v>
      </c>
      <c r="B3405" t="s">
        <v>1298</v>
      </c>
      <c r="C3405" t="s">
        <v>665</v>
      </c>
      <c r="D3405" t="s">
        <v>1352</v>
      </c>
      <c r="E3405" t="s">
        <v>187</v>
      </c>
      <c r="F3405">
        <v>2016</v>
      </c>
      <c r="G3405">
        <v>2.7265920000000001</v>
      </c>
    </row>
    <row r="3406" spans="1:7">
      <c r="A3406" t="s">
        <v>1297</v>
      </c>
      <c r="B3406" t="s">
        <v>1298</v>
      </c>
      <c r="C3406" t="s">
        <v>665</v>
      </c>
      <c r="D3406" t="s">
        <v>1352</v>
      </c>
      <c r="E3406" t="s">
        <v>187</v>
      </c>
      <c r="F3406">
        <v>2020</v>
      </c>
      <c r="G3406">
        <v>1.730925</v>
      </c>
    </row>
    <row r="3407" spans="1:7">
      <c r="A3407" t="s">
        <v>1297</v>
      </c>
      <c r="B3407" t="s">
        <v>1298</v>
      </c>
      <c r="C3407" t="s">
        <v>659</v>
      </c>
      <c r="D3407" t="s">
        <v>1353</v>
      </c>
      <c r="E3407" t="s">
        <v>187</v>
      </c>
      <c r="F3407">
        <v>2005</v>
      </c>
      <c r="G3407">
        <v>1.3</v>
      </c>
    </row>
    <row r="3408" spans="1:7">
      <c r="A3408" t="s">
        <v>1297</v>
      </c>
      <c r="B3408" t="s">
        <v>1298</v>
      </c>
      <c r="C3408" t="s">
        <v>659</v>
      </c>
      <c r="D3408" t="s">
        <v>1353</v>
      </c>
      <c r="E3408" t="s">
        <v>187</v>
      </c>
      <c r="F3408">
        <v>2010</v>
      </c>
      <c r="G3408">
        <v>2.1095000000000002</v>
      </c>
    </row>
    <row r="3409" spans="1:7">
      <c r="A3409" t="s">
        <v>1297</v>
      </c>
      <c r="B3409" t="s">
        <v>1298</v>
      </c>
      <c r="C3409" t="s">
        <v>659</v>
      </c>
      <c r="D3409" t="s">
        <v>1353</v>
      </c>
      <c r="E3409" t="s">
        <v>187</v>
      </c>
      <c r="F3409">
        <v>2012</v>
      </c>
      <c r="G3409">
        <v>3.0762</v>
      </c>
    </row>
    <row r="3410" spans="1:7">
      <c r="A3410" t="s">
        <v>1297</v>
      </c>
      <c r="B3410" t="s">
        <v>1298</v>
      </c>
      <c r="C3410" t="s">
        <v>659</v>
      </c>
      <c r="D3410" t="s">
        <v>1353</v>
      </c>
      <c r="E3410" t="s">
        <v>187</v>
      </c>
      <c r="F3410">
        <v>2016</v>
      </c>
      <c r="G3410">
        <v>1.33755</v>
      </c>
    </row>
    <row r="3411" spans="1:7">
      <c r="A3411" t="s">
        <v>1297</v>
      </c>
      <c r="B3411" t="s">
        <v>1298</v>
      </c>
      <c r="C3411" t="s">
        <v>659</v>
      </c>
      <c r="D3411" t="s">
        <v>1353</v>
      </c>
      <c r="E3411" t="s">
        <v>187</v>
      </c>
      <c r="F3411">
        <v>2020</v>
      </c>
      <c r="G3411">
        <v>3.10486</v>
      </c>
    </row>
    <row r="3412" spans="1:7">
      <c r="A3412" t="s">
        <v>1297</v>
      </c>
      <c r="B3412" t="s">
        <v>1298</v>
      </c>
      <c r="C3412" t="s">
        <v>655</v>
      </c>
      <c r="D3412" t="s">
        <v>1353</v>
      </c>
      <c r="E3412" t="s">
        <v>187</v>
      </c>
      <c r="F3412">
        <v>2005</v>
      </c>
      <c r="G3412">
        <v>0.332874</v>
      </c>
    </row>
    <row r="3413" spans="1:7">
      <c r="A3413" t="s">
        <v>1297</v>
      </c>
      <c r="B3413" t="s">
        <v>1298</v>
      </c>
      <c r="C3413" t="s">
        <v>655</v>
      </c>
      <c r="D3413" t="s">
        <v>1353</v>
      </c>
      <c r="E3413" t="s">
        <v>187</v>
      </c>
      <c r="F3413">
        <v>2010</v>
      </c>
      <c r="G3413">
        <v>2.8056000000000001E-2</v>
      </c>
    </row>
    <row r="3414" spans="1:7">
      <c r="A3414" t="s">
        <v>1297</v>
      </c>
      <c r="B3414" t="s">
        <v>1298</v>
      </c>
      <c r="C3414" t="s">
        <v>655</v>
      </c>
      <c r="D3414" t="s">
        <v>1353</v>
      </c>
      <c r="E3414" t="s">
        <v>187</v>
      </c>
      <c r="F3414">
        <v>2012</v>
      </c>
      <c r="G3414">
        <v>2.8531000000000001E-2</v>
      </c>
    </row>
    <row r="3415" spans="1:7">
      <c r="A3415" t="s">
        <v>1297</v>
      </c>
      <c r="B3415" t="s">
        <v>1298</v>
      </c>
      <c r="C3415" t="s">
        <v>663</v>
      </c>
      <c r="D3415" t="s">
        <v>1353</v>
      </c>
      <c r="E3415" t="s">
        <v>187</v>
      </c>
      <c r="F3415">
        <v>2016</v>
      </c>
      <c r="G3415">
        <v>1.8166000000000002E-2</v>
      </c>
    </row>
    <row r="3416" spans="1:7">
      <c r="A3416" t="s">
        <v>1297</v>
      </c>
      <c r="B3416" t="s">
        <v>1298</v>
      </c>
      <c r="C3416" t="s">
        <v>663</v>
      </c>
      <c r="D3416" t="s">
        <v>1353</v>
      </c>
      <c r="E3416" t="s">
        <v>187</v>
      </c>
      <c r="F3416">
        <v>2020</v>
      </c>
      <c r="G3416">
        <v>1.2633999999999999E-2</v>
      </c>
    </row>
    <row r="3417" spans="1:7">
      <c r="A3417" t="s">
        <v>1297</v>
      </c>
      <c r="B3417" t="s">
        <v>1298</v>
      </c>
      <c r="C3417" t="s">
        <v>661</v>
      </c>
      <c r="D3417" t="s">
        <v>1353</v>
      </c>
      <c r="E3417" t="s">
        <v>187</v>
      </c>
      <c r="F3417">
        <v>2005</v>
      </c>
      <c r="G3417">
        <v>2.3359999999999999</v>
      </c>
    </row>
    <row r="3418" spans="1:7">
      <c r="A3418" t="s">
        <v>1297</v>
      </c>
      <c r="B3418" t="s">
        <v>1298</v>
      </c>
      <c r="C3418" t="s">
        <v>661</v>
      </c>
      <c r="D3418" t="s">
        <v>1353</v>
      </c>
      <c r="E3418" t="s">
        <v>187</v>
      </c>
      <c r="F3418">
        <v>2010</v>
      </c>
      <c r="G3418">
        <v>1.536</v>
      </c>
    </row>
    <row r="3419" spans="1:7">
      <c r="A3419" t="s">
        <v>1297</v>
      </c>
      <c r="B3419" t="s">
        <v>1298</v>
      </c>
      <c r="C3419" t="s">
        <v>677</v>
      </c>
      <c r="D3419" t="s">
        <v>1353</v>
      </c>
      <c r="E3419" t="s">
        <v>187</v>
      </c>
      <c r="F3419">
        <v>2005</v>
      </c>
      <c r="G3419">
        <v>6.0822000000000001E-2</v>
      </c>
    </row>
    <row r="3420" spans="1:7">
      <c r="A3420" t="s">
        <v>1297</v>
      </c>
      <c r="B3420" t="s">
        <v>1298</v>
      </c>
      <c r="C3420" t="s">
        <v>677</v>
      </c>
      <c r="D3420" t="s">
        <v>1353</v>
      </c>
      <c r="E3420" t="s">
        <v>187</v>
      </c>
      <c r="F3420">
        <v>2010</v>
      </c>
      <c r="G3420">
        <v>0.17752200000000001</v>
      </c>
    </row>
    <row r="3421" spans="1:7">
      <c r="A3421" t="s">
        <v>1297</v>
      </c>
      <c r="B3421" t="s">
        <v>1298</v>
      </c>
      <c r="C3421" t="s">
        <v>677</v>
      </c>
      <c r="D3421" t="s">
        <v>1353</v>
      </c>
      <c r="E3421" t="s">
        <v>187</v>
      </c>
      <c r="F3421">
        <v>2012</v>
      </c>
      <c r="G3421">
        <v>0.178758</v>
      </c>
    </row>
    <row r="3422" spans="1:7">
      <c r="A3422" t="s">
        <v>1297</v>
      </c>
      <c r="B3422" t="s">
        <v>1298</v>
      </c>
      <c r="C3422" t="s">
        <v>677</v>
      </c>
      <c r="D3422" t="s">
        <v>1353</v>
      </c>
      <c r="E3422" t="s">
        <v>187</v>
      </c>
      <c r="F3422">
        <v>2016</v>
      </c>
      <c r="G3422">
        <v>0.20391699999999999</v>
      </c>
    </row>
    <row r="3423" spans="1:7">
      <c r="A3423" t="s">
        <v>1297</v>
      </c>
      <c r="B3423" t="s">
        <v>1298</v>
      </c>
      <c r="C3423" t="s">
        <v>677</v>
      </c>
      <c r="D3423" t="s">
        <v>1353</v>
      </c>
      <c r="E3423" t="s">
        <v>187</v>
      </c>
      <c r="F3423">
        <v>2020</v>
      </c>
      <c r="G3423">
        <v>0.19120500000000001</v>
      </c>
    </row>
    <row r="3424" spans="1:7">
      <c r="A3424" t="s">
        <v>1297</v>
      </c>
      <c r="B3424" t="s">
        <v>1298</v>
      </c>
      <c r="C3424" t="s">
        <v>654</v>
      </c>
      <c r="D3424" t="s">
        <v>1353</v>
      </c>
      <c r="E3424" t="s">
        <v>187</v>
      </c>
      <c r="F3424">
        <v>2005</v>
      </c>
      <c r="G3424">
        <v>5.1789999999999996E-3</v>
      </c>
    </row>
    <row r="3425" spans="1:7">
      <c r="A3425" t="s">
        <v>1297</v>
      </c>
      <c r="B3425" t="s">
        <v>1298</v>
      </c>
      <c r="C3425" t="s">
        <v>654</v>
      </c>
      <c r="D3425" t="s">
        <v>1353</v>
      </c>
      <c r="E3425" t="s">
        <v>187</v>
      </c>
      <c r="F3425">
        <v>2010</v>
      </c>
      <c r="G3425">
        <v>5.1789999999999996E-3</v>
      </c>
    </row>
    <row r="3426" spans="1:7">
      <c r="A3426" t="s">
        <v>1297</v>
      </c>
      <c r="B3426" t="s">
        <v>1298</v>
      </c>
      <c r="C3426" t="s">
        <v>654</v>
      </c>
      <c r="D3426" t="s">
        <v>1353</v>
      </c>
      <c r="E3426" t="s">
        <v>187</v>
      </c>
      <c r="F3426">
        <v>2012</v>
      </c>
      <c r="G3426">
        <v>5.1789999999999996E-3</v>
      </c>
    </row>
    <row r="3427" spans="1:7">
      <c r="A3427" t="s">
        <v>1297</v>
      </c>
      <c r="B3427" t="s">
        <v>1298</v>
      </c>
      <c r="C3427" t="s">
        <v>652</v>
      </c>
      <c r="D3427" t="s">
        <v>1353</v>
      </c>
      <c r="E3427" t="s">
        <v>187</v>
      </c>
      <c r="F3427">
        <v>2010</v>
      </c>
      <c r="G3427">
        <v>0.57923199999999997</v>
      </c>
    </row>
    <row r="3428" spans="1:7">
      <c r="A3428" t="s">
        <v>1297</v>
      </c>
      <c r="B3428" t="s">
        <v>1298</v>
      </c>
      <c r="C3428" t="s">
        <v>656</v>
      </c>
      <c r="D3428" t="s">
        <v>1353</v>
      </c>
      <c r="E3428" t="s">
        <v>187</v>
      </c>
      <c r="F3428">
        <v>2005</v>
      </c>
      <c r="G3428">
        <v>0.116524</v>
      </c>
    </row>
    <row r="3429" spans="1:7">
      <c r="A3429" t="s">
        <v>1297</v>
      </c>
      <c r="B3429" t="s">
        <v>1298</v>
      </c>
      <c r="C3429" t="s">
        <v>662</v>
      </c>
      <c r="D3429" t="s">
        <v>1353</v>
      </c>
      <c r="E3429" t="s">
        <v>187</v>
      </c>
      <c r="F3429">
        <v>2016</v>
      </c>
      <c r="G3429">
        <v>0.10192</v>
      </c>
    </row>
    <row r="3430" spans="1:7">
      <c r="A3430" t="s">
        <v>1297</v>
      </c>
      <c r="B3430" t="s">
        <v>1298</v>
      </c>
      <c r="C3430" t="s">
        <v>662</v>
      </c>
      <c r="D3430" t="s">
        <v>1353</v>
      </c>
      <c r="E3430" t="s">
        <v>187</v>
      </c>
      <c r="F3430">
        <v>2020</v>
      </c>
      <c r="G3430">
        <v>5.6700000000000001E-4</v>
      </c>
    </row>
    <row r="3431" spans="1:7">
      <c r="A3431" t="s">
        <v>1297</v>
      </c>
      <c r="B3431" t="s">
        <v>1298</v>
      </c>
      <c r="C3431" t="s">
        <v>1300</v>
      </c>
      <c r="D3431" t="s">
        <v>1353</v>
      </c>
      <c r="E3431" t="s">
        <v>187</v>
      </c>
      <c r="F3431">
        <v>2010</v>
      </c>
      <c r="G3431">
        <v>0.1032</v>
      </c>
    </row>
    <row r="3432" spans="1:7">
      <c r="A3432" t="s">
        <v>1297</v>
      </c>
      <c r="B3432" t="s">
        <v>1298</v>
      </c>
      <c r="C3432" t="s">
        <v>1300</v>
      </c>
      <c r="D3432" t="s">
        <v>1353</v>
      </c>
      <c r="E3432" t="s">
        <v>187</v>
      </c>
      <c r="F3432">
        <v>2012</v>
      </c>
      <c r="G3432">
        <v>2.3916E-2</v>
      </c>
    </row>
    <row r="3433" spans="1:7">
      <c r="A3433" t="s">
        <v>1297</v>
      </c>
      <c r="B3433" t="s">
        <v>1298</v>
      </c>
      <c r="C3433" t="s">
        <v>673</v>
      </c>
      <c r="D3433" t="s">
        <v>1353</v>
      </c>
      <c r="E3433" t="s">
        <v>187</v>
      </c>
      <c r="F3433">
        <v>2005</v>
      </c>
      <c r="G3433">
        <v>0.408528</v>
      </c>
    </row>
    <row r="3434" spans="1:7">
      <c r="A3434" t="s">
        <v>1297</v>
      </c>
      <c r="B3434" t="s">
        <v>1298</v>
      </c>
      <c r="C3434" t="s">
        <v>652</v>
      </c>
      <c r="D3434" t="s">
        <v>1354</v>
      </c>
      <c r="E3434" t="s">
        <v>187</v>
      </c>
      <c r="F3434">
        <v>2016</v>
      </c>
      <c r="G3434">
        <v>2.6289999999999998E-3</v>
      </c>
    </row>
    <row r="3435" spans="1:7">
      <c r="A3435" t="s">
        <v>1297</v>
      </c>
      <c r="B3435" t="s">
        <v>1298</v>
      </c>
      <c r="C3435" t="s">
        <v>652</v>
      </c>
      <c r="D3435" t="s">
        <v>1354</v>
      </c>
      <c r="E3435" t="s">
        <v>187</v>
      </c>
      <c r="F3435">
        <v>2020</v>
      </c>
      <c r="G3435">
        <v>2.6289999999999998E-3</v>
      </c>
    </row>
    <row r="3436" spans="1:7">
      <c r="A3436" t="s">
        <v>1297</v>
      </c>
      <c r="B3436" t="s">
        <v>1298</v>
      </c>
      <c r="C3436" t="s">
        <v>1299</v>
      </c>
      <c r="D3436" t="s">
        <v>1354</v>
      </c>
      <c r="E3436" t="s">
        <v>187</v>
      </c>
      <c r="F3436">
        <v>2005</v>
      </c>
      <c r="G3436">
        <v>2.2006399999999999</v>
      </c>
    </row>
    <row r="3437" spans="1:7">
      <c r="A3437" t="s">
        <v>1297</v>
      </c>
      <c r="B3437" t="s">
        <v>1298</v>
      </c>
      <c r="C3437" t="s">
        <v>1299</v>
      </c>
      <c r="D3437" t="s">
        <v>1354</v>
      </c>
      <c r="E3437" t="s">
        <v>187</v>
      </c>
      <c r="F3437">
        <v>2010</v>
      </c>
      <c r="G3437">
        <v>1.1354200000000001</v>
      </c>
    </row>
    <row r="3438" spans="1:7">
      <c r="A3438" t="s">
        <v>1297</v>
      </c>
      <c r="B3438" t="s">
        <v>1298</v>
      </c>
      <c r="C3438" t="s">
        <v>1299</v>
      </c>
      <c r="D3438" t="s">
        <v>1354</v>
      </c>
      <c r="E3438" t="s">
        <v>187</v>
      </c>
      <c r="F3438">
        <v>2012</v>
      </c>
      <c r="G3438">
        <v>0.50555799999999995</v>
      </c>
    </row>
    <row r="3439" spans="1:7">
      <c r="A3439" t="s">
        <v>1297</v>
      </c>
      <c r="B3439" t="s">
        <v>1298</v>
      </c>
      <c r="C3439" t="s">
        <v>1299</v>
      </c>
      <c r="D3439" t="s">
        <v>1354</v>
      </c>
      <c r="E3439" t="s">
        <v>187</v>
      </c>
      <c r="F3439">
        <v>2016</v>
      </c>
      <c r="G3439">
        <v>0.26801599999999998</v>
      </c>
    </row>
    <row r="3440" spans="1:7">
      <c r="A3440" t="s">
        <v>1297</v>
      </c>
      <c r="B3440" t="s">
        <v>1298</v>
      </c>
      <c r="C3440" t="s">
        <v>1299</v>
      </c>
      <c r="D3440" t="s">
        <v>1354</v>
      </c>
      <c r="E3440" t="s">
        <v>187</v>
      </c>
      <c r="F3440">
        <v>2020</v>
      </c>
      <c r="G3440">
        <v>0.197847</v>
      </c>
    </row>
    <row r="3441" spans="1:7">
      <c r="A3441" t="s">
        <v>1297</v>
      </c>
      <c r="B3441" t="s">
        <v>1298</v>
      </c>
      <c r="C3441" t="s">
        <v>686</v>
      </c>
      <c r="D3441" t="s">
        <v>1354</v>
      </c>
      <c r="E3441" t="s">
        <v>187</v>
      </c>
      <c r="F3441">
        <v>2005</v>
      </c>
      <c r="G3441">
        <v>1.3050000000000001E-2</v>
      </c>
    </row>
    <row r="3442" spans="1:7">
      <c r="A3442" t="s">
        <v>1297</v>
      </c>
      <c r="B3442" t="s">
        <v>1298</v>
      </c>
      <c r="C3442" t="s">
        <v>651</v>
      </c>
      <c r="D3442" t="s">
        <v>1354</v>
      </c>
      <c r="E3442" t="s">
        <v>187</v>
      </c>
      <c r="F3442">
        <v>2005</v>
      </c>
      <c r="G3442">
        <v>9.953E-3</v>
      </c>
    </row>
    <row r="3443" spans="1:7">
      <c r="A3443" t="s">
        <v>1297</v>
      </c>
      <c r="B3443" t="s">
        <v>1298</v>
      </c>
      <c r="C3443" t="s">
        <v>651</v>
      </c>
      <c r="D3443" t="s">
        <v>1354</v>
      </c>
      <c r="E3443" t="s">
        <v>187</v>
      </c>
      <c r="F3443">
        <v>2010</v>
      </c>
      <c r="G3443">
        <v>4.4749999999999998E-3</v>
      </c>
    </row>
    <row r="3444" spans="1:7">
      <c r="A3444" t="s">
        <v>1297</v>
      </c>
      <c r="B3444" t="s">
        <v>1298</v>
      </c>
      <c r="C3444" t="s">
        <v>651</v>
      </c>
      <c r="D3444" t="s">
        <v>1354</v>
      </c>
      <c r="E3444" t="s">
        <v>187</v>
      </c>
      <c r="F3444">
        <v>2012</v>
      </c>
      <c r="G3444">
        <v>4.7959999999999999E-3</v>
      </c>
    </row>
    <row r="3445" spans="1:7">
      <c r="A3445" t="s">
        <v>1297</v>
      </c>
      <c r="B3445" t="s">
        <v>1298</v>
      </c>
      <c r="C3445" t="s">
        <v>651</v>
      </c>
      <c r="D3445" t="s">
        <v>1354</v>
      </c>
      <c r="E3445" t="s">
        <v>187</v>
      </c>
      <c r="F3445">
        <v>2016</v>
      </c>
      <c r="G3445">
        <v>4.7949999999999998E-3</v>
      </c>
    </row>
    <row r="3446" spans="1:7">
      <c r="A3446" t="s">
        <v>1297</v>
      </c>
      <c r="B3446" t="s">
        <v>1298</v>
      </c>
      <c r="C3446" t="s">
        <v>651</v>
      </c>
      <c r="D3446" t="s">
        <v>1354</v>
      </c>
      <c r="E3446" t="s">
        <v>187</v>
      </c>
      <c r="F3446">
        <v>2020</v>
      </c>
      <c r="G3446">
        <v>4.1700000000000001E-3</v>
      </c>
    </row>
    <row r="3447" spans="1:7">
      <c r="A3447" t="s">
        <v>1297</v>
      </c>
      <c r="B3447" t="s">
        <v>1298</v>
      </c>
      <c r="C3447" t="s">
        <v>675</v>
      </c>
      <c r="D3447" t="s">
        <v>1354</v>
      </c>
      <c r="E3447" t="s">
        <v>187</v>
      </c>
      <c r="F3447">
        <v>2020</v>
      </c>
      <c r="G3447">
        <v>4.2230000000000002E-3</v>
      </c>
    </row>
    <row r="3448" spans="1:7">
      <c r="A3448" t="s">
        <v>1297</v>
      </c>
      <c r="B3448" t="s">
        <v>1298</v>
      </c>
      <c r="C3448" t="s">
        <v>677</v>
      </c>
      <c r="D3448" t="s">
        <v>1354</v>
      </c>
      <c r="E3448" t="s">
        <v>187</v>
      </c>
      <c r="F3448">
        <v>2005</v>
      </c>
      <c r="G3448">
        <v>0.121644</v>
      </c>
    </row>
    <row r="3449" spans="1:7">
      <c r="A3449" t="s">
        <v>1297</v>
      </c>
      <c r="B3449" t="s">
        <v>1298</v>
      </c>
      <c r="C3449" t="s">
        <v>677</v>
      </c>
      <c r="D3449" t="s">
        <v>1354</v>
      </c>
      <c r="E3449" t="s">
        <v>187</v>
      </c>
      <c r="F3449">
        <v>2010</v>
      </c>
      <c r="G3449">
        <v>0.56215300000000001</v>
      </c>
    </row>
    <row r="3450" spans="1:7">
      <c r="A3450" t="s">
        <v>1297</v>
      </c>
      <c r="B3450" t="s">
        <v>1298</v>
      </c>
      <c r="C3450" t="s">
        <v>677</v>
      </c>
      <c r="D3450" t="s">
        <v>1354</v>
      </c>
      <c r="E3450" t="s">
        <v>187</v>
      </c>
      <c r="F3450">
        <v>2012</v>
      </c>
      <c r="G3450">
        <v>0.476688</v>
      </c>
    </row>
    <row r="3451" spans="1:7">
      <c r="A3451" t="s">
        <v>1297</v>
      </c>
      <c r="B3451" t="s">
        <v>1298</v>
      </c>
      <c r="C3451" t="s">
        <v>677</v>
      </c>
      <c r="D3451" t="s">
        <v>1354</v>
      </c>
      <c r="E3451" t="s">
        <v>187</v>
      </c>
      <c r="F3451">
        <v>2016</v>
      </c>
      <c r="G3451">
        <v>0.43696499999999999</v>
      </c>
    </row>
    <row r="3452" spans="1:7">
      <c r="A3452" t="s">
        <v>1297</v>
      </c>
      <c r="B3452" t="s">
        <v>1298</v>
      </c>
      <c r="C3452" t="s">
        <v>677</v>
      </c>
      <c r="D3452" t="s">
        <v>1354</v>
      </c>
      <c r="E3452" t="s">
        <v>187</v>
      </c>
      <c r="F3452">
        <v>2020</v>
      </c>
      <c r="G3452">
        <v>0.40972500000000001</v>
      </c>
    </row>
    <row r="3453" spans="1:7">
      <c r="A3453" t="s">
        <v>1297</v>
      </c>
      <c r="B3453" t="s">
        <v>1298</v>
      </c>
      <c r="C3453" t="s">
        <v>663</v>
      </c>
      <c r="D3453" t="s">
        <v>1354</v>
      </c>
      <c r="E3453" t="s">
        <v>187</v>
      </c>
      <c r="F3453">
        <v>2005</v>
      </c>
      <c r="G3453">
        <v>0.20616999999999999</v>
      </c>
    </row>
    <row r="3454" spans="1:7">
      <c r="A3454" t="s">
        <v>1297</v>
      </c>
      <c r="B3454" t="s">
        <v>1298</v>
      </c>
      <c r="C3454" t="s">
        <v>655</v>
      </c>
      <c r="D3454" t="s">
        <v>1354</v>
      </c>
      <c r="E3454" t="s">
        <v>187</v>
      </c>
      <c r="F3454">
        <v>2005</v>
      </c>
      <c r="G3454">
        <v>1.3679999999999999E-2</v>
      </c>
    </row>
    <row r="3455" spans="1:7">
      <c r="A3455" t="s">
        <v>1297</v>
      </c>
      <c r="B3455" t="s">
        <v>1298</v>
      </c>
      <c r="C3455" t="s">
        <v>655</v>
      </c>
      <c r="D3455" t="s">
        <v>1354</v>
      </c>
      <c r="E3455" t="s">
        <v>187</v>
      </c>
      <c r="F3455">
        <v>2010</v>
      </c>
      <c r="G3455">
        <v>1.5454000000000001E-2</v>
      </c>
    </row>
    <row r="3456" spans="1:7">
      <c r="A3456" t="s">
        <v>1297</v>
      </c>
      <c r="B3456" t="s">
        <v>1298</v>
      </c>
      <c r="C3456" t="s">
        <v>655</v>
      </c>
      <c r="D3456" t="s">
        <v>1354</v>
      </c>
      <c r="E3456" t="s">
        <v>187</v>
      </c>
      <c r="F3456">
        <v>2012</v>
      </c>
      <c r="G3456">
        <v>1.5176E-2</v>
      </c>
    </row>
    <row r="3457" spans="1:7">
      <c r="A3457" t="s">
        <v>1297</v>
      </c>
      <c r="B3457" t="s">
        <v>1298</v>
      </c>
      <c r="C3457" t="s">
        <v>655</v>
      </c>
      <c r="D3457" t="s">
        <v>1354</v>
      </c>
      <c r="E3457" t="s">
        <v>187</v>
      </c>
      <c r="F3457">
        <v>2016</v>
      </c>
      <c r="G3457">
        <v>4.1082E-2</v>
      </c>
    </row>
    <row r="3458" spans="1:7">
      <c r="A3458" t="s">
        <v>1297</v>
      </c>
      <c r="B3458" t="s">
        <v>1298</v>
      </c>
      <c r="C3458" t="s">
        <v>655</v>
      </c>
      <c r="D3458" t="s">
        <v>1354</v>
      </c>
      <c r="E3458" t="s">
        <v>187</v>
      </c>
      <c r="F3458">
        <v>2020</v>
      </c>
      <c r="G3458">
        <v>1.3162999999999999E-2</v>
      </c>
    </row>
    <row r="3459" spans="1:7">
      <c r="A3459" t="s">
        <v>1297</v>
      </c>
      <c r="B3459" t="s">
        <v>1298</v>
      </c>
      <c r="C3459" t="s">
        <v>665</v>
      </c>
      <c r="D3459" t="s">
        <v>1355</v>
      </c>
      <c r="E3459" t="s">
        <v>187</v>
      </c>
      <c r="F3459">
        <v>2016</v>
      </c>
      <c r="G3459">
        <v>128.18520000000001</v>
      </c>
    </row>
    <row r="3460" spans="1:7">
      <c r="A3460" t="s">
        <v>1297</v>
      </c>
      <c r="B3460" t="s">
        <v>1298</v>
      </c>
      <c r="C3460" t="s">
        <v>665</v>
      </c>
      <c r="D3460" t="s">
        <v>1355</v>
      </c>
      <c r="E3460" t="s">
        <v>187</v>
      </c>
      <c r="F3460">
        <v>2020</v>
      </c>
      <c r="G3460">
        <v>67.822016000000005</v>
      </c>
    </row>
    <row r="3461" spans="1:7">
      <c r="A3461" t="s">
        <v>1297</v>
      </c>
      <c r="B3461" t="s">
        <v>1298</v>
      </c>
      <c r="C3461" t="s">
        <v>656</v>
      </c>
      <c r="D3461" t="s">
        <v>1355</v>
      </c>
      <c r="E3461" t="s">
        <v>187</v>
      </c>
      <c r="F3461">
        <v>2005</v>
      </c>
      <c r="G3461">
        <v>1037.3148000000001</v>
      </c>
    </row>
    <row r="3462" spans="1:7">
      <c r="A3462" t="s">
        <v>1297</v>
      </c>
      <c r="B3462" t="s">
        <v>1298</v>
      </c>
      <c r="C3462" t="s">
        <v>656</v>
      </c>
      <c r="D3462" t="s">
        <v>1355</v>
      </c>
      <c r="E3462" t="s">
        <v>187</v>
      </c>
      <c r="F3462">
        <v>2010</v>
      </c>
      <c r="G3462">
        <v>946.42920000000004</v>
      </c>
    </row>
    <row r="3463" spans="1:7">
      <c r="A3463" t="s">
        <v>1297</v>
      </c>
      <c r="B3463" t="s">
        <v>1298</v>
      </c>
      <c r="C3463" t="s">
        <v>656</v>
      </c>
      <c r="D3463" t="s">
        <v>1355</v>
      </c>
      <c r="E3463" t="s">
        <v>187</v>
      </c>
      <c r="F3463">
        <v>2012</v>
      </c>
      <c r="G3463">
        <v>994.42079999999999</v>
      </c>
    </row>
    <row r="3464" spans="1:7">
      <c r="A3464" t="s">
        <v>1297</v>
      </c>
      <c r="B3464" t="s">
        <v>1298</v>
      </c>
      <c r="C3464" t="s">
        <v>656</v>
      </c>
      <c r="D3464" t="s">
        <v>1355</v>
      </c>
      <c r="E3464" t="s">
        <v>187</v>
      </c>
      <c r="F3464">
        <v>2016</v>
      </c>
      <c r="G3464">
        <v>942.28200000000004</v>
      </c>
    </row>
    <row r="3465" spans="1:7">
      <c r="A3465" t="s">
        <v>1297</v>
      </c>
      <c r="B3465" t="s">
        <v>1298</v>
      </c>
      <c r="C3465" t="s">
        <v>656</v>
      </c>
      <c r="D3465" t="s">
        <v>1355</v>
      </c>
      <c r="E3465" t="s">
        <v>187</v>
      </c>
      <c r="F3465">
        <v>2020</v>
      </c>
      <c r="G3465">
        <v>617.22</v>
      </c>
    </row>
    <row r="3466" spans="1:7">
      <c r="A3466" t="s">
        <v>1297</v>
      </c>
      <c r="B3466" t="s">
        <v>1298</v>
      </c>
      <c r="C3466" t="s">
        <v>676</v>
      </c>
      <c r="D3466" t="s">
        <v>1355</v>
      </c>
      <c r="E3466" t="s">
        <v>187</v>
      </c>
      <c r="F3466">
        <v>2005</v>
      </c>
      <c r="G3466">
        <v>19.925999999999998</v>
      </c>
    </row>
    <row r="3467" spans="1:7">
      <c r="A3467" t="s">
        <v>1297</v>
      </c>
      <c r="B3467" t="s">
        <v>1298</v>
      </c>
      <c r="C3467" t="s">
        <v>676</v>
      </c>
      <c r="D3467" t="s">
        <v>1355</v>
      </c>
      <c r="E3467" t="s">
        <v>187</v>
      </c>
      <c r="F3467">
        <v>2010</v>
      </c>
      <c r="G3467">
        <v>12.852</v>
      </c>
    </row>
    <row r="3468" spans="1:7">
      <c r="A3468" t="s">
        <v>1297</v>
      </c>
      <c r="B3468" t="s">
        <v>1298</v>
      </c>
      <c r="C3468" t="s">
        <v>676</v>
      </c>
      <c r="D3468" t="s">
        <v>1355</v>
      </c>
      <c r="E3468" t="s">
        <v>187</v>
      </c>
      <c r="F3468">
        <v>2012</v>
      </c>
      <c r="G3468">
        <v>12.297599999999999</v>
      </c>
    </row>
    <row r="3469" spans="1:7">
      <c r="A3469" t="s">
        <v>1297</v>
      </c>
      <c r="B3469" t="s">
        <v>1298</v>
      </c>
      <c r="C3469" t="s">
        <v>676</v>
      </c>
      <c r="D3469" t="s">
        <v>1355</v>
      </c>
      <c r="E3469" t="s">
        <v>187</v>
      </c>
      <c r="F3469">
        <v>2016</v>
      </c>
      <c r="G3469">
        <v>10.0764</v>
      </c>
    </row>
    <row r="3470" spans="1:7">
      <c r="A3470" t="s">
        <v>1297</v>
      </c>
      <c r="B3470" t="s">
        <v>1298</v>
      </c>
      <c r="C3470" t="s">
        <v>676</v>
      </c>
      <c r="D3470" t="s">
        <v>1355</v>
      </c>
      <c r="E3470" t="s">
        <v>187</v>
      </c>
      <c r="F3470">
        <v>2020</v>
      </c>
      <c r="G3470">
        <v>8.4131999999999998</v>
      </c>
    </row>
    <row r="3471" spans="1:7">
      <c r="A3471" t="s">
        <v>1297</v>
      </c>
      <c r="B3471" t="s">
        <v>1298</v>
      </c>
      <c r="C3471" t="s">
        <v>663</v>
      </c>
      <c r="D3471" t="s">
        <v>1355</v>
      </c>
      <c r="E3471" t="s">
        <v>187</v>
      </c>
      <c r="F3471">
        <v>2005</v>
      </c>
      <c r="G3471">
        <v>25.282800000000002</v>
      </c>
    </row>
    <row r="3472" spans="1:7">
      <c r="A3472" t="s">
        <v>1297</v>
      </c>
      <c r="B3472" t="s">
        <v>1298</v>
      </c>
      <c r="C3472" t="s">
        <v>663</v>
      </c>
      <c r="D3472" t="s">
        <v>1355</v>
      </c>
      <c r="E3472" t="s">
        <v>187</v>
      </c>
      <c r="F3472">
        <v>2010</v>
      </c>
      <c r="G3472">
        <v>22.442399999999999</v>
      </c>
    </row>
    <row r="3473" spans="1:7">
      <c r="A3473" t="s">
        <v>1297</v>
      </c>
      <c r="B3473" t="s">
        <v>1298</v>
      </c>
      <c r="C3473" t="s">
        <v>663</v>
      </c>
      <c r="D3473" t="s">
        <v>1355</v>
      </c>
      <c r="E3473" t="s">
        <v>187</v>
      </c>
      <c r="F3473">
        <v>2012</v>
      </c>
      <c r="G3473">
        <v>22.8384</v>
      </c>
    </row>
    <row r="3474" spans="1:7">
      <c r="A3474" t="s">
        <v>1297</v>
      </c>
      <c r="B3474" t="s">
        <v>1298</v>
      </c>
      <c r="C3474" t="s">
        <v>663</v>
      </c>
      <c r="D3474" t="s">
        <v>1355</v>
      </c>
      <c r="E3474" t="s">
        <v>187</v>
      </c>
      <c r="F3474">
        <v>2016</v>
      </c>
      <c r="G3474">
        <v>20.275200000000002</v>
      </c>
    </row>
    <row r="3475" spans="1:7">
      <c r="A3475" t="s">
        <v>1297</v>
      </c>
      <c r="B3475" t="s">
        <v>1298</v>
      </c>
      <c r="C3475" t="s">
        <v>663</v>
      </c>
      <c r="D3475" t="s">
        <v>1355</v>
      </c>
      <c r="E3475" t="s">
        <v>187</v>
      </c>
      <c r="F3475">
        <v>2020</v>
      </c>
      <c r="G3475">
        <v>14.5296</v>
      </c>
    </row>
    <row r="3476" spans="1:7">
      <c r="A3476" t="s">
        <v>1297</v>
      </c>
      <c r="B3476" t="s">
        <v>1298</v>
      </c>
      <c r="C3476" t="s">
        <v>660</v>
      </c>
      <c r="D3476" t="s">
        <v>1355</v>
      </c>
      <c r="E3476" t="s">
        <v>187</v>
      </c>
      <c r="F3476">
        <v>2005</v>
      </c>
      <c r="G3476">
        <v>23.389199999999999</v>
      </c>
    </row>
    <row r="3477" spans="1:7">
      <c r="A3477" t="s">
        <v>1297</v>
      </c>
      <c r="B3477" t="s">
        <v>1298</v>
      </c>
      <c r="C3477" t="s">
        <v>660</v>
      </c>
      <c r="D3477" t="s">
        <v>1355</v>
      </c>
      <c r="E3477" t="s">
        <v>187</v>
      </c>
      <c r="F3477">
        <v>2010</v>
      </c>
      <c r="G3477">
        <v>52.354799999999997</v>
      </c>
    </row>
    <row r="3478" spans="1:7">
      <c r="A3478" t="s">
        <v>1297</v>
      </c>
      <c r="B3478" t="s">
        <v>1298</v>
      </c>
      <c r="C3478" t="s">
        <v>660</v>
      </c>
      <c r="D3478" t="s">
        <v>1355</v>
      </c>
      <c r="E3478" t="s">
        <v>187</v>
      </c>
      <c r="F3478">
        <v>2012</v>
      </c>
      <c r="G3478">
        <v>25.563600000000001</v>
      </c>
    </row>
    <row r="3479" spans="1:7">
      <c r="A3479" t="s">
        <v>1297</v>
      </c>
      <c r="B3479" t="s">
        <v>1298</v>
      </c>
      <c r="C3479" t="s">
        <v>660</v>
      </c>
      <c r="D3479" t="s">
        <v>1355</v>
      </c>
      <c r="E3479" t="s">
        <v>187</v>
      </c>
      <c r="F3479">
        <v>2016</v>
      </c>
      <c r="G3479">
        <v>25.106400000000001</v>
      </c>
    </row>
    <row r="3480" spans="1:7">
      <c r="A3480" t="s">
        <v>1297</v>
      </c>
      <c r="B3480" t="s">
        <v>1298</v>
      </c>
      <c r="C3480" t="s">
        <v>660</v>
      </c>
      <c r="D3480" t="s">
        <v>1355</v>
      </c>
      <c r="E3480" t="s">
        <v>187</v>
      </c>
      <c r="F3480">
        <v>2020</v>
      </c>
      <c r="G3480">
        <v>15.692399999999999</v>
      </c>
    </row>
    <row r="3481" spans="1:7">
      <c r="A3481" t="s">
        <v>1297</v>
      </c>
      <c r="B3481" t="s">
        <v>1298</v>
      </c>
      <c r="C3481" t="s">
        <v>1302</v>
      </c>
      <c r="D3481" t="s">
        <v>1355</v>
      </c>
      <c r="E3481" t="s">
        <v>187</v>
      </c>
      <c r="F3481">
        <v>2005</v>
      </c>
      <c r="G3481">
        <v>15.548400000000001</v>
      </c>
    </row>
    <row r="3482" spans="1:7">
      <c r="A3482" t="s">
        <v>1297</v>
      </c>
      <c r="B3482" t="s">
        <v>1298</v>
      </c>
      <c r="C3482" t="s">
        <v>1302</v>
      </c>
      <c r="D3482" t="s">
        <v>1355</v>
      </c>
      <c r="E3482" t="s">
        <v>187</v>
      </c>
      <c r="F3482">
        <v>2010</v>
      </c>
      <c r="G3482">
        <v>17.9604</v>
      </c>
    </row>
    <row r="3483" spans="1:7">
      <c r="A3483" t="s">
        <v>1297</v>
      </c>
      <c r="B3483" t="s">
        <v>1298</v>
      </c>
      <c r="C3483" t="s">
        <v>1302</v>
      </c>
      <c r="D3483" t="s">
        <v>1355</v>
      </c>
      <c r="E3483" t="s">
        <v>187</v>
      </c>
      <c r="F3483">
        <v>2012</v>
      </c>
      <c r="G3483">
        <v>20.998799999999999</v>
      </c>
    </row>
    <row r="3484" spans="1:7">
      <c r="A3484" t="s">
        <v>1297</v>
      </c>
      <c r="B3484" t="s">
        <v>1298</v>
      </c>
      <c r="C3484" t="s">
        <v>1302</v>
      </c>
      <c r="D3484" t="s">
        <v>1355</v>
      </c>
      <c r="E3484" t="s">
        <v>187</v>
      </c>
      <c r="F3484">
        <v>2016</v>
      </c>
      <c r="G3484">
        <v>20.595600000000001</v>
      </c>
    </row>
    <row r="3485" spans="1:7">
      <c r="A3485" t="s">
        <v>1297</v>
      </c>
      <c r="B3485" t="s">
        <v>1298</v>
      </c>
      <c r="C3485" t="s">
        <v>1302</v>
      </c>
      <c r="D3485" t="s">
        <v>1355</v>
      </c>
      <c r="E3485" t="s">
        <v>187</v>
      </c>
      <c r="F3485">
        <v>2020</v>
      </c>
      <c r="G3485">
        <v>21.669018999999999</v>
      </c>
    </row>
    <row r="3486" spans="1:7">
      <c r="A3486" t="s">
        <v>1297</v>
      </c>
      <c r="B3486" t="s">
        <v>1298</v>
      </c>
      <c r="C3486" t="s">
        <v>664</v>
      </c>
      <c r="D3486" t="s">
        <v>1355</v>
      </c>
      <c r="E3486" t="s">
        <v>187</v>
      </c>
      <c r="F3486">
        <v>2005</v>
      </c>
      <c r="G3486">
        <v>23.000399999999999</v>
      </c>
    </row>
    <row r="3487" spans="1:7">
      <c r="A3487" t="s">
        <v>1297</v>
      </c>
      <c r="B3487" t="s">
        <v>1298</v>
      </c>
      <c r="C3487" t="s">
        <v>664</v>
      </c>
      <c r="D3487" t="s">
        <v>1355</v>
      </c>
      <c r="E3487" t="s">
        <v>187</v>
      </c>
      <c r="F3487">
        <v>2010</v>
      </c>
      <c r="G3487">
        <v>12.796977999999999</v>
      </c>
    </row>
    <row r="3488" spans="1:7">
      <c r="A3488" t="s">
        <v>1297</v>
      </c>
      <c r="B3488" t="s">
        <v>1298</v>
      </c>
      <c r="C3488" t="s">
        <v>664</v>
      </c>
      <c r="D3488" t="s">
        <v>1355</v>
      </c>
      <c r="E3488" t="s">
        <v>187</v>
      </c>
      <c r="F3488">
        <v>2012</v>
      </c>
      <c r="G3488">
        <v>18.087692000000001</v>
      </c>
    </row>
    <row r="3489" spans="1:7">
      <c r="A3489" t="s">
        <v>1297</v>
      </c>
      <c r="B3489" t="s">
        <v>1298</v>
      </c>
      <c r="C3489" t="s">
        <v>664</v>
      </c>
      <c r="D3489" t="s">
        <v>1355</v>
      </c>
      <c r="E3489" t="s">
        <v>187</v>
      </c>
      <c r="F3489">
        <v>2016</v>
      </c>
      <c r="G3489">
        <v>16.904361999999999</v>
      </c>
    </row>
    <row r="3490" spans="1:7">
      <c r="A3490" t="s">
        <v>1297</v>
      </c>
      <c r="B3490" t="s">
        <v>1298</v>
      </c>
      <c r="C3490" t="s">
        <v>664</v>
      </c>
      <c r="D3490" t="s">
        <v>1355</v>
      </c>
      <c r="E3490" t="s">
        <v>187</v>
      </c>
      <c r="F3490">
        <v>2020</v>
      </c>
      <c r="G3490">
        <v>1.8284469999999999</v>
      </c>
    </row>
    <row r="3491" spans="1:7">
      <c r="A3491" t="s">
        <v>1297</v>
      </c>
      <c r="B3491" t="s">
        <v>1298</v>
      </c>
      <c r="C3491" t="s">
        <v>662</v>
      </c>
      <c r="D3491" t="s">
        <v>1355</v>
      </c>
      <c r="E3491" t="s">
        <v>187</v>
      </c>
      <c r="F3491">
        <v>2005</v>
      </c>
      <c r="G3491">
        <v>127.95480000000001</v>
      </c>
    </row>
    <row r="3492" spans="1:7">
      <c r="A3492" t="s">
        <v>1297</v>
      </c>
      <c r="B3492" t="s">
        <v>1298</v>
      </c>
      <c r="C3492" t="s">
        <v>662</v>
      </c>
      <c r="D3492" t="s">
        <v>1355</v>
      </c>
      <c r="E3492" t="s">
        <v>187</v>
      </c>
      <c r="F3492">
        <v>2010</v>
      </c>
      <c r="G3492">
        <v>110.86920000000001</v>
      </c>
    </row>
    <row r="3493" spans="1:7">
      <c r="A3493" t="s">
        <v>1297</v>
      </c>
      <c r="B3493" t="s">
        <v>1298</v>
      </c>
      <c r="C3493" t="s">
        <v>662</v>
      </c>
      <c r="D3493" t="s">
        <v>1355</v>
      </c>
      <c r="E3493" t="s">
        <v>187</v>
      </c>
      <c r="F3493">
        <v>2012</v>
      </c>
      <c r="G3493">
        <v>112.0284</v>
      </c>
    </row>
    <row r="3494" spans="1:7">
      <c r="A3494" t="s">
        <v>1297</v>
      </c>
      <c r="B3494" t="s">
        <v>1298</v>
      </c>
      <c r="C3494" t="s">
        <v>662</v>
      </c>
      <c r="D3494" t="s">
        <v>1355</v>
      </c>
      <c r="E3494" t="s">
        <v>187</v>
      </c>
      <c r="F3494">
        <v>2016</v>
      </c>
      <c r="G3494">
        <v>67.978800000000007</v>
      </c>
    </row>
    <row r="3495" spans="1:7">
      <c r="A3495" t="s">
        <v>1297</v>
      </c>
      <c r="B3495" t="s">
        <v>1298</v>
      </c>
      <c r="C3495" t="s">
        <v>662</v>
      </c>
      <c r="D3495" t="s">
        <v>1355</v>
      </c>
      <c r="E3495" t="s">
        <v>187</v>
      </c>
      <c r="F3495">
        <v>2020</v>
      </c>
      <c r="G3495">
        <v>43.644804999999998</v>
      </c>
    </row>
    <row r="3496" spans="1:7">
      <c r="A3496" t="s">
        <v>1297</v>
      </c>
      <c r="B3496" t="s">
        <v>1298</v>
      </c>
      <c r="C3496" t="s">
        <v>661</v>
      </c>
      <c r="D3496" t="s">
        <v>1355</v>
      </c>
      <c r="E3496" t="s">
        <v>187</v>
      </c>
      <c r="F3496">
        <v>2005</v>
      </c>
      <c r="G3496">
        <v>99.054000000000002</v>
      </c>
    </row>
    <row r="3497" spans="1:7">
      <c r="A3497" t="s">
        <v>1297</v>
      </c>
      <c r="B3497" t="s">
        <v>1298</v>
      </c>
      <c r="C3497" t="s">
        <v>661</v>
      </c>
      <c r="D3497" t="s">
        <v>1355</v>
      </c>
      <c r="E3497" t="s">
        <v>187</v>
      </c>
      <c r="F3497">
        <v>2010</v>
      </c>
      <c r="G3497">
        <v>84.092399999999998</v>
      </c>
    </row>
    <row r="3498" spans="1:7">
      <c r="A3498" t="s">
        <v>1297</v>
      </c>
      <c r="B3498" t="s">
        <v>1298</v>
      </c>
      <c r="C3498" t="s">
        <v>661</v>
      </c>
      <c r="D3498" t="s">
        <v>1355</v>
      </c>
      <c r="E3498" t="s">
        <v>187</v>
      </c>
      <c r="F3498">
        <v>2012</v>
      </c>
      <c r="G3498">
        <v>77.243306000000004</v>
      </c>
    </row>
    <row r="3499" spans="1:7">
      <c r="A3499" t="s">
        <v>1297</v>
      </c>
      <c r="B3499" t="s">
        <v>1298</v>
      </c>
      <c r="C3499" t="s">
        <v>661</v>
      </c>
      <c r="D3499" t="s">
        <v>1355</v>
      </c>
      <c r="E3499" t="s">
        <v>187</v>
      </c>
      <c r="F3499">
        <v>2016</v>
      </c>
      <c r="G3499">
        <v>36.812663999999998</v>
      </c>
    </row>
    <row r="3500" spans="1:7">
      <c r="A3500" t="s">
        <v>1297</v>
      </c>
      <c r="B3500" t="s">
        <v>1298</v>
      </c>
      <c r="C3500" t="s">
        <v>661</v>
      </c>
      <c r="D3500" t="s">
        <v>1355</v>
      </c>
      <c r="E3500" t="s">
        <v>187</v>
      </c>
      <c r="F3500">
        <v>2020</v>
      </c>
      <c r="G3500">
        <v>13.094302000000001</v>
      </c>
    </row>
    <row r="3501" spans="1:7">
      <c r="A3501" t="s">
        <v>1297</v>
      </c>
      <c r="B3501" t="s">
        <v>1298</v>
      </c>
      <c r="C3501" t="s">
        <v>1299</v>
      </c>
      <c r="D3501" t="s">
        <v>1355</v>
      </c>
      <c r="E3501" t="s">
        <v>187</v>
      </c>
      <c r="F3501">
        <v>2005</v>
      </c>
      <c r="G3501">
        <v>166.41</v>
      </c>
    </row>
    <row r="3502" spans="1:7">
      <c r="A3502" t="s">
        <v>1297</v>
      </c>
      <c r="B3502" t="s">
        <v>1298</v>
      </c>
      <c r="C3502" t="s">
        <v>1299</v>
      </c>
      <c r="D3502" t="s">
        <v>1355</v>
      </c>
      <c r="E3502" t="s">
        <v>187</v>
      </c>
      <c r="F3502">
        <v>2010</v>
      </c>
      <c r="G3502">
        <v>242.29079999999999</v>
      </c>
    </row>
    <row r="3503" spans="1:7">
      <c r="A3503" t="s">
        <v>1297</v>
      </c>
      <c r="B3503" t="s">
        <v>1298</v>
      </c>
      <c r="C3503" t="s">
        <v>1299</v>
      </c>
      <c r="D3503" t="s">
        <v>1355</v>
      </c>
      <c r="E3503" t="s">
        <v>187</v>
      </c>
      <c r="F3503">
        <v>2012</v>
      </c>
      <c r="G3503">
        <v>287.90280000000001</v>
      </c>
    </row>
    <row r="3504" spans="1:7">
      <c r="A3504" t="s">
        <v>1297</v>
      </c>
      <c r="B3504" t="s">
        <v>1298</v>
      </c>
      <c r="C3504" t="s">
        <v>1299</v>
      </c>
      <c r="D3504" t="s">
        <v>1355</v>
      </c>
      <c r="E3504" t="s">
        <v>187</v>
      </c>
      <c r="F3504">
        <v>2016</v>
      </c>
      <c r="G3504">
        <v>214.56</v>
      </c>
    </row>
    <row r="3505" spans="1:7">
      <c r="A3505" t="s">
        <v>1297</v>
      </c>
      <c r="B3505" t="s">
        <v>1298</v>
      </c>
      <c r="C3505" t="s">
        <v>1299</v>
      </c>
      <c r="D3505" t="s">
        <v>1355</v>
      </c>
      <c r="E3505" t="s">
        <v>187</v>
      </c>
      <c r="F3505">
        <v>2020</v>
      </c>
      <c r="G3505">
        <v>160.57548</v>
      </c>
    </row>
    <row r="3506" spans="1:7">
      <c r="A3506" t="s">
        <v>1297</v>
      </c>
      <c r="B3506" t="s">
        <v>1298</v>
      </c>
      <c r="C3506" t="s">
        <v>655</v>
      </c>
      <c r="D3506" t="s">
        <v>1355</v>
      </c>
      <c r="E3506" t="s">
        <v>187</v>
      </c>
      <c r="F3506">
        <v>2005</v>
      </c>
      <c r="G3506">
        <v>178.2792</v>
      </c>
    </row>
    <row r="3507" spans="1:7">
      <c r="A3507" t="s">
        <v>1297</v>
      </c>
      <c r="B3507" t="s">
        <v>1298</v>
      </c>
      <c r="C3507" t="s">
        <v>655</v>
      </c>
      <c r="D3507" t="s">
        <v>1355</v>
      </c>
      <c r="E3507" t="s">
        <v>187</v>
      </c>
      <c r="F3507">
        <v>2010</v>
      </c>
      <c r="G3507">
        <v>168.84</v>
      </c>
    </row>
    <row r="3508" spans="1:7">
      <c r="A3508" t="s">
        <v>1297</v>
      </c>
      <c r="B3508" t="s">
        <v>1298</v>
      </c>
      <c r="C3508" t="s">
        <v>655</v>
      </c>
      <c r="D3508" t="s">
        <v>1355</v>
      </c>
      <c r="E3508" t="s">
        <v>187</v>
      </c>
      <c r="F3508">
        <v>2012</v>
      </c>
      <c r="G3508">
        <v>158.32079999999999</v>
      </c>
    </row>
    <row r="3509" spans="1:7">
      <c r="A3509" t="s">
        <v>1297</v>
      </c>
      <c r="B3509" t="s">
        <v>1298</v>
      </c>
      <c r="C3509" t="s">
        <v>655</v>
      </c>
      <c r="D3509" t="s">
        <v>1355</v>
      </c>
      <c r="E3509" t="s">
        <v>187</v>
      </c>
      <c r="F3509">
        <v>2016</v>
      </c>
      <c r="G3509">
        <v>151.10640000000001</v>
      </c>
    </row>
    <row r="3510" spans="1:7">
      <c r="A3510" t="s">
        <v>1297</v>
      </c>
      <c r="B3510" t="s">
        <v>1298</v>
      </c>
      <c r="C3510" t="s">
        <v>655</v>
      </c>
      <c r="D3510" t="s">
        <v>1355</v>
      </c>
      <c r="E3510" t="s">
        <v>187</v>
      </c>
      <c r="F3510">
        <v>2020</v>
      </c>
      <c r="G3510">
        <v>134.40817100000001</v>
      </c>
    </row>
    <row r="3511" spans="1:7">
      <c r="A3511" t="s">
        <v>1297</v>
      </c>
      <c r="B3511" t="s">
        <v>1298</v>
      </c>
      <c r="C3511" t="s">
        <v>677</v>
      </c>
      <c r="D3511" t="s">
        <v>1355</v>
      </c>
      <c r="E3511" t="s">
        <v>187</v>
      </c>
      <c r="F3511">
        <v>2005</v>
      </c>
      <c r="G3511">
        <v>484.69319999999999</v>
      </c>
    </row>
    <row r="3512" spans="1:7">
      <c r="A3512" t="s">
        <v>1297</v>
      </c>
      <c r="B3512" t="s">
        <v>1298</v>
      </c>
      <c r="C3512" t="s">
        <v>673</v>
      </c>
      <c r="D3512" t="s">
        <v>1355</v>
      </c>
      <c r="E3512" t="s">
        <v>187</v>
      </c>
      <c r="F3512">
        <v>2012</v>
      </c>
      <c r="G3512">
        <v>82.443600000000004</v>
      </c>
    </row>
    <row r="3513" spans="1:7">
      <c r="A3513" t="s">
        <v>1297</v>
      </c>
      <c r="B3513" t="s">
        <v>1298</v>
      </c>
      <c r="C3513" t="s">
        <v>673</v>
      </c>
      <c r="D3513" t="s">
        <v>1355</v>
      </c>
      <c r="E3513" t="s">
        <v>187</v>
      </c>
      <c r="F3513">
        <v>2016</v>
      </c>
      <c r="G3513">
        <v>57.171599999999998</v>
      </c>
    </row>
    <row r="3514" spans="1:7">
      <c r="A3514" t="s">
        <v>1297</v>
      </c>
      <c r="B3514" t="s">
        <v>1298</v>
      </c>
      <c r="C3514" t="s">
        <v>673</v>
      </c>
      <c r="D3514" t="s">
        <v>1355</v>
      </c>
      <c r="E3514" t="s">
        <v>187</v>
      </c>
      <c r="F3514">
        <v>2020</v>
      </c>
      <c r="G3514">
        <v>49.026502999999998</v>
      </c>
    </row>
    <row r="3515" spans="1:7">
      <c r="A3515" t="s">
        <v>1297</v>
      </c>
      <c r="B3515" t="s">
        <v>1298</v>
      </c>
      <c r="C3515" t="s">
        <v>685</v>
      </c>
      <c r="D3515" t="s">
        <v>1355</v>
      </c>
      <c r="E3515" t="s">
        <v>187</v>
      </c>
      <c r="F3515">
        <v>2005</v>
      </c>
      <c r="G3515">
        <v>19.569600000000001</v>
      </c>
    </row>
    <row r="3516" spans="1:7">
      <c r="A3516" t="s">
        <v>1297</v>
      </c>
      <c r="B3516" t="s">
        <v>1298</v>
      </c>
      <c r="C3516" t="s">
        <v>685</v>
      </c>
      <c r="D3516" t="s">
        <v>1355</v>
      </c>
      <c r="E3516" t="s">
        <v>187</v>
      </c>
      <c r="F3516">
        <v>2010</v>
      </c>
      <c r="G3516">
        <v>17.0748</v>
      </c>
    </row>
    <row r="3517" spans="1:7">
      <c r="A3517" t="s">
        <v>1297</v>
      </c>
      <c r="B3517" t="s">
        <v>1298</v>
      </c>
      <c r="C3517" t="s">
        <v>685</v>
      </c>
      <c r="D3517" t="s">
        <v>1355</v>
      </c>
      <c r="E3517" t="s">
        <v>187</v>
      </c>
      <c r="F3517">
        <v>2012</v>
      </c>
      <c r="G3517">
        <v>17.395199999999999</v>
      </c>
    </row>
    <row r="3518" spans="1:7">
      <c r="A3518" t="s">
        <v>1297</v>
      </c>
      <c r="B3518" t="s">
        <v>1298</v>
      </c>
      <c r="C3518" t="s">
        <v>685</v>
      </c>
      <c r="D3518" t="s">
        <v>1355</v>
      </c>
      <c r="E3518" t="s">
        <v>187</v>
      </c>
      <c r="F3518">
        <v>2016</v>
      </c>
      <c r="G3518">
        <v>10.415646000000001</v>
      </c>
    </row>
    <row r="3519" spans="1:7">
      <c r="A3519" t="s">
        <v>1297</v>
      </c>
      <c r="B3519" t="s">
        <v>1298</v>
      </c>
      <c r="C3519" t="s">
        <v>685</v>
      </c>
      <c r="D3519" t="s">
        <v>1355</v>
      </c>
      <c r="E3519" t="s">
        <v>187</v>
      </c>
      <c r="F3519">
        <v>2020</v>
      </c>
      <c r="G3519">
        <v>12.627443</v>
      </c>
    </row>
    <row r="3520" spans="1:7">
      <c r="A3520" t="s">
        <v>1297</v>
      </c>
      <c r="B3520" t="s">
        <v>1298</v>
      </c>
      <c r="C3520" t="s">
        <v>665</v>
      </c>
      <c r="D3520" t="s">
        <v>1355</v>
      </c>
      <c r="E3520" t="s">
        <v>187</v>
      </c>
      <c r="F3520">
        <v>2005</v>
      </c>
      <c r="G3520">
        <v>156.98159999999999</v>
      </c>
    </row>
    <row r="3521" spans="1:7">
      <c r="A3521" t="s">
        <v>1297</v>
      </c>
      <c r="B3521" t="s">
        <v>1298</v>
      </c>
      <c r="C3521" t="s">
        <v>665</v>
      </c>
      <c r="D3521" t="s">
        <v>1355</v>
      </c>
      <c r="E3521" t="s">
        <v>187</v>
      </c>
      <c r="F3521">
        <v>2010</v>
      </c>
      <c r="G3521">
        <v>143.04239999999999</v>
      </c>
    </row>
    <row r="3522" spans="1:7">
      <c r="A3522" t="s">
        <v>1297</v>
      </c>
      <c r="B3522" t="s">
        <v>1298</v>
      </c>
      <c r="C3522" t="s">
        <v>665</v>
      </c>
      <c r="D3522" t="s">
        <v>1355</v>
      </c>
      <c r="E3522" t="s">
        <v>187</v>
      </c>
      <c r="F3522">
        <v>2012</v>
      </c>
      <c r="G3522">
        <v>176.9076</v>
      </c>
    </row>
    <row r="3523" spans="1:7">
      <c r="A3523" t="s">
        <v>1297</v>
      </c>
      <c r="B3523" t="s">
        <v>1298</v>
      </c>
      <c r="C3523" t="s">
        <v>672</v>
      </c>
      <c r="D3523" t="s">
        <v>1355</v>
      </c>
      <c r="E3523" t="s">
        <v>187</v>
      </c>
      <c r="F3523">
        <v>2016</v>
      </c>
      <c r="G3523">
        <v>45.468000000000004</v>
      </c>
    </row>
    <row r="3524" spans="1:7">
      <c r="A3524" t="s">
        <v>1297</v>
      </c>
      <c r="B3524" t="s">
        <v>1298</v>
      </c>
      <c r="C3524" t="s">
        <v>672</v>
      </c>
      <c r="D3524" t="s">
        <v>1355</v>
      </c>
      <c r="E3524" t="s">
        <v>187</v>
      </c>
      <c r="F3524">
        <v>2020</v>
      </c>
      <c r="G3524">
        <v>19.917698000000001</v>
      </c>
    </row>
    <row r="3525" spans="1:7">
      <c r="A3525" t="s">
        <v>1297</v>
      </c>
      <c r="B3525" t="s">
        <v>1298</v>
      </c>
      <c r="C3525" t="s">
        <v>673</v>
      </c>
      <c r="D3525" t="s">
        <v>1355</v>
      </c>
      <c r="E3525" t="s">
        <v>187</v>
      </c>
      <c r="F3525">
        <v>2005</v>
      </c>
      <c r="G3525">
        <v>78.897599999999997</v>
      </c>
    </row>
    <row r="3526" spans="1:7">
      <c r="A3526" t="s">
        <v>1297</v>
      </c>
      <c r="B3526" t="s">
        <v>1298</v>
      </c>
      <c r="C3526" t="s">
        <v>673</v>
      </c>
      <c r="D3526" t="s">
        <v>1355</v>
      </c>
      <c r="E3526" t="s">
        <v>187</v>
      </c>
      <c r="F3526">
        <v>2010</v>
      </c>
      <c r="G3526">
        <v>74.451599999999999</v>
      </c>
    </row>
    <row r="3527" spans="1:7">
      <c r="A3527" t="s">
        <v>1297</v>
      </c>
      <c r="B3527" t="s">
        <v>1298</v>
      </c>
      <c r="C3527" t="s">
        <v>686</v>
      </c>
      <c r="D3527" t="s">
        <v>1355</v>
      </c>
      <c r="E3527" t="s">
        <v>187</v>
      </c>
      <c r="F3527">
        <v>2016</v>
      </c>
      <c r="G3527">
        <v>98.074799999999996</v>
      </c>
    </row>
    <row r="3528" spans="1:7">
      <c r="A3528" t="s">
        <v>1297</v>
      </c>
      <c r="B3528" t="s">
        <v>1298</v>
      </c>
      <c r="C3528" t="s">
        <v>686</v>
      </c>
      <c r="D3528" t="s">
        <v>1355</v>
      </c>
      <c r="E3528" t="s">
        <v>187</v>
      </c>
      <c r="F3528">
        <v>2020</v>
      </c>
      <c r="G3528">
        <v>92.099423000000002</v>
      </c>
    </row>
    <row r="3529" spans="1:7">
      <c r="A3529" t="s">
        <v>1297</v>
      </c>
      <c r="B3529" t="s">
        <v>1298</v>
      </c>
      <c r="C3529" t="s">
        <v>679</v>
      </c>
      <c r="D3529" t="s">
        <v>1355</v>
      </c>
      <c r="E3529" t="s">
        <v>187</v>
      </c>
      <c r="F3529">
        <v>2005</v>
      </c>
      <c r="G3529">
        <v>0.1512</v>
      </c>
    </row>
    <row r="3530" spans="1:7">
      <c r="A3530" t="s">
        <v>1297</v>
      </c>
      <c r="B3530" t="s">
        <v>1298</v>
      </c>
      <c r="C3530" t="s">
        <v>679</v>
      </c>
      <c r="D3530" t="s">
        <v>1355</v>
      </c>
      <c r="E3530" t="s">
        <v>187</v>
      </c>
      <c r="F3530">
        <v>2010</v>
      </c>
      <c r="G3530">
        <v>0.1512</v>
      </c>
    </row>
    <row r="3531" spans="1:7">
      <c r="A3531" t="s">
        <v>1297</v>
      </c>
      <c r="B3531" t="s">
        <v>1298</v>
      </c>
      <c r="C3531" t="s">
        <v>679</v>
      </c>
      <c r="D3531" t="s">
        <v>1355</v>
      </c>
      <c r="E3531" t="s">
        <v>187</v>
      </c>
      <c r="F3531">
        <v>2012</v>
      </c>
      <c r="G3531">
        <v>0.1404</v>
      </c>
    </row>
    <row r="3532" spans="1:7">
      <c r="A3532" t="s">
        <v>1297</v>
      </c>
      <c r="B3532" t="s">
        <v>1298</v>
      </c>
      <c r="C3532" t="s">
        <v>679</v>
      </c>
      <c r="D3532" t="s">
        <v>1355</v>
      </c>
      <c r="E3532" t="s">
        <v>187</v>
      </c>
      <c r="F3532">
        <v>2016</v>
      </c>
      <c r="G3532">
        <v>0.1512</v>
      </c>
    </row>
    <row r="3533" spans="1:7">
      <c r="A3533" t="s">
        <v>1297</v>
      </c>
      <c r="B3533" t="s">
        <v>1298</v>
      </c>
      <c r="C3533" t="s">
        <v>679</v>
      </c>
      <c r="D3533" t="s">
        <v>1355</v>
      </c>
      <c r="E3533" t="s">
        <v>187</v>
      </c>
      <c r="F3533">
        <v>2020</v>
      </c>
      <c r="G3533">
        <v>0.16062799999999999</v>
      </c>
    </row>
    <row r="3534" spans="1:7">
      <c r="A3534" t="s">
        <v>1297</v>
      </c>
      <c r="B3534" t="s">
        <v>1298</v>
      </c>
      <c r="C3534" t="s">
        <v>653</v>
      </c>
      <c r="D3534" t="s">
        <v>1355</v>
      </c>
      <c r="E3534" t="s">
        <v>187</v>
      </c>
      <c r="F3534">
        <v>2005</v>
      </c>
      <c r="G3534">
        <v>66.448800000000006</v>
      </c>
    </row>
    <row r="3535" spans="1:7">
      <c r="A3535" t="s">
        <v>1297</v>
      </c>
      <c r="B3535" t="s">
        <v>1298</v>
      </c>
      <c r="C3535" t="s">
        <v>653</v>
      </c>
      <c r="D3535" t="s">
        <v>1355</v>
      </c>
      <c r="E3535" t="s">
        <v>187</v>
      </c>
      <c r="F3535">
        <v>2010</v>
      </c>
      <c r="G3535">
        <v>81.381600000000006</v>
      </c>
    </row>
    <row r="3536" spans="1:7">
      <c r="A3536" t="s">
        <v>1297</v>
      </c>
      <c r="B3536" t="s">
        <v>1298</v>
      </c>
      <c r="C3536" t="s">
        <v>653</v>
      </c>
      <c r="D3536" t="s">
        <v>1355</v>
      </c>
      <c r="E3536" t="s">
        <v>187</v>
      </c>
      <c r="F3536">
        <v>2012</v>
      </c>
      <c r="G3536">
        <v>82.3536</v>
      </c>
    </row>
    <row r="3537" spans="1:7">
      <c r="A3537" t="s">
        <v>1297</v>
      </c>
      <c r="B3537" t="s">
        <v>1298</v>
      </c>
      <c r="C3537" t="s">
        <v>653</v>
      </c>
      <c r="D3537" t="s">
        <v>1355</v>
      </c>
      <c r="E3537" t="s">
        <v>187</v>
      </c>
      <c r="F3537">
        <v>2016</v>
      </c>
      <c r="G3537">
        <v>69.710400000000007</v>
      </c>
    </row>
    <row r="3538" spans="1:7">
      <c r="A3538" t="s">
        <v>1297</v>
      </c>
      <c r="B3538" t="s">
        <v>1298</v>
      </c>
      <c r="C3538" t="s">
        <v>653</v>
      </c>
      <c r="D3538" t="s">
        <v>1355</v>
      </c>
      <c r="E3538" t="s">
        <v>187</v>
      </c>
      <c r="F3538">
        <v>2020</v>
      </c>
      <c r="G3538">
        <v>61.92747</v>
      </c>
    </row>
    <row r="3539" spans="1:7">
      <c r="A3539" t="s">
        <v>1297</v>
      </c>
      <c r="B3539" t="s">
        <v>1298</v>
      </c>
      <c r="C3539" t="s">
        <v>684</v>
      </c>
      <c r="D3539" t="s">
        <v>1355</v>
      </c>
      <c r="E3539" t="s">
        <v>187</v>
      </c>
      <c r="F3539">
        <v>2005</v>
      </c>
      <c r="G3539">
        <v>3.5928</v>
      </c>
    </row>
    <row r="3540" spans="1:7">
      <c r="A3540" t="s">
        <v>1297</v>
      </c>
      <c r="B3540" t="s">
        <v>1298</v>
      </c>
      <c r="C3540" t="s">
        <v>684</v>
      </c>
      <c r="D3540" t="s">
        <v>1355</v>
      </c>
      <c r="E3540" t="s">
        <v>187</v>
      </c>
      <c r="F3540">
        <v>2010</v>
      </c>
      <c r="G3540">
        <v>4.5792000000000002</v>
      </c>
    </row>
    <row r="3541" spans="1:7">
      <c r="A3541" t="s">
        <v>1297</v>
      </c>
      <c r="B3541" t="s">
        <v>1298</v>
      </c>
      <c r="C3541" t="s">
        <v>684</v>
      </c>
      <c r="D3541" t="s">
        <v>1355</v>
      </c>
      <c r="E3541" t="s">
        <v>187</v>
      </c>
      <c r="F3541">
        <v>2012</v>
      </c>
      <c r="G3541">
        <v>4.9211999999999998</v>
      </c>
    </row>
    <row r="3542" spans="1:7">
      <c r="A3542" t="s">
        <v>1297</v>
      </c>
      <c r="B3542" t="s">
        <v>1298</v>
      </c>
      <c r="C3542" t="s">
        <v>684</v>
      </c>
      <c r="D3542" t="s">
        <v>1355</v>
      </c>
      <c r="E3542" t="s">
        <v>187</v>
      </c>
      <c r="F3542">
        <v>2016</v>
      </c>
      <c r="G3542">
        <v>4.6727999999999996</v>
      </c>
    </row>
    <row r="3543" spans="1:7">
      <c r="A3543" t="s">
        <v>1297</v>
      </c>
      <c r="B3543" t="s">
        <v>1298</v>
      </c>
      <c r="C3543" t="s">
        <v>684</v>
      </c>
      <c r="D3543" t="s">
        <v>1355</v>
      </c>
      <c r="E3543" t="s">
        <v>187</v>
      </c>
      <c r="F3543">
        <v>2020</v>
      </c>
      <c r="G3543">
        <v>5.4158400000000002</v>
      </c>
    </row>
    <row r="3544" spans="1:7">
      <c r="A3544" t="s">
        <v>1297</v>
      </c>
      <c r="B3544" t="s">
        <v>1298</v>
      </c>
      <c r="C3544" t="s">
        <v>670</v>
      </c>
      <c r="D3544" t="s">
        <v>1355</v>
      </c>
      <c r="E3544" t="s">
        <v>187</v>
      </c>
      <c r="F3544">
        <v>2005</v>
      </c>
      <c r="G3544">
        <v>84.6</v>
      </c>
    </row>
    <row r="3545" spans="1:7">
      <c r="A3545" t="s">
        <v>1297</v>
      </c>
      <c r="B3545" t="s">
        <v>1298</v>
      </c>
      <c r="C3545" t="s">
        <v>670</v>
      </c>
      <c r="D3545" t="s">
        <v>1355</v>
      </c>
      <c r="E3545" t="s">
        <v>187</v>
      </c>
      <c r="F3545">
        <v>2010</v>
      </c>
      <c r="G3545">
        <v>81.316800000000001</v>
      </c>
    </row>
    <row r="3546" spans="1:7">
      <c r="A3546" t="s">
        <v>1297</v>
      </c>
      <c r="B3546" t="s">
        <v>1298</v>
      </c>
      <c r="C3546" t="s">
        <v>670</v>
      </c>
      <c r="D3546" t="s">
        <v>1355</v>
      </c>
      <c r="E3546" t="s">
        <v>187</v>
      </c>
      <c r="F3546">
        <v>2012</v>
      </c>
      <c r="G3546">
        <v>87.163200000000003</v>
      </c>
    </row>
    <row r="3547" spans="1:7">
      <c r="A3547" t="s">
        <v>1297</v>
      </c>
      <c r="B3547" t="s">
        <v>1298</v>
      </c>
      <c r="C3547" t="s">
        <v>670</v>
      </c>
      <c r="D3547" t="s">
        <v>1355</v>
      </c>
      <c r="E3547" t="s">
        <v>187</v>
      </c>
      <c r="F3547">
        <v>2016</v>
      </c>
      <c r="G3547">
        <v>132.22156000000001</v>
      </c>
    </row>
    <row r="3548" spans="1:7">
      <c r="A3548" t="s">
        <v>1297</v>
      </c>
      <c r="B3548" t="s">
        <v>1298</v>
      </c>
      <c r="C3548" t="s">
        <v>670</v>
      </c>
      <c r="D3548" t="s">
        <v>1355</v>
      </c>
      <c r="E3548" t="s">
        <v>187</v>
      </c>
      <c r="F3548">
        <v>2020</v>
      </c>
      <c r="G3548">
        <v>63.773885</v>
      </c>
    </row>
    <row r="3549" spans="1:7">
      <c r="A3549" t="s">
        <v>1297</v>
      </c>
      <c r="B3549" t="s">
        <v>1298</v>
      </c>
      <c r="C3549" t="s">
        <v>682</v>
      </c>
      <c r="D3549" t="s">
        <v>1355</v>
      </c>
      <c r="E3549" t="s">
        <v>187</v>
      </c>
      <c r="F3549">
        <v>2016</v>
      </c>
      <c r="G3549">
        <v>43.275599999999997</v>
      </c>
    </row>
    <row r="3550" spans="1:7">
      <c r="A3550" t="s">
        <v>1297</v>
      </c>
      <c r="B3550" t="s">
        <v>1298</v>
      </c>
      <c r="C3550" t="s">
        <v>682</v>
      </c>
      <c r="D3550" t="s">
        <v>1355</v>
      </c>
      <c r="E3550" t="s">
        <v>187</v>
      </c>
      <c r="F3550">
        <v>2020</v>
      </c>
      <c r="G3550">
        <v>39.466799999999999</v>
      </c>
    </row>
    <row r="3551" spans="1:7">
      <c r="A3551" t="s">
        <v>1297</v>
      </c>
      <c r="B3551" t="s">
        <v>1298</v>
      </c>
      <c r="C3551" t="s">
        <v>674</v>
      </c>
      <c r="D3551" t="s">
        <v>1355</v>
      </c>
      <c r="E3551" t="s">
        <v>187</v>
      </c>
      <c r="F3551">
        <v>2005</v>
      </c>
      <c r="G3551">
        <v>2.3328000000000002</v>
      </c>
    </row>
    <row r="3552" spans="1:7">
      <c r="A3552" t="s">
        <v>1297</v>
      </c>
      <c r="B3552" t="s">
        <v>1298</v>
      </c>
      <c r="C3552" t="s">
        <v>674</v>
      </c>
      <c r="D3552" t="s">
        <v>1355</v>
      </c>
      <c r="E3552" t="s">
        <v>187</v>
      </c>
      <c r="F3552">
        <v>2010</v>
      </c>
      <c r="G3552">
        <v>3.6791999999999998</v>
      </c>
    </row>
    <row r="3553" spans="1:7">
      <c r="A3553" t="s">
        <v>1297</v>
      </c>
      <c r="B3553" t="s">
        <v>1298</v>
      </c>
      <c r="C3553" t="s">
        <v>674</v>
      </c>
      <c r="D3553" t="s">
        <v>1355</v>
      </c>
      <c r="E3553" t="s">
        <v>187</v>
      </c>
      <c r="F3553">
        <v>2012</v>
      </c>
      <c r="G3553">
        <v>1.7387999999999999</v>
      </c>
    </row>
    <row r="3554" spans="1:7">
      <c r="A3554" t="s">
        <v>1297</v>
      </c>
      <c r="B3554" t="s">
        <v>1298</v>
      </c>
      <c r="C3554" t="s">
        <v>674</v>
      </c>
      <c r="D3554" t="s">
        <v>1355</v>
      </c>
      <c r="E3554" t="s">
        <v>187</v>
      </c>
      <c r="F3554">
        <v>2016</v>
      </c>
      <c r="G3554">
        <v>0.94679999999999997</v>
      </c>
    </row>
    <row r="3555" spans="1:7">
      <c r="A3555" t="s">
        <v>1297</v>
      </c>
      <c r="B3555" t="s">
        <v>1298</v>
      </c>
      <c r="C3555" t="s">
        <v>674</v>
      </c>
      <c r="D3555" t="s">
        <v>1355</v>
      </c>
      <c r="E3555" t="s">
        <v>187</v>
      </c>
      <c r="F3555">
        <v>2020</v>
      </c>
      <c r="G3555">
        <v>0.76319999999999999</v>
      </c>
    </row>
    <row r="3556" spans="1:7">
      <c r="A3556" t="s">
        <v>1297</v>
      </c>
      <c r="B3556" t="s">
        <v>1298</v>
      </c>
      <c r="C3556" t="s">
        <v>1301</v>
      </c>
      <c r="D3556" t="s">
        <v>1355</v>
      </c>
      <c r="E3556" t="s">
        <v>187</v>
      </c>
      <c r="F3556">
        <v>2005</v>
      </c>
      <c r="G3556">
        <v>151.91640000000001</v>
      </c>
    </row>
    <row r="3557" spans="1:7">
      <c r="A3557" t="s">
        <v>1297</v>
      </c>
      <c r="B3557" t="s">
        <v>1298</v>
      </c>
      <c r="C3557" t="s">
        <v>1301</v>
      </c>
      <c r="D3557" t="s">
        <v>1355</v>
      </c>
      <c r="E3557" t="s">
        <v>187</v>
      </c>
      <c r="F3557">
        <v>2010</v>
      </c>
      <c r="G3557">
        <v>192.16079999999999</v>
      </c>
    </row>
    <row r="3558" spans="1:7">
      <c r="A3558" t="s">
        <v>1297</v>
      </c>
      <c r="B3558" t="s">
        <v>1298</v>
      </c>
      <c r="C3558" t="s">
        <v>1301</v>
      </c>
      <c r="D3558" t="s">
        <v>1355</v>
      </c>
      <c r="E3558" t="s">
        <v>187</v>
      </c>
      <c r="F3558">
        <v>2012</v>
      </c>
      <c r="G3558">
        <v>238.79519999999999</v>
      </c>
    </row>
    <row r="3559" spans="1:7">
      <c r="A3559" t="s">
        <v>1297</v>
      </c>
      <c r="B3559" t="s">
        <v>1298</v>
      </c>
      <c r="C3559" t="s">
        <v>1301</v>
      </c>
      <c r="D3559" t="s">
        <v>1355</v>
      </c>
      <c r="E3559" t="s">
        <v>187</v>
      </c>
      <c r="F3559">
        <v>2016</v>
      </c>
      <c r="G3559">
        <v>325.39679999999998</v>
      </c>
    </row>
    <row r="3560" spans="1:7">
      <c r="A3560" t="s">
        <v>1297</v>
      </c>
      <c r="B3560" t="s">
        <v>1298</v>
      </c>
      <c r="C3560" t="s">
        <v>1301</v>
      </c>
      <c r="D3560" t="s">
        <v>1355</v>
      </c>
      <c r="E3560" t="s">
        <v>187</v>
      </c>
      <c r="F3560">
        <v>2020</v>
      </c>
      <c r="G3560">
        <v>400.23326500000002</v>
      </c>
    </row>
    <row r="3561" spans="1:7">
      <c r="A3561" t="s">
        <v>1297</v>
      </c>
      <c r="B3561" t="s">
        <v>1298</v>
      </c>
      <c r="C3561" t="s">
        <v>659</v>
      </c>
      <c r="D3561" t="s">
        <v>1355</v>
      </c>
      <c r="E3561" t="s">
        <v>187</v>
      </c>
      <c r="F3561">
        <v>2005</v>
      </c>
      <c r="G3561">
        <v>284.5908</v>
      </c>
    </row>
    <row r="3562" spans="1:7">
      <c r="A3562" t="s">
        <v>1297</v>
      </c>
      <c r="B3562" t="s">
        <v>1298</v>
      </c>
      <c r="C3562" t="s">
        <v>659</v>
      </c>
      <c r="D3562" t="s">
        <v>1355</v>
      </c>
      <c r="E3562" t="s">
        <v>187</v>
      </c>
      <c r="F3562">
        <v>2010</v>
      </c>
      <c r="G3562">
        <v>91.202399999999997</v>
      </c>
    </row>
    <row r="3563" spans="1:7">
      <c r="A3563" t="s">
        <v>1297</v>
      </c>
      <c r="B3563" t="s">
        <v>1298</v>
      </c>
      <c r="C3563" t="s">
        <v>659</v>
      </c>
      <c r="D3563" t="s">
        <v>1355</v>
      </c>
      <c r="E3563" t="s">
        <v>187</v>
      </c>
      <c r="F3563">
        <v>2012</v>
      </c>
      <c r="G3563">
        <v>198.2664</v>
      </c>
    </row>
    <row r="3564" spans="1:7">
      <c r="A3564" t="s">
        <v>1297</v>
      </c>
      <c r="B3564" t="s">
        <v>1298</v>
      </c>
      <c r="C3564" t="s">
        <v>659</v>
      </c>
      <c r="D3564" t="s">
        <v>1355</v>
      </c>
      <c r="E3564" t="s">
        <v>187</v>
      </c>
      <c r="F3564">
        <v>2016</v>
      </c>
      <c r="G3564">
        <v>131.16239999999999</v>
      </c>
    </row>
    <row r="3565" spans="1:7">
      <c r="A3565" t="s">
        <v>1297</v>
      </c>
      <c r="B3565" t="s">
        <v>1298</v>
      </c>
      <c r="C3565" t="s">
        <v>659</v>
      </c>
      <c r="D3565" t="s">
        <v>1355</v>
      </c>
      <c r="E3565" t="s">
        <v>187</v>
      </c>
      <c r="F3565">
        <v>2020</v>
      </c>
      <c r="G3565">
        <v>46.292400000000001</v>
      </c>
    </row>
    <row r="3566" spans="1:7">
      <c r="A3566" t="s">
        <v>1297</v>
      </c>
      <c r="B3566" t="s">
        <v>1298</v>
      </c>
      <c r="C3566" t="s">
        <v>672</v>
      </c>
      <c r="D3566" t="s">
        <v>1355</v>
      </c>
      <c r="E3566" t="s">
        <v>187</v>
      </c>
      <c r="F3566">
        <v>2005</v>
      </c>
      <c r="G3566">
        <v>54.813600000000001</v>
      </c>
    </row>
    <row r="3567" spans="1:7">
      <c r="A3567" t="s">
        <v>1297</v>
      </c>
      <c r="B3567" t="s">
        <v>1298</v>
      </c>
      <c r="C3567" t="s">
        <v>672</v>
      </c>
      <c r="D3567" t="s">
        <v>1355</v>
      </c>
      <c r="E3567" t="s">
        <v>187</v>
      </c>
      <c r="F3567">
        <v>2010</v>
      </c>
      <c r="G3567">
        <v>25.56</v>
      </c>
    </row>
    <row r="3568" spans="1:7">
      <c r="A3568" t="s">
        <v>1297</v>
      </c>
      <c r="B3568" t="s">
        <v>1298</v>
      </c>
      <c r="C3568" t="s">
        <v>672</v>
      </c>
      <c r="D3568" t="s">
        <v>1355</v>
      </c>
      <c r="E3568" t="s">
        <v>187</v>
      </c>
      <c r="F3568">
        <v>2012</v>
      </c>
      <c r="G3568">
        <v>47.113199999999999</v>
      </c>
    </row>
    <row r="3569" spans="1:7">
      <c r="A3569" t="s">
        <v>1297</v>
      </c>
      <c r="B3569" t="s">
        <v>1298</v>
      </c>
      <c r="C3569" t="s">
        <v>652</v>
      </c>
      <c r="D3569" t="s">
        <v>1355</v>
      </c>
      <c r="E3569" t="s">
        <v>187</v>
      </c>
      <c r="F3569">
        <v>2005</v>
      </c>
      <c r="G3569">
        <v>29.516400000000001</v>
      </c>
    </row>
    <row r="3570" spans="1:7">
      <c r="A3570" t="s">
        <v>1297</v>
      </c>
      <c r="B3570" t="s">
        <v>1298</v>
      </c>
      <c r="C3570" t="s">
        <v>652</v>
      </c>
      <c r="D3570" t="s">
        <v>1355</v>
      </c>
      <c r="E3570" t="s">
        <v>187</v>
      </c>
      <c r="F3570">
        <v>2010</v>
      </c>
      <c r="G3570">
        <v>15.1092</v>
      </c>
    </row>
    <row r="3571" spans="1:7">
      <c r="A3571" t="s">
        <v>1297</v>
      </c>
      <c r="B3571" t="s">
        <v>1298</v>
      </c>
      <c r="C3571" t="s">
        <v>652</v>
      </c>
      <c r="D3571" t="s">
        <v>1355</v>
      </c>
      <c r="E3571" t="s">
        <v>187</v>
      </c>
      <c r="F3571">
        <v>2012</v>
      </c>
      <c r="G3571">
        <v>12.2004</v>
      </c>
    </row>
    <row r="3572" spans="1:7">
      <c r="A3572" t="s">
        <v>1297</v>
      </c>
      <c r="B3572" t="s">
        <v>1298</v>
      </c>
      <c r="C3572" t="s">
        <v>652</v>
      </c>
      <c r="D3572" t="s">
        <v>1355</v>
      </c>
      <c r="E3572" t="s">
        <v>187</v>
      </c>
      <c r="F3572">
        <v>2016</v>
      </c>
      <c r="G3572">
        <v>1.4021999999999999</v>
      </c>
    </row>
    <row r="3573" spans="1:7">
      <c r="A3573" t="s">
        <v>1297</v>
      </c>
      <c r="B3573" t="s">
        <v>1298</v>
      </c>
      <c r="C3573" t="s">
        <v>652</v>
      </c>
      <c r="D3573" t="s">
        <v>1355</v>
      </c>
      <c r="E3573" t="s">
        <v>187</v>
      </c>
      <c r="F3573">
        <v>2020</v>
      </c>
      <c r="G3573">
        <v>0.33804000000000001</v>
      </c>
    </row>
    <row r="3574" spans="1:7">
      <c r="A3574" t="s">
        <v>1297</v>
      </c>
      <c r="B3574" t="s">
        <v>1298</v>
      </c>
      <c r="C3574" t="s">
        <v>671</v>
      </c>
      <c r="D3574" t="s">
        <v>1355</v>
      </c>
      <c r="E3574" t="s">
        <v>187</v>
      </c>
      <c r="F3574">
        <v>2005</v>
      </c>
      <c r="G3574">
        <v>510.77159999999998</v>
      </c>
    </row>
    <row r="3575" spans="1:7">
      <c r="A3575" t="s">
        <v>1297</v>
      </c>
      <c r="B3575" t="s">
        <v>1298</v>
      </c>
      <c r="C3575" t="s">
        <v>671</v>
      </c>
      <c r="D3575" t="s">
        <v>1355</v>
      </c>
      <c r="E3575" t="s">
        <v>187</v>
      </c>
      <c r="F3575">
        <v>2010</v>
      </c>
      <c r="G3575">
        <v>491.4504</v>
      </c>
    </row>
    <row r="3576" spans="1:7">
      <c r="A3576" t="s">
        <v>1297</v>
      </c>
      <c r="B3576" t="s">
        <v>1298</v>
      </c>
      <c r="C3576" t="s">
        <v>671</v>
      </c>
      <c r="D3576" t="s">
        <v>1355</v>
      </c>
      <c r="E3576" t="s">
        <v>187</v>
      </c>
      <c r="F3576">
        <v>2012</v>
      </c>
      <c r="G3576">
        <v>484.46280000000002</v>
      </c>
    </row>
    <row r="3577" spans="1:7">
      <c r="A3577" t="s">
        <v>1297</v>
      </c>
      <c r="B3577" t="s">
        <v>1298</v>
      </c>
      <c r="C3577" t="s">
        <v>671</v>
      </c>
      <c r="D3577" t="s">
        <v>1355</v>
      </c>
      <c r="E3577" t="s">
        <v>187</v>
      </c>
      <c r="F3577">
        <v>2016</v>
      </c>
      <c r="G3577">
        <v>469.1592</v>
      </c>
    </row>
    <row r="3578" spans="1:7">
      <c r="A3578" t="s">
        <v>1297</v>
      </c>
      <c r="B3578" t="s">
        <v>1298</v>
      </c>
      <c r="C3578" t="s">
        <v>671</v>
      </c>
      <c r="D3578" t="s">
        <v>1355</v>
      </c>
      <c r="E3578" t="s">
        <v>187</v>
      </c>
      <c r="F3578">
        <v>2020</v>
      </c>
      <c r="G3578">
        <v>425.31675799999999</v>
      </c>
    </row>
    <row r="3579" spans="1:7">
      <c r="A3579" t="s">
        <v>1297</v>
      </c>
      <c r="B3579" t="s">
        <v>1298</v>
      </c>
      <c r="C3579" t="s">
        <v>657</v>
      </c>
      <c r="D3579" t="s">
        <v>1355</v>
      </c>
      <c r="E3579" t="s">
        <v>187</v>
      </c>
      <c r="F3579">
        <v>2005</v>
      </c>
      <c r="G3579">
        <v>55.666800000000002</v>
      </c>
    </row>
    <row r="3580" spans="1:7">
      <c r="A3580" t="s">
        <v>1297</v>
      </c>
      <c r="B3580" t="s">
        <v>1298</v>
      </c>
      <c r="C3580" t="s">
        <v>657</v>
      </c>
      <c r="D3580" t="s">
        <v>1355</v>
      </c>
      <c r="E3580" t="s">
        <v>187</v>
      </c>
      <c r="F3580">
        <v>2010</v>
      </c>
      <c r="G3580">
        <v>61.221600000000002</v>
      </c>
    </row>
    <row r="3581" spans="1:7">
      <c r="A3581" t="s">
        <v>1297</v>
      </c>
      <c r="B3581" t="s">
        <v>1298</v>
      </c>
      <c r="C3581" t="s">
        <v>657</v>
      </c>
      <c r="D3581" t="s">
        <v>1355</v>
      </c>
      <c r="E3581" t="s">
        <v>187</v>
      </c>
      <c r="F3581">
        <v>2012</v>
      </c>
      <c r="G3581">
        <v>37.940399999999997</v>
      </c>
    </row>
    <row r="3582" spans="1:7">
      <c r="A3582" t="s">
        <v>1297</v>
      </c>
      <c r="B3582" t="s">
        <v>1298</v>
      </c>
      <c r="C3582" t="s">
        <v>657</v>
      </c>
      <c r="D3582" t="s">
        <v>1355</v>
      </c>
      <c r="E3582" t="s">
        <v>187</v>
      </c>
      <c r="F3582">
        <v>2016</v>
      </c>
      <c r="G3582">
        <v>31.914846000000001</v>
      </c>
    </row>
    <row r="3583" spans="1:7">
      <c r="A3583" t="s">
        <v>1297</v>
      </c>
      <c r="B3583" t="s">
        <v>1298</v>
      </c>
      <c r="C3583" t="s">
        <v>657</v>
      </c>
      <c r="D3583" t="s">
        <v>1355</v>
      </c>
      <c r="E3583" t="s">
        <v>187</v>
      </c>
      <c r="F3583">
        <v>2020</v>
      </c>
      <c r="G3583">
        <v>11.916626000000001</v>
      </c>
    </row>
    <row r="3584" spans="1:7">
      <c r="A3584" t="s">
        <v>1297</v>
      </c>
      <c r="B3584" t="s">
        <v>1298</v>
      </c>
      <c r="C3584" t="s">
        <v>686</v>
      </c>
      <c r="D3584" t="s">
        <v>1355</v>
      </c>
      <c r="E3584" t="s">
        <v>187</v>
      </c>
      <c r="F3584">
        <v>2005</v>
      </c>
      <c r="G3584">
        <v>84.157200000000003</v>
      </c>
    </row>
    <row r="3585" spans="1:7">
      <c r="A3585" t="s">
        <v>1297</v>
      </c>
      <c r="B3585" t="s">
        <v>1298</v>
      </c>
      <c r="C3585" t="s">
        <v>686</v>
      </c>
      <c r="D3585" t="s">
        <v>1355</v>
      </c>
      <c r="E3585" t="s">
        <v>187</v>
      </c>
      <c r="F3585">
        <v>2010</v>
      </c>
      <c r="G3585">
        <v>90.0792</v>
      </c>
    </row>
    <row r="3586" spans="1:7">
      <c r="A3586" t="s">
        <v>1297</v>
      </c>
      <c r="B3586" t="s">
        <v>1298</v>
      </c>
      <c r="C3586" t="s">
        <v>686</v>
      </c>
      <c r="D3586" t="s">
        <v>1355</v>
      </c>
      <c r="E3586" t="s">
        <v>187</v>
      </c>
      <c r="F3586">
        <v>2012</v>
      </c>
      <c r="G3586">
        <v>94.7376</v>
      </c>
    </row>
    <row r="3587" spans="1:7">
      <c r="A3587" t="s">
        <v>1297</v>
      </c>
      <c r="B3587" t="s">
        <v>1298</v>
      </c>
      <c r="C3587" t="s">
        <v>289</v>
      </c>
      <c r="D3587" t="s">
        <v>1355</v>
      </c>
      <c r="E3587" t="s">
        <v>187</v>
      </c>
      <c r="F3587">
        <v>2016</v>
      </c>
      <c r="G3587">
        <v>9.3455999999999992</v>
      </c>
    </row>
    <row r="3588" spans="1:7">
      <c r="A3588" t="s">
        <v>1297</v>
      </c>
      <c r="B3588" t="s">
        <v>1298</v>
      </c>
      <c r="C3588" t="s">
        <v>289</v>
      </c>
      <c r="D3588" t="s">
        <v>1355</v>
      </c>
      <c r="E3588" t="s">
        <v>187</v>
      </c>
      <c r="F3588">
        <v>2020</v>
      </c>
      <c r="G3588">
        <v>5.90184</v>
      </c>
    </row>
    <row r="3589" spans="1:7">
      <c r="A3589" t="s">
        <v>1297</v>
      </c>
      <c r="B3589" t="s">
        <v>1298</v>
      </c>
      <c r="C3589" t="s">
        <v>1303</v>
      </c>
      <c r="D3589" t="s">
        <v>1355</v>
      </c>
      <c r="E3589" t="s">
        <v>187</v>
      </c>
      <c r="F3589">
        <v>2016</v>
      </c>
      <c r="G3589">
        <v>5.7599999999999998E-2</v>
      </c>
    </row>
    <row r="3590" spans="1:7">
      <c r="A3590" t="s">
        <v>1297</v>
      </c>
      <c r="B3590" t="s">
        <v>1298</v>
      </c>
      <c r="C3590" t="s">
        <v>668</v>
      </c>
      <c r="D3590" t="s">
        <v>1355</v>
      </c>
      <c r="E3590" t="s">
        <v>187</v>
      </c>
      <c r="F3590">
        <v>2010</v>
      </c>
      <c r="G3590">
        <v>7.1999999999999998E-3</v>
      </c>
    </row>
    <row r="3591" spans="1:7">
      <c r="A3591" t="s">
        <v>1297</v>
      </c>
      <c r="B3591" t="s">
        <v>1298</v>
      </c>
      <c r="C3591" t="s">
        <v>668</v>
      </c>
      <c r="D3591" t="s">
        <v>1355</v>
      </c>
      <c r="E3591" t="s">
        <v>187</v>
      </c>
      <c r="F3591">
        <v>2012</v>
      </c>
      <c r="G3591">
        <v>7.1999999999999998E-3</v>
      </c>
    </row>
    <row r="3592" spans="1:7">
      <c r="A3592" t="s">
        <v>1297</v>
      </c>
      <c r="B3592" t="s">
        <v>1298</v>
      </c>
      <c r="C3592" t="s">
        <v>668</v>
      </c>
      <c r="D3592" t="s">
        <v>1355</v>
      </c>
      <c r="E3592" t="s">
        <v>187</v>
      </c>
      <c r="F3592">
        <v>2020</v>
      </c>
      <c r="G3592">
        <v>2.5599999999999999E-4</v>
      </c>
    </row>
    <row r="3593" spans="1:7">
      <c r="A3593" t="s">
        <v>1297</v>
      </c>
      <c r="B3593" t="s">
        <v>1298</v>
      </c>
      <c r="C3593" t="s">
        <v>651</v>
      </c>
      <c r="D3593" t="s">
        <v>1355</v>
      </c>
      <c r="E3593" t="s">
        <v>187</v>
      </c>
      <c r="F3593">
        <v>2005</v>
      </c>
      <c r="G3593">
        <v>25.798396</v>
      </c>
    </row>
    <row r="3594" spans="1:7">
      <c r="A3594" t="s">
        <v>1297</v>
      </c>
      <c r="B3594" t="s">
        <v>1298</v>
      </c>
      <c r="C3594" t="s">
        <v>651</v>
      </c>
      <c r="D3594" t="s">
        <v>1355</v>
      </c>
      <c r="E3594" t="s">
        <v>187</v>
      </c>
      <c r="F3594">
        <v>2010</v>
      </c>
      <c r="G3594">
        <v>17.706340999999998</v>
      </c>
    </row>
    <row r="3595" spans="1:7">
      <c r="A3595" t="s">
        <v>1297</v>
      </c>
      <c r="B3595" t="s">
        <v>1298</v>
      </c>
      <c r="C3595" t="s">
        <v>651</v>
      </c>
      <c r="D3595" t="s">
        <v>1355</v>
      </c>
      <c r="E3595" t="s">
        <v>187</v>
      </c>
      <c r="F3595">
        <v>2012</v>
      </c>
      <c r="G3595">
        <v>15.79622</v>
      </c>
    </row>
    <row r="3596" spans="1:7">
      <c r="A3596" t="s">
        <v>1297</v>
      </c>
      <c r="B3596" t="s">
        <v>1298</v>
      </c>
      <c r="C3596" t="s">
        <v>651</v>
      </c>
      <c r="D3596" t="s">
        <v>1355</v>
      </c>
      <c r="E3596" t="s">
        <v>187</v>
      </c>
      <c r="F3596">
        <v>2016</v>
      </c>
      <c r="G3596">
        <v>7.3534639999999998</v>
      </c>
    </row>
    <row r="3597" spans="1:7">
      <c r="A3597" t="s">
        <v>1297</v>
      </c>
      <c r="B3597" t="s">
        <v>1298</v>
      </c>
      <c r="C3597" t="s">
        <v>651</v>
      </c>
      <c r="D3597" t="s">
        <v>1355</v>
      </c>
      <c r="E3597" t="s">
        <v>187</v>
      </c>
      <c r="F3597">
        <v>2020</v>
      </c>
      <c r="G3597">
        <v>5.3981029999999999</v>
      </c>
    </row>
    <row r="3598" spans="1:7">
      <c r="A3598" t="s">
        <v>1297</v>
      </c>
      <c r="B3598" t="s">
        <v>1298</v>
      </c>
      <c r="C3598" t="s">
        <v>675</v>
      </c>
      <c r="D3598" t="s">
        <v>1355</v>
      </c>
      <c r="E3598" t="s">
        <v>187</v>
      </c>
      <c r="F3598">
        <v>2005</v>
      </c>
      <c r="G3598">
        <v>18.9756</v>
      </c>
    </row>
    <row r="3599" spans="1:7">
      <c r="A3599" t="s">
        <v>1297</v>
      </c>
      <c r="B3599" t="s">
        <v>1298</v>
      </c>
      <c r="C3599" t="s">
        <v>675</v>
      </c>
      <c r="D3599" t="s">
        <v>1355</v>
      </c>
      <c r="E3599" t="s">
        <v>187</v>
      </c>
      <c r="F3599">
        <v>2010</v>
      </c>
      <c r="G3599">
        <v>19.036799999999999</v>
      </c>
    </row>
    <row r="3600" spans="1:7">
      <c r="A3600" t="s">
        <v>1297</v>
      </c>
      <c r="B3600" t="s">
        <v>1298</v>
      </c>
      <c r="C3600" t="s">
        <v>675</v>
      </c>
      <c r="D3600" t="s">
        <v>1355</v>
      </c>
      <c r="E3600" t="s">
        <v>187</v>
      </c>
      <c r="F3600">
        <v>2012</v>
      </c>
      <c r="G3600">
        <v>18.521999999999998</v>
      </c>
    </row>
    <row r="3601" spans="1:7">
      <c r="A3601" t="s">
        <v>1297</v>
      </c>
      <c r="B3601" t="s">
        <v>1298</v>
      </c>
      <c r="C3601" t="s">
        <v>675</v>
      </c>
      <c r="D3601" t="s">
        <v>1355</v>
      </c>
      <c r="E3601" t="s">
        <v>187</v>
      </c>
      <c r="F3601">
        <v>2016</v>
      </c>
      <c r="G3601">
        <v>18.036000000000001</v>
      </c>
    </row>
    <row r="3602" spans="1:7">
      <c r="A3602" t="s">
        <v>1297</v>
      </c>
      <c r="B3602" t="s">
        <v>1298</v>
      </c>
      <c r="C3602" t="s">
        <v>675</v>
      </c>
      <c r="D3602" t="s">
        <v>1355</v>
      </c>
      <c r="E3602" t="s">
        <v>187</v>
      </c>
      <c r="F3602">
        <v>2020</v>
      </c>
      <c r="G3602">
        <v>16.138721</v>
      </c>
    </row>
    <row r="3603" spans="1:7">
      <c r="A3603" t="s">
        <v>1297</v>
      </c>
      <c r="B3603" t="s">
        <v>1298</v>
      </c>
      <c r="C3603" t="s">
        <v>677</v>
      </c>
      <c r="D3603" t="s">
        <v>1355</v>
      </c>
      <c r="E3603" t="s">
        <v>187</v>
      </c>
      <c r="F3603">
        <v>2010</v>
      </c>
      <c r="G3603">
        <v>387.33839999999998</v>
      </c>
    </row>
    <row r="3604" spans="1:7">
      <c r="A3604" t="s">
        <v>1297</v>
      </c>
      <c r="B3604" t="s">
        <v>1298</v>
      </c>
      <c r="C3604" t="s">
        <v>677</v>
      </c>
      <c r="D3604" t="s">
        <v>1355</v>
      </c>
      <c r="E3604" t="s">
        <v>187</v>
      </c>
      <c r="F3604">
        <v>2012</v>
      </c>
      <c r="G3604">
        <v>514.0548</v>
      </c>
    </row>
    <row r="3605" spans="1:7">
      <c r="A3605" t="s">
        <v>1297</v>
      </c>
      <c r="B3605" t="s">
        <v>1298</v>
      </c>
      <c r="C3605" t="s">
        <v>677</v>
      </c>
      <c r="D3605" t="s">
        <v>1355</v>
      </c>
      <c r="E3605" t="s">
        <v>187</v>
      </c>
      <c r="F3605">
        <v>2016</v>
      </c>
      <c r="G3605">
        <v>110.40695599999999</v>
      </c>
    </row>
    <row r="3606" spans="1:7">
      <c r="A3606" t="s">
        <v>1297</v>
      </c>
      <c r="B3606" t="s">
        <v>1298</v>
      </c>
      <c r="C3606" t="s">
        <v>677</v>
      </c>
      <c r="D3606" t="s">
        <v>1355</v>
      </c>
      <c r="E3606" t="s">
        <v>187</v>
      </c>
      <c r="F3606">
        <v>2020</v>
      </c>
      <c r="G3606">
        <v>24.807942000000001</v>
      </c>
    </row>
    <row r="3607" spans="1:7">
      <c r="A3607" t="s">
        <v>1297</v>
      </c>
      <c r="B3607" t="s">
        <v>1298</v>
      </c>
      <c r="C3607" t="s">
        <v>289</v>
      </c>
      <c r="D3607" t="s">
        <v>1355</v>
      </c>
      <c r="E3607" t="s">
        <v>187</v>
      </c>
      <c r="F3607">
        <v>2005</v>
      </c>
      <c r="G3607">
        <v>8.3808000000000007</v>
      </c>
    </row>
    <row r="3608" spans="1:7">
      <c r="A3608" t="s">
        <v>1297</v>
      </c>
      <c r="B3608" t="s">
        <v>1298</v>
      </c>
      <c r="C3608" t="s">
        <v>289</v>
      </c>
      <c r="D3608" t="s">
        <v>1355</v>
      </c>
      <c r="E3608" t="s">
        <v>187</v>
      </c>
      <c r="F3608">
        <v>2010</v>
      </c>
      <c r="G3608">
        <v>8.5860000000000003</v>
      </c>
    </row>
    <row r="3609" spans="1:7">
      <c r="A3609" t="s">
        <v>1297</v>
      </c>
      <c r="B3609" t="s">
        <v>1298</v>
      </c>
      <c r="C3609" t="s">
        <v>289</v>
      </c>
      <c r="D3609" t="s">
        <v>1355</v>
      </c>
      <c r="E3609" t="s">
        <v>187</v>
      </c>
      <c r="F3609">
        <v>2012</v>
      </c>
      <c r="G3609">
        <v>8.0568000000000008</v>
      </c>
    </row>
    <row r="3610" spans="1:7">
      <c r="A3610" t="s">
        <v>1297</v>
      </c>
      <c r="B3610" t="s">
        <v>1298</v>
      </c>
      <c r="C3610" t="s">
        <v>655</v>
      </c>
      <c r="D3610" t="s">
        <v>1356</v>
      </c>
      <c r="E3610" t="s">
        <v>187</v>
      </c>
      <c r="F3610">
        <v>2020</v>
      </c>
      <c r="G3610">
        <v>61.485785</v>
      </c>
    </row>
    <row r="3611" spans="1:7">
      <c r="A3611" t="s">
        <v>1297</v>
      </c>
      <c r="B3611" t="s">
        <v>1298</v>
      </c>
      <c r="C3611" t="s">
        <v>663</v>
      </c>
      <c r="D3611" t="s">
        <v>1356</v>
      </c>
      <c r="E3611" t="s">
        <v>187</v>
      </c>
      <c r="F3611">
        <v>2020</v>
      </c>
      <c r="G3611">
        <v>0.63700000000000001</v>
      </c>
    </row>
    <row r="3612" spans="1:7">
      <c r="A3612" t="s">
        <v>1297</v>
      </c>
      <c r="B3612" t="s">
        <v>1298</v>
      </c>
      <c r="C3612" t="s">
        <v>660</v>
      </c>
      <c r="D3612" t="s">
        <v>1356</v>
      </c>
      <c r="E3612" t="s">
        <v>187</v>
      </c>
      <c r="F3612">
        <v>2005</v>
      </c>
      <c r="G3612">
        <v>30.928999999999998</v>
      </c>
    </row>
    <row r="3613" spans="1:7">
      <c r="A3613" t="s">
        <v>1297</v>
      </c>
      <c r="B3613" t="s">
        <v>1298</v>
      </c>
      <c r="C3613" t="s">
        <v>660</v>
      </c>
      <c r="D3613" t="s">
        <v>1356</v>
      </c>
      <c r="E3613" t="s">
        <v>187</v>
      </c>
      <c r="F3613">
        <v>2010</v>
      </c>
      <c r="G3613">
        <v>32.07</v>
      </c>
    </row>
    <row r="3614" spans="1:7">
      <c r="A3614" t="s">
        <v>1297</v>
      </c>
      <c r="B3614" t="s">
        <v>1298</v>
      </c>
      <c r="C3614" t="s">
        <v>660</v>
      </c>
      <c r="D3614" t="s">
        <v>1356</v>
      </c>
      <c r="E3614" t="s">
        <v>187</v>
      </c>
      <c r="F3614">
        <v>2012</v>
      </c>
      <c r="G3614">
        <v>33.267000000000003</v>
      </c>
    </row>
    <row r="3615" spans="1:7">
      <c r="A3615" t="s">
        <v>1297</v>
      </c>
      <c r="B3615" t="s">
        <v>1298</v>
      </c>
      <c r="C3615" t="s">
        <v>660</v>
      </c>
      <c r="D3615" t="s">
        <v>1356</v>
      </c>
      <c r="E3615" t="s">
        <v>187</v>
      </c>
      <c r="F3615">
        <v>2016</v>
      </c>
      <c r="G3615">
        <v>33.213999999999999</v>
      </c>
    </row>
    <row r="3616" spans="1:7">
      <c r="A3616" t="s">
        <v>1297</v>
      </c>
      <c r="B3616" t="s">
        <v>1298</v>
      </c>
      <c r="C3616" t="s">
        <v>660</v>
      </c>
      <c r="D3616" t="s">
        <v>1356</v>
      </c>
      <c r="E3616" t="s">
        <v>187</v>
      </c>
      <c r="F3616">
        <v>2020</v>
      </c>
      <c r="G3616">
        <v>25.495999999999999</v>
      </c>
    </row>
    <row r="3617" spans="1:7">
      <c r="A3617" t="s">
        <v>1297</v>
      </c>
      <c r="B3617" t="s">
        <v>1298</v>
      </c>
      <c r="C3617" t="s">
        <v>657</v>
      </c>
      <c r="D3617" t="s">
        <v>1356</v>
      </c>
      <c r="E3617" t="s">
        <v>187</v>
      </c>
      <c r="F3617">
        <v>2005</v>
      </c>
      <c r="G3617">
        <v>34.186999999999998</v>
      </c>
    </row>
    <row r="3618" spans="1:7">
      <c r="A3618" t="s">
        <v>1297</v>
      </c>
      <c r="B3618" t="s">
        <v>1298</v>
      </c>
      <c r="C3618" t="s">
        <v>657</v>
      </c>
      <c r="D3618" t="s">
        <v>1356</v>
      </c>
      <c r="E3618" t="s">
        <v>187</v>
      </c>
      <c r="F3618">
        <v>2010</v>
      </c>
      <c r="G3618">
        <v>36.338000000000001</v>
      </c>
    </row>
    <row r="3619" spans="1:7">
      <c r="A3619" t="s">
        <v>1297</v>
      </c>
      <c r="B3619" t="s">
        <v>1298</v>
      </c>
      <c r="C3619" t="s">
        <v>657</v>
      </c>
      <c r="D3619" t="s">
        <v>1356</v>
      </c>
      <c r="E3619" t="s">
        <v>187</v>
      </c>
      <c r="F3619">
        <v>2012</v>
      </c>
      <c r="G3619">
        <v>31.925000000000001</v>
      </c>
    </row>
    <row r="3620" spans="1:7">
      <c r="A3620" t="s">
        <v>1297</v>
      </c>
      <c r="B3620" t="s">
        <v>1298</v>
      </c>
      <c r="C3620" t="s">
        <v>657</v>
      </c>
      <c r="D3620" t="s">
        <v>1356</v>
      </c>
      <c r="E3620" t="s">
        <v>187</v>
      </c>
      <c r="F3620">
        <v>2016</v>
      </c>
      <c r="G3620">
        <v>24.916754999999998</v>
      </c>
    </row>
    <row r="3621" spans="1:7">
      <c r="A3621" t="s">
        <v>1297</v>
      </c>
      <c r="B3621" t="s">
        <v>1298</v>
      </c>
      <c r="C3621" t="s">
        <v>657</v>
      </c>
      <c r="D3621" t="s">
        <v>1356</v>
      </c>
      <c r="E3621" t="s">
        <v>187</v>
      </c>
      <c r="F3621">
        <v>2020</v>
      </c>
      <c r="G3621">
        <v>12.122358999999999</v>
      </c>
    </row>
    <row r="3622" spans="1:7">
      <c r="A3622" t="s">
        <v>1297</v>
      </c>
      <c r="B3622" t="s">
        <v>1298</v>
      </c>
      <c r="C3622" t="s">
        <v>665</v>
      </c>
      <c r="D3622" t="s">
        <v>1356</v>
      </c>
      <c r="E3622" t="s">
        <v>187</v>
      </c>
      <c r="F3622">
        <v>2005</v>
      </c>
      <c r="G3622">
        <v>2.9390000000000001</v>
      </c>
    </row>
    <row r="3623" spans="1:7">
      <c r="A3623" t="s">
        <v>1297</v>
      </c>
      <c r="B3623" t="s">
        <v>1298</v>
      </c>
      <c r="C3623" t="s">
        <v>665</v>
      </c>
      <c r="D3623" t="s">
        <v>1356</v>
      </c>
      <c r="E3623" t="s">
        <v>187</v>
      </c>
      <c r="F3623">
        <v>2010</v>
      </c>
      <c r="G3623">
        <v>1.288</v>
      </c>
    </row>
    <row r="3624" spans="1:7">
      <c r="A3624" t="s">
        <v>1297</v>
      </c>
      <c r="B3624" t="s">
        <v>1298</v>
      </c>
      <c r="C3624" t="s">
        <v>665</v>
      </c>
      <c r="D3624" t="s">
        <v>1356</v>
      </c>
      <c r="E3624" t="s">
        <v>187</v>
      </c>
      <c r="F3624">
        <v>2012</v>
      </c>
      <c r="G3624">
        <v>1.3149999999999999</v>
      </c>
    </row>
    <row r="3625" spans="1:7">
      <c r="A3625" t="s">
        <v>1297</v>
      </c>
      <c r="B3625" t="s">
        <v>1298</v>
      </c>
      <c r="C3625" t="s">
        <v>665</v>
      </c>
      <c r="D3625" t="s">
        <v>1356</v>
      </c>
      <c r="E3625" t="s">
        <v>187</v>
      </c>
      <c r="F3625">
        <v>2016</v>
      </c>
      <c r="G3625">
        <v>1.887</v>
      </c>
    </row>
    <row r="3626" spans="1:7">
      <c r="A3626" t="s">
        <v>1297</v>
      </c>
      <c r="B3626" t="s">
        <v>1298</v>
      </c>
      <c r="C3626" t="s">
        <v>665</v>
      </c>
      <c r="D3626" t="s">
        <v>1356</v>
      </c>
      <c r="E3626" t="s">
        <v>187</v>
      </c>
      <c r="F3626">
        <v>2020</v>
      </c>
      <c r="G3626">
        <v>1.9020170000000001</v>
      </c>
    </row>
    <row r="3627" spans="1:7">
      <c r="A3627" t="s">
        <v>1297</v>
      </c>
      <c r="B3627" t="s">
        <v>1298</v>
      </c>
      <c r="C3627" t="s">
        <v>1299</v>
      </c>
      <c r="D3627" t="s">
        <v>1356</v>
      </c>
      <c r="E3627" t="s">
        <v>187</v>
      </c>
      <c r="F3627">
        <v>2005</v>
      </c>
      <c r="G3627">
        <v>6.41</v>
      </c>
    </row>
    <row r="3628" spans="1:7">
      <c r="A3628" t="s">
        <v>1297</v>
      </c>
      <c r="B3628" t="s">
        <v>1298</v>
      </c>
      <c r="C3628" t="s">
        <v>1299</v>
      </c>
      <c r="D3628" t="s">
        <v>1356</v>
      </c>
      <c r="E3628" t="s">
        <v>187</v>
      </c>
      <c r="F3628">
        <v>2010</v>
      </c>
      <c r="G3628">
        <v>43.826000000000001</v>
      </c>
    </row>
    <row r="3629" spans="1:7">
      <c r="A3629" t="s">
        <v>1297</v>
      </c>
      <c r="B3629" t="s">
        <v>1298</v>
      </c>
      <c r="C3629" t="s">
        <v>1299</v>
      </c>
      <c r="D3629" t="s">
        <v>1356</v>
      </c>
      <c r="E3629" t="s">
        <v>187</v>
      </c>
      <c r="F3629">
        <v>2012</v>
      </c>
      <c r="G3629">
        <v>50.155999999999999</v>
      </c>
    </row>
    <row r="3630" spans="1:7">
      <c r="A3630" t="s">
        <v>1297</v>
      </c>
      <c r="B3630" t="s">
        <v>1298</v>
      </c>
      <c r="C3630" t="s">
        <v>1299</v>
      </c>
      <c r="D3630" t="s">
        <v>1356</v>
      </c>
      <c r="E3630" t="s">
        <v>187</v>
      </c>
      <c r="F3630">
        <v>2016</v>
      </c>
      <c r="G3630">
        <v>58.06</v>
      </c>
    </row>
    <row r="3631" spans="1:7">
      <c r="A3631" t="s">
        <v>1297</v>
      </c>
      <c r="B3631" t="s">
        <v>1298</v>
      </c>
      <c r="C3631" t="s">
        <v>1299</v>
      </c>
      <c r="D3631" t="s">
        <v>1356</v>
      </c>
      <c r="E3631" t="s">
        <v>187</v>
      </c>
      <c r="F3631">
        <v>2020</v>
      </c>
      <c r="G3631">
        <v>32.244999999999997</v>
      </c>
    </row>
    <row r="3632" spans="1:7">
      <c r="A3632" t="s">
        <v>1297</v>
      </c>
      <c r="B3632" t="s">
        <v>1298</v>
      </c>
      <c r="C3632" t="s">
        <v>673</v>
      </c>
      <c r="D3632" t="s">
        <v>1356</v>
      </c>
      <c r="E3632" t="s">
        <v>187</v>
      </c>
      <c r="F3632">
        <v>2005</v>
      </c>
      <c r="G3632">
        <v>32.069000000000003</v>
      </c>
    </row>
    <row r="3633" spans="1:7">
      <c r="A3633" t="s">
        <v>1297</v>
      </c>
      <c r="B3633" t="s">
        <v>1298</v>
      </c>
      <c r="C3633" t="s">
        <v>673</v>
      </c>
      <c r="D3633" t="s">
        <v>1356</v>
      </c>
      <c r="E3633" t="s">
        <v>187</v>
      </c>
      <c r="F3633">
        <v>2010</v>
      </c>
      <c r="G3633">
        <v>24.850999999999999</v>
      </c>
    </row>
    <row r="3634" spans="1:7">
      <c r="A3634" t="s">
        <v>1297</v>
      </c>
      <c r="B3634" t="s">
        <v>1298</v>
      </c>
      <c r="C3634" t="s">
        <v>673</v>
      </c>
      <c r="D3634" t="s">
        <v>1356</v>
      </c>
      <c r="E3634" t="s">
        <v>187</v>
      </c>
      <c r="F3634">
        <v>2012</v>
      </c>
      <c r="G3634">
        <v>25.783999999999999</v>
      </c>
    </row>
    <row r="3635" spans="1:7">
      <c r="A3635" t="s">
        <v>1297</v>
      </c>
      <c r="B3635" t="s">
        <v>1298</v>
      </c>
      <c r="C3635" t="s">
        <v>673</v>
      </c>
      <c r="D3635" t="s">
        <v>1356</v>
      </c>
      <c r="E3635" t="s">
        <v>187</v>
      </c>
      <c r="F3635">
        <v>2016</v>
      </c>
      <c r="G3635">
        <v>18.741</v>
      </c>
    </row>
    <row r="3636" spans="1:7">
      <c r="A3636" t="s">
        <v>1297</v>
      </c>
      <c r="B3636" t="s">
        <v>1298</v>
      </c>
      <c r="C3636" t="s">
        <v>673</v>
      </c>
      <c r="D3636" t="s">
        <v>1356</v>
      </c>
      <c r="E3636" t="s">
        <v>187</v>
      </c>
      <c r="F3636">
        <v>2020</v>
      </c>
      <c r="G3636">
        <v>10.533018</v>
      </c>
    </row>
    <row r="3637" spans="1:7">
      <c r="A3637" t="s">
        <v>1297</v>
      </c>
      <c r="B3637" t="s">
        <v>1298</v>
      </c>
      <c r="C3637" t="s">
        <v>671</v>
      </c>
      <c r="D3637" t="s">
        <v>1356</v>
      </c>
      <c r="E3637" t="s">
        <v>187</v>
      </c>
      <c r="F3637">
        <v>2005</v>
      </c>
      <c r="G3637">
        <v>299.65899999999999</v>
      </c>
    </row>
    <row r="3638" spans="1:7">
      <c r="A3638" t="s">
        <v>1297</v>
      </c>
      <c r="B3638" t="s">
        <v>1298</v>
      </c>
      <c r="C3638" t="s">
        <v>671</v>
      </c>
      <c r="D3638" t="s">
        <v>1356</v>
      </c>
      <c r="E3638" t="s">
        <v>187</v>
      </c>
      <c r="F3638">
        <v>2010</v>
      </c>
      <c r="G3638">
        <v>286.63600000000002</v>
      </c>
    </row>
    <row r="3639" spans="1:7">
      <c r="A3639" t="s">
        <v>1297</v>
      </c>
      <c r="B3639" t="s">
        <v>1298</v>
      </c>
      <c r="C3639" t="s">
        <v>671</v>
      </c>
      <c r="D3639" t="s">
        <v>1356</v>
      </c>
      <c r="E3639" t="s">
        <v>187</v>
      </c>
      <c r="F3639">
        <v>2012</v>
      </c>
      <c r="G3639">
        <v>253.98</v>
      </c>
    </row>
    <row r="3640" spans="1:7">
      <c r="A3640" t="s">
        <v>1297</v>
      </c>
      <c r="B3640" t="s">
        <v>1298</v>
      </c>
      <c r="C3640" t="s">
        <v>671</v>
      </c>
      <c r="D3640" t="s">
        <v>1356</v>
      </c>
      <c r="E3640" t="s">
        <v>187</v>
      </c>
      <c r="F3640">
        <v>2016</v>
      </c>
      <c r="G3640">
        <v>241.17</v>
      </c>
    </row>
    <row r="3641" spans="1:7">
      <c r="A3641" t="s">
        <v>1297</v>
      </c>
      <c r="B3641" t="s">
        <v>1298</v>
      </c>
      <c r="C3641" t="s">
        <v>671</v>
      </c>
      <c r="D3641" t="s">
        <v>1356</v>
      </c>
      <c r="E3641" t="s">
        <v>187</v>
      </c>
      <c r="F3641">
        <v>2020</v>
      </c>
      <c r="G3641">
        <v>222.725572</v>
      </c>
    </row>
    <row r="3642" spans="1:7">
      <c r="A3642" t="s">
        <v>1297</v>
      </c>
      <c r="B3642" t="s">
        <v>1298</v>
      </c>
      <c r="C3642" t="s">
        <v>651</v>
      </c>
      <c r="D3642" t="s">
        <v>1356</v>
      </c>
      <c r="E3642" t="s">
        <v>187</v>
      </c>
      <c r="F3642">
        <v>2005</v>
      </c>
      <c r="G3642">
        <v>3.0598380000000001</v>
      </c>
    </row>
    <row r="3643" spans="1:7">
      <c r="A3643" t="s">
        <v>1297</v>
      </c>
      <c r="B3643" t="s">
        <v>1298</v>
      </c>
      <c r="C3643" t="s">
        <v>651</v>
      </c>
      <c r="D3643" t="s">
        <v>1356</v>
      </c>
      <c r="E3643" t="s">
        <v>187</v>
      </c>
      <c r="F3643">
        <v>2010</v>
      </c>
      <c r="G3643">
        <v>2.5792679999999999</v>
      </c>
    </row>
    <row r="3644" spans="1:7">
      <c r="A3644" t="s">
        <v>1297</v>
      </c>
      <c r="B3644" t="s">
        <v>1298</v>
      </c>
      <c r="C3644" t="s">
        <v>651</v>
      </c>
      <c r="D3644" t="s">
        <v>1356</v>
      </c>
      <c r="E3644" t="s">
        <v>187</v>
      </c>
      <c r="F3644">
        <v>2012</v>
      </c>
      <c r="G3644">
        <v>2.55714</v>
      </c>
    </row>
    <row r="3645" spans="1:7">
      <c r="A3645" t="s">
        <v>1297</v>
      </c>
      <c r="B3645" t="s">
        <v>1298</v>
      </c>
      <c r="C3645" t="s">
        <v>651</v>
      </c>
      <c r="D3645" t="s">
        <v>1356</v>
      </c>
      <c r="E3645" t="s">
        <v>187</v>
      </c>
      <c r="F3645">
        <v>2016</v>
      </c>
      <c r="G3645">
        <v>3.2179099999999998</v>
      </c>
    </row>
    <row r="3646" spans="1:7">
      <c r="A3646" t="s">
        <v>1297</v>
      </c>
      <c r="B3646" t="s">
        <v>1298</v>
      </c>
      <c r="C3646" t="s">
        <v>651</v>
      </c>
      <c r="D3646" t="s">
        <v>1356</v>
      </c>
      <c r="E3646" t="s">
        <v>187</v>
      </c>
      <c r="F3646">
        <v>2020</v>
      </c>
      <c r="G3646">
        <v>4.4862510000000002</v>
      </c>
    </row>
    <row r="3647" spans="1:7">
      <c r="A3647" t="s">
        <v>1297</v>
      </c>
      <c r="B3647" t="s">
        <v>1298</v>
      </c>
      <c r="C3647" t="s">
        <v>656</v>
      </c>
      <c r="D3647" t="s">
        <v>1356</v>
      </c>
      <c r="E3647" t="s">
        <v>187</v>
      </c>
      <c r="F3647">
        <v>2005</v>
      </c>
      <c r="G3647">
        <v>168.59800000000001</v>
      </c>
    </row>
    <row r="3648" spans="1:7">
      <c r="A3648" t="s">
        <v>1297</v>
      </c>
      <c r="B3648" t="s">
        <v>1298</v>
      </c>
      <c r="C3648" t="s">
        <v>656</v>
      </c>
      <c r="D3648" t="s">
        <v>1356</v>
      </c>
      <c r="E3648" t="s">
        <v>187</v>
      </c>
      <c r="F3648">
        <v>2010</v>
      </c>
      <c r="G3648">
        <v>169.04300000000001</v>
      </c>
    </row>
    <row r="3649" spans="1:7">
      <c r="A3649" t="s">
        <v>1297</v>
      </c>
      <c r="B3649" t="s">
        <v>1298</v>
      </c>
      <c r="C3649" t="s">
        <v>656</v>
      </c>
      <c r="D3649" t="s">
        <v>1356</v>
      </c>
      <c r="E3649" t="s">
        <v>187</v>
      </c>
      <c r="F3649">
        <v>2012</v>
      </c>
      <c r="G3649">
        <v>158.71600000000001</v>
      </c>
    </row>
    <row r="3650" spans="1:7">
      <c r="A3650" t="s">
        <v>1297</v>
      </c>
      <c r="B3650" t="s">
        <v>1298</v>
      </c>
      <c r="C3650" t="s">
        <v>656</v>
      </c>
      <c r="D3650" t="s">
        <v>1356</v>
      </c>
      <c r="E3650" t="s">
        <v>187</v>
      </c>
      <c r="F3650">
        <v>2016</v>
      </c>
      <c r="G3650">
        <v>140.119</v>
      </c>
    </row>
    <row r="3651" spans="1:7">
      <c r="A3651" t="s">
        <v>1297</v>
      </c>
      <c r="B3651" t="s">
        <v>1298</v>
      </c>
      <c r="C3651" t="s">
        <v>656</v>
      </c>
      <c r="D3651" t="s">
        <v>1356</v>
      </c>
      <c r="E3651" t="s">
        <v>187</v>
      </c>
      <c r="F3651">
        <v>2020</v>
      </c>
      <c r="G3651">
        <v>115.931</v>
      </c>
    </row>
    <row r="3652" spans="1:7">
      <c r="A3652" t="s">
        <v>1297</v>
      </c>
      <c r="B3652" t="s">
        <v>1298</v>
      </c>
      <c r="C3652" t="s">
        <v>674</v>
      </c>
      <c r="D3652" t="s">
        <v>1356</v>
      </c>
      <c r="E3652" t="s">
        <v>187</v>
      </c>
      <c r="F3652">
        <v>2005</v>
      </c>
      <c r="G3652">
        <v>7.1520000000000001</v>
      </c>
    </row>
    <row r="3653" spans="1:7">
      <c r="A3653" t="s">
        <v>1297</v>
      </c>
      <c r="B3653" t="s">
        <v>1298</v>
      </c>
      <c r="C3653" t="s">
        <v>674</v>
      </c>
      <c r="D3653" t="s">
        <v>1356</v>
      </c>
      <c r="E3653" t="s">
        <v>187</v>
      </c>
      <c r="F3653">
        <v>2010</v>
      </c>
      <c r="G3653">
        <v>7.4420000000000002</v>
      </c>
    </row>
    <row r="3654" spans="1:7">
      <c r="A3654" t="s">
        <v>1297</v>
      </c>
      <c r="B3654" t="s">
        <v>1298</v>
      </c>
      <c r="C3654" t="s">
        <v>674</v>
      </c>
      <c r="D3654" t="s">
        <v>1356</v>
      </c>
      <c r="E3654" t="s">
        <v>187</v>
      </c>
      <c r="F3654">
        <v>2012</v>
      </c>
      <c r="G3654">
        <v>5.6079999999999997</v>
      </c>
    </row>
    <row r="3655" spans="1:7">
      <c r="A3655" t="s">
        <v>1297</v>
      </c>
      <c r="B3655" t="s">
        <v>1298</v>
      </c>
      <c r="C3655" t="s">
        <v>674</v>
      </c>
      <c r="D3655" t="s">
        <v>1356</v>
      </c>
      <c r="E3655" t="s">
        <v>187</v>
      </c>
      <c r="F3655">
        <v>2016</v>
      </c>
      <c r="G3655">
        <v>3.3439999999999999</v>
      </c>
    </row>
    <row r="3656" spans="1:7">
      <c r="A3656" t="s">
        <v>1297</v>
      </c>
      <c r="B3656" t="s">
        <v>1298</v>
      </c>
      <c r="C3656" t="s">
        <v>674</v>
      </c>
      <c r="D3656" t="s">
        <v>1356</v>
      </c>
      <c r="E3656" t="s">
        <v>187</v>
      </c>
      <c r="F3656">
        <v>2020</v>
      </c>
      <c r="G3656">
        <v>2.593</v>
      </c>
    </row>
    <row r="3657" spans="1:7">
      <c r="A3657" t="s">
        <v>1297</v>
      </c>
      <c r="B3657" t="s">
        <v>1298</v>
      </c>
      <c r="C3657" t="s">
        <v>662</v>
      </c>
      <c r="D3657" t="s">
        <v>1356</v>
      </c>
      <c r="E3657" t="s">
        <v>187</v>
      </c>
      <c r="F3657">
        <v>2005</v>
      </c>
      <c r="G3657">
        <v>2.0339999999999998</v>
      </c>
    </row>
    <row r="3658" spans="1:7">
      <c r="A3658" t="s">
        <v>1297</v>
      </c>
      <c r="B3658" t="s">
        <v>1298</v>
      </c>
      <c r="C3658" t="s">
        <v>662</v>
      </c>
      <c r="D3658" t="s">
        <v>1356</v>
      </c>
      <c r="E3658" t="s">
        <v>187</v>
      </c>
      <c r="F3658">
        <v>2010</v>
      </c>
      <c r="G3658">
        <v>1.905</v>
      </c>
    </row>
    <row r="3659" spans="1:7">
      <c r="A3659" t="s">
        <v>1297</v>
      </c>
      <c r="B3659" t="s">
        <v>1298</v>
      </c>
      <c r="C3659" t="s">
        <v>662</v>
      </c>
      <c r="D3659" t="s">
        <v>1356</v>
      </c>
      <c r="E3659" t="s">
        <v>187</v>
      </c>
      <c r="F3659">
        <v>2012</v>
      </c>
      <c r="G3659">
        <v>1.851</v>
      </c>
    </row>
    <row r="3660" spans="1:7">
      <c r="A3660" t="s">
        <v>1297</v>
      </c>
      <c r="B3660" t="s">
        <v>1298</v>
      </c>
      <c r="C3660" t="s">
        <v>662</v>
      </c>
      <c r="D3660" t="s">
        <v>1356</v>
      </c>
      <c r="E3660" t="s">
        <v>187</v>
      </c>
      <c r="F3660">
        <v>2016</v>
      </c>
      <c r="G3660">
        <v>2.1230000000000002</v>
      </c>
    </row>
    <row r="3661" spans="1:7">
      <c r="A3661" t="s">
        <v>1297</v>
      </c>
      <c r="B3661" t="s">
        <v>1298</v>
      </c>
      <c r="C3661" t="s">
        <v>662</v>
      </c>
      <c r="D3661" t="s">
        <v>1356</v>
      </c>
      <c r="E3661" t="s">
        <v>187</v>
      </c>
      <c r="F3661">
        <v>2020</v>
      </c>
      <c r="G3661">
        <v>2.1878799999999998</v>
      </c>
    </row>
    <row r="3662" spans="1:7">
      <c r="A3662" t="s">
        <v>1297</v>
      </c>
      <c r="B3662" t="s">
        <v>1298</v>
      </c>
      <c r="C3662" t="s">
        <v>1301</v>
      </c>
      <c r="D3662" t="s">
        <v>1356</v>
      </c>
      <c r="E3662" t="s">
        <v>187</v>
      </c>
      <c r="F3662">
        <v>2005</v>
      </c>
      <c r="G3662">
        <v>0.65400000000000003</v>
      </c>
    </row>
    <row r="3663" spans="1:7">
      <c r="A3663" t="s">
        <v>1297</v>
      </c>
      <c r="B3663" t="s">
        <v>1298</v>
      </c>
      <c r="C3663" t="s">
        <v>1301</v>
      </c>
      <c r="D3663" t="s">
        <v>1356</v>
      </c>
      <c r="E3663" t="s">
        <v>187</v>
      </c>
      <c r="F3663">
        <v>2010</v>
      </c>
      <c r="G3663">
        <v>0.86299999999999999</v>
      </c>
    </row>
    <row r="3664" spans="1:7">
      <c r="A3664" t="s">
        <v>1297</v>
      </c>
      <c r="B3664" t="s">
        <v>1298</v>
      </c>
      <c r="C3664" t="s">
        <v>1301</v>
      </c>
      <c r="D3664" t="s">
        <v>1356</v>
      </c>
      <c r="E3664" t="s">
        <v>187</v>
      </c>
      <c r="F3664">
        <v>2012</v>
      </c>
      <c r="G3664">
        <v>0.98299999999999998</v>
      </c>
    </row>
    <row r="3665" spans="1:7">
      <c r="A3665" t="s">
        <v>1297</v>
      </c>
      <c r="B3665" t="s">
        <v>1298</v>
      </c>
      <c r="C3665" t="s">
        <v>1301</v>
      </c>
      <c r="D3665" t="s">
        <v>1356</v>
      </c>
      <c r="E3665" t="s">
        <v>187</v>
      </c>
      <c r="F3665">
        <v>2016</v>
      </c>
      <c r="G3665">
        <v>1.6120000000000001</v>
      </c>
    </row>
    <row r="3666" spans="1:7">
      <c r="A3666" t="s">
        <v>1297</v>
      </c>
      <c r="B3666" t="s">
        <v>1298</v>
      </c>
      <c r="C3666" t="s">
        <v>1301</v>
      </c>
      <c r="D3666" t="s">
        <v>1356</v>
      </c>
      <c r="E3666" t="s">
        <v>187</v>
      </c>
      <c r="F3666">
        <v>2020</v>
      </c>
      <c r="G3666">
        <v>3.5307330000000001</v>
      </c>
    </row>
    <row r="3667" spans="1:7">
      <c r="A3667" t="s">
        <v>1297</v>
      </c>
      <c r="B3667" t="s">
        <v>1298</v>
      </c>
      <c r="C3667" t="s">
        <v>655</v>
      </c>
      <c r="D3667" t="s">
        <v>1356</v>
      </c>
      <c r="E3667" t="s">
        <v>187</v>
      </c>
      <c r="F3667">
        <v>2005</v>
      </c>
      <c r="G3667">
        <v>85.197999999999993</v>
      </c>
    </row>
    <row r="3668" spans="1:7">
      <c r="A3668" t="s">
        <v>1297</v>
      </c>
      <c r="B3668" t="s">
        <v>1298</v>
      </c>
      <c r="C3668" t="s">
        <v>655</v>
      </c>
      <c r="D3668" t="s">
        <v>1356</v>
      </c>
      <c r="E3668" t="s">
        <v>187</v>
      </c>
      <c r="F3668">
        <v>2010</v>
      </c>
      <c r="G3668">
        <v>93.655000000000001</v>
      </c>
    </row>
    <row r="3669" spans="1:7">
      <c r="A3669" t="s">
        <v>1297</v>
      </c>
      <c r="B3669" t="s">
        <v>1298</v>
      </c>
      <c r="C3669" t="s">
        <v>655</v>
      </c>
      <c r="D3669" t="s">
        <v>1356</v>
      </c>
      <c r="E3669" t="s">
        <v>187</v>
      </c>
      <c r="F3669">
        <v>2012</v>
      </c>
      <c r="G3669">
        <v>82.138000000000005</v>
      </c>
    </row>
    <row r="3670" spans="1:7">
      <c r="A3670" t="s">
        <v>1297</v>
      </c>
      <c r="B3670" t="s">
        <v>1298</v>
      </c>
      <c r="C3670" t="s">
        <v>655</v>
      </c>
      <c r="D3670" t="s">
        <v>1356</v>
      </c>
      <c r="E3670" t="s">
        <v>187</v>
      </c>
      <c r="F3670">
        <v>2016</v>
      </c>
      <c r="G3670">
        <v>72.185000000000002</v>
      </c>
    </row>
    <row r="3671" spans="1:7">
      <c r="A3671" t="s">
        <v>1297</v>
      </c>
      <c r="B3671" t="s">
        <v>1298</v>
      </c>
      <c r="C3671" t="s">
        <v>685</v>
      </c>
      <c r="D3671" t="s">
        <v>1356</v>
      </c>
      <c r="E3671" t="s">
        <v>187</v>
      </c>
      <c r="F3671">
        <v>2005</v>
      </c>
      <c r="G3671">
        <v>0.191</v>
      </c>
    </row>
    <row r="3672" spans="1:7">
      <c r="A3672" t="s">
        <v>1297</v>
      </c>
      <c r="B3672" t="s">
        <v>1298</v>
      </c>
      <c r="C3672" t="s">
        <v>685</v>
      </c>
      <c r="D3672" t="s">
        <v>1356</v>
      </c>
      <c r="E3672" t="s">
        <v>187</v>
      </c>
      <c r="F3672">
        <v>2010</v>
      </c>
      <c r="G3672">
        <v>0.108</v>
      </c>
    </row>
    <row r="3673" spans="1:7">
      <c r="A3673" t="s">
        <v>1297</v>
      </c>
      <c r="B3673" t="s">
        <v>1298</v>
      </c>
      <c r="C3673" t="s">
        <v>685</v>
      </c>
      <c r="D3673" t="s">
        <v>1356</v>
      </c>
      <c r="E3673" t="s">
        <v>187</v>
      </c>
      <c r="F3673">
        <v>2012</v>
      </c>
      <c r="G3673">
        <v>0.06</v>
      </c>
    </row>
    <row r="3674" spans="1:7">
      <c r="A3674" t="s">
        <v>1297</v>
      </c>
      <c r="B3674" t="s">
        <v>1298</v>
      </c>
      <c r="C3674" t="s">
        <v>661</v>
      </c>
      <c r="D3674" t="s">
        <v>1356</v>
      </c>
      <c r="E3674" t="s">
        <v>187</v>
      </c>
      <c r="F3674">
        <v>2005</v>
      </c>
      <c r="G3674">
        <v>13.718</v>
      </c>
    </row>
    <row r="3675" spans="1:7">
      <c r="A3675" t="s">
        <v>1297</v>
      </c>
      <c r="B3675" t="s">
        <v>1298</v>
      </c>
      <c r="C3675" t="s">
        <v>675</v>
      </c>
      <c r="D3675" t="s">
        <v>1356</v>
      </c>
      <c r="E3675" t="s">
        <v>187</v>
      </c>
      <c r="F3675">
        <v>2005</v>
      </c>
      <c r="G3675">
        <v>6.3739999999999997</v>
      </c>
    </row>
    <row r="3676" spans="1:7">
      <c r="A3676" t="s">
        <v>1297</v>
      </c>
      <c r="B3676" t="s">
        <v>1298</v>
      </c>
      <c r="C3676" t="s">
        <v>675</v>
      </c>
      <c r="D3676" t="s">
        <v>1356</v>
      </c>
      <c r="E3676" t="s">
        <v>187</v>
      </c>
      <c r="F3676">
        <v>2010</v>
      </c>
      <c r="G3676">
        <v>6.0270000000000001</v>
      </c>
    </row>
    <row r="3677" spans="1:7">
      <c r="A3677" t="s">
        <v>1297</v>
      </c>
      <c r="B3677" t="s">
        <v>1298</v>
      </c>
      <c r="C3677" t="s">
        <v>675</v>
      </c>
      <c r="D3677" t="s">
        <v>1356</v>
      </c>
      <c r="E3677" t="s">
        <v>187</v>
      </c>
      <c r="F3677">
        <v>2012</v>
      </c>
      <c r="G3677">
        <v>5.2130000000000001</v>
      </c>
    </row>
    <row r="3678" spans="1:7">
      <c r="A3678" t="s">
        <v>1297</v>
      </c>
      <c r="B3678" t="s">
        <v>1298</v>
      </c>
      <c r="C3678" t="s">
        <v>675</v>
      </c>
      <c r="D3678" t="s">
        <v>1356</v>
      </c>
      <c r="E3678" t="s">
        <v>187</v>
      </c>
      <c r="F3678">
        <v>2016</v>
      </c>
      <c r="G3678">
        <v>5.0570000000000004</v>
      </c>
    </row>
    <row r="3679" spans="1:7">
      <c r="A3679" t="s">
        <v>1297</v>
      </c>
      <c r="B3679" t="s">
        <v>1298</v>
      </c>
      <c r="C3679" t="s">
        <v>675</v>
      </c>
      <c r="D3679" t="s">
        <v>1356</v>
      </c>
      <c r="E3679" t="s">
        <v>187</v>
      </c>
      <c r="F3679">
        <v>2020</v>
      </c>
      <c r="G3679">
        <v>4.3592550000000001</v>
      </c>
    </row>
    <row r="3680" spans="1:7">
      <c r="A3680" t="s">
        <v>1297</v>
      </c>
      <c r="B3680" t="s">
        <v>1298</v>
      </c>
      <c r="C3680" t="s">
        <v>666</v>
      </c>
      <c r="D3680" t="s">
        <v>1356</v>
      </c>
      <c r="E3680" t="s">
        <v>187</v>
      </c>
      <c r="F3680">
        <v>2005</v>
      </c>
      <c r="G3680">
        <v>0.214</v>
      </c>
    </row>
    <row r="3681" spans="1:7">
      <c r="A3681" t="s">
        <v>1297</v>
      </c>
      <c r="B3681" t="s">
        <v>1298</v>
      </c>
      <c r="C3681" t="s">
        <v>666</v>
      </c>
      <c r="D3681" t="s">
        <v>1356</v>
      </c>
      <c r="E3681" t="s">
        <v>187</v>
      </c>
      <c r="F3681">
        <v>2010</v>
      </c>
      <c r="G3681">
        <v>0.122</v>
      </c>
    </row>
    <row r="3682" spans="1:7">
      <c r="A3682" t="s">
        <v>1297</v>
      </c>
      <c r="B3682" t="s">
        <v>1298</v>
      </c>
      <c r="C3682" t="s">
        <v>666</v>
      </c>
      <c r="D3682" t="s">
        <v>1356</v>
      </c>
      <c r="E3682" t="s">
        <v>187</v>
      </c>
      <c r="F3682">
        <v>2012</v>
      </c>
      <c r="G3682">
        <v>0.09</v>
      </c>
    </row>
    <row r="3683" spans="1:7">
      <c r="A3683" t="s">
        <v>1297</v>
      </c>
      <c r="B3683" t="s">
        <v>1298</v>
      </c>
      <c r="C3683" t="s">
        <v>666</v>
      </c>
      <c r="D3683" t="s">
        <v>1356</v>
      </c>
      <c r="E3683" t="s">
        <v>187</v>
      </c>
      <c r="F3683">
        <v>2016</v>
      </c>
      <c r="G3683">
        <v>6.0999999999999999E-2</v>
      </c>
    </row>
    <row r="3684" spans="1:7">
      <c r="A3684" t="s">
        <v>1297</v>
      </c>
      <c r="B3684" t="s">
        <v>1298</v>
      </c>
      <c r="C3684" t="s">
        <v>666</v>
      </c>
      <c r="D3684" t="s">
        <v>1356</v>
      </c>
      <c r="E3684" t="s">
        <v>187</v>
      </c>
      <c r="F3684">
        <v>2020</v>
      </c>
      <c r="G3684">
        <v>5.8000000000000003E-2</v>
      </c>
    </row>
    <row r="3685" spans="1:7">
      <c r="A3685" t="s">
        <v>1297</v>
      </c>
      <c r="B3685" t="s">
        <v>1298</v>
      </c>
      <c r="C3685" t="s">
        <v>668</v>
      </c>
      <c r="D3685" t="s">
        <v>1356</v>
      </c>
      <c r="E3685" t="s">
        <v>187</v>
      </c>
      <c r="F3685">
        <v>2005</v>
      </c>
      <c r="G3685">
        <v>0.19500000000000001</v>
      </c>
    </row>
    <row r="3686" spans="1:7">
      <c r="A3686" t="s">
        <v>1297</v>
      </c>
      <c r="B3686" t="s">
        <v>1298</v>
      </c>
      <c r="C3686" t="s">
        <v>668</v>
      </c>
      <c r="D3686" t="s">
        <v>1356</v>
      </c>
      <c r="E3686" t="s">
        <v>187</v>
      </c>
      <c r="F3686">
        <v>2010</v>
      </c>
      <c r="G3686">
        <v>0.38</v>
      </c>
    </row>
    <row r="3687" spans="1:7">
      <c r="A3687" t="s">
        <v>1297</v>
      </c>
      <c r="B3687" t="s">
        <v>1298</v>
      </c>
      <c r="C3687" t="s">
        <v>668</v>
      </c>
      <c r="D3687" t="s">
        <v>1356</v>
      </c>
      <c r="E3687" t="s">
        <v>187</v>
      </c>
      <c r="F3687">
        <v>2012</v>
      </c>
      <c r="G3687">
        <v>0.32</v>
      </c>
    </row>
    <row r="3688" spans="1:7">
      <c r="A3688" t="s">
        <v>1297</v>
      </c>
      <c r="B3688" t="s">
        <v>1298</v>
      </c>
      <c r="C3688" t="s">
        <v>668</v>
      </c>
      <c r="D3688" t="s">
        <v>1356</v>
      </c>
      <c r="E3688" t="s">
        <v>187</v>
      </c>
      <c r="F3688">
        <v>2016</v>
      </c>
      <c r="G3688">
        <v>0.14499999999999999</v>
      </c>
    </row>
    <row r="3689" spans="1:7">
      <c r="A3689" t="s">
        <v>1297</v>
      </c>
      <c r="B3689" t="s">
        <v>1298</v>
      </c>
      <c r="C3689" t="s">
        <v>668</v>
      </c>
      <c r="D3689" t="s">
        <v>1356</v>
      </c>
      <c r="E3689" t="s">
        <v>187</v>
      </c>
      <c r="F3689">
        <v>2020</v>
      </c>
      <c r="G3689">
        <v>9.3850000000000003E-2</v>
      </c>
    </row>
    <row r="3690" spans="1:7">
      <c r="A3690" t="s">
        <v>1297</v>
      </c>
      <c r="B3690" t="s">
        <v>1298</v>
      </c>
      <c r="C3690" t="s">
        <v>653</v>
      </c>
      <c r="D3690" t="s">
        <v>1356</v>
      </c>
      <c r="E3690" t="s">
        <v>187</v>
      </c>
      <c r="F3690">
        <v>2005</v>
      </c>
      <c r="G3690">
        <v>20.36</v>
      </c>
    </row>
    <row r="3691" spans="1:7">
      <c r="A3691" t="s">
        <v>1297</v>
      </c>
      <c r="B3691" t="s">
        <v>1298</v>
      </c>
      <c r="C3691" t="s">
        <v>653</v>
      </c>
      <c r="D3691" t="s">
        <v>1356</v>
      </c>
      <c r="E3691" t="s">
        <v>187</v>
      </c>
      <c r="F3691">
        <v>2010</v>
      </c>
      <c r="G3691">
        <v>21.789000000000001</v>
      </c>
    </row>
    <row r="3692" spans="1:7">
      <c r="A3692" t="s">
        <v>1297</v>
      </c>
      <c r="B3692" t="s">
        <v>1298</v>
      </c>
      <c r="C3692" t="s">
        <v>653</v>
      </c>
      <c r="D3692" t="s">
        <v>1356</v>
      </c>
      <c r="E3692" t="s">
        <v>187</v>
      </c>
      <c r="F3692">
        <v>2012</v>
      </c>
      <c r="G3692">
        <v>24.047999999999998</v>
      </c>
    </row>
    <row r="3693" spans="1:7">
      <c r="A3693" t="s">
        <v>1297</v>
      </c>
      <c r="B3693" t="s">
        <v>1298</v>
      </c>
      <c r="C3693" t="s">
        <v>661</v>
      </c>
      <c r="D3693" t="s">
        <v>1356</v>
      </c>
      <c r="E3693" t="s">
        <v>187</v>
      </c>
      <c r="F3693">
        <v>2010</v>
      </c>
      <c r="G3693">
        <v>10.439</v>
      </c>
    </row>
    <row r="3694" spans="1:7">
      <c r="A3694" t="s">
        <v>1297</v>
      </c>
      <c r="B3694" t="s">
        <v>1298</v>
      </c>
      <c r="C3694" t="s">
        <v>661</v>
      </c>
      <c r="D3694" t="s">
        <v>1356</v>
      </c>
      <c r="E3694" t="s">
        <v>187</v>
      </c>
      <c r="F3694">
        <v>2012</v>
      </c>
      <c r="G3694">
        <v>10.122916</v>
      </c>
    </row>
    <row r="3695" spans="1:7">
      <c r="A3695" t="s">
        <v>1297</v>
      </c>
      <c r="B3695" t="s">
        <v>1298</v>
      </c>
      <c r="C3695" t="s">
        <v>661</v>
      </c>
      <c r="D3695" t="s">
        <v>1356</v>
      </c>
      <c r="E3695" t="s">
        <v>187</v>
      </c>
      <c r="F3695">
        <v>2016</v>
      </c>
      <c r="G3695">
        <v>8.9927550000000007</v>
      </c>
    </row>
    <row r="3696" spans="1:7">
      <c r="A3696" t="s">
        <v>1297</v>
      </c>
      <c r="B3696" t="s">
        <v>1298</v>
      </c>
      <c r="C3696" t="s">
        <v>661</v>
      </c>
      <c r="D3696" t="s">
        <v>1356</v>
      </c>
      <c r="E3696" t="s">
        <v>187</v>
      </c>
      <c r="F3696">
        <v>2020</v>
      </c>
      <c r="G3696">
        <v>5.1434110000000004</v>
      </c>
    </row>
    <row r="3697" spans="1:7">
      <c r="A3697" t="s">
        <v>1297</v>
      </c>
      <c r="B3697" t="s">
        <v>1298</v>
      </c>
      <c r="C3697" t="s">
        <v>679</v>
      </c>
      <c r="D3697" t="s">
        <v>1356</v>
      </c>
      <c r="E3697" t="s">
        <v>187</v>
      </c>
      <c r="F3697">
        <v>2005</v>
      </c>
      <c r="G3697">
        <v>0.34499999999999997</v>
      </c>
    </row>
    <row r="3698" spans="1:7">
      <c r="A3698" t="s">
        <v>1297</v>
      </c>
      <c r="B3698" t="s">
        <v>1298</v>
      </c>
      <c r="C3698" t="s">
        <v>679</v>
      </c>
      <c r="D3698" t="s">
        <v>1356</v>
      </c>
      <c r="E3698" t="s">
        <v>187</v>
      </c>
      <c r="F3698">
        <v>2010</v>
      </c>
      <c r="G3698">
        <v>0.24399999999999999</v>
      </c>
    </row>
    <row r="3699" spans="1:7">
      <c r="A3699" t="s">
        <v>1297</v>
      </c>
      <c r="B3699" t="s">
        <v>1298</v>
      </c>
      <c r="C3699" t="s">
        <v>679</v>
      </c>
      <c r="D3699" t="s">
        <v>1356</v>
      </c>
      <c r="E3699" t="s">
        <v>187</v>
      </c>
      <c r="F3699">
        <v>2012</v>
      </c>
      <c r="G3699">
        <v>0.246</v>
      </c>
    </row>
    <row r="3700" spans="1:7">
      <c r="A3700" t="s">
        <v>1297</v>
      </c>
      <c r="B3700" t="s">
        <v>1298</v>
      </c>
      <c r="C3700" t="s">
        <v>679</v>
      </c>
      <c r="D3700" t="s">
        <v>1356</v>
      </c>
      <c r="E3700" t="s">
        <v>187</v>
      </c>
      <c r="F3700">
        <v>2016</v>
      </c>
      <c r="G3700">
        <v>0.22700000000000001</v>
      </c>
    </row>
    <row r="3701" spans="1:7">
      <c r="A3701" t="s">
        <v>1297</v>
      </c>
      <c r="B3701" t="s">
        <v>1298</v>
      </c>
      <c r="C3701" t="s">
        <v>679</v>
      </c>
      <c r="D3701" t="s">
        <v>1356</v>
      </c>
      <c r="E3701" t="s">
        <v>187</v>
      </c>
      <c r="F3701">
        <v>2020</v>
      </c>
      <c r="G3701">
        <v>0.2702</v>
      </c>
    </row>
    <row r="3702" spans="1:7">
      <c r="A3702" t="s">
        <v>1297</v>
      </c>
      <c r="B3702" t="s">
        <v>1298</v>
      </c>
      <c r="C3702" t="s">
        <v>686</v>
      </c>
      <c r="D3702" t="s">
        <v>1356</v>
      </c>
      <c r="E3702" t="s">
        <v>187</v>
      </c>
      <c r="F3702">
        <v>2005</v>
      </c>
      <c r="G3702">
        <v>9.1980000000000004</v>
      </c>
    </row>
    <row r="3703" spans="1:7">
      <c r="A3703" t="s">
        <v>1297</v>
      </c>
      <c r="B3703" t="s">
        <v>1298</v>
      </c>
      <c r="C3703" t="s">
        <v>686</v>
      </c>
      <c r="D3703" t="s">
        <v>1356</v>
      </c>
      <c r="E3703" t="s">
        <v>187</v>
      </c>
      <c r="F3703">
        <v>2010</v>
      </c>
      <c r="G3703">
        <v>6.37</v>
      </c>
    </row>
    <row r="3704" spans="1:7">
      <c r="A3704" t="s">
        <v>1297</v>
      </c>
      <c r="B3704" t="s">
        <v>1298</v>
      </c>
      <c r="C3704" t="s">
        <v>686</v>
      </c>
      <c r="D3704" t="s">
        <v>1356</v>
      </c>
      <c r="E3704" t="s">
        <v>187</v>
      </c>
      <c r="F3704">
        <v>2012</v>
      </c>
      <c r="G3704">
        <v>6.6509999999999998</v>
      </c>
    </row>
    <row r="3705" spans="1:7">
      <c r="A3705" t="s">
        <v>1297</v>
      </c>
      <c r="B3705" t="s">
        <v>1298</v>
      </c>
      <c r="C3705" t="s">
        <v>686</v>
      </c>
      <c r="D3705" t="s">
        <v>1356</v>
      </c>
      <c r="E3705" t="s">
        <v>187</v>
      </c>
      <c r="F3705">
        <v>2016</v>
      </c>
      <c r="G3705">
        <v>6.5759999999999996</v>
      </c>
    </row>
    <row r="3706" spans="1:7">
      <c r="A3706" t="s">
        <v>1297</v>
      </c>
      <c r="B3706" t="s">
        <v>1298</v>
      </c>
      <c r="C3706" t="s">
        <v>686</v>
      </c>
      <c r="D3706" t="s">
        <v>1356</v>
      </c>
      <c r="E3706" t="s">
        <v>187</v>
      </c>
      <c r="F3706">
        <v>2020</v>
      </c>
      <c r="G3706">
        <v>6.2555870000000002</v>
      </c>
    </row>
    <row r="3707" spans="1:7">
      <c r="A3707" t="s">
        <v>1297</v>
      </c>
      <c r="B3707" t="s">
        <v>1298</v>
      </c>
      <c r="C3707" t="s">
        <v>1300</v>
      </c>
      <c r="D3707" t="s">
        <v>1356</v>
      </c>
      <c r="E3707" t="s">
        <v>187</v>
      </c>
      <c r="F3707">
        <v>2010</v>
      </c>
      <c r="G3707">
        <v>6.2E-2</v>
      </c>
    </row>
    <row r="3708" spans="1:7">
      <c r="A3708" t="s">
        <v>1297</v>
      </c>
      <c r="B3708" t="s">
        <v>1298</v>
      </c>
      <c r="C3708" t="s">
        <v>1300</v>
      </c>
      <c r="D3708" t="s">
        <v>1356</v>
      </c>
      <c r="E3708" t="s">
        <v>187</v>
      </c>
      <c r="F3708">
        <v>2012</v>
      </c>
      <c r="G3708">
        <v>5.1999999999999998E-2</v>
      </c>
    </row>
    <row r="3709" spans="1:7">
      <c r="A3709" t="s">
        <v>1297</v>
      </c>
      <c r="B3709" t="s">
        <v>1298</v>
      </c>
      <c r="C3709" t="s">
        <v>1300</v>
      </c>
      <c r="D3709" t="s">
        <v>1356</v>
      </c>
      <c r="E3709" t="s">
        <v>187</v>
      </c>
      <c r="F3709">
        <v>2016</v>
      </c>
      <c r="G3709">
        <v>5.8000000000000003E-2</v>
      </c>
    </row>
    <row r="3710" spans="1:7">
      <c r="A3710" t="s">
        <v>1297</v>
      </c>
      <c r="B3710" t="s">
        <v>1298</v>
      </c>
      <c r="C3710" t="s">
        <v>1300</v>
      </c>
      <c r="D3710" t="s">
        <v>1356</v>
      </c>
      <c r="E3710" t="s">
        <v>187</v>
      </c>
      <c r="F3710">
        <v>2020</v>
      </c>
      <c r="G3710">
        <v>4.0000000000000001E-3</v>
      </c>
    </row>
    <row r="3711" spans="1:7">
      <c r="A3711" t="s">
        <v>1297</v>
      </c>
      <c r="B3711" t="s">
        <v>1298</v>
      </c>
      <c r="C3711" t="s">
        <v>677</v>
      </c>
      <c r="D3711" t="s">
        <v>1356</v>
      </c>
      <c r="E3711" t="s">
        <v>187</v>
      </c>
      <c r="F3711">
        <v>2005</v>
      </c>
      <c r="G3711">
        <v>7.327</v>
      </c>
    </row>
    <row r="3712" spans="1:7">
      <c r="A3712" t="s">
        <v>1297</v>
      </c>
      <c r="B3712" t="s">
        <v>1298</v>
      </c>
      <c r="C3712" t="s">
        <v>677</v>
      </c>
      <c r="D3712" t="s">
        <v>1356</v>
      </c>
      <c r="E3712" t="s">
        <v>187</v>
      </c>
      <c r="F3712">
        <v>2010</v>
      </c>
      <c r="G3712">
        <v>6.931</v>
      </c>
    </row>
    <row r="3713" spans="1:7">
      <c r="A3713" t="s">
        <v>1297</v>
      </c>
      <c r="B3713" t="s">
        <v>1298</v>
      </c>
      <c r="C3713" t="s">
        <v>677</v>
      </c>
      <c r="D3713" t="s">
        <v>1356</v>
      </c>
      <c r="E3713" t="s">
        <v>187</v>
      </c>
      <c r="F3713">
        <v>2012</v>
      </c>
      <c r="G3713">
        <v>7.274</v>
      </c>
    </row>
    <row r="3714" spans="1:7">
      <c r="A3714" t="s">
        <v>1297</v>
      </c>
      <c r="B3714" t="s">
        <v>1298</v>
      </c>
      <c r="C3714" t="s">
        <v>677</v>
      </c>
      <c r="D3714" t="s">
        <v>1356</v>
      </c>
      <c r="E3714" t="s">
        <v>187</v>
      </c>
      <c r="F3714">
        <v>2016</v>
      </c>
      <c r="G3714">
        <v>9.4977000000000006E-2</v>
      </c>
    </row>
    <row r="3715" spans="1:7">
      <c r="A3715" t="s">
        <v>1297</v>
      </c>
      <c r="B3715" t="s">
        <v>1298</v>
      </c>
      <c r="C3715" t="s">
        <v>677</v>
      </c>
      <c r="D3715" t="s">
        <v>1356</v>
      </c>
      <c r="E3715" t="s">
        <v>187</v>
      </c>
      <c r="F3715">
        <v>2020</v>
      </c>
      <c r="G3715">
        <v>0.10070999999999999</v>
      </c>
    </row>
    <row r="3716" spans="1:7">
      <c r="A3716" t="s">
        <v>1297</v>
      </c>
      <c r="B3716" t="s">
        <v>1298</v>
      </c>
      <c r="C3716" t="s">
        <v>653</v>
      </c>
      <c r="D3716" t="s">
        <v>1356</v>
      </c>
      <c r="E3716" t="s">
        <v>187</v>
      </c>
      <c r="F3716">
        <v>2016</v>
      </c>
      <c r="G3716">
        <v>16.811</v>
      </c>
    </row>
    <row r="3717" spans="1:7">
      <c r="A3717" t="s">
        <v>1297</v>
      </c>
      <c r="B3717" t="s">
        <v>1298</v>
      </c>
      <c r="C3717" t="s">
        <v>653</v>
      </c>
      <c r="D3717" t="s">
        <v>1356</v>
      </c>
      <c r="E3717" t="s">
        <v>187</v>
      </c>
      <c r="F3717">
        <v>2020</v>
      </c>
      <c r="G3717">
        <v>7.4461909999999998</v>
      </c>
    </row>
    <row r="3718" spans="1:7">
      <c r="A3718" t="s">
        <v>1297</v>
      </c>
      <c r="B3718" t="s">
        <v>1298</v>
      </c>
      <c r="C3718" t="s">
        <v>670</v>
      </c>
      <c r="D3718" t="s">
        <v>1356</v>
      </c>
      <c r="E3718" t="s">
        <v>187</v>
      </c>
      <c r="F3718">
        <v>2005</v>
      </c>
      <c r="G3718">
        <v>16.916</v>
      </c>
    </row>
    <row r="3719" spans="1:7">
      <c r="A3719" t="s">
        <v>1297</v>
      </c>
      <c r="B3719" t="s">
        <v>1298</v>
      </c>
      <c r="C3719" t="s">
        <v>670</v>
      </c>
      <c r="D3719" t="s">
        <v>1356</v>
      </c>
      <c r="E3719" t="s">
        <v>187</v>
      </c>
      <c r="F3719">
        <v>2010</v>
      </c>
      <c r="G3719">
        <v>17.167999999999999</v>
      </c>
    </row>
    <row r="3720" spans="1:7">
      <c r="A3720" t="s">
        <v>1297</v>
      </c>
      <c r="B3720" t="s">
        <v>1298</v>
      </c>
      <c r="C3720" t="s">
        <v>670</v>
      </c>
      <c r="D3720" t="s">
        <v>1356</v>
      </c>
      <c r="E3720" t="s">
        <v>187</v>
      </c>
      <c r="F3720">
        <v>2012</v>
      </c>
      <c r="G3720">
        <v>5.4710000000000001</v>
      </c>
    </row>
    <row r="3721" spans="1:7">
      <c r="A3721" t="s">
        <v>1297</v>
      </c>
      <c r="B3721" t="s">
        <v>1298</v>
      </c>
      <c r="C3721" t="s">
        <v>670</v>
      </c>
      <c r="D3721" t="s">
        <v>1356</v>
      </c>
      <c r="E3721" t="s">
        <v>187</v>
      </c>
      <c r="F3721">
        <v>2016</v>
      </c>
      <c r="G3721">
        <v>3.5085549999999999</v>
      </c>
    </row>
    <row r="3722" spans="1:7">
      <c r="A3722" t="s">
        <v>1297</v>
      </c>
      <c r="B3722" t="s">
        <v>1298</v>
      </c>
      <c r="C3722" t="s">
        <v>670</v>
      </c>
      <c r="D3722" t="s">
        <v>1356</v>
      </c>
      <c r="E3722" t="s">
        <v>187</v>
      </c>
      <c r="F3722">
        <v>2020</v>
      </c>
      <c r="G3722">
        <v>2.7102870000000001</v>
      </c>
    </row>
    <row r="3723" spans="1:7">
      <c r="A3723" t="s">
        <v>1297</v>
      </c>
      <c r="B3723" t="s">
        <v>1298</v>
      </c>
      <c r="C3723" t="s">
        <v>676</v>
      </c>
      <c r="D3723" t="s">
        <v>1356</v>
      </c>
      <c r="E3723" t="s">
        <v>187</v>
      </c>
      <c r="F3723">
        <v>2005</v>
      </c>
      <c r="G3723">
        <v>10.814</v>
      </c>
    </row>
    <row r="3724" spans="1:7">
      <c r="A3724" t="s">
        <v>1297</v>
      </c>
      <c r="B3724" t="s">
        <v>1298</v>
      </c>
      <c r="C3724" t="s">
        <v>676</v>
      </c>
      <c r="D3724" t="s">
        <v>1356</v>
      </c>
      <c r="E3724" t="s">
        <v>187</v>
      </c>
      <c r="F3724">
        <v>2010</v>
      </c>
      <c r="G3724">
        <v>11.603999999999999</v>
      </c>
    </row>
    <row r="3725" spans="1:7">
      <c r="A3725" t="s">
        <v>1297</v>
      </c>
      <c r="B3725" t="s">
        <v>1298</v>
      </c>
      <c r="C3725" t="s">
        <v>676</v>
      </c>
      <c r="D3725" t="s">
        <v>1356</v>
      </c>
      <c r="E3725" t="s">
        <v>187</v>
      </c>
      <c r="F3725">
        <v>2012</v>
      </c>
      <c r="G3725">
        <v>8.7949999999999999</v>
      </c>
    </row>
    <row r="3726" spans="1:7">
      <c r="A3726" t="s">
        <v>1297</v>
      </c>
      <c r="B3726" t="s">
        <v>1298</v>
      </c>
      <c r="C3726" t="s">
        <v>676</v>
      </c>
      <c r="D3726" t="s">
        <v>1356</v>
      </c>
      <c r="E3726" t="s">
        <v>187</v>
      </c>
      <c r="F3726">
        <v>2016</v>
      </c>
      <c r="G3726">
        <v>7.9630000000000001</v>
      </c>
    </row>
    <row r="3727" spans="1:7">
      <c r="A3727" t="s">
        <v>1297</v>
      </c>
      <c r="B3727" t="s">
        <v>1298</v>
      </c>
      <c r="C3727" t="s">
        <v>676</v>
      </c>
      <c r="D3727" t="s">
        <v>1356</v>
      </c>
      <c r="E3727" t="s">
        <v>187</v>
      </c>
      <c r="F3727">
        <v>2020</v>
      </c>
      <c r="G3727">
        <v>7.4059999999999997</v>
      </c>
    </row>
    <row r="3728" spans="1:7">
      <c r="A3728" t="s">
        <v>1297</v>
      </c>
      <c r="B3728" t="s">
        <v>1298</v>
      </c>
      <c r="C3728" t="s">
        <v>663</v>
      </c>
      <c r="D3728" t="s">
        <v>1356</v>
      </c>
      <c r="E3728" t="s">
        <v>187</v>
      </c>
      <c r="F3728">
        <v>2005</v>
      </c>
      <c r="G3728">
        <v>6.33</v>
      </c>
    </row>
    <row r="3729" spans="1:7">
      <c r="A3729" t="s">
        <v>1297</v>
      </c>
      <c r="B3729" t="s">
        <v>1298</v>
      </c>
      <c r="C3729" t="s">
        <v>663</v>
      </c>
      <c r="D3729" t="s">
        <v>1356</v>
      </c>
      <c r="E3729" t="s">
        <v>187</v>
      </c>
      <c r="F3729">
        <v>2010</v>
      </c>
      <c r="G3729">
        <v>3.3410000000000002</v>
      </c>
    </row>
    <row r="3730" spans="1:7">
      <c r="A3730" t="s">
        <v>1297</v>
      </c>
      <c r="B3730" t="s">
        <v>1298</v>
      </c>
      <c r="C3730" t="s">
        <v>663</v>
      </c>
      <c r="D3730" t="s">
        <v>1356</v>
      </c>
      <c r="E3730" t="s">
        <v>187</v>
      </c>
      <c r="F3730">
        <v>2012</v>
      </c>
      <c r="G3730">
        <v>3.157</v>
      </c>
    </row>
    <row r="3731" spans="1:7">
      <c r="A3731" t="s">
        <v>1297</v>
      </c>
      <c r="B3731" t="s">
        <v>1298</v>
      </c>
      <c r="C3731" t="s">
        <v>663</v>
      </c>
      <c r="D3731" t="s">
        <v>1356</v>
      </c>
      <c r="E3731" t="s">
        <v>187</v>
      </c>
      <c r="F3731">
        <v>2016</v>
      </c>
      <c r="G3731">
        <v>2.5590000000000002</v>
      </c>
    </row>
    <row r="3732" spans="1:7">
      <c r="A3732" t="s">
        <v>1297</v>
      </c>
      <c r="B3732" t="s">
        <v>1298</v>
      </c>
      <c r="C3732" t="s">
        <v>658</v>
      </c>
      <c r="D3732" t="s">
        <v>1356</v>
      </c>
      <c r="E3732" t="s">
        <v>187</v>
      </c>
      <c r="F3732">
        <v>2005</v>
      </c>
      <c r="G3732">
        <v>6.7000000000000004E-2</v>
      </c>
    </row>
    <row r="3733" spans="1:7">
      <c r="A3733" t="s">
        <v>1297</v>
      </c>
      <c r="B3733" t="s">
        <v>1298</v>
      </c>
      <c r="C3733" t="s">
        <v>658</v>
      </c>
      <c r="D3733" t="s">
        <v>1356</v>
      </c>
      <c r="E3733" t="s">
        <v>187</v>
      </c>
      <c r="F3733">
        <v>2010</v>
      </c>
      <c r="G3733">
        <v>2.4E-2</v>
      </c>
    </row>
    <row r="3734" spans="1:7">
      <c r="A3734" t="s">
        <v>1297</v>
      </c>
      <c r="B3734" t="s">
        <v>1298</v>
      </c>
      <c r="C3734" t="s">
        <v>658</v>
      </c>
      <c r="D3734" t="s">
        <v>1356</v>
      </c>
      <c r="E3734" t="s">
        <v>187</v>
      </c>
      <c r="F3734">
        <v>2012</v>
      </c>
      <c r="G3734">
        <v>8.0000000000000002E-3</v>
      </c>
    </row>
    <row r="3735" spans="1:7">
      <c r="A3735" t="s">
        <v>1297</v>
      </c>
      <c r="B3735" t="s">
        <v>1298</v>
      </c>
      <c r="C3735" t="s">
        <v>682</v>
      </c>
      <c r="D3735" t="s">
        <v>1356</v>
      </c>
      <c r="E3735" t="s">
        <v>187</v>
      </c>
      <c r="F3735">
        <v>2016</v>
      </c>
      <c r="G3735">
        <v>2.9140000000000001</v>
      </c>
    </row>
    <row r="3736" spans="1:7">
      <c r="A3736" t="s">
        <v>1297</v>
      </c>
      <c r="B3736" t="s">
        <v>1298</v>
      </c>
      <c r="C3736" t="s">
        <v>682</v>
      </c>
      <c r="D3736" t="s">
        <v>1356</v>
      </c>
      <c r="E3736" t="s">
        <v>187</v>
      </c>
      <c r="F3736">
        <v>2020</v>
      </c>
      <c r="G3736">
        <v>2.7120000000000002</v>
      </c>
    </row>
    <row r="3737" spans="1:7">
      <c r="A3737" t="s">
        <v>1297</v>
      </c>
      <c r="B3737" t="s">
        <v>1298</v>
      </c>
      <c r="C3737" t="s">
        <v>1302</v>
      </c>
      <c r="D3737" t="s">
        <v>1357</v>
      </c>
      <c r="E3737" t="s">
        <v>187</v>
      </c>
      <c r="F3737">
        <v>2005</v>
      </c>
      <c r="G3737">
        <v>0.93134499999999998</v>
      </c>
    </row>
    <row r="3738" spans="1:7">
      <c r="A3738" t="s">
        <v>1297</v>
      </c>
      <c r="B3738" t="s">
        <v>1298</v>
      </c>
      <c r="C3738" t="s">
        <v>1302</v>
      </c>
      <c r="D3738" t="s">
        <v>1357</v>
      </c>
      <c r="E3738" t="s">
        <v>187</v>
      </c>
      <c r="F3738">
        <v>2010</v>
      </c>
      <c r="G3738">
        <v>1.2300800000000001</v>
      </c>
    </row>
    <row r="3739" spans="1:7">
      <c r="A3739" t="s">
        <v>1297</v>
      </c>
      <c r="B3739" t="s">
        <v>1298</v>
      </c>
      <c r="C3739" t="s">
        <v>1302</v>
      </c>
      <c r="D3739" t="s">
        <v>1357</v>
      </c>
      <c r="E3739" t="s">
        <v>187</v>
      </c>
      <c r="F3739">
        <v>2012</v>
      </c>
      <c r="G3739">
        <v>2.1288309999999999</v>
      </c>
    </row>
    <row r="3740" spans="1:7">
      <c r="A3740" t="s">
        <v>1297</v>
      </c>
      <c r="B3740" t="s">
        <v>1298</v>
      </c>
      <c r="C3740" t="s">
        <v>1302</v>
      </c>
      <c r="D3740" t="s">
        <v>1357</v>
      </c>
      <c r="E3740" t="s">
        <v>187</v>
      </c>
      <c r="F3740">
        <v>2016</v>
      </c>
      <c r="G3740">
        <v>6.0654E-2</v>
      </c>
    </row>
    <row r="3741" spans="1:7">
      <c r="A3741" t="s">
        <v>1297</v>
      </c>
      <c r="B3741" t="s">
        <v>1298</v>
      </c>
      <c r="C3741" t="s">
        <v>1302</v>
      </c>
      <c r="D3741" t="s">
        <v>1357</v>
      </c>
      <c r="E3741" t="s">
        <v>187</v>
      </c>
      <c r="F3741">
        <v>2020</v>
      </c>
      <c r="G3741">
        <v>9.6754999999999994E-2</v>
      </c>
    </row>
    <row r="3742" spans="1:7">
      <c r="A3742" t="s">
        <v>1297</v>
      </c>
      <c r="B3742" t="s">
        <v>1298</v>
      </c>
      <c r="C3742" t="s">
        <v>662</v>
      </c>
      <c r="D3742" t="s">
        <v>1357</v>
      </c>
      <c r="E3742" t="s">
        <v>187</v>
      </c>
      <c r="F3742">
        <v>2005</v>
      </c>
      <c r="G3742">
        <v>16.666436000000001</v>
      </c>
    </row>
    <row r="3743" spans="1:7">
      <c r="A3743" t="s">
        <v>1297</v>
      </c>
      <c r="B3743" t="s">
        <v>1298</v>
      </c>
      <c r="C3743" t="s">
        <v>662</v>
      </c>
      <c r="D3743" t="s">
        <v>1357</v>
      </c>
      <c r="E3743" t="s">
        <v>187</v>
      </c>
      <c r="F3743">
        <v>2010</v>
      </c>
      <c r="G3743">
        <v>16.777117000000001</v>
      </c>
    </row>
    <row r="3744" spans="1:7">
      <c r="A3744" t="s">
        <v>1297</v>
      </c>
      <c r="B3744" t="s">
        <v>1298</v>
      </c>
      <c r="C3744" t="s">
        <v>662</v>
      </c>
      <c r="D3744" t="s">
        <v>1357</v>
      </c>
      <c r="E3744" t="s">
        <v>187</v>
      </c>
      <c r="F3744">
        <v>2012</v>
      </c>
      <c r="G3744">
        <v>8.0553690000000007</v>
      </c>
    </row>
    <row r="3745" spans="1:7">
      <c r="A3745" t="s">
        <v>1297</v>
      </c>
      <c r="B3745" t="s">
        <v>1298</v>
      </c>
      <c r="C3745" t="s">
        <v>659</v>
      </c>
      <c r="D3745" t="s">
        <v>1357</v>
      </c>
      <c r="E3745" t="s">
        <v>187</v>
      </c>
      <c r="F3745">
        <v>2010</v>
      </c>
      <c r="G3745">
        <v>328.55590999999998</v>
      </c>
    </row>
    <row r="3746" spans="1:7">
      <c r="A3746" t="s">
        <v>1297</v>
      </c>
      <c r="B3746" t="s">
        <v>1298</v>
      </c>
      <c r="C3746" t="s">
        <v>659</v>
      </c>
      <c r="D3746" t="s">
        <v>1357</v>
      </c>
      <c r="E3746" t="s">
        <v>187</v>
      </c>
      <c r="F3746">
        <v>2012</v>
      </c>
      <c r="G3746">
        <v>542.25552000000005</v>
      </c>
    </row>
    <row r="3747" spans="1:7">
      <c r="A3747" t="s">
        <v>1297</v>
      </c>
      <c r="B3747" t="s">
        <v>1298</v>
      </c>
      <c r="C3747" t="s">
        <v>659</v>
      </c>
      <c r="D3747" t="s">
        <v>1357</v>
      </c>
      <c r="E3747" t="s">
        <v>187</v>
      </c>
      <c r="F3747">
        <v>2016</v>
      </c>
      <c r="G3747">
        <v>338.74664999999999</v>
      </c>
    </row>
    <row r="3748" spans="1:7">
      <c r="A3748" t="s">
        <v>1297</v>
      </c>
      <c r="B3748" t="s">
        <v>1298</v>
      </c>
      <c r="C3748" t="s">
        <v>659</v>
      </c>
      <c r="D3748" t="s">
        <v>1357</v>
      </c>
      <c r="E3748" t="s">
        <v>187</v>
      </c>
      <c r="F3748">
        <v>2020</v>
      </c>
      <c r="G3748">
        <v>231.72832199999999</v>
      </c>
    </row>
    <row r="3749" spans="1:7">
      <c r="A3749" t="s">
        <v>1297</v>
      </c>
      <c r="B3749" t="s">
        <v>1298</v>
      </c>
      <c r="C3749" t="s">
        <v>661</v>
      </c>
      <c r="D3749" t="s">
        <v>1357</v>
      </c>
      <c r="E3749" t="s">
        <v>187</v>
      </c>
      <c r="F3749">
        <v>2016</v>
      </c>
      <c r="G3749">
        <v>360.283162</v>
      </c>
    </row>
    <row r="3750" spans="1:7">
      <c r="A3750" t="s">
        <v>1297</v>
      </c>
      <c r="B3750" t="s">
        <v>1298</v>
      </c>
      <c r="C3750" t="s">
        <v>661</v>
      </c>
      <c r="D3750" t="s">
        <v>1357</v>
      </c>
      <c r="E3750" t="s">
        <v>187</v>
      </c>
      <c r="F3750">
        <v>2020</v>
      </c>
      <c r="G3750">
        <v>306.034153</v>
      </c>
    </row>
    <row r="3751" spans="1:7">
      <c r="A3751" t="s">
        <v>1297</v>
      </c>
      <c r="B3751" t="s">
        <v>1298</v>
      </c>
      <c r="C3751" t="s">
        <v>662</v>
      </c>
      <c r="D3751" t="s">
        <v>1357</v>
      </c>
      <c r="E3751" t="s">
        <v>187</v>
      </c>
      <c r="F3751">
        <v>2016</v>
      </c>
      <c r="G3751">
        <v>7.9691039999999997</v>
      </c>
    </row>
    <row r="3752" spans="1:7">
      <c r="A3752" t="s">
        <v>1297</v>
      </c>
      <c r="B3752" t="s">
        <v>1298</v>
      </c>
      <c r="C3752" t="s">
        <v>662</v>
      </c>
      <c r="D3752" t="s">
        <v>1357</v>
      </c>
      <c r="E3752" t="s">
        <v>187</v>
      </c>
      <c r="F3752">
        <v>2020</v>
      </c>
      <c r="G3752">
        <v>8.5122660000000003</v>
      </c>
    </row>
    <row r="3753" spans="1:7">
      <c r="A3753" t="s">
        <v>1297</v>
      </c>
      <c r="B3753" t="s">
        <v>1298</v>
      </c>
      <c r="C3753" t="s">
        <v>677</v>
      </c>
      <c r="D3753" t="s">
        <v>1357</v>
      </c>
      <c r="E3753" t="s">
        <v>187</v>
      </c>
      <c r="F3753">
        <v>2005</v>
      </c>
      <c r="G3753">
        <v>1162.219462</v>
      </c>
    </row>
    <row r="3754" spans="1:7">
      <c r="A3754" t="s">
        <v>1297</v>
      </c>
      <c r="B3754" t="s">
        <v>1298</v>
      </c>
      <c r="C3754" t="s">
        <v>677</v>
      </c>
      <c r="D3754" t="s">
        <v>1357</v>
      </c>
      <c r="E3754" t="s">
        <v>187</v>
      </c>
      <c r="F3754">
        <v>2010</v>
      </c>
      <c r="G3754">
        <v>708.54763200000002</v>
      </c>
    </row>
    <row r="3755" spans="1:7">
      <c r="A3755" t="s">
        <v>1297</v>
      </c>
      <c r="B3755" t="s">
        <v>1298</v>
      </c>
      <c r="C3755" t="s">
        <v>677</v>
      </c>
      <c r="D3755" t="s">
        <v>1357</v>
      </c>
      <c r="E3755" t="s">
        <v>187</v>
      </c>
      <c r="F3755">
        <v>2012</v>
      </c>
      <c r="G3755">
        <v>1162.0507729999999</v>
      </c>
    </row>
    <row r="3756" spans="1:7">
      <c r="A3756" t="s">
        <v>1297</v>
      </c>
      <c r="B3756" t="s">
        <v>1298</v>
      </c>
      <c r="C3756" t="s">
        <v>677</v>
      </c>
      <c r="D3756" t="s">
        <v>1357</v>
      </c>
      <c r="E3756" t="s">
        <v>187</v>
      </c>
      <c r="F3756">
        <v>2016</v>
      </c>
      <c r="G3756">
        <v>279.23424799999998</v>
      </c>
    </row>
    <row r="3757" spans="1:7">
      <c r="A3757" t="s">
        <v>1297</v>
      </c>
      <c r="B3757" t="s">
        <v>1298</v>
      </c>
      <c r="C3757" t="s">
        <v>677</v>
      </c>
      <c r="D3757" t="s">
        <v>1357</v>
      </c>
      <c r="E3757" t="s">
        <v>187</v>
      </c>
      <c r="F3757">
        <v>2020</v>
      </c>
      <c r="G3757">
        <v>201.94273999999999</v>
      </c>
    </row>
    <row r="3758" spans="1:7">
      <c r="A3758" t="s">
        <v>1297</v>
      </c>
      <c r="B3758" t="s">
        <v>1298</v>
      </c>
      <c r="C3758" t="s">
        <v>675</v>
      </c>
      <c r="D3758" t="s">
        <v>1357</v>
      </c>
      <c r="E3758" t="s">
        <v>187</v>
      </c>
      <c r="F3758">
        <v>2005</v>
      </c>
      <c r="G3758">
        <v>13.934329999999999</v>
      </c>
    </row>
    <row r="3759" spans="1:7">
      <c r="A3759" t="s">
        <v>1297</v>
      </c>
      <c r="B3759" t="s">
        <v>1298</v>
      </c>
      <c r="C3759" t="s">
        <v>675</v>
      </c>
      <c r="D3759" t="s">
        <v>1357</v>
      </c>
      <c r="E3759" t="s">
        <v>187</v>
      </c>
      <c r="F3759">
        <v>2010</v>
      </c>
      <c r="G3759">
        <v>11.719016</v>
      </c>
    </row>
    <row r="3760" spans="1:7">
      <c r="A3760" t="s">
        <v>1297</v>
      </c>
      <c r="B3760" t="s">
        <v>1298</v>
      </c>
      <c r="C3760" t="s">
        <v>675</v>
      </c>
      <c r="D3760" t="s">
        <v>1357</v>
      </c>
      <c r="E3760" t="s">
        <v>187</v>
      </c>
      <c r="F3760">
        <v>2012</v>
      </c>
      <c r="G3760">
        <v>12.590833999999999</v>
      </c>
    </row>
    <row r="3761" spans="1:7">
      <c r="A3761" t="s">
        <v>1297</v>
      </c>
      <c r="B3761" t="s">
        <v>1298</v>
      </c>
      <c r="C3761" t="s">
        <v>675</v>
      </c>
      <c r="D3761" t="s">
        <v>1357</v>
      </c>
      <c r="E3761" t="s">
        <v>187</v>
      </c>
      <c r="F3761">
        <v>2016</v>
      </c>
      <c r="G3761">
        <v>8.2912409999999994</v>
      </c>
    </row>
    <row r="3762" spans="1:7">
      <c r="A3762" t="s">
        <v>1297</v>
      </c>
      <c r="B3762" t="s">
        <v>1298</v>
      </c>
      <c r="C3762" t="s">
        <v>675</v>
      </c>
      <c r="D3762" t="s">
        <v>1357</v>
      </c>
      <c r="E3762" t="s">
        <v>187</v>
      </c>
      <c r="F3762">
        <v>2020</v>
      </c>
      <c r="G3762">
        <v>8.9647310000000004</v>
      </c>
    </row>
    <row r="3763" spans="1:7">
      <c r="A3763" t="s">
        <v>1297</v>
      </c>
      <c r="B3763" t="s">
        <v>1298</v>
      </c>
      <c r="C3763" t="s">
        <v>676</v>
      </c>
      <c r="D3763" t="s">
        <v>1357</v>
      </c>
      <c r="E3763" t="s">
        <v>187</v>
      </c>
      <c r="F3763">
        <v>2005</v>
      </c>
      <c r="G3763">
        <v>163.079443</v>
      </c>
    </row>
    <row r="3764" spans="1:7">
      <c r="A3764" t="s">
        <v>1297</v>
      </c>
      <c r="B3764" t="s">
        <v>1298</v>
      </c>
      <c r="C3764" t="s">
        <v>676</v>
      </c>
      <c r="D3764" t="s">
        <v>1357</v>
      </c>
      <c r="E3764" t="s">
        <v>187</v>
      </c>
      <c r="F3764">
        <v>2010</v>
      </c>
      <c r="G3764">
        <v>134.628874</v>
      </c>
    </row>
    <row r="3765" spans="1:7">
      <c r="A3765" t="s">
        <v>1297</v>
      </c>
      <c r="B3765" t="s">
        <v>1298</v>
      </c>
      <c r="C3765" t="s">
        <v>676</v>
      </c>
      <c r="D3765" t="s">
        <v>1357</v>
      </c>
      <c r="E3765" t="s">
        <v>187</v>
      </c>
      <c r="F3765">
        <v>2012</v>
      </c>
      <c r="G3765">
        <v>133.827708</v>
      </c>
    </row>
    <row r="3766" spans="1:7">
      <c r="A3766" t="s">
        <v>1297</v>
      </c>
      <c r="B3766" t="s">
        <v>1298</v>
      </c>
      <c r="C3766" t="s">
        <v>676</v>
      </c>
      <c r="D3766" t="s">
        <v>1357</v>
      </c>
      <c r="E3766" t="s">
        <v>187</v>
      </c>
      <c r="F3766">
        <v>2016</v>
      </c>
      <c r="G3766">
        <v>114.6626</v>
      </c>
    </row>
    <row r="3767" spans="1:7">
      <c r="A3767" t="s">
        <v>1297</v>
      </c>
      <c r="B3767" t="s">
        <v>1298</v>
      </c>
      <c r="C3767" t="s">
        <v>676</v>
      </c>
      <c r="D3767" t="s">
        <v>1357</v>
      </c>
      <c r="E3767" t="s">
        <v>187</v>
      </c>
      <c r="F3767">
        <v>2020</v>
      </c>
      <c r="G3767">
        <v>108.97579899999999</v>
      </c>
    </row>
    <row r="3768" spans="1:7">
      <c r="A3768" t="s">
        <v>1297</v>
      </c>
      <c r="B3768" t="s">
        <v>1298</v>
      </c>
      <c r="C3768" t="s">
        <v>670</v>
      </c>
      <c r="D3768" t="s">
        <v>1357</v>
      </c>
      <c r="E3768" t="s">
        <v>187</v>
      </c>
      <c r="F3768">
        <v>2005</v>
      </c>
      <c r="G3768">
        <v>354.30085500000001</v>
      </c>
    </row>
    <row r="3769" spans="1:7">
      <c r="A3769" t="s">
        <v>1297</v>
      </c>
      <c r="B3769" t="s">
        <v>1298</v>
      </c>
      <c r="C3769" t="s">
        <v>670</v>
      </c>
      <c r="D3769" t="s">
        <v>1357</v>
      </c>
      <c r="E3769" t="s">
        <v>187</v>
      </c>
      <c r="F3769">
        <v>2010</v>
      </c>
      <c r="G3769">
        <v>324.73119000000003</v>
      </c>
    </row>
    <row r="3770" spans="1:7">
      <c r="A3770" t="s">
        <v>1297</v>
      </c>
      <c r="B3770" t="s">
        <v>1298</v>
      </c>
      <c r="C3770" t="s">
        <v>670</v>
      </c>
      <c r="D3770" t="s">
        <v>1357</v>
      </c>
      <c r="E3770" t="s">
        <v>187</v>
      </c>
      <c r="F3770">
        <v>2012</v>
      </c>
      <c r="G3770">
        <v>340.98906599999998</v>
      </c>
    </row>
    <row r="3771" spans="1:7">
      <c r="A3771" t="s">
        <v>1297</v>
      </c>
      <c r="B3771" t="s">
        <v>1298</v>
      </c>
      <c r="C3771" t="s">
        <v>670</v>
      </c>
      <c r="D3771" t="s">
        <v>1357</v>
      </c>
      <c r="E3771" t="s">
        <v>187</v>
      </c>
      <c r="F3771">
        <v>2016</v>
      </c>
      <c r="G3771">
        <v>430.76673699999998</v>
      </c>
    </row>
    <row r="3772" spans="1:7">
      <c r="A3772" t="s">
        <v>1297</v>
      </c>
      <c r="B3772" t="s">
        <v>1298</v>
      </c>
      <c r="C3772" t="s">
        <v>670</v>
      </c>
      <c r="D3772" t="s">
        <v>1357</v>
      </c>
      <c r="E3772" t="s">
        <v>187</v>
      </c>
      <c r="F3772">
        <v>2020</v>
      </c>
      <c r="G3772">
        <v>278.73296800000003</v>
      </c>
    </row>
    <row r="3773" spans="1:7">
      <c r="A3773" t="s">
        <v>1297</v>
      </c>
      <c r="B3773" t="s">
        <v>1298</v>
      </c>
      <c r="C3773" t="s">
        <v>659</v>
      </c>
      <c r="D3773" t="s">
        <v>1357</v>
      </c>
      <c r="E3773" t="s">
        <v>187</v>
      </c>
      <c r="F3773">
        <v>2005</v>
      </c>
      <c r="G3773">
        <v>621.03770199999997</v>
      </c>
    </row>
    <row r="3774" spans="1:7">
      <c r="A3774" t="s">
        <v>1297</v>
      </c>
      <c r="B3774" t="s">
        <v>1298</v>
      </c>
      <c r="C3774" t="s">
        <v>657</v>
      </c>
      <c r="D3774" t="s">
        <v>1357</v>
      </c>
      <c r="E3774" t="s">
        <v>187</v>
      </c>
      <c r="F3774">
        <v>2005</v>
      </c>
      <c r="G3774">
        <v>149.10378800000001</v>
      </c>
    </row>
    <row r="3775" spans="1:7">
      <c r="A3775" t="s">
        <v>1297</v>
      </c>
      <c r="B3775" t="s">
        <v>1298</v>
      </c>
      <c r="C3775" t="s">
        <v>657</v>
      </c>
      <c r="D3775" t="s">
        <v>1357</v>
      </c>
      <c r="E3775" t="s">
        <v>187</v>
      </c>
      <c r="F3775">
        <v>2010</v>
      </c>
      <c r="G3775">
        <v>112.372</v>
      </c>
    </row>
    <row r="3776" spans="1:7">
      <c r="A3776" t="s">
        <v>1297</v>
      </c>
      <c r="B3776" t="s">
        <v>1298</v>
      </c>
      <c r="C3776" t="s">
        <v>657</v>
      </c>
      <c r="D3776" t="s">
        <v>1357</v>
      </c>
      <c r="E3776" t="s">
        <v>187</v>
      </c>
      <c r="F3776">
        <v>2012</v>
      </c>
      <c r="G3776">
        <v>97.020539999999997</v>
      </c>
    </row>
    <row r="3777" spans="1:7">
      <c r="A3777" t="s">
        <v>1297</v>
      </c>
      <c r="B3777" t="s">
        <v>1298</v>
      </c>
      <c r="C3777" t="s">
        <v>657</v>
      </c>
      <c r="D3777" t="s">
        <v>1357</v>
      </c>
      <c r="E3777" t="s">
        <v>187</v>
      </c>
      <c r="F3777">
        <v>2016</v>
      </c>
      <c r="G3777">
        <v>70.793285999999995</v>
      </c>
    </row>
    <row r="3778" spans="1:7">
      <c r="A3778" t="s">
        <v>1297</v>
      </c>
      <c r="B3778" t="s">
        <v>1298</v>
      </c>
      <c r="C3778" t="s">
        <v>657</v>
      </c>
      <c r="D3778" t="s">
        <v>1357</v>
      </c>
      <c r="E3778" t="s">
        <v>187</v>
      </c>
      <c r="F3778">
        <v>2020</v>
      </c>
      <c r="G3778">
        <v>57.346620000000001</v>
      </c>
    </row>
    <row r="3779" spans="1:7">
      <c r="A3779" t="s">
        <v>1297</v>
      </c>
      <c r="B3779" t="s">
        <v>1298</v>
      </c>
      <c r="C3779" t="s">
        <v>663</v>
      </c>
      <c r="D3779" t="s">
        <v>1357</v>
      </c>
      <c r="E3779" t="s">
        <v>187</v>
      </c>
      <c r="F3779">
        <v>2005</v>
      </c>
      <c r="G3779">
        <v>60.955831000000003</v>
      </c>
    </row>
    <row r="3780" spans="1:7">
      <c r="A3780" t="s">
        <v>1297</v>
      </c>
      <c r="B3780" t="s">
        <v>1298</v>
      </c>
      <c r="C3780" t="s">
        <v>663</v>
      </c>
      <c r="D3780" t="s">
        <v>1357</v>
      </c>
      <c r="E3780" t="s">
        <v>187</v>
      </c>
      <c r="F3780">
        <v>2010</v>
      </c>
      <c r="G3780">
        <v>59.093670000000003</v>
      </c>
    </row>
    <row r="3781" spans="1:7">
      <c r="A3781" t="s">
        <v>1297</v>
      </c>
      <c r="B3781" t="s">
        <v>1298</v>
      </c>
      <c r="C3781" t="s">
        <v>663</v>
      </c>
      <c r="D3781" t="s">
        <v>1357</v>
      </c>
      <c r="E3781" t="s">
        <v>187</v>
      </c>
      <c r="F3781">
        <v>2012</v>
      </c>
      <c r="G3781">
        <v>49.290480000000002</v>
      </c>
    </row>
    <row r="3782" spans="1:7">
      <c r="A3782" t="s">
        <v>1297</v>
      </c>
      <c r="B3782" t="s">
        <v>1298</v>
      </c>
      <c r="C3782" t="s">
        <v>663</v>
      </c>
      <c r="D3782" t="s">
        <v>1357</v>
      </c>
      <c r="E3782" t="s">
        <v>187</v>
      </c>
      <c r="F3782">
        <v>2016</v>
      </c>
      <c r="G3782">
        <v>45.392322999999998</v>
      </c>
    </row>
    <row r="3783" spans="1:7">
      <c r="A3783" t="s">
        <v>1297</v>
      </c>
      <c r="B3783" t="s">
        <v>1298</v>
      </c>
      <c r="C3783" t="s">
        <v>663</v>
      </c>
      <c r="D3783" t="s">
        <v>1357</v>
      </c>
      <c r="E3783" t="s">
        <v>187</v>
      </c>
      <c r="F3783">
        <v>2020</v>
      </c>
      <c r="G3783">
        <v>44.734198999999997</v>
      </c>
    </row>
    <row r="3784" spans="1:7">
      <c r="A3784" t="s">
        <v>1297</v>
      </c>
      <c r="B3784" t="s">
        <v>1298</v>
      </c>
      <c r="C3784" t="s">
        <v>664</v>
      </c>
      <c r="D3784" t="s">
        <v>1357</v>
      </c>
      <c r="E3784" t="s">
        <v>187</v>
      </c>
      <c r="F3784">
        <v>2005</v>
      </c>
      <c r="G3784">
        <v>79.805513000000005</v>
      </c>
    </row>
    <row r="3785" spans="1:7">
      <c r="A3785" t="s">
        <v>1297</v>
      </c>
      <c r="B3785" t="s">
        <v>1298</v>
      </c>
      <c r="C3785" t="s">
        <v>664</v>
      </c>
      <c r="D3785" t="s">
        <v>1357</v>
      </c>
      <c r="E3785" t="s">
        <v>187</v>
      </c>
      <c r="F3785">
        <v>2010</v>
      </c>
      <c r="G3785">
        <v>40.411265</v>
      </c>
    </row>
    <row r="3786" spans="1:7">
      <c r="A3786" t="s">
        <v>1297</v>
      </c>
      <c r="B3786" t="s">
        <v>1298</v>
      </c>
      <c r="C3786" t="s">
        <v>664</v>
      </c>
      <c r="D3786" t="s">
        <v>1357</v>
      </c>
      <c r="E3786" t="s">
        <v>187</v>
      </c>
      <c r="F3786">
        <v>2012</v>
      </c>
      <c r="G3786">
        <v>56.377878000000003</v>
      </c>
    </row>
    <row r="3787" spans="1:7">
      <c r="A3787" t="s">
        <v>1297</v>
      </c>
      <c r="B3787" t="s">
        <v>1298</v>
      </c>
      <c r="C3787" t="s">
        <v>664</v>
      </c>
      <c r="D3787" t="s">
        <v>1357</v>
      </c>
      <c r="E3787" t="s">
        <v>187</v>
      </c>
      <c r="F3787">
        <v>2016</v>
      </c>
      <c r="G3787">
        <v>49.588169000000001</v>
      </c>
    </row>
    <row r="3788" spans="1:7">
      <c r="A3788" t="s">
        <v>1297</v>
      </c>
      <c r="B3788" t="s">
        <v>1298</v>
      </c>
      <c r="C3788" t="s">
        <v>664</v>
      </c>
      <c r="D3788" t="s">
        <v>1357</v>
      </c>
      <c r="E3788" t="s">
        <v>187</v>
      </c>
      <c r="F3788">
        <v>2020</v>
      </c>
      <c r="G3788">
        <v>8.7244229999999998</v>
      </c>
    </row>
    <row r="3789" spans="1:7">
      <c r="A3789" t="s">
        <v>1297</v>
      </c>
      <c r="B3789" t="s">
        <v>1298</v>
      </c>
      <c r="C3789" t="s">
        <v>1299</v>
      </c>
      <c r="D3789" t="s">
        <v>1357</v>
      </c>
      <c r="E3789" t="s">
        <v>187</v>
      </c>
      <c r="F3789">
        <v>2005</v>
      </c>
      <c r="G3789">
        <v>189.05432999999999</v>
      </c>
    </row>
    <row r="3790" spans="1:7">
      <c r="A3790" t="s">
        <v>1297</v>
      </c>
      <c r="B3790" t="s">
        <v>1298</v>
      </c>
      <c r="C3790" t="s">
        <v>1299</v>
      </c>
      <c r="D3790" t="s">
        <v>1357</v>
      </c>
      <c r="E3790" t="s">
        <v>187</v>
      </c>
      <c r="F3790">
        <v>2010</v>
      </c>
      <c r="G3790">
        <v>326.11544600000002</v>
      </c>
    </row>
    <row r="3791" spans="1:7">
      <c r="A3791" t="s">
        <v>1297</v>
      </c>
      <c r="B3791" t="s">
        <v>1298</v>
      </c>
      <c r="C3791" t="s">
        <v>1299</v>
      </c>
      <c r="D3791" t="s">
        <v>1357</v>
      </c>
      <c r="E3791" t="s">
        <v>187</v>
      </c>
      <c r="F3791">
        <v>2012</v>
      </c>
      <c r="G3791">
        <v>415.359441</v>
      </c>
    </row>
    <row r="3792" spans="1:7">
      <c r="A3792" t="s">
        <v>1297</v>
      </c>
      <c r="B3792" t="s">
        <v>1298</v>
      </c>
      <c r="C3792" t="s">
        <v>1299</v>
      </c>
      <c r="D3792" t="s">
        <v>1357</v>
      </c>
      <c r="E3792" t="s">
        <v>187</v>
      </c>
      <c r="F3792">
        <v>2016</v>
      </c>
      <c r="G3792">
        <v>444.36335500000001</v>
      </c>
    </row>
    <row r="3793" spans="1:7">
      <c r="A3793" t="s">
        <v>1297</v>
      </c>
      <c r="B3793" t="s">
        <v>1298</v>
      </c>
      <c r="C3793" t="s">
        <v>1299</v>
      </c>
      <c r="D3793" t="s">
        <v>1357</v>
      </c>
      <c r="E3793" t="s">
        <v>187</v>
      </c>
      <c r="F3793">
        <v>2020</v>
      </c>
      <c r="G3793">
        <v>553.93580699999995</v>
      </c>
    </row>
    <row r="3794" spans="1:7">
      <c r="A3794" t="s">
        <v>1297</v>
      </c>
      <c r="B3794" t="s">
        <v>1298</v>
      </c>
      <c r="C3794" t="s">
        <v>661</v>
      </c>
      <c r="D3794" t="s">
        <v>1357</v>
      </c>
      <c r="E3794" t="s">
        <v>187</v>
      </c>
      <c r="F3794">
        <v>2005</v>
      </c>
      <c r="G3794">
        <v>585.10649999999998</v>
      </c>
    </row>
    <row r="3795" spans="1:7">
      <c r="A3795" t="s">
        <v>1297</v>
      </c>
      <c r="B3795" t="s">
        <v>1298</v>
      </c>
      <c r="C3795" t="s">
        <v>661</v>
      </c>
      <c r="D3795" t="s">
        <v>1357</v>
      </c>
      <c r="E3795" t="s">
        <v>187</v>
      </c>
      <c r="F3795">
        <v>2010</v>
      </c>
      <c r="G3795">
        <v>512.97850000000005</v>
      </c>
    </row>
    <row r="3796" spans="1:7">
      <c r="A3796" t="s">
        <v>1297</v>
      </c>
      <c r="B3796" t="s">
        <v>1298</v>
      </c>
      <c r="C3796" t="s">
        <v>661</v>
      </c>
      <c r="D3796" t="s">
        <v>1357</v>
      </c>
      <c r="E3796" t="s">
        <v>187</v>
      </c>
      <c r="F3796">
        <v>2012</v>
      </c>
      <c r="G3796">
        <v>510.304147</v>
      </c>
    </row>
    <row r="3797" spans="1:7">
      <c r="A3797" t="s">
        <v>1297</v>
      </c>
      <c r="B3797" t="s">
        <v>1298</v>
      </c>
      <c r="C3797" t="s">
        <v>651</v>
      </c>
      <c r="D3797" t="s">
        <v>1357</v>
      </c>
      <c r="E3797" t="s">
        <v>187</v>
      </c>
      <c r="F3797">
        <v>2005</v>
      </c>
      <c r="G3797">
        <v>169.415806</v>
      </c>
    </row>
    <row r="3798" spans="1:7">
      <c r="A3798" t="s">
        <v>1297</v>
      </c>
      <c r="B3798" t="s">
        <v>1298</v>
      </c>
      <c r="C3798" t="s">
        <v>651</v>
      </c>
      <c r="D3798" t="s">
        <v>1357</v>
      </c>
      <c r="E3798" t="s">
        <v>187</v>
      </c>
      <c r="F3798">
        <v>2010</v>
      </c>
      <c r="G3798">
        <v>141.260289</v>
      </c>
    </row>
    <row r="3799" spans="1:7">
      <c r="A3799" t="s">
        <v>1297</v>
      </c>
      <c r="B3799" t="s">
        <v>1298</v>
      </c>
      <c r="C3799" t="s">
        <v>651</v>
      </c>
      <c r="D3799" t="s">
        <v>1357</v>
      </c>
      <c r="E3799" t="s">
        <v>187</v>
      </c>
      <c r="F3799">
        <v>2012</v>
      </c>
      <c r="G3799">
        <v>139.702248</v>
      </c>
    </row>
    <row r="3800" spans="1:7">
      <c r="A3800" t="s">
        <v>1297</v>
      </c>
      <c r="B3800" t="s">
        <v>1298</v>
      </c>
      <c r="C3800" t="s">
        <v>651</v>
      </c>
      <c r="D3800" t="s">
        <v>1357</v>
      </c>
      <c r="E3800" t="s">
        <v>187</v>
      </c>
      <c r="F3800">
        <v>2016</v>
      </c>
      <c r="G3800">
        <v>121.33504000000001</v>
      </c>
    </row>
    <row r="3801" spans="1:7">
      <c r="A3801" t="s">
        <v>1297</v>
      </c>
      <c r="B3801" t="s">
        <v>1298</v>
      </c>
      <c r="C3801" t="s">
        <v>651</v>
      </c>
      <c r="D3801" t="s">
        <v>1357</v>
      </c>
      <c r="E3801" t="s">
        <v>187</v>
      </c>
      <c r="F3801">
        <v>2020</v>
      </c>
      <c r="G3801">
        <v>115.242958</v>
      </c>
    </row>
    <row r="3802" spans="1:7">
      <c r="A3802" t="s">
        <v>1297</v>
      </c>
      <c r="B3802" t="s">
        <v>1298</v>
      </c>
      <c r="C3802" t="s">
        <v>681</v>
      </c>
      <c r="D3802" t="s">
        <v>1357</v>
      </c>
      <c r="E3802" t="s">
        <v>187</v>
      </c>
      <c r="F3802">
        <v>2005</v>
      </c>
      <c r="G3802">
        <v>8.8586999999999999E-2</v>
      </c>
    </row>
    <row r="3803" spans="1:7">
      <c r="A3803" t="s">
        <v>1297</v>
      </c>
      <c r="B3803" t="s">
        <v>1298</v>
      </c>
      <c r="C3803" t="s">
        <v>681</v>
      </c>
      <c r="D3803" t="s">
        <v>1357</v>
      </c>
      <c r="E3803" t="s">
        <v>187</v>
      </c>
      <c r="F3803">
        <v>2010</v>
      </c>
      <c r="G3803">
        <v>4.5447379999999997</v>
      </c>
    </row>
    <row r="3804" spans="1:7">
      <c r="A3804" t="s">
        <v>1297</v>
      </c>
      <c r="B3804" t="s">
        <v>1298</v>
      </c>
      <c r="C3804" t="s">
        <v>681</v>
      </c>
      <c r="D3804" t="s">
        <v>1357</v>
      </c>
      <c r="E3804" t="s">
        <v>187</v>
      </c>
      <c r="F3804">
        <v>2012</v>
      </c>
      <c r="G3804">
        <v>3.1840380000000001</v>
      </c>
    </row>
    <row r="3805" spans="1:7">
      <c r="A3805" t="s">
        <v>1297</v>
      </c>
      <c r="B3805" t="s">
        <v>1298</v>
      </c>
      <c r="C3805" t="s">
        <v>681</v>
      </c>
      <c r="D3805" t="s">
        <v>1357</v>
      </c>
      <c r="E3805" t="s">
        <v>187</v>
      </c>
      <c r="F3805">
        <v>2016</v>
      </c>
      <c r="G3805">
        <v>2.0382030000000002</v>
      </c>
    </row>
    <row r="3806" spans="1:7">
      <c r="A3806" t="s">
        <v>1297</v>
      </c>
      <c r="B3806" t="s">
        <v>1298</v>
      </c>
      <c r="C3806" t="s">
        <v>681</v>
      </c>
      <c r="D3806" t="s">
        <v>1357</v>
      </c>
      <c r="E3806" t="s">
        <v>187</v>
      </c>
      <c r="F3806">
        <v>2020</v>
      </c>
      <c r="G3806">
        <v>2.9961009999999999</v>
      </c>
    </row>
    <row r="3807" spans="1:7">
      <c r="A3807" t="s">
        <v>1297</v>
      </c>
      <c r="B3807" t="s">
        <v>1298</v>
      </c>
      <c r="C3807" t="s">
        <v>1300</v>
      </c>
      <c r="D3807" t="s">
        <v>1357</v>
      </c>
      <c r="E3807" t="s">
        <v>187</v>
      </c>
      <c r="F3807">
        <v>2010</v>
      </c>
      <c r="G3807">
        <v>4.6620900000000001</v>
      </c>
    </row>
    <row r="3808" spans="1:7">
      <c r="A3808" t="s">
        <v>1297</v>
      </c>
      <c r="B3808" t="s">
        <v>1298</v>
      </c>
      <c r="C3808" t="s">
        <v>1300</v>
      </c>
      <c r="D3808" t="s">
        <v>1357</v>
      </c>
      <c r="E3808" t="s">
        <v>187</v>
      </c>
      <c r="F3808">
        <v>2012</v>
      </c>
      <c r="G3808">
        <v>4.3902919999999996</v>
      </c>
    </row>
    <row r="3809" spans="1:7">
      <c r="A3809" t="s">
        <v>1297</v>
      </c>
      <c r="B3809" t="s">
        <v>1298</v>
      </c>
      <c r="C3809" t="s">
        <v>1300</v>
      </c>
      <c r="D3809" t="s">
        <v>1357</v>
      </c>
      <c r="E3809" t="s">
        <v>187</v>
      </c>
      <c r="F3809">
        <v>2016</v>
      </c>
      <c r="G3809">
        <v>2.369745</v>
      </c>
    </row>
    <row r="3810" spans="1:7">
      <c r="A3810" t="s">
        <v>1297</v>
      </c>
      <c r="B3810" t="s">
        <v>1298</v>
      </c>
      <c r="C3810" t="s">
        <v>1300</v>
      </c>
      <c r="D3810" t="s">
        <v>1357</v>
      </c>
      <c r="E3810" t="s">
        <v>187</v>
      </c>
      <c r="F3810">
        <v>2020</v>
      </c>
      <c r="G3810">
        <v>3.8349389999999999</v>
      </c>
    </row>
    <row r="3811" spans="1:7">
      <c r="A3811" t="s">
        <v>1297</v>
      </c>
      <c r="B3811" t="s">
        <v>1298</v>
      </c>
      <c r="C3811" t="s">
        <v>652</v>
      </c>
      <c r="D3811" t="s">
        <v>1357</v>
      </c>
      <c r="E3811" t="s">
        <v>187</v>
      </c>
      <c r="F3811">
        <v>2005</v>
      </c>
      <c r="G3811">
        <v>251.68187499999999</v>
      </c>
    </row>
    <row r="3812" spans="1:7">
      <c r="A3812" t="s">
        <v>1297</v>
      </c>
      <c r="B3812" t="s">
        <v>1298</v>
      </c>
      <c r="C3812" t="s">
        <v>652</v>
      </c>
      <c r="D3812" t="s">
        <v>1357</v>
      </c>
      <c r="E3812" t="s">
        <v>187</v>
      </c>
      <c r="F3812">
        <v>2010</v>
      </c>
      <c r="G3812">
        <v>183.65073799999999</v>
      </c>
    </row>
    <row r="3813" spans="1:7">
      <c r="A3813" t="s">
        <v>1297</v>
      </c>
      <c r="B3813" t="s">
        <v>1298</v>
      </c>
      <c r="C3813" t="s">
        <v>652</v>
      </c>
      <c r="D3813" t="s">
        <v>1357</v>
      </c>
      <c r="E3813" t="s">
        <v>187</v>
      </c>
      <c r="F3813">
        <v>2012</v>
      </c>
      <c r="G3813">
        <v>162.169443</v>
      </c>
    </row>
    <row r="3814" spans="1:7">
      <c r="A3814" t="s">
        <v>1297</v>
      </c>
      <c r="B3814" t="s">
        <v>1298</v>
      </c>
      <c r="C3814" t="s">
        <v>652</v>
      </c>
      <c r="D3814" t="s">
        <v>1357</v>
      </c>
      <c r="E3814" t="s">
        <v>187</v>
      </c>
      <c r="F3814">
        <v>2016</v>
      </c>
      <c r="G3814">
        <v>127.524671</v>
      </c>
    </row>
    <row r="3815" spans="1:7">
      <c r="A3815" t="s">
        <v>1297</v>
      </c>
      <c r="B3815" t="s">
        <v>1298</v>
      </c>
      <c r="C3815" t="s">
        <v>652</v>
      </c>
      <c r="D3815" t="s">
        <v>1357</v>
      </c>
      <c r="E3815" t="s">
        <v>187</v>
      </c>
      <c r="F3815">
        <v>2020</v>
      </c>
      <c r="G3815">
        <v>135.220697</v>
      </c>
    </row>
    <row r="3816" spans="1:7">
      <c r="A3816" t="s">
        <v>1297</v>
      </c>
      <c r="B3816" t="s">
        <v>1298</v>
      </c>
      <c r="C3816" t="s">
        <v>289</v>
      </c>
      <c r="D3816" t="s">
        <v>1357</v>
      </c>
      <c r="E3816" t="s">
        <v>187</v>
      </c>
      <c r="F3816">
        <v>2005</v>
      </c>
      <c r="G3816">
        <v>26.139230000000001</v>
      </c>
    </row>
    <row r="3817" spans="1:7">
      <c r="A3817" t="s">
        <v>1297</v>
      </c>
      <c r="B3817" t="s">
        <v>1298</v>
      </c>
      <c r="C3817" t="s">
        <v>289</v>
      </c>
      <c r="D3817" t="s">
        <v>1357</v>
      </c>
      <c r="E3817" t="s">
        <v>187</v>
      </c>
      <c r="F3817">
        <v>2010</v>
      </c>
      <c r="G3817">
        <v>29.300139000000001</v>
      </c>
    </row>
    <row r="3818" spans="1:7">
      <c r="A3818" t="s">
        <v>1297</v>
      </c>
      <c r="B3818" t="s">
        <v>1298</v>
      </c>
      <c r="C3818" t="s">
        <v>289</v>
      </c>
      <c r="D3818" t="s">
        <v>1357</v>
      </c>
      <c r="E3818" t="s">
        <v>187</v>
      </c>
      <c r="F3818">
        <v>2012</v>
      </c>
      <c r="G3818">
        <v>23.224430000000002</v>
      </c>
    </row>
    <row r="3819" spans="1:7">
      <c r="A3819" t="s">
        <v>1297</v>
      </c>
      <c r="B3819" t="s">
        <v>1298</v>
      </c>
      <c r="C3819" t="s">
        <v>682</v>
      </c>
      <c r="D3819" t="s">
        <v>1357</v>
      </c>
      <c r="E3819" t="s">
        <v>187</v>
      </c>
      <c r="F3819">
        <v>2016</v>
      </c>
      <c r="G3819">
        <v>39.267671</v>
      </c>
    </row>
    <row r="3820" spans="1:7">
      <c r="A3820" t="s">
        <v>1297</v>
      </c>
      <c r="B3820" t="s">
        <v>1298</v>
      </c>
      <c r="C3820" t="s">
        <v>682</v>
      </c>
      <c r="D3820" t="s">
        <v>1357</v>
      </c>
      <c r="E3820" t="s">
        <v>187</v>
      </c>
      <c r="F3820">
        <v>2020</v>
      </c>
      <c r="G3820">
        <v>47.059457000000002</v>
      </c>
    </row>
    <row r="3821" spans="1:7">
      <c r="A3821" t="s">
        <v>1297</v>
      </c>
      <c r="B3821" t="s">
        <v>1298</v>
      </c>
      <c r="C3821" t="s">
        <v>680</v>
      </c>
      <c r="D3821" t="s">
        <v>1357</v>
      </c>
      <c r="E3821" t="s">
        <v>187</v>
      </c>
      <c r="F3821">
        <v>2005</v>
      </c>
      <c r="G3821">
        <v>4.1619599999999997</v>
      </c>
    </row>
    <row r="3822" spans="1:7">
      <c r="A3822" t="s">
        <v>1297</v>
      </c>
      <c r="B3822" t="s">
        <v>1298</v>
      </c>
      <c r="C3822" t="s">
        <v>680</v>
      </c>
      <c r="D3822" t="s">
        <v>1357</v>
      </c>
      <c r="E3822" t="s">
        <v>187</v>
      </c>
      <c r="F3822">
        <v>2010</v>
      </c>
      <c r="G3822">
        <v>3.64005</v>
      </c>
    </row>
    <row r="3823" spans="1:7">
      <c r="A3823" t="s">
        <v>1297</v>
      </c>
      <c r="B3823" t="s">
        <v>1298</v>
      </c>
      <c r="C3823" t="s">
        <v>680</v>
      </c>
      <c r="D3823" t="s">
        <v>1357</v>
      </c>
      <c r="E3823" t="s">
        <v>187</v>
      </c>
      <c r="F3823">
        <v>2012</v>
      </c>
      <c r="G3823">
        <v>4.0640099999999997</v>
      </c>
    </row>
    <row r="3824" spans="1:7">
      <c r="A3824" t="s">
        <v>1297</v>
      </c>
      <c r="B3824" t="s">
        <v>1298</v>
      </c>
      <c r="C3824" t="s">
        <v>680</v>
      </c>
      <c r="D3824" t="s">
        <v>1357</v>
      </c>
      <c r="E3824" t="s">
        <v>187</v>
      </c>
      <c r="F3824">
        <v>2016</v>
      </c>
      <c r="G3824">
        <v>4.1727759999999998</v>
      </c>
    </row>
    <row r="3825" spans="1:7">
      <c r="A3825" t="s">
        <v>1297</v>
      </c>
      <c r="B3825" t="s">
        <v>1298</v>
      </c>
      <c r="C3825" t="s">
        <v>680</v>
      </c>
      <c r="D3825" t="s">
        <v>1357</v>
      </c>
      <c r="E3825" t="s">
        <v>187</v>
      </c>
      <c r="F3825">
        <v>2020</v>
      </c>
      <c r="G3825">
        <v>4.4466599999999996</v>
      </c>
    </row>
    <row r="3826" spans="1:7">
      <c r="A3826" t="s">
        <v>1297</v>
      </c>
      <c r="B3826" t="s">
        <v>1298</v>
      </c>
      <c r="C3826" t="s">
        <v>654</v>
      </c>
      <c r="D3826" t="s">
        <v>1357</v>
      </c>
      <c r="E3826" t="s">
        <v>187</v>
      </c>
      <c r="F3826">
        <v>2005</v>
      </c>
      <c r="G3826">
        <v>1.8083020000000001</v>
      </c>
    </row>
    <row r="3827" spans="1:7">
      <c r="A3827" t="s">
        <v>1297</v>
      </c>
      <c r="B3827" t="s">
        <v>1298</v>
      </c>
      <c r="C3827" t="s">
        <v>654</v>
      </c>
      <c r="D3827" t="s">
        <v>1357</v>
      </c>
      <c r="E3827" t="s">
        <v>187</v>
      </c>
      <c r="F3827">
        <v>2010</v>
      </c>
      <c r="G3827">
        <v>0.461119</v>
      </c>
    </row>
    <row r="3828" spans="1:7">
      <c r="A3828" t="s">
        <v>1297</v>
      </c>
      <c r="B3828" t="s">
        <v>1298</v>
      </c>
      <c r="C3828" t="s">
        <v>654</v>
      </c>
      <c r="D3828" t="s">
        <v>1357</v>
      </c>
      <c r="E3828" t="s">
        <v>187</v>
      </c>
      <c r="F3828">
        <v>2012</v>
      </c>
      <c r="G3828">
        <v>5.1789999999999996E-3</v>
      </c>
    </row>
    <row r="3829" spans="1:7">
      <c r="A3829" t="s">
        <v>1297</v>
      </c>
      <c r="B3829" t="s">
        <v>1298</v>
      </c>
      <c r="C3829" t="s">
        <v>654</v>
      </c>
      <c r="D3829" t="s">
        <v>1357</v>
      </c>
      <c r="E3829" t="s">
        <v>187</v>
      </c>
      <c r="F3829">
        <v>2020</v>
      </c>
      <c r="G3829">
        <v>0.84412900000000002</v>
      </c>
    </row>
    <row r="3830" spans="1:7">
      <c r="A3830" t="s">
        <v>1297</v>
      </c>
      <c r="B3830" t="s">
        <v>1298</v>
      </c>
      <c r="C3830" t="s">
        <v>684</v>
      </c>
      <c r="D3830" t="s">
        <v>1357</v>
      </c>
      <c r="E3830" t="s">
        <v>187</v>
      </c>
      <c r="F3830">
        <v>2005</v>
      </c>
      <c r="G3830">
        <v>0.42235499999999998</v>
      </c>
    </row>
    <row r="3831" spans="1:7">
      <c r="A3831" t="s">
        <v>1297</v>
      </c>
      <c r="B3831" t="s">
        <v>1298</v>
      </c>
      <c r="C3831" t="s">
        <v>684</v>
      </c>
      <c r="D3831" t="s">
        <v>1357</v>
      </c>
      <c r="E3831" t="s">
        <v>187</v>
      </c>
      <c r="F3831">
        <v>2010</v>
      </c>
      <c r="G3831">
        <v>0.13815</v>
      </c>
    </row>
    <row r="3832" spans="1:7">
      <c r="A3832" t="s">
        <v>1297</v>
      </c>
      <c r="B3832" t="s">
        <v>1298</v>
      </c>
      <c r="C3832" t="s">
        <v>684</v>
      </c>
      <c r="D3832" t="s">
        <v>1357</v>
      </c>
      <c r="E3832" t="s">
        <v>187</v>
      </c>
      <c r="F3832">
        <v>2012</v>
      </c>
      <c r="G3832">
        <v>9.2099999999999994E-3</v>
      </c>
    </row>
    <row r="3833" spans="1:7">
      <c r="A3833" t="s">
        <v>1297</v>
      </c>
      <c r="B3833" t="s">
        <v>1298</v>
      </c>
      <c r="C3833" t="s">
        <v>684</v>
      </c>
      <c r="D3833" t="s">
        <v>1357</v>
      </c>
      <c r="E3833" t="s">
        <v>187</v>
      </c>
      <c r="F3833">
        <v>2016</v>
      </c>
      <c r="G3833">
        <v>4.7419999999999997E-2</v>
      </c>
    </row>
    <row r="3834" spans="1:7">
      <c r="A3834" t="s">
        <v>1297</v>
      </c>
      <c r="B3834" t="s">
        <v>1298</v>
      </c>
      <c r="C3834" t="s">
        <v>684</v>
      </c>
      <c r="D3834" t="s">
        <v>1357</v>
      </c>
      <c r="E3834" t="s">
        <v>187</v>
      </c>
      <c r="F3834">
        <v>2020</v>
      </c>
      <c r="G3834">
        <v>5.4723000000000001E-2</v>
      </c>
    </row>
    <row r="3835" spans="1:7">
      <c r="A3835" t="s">
        <v>1297</v>
      </c>
      <c r="B3835" t="s">
        <v>1298</v>
      </c>
      <c r="C3835" t="s">
        <v>673</v>
      </c>
      <c r="D3835" t="s">
        <v>1357</v>
      </c>
      <c r="E3835" t="s">
        <v>187</v>
      </c>
      <c r="F3835">
        <v>2005</v>
      </c>
      <c r="G3835">
        <v>122.50179799999999</v>
      </c>
    </row>
    <row r="3836" spans="1:7">
      <c r="A3836" t="s">
        <v>1297</v>
      </c>
      <c r="B3836" t="s">
        <v>1298</v>
      </c>
      <c r="C3836" t="s">
        <v>673</v>
      </c>
      <c r="D3836" t="s">
        <v>1357</v>
      </c>
      <c r="E3836" t="s">
        <v>187</v>
      </c>
      <c r="F3836">
        <v>2010</v>
      </c>
      <c r="G3836">
        <v>51.124909000000002</v>
      </c>
    </row>
    <row r="3837" spans="1:7">
      <c r="A3837" t="s">
        <v>1297</v>
      </c>
      <c r="B3837" t="s">
        <v>1298</v>
      </c>
      <c r="C3837" t="s">
        <v>673</v>
      </c>
      <c r="D3837" t="s">
        <v>1357</v>
      </c>
      <c r="E3837" t="s">
        <v>187</v>
      </c>
      <c r="F3837">
        <v>2012</v>
      </c>
      <c r="G3837">
        <v>51.714823000000003</v>
      </c>
    </row>
    <row r="3838" spans="1:7">
      <c r="A3838" t="s">
        <v>1297</v>
      </c>
      <c r="B3838" t="s">
        <v>1298</v>
      </c>
      <c r="C3838" t="s">
        <v>673</v>
      </c>
      <c r="D3838" t="s">
        <v>1357</v>
      </c>
      <c r="E3838" t="s">
        <v>187</v>
      </c>
      <c r="F3838">
        <v>2016</v>
      </c>
      <c r="G3838">
        <v>43.063788000000002</v>
      </c>
    </row>
    <row r="3839" spans="1:7">
      <c r="A3839" t="s">
        <v>1297</v>
      </c>
      <c r="B3839" t="s">
        <v>1298</v>
      </c>
      <c r="C3839" t="s">
        <v>673</v>
      </c>
      <c r="D3839" t="s">
        <v>1357</v>
      </c>
      <c r="E3839" t="s">
        <v>187</v>
      </c>
      <c r="F3839">
        <v>2020</v>
      </c>
      <c r="G3839">
        <v>45.153996999999997</v>
      </c>
    </row>
    <row r="3840" spans="1:7">
      <c r="A3840" t="s">
        <v>1297</v>
      </c>
      <c r="B3840" t="s">
        <v>1298</v>
      </c>
      <c r="C3840" t="s">
        <v>289</v>
      </c>
      <c r="D3840" t="s">
        <v>1357</v>
      </c>
      <c r="E3840" t="s">
        <v>187</v>
      </c>
      <c r="F3840">
        <v>2016</v>
      </c>
      <c r="G3840">
        <v>27.810853000000002</v>
      </c>
    </row>
    <row r="3841" spans="1:7">
      <c r="A3841" t="s">
        <v>1297</v>
      </c>
      <c r="B3841" t="s">
        <v>1298</v>
      </c>
      <c r="C3841" t="s">
        <v>289</v>
      </c>
      <c r="D3841" t="s">
        <v>1357</v>
      </c>
      <c r="E3841" t="s">
        <v>187</v>
      </c>
      <c r="F3841">
        <v>2020</v>
      </c>
      <c r="G3841">
        <v>18.79937</v>
      </c>
    </row>
    <row r="3842" spans="1:7">
      <c r="A3842" t="s">
        <v>1297</v>
      </c>
      <c r="B3842" t="s">
        <v>1298</v>
      </c>
      <c r="C3842" t="s">
        <v>655</v>
      </c>
      <c r="D3842" t="s">
        <v>1357</v>
      </c>
      <c r="E3842" t="s">
        <v>187</v>
      </c>
      <c r="F3842">
        <v>2005</v>
      </c>
      <c r="G3842">
        <v>56.041100999999998</v>
      </c>
    </row>
    <row r="3843" spans="1:7">
      <c r="A3843" t="s">
        <v>1297</v>
      </c>
      <c r="B3843" t="s">
        <v>1298</v>
      </c>
      <c r="C3843" t="s">
        <v>655</v>
      </c>
      <c r="D3843" t="s">
        <v>1357</v>
      </c>
      <c r="E3843" t="s">
        <v>187</v>
      </c>
      <c r="F3843">
        <v>2010</v>
      </c>
      <c r="G3843">
        <v>98.788515000000004</v>
      </c>
    </row>
    <row r="3844" spans="1:7">
      <c r="A3844" t="s">
        <v>1297</v>
      </c>
      <c r="B3844" t="s">
        <v>1298</v>
      </c>
      <c r="C3844" t="s">
        <v>655</v>
      </c>
      <c r="D3844" t="s">
        <v>1357</v>
      </c>
      <c r="E3844" t="s">
        <v>187</v>
      </c>
      <c r="F3844">
        <v>2012</v>
      </c>
      <c r="G3844">
        <v>89.648660000000007</v>
      </c>
    </row>
    <row r="3845" spans="1:7">
      <c r="A3845" t="s">
        <v>1297</v>
      </c>
      <c r="B3845" t="s">
        <v>1298</v>
      </c>
      <c r="C3845" t="s">
        <v>655</v>
      </c>
      <c r="D3845" t="s">
        <v>1357</v>
      </c>
      <c r="E3845" t="s">
        <v>187</v>
      </c>
      <c r="F3845">
        <v>2016</v>
      </c>
      <c r="G3845">
        <v>124.55339600000001</v>
      </c>
    </row>
    <row r="3846" spans="1:7">
      <c r="A3846" t="s">
        <v>1297</v>
      </c>
      <c r="B3846" t="s">
        <v>1298</v>
      </c>
      <c r="C3846" t="s">
        <v>655</v>
      </c>
      <c r="D3846" t="s">
        <v>1357</v>
      </c>
      <c r="E3846" t="s">
        <v>187</v>
      </c>
      <c r="F3846">
        <v>2020</v>
      </c>
      <c r="G3846">
        <v>123.4105</v>
      </c>
    </row>
    <row r="3847" spans="1:7">
      <c r="A3847" t="s">
        <v>1297</v>
      </c>
      <c r="B3847" t="s">
        <v>1298</v>
      </c>
      <c r="C3847" t="s">
        <v>672</v>
      </c>
      <c r="D3847" t="s">
        <v>1357</v>
      </c>
      <c r="E3847" t="s">
        <v>187</v>
      </c>
      <c r="F3847">
        <v>2005</v>
      </c>
      <c r="G3847">
        <v>135.03217799999999</v>
      </c>
    </row>
    <row r="3848" spans="1:7">
      <c r="A3848" t="s">
        <v>1297</v>
      </c>
      <c r="B3848" t="s">
        <v>1298</v>
      </c>
      <c r="C3848" t="s">
        <v>672</v>
      </c>
      <c r="D3848" t="s">
        <v>1357</v>
      </c>
      <c r="E3848" t="s">
        <v>187</v>
      </c>
      <c r="F3848">
        <v>2010</v>
      </c>
      <c r="G3848">
        <v>68.213937999999999</v>
      </c>
    </row>
    <row r="3849" spans="1:7">
      <c r="A3849" t="s">
        <v>1297</v>
      </c>
      <c r="B3849" t="s">
        <v>1298</v>
      </c>
      <c r="C3849" t="s">
        <v>672</v>
      </c>
      <c r="D3849" t="s">
        <v>1357</v>
      </c>
      <c r="E3849" t="s">
        <v>187</v>
      </c>
      <c r="F3849">
        <v>2012</v>
      </c>
      <c r="G3849">
        <v>126.939195</v>
      </c>
    </row>
    <row r="3850" spans="1:7">
      <c r="A3850" t="s">
        <v>1297</v>
      </c>
      <c r="B3850" t="s">
        <v>1298</v>
      </c>
      <c r="C3850" t="s">
        <v>672</v>
      </c>
      <c r="D3850" t="s">
        <v>1357</v>
      </c>
      <c r="E3850" t="s">
        <v>187</v>
      </c>
      <c r="F3850">
        <v>2016</v>
      </c>
      <c r="G3850">
        <v>121.91782000000001</v>
      </c>
    </row>
    <row r="3851" spans="1:7">
      <c r="A3851" t="s">
        <v>1297</v>
      </c>
      <c r="B3851" t="s">
        <v>1298</v>
      </c>
      <c r="C3851" t="s">
        <v>672</v>
      </c>
      <c r="D3851" t="s">
        <v>1357</v>
      </c>
      <c r="E3851" t="s">
        <v>187</v>
      </c>
      <c r="F3851">
        <v>2020</v>
      </c>
      <c r="G3851">
        <v>63.822533999999997</v>
      </c>
    </row>
    <row r="3852" spans="1:7">
      <c r="A3852" t="s">
        <v>1297</v>
      </c>
      <c r="B3852" t="s">
        <v>1298</v>
      </c>
      <c r="C3852" t="s">
        <v>671</v>
      </c>
      <c r="D3852" t="s">
        <v>1357</v>
      </c>
      <c r="E3852" t="s">
        <v>187</v>
      </c>
      <c r="F3852">
        <v>2005</v>
      </c>
      <c r="G3852">
        <v>90.140670999999998</v>
      </c>
    </row>
    <row r="3853" spans="1:7">
      <c r="A3853" t="s">
        <v>1297</v>
      </c>
      <c r="B3853" t="s">
        <v>1298</v>
      </c>
      <c r="C3853" t="s">
        <v>671</v>
      </c>
      <c r="D3853" t="s">
        <v>1357</v>
      </c>
      <c r="E3853" t="s">
        <v>187</v>
      </c>
      <c r="F3853">
        <v>2010</v>
      </c>
      <c r="G3853">
        <v>346.15625</v>
      </c>
    </row>
    <row r="3854" spans="1:7">
      <c r="A3854" t="s">
        <v>1297</v>
      </c>
      <c r="B3854" t="s">
        <v>1298</v>
      </c>
      <c r="C3854" t="s">
        <v>671</v>
      </c>
      <c r="D3854" t="s">
        <v>1357</v>
      </c>
      <c r="E3854" t="s">
        <v>187</v>
      </c>
      <c r="F3854">
        <v>2012</v>
      </c>
      <c r="G3854">
        <v>256.28250000000003</v>
      </c>
    </row>
    <row r="3855" spans="1:7">
      <c r="A3855" t="s">
        <v>1297</v>
      </c>
      <c r="B3855" t="s">
        <v>1298</v>
      </c>
      <c r="C3855" t="s">
        <v>658</v>
      </c>
      <c r="D3855" t="s">
        <v>1357</v>
      </c>
      <c r="E3855" t="s">
        <v>187</v>
      </c>
      <c r="F3855">
        <v>2005</v>
      </c>
      <c r="G3855">
        <v>1.4664239999999999</v>
      </c>
    </row>
    <row r="3856" spans="1:7">
      <c r="A3856" t="s">
        <v>1297</v>
      </c>
      <c r="B3856" t="s">
        <v>1298</v>
      </c>
      <c r="C3856" t="s">
        <v>1303</v>
      </c>
      <c r="D3856" t="s">
        <v>1357</v>
      </c>
      <c r="E3856" t="s">
        <v>187</v>
      </c>
      <c r="F3856">
        <v>2016</v>
      </c>
      <c r="G3856">
        <v>6.9264200000000002</v>
      </c>
    </row>
    <row r="3857" spans="1:7">
      <c r="A3857" t="s">
        <v>1297</v>
      </c>
      <c r="B3857" t="s">
        <v>1298</v>
      </c>
      <c r="C3857" t="s">
        <v>1303</v>
      </c>
      <c r="D3857" t="s">
        <v>1357</v>
      </c>
      <c r="E3857" t="s">
        <v>187</v>
      </c>
      <c r="F3857">
        <v>2020</v>
      </c>
      <c r="G3857">
        <v>10.627515000000001</v>
      </c>
    </row>
    <row r="3858" spans="1:7">
      <c r="A3858" t="s">
        <v>1297</v>
      </c>
      <c r="B3858" t="s">
        <v>1298</v>
      </c>
      <c r="C3858" t="s">
        <v>686</v>
      </c>
      <c r="D3858" t="s">
        <v>1357</v>
      </c>
      <c r="E3858" t="s">
        <v>187</v>
      </c>
      <c r="F3858">
        <v>2005</v>
      </c>
      <c r="G3858">
        <v>29.432659999999998</v>
      </c>
    </row>
    <row r="3859" spans="1:7">
      <c r="A3859" t="s">
        <v>1297</v>
      </c>
      <c r="B3859" t="s">
        <v>1298</v>
      </c>
      <c r="C3859" t="s">
        <v>679</v>
      </c>
      <c r="D3859" t="s">
        <v>1357</v>
      </c>
      <c r="E3859" t="s">
        <v>187</v>
      </c>
      <c r="F3859">
        <v>2005</v>
      </c>
      <c r="G3859">
        <v>29.6297</v>
      </c>
    </row>
    <row r="3860" spans="1:7">
      <c r="A3860" t="s">
        <v>1297</v>
      </c>
      <c r="B3860" t="s">
        <v>1298</v>
      </c>
      <c r="C3860" t="s">
        <v>679</v>
      </c>
      <c r="D3860" t="s">
        <v>1357</v>
      </c>
      <c r="E3860" t="s">
        <v>187</v>
      </c>
      <c r="F3860">
        <v>2010</v>
      </c>
      <c r="G3860">
        <v>31.589400000000001</v>
      </c>
    </row>
    <row r="3861" spans="1:7">
      <c r="A3861" t="s">
        <v>1297</v>
      </c>
      <c r="B3861" t="s">
        <v>1298</v>
      </c>
      <c r="C3861" t="s">
        <v>679</v>
      </c>
      <c r="D3861" t="s">
        <v>1357</v>
      </c>
      <c r="E3861" t="s">
        <v>187</v>
      </c>
      <c r="F3861">
        <v>2012</v>
      </c>
      <c r="G3861">
        <v>33.6828</v>
      </c>
    </row>
    <row r="3862" spans="1:7">
      <c r="A3862" t="s">
        <v>1297</v>
      </c>
      <c r="B3862" t="s">
        <v>1298</v>
      </c>
      <c r="C3862" t="s">
        <v>679</v>
      </c>
      <c r="D3862" t="s">
        <v>1357</v>
      </c>
      <c r="E3862" t="s">
        <v>187</v>
      </c>
      <c r="F3862">
        <v>2016</v>
      </c>
      <c r="G3862">
        <v>30.687000000000001</v>
      </c>
    </row>
    <row r="3863" spans="1:7">
      <c r="A3863" t="s">
        <v>1297</v>
      </c>
      <c r="B3863" t="s">
        <v>1298</v>
      </c>
      <c r="C3863" t="s">
        <v>679</v>
      </c>
      <c r="D3863" t="s">
        <v>1357</v>
      </c>
      <c r="E3863" t="s">
        <v>187</v>
      </c>
      <c r="F3863">
        <v>2020</v>
      </c>
      <c r="G3863">
        <v>32.557225000000003</v>
      </c>
    </row>
    <row r="3864" spans="1:7">
      <c r="A3864" t="s">
        <v>1297</v>
      </c>
      <c r="B3864" t="s">
        <v>1298</v>
      </c>
      <c r="C3864" t="s">
        <v>668</v>
      </c>
      <c r="D3864" t="s">
        <v>1357</v>
      </c>
      <c r="E3864" t="s">
        <v>187</v>
      </c>
      <c r="F3864">
        <v>2005</v>
      </c>
      <c r="G3864">
        <v>3.2558400000000001</v>
      </c>
    </row>
    <row r="3865" spans="1:7">
      <c r="A3865" t="s">
        <v>1297</v>
      </c>
      <c r="B3865" t="s">
        <v>1298</v>
      </c>
      <c r="C3865" t="s">
        <v>668</v>
      </c>
      <c r="D3865" t="s">
        <v>1357</v>
      </c>
      <c r="E3865" t="s">
        <v>187</v>
      </c>
      <c r="F3865">
        <v>2010</v>
      </c>
      <c r="G3865">
        <v>4.7999700000000001</v>
      </c>
    </row>
    <row r="3866" spans="1:7">
      <c r="A3866" t="s">
        <v>1297</v>
      </c>
      <c r="B3866" t="s">
        <v>1298</v>
      </c>
      <c r="C3866" t="s">
        <v>668</v>
      </c>
      <c r="D3866" t="s">
        <v>1357</v>
      </c>
      <c r="E3866" t="s">
        <v>187</v>
      </c>
      <c r="F3866">
        <v>2012</v>
      </c>
      <c r="G3866">
        <v>3.942485</v>
      </c>
    </row>
    <row r="3867" spans="1:7">
      <c r="A3867" t="s">
        <v>1297</v>
      </c>
      <c r="B3867" t="s">
        <v>1298</v>
      </c>
      <c r="C3867" t="s">
        <v>668</v>
      </c>
      <c r="D3867" t="s">
        <v>1357</v>
      </c>
      <c r="E3867" t="s">
        <v>187</v>
      </c>
      <c r="F3867">
        <v>2016</v>
      </c>
      <c r="G3867">
        <v>1.5929530000000001</v>
      </c>
    </row>
    <row r="3868" spans="1:7">
      <c r="A3868" t="s">
        <v>1297</v>
      </c>
      <c r="B3868" t="s">
        <v>1298</v>
      </c>
      <c r="C3868" t="s">
        <v>668</v>
      </c>
      <c r="D3868" t="s">
        <v>1357</v>
      </c>
      <c r="E3868" t="s">
        <v>187</v>
      </c>
      <c r="F3868">
        <v>2020</v>
      </c>
      <c r="G3868">
        <v>1.936896</v>
      </c>
    </row>
    <row r="3869" spans="1:7">
      <c r="A3869" t="s">
        <v>1297</v>
      </c>
      <c r="B3869" t="s">
        <v>1298</v>
      </c>
      <c r="C3869" t="s">
        <v>656</v>
      </c>
      <c r="D3869" t="s">
        <v>1357</v>
      </c>
      <c r="E3869" t="s">
        <v>187</v>
      </c>
      <c r="F3869">
        <v>2005</v>
      </c>
      <c r="G3869">
        <v>1112.777286</v>
      </c>
    </row>
    <row r="3870" spans="1:7">
      <c r="A3870" t="s">
        <v>1297</v>
      </c>
      <c r="B3870" t="s">
        <v>1298</v>
      </c>
      <c r="C3870" t="s">
        <v>656</v>
      </c>
      <c r="D3870" t="s">
        <v>1357</v>
      </c>
      <c r="E3870" t="s">
        <v>187</v>
      </c>
      <c r="F3870">
        <v>2010</v>
      </c>
      <c r="G3870">
        <v>1364.3478</v>
      </c>
    </row>
    <row r="3871" spans="1:7">
      <c r="A3871" t="s">
        <v>1297</v>
      </c>
      <c r="B3871" t="s">
        <v>1298</v>
      </c>
      <c r="C3871" t="s">
        <v>656</v>
      </c>
      <c r="D3871" t="s">
        <v>1357</v>
      </c>
      <c r="E3871" t="s">
        <v>187</v>
      </c>
      <c r="F3871">
        <v>2012</v>
      </c>
      <c r="G3871">
        <v>1393.5619059999999</v>
      </c>
    </row>
    <row r="3872" spans="1:7">
      <c r="A3872" t="s">
        <v>1297</v>
      </c>
      <c r="B3872" t="s">
        <v>1298</v>
      </c>
      <c r="C3872" t="s">
        <v>656</v>
      </c>
      <c r="D3872" t="s">
        <v>1357</v>
      </c>
      <c r="E3872" t="s">
        <v>187</v>
      </c>
      <c r="F3872">
        <v>2016</v>
      </c>
      <c r="G3872">
        <v>1660.701198</v>
      </c>
    </row>
    <row r="3873" spans="1:7">
      <c r="A3873" t="s">
        <v>1297</v>
      </c>
      <c r="B3873" t="s">
        <v>1298</v>
      </c>
      <c r="C3873" t="s">
        <v>656</v>
      </c>
      <c r="D3873" t="s">
        <v>1357</v>
      </c>
      <c r="E3873" t="s">
        <v>187</v>
      </c>
      <c r="F3873">
        <v>2020</v>
      </c>
      <c r="G3873">
        <v>1179.7566240000001</v>
      </c>
    </row>
    <row r="3874" spans="1:7">
      <c r="A3874" t="s">
        <v>1297</v>
      </c>
      <c r="B3874" t="s">
        <v>1298</v>
      </c>
      <c r="C3874" t="s">
        <v>685</v>
      </c>
      <c r="D3874" t="s">
        <v>1357</v>
      </c>
      <c r="E3874" t="s">
        <v>187</v>
      </c>
      <c r="F3874">
        <v>2005</v>
      </c>
      <c r="G3874">
        <v>4.8641129999999997</v>
      </c>
    </row>
    <row r="3875" spans="1:7">
      <c r="A3875" t="s">
        <v>1297</v>
      </c>
      <c r="B3875" t="s">
        <v>1298</v>
      </c>
      <c r="C3875" t="s">
        <v>685</v>
      </c>
      <c r="D3875" t="s">
        <v>1357</v>
      </c>
      <c r="E3875" t="s">
        <v>187</v>
      </c>
      <c r="F3875">
        <v>2010</v>
      </c>
      <c r="G3875">
        <v>5.579815</v>
      </c>
    </row>
    <row r="3876" spans="1:7">
      <c r="A3876" t="s">
        <v>1297</v>
      </c>
      <c r="B3876" t="s">
        <v>1298</v>
      </c>
      <c r="C3876" t="s">
        <v>685</v>
      </c>
      <c r="D3876" t="s">
        <v>1357</v>
      </c>
      <c r="E3876" t="s">
        <v>187</v>
      </c>
      <c r="F3876">
        <v>2012</v>
      </c>
      <c r="G3876">
        <v>5.9199520000000003</v>
      </c>
    </row>
    <row r="3877" spans="1:7">
      <c r="A3877" t="s">
        <v>1297</v>
      </c>
      <c r="B3877" t="s">
        <v>1298</v>
      </c>
      <c r="C3877" t="s">
        <v>685</v>
      </c>
      <c r="D3877" t="s">
        <v>1357</v>
      </c>
      <c r="E3877" t="s">
        <v>187</v>
      </c>
      <c r="F3877">
        <v>2016</v>
      </c>
      <c r="G3877">
        <v>4.7381310000000001</v>
      </c>
    </row>
    <row r="3878" spans="1:7">
      <c r="A3878" t="s">
        <v>1297</v>
      </c>
      <c r="B3878" t="s">
        <v>1298</v>
      </c>
      <c r="C3878" t="s">
        <v>685</v>
      </c>
      <c r="D3878" t="s">
        <v>1357</v>
      </c>
      <c r="E3878" t="s">
        <v>187</v>
      </c>
      <c r="F3878">
        <v>2020</v>
      </c>
      <c r="G3878">
        <v>5.1256690000000003</v>
      </c>
    </row>
    <row r="3879" spans="1:7">
      <c r="A3879" t="s">
        <v>1297</v>
      </c>
      <c r="B3879" t="s">
        <v>1298</v>
      </c>
      <c r="C3879" t="s">
        <v>667</v>
      </c>
      <c r="D3879" t="s">
        <v>1357</v>
      </c>
      <c r="E3879" t="s">
        <v>187</v>
      </c>
      <c r="F3879">
        <v>2005</v>
      </c>
      <c r="G3879">
        <v>3.2488869999999999</v>
      </c>
    </row>
    <row r="3880" spans="1:7">
      <c r="A3880" t="s">
        <v>1297</v>
      </c>
      <c r="B3880" t="s">
        <v>1298</v>
      </c>
      <c r="C3880" t="s">
        <v>667</v>
      </c>
      <c r="D3880" t="s">
        <v>1357</v>
      </c>
      <c r="E3880" t="s">
        <v>187</v>
      </c>
      <c r="F3880">
        <v>2010</v>
      </c>
      <c r="G3880">
        <v>2.80667</v>
      </c>
    </row>
    <row r="3881" spans="1:7">
      <c r="A3881" t="s">
        <v>1297</v>
      </c>
      <c r="B3881" t="s">
        <v>1298</v>
      </c>
      <c r="C3881" t="s">
        <v>667</v>
      </c>
      <c r="D3881" t="s">
        <v>1357</v>
      </c>
      <c r="E3881" t="s">
        <v>187</v>
      </c>
      <c r="F3881">
        <v>2012</v>
      </c>
      <c r="G3881">
        <v>2.2495769999999999</v>
      </c>
    </row>
    <row r="3882" spans="1:7">
      <c r="A3882" t="s">
        <v>1297</v>
      </c>
      <c r="B3882" t="s">
        <v>1298</v>
      </c>
      <c r="C3882" t="s">
        <v>667</v>
      </c>
      <c r="D3882" t="s">
        <v>1357</v>
      </c>
      <c r="E3882" t="s">
        <v>187</v>
      </c>
      <c r="F3882">
        <v>2016</v>
      </c>
      <c r="G3882">
        <v>2.1932170000000002</v>
      </c>
    </row>
    <row r="3883" spans="1:7">
      <c r="A3883" t="s">
        <v>1297</v>
      </c>
      <c r="B3883" t="s">
        <v>1298</v>
      </c>
      <c r="C3883" t="s">
        <v>667</v>
      </c>
      <c r="D3883" t="s">
        <v>1357</v>
      </c>
      <c r="E3883" t="s">
        <v>187</v>
      </c>
      <c r="F3883">
        <v>2020</v>
      </c>
      <c r="G3883">
        <v>1.7842750000000001</v>
      </c>
    </row>
    <row r="3884" spans="1:7">
      <c r="A3884" t="s">
        <v>1297</v>
      </c>
      <c r="B3884" t="s">
        <v>1298</v>
      </c>
      <c r="C3884" t="s">
        <v>660</v>
      </c>
      <c r="D3884" t="s">
        <v>1357</v>
      </c>
      <c r="E3884" t="s">
        <v>187</v>
      </c>
      <c r="F3884">
        <v>2005</v>
      </c>
      <c r="G3884">
        <v>140.67307</v>
      </c>
    </row>
    <row r="3885" spans="1:7">
      <c r="A3885" t="s">
        <v>1297</v>
      </c>
      <c r="B3885" t="s">
        <v>1298</v>
      </c>
      <c r="C3885" t="s">
        <v>660</v>
      </c>
      <c r="D3885" t="s">
        <v>1357</v>
      </c>
      <c r="E3885" t="s">
        <v>187</v>
      </c>
      <c r="F3885">
        <v>2010</v>
      </c>
      <c r="G3885">
        <v>167.10047900000001</v>
      </c>
    </row>
    <row r="3886" spans="1:7">
      <c r="A3886" t="s">
        <v>1297</v>
      </c>
      <c r="B3886" t="s">
        <v>1298</v>
      </c>
      <c r="C3886" t="s">
        <v>660</v>
      </c>
      <c r="D3886" t="s">
        <v>1357</v>
      </c>
      <c r="E3886" t="s">
        <v>187</v>
      </c>
      <c r="F3886">
        <v>2012</v>
      </c>
      <c r="G3886">
        <v>111.00122500000001</v>
      </c>
    </row>
    <row r="3887" spans="1:7">
      <c r="A3887" t="s">
        <v>1297</v>
      </c>
      <c r="B3887" t="s">
        <v>1298</v>
      </c>
      <c r="C3887" t="s">
        <v>660</v>
      </c>
      <c r="D3887" t="s">
        <v>1357</v>
      </c>
      <c r="E3887" t="s">
        <v>187</v>
      </c>
      <c r="F3887">
        <v>2016</v>
      </c>
      <c r="G3887">
        <v>116.666168</v>
      </c>
    </row>
    <row r="3888" spans="1:7">
      <c r="A3888" t="s">
        <v>1297</v>
      </c>
      <c r="B3888" t="s">
        <v>1298</v>
      </c>
      <c r="C3888" t="s">
        <v>660</v>
      </c>
      <c r="D3888" t="s">
        <v>1357</v>
      </c>
      <c r="E3888" t="s">
        <v>187</v>
      </c>
      <c r="F3888">
        <v>2020</v>
      </c>
      <c r="G3888">
        <v>94.611367999999999</v>
      </c>
    </row>
    <row r="3889" spans="1:7">
      <c r="A3889" t="s">
        <v>1297</v>
      </c>
      <c r="B3889" t="s">
        <v>1298</v>
      </c>
      <c r="C3889" t="s">
        <v>674</v>
      </c>
      <c r="D3889" t="s">
        <v>1357</v>
      </c>
      <c r="E3889" t="s">
        <v>187</v>
      </c>
      <c r="F3889">
        <v>2005</v>
      </c>
      <c r="G3889">
        <v>104.041416</v>
      </c>
    </row>
    <row r="3890" spans="1:7">
      <c r="A3890" t="s">
        <v>1297</v>
      </c>
      <c r="B3890" t="s">
        <v>1298</v>
      </c>
      <c r="C3890" t="s">
        <v>674</v>
      </c>
      <c r="D3890" t="s">
        <v>1357</v>
      </c>
      <c r="E3890" t="s">
        <v>187</v>
      </c>
      <c r="F3890">
        <v>2010</v>
      </c>
      <c r="G3890">
        <v>102.81556</v>
      </c>
    </row>
    <row r="3891" spans="1:7">
      <c r="A3891" t="s">
        <v>1297</v>
      </c>
      <c r="B3891" t="s">
        <v>1298</v>
      </c>
      <c r="C3891" t="s">
        <v>674</v>
      </c>
      <c r="D3891" t="s">
        <v>1357</v>
      </c>
      <c r="E3891" t="s">
        <v>187</v>
      </c>
      <c r="F3891">
        <v>2012</v>
      </c>
      <c r="G3891">
        <v>67.724360000000004</v>
      </c>
    </row>
    <row r="3892" spans="1:7">
      <c r="A3892" t="s">
        <v>1297</v>
      </c>
      <c r="B3892" t="s">
        <v>1298</v>
      </c>
      <c r="C3892" t="s">
        <v>674</v>
      </c>
      <c r="D3892" t="s">
        <v>1357</v>
      </c>
      <c r="E3892" t="s">
        <v>187</v>
      </c>
      <c r="F3892">
        <v>2016</v>
      </c>
      <c r="G3892">
        <v>93.154439999999994</v>
      </c>
    </row>
    <row r="3893" spans="1:7">
      <c r="A3893" t="s">
        <v>1297</v>
      </c>
      <c r="B3893" t="s">
        <v>1298</v>
      </c>
      <c r="C3893" t="s">
        <v>674</v>
      </c>
      <c r="D3893" t="s">
        <v>1357</v>
      </c>
      <c r="E3893" t="s">
        <v>187</v>
      </c>
      <c r="F3893">
        <v>2020</v>
      </c>
      <c r="G3893">
        <v>81.655280000000005</v>
      </c>
    </row>
    <row r="3894" spans="1:7">
      <c r="A3894" t="s">
        <v>1297</v>
      </c>
      <c r="B3894" t="s">
        <v>1298</v>
      </c>
      <c r="C3894" t="s">
        <v>686</v>
      </c>
      <c r="D3894" t="s">
        <v>1357</v>
      </c>
      <c r="E3894" t="s">
        <v>187</v>
      </c>
      <c r="F3894">
        <v>2010</v>
      </c>
      <c r="G3894">
        <v>32.073999999999998</v>
      </c>
    </row>
    <row r="3895" spans="1:7">
      <c r="A3895" t="s">
        <v>1297</v>
      </c>
      <c r="B3895" t="s">
        <v>1298</v>
      </c>
      <c r="C3895" t="s">
        <v>686</v>
      </c>
      <c r="D3895" t="s">
        <v>1357</v>
      </c>
      <c r="E3895" t="s">
        <v>187</v>
      </c>
      <c r="F3895">
        <v>2012</v>
      </c>
      <c r="G3895">
        <v>17.184486</v>
      </c>
    </row>
    <row r="3896" spans="1:7">
      <c r="A3896" t="s">
        <v>1297</v>
      </c>
      <c r="B3896" t="s">
        <v>1298</v>
      </c>
      <c r="C3896" t="s">
        <v>686</v>
      </c>
      <c r="D3896" t="s">
        <v>1357</v>
      </c>
      <c r="E3896" t="s">
        <v>187</v>
      </c>
      <c r="F3896">
        <v>2016</v>
      </c>
      <c r="G3896">
        <v>26.752065000000002</v>
      </c>
    </row>
    <row r="3897" spans="1:7">
      <c r="A3897" t="s">
        <v>1297</v>
      </c>
      <c r="B3897" t="s">
        <v>1298</v>
      </c>
      <c r="C3897" t="s">
        <v>686</v>
      </c>
      <c r="D3897" t="s">
        <v>1357</v>
      </c>
      <c r="E3897" t="s">
        <v>187</v>
      </c>
      <c r="F3897">
        <v>2020</v>
      </c>
      <c r="G3897">
        <v>33.637830000000001</v>
      </c>
    </row>
    <row r="3898" spans="1:7">
      <c r="A3898" t="s">
        <v>1297</v>
      </c>
      <c r="B3898" t="s">
        <v>1298</v>
      </c>
      <c r="C3898" t="s">
        <v>671</v>
      </c>
      <c r="D3898" t="s">
        <v>1357</v>
      </c>
      <c r="E3898" t="s">
        <v>187</v>
      </c>
      <c r="F3898">
        <v>2016</v>
      </c>
      <c r="G3898">
        <v>210.46853300000001</v>
      </c>
    </row>
    <row r="3899" spans="1:7">
      <c r="A3899" t="s">
        <v>1297</v>
      </c>
      <c r="B3899" t="s">
        <v>1298</v>
      </c>
      <c r="C3899" t="s">
        <v>671</v>
      </c>
      <c r="D3899" t="s">
        <v>1357</v>
      </c>
      <c r="E3899" t="s">
        <v>187</v>
      </c>
      <c r="F3899">
        <v>2020</v>
      </c>
      <c r="G3899">
        <v>421.56513699999999</v>
      </c>
    </row>
    <row r="3900" spans="1:7">
      <c r="A3900" t="s">
        <v>1297</v>
      </c>
      <c r="B3900" t="s">
        <v>1298</v>
      </c>
      <c r="C3900" t="s">
        <v>666</v>
      </c>
      <c r="D3900" t="s">
        <v>1357</v>
      </c>
      <c r="E3900" t="s">
        <v>187</v>
      </c>
      <c r="F3900">
        <v>2005</v>
      </c>
      <c r="G3900">
        <v>7.1408449999999997</v>
      </c>
    </row>
    <row r="3901" spans="1:7">
      <c r="A3901" t="s">
        <v>1297</v>
      </c>
      <c r="B3901" t="s">
        <v>1298</v>
      </c>
      <c r="C3901" t="s">
        <v>666</v>
      </c>
      <c r="D3901" t="s">
        <v>1357</v>
      </c>
      <c r="E3901" t="s">
        <v>187</v>
      </c>
      <c r="F3901">
        <v>2010</v>
      </c>
      <c r="G3901">
        <v>8.1513849999999994</v>
      </c>
    </row>
    <row r="3902" spans="1:7">
      <c r="A3902" t="s">
        <v>1297</v>
      </c>
      <c r="B3902" t="s">
        <v>1298</v>
      </c>
      <c r="C3902" t="s">
        <v>666</v>
      </c>
      <c r="D3902" t="s">
        <v>1357</v>
      </c>
      <c r="E3902" t="s">
        <v>187</v>
      </c>
      <c r="F3902">
        <v>2012</v>
      </c>
      <c r="G3902">
        <v>8.6178050000000006</v>
      </c>
    </row>
    <row r="3903" spans="1:7">
      <c r="A3903" t="s">
        <v>1297</v>
      </c>
      <c r="B3903" t="s">
        <v>1298</v>
      </c>
      <c r="C3903" t="s">
        <v>666</v>
      </c>
      <c r="D3903" t="s">
        <v>1357</v>
      </c>
      <c r="E3903" t="s">
        <v>187</v>
      </c>
      <c r="F3903">
        <v>2016</v>
      </c>
      <c r="G3903">
        <v>6.1208</v>
      </c>
    </row>
    <row r="3904" spans="1:7">
      <c r="A3904" t="s">
        <v>1297</v>
      </c>
      <c r="B3904" t="s">
        <v>1298</v>
      </c>
      <c r="C3904" t="s">
        <v>666</v>
      </c>
      <c r="D3904" t="s">
        <v>1357</v>
      </c>
      <c r="E3904" t="s">
        <v>187</v>
      </c>
      <c r="F3904">
        <v>2020</v>
      </c>
      <c r="G3904">
        <v>7.6656719999999998</v>
      </c>
    </row>
    <row r="3905" spans="1:7">
      <c r="A3905" t="s">
        <v>1297</v>
      </c>
      <c r="B3905" t="s">
        <v>1298</v>
      </c>
      <c r="C3905" t="s">
        <v>1301</v>
      </c>
      <c r="D3905" t="s">
        <v>1357</v>
      </c>
      <c r="E3905" t="s">
        <v>187</v>
      </c>
      <c r="F3905">
        <v>2005</v>
      </c>
      <c r="G3905">
        <v>490.67977999999999</v>
      </c>
    </row>
    <row r="3906" spans="1:7">
      <c r="A3906" t="s">
        <v>1297</v>
      </c>
      <c r="B3906" t="s">
        <v>1298</v>
      </c>
      <c r="C3906" t="s">
        <v>1301</v>
      </c>
      <c r="D3906" t="s">
        <v>1357</v>
      </c>
      <c r="E3906" t="s">
        <v>187</v>
      </c>
      <c r="F3906">
        <v>2010</v>
      </c>
      <c r="G3906">
        <v>613.53601800000001</v>
      </c>
    </row>
    <row r="3907" spans="1:7">
      <c r="A3907" t="s">
        <v>1297</v>
      </c>
      <c r="B3907" t="s">
        <v>1298</v>
      </c>
      <c r="C3907" t="s">
        <v>1301</v>
      </c>
      <c r="D3907" t="s">
        <v>1357</v>
      </c>
      <c r="E3907" t="s">
        <v>187</v>
      </c>
      <c r="F3907">
        <v>2012</v>
      </c>
      <c r="G3907">
        <v>817.27902800000004</v>
      </c>
    </row>
    <row r="3908" spans="1:7">
      <c r="A3908" t="s">
        <v>1297</v>
      </c>
      <c r="B3908" t="s">
        <v>1298</v>
      </c>
      <c r="C3908" t="s">
        <v>1301</v>
      </c>
      <c r="D3908" t="s">
        <v>1357</v>
      </c>
      <c r="E3908" t="s">
        <v>187</v>
      </c>
      <c r="F3908">
        <v>2016</v>
      </c>
      <c r="G3908">
        <v>985.37932999999998</v>
      </c>
    </row>
    <row r="3909" spans="1:7">
      <c r="A3909" t="s">
        <v>1297</v>
      </c>
      <c r="B3909" t="s">
        <v>1298</v>
      </c>
      <c r="C3909" t="s">
        <v>1301</v>
      </c>
      <c r="D3909" t="s">
        <v>1357</v>
      </c>
      <c r="E3909" t="s">
        <v>187</v>
      </c>
      <c r="F3909">
        <v>2020</v>
      </c>
      <c r="G3909">
        <v>1017.855051</v>
      </c>
    </row>
    <row r="3910" spans="1:7">
      <c r="A3910" t="s">
        <v>1297</v>
      </c>
      <c r="B3910" t="s">
        <v>1298</v>
      </c>
      <c r="C3910" t="s">
        <v>665</v>
      </c>
      <c r="D3910" t="s">
        <v>1357</v>
      </c>
      <c r="E3910" t="s">
        <v>187</v>
      </c>
      <c r="F3910">
        <v>2005</v>
      </c>
      <c r="G3910">
        <v>692.18404199999998</v>
      </c>
    </row>
    <row r="3911" spans="1:7">
      <c r="A3911" t="s">
        <v>1297</v>
      </c>
      <c r="B3911" t="s">
        <v>1298</v>
      </c>
      <c r="C3911" t="s">
        <v>665</v>
      </c>
      <c r="D3911" t="s">
        <v>1357</v>
      </c>
      <c r="E3911" t="s">
        <v>187</v>
      </c>
      <c r="F3911">
        <v>2010</v>
      </c>
      <c r="G3911">
        <v>586.16329800000005</v>
      </c>
    </row>
    <row r="3912" spans="1:7">
      <c r="A3912" t="s">
        <v>1297</v>
      </c>
      <c r="B3912" t="s">
        <v>1298</v>
      </c>
      <c r="C3912" t="s">
        <v>665</v>
      </c>
      <c r="D3912" t="s">
        <v>1357</v>
      </c>
      <c r="E3912" t="s">
        <v>187</v>
      </c>
      <c r="F3912">
        <v>2012</v>
      </c>
      <c r="G3912">
        <v>644.68352800000002</v>
      </c>
    </row>
    <row r="3913" spans="1:7">
      <c r="A3913" t="s">
        <v>1297</v>
      </c>
      <c r="B3913" t="s">
        <v>1298</v>
      </c>
      <c r="C3913" t="s">
        <v>665</v>
      </c>
      <c r="D3913" t="s">
        <v>1357</v>
      </c>
      <c r="E3913" t="s">
        <v>187</v>
      </c>
      <c r="F3913">
        <v>2016</v>
      </c>
      <c r="G3913">
        <v>459.03981199999998</v>
      </c>
    </row>
    <row r="3914" spans="1:7">
      <c r="A3914" t="s">
        <v>1297</v>
      </c>
      <c r="B3914" t="s">
        <v>1298</v>
      </c>
      <c r="C3914" t="s">
        <v>665</v>
      </c>
      <c r="D3914" t="s">
        <v>1357</v>
      </c>
      <c r="E3914" t="s">
        <v>187</v>
      </c>
      <c r="F3914">
        <v>2020</v>
      </c>
      <c r="G3914">
        <v>275.80237299999999</v>
      </c>
    </row>
    <row r="3915" spans="1:7">
      <c r="A3915" t="s">
        <v>1297</v>
      </c>
      <c r="B3915" t="s">
        <v>1298</v>
      </c>
      <c r="C3915" t="s">
        <v>658</v>
      </c>
      <c r="D3915" t="s">
        <v>1357</v>
      </c>
      <c r="E3915" t="s">
        <v>187</v>
      </c>
      <c r="F3915">
        <v>2010</v>
      </c>
      <c r="G3915">
        <v>1.9280759999999999</v>
      </c>
    </row>
    <row r="3916" spans="1:7">
      <c r="A3916" t="s">
        <v>1297</v>
      </c>
      <c r="B3916" t="s">
        <v>1298</v>
      </c>
      <c r="C3916" t="s">
        <v>658</v>
      </c>
      <c r="D3916" t="s">
        <v>1357</v>
      </c>
      <c r="E3916" t="s">
        <v>187</v>
      </c>
      <c r="F3916">
        <v>2012</v>
      </c>
      <c r="G3916">
        <v>2.2271200000000002</v>
      </c>
    </row>
    <row r="3917" spans="1:7">
      <c r="A3917" t="s">
        <v>1297</v>
      </c>
      <c r="B3917" t="s">
        <v>1298</v>
      </c>
      <c r="C3917" t="s">
        <v>658</v>
      </c>
      <c r="D3917" t="s">
        <v>1357</v>
      </c>
      <c r="E3917" t="s">
        <v>187</v>
      </c>
      <c r="F3917">
        <v>2016</v>
      </c>
      <c r="G3917">
        <v>0.62444999999999995</v>
      </c>
    </row>
    <row r="3918" spans="1:7">
      <c r="A3918" t="s">
        <v>1297</v>
      </c>
      <c r="B3918" t="s">
        <v>1298</v>
      </c>
      <c r="C3918" t="s">
        <v>658</v>
      </c>
      <c r="D3918" t="s">
        <v>1357</v>
      </c>
      <c r="E3918" t="s">
        <v>187</v>
      </c>
      <c r="F3918">
        <v>2020</v>
      </c>
      <c r="G3918">
        <v>1.214453</v>
      </c>
    </row>
    <row r="3919" spans="1:7">
      <c r="A3919" t="s">
        <v>1297</v>
      </c>
      <c r="B3919" t="s">
        <v>1298</v>
      </c>
      <c r="C3919" t="s">
        <v>653</v>
      </c>
      <c r="D3919" t="s">
        <v>1357</v>
      </c>
      <c r="E3919" t="s">
        <v>187</v>
      </c>
      <c r="F3919">
        <v>2005</v>
      </c>
      <c r="G3919">
        <v>107.3528</v>
      </c>
    </row>
    <row r="3920" spans="1:7">
      <c r="A3920" t="s">
        <v>1297</v>
      </c>
      <c r="B3920" t="s">
        <v>1298</v>
      </c>
      <c r="C3920" t="s">
        <v>653</v>
      </c>
      <c r="D3920" t="s">
        <v>1357</v>
      </c>
      <c r="E3920" t="s">
        <v>187</v>
      </c>
      <c r="F3920">
        <v>2010</v>
      </c>
      <c r="G3920">
        <v>73.150701999999995</v>
      </c>
    </row>
    <row r="3921" spans="1:7">
      <c r="A3921" t="s">
        <v>1297</v>
      </c>
      <c r="B3921" t="s">
        <v>1298</v>
      </c>
      <c r="C3921" t="s">
        <v>653</v>
      </c>
      <c r="D3921" t="s">
        <v>1357</v>
      </c>
      <c r="E3921" t="s">
        <v>187</v>
      </c>
      <c r="F3921">
        <v>2012</v>
      </c>
      <c r="G3921">
        <v>65.072495000000004</v>
      </c>
    </row>
    <row r="3922" spans="1:7">
      <c r="A3922" t="s">
        <v>1297</v>
      </c>
      <c r="B3922" t="s">
        <v>1298</v>
      </c>
      <c r="C3922" t="s">
        <v>653</v>
      </c>
      <c r="D3922" t="s">
        <v>1357</v>
      </c>
      <c r="E3922" t="s">
        <v>187</v>
      </c>
      <c r="F3922">
        <v>2016</v>
      </c>
      <c r="G3922">
        <v>23.501470000000001</v>
      </c>
    </row>
    <row r="3923" spans="1:7">
      <c r="A3923" t="s">
        <v>1297</v>
      </c>
      <c r="B3923" t="s">
        <v>1298</v>
      </c>
      <c r="C3923" t="s">
        <v>653</v>
      </c>
      <c r="D3923" t="s">
        <v>1357</v>
      </c>
      <c r="E3923" t="s">
        <v>187</v>
      </c>
      <c r="F3923">
        <v>2020</v>
      </c>
      <c r="G3923">
        <v>16.789221000000001</v>
      </c>
    </row>
    <row r="3924" spans="1:7">
      <c r="A3924" t="s">
        <v>1297</v>
      </c>
      <c r="B3924" t="s">
        <v>1298</v>
      </c>
      <c r="C3924" t="s">
        <v>655</v>
      </c>
      <c r="D3924" t="s">
        <v>1358</v>
      </c>
      <c r="E3924" t="s">
        <v>187</v>
      </c>
      <c r="F3924">
        <v>2005</v>
      </c>
      <c r="G3924">
        <v>0.72528999999999999</v>
      </c>
    </row>
    <row r="3925" spans="1:7">
      <c r="A3925" t="s">
        <v>1297</v>
      </c>
      <c r="B3925" t="s">
        <v>1298</v>
      </c>
      <c r="C3925" t="s">
        <v>655</v>
      </c>
      <c r="D3925" t="s">
        <v>1358</v>
      </c>
      <c r="E3925" t="s">
        <v>187</v>
      </c>
      <c r="F3925">
        <v>2010</v>
      </c>
      <c r="G3925">
        <v>9.5196640000000006</v>
      </c>
    </row>
    <row r="3926" spans="1:7">
      <c r="A3926" t="s">
        <v>1297</v>
      </c>
      <c r="B3926" t="s">
        <v>1298</v>
      </c>
      <c r="C3926" t="s">
        <v>655</v>
      </c>
      <c r="D3926" t="s">
        <v>1358</v>
      </c>
      <c r="E3926" t="s">
        <v>187</v>
      </c>
      <c r="F3926">
        <v>2012</v>
      </c>
      <c r="G3926">
        <v>13.491464000000001</v>
      </c>
    </row>
    <row r="3927" spans="1:7">
      <c r="A3927" t="s">
        <v>1297</v>
      </c>
      <c r="B3927" t="s">
        <v>1298</v>
      </c>
      <c r="C3927" t="s">
        <v>655</v>
      </c>
      <c r="D3927" t="s">
        <v>1358</v>
      </c>
      <c r="E3927" t="s">
        <v>187</v>
      </c>
      <c r="F3927">
        <v>2016</v>
      </c>
      <c r="G3927">
        <v>13.671427</v>
      </c>
    </row>
    <row r="3928" spans="1:7">
      <c r="A3928" t="s">
        <v>1297</v>
      </c>
      <c r="B3928" t="s">
        <v>1298</v>
      </c>
      <c r="C3928" t="s">
        <v>655</v>
      </c>
      <c r="D3928" t="s">
        <v>1358</v>
      </c>
      <c r="E3928" t="s">
        <v>187</v>
      </c>
      <c r="F3928">
        <v>2020</v>
      </c>
      <c r="G3928">
        <v>11.261259000000001</v>
      </c>
    </row>
    <row r="3929" spans="1:7">
      <c r="A3929" t="s">
        <v>1297</v>
      </c>
      <c r="B3929" t="s">
        <v>1298</v>
      </c>
      <c r="C3929" t="s">
        <v>671</v>
      </c>
      <c r="D3929" t="s">
        <v>1358</v>
      </c>
      <c r="E3929" t="s">
        <v>187</v>
      </c>
      <c r="F3929">
        <v>2005</v>
      </c>
      <c r="G3929">
        <v>15.883523</v>
      </c>
    </row>
    <row r="3930" spans="1:7">
      <c r="A3930" t="s">
        <v>1297</v>
      </c>
      <c r="B3930" t="s">
        <v>1298</v>
      </c>
      <c r="C3930" t="s">
        <v>671</v>
      </c>
      <c r="D3930" t="s">
        <v>1358</v>
      </c>
      <c r="E3930" t="s">
        <v>187</v>
      </c>
      <c r="F3930">
        <v>2010</v>
      </c>
      <c r="G3930">
        <v>3.805393</v>
      </c>
    </row>
    <row r="3931" spans="1:7">
      <c r="A3931" t="s">
        <v>1297</v>
      </c>
      <c r="B3931" t="s">
        <v>1298</v>
      </c>
      <c r="C3931" t="s">
        <v>671</v>
      </c>
      <c r="D3931" t="s">
        <v>1358</v>
      </c>
      <c r="E3931" t="s">
        <v>187</v>
      </c>
      <c r="F3931">
        <v>2012</v>
      </c>
      <c r="G3931">
        <v>3.2585250000000001</v>
      </c>
    </row>
    <row r="3932" spans="1:7">
      <c r="A3932" t="s">
        <v>1297</v>
      </c>
      <c r="B3932" t="s">
        <v>1298</v>
      </c>
      <c r="C3932" t="s">
        <v>671</v>
      </c>
      <c r="D3932" t="s">
        <v>1358</v>
      </c>
      <c r="E3932" t="s">
        <v>187</v>
      </c>
      <c r="F3932">
        <v>2016</v>
      </c>
      <c r="G3932">
        <v>4.5214420000000004</v>
      </c>
    </row>
    <row r="3933" spans="1:7">
      <c r="A3933" t="s">
        <v>1297</v>
      </c>
      <c r="B3933" t="s">
        <v>1298</v>
      </c>
      <c r="C3933" t="s">
        <v>671</v>
      </c>
      <c r="D3933" t="s">
        <v>1358</v>
      </c>
      <c r="E3933" t="s">
        <v>187</v>
      </c>
      <c r="F3933">
        <v>2020</v>
      </c>
      <c r="G3933">
        <v>5.2075469999999999</v>
      </c>
    </row>
    <row r="3934" spans="1:7">
      <c r="A3934" t="s">
        <v>1297</v>
      </c>
      <c r="B3934" t="s">
        <v>1298</v>
      </c>
      <c r="C3934" t="s">
        <v>663</v>
      </c>
      <c r="D3934" t="s">
        <v>1358</v>
      </c>
      <c r="E3934" t="s">
        <v>187</v>
      </c>
      <c r="F3934">
        <v>2005</v>
      </c>
      <c r="G3934">
        <v>5.9889999999999999E-2</v>
      </c>
    </row>
    <row r="3935" spans="1:7">
      <c r="A3935" t="s">
        <v>1297</v>
      </c>
      <c r="B3935" t="s">
        <v>1298</v>
      </c>
      <c r="C3935" t="s">
        <v>663</v>
      </c>
      <c r="D3935" t="s">
        <v>1358</v>
      </c>
      <c r="E3935" t="s">
        <v>187</v>
      </c>
      <c r="F3935">
        <v>2010</v>
      </c>
      <c r="G3935">
        <v>5.169E-2</v>
      </c>
    </row>
    <row r="3936" spans="1:7">
      <c r="A3936" t="s">
        <v>1297</v>
      </c>
      <c r="B3936" t="s">
        <v>1298</v>
      </c>
      <c r="C3936" t="s">
        <v>663</v>
      </c>
      <c r="D3936" t="s">
        <v>1358</v>
      </c>
      <c r="E3936" t="s">
        <v>187</v>
      </c>
      <c r="F3936">
        <v>2012</v>
      </c>
      <c r="G3936">
        <v>7.3499999999999996E-2</v>
      </c>
    </row>
    <row r="3937" spans="1:7">
      <c r="A3937" t="s">
        <v>1297</v>
      </c>
      <c r="B3937" t="s">
        <v>1298</v>
      </c>
      <c r="C3937" t="s">
        <v>663</v>
      </c>
      <c r="D3937" t="s">
        <v>1358</v>
      </c>
      <c r="E3937" t="s">
        <v>187</v>
      </c>
      <c r="F3937">
        <v>2016</v>
      </c>
      <c r="G3937">
        <v>3.6332000000000003E-2</v>
      </c>
    </row>
    <row r="3938" spans="1:7">
      <c r="A3938" t="s">
        <v>1297</v>
      </c>
      <c r="B3938" t="s">
        <v>1298</v>
      </c>
      <c r="C3938" t="s">
        <v>673</v>
      </c>
      <c r="D3938" t="s">
        <v>1358</v>
      </c>
      <c r="E3938" t="s">
        <v>187</v>
      </c>
      <c r="F3938">
        <v>2005</v>
      </c>
      <c r="G3938">
        <v>4.5542920000000002</v>
      </c>
    </row>
    <row r="3939" spans="1:7">
      <c r="A3939" t="s">
        <v>1297</v>
      </c>
      <c r="B3939" t="s">
        <v>1298</v>
      </c>
      <c r="C3939" t="s">
        <v>673</v>
      </c>
      <c r="D3939" t="s">
        <v>1358</v>
      </c>
      <c r="E3939" t="s">
        <v>187</v>
      </c>
      <c r="F3939">
        <v>2010</v>
      </c>
      <c r="G3939">
        <v>3.7581540000000002</v>
      </c>
    </row>
    <row r="3940" spans="1:7">
      <c r="A3940" t="s">
        <v>1297</v>
      </c>
      <c r="B3940" t="s">
        <v>1298</v>
      </c>
      <c r="C3940" t="s">
        <v>673</v>
      </c>
      <c r="D3940" t="s">
        <v>1358</v>
      </c>
      <c r="E3940" t="s">
        <v>187</v>
      </c>
      <c r="F3940">
        <v>2012</v>
      </c>
      <c r="G3940">
        <v>3.6618580000000001</v>
      </c>
    </row>
    <row r="3941" spans="1:7">
      <c r="A3941" t="s">
        <v>1297</v>
      </c>
      <c r="B3941" t="s">
        <v>1298</v>
      </c>
      <c r="C3941" t="s">
        <v>673</v>
      </c>
      <c r="D3941" t="s">
        <v>1358</v>
      </c>
      <c r="E3941" t="s">
        <v>187</v>
      </c>
      <c r="F3941">
        <v>2016</v>
      </c>
      <c r="G3941">
        <v>0.85735600000000001</v>
      </c>
    </row>
    <row r="3942" spans="1:7">
      <c r="A3942" t="s">
        <v>1297</v>
      </c>
      <c r="B3942" t="s">
        <v>1298</v>
      </c>
      <c r="C3942" t="s">
        <v>673</v>
      </c>
      <c r="D3942" t="s">
        <v>1358</v>
      </c>
      <c r="E3942" t="s">
        <v>187</v>
      </c>
      <c r="F3942">
        <v>2020</v>
      </c>
      <c r="G3942">
        <v>3.3500000000000001E-4</v>
      </c>
    </row>
    <row r="3943" spans="1:7">
      <c r="A3943" t="s">
        <v>1297</v>
      </c>
      <c r="B3943" t="s">
        <v>1298</v>
      </c>
      <c r="C3943" t="s">
        <v>653</v>
      </c>
      <c r="D3943" t="s">
        <v>1358</v>
      </c>
      <c r="E3943" t="s">
        <v>187</v>
      </c>
      <c r="F3943">
        <v>2005</v>
      </c>
      <c r="G3943">
        <v>8.1188999999999997E-2</v>
      </c>
    </row>
    <row r="3944" spans="1:7">
      <c r="A3944" t="s">
        <v>1297</v>
      </c>
      <c r="B3944" t="s">
        <v>1298</v>
      </c>
      <c r="C3944" t="s">
        <v>653</v>
      </c>
      <c r="D3944" t="s">
        <v>1358</v>
      </c>
      <c r="E3944" t="s">
        <v>187</v>
      </c>
      <c r="F3944">
        <v>2010</v>
      </c>
      <c r="G3944">
        <v>5.1024E-2</v>
      </c>
    </row>
    <row r="3945" spans="1:7">
      <c r="A3945" t="s">
        <v>1297</v>
      </c>
      <c r="B3945" t="s">
        <v>1298</v>
      </c>
      <c r="C3945" t="s">
        <v>653</v>
      </c>
      <c r="D3945" t="s">
        <v>1358</v>
      </c>
      <c r="E3945" t="s">
        <v>187</v>
      </c>
      <c r="F3945">
        <v>2012</v>
      </c>
      <c r="G3945">
        <v>4.4443000000000003E-2</v>
      </c>
    </row>
    <row r="3946" spans="1:7">
      <c r="A3946" t="s">
        <v>1297</v>
      </c>
      <c r="B3946" t="s">
        <v>1298</v>
      </c>
      <c r="C3946" t="s">
        <v>653</v>
      </c>
      <c r="D3946" t="s">
        <v>1358</v>
      </c>
      <c r="E3946" t="s">
        <v>187</v>
      </c>
      <c r="F3946">
        <v>2016</v>
      </c>
      <c r="G3946">
        <v>2.5298999999999999E-2</v>
      </c>
    </row>
    <row r="3947" spans="1:7">
      <c r="A3947" t="s">
        <v>1297</v>
      </c>
      <c r="B3947" t="s">
        <v>1298</v>
      </c>
      <c r="C3947" t="s">
        <v>653</v>
      </c>
      <c r="D3947" t="s">
        <v>1358</v>
      </c>
      <c r="E3947" t="s">
        <v>187</v>
      </c>
      <c r="F3947">
        <v>2020</v>
      </c>
      <c r="G3947">
        <v>1.3757E-2</v>
      </c>
    </row>
    <row r="3948" spans="1:7">
      <c r="A3948" t="s">
        <v>1297</v>
      </c>
      <c r="B3948" t="s">
        <v>1298</v>
      </c>
      <c r="C3948" t="s">
        <v>1301</v>
      </c>
      <c r="D3948" t="s">
        <v>1358</v>
      </c>
      <c r="E3948" t="s">
        <v>187</v>
      </c>
      <c r="F3948">
        <v>2005</v>
      </c>
      <c r="G3948">
        <v>2.1920199999999999</v>
      </c>
    </row>
    <row r="3949" spans="1:7">
      <c r="A3949" t="s">
        <v>1297</v>
      </c>
      <c r="B3949" t="s">
        <v>1298</v>
      </c>
      <c r="C3949" t="s">
        <v>1301</v>
      </c>
      <c r="D3949" t="s">
        <v>1358</v>
      </c>
      <c r="E3949" t="s">
        <v>187</v>
      </c>
      <c r="F3949">
        <v>2010</v>
      </c>
      <c r="G3949">
        <v>2.4448500000000002</v>
      </c>
    </row>
    <row r="3950" spans="1:7">
      <c r="A3950" t="s">
        <v>1297</v>
      </c>
      <c r="B3950" t="s">
        <v>1298</v>
      </c>
      <c r="C3950" t="s">
        <v>1301</v>
      </c>
      <c r="D3950" t="s">
        <v>1358</v>
      </c>
      <c r="E3950" t="s">
        <v>187</v>
      </c>
      <c r="F3950">
        <v>2012</v>
      </c>
      <c r="G3950">
        <v>12.905446</v>
      </c>
    </row>
    <row r="3951" spans="1:7">
      <c r="A3951" t="s">
        <v>1297</v>
      </c>
      <c r="B3951" t="s">
        <v>1298</v>
      </c>
      <c r="C3951" t="s">
        <v>1301</v>
      </c>
      <c r="D3951" t="s">
        <v>1358</v>
      </c>
      <c r="E3951" t="s">
        <v>187</v>
      </c>
      <c r="F3951">
        <v>2016</v>
      </c>
      <c r="G3951">
        <v>14.410612</v>
      </c>
    </row>
    <row r="3952" spans="1:7">
      <c r="A3952" t="s">
        <v>1297</v>
      </c>
      <c r="B3952" t="s">
        <v>1298</v>
      </c>
      <c r="C3952" t="s">
        <v>1301</v>
      </c>
      <c r="D3952" t="s">
        <v>1358</v>
      </c>
      <c r="E3952" t="s">
        <v>187</v>
      </c>
      <c r="F3952">
        <v>2020</v>
      </c>
      <c r="G3952">
        <v>11.5349</v>
      </c>
    </row>
    <row r="3953" spans="1:7">
      <c r="A3953" t="s">
        <v>1297</v>
      </c>
      <c r="B3953" t="s">
        <v>1298</v>
      </c>
      <c r="C3953" t="s">
        <v>651</v>
      </c>
      <c r="D3953" t="s">
        <v>1358</v>
      </c>
      <c r="E3953" t="s">
        <v>187</v>
      </c>
      <c r="F3953">
        <v>2005</v>
      </c>
      <c r="G3953">
        <v>1.8017590000000001</v>
      </c>
    </row>
    <row r="3954" spans="1:7">
      <c r="A3954" t="s">
        <v>1297</v>
      </c>
      <c r="B3954" t="s">
        <v>1298</v>
      </c>
      <c r="C3954" t="s">
        <v>651</v>
      </c>
      <c r="D3954" t="s">
        <v>1358</v>
      </c>
      <c r="E3954" t="s">
        <v>187</v>
      </c>
      <c r="F3954">
        <v>2010</v>
      </c>
      <c r="G3954">
        <v>1.844638</v>
      </c>
    </row>
    <row r="3955" spans="1:7">
      <c r="A3955" t="s">
        <v>1297</v>
      </c>
      <c r="B3955" t="s">
        <v>1298</v>
      </c>
      <c r="C3955" t="s">
        <v>651</v>
      </c>
      <c r="D3955" t="s">
        <v>1358</v>
      </c>
      <c r="E3955" t="s">
        <v>187</v>
      </c>
      <c r="F3955">
        <v>2012</v>
      </c>
      <c r="G3955">
        <v>1.8701840000000001</v>
      </c>
    </row>
    <row r="3956" spans="1:7">
      <c r="A3956" t="s">
        <v>1297</v>
      </c>
      <c r="B3956" t="s">
        <v>1298</v>
      </c>
      <c r="C3956" t="s">
        <v>651</v>
      </c>
      <c r="D3956" t="s">
        <v>1358</v>
      </c>
      <c r="E3956" t="s">
        <v>187</v>
      </c>
      <c r="F3956">
        <v>2016</v>
      </c>
      <c r="G3956">
        <v>5.9211E-2</v>
      </c>
    </row>
    <row r="3957" spans="1:7">
      <c r="A3957" t="s">
        <v>1297</v>
      </c>
      <c r="B3957" t="s">
        <v>1298</v>
      </c>
      <c r="C3957" t="s">
        <v>651</v>
      </c>
      <c r="D3957" t="s">
        <v>1358</v>
      </c>
      <c r="E3957" t="s">
        <v>187</v>
      </c>
      <c r="F3957">
        <v>2020</v>
      </c>
      <c r="G3957">
        <v>0.27529199999999998</v>
      </c>
    </row>
    <row r="3958" spans="1:7">
      <c r="A3958" t="s">
        <v>1297</v>
      </c>
      <c r="B3958" t="s">
        <v>1298</v>
      </c>
      <c r="C3958" t="s">
        <v>682</v>
      </c>
      <c r="D3958" t="s">
        <v>1358</v>
      </c>
      <c r="E3958" t="s">
        <v>187</v>
      </c>
      <c r="F3958">
        <v>2016</v>
      </c>
      <c r="G3958">
        <v>0.11883299999999999</v>
      </c>
    </row>
    <row r="3959" spans="1:7">
      <c r="A3959" t="s">
        <v>1297</v>
      </c>
      <c r="B3959" t="s">
        <v>1298</v>
      </c>
      <c r="C3959" t="s">
        <v>682</v>
      </c>
      <c r="D3959" t="s">
        <v>1358</v>
      </c>
      <c r="E3959" t="s">
        <v>187</v>
      </c>
      <c r="F3959">
        <v>2020</v>
      </c>
      <c r="G3959">
        <v>0.167354</v>
      </c>
    </row>
    <row r="3960" spans="1:7">
      <c r="A3960" t="s">
        <v>1297</v>
      </c>
      <c r="B3960" t="s">
        <v>1298</v>
      </c>
      <c r="C3960" t="s">
        <v>1299</v>
      </c>
      <c r="D3960" t="s">
        <v>1358</v>
      </c>
      <c r="E3960" t="s">
        <v>187</v>
      </c>
      <c r="F3960">
        <v>2005</v>
      </c>
      <c r="G3960">
        <v>11.015039</v>
      </c>
    </row>
    <row r="3961" spans="1:7">
      <c r="A3961" t="s">
        <v>1297</v>
      </c>
      <c r="B3961" t="s">
        <v>1298</v>
      </c>
      <c r="C3961" t="s">
        <v>1299</v>
      </c>
      <c r="D3961" t="s">
        <v>1358</v>
      </c>
      <c r="E3961" t="s">
        <v>187</v>
      </c>
      <c r="F3961">
        <v>2010</v>
      </c>
      <c r="G3961">
        <v>11.634283999999999</v>
      </c>
    </row>
    <row r="3962" spans="1:7">
      <c r="A3962" t="s">
        <v>1297</v>
      </c>
      <c r="B3962" t="s">
        <v>1298</v>
      </c>
      <c r="C3962" t="s">
        <v>1299</v>
      </c>
      <c r="D3962" t="s">
        <v>1358</v>
      </c>
      <c r="E3962" t="s">
        <v>187</v>
      </c>
      <c r="F3962">
        <v>2012</v>
      </c>
      <c r="G3962">
        <v>10.55053</v>
      </c>
    </row>
    <row r="3963" spans="1:7">
      <c r="A3963" t="s">
        <v>1297</v>
      </c>
      <c r="B3963" t="s">
        <v>1298</v>
      </c>
      <c r="C3963" t="s">
        <v>1299</v>
      </c>
      <c r="D3963" t="s">
        <v>1358</v>
      </c>
      <c r="E3963" t="s">
        <v>187</v>
      </c>
      <c r="F3963">
        <v>2016</v>
      </c>
      <c r="G3963">
        <v>4.7347849999999996</v>
      </c>
    </row>
    <row r="3964" spans="1:7">
      <c r="A3964" t="s">
        <v>1297</v>
      </c>
      <c r="B3964" t="s">
        <v>1298</v>
      </c>
      <c r="C3964" t="s">
        <v>1299</v>
      </c>
      <c r="D3964" t="s">
        <v>1358</v>
      </c>
      <c r="E3964" t="s">
        <v>187</v>
      </c>
      <c r="F3964">
        <v>2020</v>
      </c>
      <c r="G3964">
        <v>5.2099710000000004</v>
      </c>
    </row>
    <row r="3965" spans="1:7">
      <c r="A3965" t="s">
        <v>1297</v>
      </c>
      <c r="B3965" t="s">
        <v>1298</v>
      </c>
      <c r="C3965" t="s">
        <v>660</v>
      </c>
      <c r="D3965" t="s">
        <v>1358</v>
      </c>
      <c r="E3965" t="s">
        <v>187</v>
      </c>
      <c r="F3965">
        <v>2020</v>
      </c>
      <c r="G3965">
        <v>0.149142</v>
      </c>
    </row>
    <row r="3966" spans="1:7">
      <c r="A3966" t="s">
        <v>1297</v>
      </c>
      <c r="B3966" t="s">
        <v>1298</v>
      </c>
      <c r="C3966" t="s">
        <v>661</v>
      </c>
      <c r="D3966" t="s">
        <v>1358</v>
      </c>
      <c r="E3966" t="s">
        <v>187</v>
      </c>
      <c r="F3966">
        <v>2005</v>
      </c>
      <c r="G3966">
        <v>0.89600000000000002</v>
      </c>
    </row>
    <row r="3967" spans="1:7">
      <c r="A3967" t="s">
        <v>1297</v>
      </c>
      <c r="B3967" t="s">
        <v>1298</v>
      </c>
      <c r="C3967" t="s">
        <v>677</v>
      </c>
      <c r="D3967" t="s">
        <v>1358</v>
      </c>
      <c r="E3967" t="s">
        <v>187</v>
      </c>
      <c r="F3967">
        <v>2005</v>
      </c>
      <c r="G3967">
        <v>0.18246599999999999</v>
      </c>
    </row>
    <row r="3968" spans="1:7">
      <c r="A3968" t="s">
        <v>1297</v>
      </c>
      <c r="B3968" t="s">
        <v>1298</v>
      </c>
      <c r="C3968" t="s">
        <v>677</v>
      </c>
      <c r="D3968" t="s">
        <v>1358</v>
      </c>
      <c r="E3968" t="s">
        <v>187</v>
      </c>
      <c r="F3968">
        <v>2010</v>
      </c>
      <c r="G3968">
        <v>0.14793500000000001</v>
      </c>
    </row>
    <row r="3969" spans="1:7">
      <c r="A3969" t="s">
        <v>1297</v>
      </c>
      <c r="B3969" t="s">
        <v>1298</v>
      </c>
      <c r="C3969" t="s">
        <v>677</v>
      </c>
      <c r="D3969" t="s">
        <v>1358</v>
      </c>
      <c r="E3969" t="s">
        <v>187</v>
      </c>
      <c r="F3969">
        <v>2012</v>
      </c>
      <c r="G3969">
        <v>0.119172</v>
      </c>
    </row>
    <row r="3970" spans="1:7">
      <c r="A3970" t="s">
        <v>1297</v>
      </c>
      <c r="B3970" t="s">
        <v>1298</v>
      </c>
      <c r="C3970" t="s">
        <v>676</v>
      </c>
      <c r="D3970" t="s">
        <v>1358</v>
      </c>
      <c r="E3970" t="s">
        <v>187</v>
      </c>
      <c r="F3970">
        <v>2005</v>
      </c>
      <c r="G3970">
        <v>0.12299</v>
      </c>
    </row>
    <row r="3971" spans="1:7">
      <c r="A3971" t="s">
        <v>1297</v>
      </c>
      <c r="B3971" t="s">
        <v>1298</v>
      </c>
      <c r="C3971" t="s">
        <v>676</v>
      </c>
      <c r="D3971" t="s">
        <v>1358</v>
      </c>
      <c r="E3971" t="s">
        <v>187</v>
      </c>
      <c r="F3971">
        <v>2010</v>
      </c>
      <c r="G3971">
        <v>2.2296E-2</v>
      </c>
    </row>
    <row r="3972" spans="1:7">
      <c r="A3972" t="s">
        <v>1297</v>
      </c>
      <c r="B3972" t="s">
        <v>1298</v>
      </c>
      <c r="C3972" t="s">
        <v>676</v>
      </c>
      <c r="D3972" t="s">
        <v>1358</v>
      </c>
      <c r="E3972" t="s">
        <v>187</v>
      </c>
      <c r="F3972">
        <v>2012</v>
      </c>
      <c r="G3972">
        <v>2.2322000000000002E-2</v>
      </c>
    </row>
    <row r="3973" spans="1:7">
      <c r="A3973" t="s">
        <v>1297</v>
      </c>
      <c r="B3973" t="s">
        <v>1298</v>
      </c>
      <c r="C3973" t="s">
        <v>676</v>
      </c>
      <c r="D3973" t="s">
        <v>1358</v>
      </c>
      <c r="E3973" t="s">
        <v>187</v>
      </c>
      <c r="F3973">
        <v>2016</v>
      </c>
      <c r="G3973">
        <v>1.0718999999999999E-2</v>
      </c>
    </row>
    <row r="3974" spans="1:7">
      <c r="A3974" t="s">
        <v>1297</v>
      </c>
      <c r="B3974" t="s">
        <v>1298</v>
      </c>
      <c r="C3974" t="s">
        <v>676</v>
      </c>
      <c r="D3974" t="s">
        <v>1358</v>
      </c>
      <c r="E3974" t="s">
        <v>187</v>
      </c>
      <c r="F3974">
        <v>2020</v>
      </c>
      <c r="G3974">
        <v>1.1181999999999999E-2</v>
      </c>
    </row>
    <row r="3975" spans="1:7">
      <c r="A3975" t="s">
        <v>1297</v>
      </c>
      <c r="B3975" t="s">
        <v>1298</v>
      </c>
      <c r="C3975" t="s">
        <v>665</v>
      </c>
      <c r="D3975" t="s">
        <v>1358</v>
      </c>
      <c r="E3975" t="s">
        <v>187</v>
      </c>
      <c r="F3975">
        <v>2005</v>
      </c>
      <c r="G3975">
        <v>10.813416</v>
      </c>
    </row>
    <row r="3976" spans="1:7">
      <c r="A3976" t="s">
        <v>1297</v>
      </c>
      <c r="B3976" t="s">
        <v>1298</v>
      </c>
      <c r="C3976" t="s">
        <v>665</v>
      </c>
      <c r="D3976" t="s">
        <v>1358</v>
      </c>
      <c r="E3976" t="s">
        <v>187</v>
      </c>
      <c r="F3976">
        <v>2010</v>
      </c>
      <c r="G3976">
        <v>1.6111679999999999</v>
      </c>
    </row>
    <row r="3977" spans="1:7">
      <c r="A3977" t="s">
        <v>1297</v>
      </c>
      <c r="B3977" t="s">
        <v>1298</v>
      </c>
      <c r="C3977" t="s">
        <v>665</v>
      </c>
      <c r="D3977" t="s">
        <v>1358</v>
      </c>
      <c r="E3977" t="s">
        <v>187</v>
      </c>
      <c r="F3977">
        <v>2012</v>
      </c>
      <c r="G3977">
        <v>1.580184</v>
      </c>
    </row>
    <row r="3978" spans="1:7">
      <c r="A3978" t="s">
        <v>1297</v>
      </c>
      <c r="B3978" t="s">
        <v>1298</v>
      </c>
      <c r="C3978" t="s">
        <v>665</v>
      </c>
      <c r="D3978" t="s">
        <v>1358</v>
      </c>
      <c r="E3978" t="s">
        <v>187</v>
      </c>
      <c r="F3978">
        <v>2020</v>
      </c>
      <c r="G3978">
        <v>2.026573</v>
      </c>
    </row>
    <row r="3979" spans="1:7">
      <c r="A3979" t="s">
        <v>1297</v>
      </c>
      <c r="B3979" t="s">
        <v>1298</v>
      </c>
      <c r="C3979" t="s">
        <v>659</v>
      </c>
      <c r="D3979" t="s">
        <v>1358</v>
      </c>
      <c r="E3979" t="s">
        <v>187</v>
      </c>
      <c r="F3979">
        <v>2005</v>
      </c>
      <c r="G3979">
        <v>8.4644999999999992</v>
      </c>
    </row>
    <row r="3980" spans="1:7">
      <c r="A3980" t="s">
        <v>1297</v>
      </c>
      <c r="B3980" t="s">
        <v>1298</v>
      </c>
      <c r="C3980" t="s">
        <v>659</v>
      </c>
      <c r="D3980" t="s">
        <v>1358</v>
      </c>
      <c r="E3980" t="s">
        <v>187</v>
      </c>
      <c r="F3980">
        <v>2010</v>
      </c>
      <c r="G3980">
        <v>12.101000000000001</v>
      </c>
    </row>
    <row r="3981" spans="1:7">
      <c r="A3981" t="s">
        <v>1297</v>
      </c>
      <c r="B3981" t="s">
        <v>1298</v>
      </c>
      <c r="C3981" t="s">
        <v>659</v>
      </c>
      <c r="D3981" t="s">
        <v>1358</v>
      </c>
      <c r="E3981" t="s">
        <v>187</v>
      </c>
      <c r="F3981">
        <v>2012</v>
      </c>
      <c r="G3981">
        <v>13.053397</v>
      </c>
    </row>
    <row r="3982" spans="1:7">
      <c r="A3982" t="s">
        <v>1297</v>
      </c>
      <c r="B3982" t="s">
        <v>1298</v>
      </c>
      <c r="C3982" t="s">
        <v>659</v>
      </c>
      <c r="D3982" t="s">
        <v>1358</v>
      </c>
      <c r="E3982" t="s">
        <v>187</v>
      </c>
      <c r="F3982">
        <v>2016</v>
      </c>
      <c r="G3982">
        <v>0.69392699999999996</v>
      </c>
    </row>
    <row r="3983" spans="1:7">
      <c r="A3983" t="s">
        <v>1297</v>
      </c>
      <c r="B3983" t="s">
        <v>1298</v>
      </c>
      <c r="C3983" t="s">
        <v>659</v>
      </c>
      <c r="D3983" t="s">
        <v>1358</v>
      </c>
      <c r="E3983" t="s">
        <v>187</v>
      </c>
      <c r="F3983">
        <v>2020</v>
      </c>
      <c r="G3983">
        <v>1.916104</v>
      </c>
    </row>
    <row r="3984" spans="1:7">
      <c r="A3984" t="s">
        <v>1297</v>
      </c>
      <c r="B3984" t="s">
        <v>1298</v>
      </c>
      <c r="C3984" t="s">
        <v>656</v>
      </c>
      <c r="D3984" t="s">
        <v>1358</v>
      </c>
      <c r="E3984" t="s">
        <v>187</v>
      </c>
      <c r="F3984">
        <v>2005</v>
      </c>
      <c r="G3984">
        <v>9.2781000000000002</v>
      </c>
    </row>
    <row r="3985" spans="1:7">
      <c r="A3985" t="s">
        <v>1297</v>
      </c>
      <c r="B3985" t="s">
        <v>1298</v>
      </c>
      <c r="C3985" t="s">
        <v>656</v>
      </c>
      <c r="D3985" t="s">
        <v>1358</v>
      </c>
      <c r="E3985" t="s">
        <v>187</v>
      </c>
      <c r="F3985">
        <v>2010</v>
      </c>
      <c r="G3985">
        <v>12.311544</v>
      </c>
    </row>
    <row r="3986" spans="1:7">
      <c r="A3986" t="s">
        <v>1297</v>
      </c>
      <c r="B3986" t="s">
        <v>1298</v>
      </c>
      <c r="C3986" t="s">
        <v>656</v>
      </c>
      <c r="D3986" t="s">
        <v>1358</v>
      </c>
      <c r="E3986" t="s">
        <v>187</v>
      </c>
      <c r="F3986">
        <v>2012</v>
      </c>
      <c r="G3986">
        <v>12.658714</v>
      </c>
    </row>
    <row r="3987" spans="1:7">
      <c r="A3987" t="s">
        <v>1297</v>
      </c>
      <c r="B3987" t="s">
        <v>1298</v>
      </c>
      <c r="C3987" t="s">
        <v>656</v>
      </c>
      <c r="D3987" t="s">
        <v>1358</v>
      </c>
      <c r="E3987" t="s">
        <v>187</v>
      </c>
      <c r="F3987">
        <v>2016</v>
      </c>
      <c r="G3987">
        <v>7.6999519999999997</v>
      </c>
    </row>
    <row r="3988" spans="1:7">
      <c r="A3988" t="s">
        <v>1297</v>
      </c>
      <c r="B3988" t="s">
        <v>1298</v>
      </c>
      <c r="C3988" t="s">
        <v>656</v>
      </c>
      <c r="D3988" t="s">
        <v>1358</v>
      </c>
      <c r="E3988" t="s">
        <v>187</v>
      </c>
      <c r="F3988">
        <v>2020</v>
      </c>
      <c r="G3988">
        <v>7.3361419999999997</v>
      </c>
    </row>
    <row r="3989" spans="1:7">
      <c r="A3989" t="s">
        <v>1297</v>
      </c>
      <c r="B3989" t="s">
        <v>1298</v>
      </c>
      <c r="C3989" t="s">
        <v>1303</v>
      </c>
      <c r="D3989" t="s">
        <v>1358</v>
      </c>
      <c r="E3989" t="s">
        <v>187</v>
      </c>
      <c r="F3989">
        <v>2016</v>
      </c>
      <c r="G3989">
        <v>1.7000000000000001E-2</v>
      </c>
    </row>
    <row r="3990" spans="1:7">
      <c r="A3990" t="s">
        <v>1297</v>
      </c>
      <c r="B3990" t="s">
        <v>1298</v>
      </c>
      <c r="C3990" t="s">
        <v>1303</v>
      </c>
      <c r="D3990" t="s">
        <v>1358</v>
      </c>
      <c r="E3990" t="s">
        <v>187</v>
      </c>
      <c r="F3990">
        <v>2020</v>
      </c>
      <c r="G3990">
        <v>6.1199999999999996E-3</v>
      </c>
    </row>
    <row r="3991" spans="1:7">
      <c r="A3991" t="s">
        <v>1297</v>
      </c>
      <c r="B3991" t="s">
        <v>1298</v>
      </c>
      <c r="C3991" t="s">
        <v>681</v>
      </c>
      <c r="D3991" t="s">
        <v>1359</v>
      </c>
      <c r="E3991" t="s">
        <v>187</v>
      </c>
      <c r="F3991">
        <v>2005</v>
      </c>
      <c r="G3991">
        <v>0.44293500000000002</v>
      </c>
    </row>
    <row r="3992" spans="1:7">
      <c r="A3992" t="s">
        <v>1297</v>
      </c>
      <c r="B3992" t="s">
        <v>1298</v>
      </c>
      <c r="C3992" t="s">
        <v>681</v>
      </c>
      <c r="D3992" t="s">
        <v>1359</v>
      </c>
      <c r="E3992" t="s">
        <v>187</v>
      </c>
      <c r="F3992">
        <v>2010</v>
      </c>
      <c r="G3992">
        <v>9.8430000000000004E-2</v>
      </c>
    </row>
    <row r="3993" spans="1:7">
      <c r="A3993" t="s">
        <v>1297</v>
      </c>
      <c r="B3993" t="s">
        <v>1298</v>
      </c>
      <c r="C3993" t="s">
        <v>681</v>
      </c>
      <c r="D3993" t="s">
        <v>1359</v>
      </c>
      <c r="E3993" t="s">
        <v>187</v>
      </c>
      <c r="F3993">
        <v>2012</v>
      </c>
      <c r="G3993">
        <v>4.9215000000000002E-2</v>
      </c>
    </row>
    <row r="3994" spans="1:7">
      <c r="A3994" t="s">
        <v>1297</v>
      </c>
      <c r="B3994" t="s">
        <v>1298</v>
      </c>
      <c r="C3994" t="s">
        <v>681</v>
      </c>
      <c r="D3994" t="s">
        <v>1359</v>
      </c>
      <c r="E3994" t="s">
        <v>187</v>
      </c>
      <c r="F3994">
        <v>2016</v>
      </c>
      <c r="G3994">
        <v>8.5709999999999995E-2</v>
      </c>
    </row>
    <row r="3995" spans="1:7">
      <c r="A3995" t="s">
        <v>1297</v>
      </c>
      <c r="B3995" t="s">
        <v>1298</v>
      </c>
      <c r="C3995" t="s">
        <v>681</v>
      </c>
      <c r="D3995" t="s">
        <v>1359</v>
      </c>
      <c r="E3995" t="s">
        <v>187</v>
      </c>
      <c r="F3995">
        <v>2020</v>
      </c>
      <c r="G3995">
        <v>2.174687</v>
      </c>
    </row>
    <row r="3996" spans="1:7">
      <c r="A3996" t="s">
        <v>1297</v>
      </c>
      <c r="B3996" t="s">
        <v>1298</v>
      </c>
      <c r="C3996" t="s">
        <v>655</v>
      </c>
      <c r="D3996" t="s">
        <v>1359</v>
      </c>
      <c r="E3996" t="s">
        <v>187</v>
      </c>
      <c r="F3996">
        <v>2005</v>
      </c>
      <c r="G3996">
        <v>986.82759999999996</v>
      </c>
    </row>
    <row r="3997" spans="1:7">
      <c r="A3997" t="s">
        <v>1297</v>
      </c>
      <c r="B3997" t="s">
        <v>1298</v>
      </c>
      <c r="C3997" t="s">
        <v>655</v>
      </c>
      <c r="D3997" t="s">
        <v>1359</v>
      </c>
      <c r="E3997" t="s">
        <v>187</v>
      </c>
      <c r="F3997">
        <v>2010</v>
      </c>
      <c r="G3997">
        <v>867.91828199999998</v>
      </c>
    </row>
    <row r="3998" spans="1:7">
      <c r="A3998" t="s">
        <v>1297</v>
      </c>
      <c r="B3998" t="s">
        <v>1298</v>
      </c>
      <c r="C3998" t="s">
        <v>655</v>
      </c>
      <c r="D3998" t="s">
        <v>1359</v>
      </c>
      <c r="E3998" t="s">
        <v>187</v>
      </c>
      <c r="F3998">
        <v>2012</v>
      </c>
      <c r="G3998">
        <v>843.285121</v>
      </c>
    </row>
    <row r="3999" spans="1:7">
      <c r="A3999" t="s">
        <v>1297</v>
      </c>
      <c r="B3999" t="s">
        <v>1298</v>
      </c>
      <c r="C3999" t="s">
        <v>655</v>
      </c>
      <c r="D3999" t="s">
        <v>1359</v>
      </c>
      <c r="E3999" t="s">
        <v>187</v>
      </c>
      <c r="F3999">
        <v>2016</v>
      </c>
      <c r="G3999">
        <v>668.74397799999997</v>
      </c>
    </row>
    <row r="4000" spans="1:7">
      <c r="A4000" t="s">
        <v>1297</v>
      </c>
      <c r="B4000" t="s">
        <v>1298</v>
      </c>
      <c r="C4000" t="s">
        <v>655</v>
      </c>
      <c r="D4000" t="s">
        <v>1359</v>
      </c>
      <c r="E4000" t="s">
        <v>187</v>
      </c>
      <c r="F4000">
        <v>2020</v>
      </c>
      <c r="G4000">
        <v>559.40726199999995</v>
      </c>
    </row>
    <row r="4001" spans="1:7">
      <c r="A4001" t="s">
        <v>1297</v>
      </c>
      <c r="B4001" t="s">
        <v>1298</v>
      </c>
      <c r="C4001" t="s">
        <v>671</v>
      </c>
      <c r="D4001" t="s">
        <v>1359</v>
      </c>
      <c r="E4001" t="s">
        <v>187</v>
      </c>
      <c r="F4001">
        <v>2005</v>
      </c>
      <c r="G4001">
        <v>2864.5939760000001</v>
      </c>
    </row>
    <row r="4002" spans="1:7">
      <c r="A4002" t="s">
        <v>1297</v>
      </c>
      <c r="B4002" t="s">
        <v>1298</v>
      </c>
      <c r="C4002" t="s">
        <v>671</v>
      </c>
      <c r="D4002" t="s">
        <v>1359</v>
      </c>
      <c r="E4002" t="s">
        <v>187</v>
      </c>
      <c r="F4002">
        <v>2010</v>
      </c>
      <c r="G4002">
        <v>2305.9599859999998</v>
      </c>
    </row>
    <row r="4003" spans="1:7">
      <c r="A4003" t="s">
        <v>1297</v>
      </c>
      <c r="B4003" t="s">
        <v>1298</v>
      </c>
      <c r="C4003" t="s">
        <v>671</v>
      </c>
      <c r="D4003" t="s">
        <v>1359</v>
      </c>
      <c r="E4003" t="s">
        <v>187</v>
      </c>
      <c r="F4003">
        <v>2012</v>
      </c>
      <c r="G4003">
        <v>2407.6947500000001</v>
      </c>
    </row>
    <row r="4004" spans="1:7">
      <c r="A4004" t="s">
        <v>1297</v>
      </c>
      <c r="B4004" t="s">
        <v>1298</v>
      </c>
      <c r="C4004" t="s">
        <v>671</v>
      </c>
      <c r="D4004" t="s">
        <v>1359</v>
      </c>
      <c r="E4004" t="s">
        <v>187</v>
      </c>
      <c r="F4004">
        <v>2016</v>
      </c>
      <c r="G4004">
        <v>2180.9706339999998</v>
      </c>
    </row>
    <row r="4005" spans="1:7">
      <c r="A4005" t="s">
        <v>1297</v>
      </c>
      <c r="B4005" t="s">
        <v>1298</v>
      </c>
      <c r="C4005" t="s">
        <v>671</v>
      </c>
      <c r="D4005" t="s">
        <v>1359</v>
      </c>
      <c r="E4005" t="s">
        <v>187</v>
      </c>
      <c r="F4005">
        <v>2020</v>
      </c>
      <c r="G4005">
        <v>1856.955001</v>
      </c>
    </row>
    <row r="4006" spans="1:7">
      <c r="A4006" t="s">
        <v>1297</v>
      </c>
      <c r="B4006" t="s">
        <v>1298</v>
      </c>
      <c r="C4006" t="s">
        <v>685</v>
      </c>
      <c r="D4006" t="s">
        <v>1359</v>
      </c>
      <c r="E4006" t="s">
        <v>187</v>
      </c>
      <c r="F4006">
        <v>2005</v>
      </c>
      <c r="G4006">
        <v>53.960802000000001</v>
      </c>
    </row>
    <row r="4007" spans="1:7">
      <c r="A4007" t="s">
        <v>1297</v>
      </c>
      <c r="B4007" t="s">
        <v>1298</v>
      </c>
      <c r="C4007" t="s">
        <v>685</v>
      </c>
      <c r="D4007" t="s">
        <v>1359</v>
      </c>
      <c r="E4007" t="s">
        <v>187</v>
      </c>
      <c r="F4007">
        <v>2010</v>
      </c>
      <c r="G4007">
        <v>49.999664000000003</v>
      </c>
    </row>
    <row r="4008" spans="1:7">
      <c r="A4008" t="s">
        <v>1297</v>
      </c>
      <c r="B4008" t="s">
        <v>1298</v>
      </c>
      <c r="C4008" t="s">
        <v>685</v>
      </c>
      <c r="D4008" t="s">
        <v>1359</v>
      </c>
      <c r="E4008" t="s">
        <v>187</v>
      </c>
      <c r="F4008">
        <v>2012</v>
      </c>
      <c r="G4008">
        <v>52.163984999999997</v>
      </c>
    </row>
    <row r="4009" spans="1:7">
      <c r="A4009" t="s">
        <v>1297</v>
      </c>
      <c r="B4009" t="s">
        <v>1298</v>
      </c>
      <c r="C4009" t="s">
        <v>685</v>
      </c>
      <c r="D4009" t="s">
        <v>1359</v>
      </c>
      <c r="E4009" t="s">
        <v>187</v>
      </c>
      <c r="F4009">
        <v>2016</v>
      </c>
      <c r="G4009">
        <v>31.20515</v>
      </c>
    </row>
    <row r="4010" spans="1:7">
      <c r="A4010" t="s">
        <v>1297</v>
      </c>
      <c r="B4010" t="s">
        <v>1298</v>
      </c>
      <c r="C4010" t="s">
        <v>685</v>
      </c>
      <c r="D4010" t="s">
        <v>1359</v>
      </c>
      <c r="E4010" t="s">
        <v>187</v>
      </c>
      <c r="F4010">
        <v>2020</v>
      </c>
      <c r="G4010">
        <v>36.022067</v>
      </c>
    </row>
    <row r="4011" spans="1:7">
      <c r="A4011" t="s">
        <v>1297</v>
      </c>
      <c r="B4011" t="s">
        <v>1298</v>
      </c>
      <c r="C4011" t="s">
        <v>1302</v>
      </c>
      <c r="D4011" t="s">
        <v>1359</v>
      </c>
      <c r="E4011" t="s">
        <v>187</v>
      </c>
      <c r="F4011">
        <v>2005</v>
      </c>
      <c r="G4011">
        <v>51.134307999999997</v>
      </c>
    </row>
    <row r="4012" spans="1:7">
      <c r="A4012" t="s">
        <v>1297</v>
      </c>
      <c r="B4012" t="s">
        <v>1298</v>
      </c>
      <c r="C4012" t="s">
        <v>1302</v>
      </c>
      <c r="D4012" t="s">
        <v>1359</v>
      </c>
      <c r="E4012" t="s">
        <v>187</v>
      </c>
      <c r="F4012">
        <v>2010</v>
      </c>
      <c r="G4012">
        <v>67.479498000000007</v>
      </c>
    </row>
    <row r="4013" spans="1:7">
      <c r="A4013" t="s">
        <v>1297</v>
      </c>
      <c r="B4013" t="s">
        <v>1298</v>
      </c>
      <c r="C4013" t="s">
        <v>1302</v>
      </c>
      <c r="D4013" t="s">
        <v>1359</v>
      </c>
      <c r="E4013" t="s">
        <v>187</v>
      </c>
      <c r="F4013">
        <v>2012</v>
      </c>
      <c r="G4013">
        <v>62.634456</v>
      </c>
    </row>
    <row r="4014" spans="1:7">
      <c r="A4014" t="s">
        <v>1297</v>
      </c>
      <c r="B4014" t="s">
        <v>1298</v>
      </c>
      <c r="C4014" t="s">
        <v>1302</v>
      </c>
      <c r="D4014" t="s">
        <v>1359</v>
      </c>
      <c r="E4014" t="s">
        <v>187</v>
      </c>
      <c r="F4014">
        <v>2016</v>
      </c>
      <c r="G4014">
        <v>68.665402</v>
      </c>
    </row>
    <row r="4015" spans="1:7">
      <c r="A4015" t="s">
        <v>1297</v>
      </c>
      <c r="B4015" t="s">
        <v>1298</v>
      </c>
      <c r="C4015" t="s">
        <v>1302</v>
      </c>
      <c r="D4015" t="s">
        <v>1359</v>
      </c>
      <c r="E4015" t="s">
        <v>187</v>
      </c>
      <c r="F4015">
        <v>2020</v>
      </c>
      <c r="G4015">
        <v>62.907924000000001</v>
      </c>
    </row>
    <row r="4016" spans="1:7">
      <c r="A4016" t="s">
        <v>1297</v>
      </c>
      <c r="B4016" t="s">
        <v>1298</v>
      </c>
      <c r="C4016" t="s">
        <v>673</v>
      </c>
      <c r="D4016" t="s">
        <v>1359</v>
      </c>
      <c r="E4016" t="s">
        <v>187</v>
      </c>
      <c r="F4016">
        <v>2005</v>
      </c>
      <c r="G4016">
        <v>242.556432</v>
      </c>
    </row>
    <row r="4017" spans="1:7">
      <c r="A4017" t="s">
        <v>1297</v>
      </c>
      <c r="B4017" t="s">
        <v>1298</v>
      </c>
      <c r="C4017" t="s">
        <v>673</v>
      </c>
      <c r="D4017" t="s">
        <v>1359</v>
      </c>
      <c r="E4017" t="s">
        <v>187</v>
      </c>
      <c r="F4017">
        <v>2010</v>
      </c>
      <c r="G4017">
        <v>247.14149</v>
      </c>
    </row>
    <row r="4018" spans="1:7">
      <c r="A4018" t="s">
        <v>1297</v>
      </c>
      <c r="B4018" t="s">
        <v>1298</v>
      </c>
      <c r="C4018" t="s">
        <v>673</v>
      </c>
      <c r="D4018" t="s">
        <v>1359</v>
      </c>
      <c r="E4018" t="s">
        <v>187</v>
      </c>
      <c r="F4018">
        <v>2012</v>
      </c>
      <c r="G4018">
        <v>265.68227100000001</v>
      </c>
    </row>
    <row r="4019" spans="1:7">
      <c r="A4019" t="s">
        <v>1297</v>
      </c>
      <c r="B4019" t="s">
        <v>1298</v>
      </c>
      <c r="C4019" t="s">
        <v>673</v>
      </c>
      <c r="D4019" t="s">
        <v>1359</v>
      </c>
      <c r="E4019" t="s">
        <v>187</v>
      </c>
      <c r="F4019">
        <v>2016</v>
      </c>
      <c r="G4019">
        <v>177.26772</v>
      </c>
    </row>
    <row r="4020" spans="1:7">
      <c r="A4020" t="s">
        <v>1297</v>
      </c>
      <c r="B4020" t="s">
        <v>1298</v>
      </c>
      <c r="C4020" t="s">
        <v>673</v>
      </c>
      <c r="D4020" t="s">
        <v>1359</v>
      </c>
      <c r="E4020" t="s">
        <v>187</v>
      </c>
      <c r="F4020">
        <v>2020</v>
      </c>
      <c r="G4020">
        <v>164.44647699999999</v>
      </c>
    </row>
    <row r="4021" spans="1:7">
      <c r="A4021" t="s">
        <v>1297</v>
      </c>
      <c r="B4021" t="s">
        <v>1298</v>
      </c>
      <c r="C4021" t="s">
        <v>1301</v>
      </c>
      <c r="D4021" t="s">
        <v>1359</v>
      </c>
      <c r="E4021" t="s">
        <v>187</v>
      </c>
      <c r="F4021">
        <v>2005</v>
      </c>
      <c r="G4021">
        <v>442.74378400000001</v>
      </c>
    </row>
    <row r="4022" spans="1:7">
      <c r="A4022" t="s">
        <v>1297</v>
      </c>
      <c r="B4022" t="s">
        <v>1298</v>
      </c>
      <c r="C4022" t="s">
        <v>1301</v>
      </c>
      <c r="D4022" t="s">
        <v>1359</v>
      </c>
      <c r="E4022" t="s">
        <v>187</v>
      </c>
      <c r="F4022">
        <v>2010</v>
      </c>
      <c r="G4022">
        <v>700.90268500000002</v>
      </c>
    </row>
    <row r="4023" spans="1:7">
      <c r="A4023" t="s">
        <v>1297</v>
      </c>
      <c r="B4023" t="s">
        <v>1298</v>
      </c>
      <c r="C4023" t="s">
        <v>1301</v>
      </c>
      <c r="D4023" t="s">
        <v>1359</v>
      </c>
      <c r="E4023" t="s">
        <v>187</v>
      </c>
      <c r="F4023">
        <v>2012</v>
      </c>
      <c r="G4023">
        <v>651.22787100000005</v>
      </c>
    </row>
    <row r="4024" spans="1:7">
      <c r="A4024" t="s">
        <v>1297</v>
      </c>
      <c r="B4024" t="s">
        <v>1298</v>
      </c>
      <c r="C4024" t="s">
        <v>1301</v>
      </c>
      <c r="D4024" t="s">
        <v>1359</v>
      </c>
      <c r="E4024" t="s">
        <v>187</v>
      </c>
      <c r="F4024">
        <v>2016</v>
      </c>
      <c r="G4024">
        <v>648.85438299999998</v>
      </c>
    </row>
    <row r="4025" spans="1:7">
      <c r="A4025" t="s">
        <v>1297</v>
      </c>
      <c r="B4025" t="s">
        <v>1298</v>
      </c>
      <c r="C4025" t="s">
        <v>1301</v>
      </c>
      <c r="D4025" t="s">
        <v>1359</v>
      </c>
      <c r="E4025" t="s">
        <v>187</v>
      </c>
      <c r="F4025">
        <v>2020</v>
      </c>
      <c r="G4025">
        <v>729.70279700000003</v>
      </c>
    </row>
    <row r="4026" spans="1:7">
      <c r="A4026" t="s">
        <v>1297</v>
      </c>
      <c r="B4026" t="s">
        <v>1298</v>
      </c>
      <c r="C4026" t="s">
        <v>1303</v>
      </c>
      <c r="D4026" t="s">
        <v>1359</v>
      </c>
      <c r="E4026" t="s">
        <v>187</v>
      </c>
      <c r="F4026">
        <v>2016</v>
      </c>
      <c r="G4026">
        <v>5.0490000000000004</v>
      </c>
    </row>
    <row r="4027" spans="1:7">
      <c r="A4027" t="s">
        <v>1297</v>
      </c>
      <c r="B4027" t="s">
        <v>1298</v>
      </c>
      <c r="C4027" t="s">
        <v>1303</v>
      </c>
      <c r="D4027" t="s">
        <v>1359</v>
      </c>
      <c r="E4027" t="s">
        <v>187</v>
      </c>
      <c r="F4027">
        <v>2020</v>
      </c>
      <c r="G4027">
        <v>0.2601</v>
      </c>
    </row>
    <row r="4028" spans="1:7">
      <c r="A4028" t="s">
        <v>1297</v>
      </c>
      <c r="B4028" t="s">
        <v>1298</v>
      </c>
      <c r="C4028" t="s">
        <v>656</v>
      </c>
      <c r="D4028" t="s">
        <v>1359</v>
      </c>
      <c r="E4028" t="s">
        <v>187</v>
      </c>
      <c r="F4028">
        <v>2005</v>
      </c>
      <c r="G4028">
        <v>2363.7924029999999</v>
      </c>
    </row>
    <row r="4029" spans="1:7">
      <c r="A4029" t="s">
        <v>1297</v>
      </c>
      <c r="B4029" t="s">
        <v>1298</v>
      </c>
      <c r="C4029" t="s">
        <v>656</v>
      </c>
      <c r="D4029" t="s">
        <v>1359</v>
      </c>
      <c r="E4029" t="s">
        <v>187</v>
      </c>
      <c r="F4029">
        <v>2010</v>
      </c>
      <c r="G4029">
        <v>1921.9851779999999</v>
      </c>
    </row>
    <row r="4030" spans="1:7">
      <c r="A4030" t="s">
        <v>1297</v>
      </c>
      <c r="B4030" t="s">
        <v>1298</v>
      </c>
      <c r="C4030" t="s">
        <v>656</v>
      </c>
      <c r="D4030" t="s">
        <v>1359</v>
      </c>
      <c r="E4030" t="s">
        <v>187</v>
      </c>
      <c r="F4030">
        <v>2012</v>
      </c>
      <c r="G4030">
        <v>1992.760248</v>
      </c>
    </row>
    <row r="4031" spans="1:7">
      <c r="A4031" t="s">
        <v>1297</v>
      </c>
      <c r="B4031" t="s">
        <v>1298</v>
      </c>
      <c r="C4031" t="s">
        <v>656</v>
      </c>
      <c r="D4031" t="s">
        <v>1359</v>
      </c>
      <c r="E4031" t="s">
        <v>187</v>
      </c>
      <c r="F4031">
        <v>2016</v>
      </c>
      <c r="G4031">
        <v>1663.204673</v>
      </c>
    </row>
    <row r="4032" spans="1:7">
      <c r="A4032" t="s">
        <v>1297</v>
      </c>
      <c r="B4032" t="s">
        <v>1298</v>
      </c>
      <c r="C4032" t="s">
        <v>656</v>
      </c>
      <c r="D4032" t="s">
        <v>1359</v>
      </c>
      <c r="E4032" t="s">
        <v>187</v>
      </c>
      <c r="F4032">
        <v>2020</v>
      </c>
      <c r="G4032">
        <v>1189.899973</v>
      </c>
    </row>
    <row r="4033" spans="1:7">
      <c r="A4033" t="s">
        <v>1297</v>
      </c>
      <c r="B4033" t="s">
        <v>1298</v>
      </c>
      <c r="C4033" t="s">
        <v>679</v>
      </c>
      <c r="D4033" t="s">
        <v>1359</v>
      </c>
      <c r="E4033" t="s">
        <v>187</v>
      </c>
      <c r="F4033">
        <v>2005</v>
      </c>
      <c r="G4033">
        <v>41.335099999999997</v>
      </c>
    </row>
    <row r="4034" spans="1:7">
      <c r="A4034" t="s">
        <v>1297</v>
      </c>
      <c r="B4034" t="s">
        <v>1298</v>
      </c>
      <c r="C4034" t="s">
        <v>679</v>
      </c>
      <c r="D4034" t="s">
        <v>1359</v>
      </c>
      <c r="E4034" t="s">
        <v>187</v>
      </c>
      <c r="F4034">
        <v>2010</v>
      </c>
      <c r="G4034">
        <v>54.3735</v>
      </c>
    </row>
    <row r="4035" spans="1:7">
      <c r="A4035" t="s">
        <v>1297</v>
      </c>
      <c r="B4035" t="s">
        <v>1298</v>
      </c>
      <c r="C4035" t="s">
        <v>679</v>
      </c>
      <c r="D4035" t="s">
        <v>1359</v>
      </c>
      <c r="E4035" t="s">
        <v>187</v>
      </c>
      <c r="F4035">
        <v>2012</v>
      </c>
      <c r="G4035">
        <v>34.5349</v>
      </c>
    </row>
    <row r="4036" spans="1:7">
      <c r="A4036" t="s">
        <v>1297</v>
      </c>
      <c r="B4036" t="s">
        <v>1298</v>
      </c>
      <c r="C4036" t="s">
        <v>663</v>
      </c>
      <c r="D4036" t="s">
        <v>1359</v>
      </c>
      <c r="E4036" t="s">
        <v>187</v>
      </c>
      <c r="F4036">
        <v>2005</v>
      </c>
      <c r="G4036">
        <v>73.191360000000003</v>
      </c>
    </row>
    <row r="4037" spans="1:7">
      <c r="A4037" t="s">
        <v>1297</v>
      </c>
      <c r="B4037" t="s">
        <v>1298</v>
      </c>
      <c r="C4037" t="s">
        <v>663</v>
      </c>
      <c r="D4037" t="s">
        <v>1359</v>
      </c>
      <c r="E4037" t="s">
        <v>187</v>
      </c>
      <c r="F4037">
        <v>2010</v>
      </c>
      <c r="G4037">
        <v>66.707160000000002</v>
      </c>
    </row>
    <row r="4038" spans="1:7">
      <c r="A4038" t="s">
        <v>1297</v>
      </c>
      <c r="B4038" t="s">
        <v>1298</v>
      </c>
      <c r="C4038" t="s">
        <v>663</v>
      </c>
      <c r="D4038" t="s">
        <v>1359</v>
      </c>
      <c r="E4038" t="s">
        <v>187</v>
      </c>
      <c r="F4038">
        <v>2012</v>
      </c>
      <c r="G4038">
        <v>67.259600000000006</v>
      </c>
    </row>
    <row r="4039" spans="1:7">
      <c r="A4039" t="s">
        <v>1297</v>
      </c>
      <c r="B4039" t="s">
        <v>1298</v>
      </c>
      <c r="C4039" t="s">
        <v>663</v>
      </c>
      <c r="D4039" t="s">
        <v>1359</v>
      </c>
      <c r="E4039" t="s">
        <v>187</v>
      </c>
      <c r="F4039">
        <v>2016</v>
      </c>
      <c r="G4039">
        <v>61.231104000000002</v>
      </c>
    </row>
    <row r="4040" spans="1:7">
      <c r="A4040" t="s">
        <v>1297</v>
      </c>
      <c r="B4040" t="s">
        <v>1298</v>
      </c>
      <c r="C4040" t="s">
        <v>663</v>
      </c>
      <c r="D4040" t="s">
        <v>1359</v>
      </c>
      <c r="E4040" t="s">
        <v>187</v>
      </c>
      <c r="F4040">
        <v>2020</v>
      </c>
      <c r="G4040">
        <v>41.595525000000002</v>
      </c>
    </row>
    <row r="4041" spans="1:7">
      <c r="A4041" t="s">
        <v>1297</v>
      </c>
      <c r="B4041" t="s">
        <v>1298</v>
      </c>
      <c r="C4041" t="s">
        <v>686</v>
      </c>
      <c r="D4041" t="s">
        <v>1359</v>
      </c>
      <c r="E4041" t="s">
        <v>187</v>
      </c>
      <c r="F4041">
        <v>2005</v>
      </c>
      <c r="G4041">
        <v>312.36526800000001</v>
      </c>
    </row>
    <row r="4042" spans="1:7">
      <c r="A4042" t="s">
        <v>1297</v>
      </c>
      <c r="B4042" t="s">
        <v>1298</v>
      </c>
      <c r="C4042" t="s">
        <v>686</v>
      </c>
      <c r="D4042" t="s">
        <v>1359</v>
      </c>
      <c r="E4042" t="s">
        <v>187</v>
      </c>
      <c r="F4042">
        <v>2010</v>
      </c>
      <c r="G4042">
        <v>302.66872000000001</v>
      </c>
    </row>
    <row r="4043" spans="1:7">
      <c r="A4043" t="s">
        <v>1297</v>
      </c>
      <c r="B4043" t="s">
        <v>1298</v>
      </c>
      <c r="C4043" t="s">
        <v>686</v>
      </c>
      <c r="D4043" t="s">
        <v>1359</v>
      </c>
      <c r="E4043" t="s">
        <v>187</v>
      </c>
      <c r="F4043">
        <v>2012</v>
      </c>
      <c r="G4043">
        <v>304.72498000000002</v>
      </c>
    </row>
    <row r="4044" spans="1:7">
      <c r="A4044" t="s">
        <v>1297</v>
      </c>
      <c r="B4044" t="s">
        <v>1298</v>
      </c>
      <c r="C4044" t="s">
        <v>686</v>
      </c>
      <c r="D4044" t="s">
        <v>1359</v>
      </c>
      <c r="E4044" t="s">
        <v>187</v>
      </c>
      <c r="F4044">
        <v>2016</v>
      </c>
      <c r="G4044">
        <v>301.48491999999999</v>
      </c>
    </row>
    <row r="4045" spans="1:7">
      <c r="A4045" t="s">
        <v>1297</v>
      </c>
      <c r="B4045" t="s">
        <v>1298</v>
      </c>
      <c r="C4045" t="s">
        <v>686</v>
      </c>
      <c r="D4045" t="s">
        <v>1359</v>
      </c>
      <c r="E4045" t="s">
        <v>187</v>
      </c>
      <c r="F4045">
        <v>2020</v>
      </c>
      <c r="G4045">
        <v>285.77201600000001</v>
      </c>
    </row>
    <row r="4046" spans="1:7">
      <c r="A4046" t="s">
        <v>1297</v>
      </c>
      <c r="B4046" t="s">
        <v>1298</v>
      </c>
      <c r="C4046" t="s">
        <v>662</v>
      </c>
      <c r="D4046" t="s">
        <v>1359</v>
      </c>
      <c r="E4046" t="s">
        <v>187</v>
      </c>
      <c r="F4046">
        <v>2020</v>
      </c>
      <c r="G4046">
        <v>129.266875</v>
      </c>
    </row>
    <row r="4047" spans="1:7">
      <c r="A4047" t="s">
        <v>1297</v>
      </c>
      <c r="B4047" t="s">
        <v>1298</v>
      </c>
      <c r="C4047" t="s">
        <v>1299</v>
      </c>
      <c r="D4047" t="s">
        <v>1359</v>
      </c>
      <c r="E4047" t="s">
        <v>187</v>
      </c>
      <c r="F4047">
        <v>2005</v>
      </c>
      <c r="G4047">
        <v>1445.6195789999999</v>
      </c>
    </row>
    <row r="4048" spans="1:7">
      <c r="A4048" t="s">
        <v>1297</v>
      </c>
      <c r="B4048" t="s">
        <v>1298</v>
      </c>
      <c r="C4048" t="s">
        <v>1299</v>
      </c>
      <c r="D4048" t="s">
        <v>1359</v>
      </c>
      <c r="E4048" t="s">
        <v>187</v>
      </c>
      <c r="F4048">
        <v>2010</v>
      </c>
      <c r="G4048">
        <v>1345.7207619999999</v>
      </c>
    </row>
    <row r="4049" spans="1:7">
      <c r="A4049" t="s">
        <v>1297</v>
      </c>
      <c r="B4049" t="s">
        <v>1298</v>
      </c>
      <c r="C4049" t="s">
        <v>1299</v>
      </c>
      <c r="D4049" t="s">
        <v>1359</v>
      </c>
      <c r="E4049" t="s">
        <v>187</v>
      </c>
      <c r="F4049">
        <v>2012</v>
      </c>
      <c r="G4049">
        <v>1635.0454480000001</v>
      </c>
    </row>
    <row r="4050" spans="1:7">
      <c r="A4050" t="s">
        <v>1297</v>
      </c>
      <c r="B4050" t="s">
        <v>1298</v>
      </c>
      <c r="C4050" t="s">
        <v>1299</v>
      </c>
      <c r="D4050" t="s">
        <v>1359</v>
      </c>
      <c r="E4050" t="s">
        <v>187</v>
      </c>
      <c r="F4050">
        <v>2016</v>
      </c>
      <c r="G4050">
        <v>858.95048599999996</v>
      </c>
    </row>
    <row r="4051" spans="1:7">
      <c r="A4051" t="s">
        <v>1297</v>
      </c>
      <c r="B4051" t="s">
        <v>1298</v>
      </c>
      <c r="C4051" t="s">
        <v>1299</v>
      </c>
      <c r="D4051" t="s">
        <v>1359</v>
      </c>
      <c r="E4051" t="s">
        <v>187</v>
      </c>
      <c r="F4051">
        <v>2020</v>
      </c>
      <c r="G4051">
        <v>596.64305400000001</v>
      </c>
    </row>
    <row r="4052" spans="1:7">
      <c r="A4052" t="s">
        <v>1297</v>
      </c>
      <c r="B4052" t="s">
        <v>1298</v>
      </c>
      <c r="C4052" t="s">
        <v>665</v>
      </c>
      <c r="D4052" t="s">
        <v>1359</v>
      </c>
      <c r="E4052" t="s">
        <v>187</v>
      </c>
      <c r="F4052">
        <v>2005</v>
      </c>
      <c r="G4052">
        <v>2.5257649999999998</v>
      </c>
    </row>
    <row r="4053" spans="1:7">
      <c r="A4053" t="s">
        <v>1297</v>
      </c>
      <c r="B4053" t="s">
        <v>1298</v>
      </c>
      <c r="C4053" t="s">
        <v>665</v>
      </c>
      <c r="D4053" t="s">
        <v>1359</v>
      </c>
      <c r="E4053" t="s">
        <v>187</v>
      </c>
      <c r="F4053">
        <v>2010</v>
      </c>
      <c r="G4053">
        <v>2.6852870000000002</v>
      </c>
    </row>
    <row r="4054" spans="1:7">
      <c r="A4054" t="s">
        <v>1297</v>
      </c>
      <c r="B4054" t="s">
        <v>1298</v>
      </c>
      <c r="C4054" t="s">
        <v>665</v>
      </c>
      <c r="D4054" t="s">
        <v>1359</v>
      </c>
      <c r="E4054" t="s">
        <v>187</v>
      </c>
      <c r="F4054">
        <v>2012</v>
      </c>
      <c r="G4054">
        <v>2.12696</v>
      </c>
    </row>
    <row r="4055" spans="1:7">
      <c r="A4055" t="s">
        <v>1297</v>
      </c>
      <c r="B4055" t="s">
        <v>1298</v>
      </c>
      <c r="C4055" t="s">
        <v>653</v>
      </c>
      <c r="D4055" t="s">
        <v>1359</v>
      </c>
      <c r="E4055" t="s">
        <v>187</v>
      </c>
      <c r="F4055">
        <v>2012</v>
      </c>
      <c r="G4055">
        <v>234.79037199999999</v>
      </c>
    </row>
    <row r="4056" spans="1:7">
      <c r="A4056" t="s">
        <v>1297</v>
      </c>
      <c r="B4056" t="s">
        <v>1298</v>
      </c>
      <c r="C4056" t="s">
        <v>653</v>
      </c>
      <c r="D4056" t="s">
        <v>1359</v>
      </c>
      <c r="E4056" t="s">
        <v>187</v>
      </c>
      <c r="F4056">
        <v>2016</v>
      </c>
      <c r="G4056">
        <v>212.74557200000001</v>
      </c>
    </row>
    <row r="4057" spans="1:7">
      <c r="A4057" t="s">
        <v>1297</v>
      </c>
      <c r="B4057" t="s">
        <v>1298</v>
      </c>
      <c r="C4057" t="s">
        <v>653</v>
      </c>
      <c r="D4057" t="s">
        <v>1359</v>
      </c>
      <c r="E4057" t="s">
        <v>187</v>
      </c>
      <c r="F4057">
        <v>2020</v>
      </c>
      <c r="G4057">
        <v>195.78050300000001</v>
      </c>
    </row>
    <row r="4058" spans="1:7">
      <c r="A4058" t="s">
        <v>1297</v>
      </c>
      <c r="B4058" t="s">
        <v>1298</v>
      </c>
      <c r="C4058" t="s">
        <v>675</v>
      </c>
      <c r="D4058" t="s">
        <v>1359</v>
      </c>
      <c r="E4058" t="s">
        <v>187</v>
      </c>
      <c r="F4058">
        <v>2005</v>
      </c>
      <c r="G4058">
        <v>49.57226</v>
      </c>
    </row>
    <row r="4059" spans="1:7">
      <c r="A4059" t="s">
        <v>1297</v>
      </c>
      <c r="B4059" t="s">
        <v>1298</v>
      </c>
      <c r="C4059" t="s">
        <v>675</v>
      </c>
      <c r="D4059" t="s">
        <v>1359</v>
      </c>
      <c r="E4059" t="s">
        <v>187</v>
      </c>
      <c r="F4059">
        <v>2010</v>
      </c>
      <c r="G4059">
        <v>50.072290000000002</v>
      </c>
    </row>
    <row r="4060" spans="1:7">
      <c r="A4060" t="s">
        <v>1297</v>
      </c>
      <c r="B4060" t="s">
        <v>1298</v>
      </c>
      <c r="C4060" t="s">
        <v>675</v>
      </c>
      <c r="D4060" t="s">
        <v>1359</v>
      </c>
      <c r="E4060" t="s">
        <v>187</v>
      </c>
      <c r="F4060">
        <v>2012</v>
      </c>
      <c r="G4060">
        <v>45.770322</v>
      </c>
    </row>
    <row r="4061" spans="1:7">
      <c r="A4061" t="s">
        <v>1297</v>
      </c>
      <c r="B4061" t="s">
        <v>1298</v>
      </c>
      <c r="C4061" t="s">
        <v>675</v>
      </c>
      <c r="D4061" t="s">
        <v>1359</v>
      </c>
      <c r="E4061" t="s">
        <v>187</v>
      </c>
      <c r="F4061">
        <v>2016</v>
      </c>
      <c r="G4061">
        <v>39.434474999999999</v>
      </c>
    </row>
    <row r="4062" spans="1:7">
      <c r="A4062" t="s">
        <v>1297</v>
      </c>
      <c r="B4062" t="s">
        <v>1298</v>
      </c>
      <c r="C4062" t="s">
        <v>675</v>
      </c>
      <c r="D4062" t="s">
        <v>1359</v>
      </c>
      <c r="E4062" t="s">
        <v>187</v>
      </c>
      <c r="F4062">
        <v>2020</v>
      </c>
      <c r="G4062">
        <v>37.317737999999999</v>
      </c>
    </row>
    <row r="4063" spans="1:7">
      <c r="A4063" t="s">
        <v>1297</v>
      </c>
      <c r="B4063" t="s">
        <v>1298</v>
      </c>
      <c r="C4063" t="s">
        <v>682</v>
      </c>
      <c r="D4063" t="s">
        <v>1359</v>
      </c>
      <c r="E4063" t="s">
        <v>187</v>
      </c>
      <c r="F4063">
        <v>2016</v>
      </c>
      <c r="G4063">
        <v>147.39613199999999</v>
      </c>
    </row>
    <row r="4064" spans="1:7">
      <c r="A4064" t="s">
        <v>1297</v>
      </c>
      <c r="B4064" t="s">
        <v>1298</v>
      </c>
      <c r="C4064" t="s">
        <v>682</v>
      </c>
      <c r="D4064" t="s">
        <v>1359</v>
      </c>
      <c r="E4064" t="s">
        <v>187</v>
      </c>
      <c r="F4064">
        <v>2020</v>
      </c>
      <c r="G4064">
        <v>142.46132299999999</v>
      </c>
    </row>
    <row r="4065" spans="1:7">
      <c r="A4065" t="s">
        <v>1297</v>
      </c>
      <c r="B4065" t="s">
        <v>1298</v>
      </c>
      <c r="C4065" t="s">
        <v>659</v>
      </c>
      <c r="D4065" t="s">
        <v>1359</v>
      </c>
      <c r="E4065" t="s">
        <v>187</v>
      </c>
      <c r="F4065">
        <v>2005</v>
      </c>
      <c r="G4065">
        <v>262.29278099999999</v>
      </c>
    </row>
    <row r="4066" spans="1:7">
      <c r="A4066" t="s">
        <v>1297</v>
      </c>
      <c r="B4066" t="s">
        <v>1298</v>
      </c>
      <c r="C4066" t="s">
        <v>659</v>
      </c>
      <c r="D4066" t="s">
        <v>1359</v>
      </c>
      <c r="E4066" t="s">
        <v>187</v>
      </c>
      <c r="F4066">
        <v>2010</v>
      </c>
      <c r="G4066">
        <v>138.01262800000001</v>
      </c>
    </row>
    <row r="4067" spans="1:7">
      <c r="A4067" t="s">
        <v>1297</v>
      </c>
      <c r="B4067" t="s">
        <v>1298</v>
      </c>
      <c r="C4067" t="s">
        <v>659</v>
      </c>
      <c r="D4067" t="s">
        <v>1359</v>
      </c>
      <c r="E4067" t="s">
        <v>187</v>
      </c>
      <c r="F4067">
        <v>2012</v>
      </c>
      <c r="G4067">
        <v>103.02581000000001</v>
      </c>
    </row>
    <row r="4068" spans="1:7">
      <c r="A4068" t="s">
        <v>1297</v>
      </c>
      <c r="B4068" t="s">
        <v>1298</v>
      </c>
      <c r="C4068" t="s">
        <v>659</v>
      </c>
      <c r="D4068" t="s">
        <v>1359</v>
      </c>
      <c r="E4068" t="s">
        <v>187</v>
      </c>
      <c r="F4068">
        <v>2016</v>
      </c>
      <c r="G4068">
        <v>30.822500000000002</v>
      </c>
    </row>
    <row r="4069" spans="1:7">
      <c r="A4069" t="s">
        <v>1297</v>
      </c>
      <c r="B4069" t="s">
        <v>1298</v>
      </c>
      <c r="C4069" t="s">
        <v>684</v>
      </c>
      <c r="D4069" t="s">
        <v>1359</v>
      </c>
      <c r="E4069" t="s">
        <v>187</v>
      </c>
      <c r="F4069">
        <v>2005</v>
      </c>
      <c r="G4069">
        <v>12.01022</v>
      </c>
    </row>
    <row r="4070" spans="1:7">
      <c r="A4070" t="s">
        <v>1297</v>
      </c>
      <c r="B4070" t="s">
        <v>1298</v>
      </c>
      <c r="C4070" t="s">
        <v>684</v>
      </c>
      <c r="D4070" t="s">
        <v>1359</v>
      </c>
      <c r="E4070" t="s">
        <v>187</v>
      </c>
      <c r="F4070">
        <v>2010</v>
      </c>
      <c r="G4070">
        <v>17.848980000000001</v>
      </c>
    </row>
    <row r="4071" spans="1:7">
      <c r="A4071" t="s">
        <v>1297</v>
      </c>
      <c r="B4071" t="s">
        <v>1298</v>
      </c>
      <c r="C4071" t="s">
        <v>684</v>
      </c>
      <c r="D4071" t="s">
        <v>1359</v>
      </c>
      <c r="E4071" t="s">
        <v>187</v>
      </c>
      <c r="F4071">
        <v>2012</v>
      </c>
      <c r="G4071">
        <v>16.449059999999999</v>
      </c>
    </row>
    <row r="4072" spans="1:7">
      <c r="A4072" t="s">
        <v>1297</v>
      </c>
      <c r="B4072" t="s">
        <v>1298</v>
      </c>
      <c r="C4072" t="s">
        <v>684</v>
      </c>
      <c r="D4072" t="s">
        <v>1359</v>
      </c>
      <c r="E4072" t="s">
        <v>187</v>
      </c>
      <c r="F4072">
        <v>2016</v>
      </c>
      <c r="G4072">
        <v>13.258632</v>
      </c>
    </row>
    <row r="4073" spans="1:7">
      <c r="A4073" t="s">
        <v>1297</v>
      </c>
      <c r="B4073" t="s">
        <v>1298</v>
      </c>
      <c r="C4073" t="s">
        <v>684</v>
      </c>
      <c r="D4073" t="s">
        <v>1359</v>
      </c>
      <c r="E4073" t="s">
        <v>187</v>
      </c>
      <c r="F4073">
        <v>2020</v>
      </c>
      <c r="G4073">
        <v>16.573689999999999</v>
      </c>
    </row>
    <row r="4074" spans="1:7">
      <c r="A4074" t="s">
        <v>1297</v>
      </c>
      <c r="B4074" t="s">
        <v>1298</v>
      </c>
      <c r="C4074" t="s">
        <v>676</v>
      </c>
      <c r="D4074" t="s">
        <v>1359</v>
      </c>
      <c r="E4074" t="s">
        <v>187</v>
      </c>
      <c r="F4074">
        <v>2005</v>
      </c>
      <c r="G4074">
        <v>26.674353</v>
      </c>
    </row>
    <row r="4075" spans="1:7">
      <c r="A4075" t="s">
        <v>1297</v>
      </c>
      <c r="B4075" t="s">
        <v>1298</v>
      </c>
      <c r="C4075" t="s">
        <v>676</v>
      </c>
      <c r="D4075" t="s">
        <v>1359</v>
      </c>
      <c r="E4075" t="s">
        <v>187</v>
      </c>
      <c r="F4075">
        <v>2010</v>
      </c>
      <c r="G4075">
        <v>25.682400000000001</v>
      </c>
    </row>
    <row r="4076" spans="1:7">
      <c r="A4076" t="s">
        <v>1297</v>
      </c>
      <c r="B4076" t="s">
        <v>1298</v>
      </c>
      <c r="C4076" t="s">
        <v>676</v>
      </c>
      <c r="D4076" t="s">
        <v>1359</v>
      </c>
      <c r="E4076" t="s">
        <v>187</v>
      </c>
      <c r="F4076">
        <v>2012</v>
      </c>
      <c r="G4076">
        <v>23.75658</v>
      </c>
    </row>
    <row r="4077" spans="1:7">
      <c r="A4077" t="s">
        <v>1297</v>
      </c>
      <c r="B4077" t="s">
        <v>1298</v>
      </c>
      <c r="C4077" t="s">
        <v>676</v>
      </c>
      <c r="D4077" t="s">
        <v>1359</v>
      </c>
      <c r="E4077" t="s">
        <v>187</v>
      </c>
      <c r="F4077">
        <v>2016</v>
      </c>
      <c r="G4077">
        <v>18.91328</v>
      </c>
    </row>
    <row r="4078" spans="1:7">
      <c r="A4078" t="s">
        <v>1297</v>
      </c>
      <c r="B4078" t="s">
        <v>1298</v>
      </c>
      <c r="C4078" t="s">
        <v>676</v>
      </c>
      <c r="D4078" t="s">
        <v>1359</v>
      </c>
      <c r="E4078" t="s">
        <v>187</v>
      </c>
      <c r="F4078">
        <v>2020</v>
      </c>
      <c r="G4078">
        <v>14.884399999999999</v>
      </c>
    </row>
    <row r="4079" spans="1:7">
      <c r="A4079" t="s">
        <v>1297</v>
      </c>
      <c r="B4079" t="s">
        <v>1298</v>
      </c>
      <c r="C4079" t="s">
        <v>662</v>
      </c>
      <c r="D4079" t="s">
        <v>1359</v>
      </c>
      <c r="E4079" t="s">
        <v>187</v>
      </c>
      <c r="F4079">
        <v>2005</v>
      </c>
      <c r="G4079">
        <v>357.46909799999997</v>
      </c>
    </row>
    <row r="4080" spans="1:7">
      <c r="A4080" t="s">
        <v>1297</v>
      </c>
      <c r="B4080" t="s">
        <v>1298</v>
      </c>
      <c r="C4080" t="s">
        <v>662</v>
      </c>
      <c r="D4080" t="s">
        <v>1359</v>
      </c>
      <c r="E4080" t="s">
        <v>187</v>
      </c>
      <c r="F4080">
        <v>2010</v>
      </c>
      <c r="G4080">
        <v>306.28188</v>
      </c>
    </row>
    <row r="4081" spans="1:7">
      <c r="A4081" t="s">
        <v>1297</v>
      </c>
      <c r="B4081" t="s">
        <v>1298</v>
      </c>
      <c r="C4081" t="s">
        <v>662</v>
      </c>
      <c r="D4081" t="s">
        <v>1359</v>
      </c>
      <c r="E4081" t="s">
        <v>187</v>
      </c>
      <c r="F4081">
        <v>2012</v>
      </c>
      <c r="G4081">
        <v>336.81459999999998</v>
      </c>
    </row>
    <row r="4082" spans="1:7">
      <c r="A4082" t="s">
        <v>1297</v>
      </c>
      <c r="B4082" t="s">
        <v>1298</v>
      </c>
      <c r="C4082" t="s">
        <v>662</v>
      </c>
      <c r="D4082" t="s">
        <v>1359</v>
      </c>
      <c r="E4082" t="s">
        <v>187</v>
      </c>
      <c r="F4082">
        <v>2016</v>
      </c>
      <c r="G4082">
        <v>166.32324800000001</v>
      </c>
    </row>
    <row r="4083" spans="1:7">
      <c r="A4083" t="s">
        <v>1297</v>
      </c>
      <c r="B4083" t="s">
        <v>1298</v>
      </c>
      <c r="C4083" t="s">
        <v>679</v>
      </c>
      <c r="D4083" t="s">
        <v>1359</v>
      </c>
      <c r="E4083" t="s">
        <v>187</v>
      </c>
      <c r="F4083">
        <v>2016</v>
      </c>
      <c r="G4083">
        <v>22.985800000000001</v>
      </c>
    </row>
    <row r="4084" spans="1:7">
      <c r="A4084" t="s">
        <v>1297</v>
      </c>
      <c r="B4084" t="s">
        <v>1298</v>
      </c>
      <c r="C4084" t="s">
        <v>679</v>
      </c>
      <c r="D4084" t="s">
        <v>1359</v>
      </c>
      <c r="E4084" t="s">
        <v>187</v>
      </c>
      <c r="F4084">
        <v>2020</v>
      </c>
      <c r="G4084">
        <v>3.4006620000000001</v>
      </c>
    </row>
    <row r="4085" spans="1:7">
      <c r="A4085" t="s">
        <v>1297</v>
      </c>
      <c r="B4085" t="s">
        <v>1298</v>
      </c>
      <c r="C4085" t="s">
        <v>677</v>
      </c>
      <c r="D4085" t="s">
        <v>1359</v>
      </c>
      <c r="E4085" t="s">
        <v>187</v>
      </c>
      <c r="F4085">
        <v>2005</v>
      </c>
      <c r="G4085">
        <v>493.14515399999999</v>
      </c>
    </row>
    <row r="4086" spans="1:7">
      <c r="A4086" t="s">
        <v>1297</v>
      </c>
      <c r="B4086" t="s">
        <v>1298</v>
      </c>
      <c r="C4086" t="s">
        <v>677</v>
      </c>
      <c r="D4086" t="s">
        <v>1359</v>
      </c>
      <c r="E4086" t="s">
        <v>187</v>
      </c>
      <c r="F4086">
        <v>2010</v>
      </c>
      <c r="G4086">
        <v>440.803292</v>
      </c>
    </row>
    <row r="4087" spans="1:7">
      <c r="A4087" t="s">
        <v>1297</v>
      </c>
      <c r="B4087" t="s">
        <v>1298</v>
      </c>
      <c r="C4087" t="s">
        <v>677</v>
      </c>
      <c r="D4087" t="s">
        <v>1359</v>
      </c>
      <c r="E4087" t="s">
        <v>187</v>
      </c>
      <c r="F4087">
        <v>2012</v>
      </c>
      <c r="G4087">
        <v>403.58561700000001</v>
      </c>
    </row>
    <row r="4088" spans="1:7">
      <c r="A4088" t="s">
        <v>1297</v>
      </c>
      <c r="B4088" t="s">
        <v>1298</v>
      </c>
      <c r="C4088" t="s">
        <v>677</v>
      </c>
      <c r="D4088" t="s">
        <v>1359</v>
      </c>
      <c r="E4088" t="s">
        <v>187</v>
      </c>
      <c r="F4088">
        <v>2016</v>
      </c>
      <c r="G4088">
        <v>110.979241</v>
      </c>
    </row>
    <row r="4089" spans="1:7">
      <c r="A4089" t="s">
        <v>1297</v>
      </c>
      <c r="B4089" t="s">
        <v>1298</v>
      </c>
      <c r="C4089" t="s">
        <v>677</v>
      </c>
      <c r="D4089" t="s">
        <v>1359</v>
      </c>
      <c r="E4089" t="s">
        <v>187</v>
      </c>
      <c r="F4089">
        <v>2020</v>
      </c>
      <c r="G4089">
        <v>58.762304</v>
      </c>
    </row>
    <row r="4090" spans="1:7">
      <c r="A4090" t="s">
        <v>1297</v>
      </c>
      <c r="B4090" t="s">
        <v>1298</v>
      </c>
      <c r="C4090" t="s">
        <v>653</v>
      </c>
      <c r="D4090" t="s">
        <v>1359</v>
      </c>
      <c r="E4090" t="s">
        <v>187</v>
      </c>
      <c r="F4090">
        <v>2005</v>
      </c>
      <c r="G4090">
        <v>174.92191600000001</v>
      </c>
    </row>
    <row r="4091" spans="1:7">
      <c r="A4091" t="s">
        <v>1297</v>
      </c>
      <c r="B4091" t="s">
        <v>1298</v>
      </c>
      <c r="C4091" t="s">
        <v>653</v>
      </c>
      <c r="D4091" t="s">
        <v>1359</v>
      </c>
      <c r="E4091" t="s">
        <v>187</v>
      </c>
      <c r="F4091">
        <v>2010</v>
      </c>
      <c r="G4091">
        <v>206.29895999999999</v>
      </c>
    </row>
    <row r="4092" spans="1:7">
      <c r="A4092" t="s">
        <v>1297</v>
      </c>
      <c r="B4092" t="s">
        <v>1298</v>
      </c>
      <c r="C4092" t="s">
        <v>653</v>
      </c>
      <c r="D4092" t="s">
        <v>1360</v>
      </c>
      <c r="E4092" t="s">
        <v>187</v>
      </c>
      <c r="F4092">
        <v>2005</v>
      </c>
      <c r="G4092">
        <v>305.69567899999998</v>
      </c>
    </row>
    <row r="4093" spans="1:7">
      <c r="A4093" t="s">
        <v>1297</v>
      </c>
      <c r="B4093" t="s">
        <v>1298</v>
      </c>
      <c r="C4093" t="s">
        <v>653</v>
      </c>
      <c r="D4093" t="s">
        <v>1360</v>
      </c>
      <c r="E4093" t="s">
        <v>187</v>
      </c>
      <c r="F4093">
        <v>2010</v>
      </c>
      <c r="G4093">
        <v>285.491534</v>
      </c>
    </row>
    <row r="4094" spans="1:7">
      <c r="A4094" t="s">
        <v>1297</v>
      </c>
      <c r="B4094" t="s">
        <v>1298</v>
      </c>
      <c r="C4094" t="s">
        <v>653</v>
      </c>
      <c r="D4094" t="s">
        <v>1360</v>
      </c>
      <c r="E4094" t="s">
        <v>187</v>
      </c>
      <c r="F4094">
        <v>2012</v>
      </c>
      <c r="G4094">
        <v>282.33697999999998</v>
      </c>
    </row>
    <row r="4095" spans="1:7">
      <c r="A4095" t="s">
        <v>1297</v>
      </c>
      <c r="B4095" t="s">
        <v>1298</v>
      </c>
      <c r="C4095" t="s">
        <v>653</v>
      </c>
      <c r="D4095" t="s">
        <v>1360</v>
      </c>
      <c r="E4095" t="s">
        <v>187</v>
      </c>
      <c r="F4095">
        <v>2016</v>
      </c>
      <c r="G4095">
        <v>237.27596</v>
      </c>
    </row>
    <row r="4096" spans="1:7">
      <c r="A4096" t="s">
        <v>1297</v>
      </c>
      <c r="B4096" t="s">
        <v>1298</v>
      </c>
      <c r="C4096" t="s">
        <v>653</v>
      </c>
      <c r="D4096" t="s">
        <v>1360</v>
      </c>
      <c r="E4096" t="s">
        <v>187</v>
      </c>
      <c r="F4096">
        <v>2020</v>
      </c>
      <c r="G4096">
        <v>206.22086300000001</v>
      </c>
    </row>
    <row r="4097" spans="1:7">
      <c r="A4097" t="s">
        <v>1297</v>
      </c>
      <c r="B4097" t="s">
        <v>1298</v>
      </c>
      <c r="C4097" t="s">
        <v>685</v>
      </c>
      <c r="D4097" t="s">
        <v>1360</v>
      </c>
      <c r="E4097" t="s">
        <v>187</v>
      </c>
      <c r="F4097">
        <v>2005</v>
      </c>
      <c r="G4097">
        <v>55.370657999999999</v>
      </c>
    </row>
    <row r="4098" spans="1:7">
      <c r="A4098" t="s">
        <v>1297</v>
      </c>
      <c r="B4098" t="s">
        <v>1298</v>
      </c>
      <c r="C4098" t="s">
        <v>685</v>
      </c>
      <c r="D4098" t="s">
        <v>1360</v>
      </c>
      <c r="E4098" t="s">
        <v>187</v>
      </c>
      <c r="F4098">
        <v>2010</v>
      </c>
      <c r="G4098">
        <v>49.56324</v>
      </c>
    </row>
    <row r="4099" spans="1:7">
      <c r="A4099" t="s">
        <v>1297</v>
      </c>
      <c r="B4099" t="s">
        <v>1298</v>
      </c>
      <c r="C4099" t="s">
        <v>685</v>
      </c>
      <c r="D4099" t="s">
        <v>1360</v>
      </c>
      <c r="E4099" t="s">
        <v>187</v>
      </c>
      <c r="F4099">
        <v>2012</v>
      </c>
      <c r="G4099">
        <v>52.200544000000001</v>
      </c>
    </row>
    <row r="4100" spans="1:7">
      <c r="A4100" t="s">
        <v>1297</v>
      </c>
      <c r="B4100" t="s">
        <v>1298</v>
      </c>
      <c r="C4100" t="s">
        <v>685</v>
      </c>
      <c r="D4100" t="s">
        <v>1360</v>
      </c>
      <c r="E4100" t="s">
        <v>187</v>
      </c>
      <c r="F4100">
        <v>2016</v>
      </c>
      <c r="G4100">
        <v>31.318113</v>
      </c>
    </row>
    <row r="4101" spans="1:7">
      <c r="A4101" t="s">
        <v>1297</v>
      </c>
      <c r="B4101" t="s">
        <v>1298</v>
      </c>
      <c r="C4101" t="s">
        <v>685</v>
      </c>
      <c r="D4101" t="s">
        <v>1360</v>
      </c>
      <c r="E4101" t="s">
        <v>187</v>
      </c>
      <c r="F4101">
        <v>2020</v>
      </c>
      <c r="G4101">
        <v>37.548551000000003</v>
      </c>
    </row>
    <row r="4102" spans="1:7">
      <c r="A4102" t="s">
        <v>1297</v>
      </c>
      <c r="B4102" t="s">
        <v>1298</v>
      </c>
      <c r="C4102" t="s">
        <v>658</v>
      </c>
      <c r="D4102" t="s">
        <v>1360</v>
      </c>
      <c r="E4102" t="s">
        <v>187</v>
      </c>
      <c r="F4102">
        <v>2005</v>
      </c>
      <c r="G4102">
        <v>0.108624</v>
      </c>
    </row>
    <row r="4103" spans="1:7">
      <c r="A4103" t="s">
        <v>1297</v>
      </c>
      <c r="B4103" t="s">
        <v>1298</v>
      </c>
      <c r="C4103" t="s">
        <v>658</v>
      </c>
      <c r="D4103" t="s">
        <v>1360</v>
      </c>
      <c r="E4103" t="s">
        <v>187</v>
      </c>
      <c r="F4103">
        <v>2010</v>
      </c>
      <c r="G4103">
        <v>5.432E-2</v>
      </c>
    </row>
    <row r="4104" spans="1:7">
      <c r="A4104" t="s">
        <v>1297</v>
      </c>
      <c r="B4104" t="s">
        <v>1298</v>
      </c>
      <c r="C4104" t="s">
        <v>658</v>
      </c>
      <c r="D4104" t="s">
        <v>1360</v>
      </c>
      <c r="E4104" t="s">
        <v>187</v>
      </c>
      <c r="F4104">
        <v>2012</v>
      </c>
      <c r="G4104">
        <v>2.7247E-2</v>
      </c>
    </row>
    <row r="4105" spans="1:7">
      <c r="A4105" t="s">
        <v>1297</v>
      </c>
      <c r="B4105" t="s">
        <v>1298</v>
      </c>
      <c r="C4105" t="s">
        <v>684</v>
      </c>
      <c r="D4105" t="s">
        <v>1360</v>
      </c>
      <c r="E4105" t="s">
        <v>187</v>
      </c>
      <c r="F4105">
        <v>2005</v>
      </c>
      <c r="G4105">
        <v>11.088839999999999</v>
      </c>
    </row>
    <row r="4106" spans="1:7">
      <c r="A4106" t="s">
        <v>1297</v>
      </c>
      <c r="B4106" t="s">
        <v>1298</v>
      </c>
      <c r="C4106" t="s">
        <v>684</v>
      </c>
      <c r="D4106" t="s">
        <v>1360</v>
      </c>
      <c r="E4106" t="s">
        <v>187</v>
      </c>
      <c r="F4106">
        <v>2010</v>
      </c>
      <c r="G4106">
        <v>17.112179999999999</v>
      </c>
    </row>
    <row r="4107" spans="1:7">
      <c r="A4107" t="s">
        <v>1297</v>
      </c>
      <c r="B4107" t="s">
        <v>1298</v>
      </c>
      <c r="C4107" t="s">
        <v>684</v>
      </c>
      <c r="D4107" t="s">
        <v>1360</v>
      </c>
      <c r="E4107" t="s">
        <v>187</v>
      </c>
      <c r="F4107">
        <v>2012</v>
      </c>
      <c r="G4107">
        <v>15.610950000000001</v>
      </c>
    </row>
    <row r="4108" spans="1:7">
      <c r="A4108" t="s">
        <v>1297</v>
      </c>
      <c r="B4108" t="s">
        <v>1298</v>
      </c>
      <c r="C4108" t="s">
        <v>684</v>
      </c>
      <c r="D4108" t="s">
        <v>1360</v>
      </c>
      <c r="E4108" t="s">
        <v>187</v>
      </c>
      <c r="F4108">
        <v>2016</v>
      </c>
      <c r="G4108">
        <v>12.386104</v>
      </c>
    </row>
    <row r="4109" spans="1:7">
      <c r="A4109" t="s">
        <v>1297</v>
      </c>
      <c r="B4109" t="s">
        <v>1298</v>
      </c>
      <c r="C4109" t="s">
        <v>684</v>
      </c>
      <c r="D4109" t="s">
        <v>1360</v>
      </c>
      <c r="E4109" t="s">
        <v>187</v>
      </c>
      <c r="F4109">
        <v>2020</v>
      </c>
      <c r="G4109">
        <v>15.108573</v>
      </c>
    </row>
    <row r="4110" spans="1:7">
      <c r="A4110" t="s">
        <v>1297</v>
      </c>
      <c r="B4110" t="s">
        <v>1298</v>
      </c>
      <c r="C4110" t="s">
        <v>673</v>
      </c>
      <c r="D4110" t="s">
        <v>1360</v>
      </c>
      <c r="E4110" t="s">
        <v>187</v>
      </c>
      <c r="F4110">
        <v>2016</v>
      </c>
      <c r="G4110">
        <v>192.75407899999999</v>
      </c>
    </row>
    <row r="4111" spans="1:7">
      <c r="A4111" t="s">
        <v>1297</v>
      </c>
      <c r="B4111" t="s">
        <v>1298</v>
      </c>
      <c r="C4111" t="s">
        <v>673</v>
      </c>
      <c r="D4111" t="s">
        <v>1360</v>
      </c>
      <c r="E4111" t="s">
        <v>187</v>
      </c>
      <c r="F4111">
        <v>2020</v>
      </c>
      <c r="G4111">
        <v>179.77433600000001</v>
      </c>
    </row>
    <row r="4112" spans="1:7">
      <c r="A4112" t="s">
        <v>1297</v>
      </c>
      <c r="B4112" t="s">
        <v>1298</v>
      </c>
      <c r="C4112" t="s">
        <v>1303</v>
      </c>
      <c r="D4112" t="s">
        <v>1360</v>
      </c>
      <c r="E4112" t="s">
        <v>187</v>
      </c>
      <c r="F4112">
        <v>2016</v>
      </c>
      <c r="G4112">
        <v>0.45050000000000001</v>
      </c>
    </row>
    <row r="4113" spans="1:7">
      <c r="A4113" t="s">
        <v>1297</v>
      </c>
      <c r="B4113" t="s">
        <v>1298</v>
      </c>
      <c r="C4113" t="s">
        <v>1300</v>
      </c>
      <c r="D4113" t="s">
        <v>1360</v>
      </c>
      <c r="E4113" t="s">
        <v>187</v>
      </c>
      <c r="F4113">
        <v>2010</v>
      </c>
      <c r="G4113">
        <v>7.4310000000000001E-2</v>
      </c>
    </row>
    <row r="4114" spans="1:7">
      <c r="A4114" t="s">
        <v>1297</v>
      </c>
      <c r="B4114" t="s">
        <v>1298</v>
      </c>
      <c r="C4114" t="s">
        <v>1300</v>
      </c>
      <c r="D4114" t="s">
        <v>1360</v>
      </c>
      <c r="E4114" t="s">
        <v>187</v>
      </c>
      <c r="F4114">
        <v>2012</v>
      </c>
      <c r="G4114">
        <v>7.1748000000000006E-2</v>
      </c>
    </row>
    <row r="4115" spans="1:7">
      <c r="A4115" t="s">
        <v>1297</v>
      </c>
      <c r="B4115" t="s">
        <v>1298</v>
      </c>
      <c r="C4115" t="s">
        <v>1300</v>
      </c>
      <c r="D4115" t="s">
        <v>1360</v>
      </c>
      <c r="E4115" t="s">
        <v>187</v>
      </c>
      <c r="F4115">
        <v>2016</v>
      </c>
      <c r="G4115">
        <v>9.6964999999999996E-2</v>
      </c>
    </row>
    <row r="4116" spans="1:7">
      <c r="A4116" t="s">
        <v>1297</v>
      </c>
      <c r="B4116" t="s">
        <v>1298</v>
      </c>
      <c r="C4116" t="s">
        <v>671</v>
      </c>
      <c r="D4116" t="s">
        <v>1360</v>
      </c>
      <c r="E4116" t="s">
        <v>187</v>
      </c>
      <c r="F4116">
        <v>2005</v>
      </c>
      <c r="G4116">
        <v>2045.69535</v>
      </c>
    </row>
    <row r="4117" spans="1:7">
      <c r="A4117" t="s">
        <v>1297</v>
      </c>
      <c r="B4117" t="s">
        <v>1298</v>
      </c>
      <c r="C4117" t="s">
        <v>671</v>
      </c>
      <c r="D4117" t="s">
        <v>1360</v>
      </c>
      <c r="E4117" t="s">
        <v>187</v>
      </c>
      <c r="F4117">
        <v>2010</v>
      </c>
      <c r="G4117">
        <v>2021.8001369999999</v>
      </c>
    </row>
    <row r="4118" spans="1:7">
      <c r="A4118" t="s">
        <v>1297</v>
      </c>
      <c r="B4118" t="s">
        <v>1298</v>
      </c>
      <c r="C4118" t="s">
        <v>671</v>
      </c>
      <c r="D4118" t="s">
        <v>1360</v>
      </c>
      <c r="E4118" t="s">
        <v>187</v>
      </c>
      <c r="F4118">
        <v>2012</v>
      </c>
      <c r="G4118">
        <v>1939.4942349999999</v>
      </c>
    </row>
    <row r="4119" spans="1:7">
      <c r="A4119" t="s">
        <v>1297</v>
      </c>
      <c r="B4119" t="s">
        <v>1298</v>
      </c>
      <c r="C4119" t="s">
        <v>671</v>
      </c>
      <c r="D4119" t="s">
        <v>1360</v>
      </c>
      <c r="E4119" t="s">
        <v>187</v>
      </c>
      <c r="F4119">
        <v>2016</v>
      </c>
      <c r="G4119">
        <v>1894.762639</v>
      </c>
    </row>
    <row r="4120" spans="1:7">
      <c r="A4120" t="s">
        <v>1297</v>
      </c>
      <c r="B4120" t="s">
        <v>1298</v>
      </c>
      <c r="C4120" t="s">
        <v>671</v>
      </c>
      <c r="D4120" t="s">
        <v>1360</v>
      </c>
      <c r="E4120" t="s">
        <v>187</v>
      </c>
      <c r="F4120">
        <v>2020</v>
      </c>
      <c r="G4120">
        <v>1714.4808619999999</v>
      </c>
    </row>
    <row r="4121" spans="1:7">
      <c r="A4121" t="s">
        <v>1297</v>
      </c>
      <c r="B4121" t="s">
        <v>1298</v>
      </c>
      <c r="C4121" t="s">
        <v>1299</v>
      </c>
      <c r="D4121" t="s">
        <v>1360</v>
      </c>
      <c r="E4121" t="s">
        <v>187</v>
      </c>
      <c r="F4121">
        <v>2005</v>
      </c>
      <c r="G4121">
        <v>1708.6883009999999</v>
      </c>
    </row>
    <row r="4122" spans="1:7">
      <c r="A4122" t="s">
        <v>1297</v>
      </c>
      <c r="B4122" t="s">
        <v>1298</v>
      </c>
      <c r="C4122" t="s">
        <v>1299</v>
      </c>
      <c r="D4122" t="s">
        <v>1360</v>
      </c>
      <c r="E4122" t="s">
        <v>187</v>
      </c>
      <c r="F4122">
        <v>2010</v>
      </c>
      <c r="G4122">
        <v>1888.96838</v>
      </c>
    </row>
    <row r="4123" spans="1:7">
      <c r="A4123" t="s">
        <v>1297</v>
      </c>
      <c r="B4123" t="s">
        <v>1298</v>
      </c>
      <c r="C4123" t="s">
        <v>1299</v>
      </c>
      <c r="D4123" t="s">
        <v>1360</v>
      </c>
      <c r="E4123" t="s">
        <v>187</v>
      </c>
      <c r="F4123">
        <v>2012</v>
      </c>
      <c r="G4123">
        <v>2045.033275</v>
      </c>
    </row>
    <row r="4124" spans="1:7">
      <c r="A4124" t="s">
        <v>1297</v>
      </c>
      <c r="B4124" t="s">
        <v>1298</v>
      </c>
      <c r="C4124" t="s">
        <v>1299</v>
      </c>
      <c r="D4124" t="s">
        <v>1360</v>
      </c>
      <c r="E4124" t="s">
        <v>187</v>
      </c>
      <c r="F4124">
        <v>2016</v>
      </c>
      <c r="G4124">
        <v>1529.8054999999999</v>
      </c>
    </row>
    <row r="4125" spans="1:7">
      <c r="A4125" t="s">
        <v>1297</v>
      </c>
      <c r="B4125" t="s">
        <v>1298</v>
      </c>
      <c r="C4125" t="s">
        <v>1299</v>
      </c>
      <c r="D4125" t="s">
        <v>1360</v>
      </c>
      <c r="E4125" t="s">
        <v>187</v>
      </c>
      <c r="F4125">
        <v>2020</v>
      </c>
      <c r="G4125">
        <v>1182.0576410000001</v>
      </c>
    </row>
    <row r="4126" spans="1:7">
      <c r="A4126" t="s">
        <v>1297</v>
      </c>
      <c r="B4126" t="s">
        <v>1298</v>
      </c>
      <c r="C4126" t="s">
        <v>656</v>
      </c>
      <c r="D4126" t="s">
        <v>1360</v>
      </c>
      <c r="E4126" t="s">
        <v>187</v>
      </c>
      <c r="F4126">
        <v>2005</v>
      </c>
      <c r="G4126">
        <v>3556.4615100000001</v>
      </c>
    </row>
    <row r="4127" spans="1:7">
      <c r="A4127" t="s">
        <v>1297</v>
      </c>
      <c r="B4127" t="s">
        <v>1298</v>
      </c>
      <c r="C4127" t="s">
        <v>656</v>
      </c>
      <c r="D4127" t="s">
        <v>1360</v>
      </c>
      <c r="E4127" t="s">
        <v>187</v>
      </c>
      <c r="F4127">
        <v>2010</v>
      </c>
      <c r="G4127">
        <v>3379.8199639999998</v>
      </c>
    </row>
    <row r="4128" spans="1:7">
      <c r="A4128" t="s">
        <v>1297</v>
      </c>
      <c r="B4128" t="s">
        <v>1298</v>
      </c>
      <c r="C4128" t="s">
        <v>656</v>
      </c>
      <c r="D4128" t="s">
        <v>1360</v>
      </c>
      <c r="E4128" t="s">
        <v>187</v>
      </c>
      <c r="F4128">
        <v>2012</v>
      </c>
      <c r="G4128">
        <v>3550.3711490000001</v>
      </c>
    </row>
    <row r="4129" spans="1:7">
      <c r="A4129" t="s">
        <v>1297</v>
      </c>
      <c r="B4129" t="s">
        <v>1298</v>
      </c>
      <c r="C4129" t="s">
        <v>656</v>
      </c>
      <c r="D4129" t="s">
        <v>1360</v>
      </c>
      <c r="E4129" t="s">
        <v>187</v>
      </c>
      <c r="F4129">
        <v>2016</v>
      </c>
      <c r="G4129">
        <v>3384.9568730000001</v>
      </c>
    </row>
    <row r="4130" spans="1:7">
      <c r="A4130" t="s">
        <v>1297</v>
      </c>
      <c r="B4130" t="s">
        <v>1298</v>
      </c>
      <c r="C4130" t="s">
        <v>656</v>
      </c>
      <c r="D4130" t="s">
        <v>1360</v>
      </c>
      <c r="E4130" t="s">
        <v>187</v>
      </c>
      <c r="F4130">
        <v>2020</v>
      </c>
      <c r="G4130">
        <v>2469.0192689999999</v>
      </c>
    </row>
    <row r="4131" spans="1:7">
      <c r="A4131" t="s">
        <v>1297</v>
      </c>
      <c r="B4131" t="s">
        <v>1298</v>
      </c>
      <c r="C4131" t="s">
        <v>652</v>
      </c>
      <c r="D4131" t="s">
        <v>1360</v>
      </c>
      <c r="E4131" t="s">
        <v>187</v>
      </c>
      <c r="F4131">
        <v>2005</v>
      </c>
      <c r="G4131">
        <v>270.34722699999998</v>
      </c>
    </row>
    <row r="4132" spans="1:7">
      <c r="A4132" t="s">
        <v>1297</v>
      </c>
      <c r="B4132" t="s">
        <v>1298</v>
      </c>
      <c r="C4132" t="s">
        <v>652</v>
      </c>
      <c r="D4132" t="s">
        <v>1360</v>
      </c>
      <c r="E4132" t="s">
        <v>187</v>
      </c>
      <c r="F4132">
        <v>2010</v>
      </c>
      <c r="G4132">
        <v>187.772525</v>
      </c>
    </row>
    <row r="4133" spans="1:7">
      <c r="A4133" t="s">
        <v>1297</v>
      </c>
      <c r="B4133" t="s">
        <v>1298</v>
      </c>
      <c r="C4133" t="s">
        <v>652</v>
      </c>
      <c r="D4133" t="s">
        <v>1360</v>
      </c>
      <c r="E4133" t="s">
        <v>187</v>
      </c>
      <c r="F4133">
        <v>2012</v>
      </c>
      <c r="G4133">
        <v>169.64438200000001</v>
      </c>
    </row>
    <row r="4134" spans="1:7">
      <c r="A4134" t="s">
        <v>1297</v>
      </c>
      <c r="B4134" t="s">
        <v>1298</v>
      </c>
      <c r="C4134" t="s">
        <v>652</v>
      </c>
      <c r="D4134" t="s">
        <v>1360</v>
      </c>
      <c r="E4134" t="s">
        <v>187</v>
      </c>
      <c r="F4134">
        <v>2016</v>
      </c>
      <c r="G4134">
        <v>138.127791</v>
      </c>
    </row>
    <row r="4135" spans="1:7">
      <c r="A4135" t="s">
        <v>1297</v>
      </c>
      <c r="B4135" t="s">
        <v>1298</v>
      </c>
      <c r="C4135" t="s">
        <v>652</v>
      </c>
      <c r="D4135" t="s">
        <v>1360</v>
      </c>
      <c r="E4135" t="s">
        <v>187</v>
      </c>
      <c r="F4135">
        <v>2020</v>
      </c>
      <c r="G4135">
        <v>135.43912</v>
      </c>
    </row>
    <row r="4136" spans="1:7">
      <c r="A4136" t="s">
        <v>1297</v>
      </c>
      <c r="B4136" t="s">
        <v>1298</v>
      </c>
      <c r="C4136" t="s">
        <v>289</v>
      </c>
      <c r="D4136" t="s">
        <v>1360</v>
      </c>
      <c r="E4136" t="s">
        <v>187</v>
      </c>
      <c r="F4136">
        <v>2005</v>
      </c>
      <c r="G4136">
        <v>22.494</v>
      </c>
    </row>
    <row r="4137" spans="1:7">
      <c r="A4137" t="s">
        <v>1297</v>
      </c>
      <c r="B4137" t="s">
        <v>1298</v>
      </c>
      <c r="C4137" t="s">
        <v>289</v>
      </c>
      <c r="D4137" t="s">
        <v>1360</v>
      </c>
      <c r="E4137" t="s">
        <v>187</v>
      </c>
      <c r="F4137">
        <v>2010</v>
      </c>
      <c r="G4137">
        <v>22.269179999999999</v>
      </c>
    </row>
    <row r="4138" spans="1:7">
      <c r="A4138" t="s">
        <v>1297</v>
      </c>
      <c r="B4138" t="s">
        <v>1298</v>
      </c>
      <c r="C4138" t="s">
        <v>289</v>
      </c>
      <c r="D4138" t="s">
        <v>1360</v>
      </c>
      <c r="E4138" t="s">
        <v>187</v>
      </c>
      <c r="F4138">
        <v>2012</v>
      </c>
      <c r="G4138">
        <v>20.963474999999999</v>
      </c>
    </row>
    <row r="4139" spans="1:7">
      <c r="A4139" t="s">
        <v>1297</v>
      </c>
      <c r="B4139" t="s">
        <v>1298</v>
      </c>
      <c r="C4139" t="s">
        <v>289</v>
      </c>
      <c r="D4139" t="s">
        <v>1360</v>
      </c>
      <c r="E4139" t="s">
        <v>187</v>
      </c>
      <c r="F4139">
        <v>2016</v>
      </c>
      <c r="G4139">
        <v>24.453237999999999</v>
      </c>
    </row>
    <row r="4140" spans="1:7">
      <c r="A4140" t="s">
        <v>1297</v>
      </c>
      <c r="B4140" t="s">
        <v>1298</v>
      </c>
      <c r="C4140" t="s">
        <v>289</v>
      </c>
      <c r="D4140" t="s">
        <v>1360</v>
      </c>
      <c r="E4140" t="s">
        <v>187</v>
      </c>
      <c r="F4140">
        <v>2020</v>
      </c>
      <c r="G4140">
        <v>14.176724</v>
      </c>
    </row>
    <row r="4141" spans="1:7">
      <c r="A4141" t="s">
        <v>1297</v>
      </c>
      <c r="B4141" t="s">
        <v>1298</v>
      </c>
      <c r="C4141" t="s">
        <v>664</v>
      </c>
      <c r="D4141" t="s">
        <v>1360</v>
      </c>
      <c r="E4141" t="s">
        <v>187</v>
      </c>
      <c r="F4141">
        <v>2005</v>
      </c>
      <c r="G4141">
        <v>59.579309000000002</v>
      </c>
    </row>
    <row r="4142" spans="1:7">
      <c r="A4142" t="s">
        <v>1297</v>
      </c>
      <c r="B4142" t="s">
        <v>1298</v>
      </c>
      <c r="C4142" t="s">
        <v>664</v>
      </c>
      <c r="D4142" t="s">
        <v>1360</v>
      </c>
      <c r="E4142" t="s">
        <v>187</v>
      </c>
      <c r="F4142">
        <v>2010</v>
      </c>
      <c r="G4142">
        <v>36.320571000000001</v>
      </c>
    </row>
    <row r="4143" spans="1:7">
      <c r="A4143" t="s">
        <v>1297</v>
      </c>
      <c r="B4143" t="s">
        <v>1298</v>
      </c>
      <c r="C4143" t="s">
        <v>664</v>
      </c>
      <c r="D4143" t="s">
        <v>1360</v>
      </c>
      <c r="E4143" t="s">
        <v>187</v>
      </c>
      <c r="F4143">
        <v>2012</v>
      </c>
      <c r="G4143">
        <v>48.571517</v>
      </c>
    </row>
    <row r="4144" spans="1:7">
      <c r="A4144" t="s">
        <v>1297</v>
      </c>
      <c r="B4144" t="s">
        <v>1298</v>
      </c>
      <c r="C4144" t="s">
        <v>664</v>
      </c>
      <c r="D4144" t="s">
        <v>1360</v>
      </c>
      <c r="E4144" t="s">
        <v>187</v>
      </c>
      <c r="F4144">
        <v>2016</v>
      </c>
      <c r="G4144">
        <v>46.106067000000003</v>
      </c>
    </row>
    <row r="4145" spans="1:7">
      <c r="A4145" t="s">
        <v>1297</v>
      </c>
      <c r="B4145" t="s">
        <v>1298</v>
      </c>
      <c r="C4145" t="s">
        <v>664</v>
      </c>
      <c r="D4145" t="s">
        <v>1360</v>
      </c>
      <c r="E4145" t="s">
        <v>187</v>
      </c>
      <c r="F4145">
        <v>2020</v>
      </c>
      <c r="G4145">
        <v>6.3600209999999997</v>
      </c>
    </row>
    <row r="4146" spans="1:7">
      <c r="A4146" t="s">
        <v>1297</v>
      </c>
      <c r="B4146" t="s">
        <v>1298</v>
      </c>
      <c r="C4146" t="s">
        <v>1302</v>
      </c>
      <c r="D4146" t="s">
        <v>1360</v>
      </c>
      <c r="E4146" t="s">
        <v>187</v>
      </c>
      <c r="F4146">
        <v>2005</v>
      </c>
      <c r="G4146">
        <v>50.112245999999999</v>
      </c>
    </row>
    <row r="4147" spans="1:7">
      <c r="A4147" t="s">
        <v>1297</v>
      </c>
      <c r="B4147" t="s">
        <v>1298</v>
      </c>
      <c r="C4147" t="s">
        <v>1302</v>
      </c>
      <c r="D4147" t="s">
        <v>1360</v>
      </c>
      <c r="E4147" t="s">
        <v>187</v>
      </c>
      <c r="F4147">
        <v>2010</v>
      </c>
      <c r="G4147">
        <v>66.902150000000006</v>
      </c>
    </row>
    <row r="4148" spans="1:7">
      <c r="A4148" t="s">
        <v>1297</v>
      </c>
      <c r="B4148" t="s">
        <v>1298</v>
      </c>
      <c r="C4148" t="s">
        <v>1302</v>
      </c>
      <c r="D4148" t="s">
        <v>1360</v>
      </c>
      <c r="E4148" t="s">
        <v>187</v>
      </c>
      <c r="F4148">
        <v>2012</v>
      </c>
      <c r="G4148">
        <v>61.222293999999998</v>
      </c>
    </row>
    <row r="4149" spans="1:7">
      <c r="A4149" t="s">
        <v>1297</v>
      </c>
      <c r="B4149" t="s">
        <v>1298</v>
      </c>
      <c r="C4149" t="s">
        <v>1302</v>
      </c>
      <c r="D4149" t="s">
        <v>1360</v>
      </c>
      <c r="E4149" t="s">
        <v>187</v>
      </c>
      <c r="F4149">
        <v>2016</v>
      </c>
      <c r="G4149">
        <v>66.473039999999997</v>
      </c>
    </row>
    <row r="4150" spans="1:7">
      <c r="A4150" t="s">
        <v>1297</v>
      </c>
      <c r="B4150" t="s">
        <v>1298</v>
      </c>
      <c r="C4150" t="s">
        <v>1302</v>
      </c>
      <c r="D4150" t="s">
        <v>1360</v>
      </c>
      <c r="E4150" t="s">
        <v>187</v>
      </c>
      <c r="F4150">
        <v>2020</v>
      </c>
      <c r="G4150">
        <v>62.181511</v>
      </c>
    </row>
    <row r="4151" spans="1:7">
      <c r="A4151" t="s">
        <v>1297</v>
      </c>
      <c r="B4151" t="s">
        <v>1298</v>
      </c>
      <c r="C4151" t="s">
        <v>651</v>
      </c>
      <c r="D4151" t="s">
        <v>1360</v>
      </c>
      <c r="E4151" t="s">
        <v>187</v>
      </c>
      <c r="F4151">
        <v>2005</v>
      </c>
      <c r="G4151">
        <v>188.00058000000001</v>
      </c>
    </row>
    <row r="4152" spans="1:7">
      <c r="A4152" t="s">
        <v>1297</v>
      </c>
      <c r="B4152" t="s">
        <v>1298</v>
      </c>
      <c r="C4152" t="s">
        <v>651</v>
      </c>
      <c r="D4152" t="s">
        <v>1360</v>
      </c>
      <c r="E4152" t="s">
        <v>187</v>
      </c>
      <c r="F4152">
        <v>2010</v>
      </c>
      <c r="G4152">
        <v>165.456962</v>
      </c>
    </row>
    <row r="4153" spans="1:7">
      <c r="A4153" t="s">
        <v>1297</v>
      </c>
      <c r="B4153" t="s">
        <v>1298</v>
      </c>
      <c r="C4153" t="s">
        <v>651</v>
      </c>
      <c r="D4153" t="s">
        <v>1360</v>
      </c>
      <c r="E4153" t="s">
        <v>187</v>
      </c>
      <c r="F4153">
        <v>2012</v>
      </c>
      <c r="G4153">
        <v>158.43086600000001</v>
      </c>
    </row>
    <row r="4154" spans="1:7">
      <c r="A4154" t="s">
        <v>1297</v>
      </c>
      <c r="B4154" t="s">
        <v>1298</v>
      </c>
      <c r="C4154" t="s">
        <v>651</v>
      </c>
      <c r="D4154" t="s">
        <v>1360</v>
      </c>
      <c r="E4154" t="s">
        <v>187</v>
      </c>
      <c r="F4154">
        <v>2016</v>
      </c>
      <c r="G4154">
        <v>150.947158</v>
      </c>
    </row>
    <row r="4155" spans="1:7">
      <c r="A4155" t="s">
        <v>1297</v>
      </c>
      <c r="B4155" t="s">
        <v>1298</v>
      </c>
      <c r="C4155" t="s">
        <v>651</v>
      </c>
      <c r="D4155" t="s">
        <v>1360</v>
      </c>
      <c r="E4155" t="s">
        <v>187</v>
      </c>
      <c r="F4155">
        <v>2020</v>
      </c>
      <c r="G4155">
        <v>142.96469099999999</v>
      </c>
    </row>
    <row r="4156" spans="1:7">
      <c r="A4156" t="s">
        <v>1297</v>
      </c>
      <c r="B4156" t="s">
        <v>1298</v>
      </c>
      <c r="C4156" t="s">
        <v>661</v>
      </c>
      <c r="D4156" t="s">
        <v>1360</v>
      </c>
      <c r="E4156" t="s">
        <v>187</v>
      </c>
      <c r="F4156">
        <v>2005</v>
      </c>
      <c r="G4156">
        <v>637.40449999999998</v>
      </c>
    </row>
    <row r="4157" spans="1:7">
      <c r="A4157" t="s">
        <v>1297</v>
      </c>
      <c r="B4157" t="s">
        <v>1298</v>
      </c>
      <c r="C4157" t="s">
        <v>661</v>
      </c>
      <c r="D4157" t="s">
        <v>1360</v>
      </c>
      <c r="E4157" t="s">
        <v>187</v>
      </c>
      <c r="F4157">
        <v>2010</v>
      </c>
      <c r="G4157">
        <v>492.11</v>
      </c>
    </row>
    <row r="4158" spans="1:7">
      <c r="A4158" t="s">
        <v>1297</v>
      </c>
      <c r="B4158" t="s">
        <v>1298</v>
      </c>
      <c r="C4158" t="s">
        <v>661</v>
      </c>
      <c r="D4158" t="s">
        <v>1360</v>
      </c>
      <c r="E4158" t="s">
        <v>187</v>
      </c>
      <c r="F4158">
        <v>2012</v>
      </c>
      <c r="G4158">
        <v>514.95577800000001</v>
      </c>
    </row>
    <row r="4159" spans="1:7">
      <c r="A4159" t="s">
        <v>1297</v>
      </c>
      <c r="B4159" t="s">
        <v>1298</v>
      </c>
      <c r="C4159" t="s">
        <v>661</v>
      </c>
      <c r="D4159" t="s">
        <v>1360</v>
      </c>
      <c r="E4159" t="s">
        <v>187</v>
      </c>
      <c r="F4159">
        <v>2016</v>
      </c>
      <c r="G4159">
        <v>393.66056200000003</v>
      </c>
    </row>
    <row r="4160" spans="1:7">
      <c r="A4160" t="s">
        <v>1297</v>
      </c>
      <c r="B4160" t="s">
        <v>1298</v>
      </c>
      <c r="C4160" t="s">
        <v>661</v>
      </c>
      <c r="D4160" t="s">
        <v>1360</v>
      </c>
      <c r="E4160" t="s">
        <v>187</v>
      </c>
      <c r="F4160">
        <v>2020</v>
      </c>
      <c r="G4160">
        <v>336.356719</v>
      </c>
    </row>
    <row r="4161" spans="1:7">
      <c r="A4161" t="s">
        <v>1297</v>
      </c>
      <c r="B4161" t="s">
        <v>1298</v>
      </c>
      <c r="C4161" t="s">
        <v>670</v>
      </c>
      <c r="D4161" t="s">
        <v>1360</v>
      </c>
      <c r="E4161" t="s">
        <v>187</v>
      </c>
      <c r="F4161">
        <v>2005</v>
      </c>
      <c r="G4161">
        <v>397.88924600000001</v>
      </c>
    </row>
    <row r="4162" spans="1:7">
      <c r="A4162" t="s">
        <v>1297</v>
      </c>
      <c r="B4162" t="s">
        <v>1298</v>
      </c>
      <c r="C4162" t="s">
        <v>670</v>
      </c>
      <c r="D4162" t="s">
        <v>1360</v>
      </c>
      <c r="E4162" t="s">
        <v>187</v>
      </c>
      <c r="F4162">
        <v>2010</v>
      </c>
      <c r="G4162">
        <v>367.39245</v>
      </c>
    </row>
    <row r="4163" spans="1:7">
      <c r="A4163" t="s">
        <v>1297</v>
      </c>
      <c r="B4163" t="s">
        <v>1298</v>
      </c>
      <c r="C4163" t="s">
        <v>670</v>
      </c>
      <c r="D4163" t="s">
        <v>1360</v>
      </c>
      <c r="E4163" t="s">
        <v>187</v>
      </c>
      <c r="F4163">
        <v>2012</v>
      </c>
      <c r="G4163">
        <v>389.00446599999998</v>
      </c>
    </row>
    <row r="4164" spans="1:7">
      <c r="A4164" t="s">
        <v>1297</v>
      </c>
      <c r="B4164" t="s">
        <v>1298</v>
      </c>
      <c r="C4164" t="s">
        <v>670</v>
      </c>
      <c r="D4164" t="s">
        <v>1360</v>
      </c>
      <c r="E4164" t="s">
        <v>187</v>
      </c>
      <c r="F4164">
        <v>2016</v>
      </c>
      <c r="G4164">
        <v>484.33097700000002</v>
      </c>
    </row>
    <row r="4165" spans="1:7">
      <c r="A4165" t="s">
        <v>1297</v>
      </c>
      <c r="B4165" t="s">
        <v>1298</v>
      </c>
      <c r="C4165" t="s">
        <v>670</v>
      </c>
      <c r="D4165" t="s">
        <v>1360</v>
      </c>
      <c r="E4165" t="s">
        <v>187</v>
      </c>
      <c r="F4165">
        <v>2020</v>
      </c>
      <c r="G4165">
        <v>322.26593500000001</v>
      </c>
    </row>
    <row r="4166" spans="1:7">
      <c r="A4166" t="s">
        <v>1297</v>
      </c>
      <c r="B4166" t="s">
        <v>1298</v>
      </c>
      <c r="C4166" t="s">
        <v>682</v>
      </c>
      <c r="D4166" t="s">
        <v>1360</v>
      </c>
      <c r="E4166" t="s">
        <v>187</v>
      </c>
      <c r="F4166">
        <v>2016</v>
      </c>
      <c r="G4166">
        <v>185.48878199999999</v>
      </c>
    </row>
    <row r="4167" spans="1:7">
      <c r="A4167" t="s">
        <v>1297</v>
      </c>
      <c r="B4167" t="s">
        <v>1298</v>
      </c>
      <c r="C4167" t="s">
        <v>682</v>
      </c>
      <c r="D4167" t="s">
        <v>1360</v>
      </c>
      <c r="E4167" t="s">
        <v>187</v>
      </c>
      <c r="F4167">
        <v>2020</v>
      </c>
      <c r="G4167">
        <v>180.76310599999999</v>
      </c>
    </row>
    <row r="4168" spans="1:7">
      <c r="A4168" t="s">
        <v>1297</v>
      </c>
      <c r="B4168" t="s">
        <v>1298</v>
      </c>
      <c r="C4168" t="s">
        <v>663</v>
      </c>
      <c r="D4168" t="s">
        <v>1360</v>
      </c>
      <c r="E4168" t="s">
        <v>187</v>
      </c>
      <c r="F4168">
        <v>2005</v>
      </c>
      <c r="G4168">
        <v>127.79783399999999</v>
      </c>
    </row>
    <row r="4169" spans="1:7">
      <c r="A4169" t="s">
        <v>1297</v>
      </c>
      <c r="B4169" t="s">
        <v>1298</v>
      </c>
      <c r="C4169" t="s">
        <v>663</v>
      </c>
      <c r="D4169" t="s">
        <v>1360</v>
      </c>
      <c r="E4169" t="s">
        <v>187</v>
      </c>
      <c r="F4169">
        <v>2010</v>
      </c>
      <c r="G4169">
        <v>135.63954000000001</v>
      </c>
    </row>
    <row r="4170" spans="1:7">
      <c r="A4170" t="s">
        <v>1297</v>
      </c>
      <c r="B4170" t="s">
        <v>1298</v>
      </c>
      <c r="C4170" t="s">
        <v>663</v>
      </c>
      <c r="D4170" t="s">
        <v>1360</v>
      </c>
      <c r="E4170" t="s">
        <v>187</v>
      </c>
      <c r="F4170">
        <v>2012</v>
      </c>
      <c r="G4170">
        <v>132.12010000000001</v>
      </c>
    </row>
    <row r="4171" spans="1:7">
      <c r="A4171" t="s">
        <v>1297</v>
      </c>
      <c r="B4171" t="s">
        <v>1298</v>
      </c>
      <c r="C4171" t="s">
        <v>663</v>
      </c>
      <c r="D4171" t="s">
        <v>1360</v>
      </c>
      <c r="E4171" t="s">
        <v>187</v>
      </c>
      <c r="F4171">
        <v>2016</v>
      </c>
      <c r="G4171">
        <v>110.97214700000001</v>
      </c>
    </row>
    <row r="4172" spans="1:7">
      <c r="A4172" t="s">
        <v>1297</v>
      </c>
      <c r="B4172" t="s">
        <v>1298</v>
      </c>
      <c r="C4172" t="s">
        <v>663</v>
      </c>
      <c r="D4172" t="s">
        <v>1360</v>
      </c>
      <c r="E4172" t="s">
        <v>187</v>
      </c>
      <c r="F4172">
        <v>2020</v>
      </c>
      <c r="G4172">
        <v>96.668773999999999</v>
      </c>
    </row>
    <row r="4173" spans="1:7">
      <c r="A4173" t="s">
        <v>1297</v>
      </c>
      <c r="B4173" t="s">
        <v>1298</v>
      </c>
      <c r="C4173" t="s">
        <v>668</v>
      </c>
      <c r="D4173" t="s">
        <v>1360</v>
      </c>
      <c r="E4173" t="s">
        <v>187</v>
      </c>
      <c r="F4173">
        <v>2005</v>
      </c>
      <c r="G4173">
        <v>0.26219999999999999</v>
      </c>
    </row>
    <row r="4174" spans="1:7">
      <c r="A4174" t="s">
        <v>1297</v>
      </c>
      <c r="B4174" t="s">
        <v>1298</v>
      </c>
      <c r="C4174" t="s">
        <v>668</v>
      </c>
      <c r="D4174" t="s">
        <v>1360</v>
      </c>
      <c r="E4174" t="s">
        <v>187</v>
      </c>
      <c r="F4174">
        <v>2010</v>
      </c>
      <c r="G4174">
        <v>0.55062</v>
      </c>
    </row>
    <row r="4175" spans="1:7">
      <c r="A4175" t="s">
        <v>1297</v>
      </c>
      <c r="B4175" t="s">
        <v>1298</v>
      </c>
      <c r="C4175" t="s">
        <v>668</v>
      </c>
      <c r="D4175" t="s">
        <v>1360</v>
      </c>
      <c r="E4175" t="s">
        <v>187</v>
      </c>
      <c r="F4175">
        <v>2012</v>
      </c>
      <c r="G4175">
        <v>0.57684000000000002</v>
      </c>
    </row>
    <row r="4176" spans="1:7">
      <c r="A4176" t="s">
        <v>1297</v>
      </c>
      <c r="B4176" t="s">
        <v>1298</v>
      </c>
      <c r="C4176" t="s">
        <v>668</v>
      </c>
      <c r="D4176" t="s">
        <v>1360</v>
      </c>
      <c r="E4176" t="s">
        <v>187</v>
      </c>
      <c r="F4176">
        <v>2016</v>
      </c>
      <c r="G4176">
        <v>0.21348</v>
      </c>
    </row>
    <row r="4177" spans="1:7">
      <c r="A4177" t="s">
        <v>1297</v>
      </c>
      <c r="B4177" t="s">
        <v>1298</v>
      </c>
      <c r="C4177" t="s">
        <v>668</v>
      </c>
      <c r="D4177" t="s">
        <v>1360</v>
      </c>
      <c r="E4177" t="s">
        <v>187</v>
      </c>
      <c r="F4177">
        <v>2020</v>
      </c>
      <c r="G4177">
        <v>0.14659800000000001</v>
      </c>
    </row>
    <row r="4178" spans="1:7">
      <c r="A4178" t="s">
        <v>1297</v>
      </c>
      <c r="B4178" t="s">
        <v>1298</v>
      </c>
      <c r="C4178" t="s">
        <v>676</v>
      </c>
      <c r="D4178" t="s">
        <v>1360</v>
      </c>
      <c r="E4178" t="s">
        <v>187</v>
      </c>
      <c r="F4178">
        <v>2005</v>
      </c>
      <c r="G4178">
        <v>202.842805</v>
      </c>
    </row>
    <row r="4179" spans="1:7">
      <c r="A4179" t="s">
        <v>1297</v>
      </c>
      <c r="B4179" t="s">
        <v>1298</v>
      </c>
      <c r="C4179" t="s">
        <v>676</v>
      </c>
      <c r="D4179" t="s">
        <v>1360</v>
      </c>
      <c r="E4179" t="s">
        <v>187</v>
      </c>
      <c r="F4179">
        <v>2010</v>
      </c>
      <c r="G4179">
        <v>178.09515400000001</v>
      </c>
    </row>
    <row r="4180" spans="1:7">
      <c r="A4180" t="s">
        <v>1297</v>
      </c>
      <c r="B4180" t="s">
        <v>1298</v>
      </c>
      <c r="C4180" t="s">
        <v>676</v>
      </c>
      <c r="D4180" t="s">
        <v>1360</v>
      </c>
      <c r="E4180" t="s">
        <v>187</v>
      </c>
      <c r="F4180">
        <v>2012</v>
      </c>
      <c r="G4180">
        <v>167.380776</v>
      </c>
    </row>
    <row r="4181" spans="1:7">
      <c r="A4181" t="s">
        <v>1297</v>
      </c>
      <c r="B4181" t="s">
        <v>1298</v>
      </c>
      <c r="C4181" t="s">
        <v>676</v>
      </c>
      <c r="D4181" t="s">
        <v>1360</v>
      </c>
      <c r="E4181" t="s">
        <v>187</v>
      </c>
      <c r="F4181">
        <v>2016</v>
      </c>
      <c r="G4181">
        <v>164.43829099999999</v>
      </c>
    </row>
    <row r="4182" spans="1:7">
      <c r="A4182" t="s">
        <v>1297</v>
      </c>
      <c r="B4182" t="s">
        <v>1298</v>
      </c>
      <c r="C4182" t="s">
        <v>676</v>
      </c>
      <c r="D4182" t="s">
        <v>1360</v>
      </c>
      <c r="E4182" t="s">
        <v>187</v>
      </c>
      <c r="F4182">
        <v>2020</v>
      </c>
      <c r="G4182">
        <v>134.47039100000001</v>
      </c>
    </row>
    <row r="4183" spans="1:7">
      <c r="A4183" t="s">
        <v>1297</v>
      </c>
      <c r="B4183" t="s">
        <v>1298</v>
      </c>
      <c r="C4183" t="s">
        <v>675</v>
      </c>
      <c r="D4183" t="s">
        <v>1360</v>
      </c>
      <c r="E4183" t="s">
        <v>187</v>
      </c>
      <c r="F4183">
        <v>2005</v>
      </c>
      <c r="G4183">
        <v>59.106313999999998</v>
      </c>
    </row>
    <row r="4184" spans="1:7">
      <c r="A4184" t="s">
        <v>1297</v>
      </c>
      <c r="B4184" t="s">
        <v>1298</v>
      </c>
      <c r="C4184" t="s">
        <v>675</v>
      </c>
      <c r="D4184" t="s">
        <v>1360</v>
      </c>
      <c r="E4184" t="s">
        <v>187</v>
      </c>
      <c r="F4184">
        <v>2010</v>
      </c>
      <c r="G4184">
        <v>57.874122</v>
      </c>
    </row>
    <row r="4185" spans="1:7">
      <c r="A4185" t="s">
        <v>1297</v>
      </c>
      <c r="B4185" t="s">
        <v>1298</v>
      </c>
      <c r="C4185" t="s">
        <v>675</v>
      </c>
      <c r="D4185" t="s">
        <v>1360</v>
      </c>
      <c r="E4185" t="s">
        <v>187</v>
      </c>
      <c r="F4185">
        <v>2012</v>
      </c>
      <c r="G4185">
        <v>55.539239999999999</v>
      </c>
    </row>
    <row r="4186" spans="1:7">
      <c r="A4186" t="s">
        <v>1297</v>
      </c>
      <c r="B4186" t="s">
        <v>1298</v>
      </c>
      <c r="C4186" t="s">
        <v>675</v>
      </c>
      <c r="D4186" t="s">
        <v>1360</v>
      </c>
      <c r="E4186" t="s">
        <v>187</v>
      </c>
      <c r="F4186">
        <v>2016</v>
      </c>
      <c r="G4186">
        <v>45.871375</v>
      </c>
    </row>
    <row r="4187" spans="1:7">
      <c r="A4187" t="s">
        <v>1297</v>
      </c>
      <c r="B4187" t="s">
        <v>1298</v>
      </c>
      <c r="C4187" t="s">
        <v>675</v>
      </c>
      <c r="D4187" t="s">
        <v>1360</v>
      </c>
      <c r="E4187" t="s">
        <v>187</v>
      </c>
      <c r="F4187">
        <v>2020</v>
      </c>
      <c r="G4187">
        <v>41.930447999999998</v>
      </c>
    </row>
    <row r="4188" spans="1:7">
      <c r="A4188" t="s">
        <v>1297</v>
      </c>
      <c r="B4188" t="s">
        <v>1298</v>
      </c>
      <c r="C4188" t="s">
        <v>674</v>
      </c>
      <c r="D4188" t="s">
        <v>1360</v>
      </c>
      <c r="E4188" t="s">
        <v>187</v>
      </c>
      <c r="F4188">
        <v>2005</v>
      </c>
      <c r="G4188">
        <v>122.60424</v>
      </c>
    </row>
    <row r="4189" spans="1:7">
      <c r="A4189" t="s">
        <v>1297</v>
      </c>
      <c r="B4189" t="s">
        <v>1298</v>
      </c>
      <c r="C4189" t="s">
        <v>674</v>
      </c>
      <c r="D4189" t="s">
        <v>1360</v>
      </c>
      <c r="E4189" t="s">
        <v>187</v>
      </c>
      <c r="F4189">
        <v>2010</v>
      </c>
      <c r="G4189">
        <v>116.51743999999999</v>
      </c>
    </row>
    <row r="4190" spans="1:7">
      <c r="A4190" t="s">
        <v>1297</v>
      </c>
      <c r="B4190" t="s">
        <v>1298</v>
      </c>
      <c r="C4190" t="s">
        <v>674</v>
      </c>
      <c r="D4190" t="s">
        <v>1360</v>
      </c>
      <c r="E4190" t="s">
        <v>187</v>
      </c>
      <c r="F4190">
        <v>2012</v>
      </c>
      <c r="G4190">
        <v>91.722380000000001</v>
      </c>
    </row>
    <row r="4191" spans="1:7">
      <c r="A4191" t="s">
        <v>1297</v>
      </c>
      <c r="B4191" t="s">
        <v>1298</v>
      </c>
      <c r="C4191" t="s">
        <v>674</v>
      </c>
      <c r="D4191" t="s">
        <v>1360</v>
      </c>
      <c r="E4191" t="s">
        <v>187</v>
      </c>
      <c r="F4191">
        <v>2016</v>
      </c>
      <c r="G4191">
        <v>93.613799999999998</v>
      </c>
    </row>
    <row r="4192" spans="1:7">
      <c r="A4192" t="s">
        <v>1297</v>
      </c>
      <c r="B4192" t="s">
        <v>1298</v>
      </c>
      <c r="C4192" t="s">
        <v>674</v>
      </c>
      <c r="D4192" t="s">
        <v>1360</v>
      </c>
      <c r="E4192" t="s">
        <v>187</v>
      </c>
      <c r="F4192">
        <v>2020</v>
      </c>
      <c r="G4192">
        <v>92.627340000000004</v>
      </c>
    </row>
    <row r="4193" spans="1:7">
      <c r="A4193" t="s">
        <v>1297</v>
      </c>
      <c r="B4193" t="s">
        <v>1298</v>
      </c>
      <c r="C4193" t="s">
        <v>657</v>
      </c>
      <c r="D4193" t="s">
        <v>1360</v>
      </c>
      <c r="E4193" t="s">
        <v>187</v>
      </c>
      <c r="F4193">
        <v>2005</v>
      </c>
      <c r="G4193">
        <v>144.23860199999999</v>
      </c>
    </row>
    <row r="4194" spans="1:7">
      <c r="A4194" t="s">
        <v>1297</v>
      </c>
      <c r="B4194" t="s">
        <v>1298</v>
      </c>
      <c r="C4194" t="s">
        <v>657</v>
      </c>
      <c r="D4194" t="s">
        <v>1360</v>
      </c>
      <c r="E4194" t="s">
        <v>187</v>
      </c>
      <c r="F4194">
        <v>2010</v>
      </c>
      <c r="G4194">
        <v>157.93127999999999</v>
      </c>
    </row>
    <row r="4195" spans="1:7">
      <c r="A4195" t="s">
        <v>1297</v>
      </c>
      <c r="B4195" t="s">
        <v>1298</v>
      </c>
      <c r="C4195" t="s">
        <v>657</v>
      </c>
      <c r="D4195" t="s">
        <v>1360</v>
      </c>
      <c r="E4195" t="s">
        <v>187</v>
      </c>
      <c r="F4195">
        <v>2012</v>
      </c>
      <c r="G4195">
        <v>101.91137999999999</v>
      </c>
    </row>
    <row r="4196" spans="1:7">
      <c r="A4196" t="s">
        <v>1297</v>
      </c>
      <c r="B4196" t="s">
        <v>1298</v>
      </c>
      <c r="C4196" t="s">
        <v>657</v>
      </c>
      <c r="D4196" t="s">
        <v>1360</v>
      </c>
      <c r="E4196" t="s">
        <v>187</v>
      </c>
      <c r="F4196">
        <v>2016</v>
      </c>
      <c r="G4196">
        <v>83.348436000000007</v>
      </c>
    </row>
    <row r="4197" spans="1:7">
      <c r="A4197" t="s">
        <v>1297</v>
      </c>
      <c r="B4197" t="s">
        <v>1298</v>
      </c>
      <c r="C4197" t="s">
        <v>657</v>
      </c>
      <c r="D4197" t="s">
        <v>1360</v>
      </c>
      <c r="E4197" t="s">
        <v>187</v>
      </c>
      <c r="F4197">
        <v>2020</v>
      </c>
      <c r="G4197">
        <v>33.512366</v>
      </c>
    </row>
    <row r="4198" spans="1:7">
      <c r="A4198" t="s">
        <v>1297</v>
      </c>
      <c r="B4198" t="s">
        <v>1298</v>
      </c>
      <c r="C4198" t="s">
        <v>673</v>
      </c>
      <c r="D4198" t="s">
        <v>1360</v>
      </c>
      <c r="E4198" t="s">
        <v>187</v>
      </c>
      <c r="F4198">
        <v>2005</v>
      </c>
      <c r="G4198">
        <v>379.75658900000002</v>
      </c>
    </row>
    <row r="4199" spans="1:7">
      <c r="A4199" t="s">
        <v>1297</v>
      </c>
      <c r="B4199" t="s">
        <v>1298</v>
      </c>
      <c r="C4199" t="s">
        <v>673</v>
      </c>
      <c r="D4199" t="s">
        <v>1360</v>
      </c>
      <c r="E4199" t="s">
        <v>187</v>
      </c>
      <c r="F4199">
        <v>2010</v>
      </c>
      <c r="G4199">
        <v>268.051489</v>
      </c>
    </row>
    <row r="4200" spans="1:7">
      <c r="A4200" t="s">
        <v>1297</v>
      </c>
      <c r="B4200" t="s">
        <v>1298</v>
      </c>
      <c r="C4200" t="s">
        <v>673</v>
      </c>
      <c r="D4200" t="s">
        <v>1360</v>
      </c>
      <c r="E4200" t="s">
        <v>187</v>
      </c>
      <c r="F4200">
        <v>2012</v>
      </c>
      <c r="G4200">
        <v>281.06269900000001</v>
      </c>
    </row>
    <row r="4201" spans="1:7">
      <c r="A4201" t="s">
        <v>1297</v>
      </c>
      <c r="B4201" t="s">
        <v>1298</v>
      </c>
      <c r="C4201" t="s">
        <v>677</v>
      </c>
      <c r="D4201" t="s">
        <v>1360</v>
      </c>
      <c r="E4201" t="s">
        <v>187</v>
      </c>
      <c r="F4201">
        <v>2005</v>
      </c>
      <c r="G4201">
        <v>1646.6865849999999</v>
      </c>
    </row>
    <row r="4202" spans="1:7">
      <c r="A4202" t="s">
        <v>1297</v>
      </c>
      <c r="B4202" t="s">
        <v>1298</v>
      </c>
      <c r="C4202" t="s">
        <v>677</v>
      </c>
      <c r="D4202" t="s">
        <v>1360</v>
      </c>
      <c r="E4202" t="s">
        <v>187</v>
      </c>
      <c r="F4202">
        <v>2010</v>
      </c>
      <c r="G4202">
        <v>1325.777429</v>
      </c>
    </row>
    <row r="4203" spans="1:7">
      <c r="A4203" t="s">
        <v>1297</v>
      </c>
      <c r="B4203" t="s">
        <v>1298</v>
      </c>
      <c r="C4203" t="s">
        <v>677</v>
      </c>
      <c r="D4203" t="s">
        <v>1360</v>
      </c>
      <c r="E4203" t="s">
        <v>187</v>
      </c>
      <c r="F4203">
        <v>2012</v>
      </c>
      <c r="G4203">
        <v>1657.8289440000001</v>
      </c>
    </row>
    <row r="4204" spans="1:7">
      <c r="A4204" t="s">
        <v>1297</v>
      </c>
      <c r="B4204" t="s">
        <v>1298</v>
      </c>
      <c r="C4204" t="s">
        <v>677</v>
      </c>
      <c r="D4204" t="s">
        <v>1360</v>
      </c>
      <c r="E4204" t="s">
        <v>187</v>
      </c>
      <c r="F4204">
        <v>2016</v>
      </c>
      <c r="G4204">
        <v>466.365319</v>
      </c>
    </row>
    <row r="4205" spans="1:7">
      <c r="A4205" t="s">
        <v>1297</v>
      </c>
      <c r="B4205" t="s">
        <v>1298</v>
      </c>
      <c r="C4205" t="s">
        <v>677</v>
      </c>
      <c r="D4205" t="s">
        <v>1360</v>
      </c>
      <c r="E4205" t="s">
        <v>187</v>
      </c>
      <c r="F4205">
        <v>2020</v>
      </c>
      <c r="G4205">
        <v>227.08491100000001</v>
      </c>
    </row>
    <row r="4206" spans="1:7">
      <c r="A4206" t="s">
        <v>1297</v>
      </c>
      <c r="B4206" t="s">
        <v>1298</v>
      </c>
      <c r="C4206" t="s">
        <v>686</v>
      </c>
      <c r="D4206" t="s">
        <v>1360</v>
      </c>
      <c r="E4206" t="s">
        <v>187</v>
      </c>
      <c r="F4206">
        <v>2005</v>
      </c>
      <c r="G4206">
        <v>310.93940500000002</v>
      </c>
    </row>
    <row r="4207" spans="1:7">
      <c r="A4207" t="s">
        <v>1297</v>
      </c>
      <c r="B4207" t="s">
        <v>1298</v>
      </c>
      <c r="C4207" t="s">
        <v>686</v>
      </c>
      <c r="D4207" t="s">
        <v>1360</v>
      </c>
      <c r="E4207" t="s">
        <v>187</v>
      </c>
      <c r="F4207">
        <v>2010</v>
      </c>
      <c r="G4207">
        <v>301.24484799999999</v>
      </c>
    </row>
    <row r="4208" spans="1:7">
      <c r="A4208" t="s">
        <v>1297</v>
      </c>
      <c r="B4208" t="s">
        <v>1298</v>
      </c>
      <c r="C4208" t="s">
        <v>686</v>
      </c>
      <c r="D4208" t="s">
        <v>1360</v>
      </c>
      <c r="E4208" t="s">
        <v>187</v>
      </c>
      <c r="F4208">
        <v>2012</v>
      </c>
      <c r="G4208">
        <v>299.83453200000002</v>
      </c>
    </row>
    <row r="4209" spans="1:7">
      <c r="A4209" t="s">
        <v>1297</v>
      </c>
      <c r="B4209" t="s">
        <v>1298</v>
      </c>
      <c r="C4209" t="s">
        <v>686</v>
      </c>
      <c r="D4209" t="s">
        <v>1360</v>
      </c>
      <c r="E4209" t="s">
        <v>187</v>
      </c>
      <c r="F4209">
        <v>2016</v>
      </c>
      <c r="G4209">
        <v>311.296719</v>
      </c>
    </row>
    <row r="4210" spans="1:7">
      <c r="A4210" t="s">
        <v>1297</v>
      </c>
      <c r="B4210" t="s">
        <v>1298</v>
      </c>
      <c r="C4210" t="s">
        <v>686</v>
      </c>
      <c r="D4210" t="s">
        <v>1360</v>
      </c>
      <c r="E4210" t="s">
        <v>187</v>
      </c>
      <c r="F4210">
        <v>2020</v>
      </c>
      <c r="G4210">
        <v>303.99542400000001</v>
      </c>
    </row>
    <row r="4211" spans="1:7">
      <c r="A4211" t="s">
        <v>1297</v>
      </c>
      <c r="B4211" t="s">
        <v>1298</v>
      </c>
      <c r="C4211" t="s">
        <v>672</v>
      </c>
      <c r="D4211" t="s">
        <v>1360</v>
      </c>
      <c r="E4211" t="s">
        <v>187</v>
      </c>
      <c r="F4211">
        <v>2005</v>
      </c>
      <c r="G4211">
        <v>138.95503199999999</v>
      </c>
    </row>
    <row r="4212" spans="1:7">
      <c r="A4212" t="s">
        <v>1297</v>
      </c>
      <c r="B4212" t="s">
        <v>1298</v>
      </c>
      <c r="C4212" t="s">
        <v>672</v>
      </c>
      <c r="D4212" t="s">
        <v>1360</v>
      </c>
      <c r="E4212" t="s">
        <v>187</v>
      </c>
      <c r="F4212">
        <v>2010</v>
      </c>
      <c r="G4212">
        <v>66.87603</v>
      </c>
    </row>
    <row r="4213" spans="1:7">
      <c r="A4213" t="s">
        <v>1297</v>
      </c>
      <c r="B4213" t="s">
        <v>1298</v>
      </c>
      <c r="C4213" t="s">
        <v>672</v>
      </c>
      <c r="D4213" t="s">
        <v>1360</v>
      </c>
      <c r="E4213" t="s">
        <v>187</v>
      </c>
      <c r="F4213">
        <v>2012</v>
      </c>
      <c r="G4213">
        <v>121.799496</v>
      </c>
    </row>
    <row r="4214" spans="1:7">
      <c r="A4214" t="s">
        <v>1297</v>
      </c>
      <c r="B4214" t="s">
        <v>1298</v>
      </c>
      <c r="C4214" t="s">
        <v>672</v>
      </c>
      <c r="D4214" t="s">
        <v>1360</v>
      </c>
      <c r="E4214" t="s">
        <v>187</v>
      </c>
      <c r="F4214">
        <v>2016</v>
      </c>
      <c r="G4214">
        <v>118.593199</v>
      </c>
    </row>
    <row r="4215" spans="1:7">
      <c r="A4215" t="s">
        <v>1297</v>
      </c>
      <c r="B4215" t="s">
        <v>1298</v>
      </c>
      <c r="C4215" t="s">
        <v>672</v>
      </c>
      <c r="D4215" t="s">
        <v>1360</v>
      </c>
      <c r="E4215" t="s">
        <v>187</v>
      </c>
      <c r="F4215">
        <v>2020</v>
      </c>
      <c r="G4215">
        <v>51.829549999999998</v>
      </c>
    </row>
    <row r="4216" spans="1:7">
      <c r="A4216" t="s">
        <v>1297</v>
      </c>
      <c r="B4216" t="s">
        <v>1298</v>
      </c>
      <c r="C4216" t="s">
        <v>679</v>
      </c>
      <c r="D4216" t="s">
        <v>1360</v>
      </c>
      <c r="E4216" t="s">
        <v>187</v>
      </c>
      <c r="F4216">
        <v>2005</v>
      </c>
      <c r="G4216">
        <v>5.3194999999999997</v>
      </c>
    </row>
    <row r="4217" spans="1:7">
      <c r="A4217" t="s">
        <v>1297</v>
      </c>
      <c r="B4217" t="s">
        <v>1298</v>
      </c>
      <c r="C4217" t="s">
        <v>679</v>
      </c>
      <c r="D4217" t="s">
        <v>1360</v>
      </c>
      <c r="E4217" t="s">
        <v>187</v>
      </c>
      <c r="F4217">
        <v>2010</v>
      </c>
      <c r="G4217">
        <v>7.3418000000000001</v>
      </c>
    </row>
    <row r="4218" spans="1:7">
      <c r="A4218" t="s">
        <v>1297</v>
      </c>
      <c r="B4218" t="s">
        <v>1298</v>
      </c>
      <c r="C4218" t="s">
        <v>679</v>
      </c>
      <c r="D4218" t="s">
        <v>1360</v>
      </c>
      <c r="E4218" t="s">
        <v>187</v>
      </c>
      <c r="F4218">
        <v>2012</v>
      </c>
      <c r="G4218">
        <v>9.9209999999999994</v>
      </c>
    </row>
    <row r="4219" spans="1:7">
      <c r="A4219" t="s">
        <v>1297</v>
      </c>
      <c r="B4219" t="s">
        <v>1298</v>
      </c>
      <c r="C4219" t="s">
        <v>679</v>
      </c>
      <c r="D4219" t="s">
        <v>1360</v>
      </c>
      <c r="E4219" t="s">
        <v>187</v>
      </c>
      <c r="F4219">
        <v>2016</v>
      </c>
      <c r="G4219">
        <v>8.7741000000000007</v>
      </c>
    </row>
    <row r="4220" spans="1:7">
      <c r="A4220" t="s">
        <v>1297</v>
      </c>
      <c r="B4220" t="s">
        <v>1298</v>
      </c>
      <c r="C4220" t="s">
        <v>679</v>
      </c>
      <c r="D4220" t="s">
        <v>1360</v>
      </c>
      <c r="E4220" t="s">
        <v>187</v>
      </c>
      <c r="F4220">
        <v>2020</v>
      </c>
      <c r="G4220">
        <v>9.8799630000000001</v>
      </c>
    </row>
    <row r="4221" spans="1:7">
      <c r="A4221" t="s">
        <v>1297</v>
      </c>
      <c r="B4221" t="s">
        <v>1298</v>
      </c>
      <c r="C4221" t="s">
        <v>659</v>
      </c>
      <c r="D4221" t="s">
        <v>1360</v>
      </c>
      <c r="E4221" t="s">
        <v>187</v>
      </c>
      <c r="F4221">
        <v>2005</v>
      </c>
      <c r="G4221">
        <v>909.49511600000005</v>
      </c>
    </row>
    <row r="4222" spans="1:7">
      <c r="A4222" t="s">
        <v>1297</v>
      </c>
      <c r="B4222" t="s">
        <v>1298</v>
      </c>
      <c r="C4222" t="s">
        <v>659</v>
      </c>
      <c r="D4222" t="s">
        <v>1360</v>
      </c>
      <c r="E4222" t="s">
        <v>187</v>
      </c>
      <c r="F4222">
        <v>2010</v>
      </c>
      <c r="G4222">
        <v>361.32837699999999</v>
      </c>
    </row>
    <row r="4223" spans="1:7">
      <c r="A4223" t="s">
        <v>1297</v>
      </c>
      <c r="B4223" t="s">
        <v>1298</v>
      </c>
      <c r="C4223" t="s">
        <v>659</v>
      </c>
      <c r="D4223" t="s">
        <v>1360</v>
      </c>
      <c r="E4223" t="s">
        <v>187</v>
      </c>
      <c r="F4223">
        <v>2012</v>
      </c>
      <c r="G4223">
        <v>643.84535000000005</v>
      </c>
    </row>
    <row r="4224" spans="1:7">
      <c r="A4224" t="s">
        <v>1297</v>
      </c>
      <c r="B4224" t="s">
        <v>1298</v>
      </c>
      <c r="C4224" t="s">
        <v>659</v>
      </c>
      <c r="D4224" t="s">
        <v>1360</v>
      </c>
      <c r="E4224" t="s">
        <v>187</v>
      </c>
      <c r="F4224">
        <v>2016</v>
      </c>
      <c r="G4224">
        <v>478.92186500000003</v>
      </c>
    </row>
    <row r="4225" spans="1:7">
      <c r="A4225" t="s">
        <v>1297</v>
      </c>
      <c r="B4225" t="s">
        <v>1298</v>
      </c>
      <c r="C4225" t="s">
        <v>659</v>
      </c>
      <c r="D4225" t="s">
        <v>1360</v>
      </c>
      <c r="E4225" t="s">
        <v>187</v>
      </c>
      <c r="F4225">
        <v>2020</v>
      </c>
      <c r="G4225">
        <v>210.63033899999999</v>
      </c>
    </row>
    <row r="4226" spans="1:7">
      <c r="A4226" t="s">
        <v>1297</v>
      </c>
      <c r="B4226" t="s">
        <v>1298</v>
      </c>
      <c r="C4226" t="s">
        <v>665</v>
      </c>
      <c r="D4226" t="s">
        <v>1360</v>
      </c>
      <c r="E4226" t="s">
        <v>187</v>
      </c>
      <c r="F4226">
        <v>2005</v>
      </c>
      <c r="G4226">
        <v>748.69173799999999</v>
      </c>
    </row>
    <row r="4227" spans="1:7">
      <c r="A4227" t="s">
        <v>1297</v>
      </c>
      <c r="B4227" t="s">
        <v>1298</v>
      </c>
      <c r="C4227" t="s">
        <v>665</v>
      </c>
      <c r="D4227" t="s">
        <v>1360</v>
      </c>
      <c r="E4227" t="s">
        <v>187</v>
      </c>
      <c r="F4227">
        <v>2010</v>
      </c>
      <c r="G4227">
        <v>658.52798099999995</v>
      </c>
    </row>
    <row r="4228" spans="1:7">
      <c r="A4228" t="s">
        <v>1297</v>
      </c>
      <c r="B4228" t="s">
        <v>1298</v>
      </c>
      <c r="C4228" t="s">
        <v>665</v>
      </c>
      <c r="D4228" t="s">
        <v>1360</v>
      </c>
      <c r="E4228" t="s">
        <v>187</v>
      </c>
      <c r="F4228">
        <v>2012</v>
      </c>
      <c r="G4228">
        <v>731.80087200000003</v>
      </c>
    </row>
    <row r="4229" spans="1:7">
      <c r="A4229" t="s">
        <v>1297</v>
      </c>
      <c r="B4229" t="s">
        <v>1298</v>
      </c>
      <c r="C4229" t="s">
        <v>665</v>
      </c>
      <c r="D4229" t="s">
        <v>1360</v>
      </c>
      <c r="E4229" t="s">
        <v>187</v>
      </c>
      <c r="F4229">
        <v>2016</v>
      </c>
      <c r="G4229">
        <v>480.039649</v>
      </c>
    </row>
    <row r="4230" spans="1:7">
      <c r="A4230" t="s">
        <v>1297</v>
      </c>
      <c r="B4230" t="s">
        <v>1298</v>
      </c>
      <c r="C4230" t="s">
        <v>665</v>
      </c>
      <c r="D4230" t="s">
        <v>1360</v>
      </c>
      <c r="E4230" t="s">
        <v>187</v>
      </c>
      <c r="F4230">
        <v>2020</v>
      </c>
      <c r="G4230">
        <v>300.953304</v>
      </c>
    </row>
    <row r="4231" spans="1:7">
      <c r="A4231" t="s">
        <v>1297</v>
      </c>
      <c r="B4231" t="s">
        <v>1298</v>
      </c>
      <c r="C4231" t="s">
        <v>660</v>
      </c>
      <c r="D4231" t="s">
        <v>1360</v>
      </c>
      <c r="E4231" t="s">
        <v>187</v>
      </c>
      <c r="F4231">
        <v>2005</v>
      </c>
      <c r="G4231">
        <v>147.74275</v>
      </c>
    </row>
    <row r="4232" spans="1:7">
      <c r="A4232" t="s">
        <v>1297</v>
      </c>
      <c r="B4232" t="s">
        <v>1298</v>
      </c>
      <c r="C4232" t="s">
        <v>660</v>
      </c>
      <c r="D4232" t="s">
        <v>1360</v>
      </c>
      <c r="E4232" t="s">
        <v>187</v>
      </c>
      <c r="F4232">
        <v>2010</v>
      </c>
      <c r="G4232">
        <v>208.00607299999999</v>
      </c>
    </row>
    <row r="4233" spans="1:7">
      <c r="A4233" t="s">
        <v>1297</v>
      </c>
      <c r="B4233" t="s">
        <v>1298</v>
      </c>
      <c r="C4233" t="s">
        <v>660</v>
      </c>
      <c r="D4233" t="s">
        <v>1360</v>
      </c>
      <c r="E4233" t="s">
        <v>187</v>
      </c>
      <c r="F4233">
        <v>2012</v>
      </c>
      <c r="G4233">
        <v>149.03291999999999</v>
      </c>
    </row>
    <row r="4234" spans="1:7">
      <c r="A4234" t="s">
        <v>1297</v>
      </c>
      <c r="B4234" t="s">
        <v>1298</v>
      </c>
      <c r="C4234" t="s">
        <v>660</v>
      </c>
      <c r="D4234" t="s">
        <v>1360</v>
      </c>
      <c r="E4234" t="s">
        <v>187</v>
      </c>
      <c r="F4234">
        <v>2016</v>
      </c>
      <c r="G4234">
        <v>152.52008599999999</v>
      </c>
    </row>
    <row r="4235" spans="1:7">
      <c r="A4235" t="s">
        <v>1297</v>
      </c>
      <c r="B4235" t="s">
        <v>1298</v>
      </c>
      <c r="C4235" t="s">
        <v>660</v>
      </c>
      <c r="D4235" t="s">
        <v>1360</v>
      </c>
      <c r="E4235" t="s">
        <v>187</v>
      </c>
      <c r="F4235">
        <v>2020</v>
      </c>
      <c r="G4235">
        <v>116.852366</v>
      </c>
    </row>
    <row r="4236" spans="1:7">
      <c r="A4236" t="s">
        <v>1297</v>
      </c>
      <c r="B4236" t="s">
        <v>1298</v>
      </c>
      <c r="C4236" t="s">
        <v>1301</v>
      </c>
      <c r="D4236" t="s">
        <v>1360</v>
      </c>
      <c r="E4236" t="s">
        <v>187</v>
      </c>
      <c r="F4236">
        <v>2005</v>
      </c>
      <c r="G4236">
        <v>611.73010199999999</v>
      </c>
    </row>
    <row r="4237" spans="1:7">
      <c r="A4237" t="s">
        <v>1297</v>
      </c>
      <c r="B4237" t="s">
        <v>1298</v>
      </c>
      <c r="C4237" t="s">
        <v>1301</v>
      </c>
      <c r="D4237" t="s">
        <v>1360</v>
      </c>
      <c r="E4237" t="s">
        <v>187</v>
      </c>
      <c r="F4237">
        <v>2010</v>
      </c>
      <c r="G4237">
        <v>842.09536100000003</v>
      </c>
    </row>
    <row r="4238" spans="1:7">
      <c r="A4238" t="s">
        <v>1297</v>
      </c>
      <c r="B4238" t="s">
        <v>1298</v>
      </c>
      <c r="C4238" t="s">
        <v>1301</v>
      </c>
      <c r="D4238" t="s">
        <v>1360</v>
      </c>
      <c r="E4238" t="s">
        <v>187</v>
      </c>
      <c r="F4238">
        <v>2012</v>
      </c>
      <c r="G4238">
        <v>990.13461800000005</v>
      </c>
    </row>
    <row r="4239" spans="1:7">
      <c r="A4239" t="s">
        <v>1297</v>
      </c>
      <c r="B4239" t="s">
        <v>1298</v>
      </c>
      <c r="C4239" t="s">
        <v>1301</v>
      </c>
      <c r="D4239" t="s">
        <v>1360</v>
      </c>
      <c r="E4239" t="s">
        <v>187</v>
      </c>
      <c r="F4239">
        <v>2016</v>
      </c>
      <c r="G4239">
        <v>1206.839929</v>
      </c>
    </row>
    <row r="4240" spans="1:7">
      <c r="A4240" t="s">
        <v>1297</v>
      </c>
      <c r="B4240" t="s">
        <v>1298</v>
      </c>
      <c r="C4240" t="s">
        <v>1301</v>
      </c>
      <c r="D4240" t="s">
        <v>1360</v>
      </c>
      <c r="E4240" t="s">
        <v>187</v>
      </c>
      <c r="F4240">
        <v>2020</v>
      </c>
      <c r="G4240">
        <v>1428.597874</v>
      </c>
    </row>
    <row r="4241" spans="1:7">
      <c r="A4241" t="s">
        <v>1297</v>
      </c>
      <c r="B4241" t="s">
        <v>1298</v>
      </c>
      <c r="C4241" t="s">
        <v>662</v>
      </c>
      <c r="D4241" t="s">
        <v>1360</v>
      </c>
      <c r="E4241" t="s">
        <v>187</v>
      </c>
      <c r="F4241">
        <v>2005</v>
      </c>
      <c r="G4241">
        <v>366.09089</v>
      </c>
    </row>
    <row r="4242" spans="1:7">
      <c r="A4242" t="s">
        <v>1297</v>
      </c>
      <c r="B4242" t="s">
        <v>1298</v>
      </c>
      <c r="C4242" t="s">
        <v>662</v>
      </c>
      <c r="D4242" t="s">
        <v>1360</v>
      </c>
      <c r="E4242" t="s">
        <v>187</v>
      </c>
      <c r="F4242">
        <v>2010</v>
      </c>
      <c r="G4242">
        <v>316.79550399999999</v>
      </c>
    </row>
    <row r="4243" spans="1:7">
      <c r="A4243" t="s">
        <v>1297</v>
      </c>
      <c r="B4243" t="s">
        <v>1298</v>
      </c>
      <c r="C4243" t="s">
        <v>662</v>
      </c>
      <c r="D4243" t="s">
        <v>1360</v>
      </c>
      <c r="E4243" t="s">
        <v>187</v>
      </c>
      <c r="F4243">
        <v>2012</v>
      </c>
      <c r="G4243">
        <v>331.25761799999998</v>
      </c>
    </row>
    <row r="4244" spans="1:7">
      <c r="A4244" t="s">
        <v>1297</v>
      </c>
      <c r="B4244" t="s">
        <v>1298</v>
      </c>
      <c r="C4244" t="s">
        <v>662</v>
      </c>
      <c r="D4244" t="s">
        <v>1360</v>
      </c>
      <c r="E4244" t="s">
        <v>187</v>
      </c>
      <c r="F4244">
        <v>2016</v>
      </c>
      <c r="G4244">
        <v>174.17618400000001</v>
      </c>
    </row>
    <row r="4245" spans="1:7">
      <c r="A4245" t="s">
        <v>1297</v>
      </c>
      <c r="B4245" t="s">
        <v>1298</v>
      </c>
      <c r="C4245" t="s">
        <v>662</v>
      </c>
      <c r="D4245" t="s">
        <v>1360</v>
      </c>
      <c r="E4245" t="s">
        <v>187</v>
      </c>
      <c r="F4245">
        <v>2020</v>
      </c>
      <c r="G4245">
        <v>125.529884</v>
      </c>
    </row>
    <row r="4246" spans="1:7">
      <c r="A4246" t="s">
        <v>1297</v>
      </c>
      <c r="B4246" t="s">
        <v>1298</v>
      </c>
      <c r="C4246" t="s">
        <v>655</v>
      </c>
      <c r="D4246" t="s">
        <v>1360</v>
      </c>
      <c r="E4246" t="s">
        <v>187</v>
      </c>
      <c r="F4246">
        <v>2005</v>
      </c>
      <c r="G4246">
        <v>817.383647</v>
      </c>
    </row>
    <row r="4247" spans="1:7">
      <c r="A4247" t="s">
        <v>1297</v>
      </c>
      <c r="B4247" t="s">
        <v>1298</v>
      </c>
      <c r="C4247" t="s">
        <v>655</v>
      </c>
      <c r="D4247" t="s">
        <v>1360</v>
      </c>
      <c r="E4247" t="s">
        <v>187</v>
      </c>
      <c r="F4247">
        <v>2010</v>
      </c>
      <c r="G4247">
        <v>769.40713500000004</v>
      </c>
    </row>
    <row r="4248" spans="1:7">
      <c r="A4248" t="s">
        <v>1297</v>
      </c>
      <c r="B4248" t="s">
        <v>1298</v>
      </c>
      <c r="C4248" t="s">
        <v>655</v>
      </c>
      <c r="D4248" t="s">
        <v>1360</v>
      </c>
      <c r="E4248" t="s">
        <v>187</v>
      </c>
      <c r="F4248">
        <v>2012</v>
      </c>
      <c r="G4248">
        <v>717.95995200000004</v>
      </c>
    </row>
    <row r="4249" spans="1:7">
      <c r="A4249" t="s">
        <v>1297</v>
      </c>
      <c r="B4249" t="s">
        <v>1298</v>
      </c>
      <c r="C4249" t="s">
        <v>655</v>
      </c>
      <c r="D4249" t="s">
        <v>1360</v>
      </c>
      <c r="E4249" t="s">
        <v>187</v>
      </c>
      <c r="F4249">
        <v>2016</v>
      </c>
      <c r="G4249">
        <v>666.38317900000004</v>
      </c>
    </row>
    <row r="4250" spans="1:7">
      <c r="A4250" t="s">
        <v>1297</v>
      </c>
      <c r="B4250" t="s">
        <v>1298</v>
      </c>
      <c r="C4250" t="s">
        <v>655</v>
      </c>
      <c r="D4250" t="s">
        <v>1360</v>
      </c>
      <c r="E4250" t="s">
        <v>187</v>
      </c>
      <c r="F4250">
        <v>2020</v>
      </c>
      <c r="G4250">
        <v>594.73334399999999</v>
      </c>
    </row>
    <row r="4251" spans="1:7">
      <c r="A4251" t="s">
        <v>1297</v>
      </c>
      <c r="B4251" t="s">
        <v>1298</v>
      </c>
      <c r="C4251" t="s">
        <v>666</v>
      </c>
      <c r="D4251" t="s">
        <v>1360</v>
      </c>
      <c r="E4251" t="s">
        <v>187</v>
      </c>
      <c r="F4251">
        <v>2005</v>
      </c>
      <c r="G4251">
        <v>0.25458500000000001</v>
      </c>
    </row>
    <row r="4252" spans="1:7">
      <c r="A4252" t="s">
        <v>1297</v>
      </c>
      <c r="B4252" t="s">
        <v>1298</v>
      </c>
      <c r="C4252" t="s">
        <v>666</v>
      </c>
      <c r="D4252" t="s">
        <v>1360</v>
      </c>
      <c r="E4252" t="s">
        <v>187</v>
      </c>
      <c r="F4252">
        <v>2010</v>
      </c>
      <c r="G4252">
        <v>0.16376499999999999</v>
      </c>
    </row>
    <row r="4253" spans="1:7">
      <c r="A4253" t="s">
        <v>1297</v>
      </c>
      <c r="B4253" t="s">
        <v>1298</v>
      </c>
      <c r="C4253" t="s">
        <v>666</v>
      </c>
      <c r="D4253" t="s">
        <v>1360</v>
      </c>
      <c r="E4253" t="s">
        <v>187</v>
      </c>
      <c r="F4253">
        <v>2012</v>
      </c>
      <c r="G4253">
        <v>0.12077</v>
      </c>
    </row>
    <row r="4254" spans="1:7">
      <c r="A4254" t="s">
        <v>1297</v>
      </c>
      <c r="B4254" t="s">
        <v>1298</v>
      </c>
      <c r="C4254" t="s">
        <v>666</v>
      </c>
      <c r="D4254" t="s">
        <v>1360</v>
      </c>
      <c r="E4254" t="s">
        <v>187</v>
      </c>
      <c r="F4254">
        <v>2016</v>
      </c>
      <c r="G4254">
        <v>7.5359999999999996E-2</v>
      </c>
    </row>
    <row r="4255" spans="1:7">
      <c r="A4255" t="s">
        <v>1297</v>
      </c>
      <c r="B4255" t="s">
        <v>1298</v>
      </c>
      <c r="C4255" t="s">
        <v>666</v>
      </c>
      <c r="D4255" t="s">
        <v>1360</v>
      </c>
      <c r="E4255" t="s">
        <v>187</v>
      </c>
      <c r="F4255">
        <v>2020</v>
      </c>
      <c r="G4255">
        <v>7.7871999999999997E-2</v>
      </c>
    </row>
    <row r="4256" spans="1:7">
      <c r="A4256" t="s">
        <v>1297</v>
      </c>
      <c r="B4256" t="s">
        <v>1298</v>
      </c>
      <c r="C4256" t="s">
        <v>660</v>
      </c>
      <c r="D4256" t="s">
        <v>1361</v>
      </c>
      <c r="E4256" t="s">
        <v>187</v>
      </c>
      <c r="F4256">
        <v>2005</v>
      </c>
      <c r="G4256">
        <v>27.674199999999999</v>
      </c>
    </row>
    <row r="4257" spans="1:7">
      <c r="A4257" t="s">
        <v>1297</v>
      </c>
      <c r="B4257" t="s">
        <v>1298</v>
      </c>
      <c r="C4257" t="s">
        <v>660</v>
      </c>
      <c r="D4257" t="s">
        <v>1361</v>
      </c>
      <c r="E4257" t="s">
        <v>187</v>
      </c>
      <c r="F4257">
        <v>2010</v>
      </c>
      <c r="G4257">
        <v>25.674099999999999</v>
      </c>
    </row>
    <row r="4258" spans="1:7">
      <c r="A4258" t="s">
        <v>1297</v>
      </c>
      <c r="B4258" t="s">
        <v>1298</v>
      </c>
      <c r="C4258" t="s">
        <v>660</v>
      </c>
      <c r="D4258" t="s">
        <v>1361</v>
      </c>
      <c r="E4258" t="s">
        <v>187</v>
      </c>
      <c r="F4258">
        <v>2012</v>
      </c>
      <c r="G4258">
        <v>27.071300000000001</v>
      </c>
    </row>
    <row r="4259" spans="1:7">
      <c r="A4259" t="s">
        <v>1297</v>
      </c>
      <c r="B4259" t="s">
        <v>1298</v>
      </c>
      <c r="C4259" t="s">
        <v>660</v>
      </c>
      <c r="D4259" t="s">
        <v>1361</v>
      </c>
      <c r="E4259" t="s">
        <v>187</v>
      </c>
      <c r="F4259">
        <v>2016</v>
      </c>
      <c r="G4259">
        <v>27.285599999999999</v>
      </c>
    </row>
    <row r="4260" spans="1:7">
      <c r="A4260" t="s">
        <v>1297</v>
      </c>
      <c r="B4260" t="s">
        <v>1298</v>
      </c>
      <c r="C4260" t="s">
        <v>660</v>
      </c>
      <c r="D4260" t="s">
        <v>1361</v>
      </c>
      <c r="E4260" t="s">
        <v>187</v>
      </c>
      <c r="F4260">
        <v>2020</v>
      </c>
      <c r="G4260">
        <v>25.9008</v>
      </c>
    </row>
    <row r="4261" spans="1:7">
      <c r="A4261" t="s">
        <v>1297</v>
      </c>
      <c r="B4261" t="s">
        <v>1298</v>
      </c>
      <c r="C4261" t="s">
        <v>674</v>
      </c>
      <c r="D4261" t="s">
        <v>1361</v>
      </c>
      <c r="E4261" t="s">
        <v>187</v>
      </c>
      <c r="F4261">
        <v>2005</v>
      </c>
      <c r="G4261">
        <v>39.62088</v>
      </c>
    </row>
    <row r="4262" spans="1:7">
      <c r="A4262" t="s">
        <v>1297</v>
      </c>
      <c r="B4262" t="s">
        <v>1298</v>
      </c>
      <c r="C4262" t="s">
        <v>674</v>
      </c>
      <c r="D4262" t="s">
        <v>1361</v>
      </c>
      <c r="E4262" t="s">
        <v>187</v>
      </c>
      <c r="F4262">
        <v>2010</v>
      </c>
      <c r="G4262">
        <v>33.611759999999997</v>
      </c>
    </row>
    <row r="4263" spans="1:7">
      <c r="A4263" t="s">
        <v>1297</v>
      </c>
      <c r="B4263" t="s">
        <v>1298</v>
      </c>
      <c r="C4263" t="s">
        <v>674</v>
      </c>
      <c r="D4263" t="s">
        <v>1361</v>
      </c>
      <c r="E4263" t="s">
        <v>187</v>
      </c>
      <c r="F4263">
        <v>2012</v>
      </c>
      <c r="G4263">
        <v>31.309200000000001</v>
      </c>
    </row>
    <row r="4264" spans="1:7">
      <c r="A4264" t="s">
        <v>1297</v>
      </c>
      <c r="B4264" t="s">
        <v>1298</v>
      </c>
      <c r="C4264" t="s">
        <v>674</v>
      </c>
      <c r="D4264" t="s">
        <v>1361</v>
      </c>
      <c r="E4264" t="s">
        <v>187</v>
      </c>
      <c r="F4264">
        <v>2016</v>
      </c>
      <c r="G4264">
        <v>32.881680000000003</v>
      </c>
    </row>
    <row r="4265" spans="1:7">
      <c r="A4265" t="s">
        <v>1297</v>
      </c>
      <c r="B4265" t="s">
        <v>1298</v>
      </c>
      <c r="C4265" t="s">
        <v>674</v>
      </c>
      <c r="D4265" t="s">
        <v>1361</v>
      </c>
      <c r="E4265" t="s">
        <v>187</v>
      </c>
      <c r="F4265">
        <v>2020</v>
      </c>
      <c r="G4265">
        <v>31.028400000000001</v>
      </c>
    </row>
    <row r="4266" spans="1:7">
      <c r="A4266" t="s">
        <v>1297</v>
      </c>
      <c r="B4266" t="s">
        <v>1298</v>
      </c>
      <c r="C4266" t="s">
        <v>652</v>
      </c>
      <c r="D4266" t="s">
        <v>1361</v>
      </c>
      <c r="E4266" t="s">
        <v>187</v>
      </c>
      <c r="F4266">
        <v>2010</v>
      </c>
      <c r="G4266">
        <v>58.907514999999997</v>
      </c>
    </row>
    <row r="4267" spans="1:7">
      <c r="A4267" t="s">
        <v>1297</v>
      </c>
      <c r="B4267" t="s">
        <v>1298</v>
      </c>
      <c r="C4267" t="s">
        <v>652</v>
      </c>
      <c r="D4267" t="s">
        <v>1361</v>
      </c>
      <c r="E4267" t="s">
        <v>187</v>
      </c>
      <c r="F4267">
        <v>2012</v>
      </c>
      <c r="G4267">
        <v>56.386845999999998</v>
      </c>
    </row>
    <row r="4268" spans="1:7">
      <c r="A4268" t="s">
        <v>1297</v>
      </c>
      <c r="B4268" t="s">
        <v>1298</v>
      </c>
      <c r="C4268" t="s">
        <v>652</v>
      </c>
      <c r="D4268" t="s">
        <v>1361</v>
      </c>
      <c r="E4268" t="s">
        <v>187</v>
      </c>
      <c r="F4268">
        <v>2016</v>
      </c>
      <c r="G4268">
        <v>36.931497</v>
      </c>
    </row>
    <row r="4269" spans="1:7">
      <c r="A4269" t="s">
        <v>1297</v>
      </c>
      <c r="B4269" t="s">
        <v>1298</v>
      </c>
      <c r="C4269" t="s">
        <v>652</v>
      </c>
      <c r="D4269" t="s">
        <v>1361</v>
      </c>
      <c r="E4269" t="s">
        <v>187</v>
      </c>
      <c r="F4269">
        <v>2020</v>
      </c>
      <c r="G4269">
        <v>37.078055999999997</v>
      </c>
    </row>
    <row r="4270" spans="1:7">
      <c r="A4270" t="s">
        <v>1297</v>
      </c>
      <c r="B4270" t="s">
        <v>1298</v>
      </c>
      <c r="C4270" t="s">
        <v>671</v>
      </c>
      <c r="D4270" t="s">
        <v>1361</v>
      </c>
      <c r="E4270" t="s">
        <v>187</v>
      </c>
      <c r="F4270">
        <v>2005</v>
      </c>
      <c r="G4270">
        <v>252.05971600000001</v>
      </c>
    </row>
    <row r="4271" spans="1:7">
      <c r="A4271" t="s">
        <v>1297</v>
      </c>
      <c r="B4271" t="s">
        <v>1298</v>
      </c>
      <c r="C4271" t="s">
        <v>671</v>
      </c>
      <c r="D4271" t="s">
        <v>1361</v>
      </c>
      <c r="E4271" t="s">
        <v>187</v>
      </c>
      <c r="F4271">
        <v>2010</v>
      </c>
      <c r="G4271">
        <v>290.314188</v>
      </c>
    </row>
    <row r="4272" spans="1:7">
      <c r="A4272" t="s">
        <v>1297</v>
      </c>
      <c r="B4272" t="s">
        <v>1298</v>
      </c>
      <c r="C4272" t="s">
        <v>671</v>
      </c>
      <c r="D4272" t="s">
        <v>1361</v>
      </c>
      <c r="E4272" t="s">
        <v>187</v>
      </c>
      <c r="F4272">
        <v>2012</v>
      </c>
      <c r="G4272">
        <v>264.15605699999998</v>
      </c>
    </row>
    <row r="4273" spans="1:7">
      <c r="A4273" t="s">
        <v>1297</v>
      </c>
      <c r="B4273" t="s">
        <v>1298</v>
      </c>
      <c r="C4273" t="s">
        <v>658</v>
      </c>
      <c r="D4273" t="s">
        <v>1361</v>
      </c>
      <c r="E4273" t="s">
        <v>187</v>
      </c>
      <c r="F4273">
        <v>2005</v>
      </c>
      <c r="G4273">
        <v>1.0545</v>
      </c>
    </row>
    <row r="4274" spans="1:7">
      <c r="A4274" t="s">
        <v>1297</v>
      </c>
      <c r="B4274" t="s">
        <v>1298</v>
      </c>
      <c r="C4274" t="s">
        <v>662</v>
      </c>
      <c r="D4274" t="s">
        <v>1361</v>
      </c>
      <c r="E4274" t="s">
        <v>187</v>
      </c>
      <c r="F4274">
        <v>2005</v>
      </c>
      <c r="G4274">
        <v>2.6668590000000001</v>
      </c>
    </row>
    <row r="4275" spans="1:7">
      <c r="A4275" t="s">
        <v>1297</v>
      </c>
      <c r="B4275" t="s">
        <v>1298</v>
      </c>
      <c r="C4275" t="s">
        <v>659</v>
      </c>
      <c r="D4275" t="s">
        <v>1361</v>
      </c>
      <c r="E4275" t="s">
        <v>187</v>
      </c>
      <c r="F4275">
        <v>2005</v>
      </c>
      <c r="G4275">
        <v>75.867000000000004</v>
      </c>
    </row>
    <row r="4276" spans="1:7">
      <c r="A4276" t="s">
        <v>1297</v>
      </c>
      <c r="B4276" t="s">
        <v>1298</v>
      </c>
      <c r="C4276" t="s">
        <v>659</v>
      </c>
      <c r="D4276" t="s">
        <v>1361</v>
      </c>
      <c r="E4276" t="s">
        <v>187</v>
      </c>
      <c r="F4276">
        <v>2010</v>
      </c>
      <c r="G4276">
        <v>60.6935</v>
      </c>
    </row>
    <row r="4277" spans="1:7">
      <c r="A4277" t="s">
        <v>1297</v>
      </c>
      <c r="B4277" t="s">
        <v>1298</v>
      </c>
      <c r="C4277" t="s">
        <v>659</v>
      </c>
      <c r="D4277" t="s">
        <v>1361</v>
      </c>
      <c r="E4277" t="s">
        <v>187</v>
      </c>
      <c r="F4277">
        <v>2012</v>
      </c>
      <c r="G4277">
        <v>48.499299999999998</v>
      </c>
    </row>
    <row r="4278" spans="1:7">
      <c r="A4278" t="s">
        <v>1297</v>
      </c>
      <c r="B4278" t="s">
        <v>1298</v>
      </c>
      <c r="C4278" t="s">
        <v>659</v>
      </c>
      <c r="D4278" t="s">
        <v>1361</v>
      </c>
      <c r="E4278" t="s">
        <v>187</v>
      </c>
      <c r="F4278">
        <v>2016</v>
      </c>
      <c r="G4278">
        <v>42.194040000000001</v>
      </c>
    </row>
    <row r="4279" spans="1:7">
      <c r="A4279" t="s">
        <v>1297</v>
      </c>
      <c r="B4279" t="s">
        <v>1298</v>
      </c>
      <c r="C4279" t="s">
        <v>659</v>
      </c>
      <c r="D4279" t="s">
        <v>1361</v>
      </c>
      <c r="E4279" t="s">
        <v>187</v>
      </c>
      <c r="F4279">
        <v>2020</v>
      </c>
      <c r="G4279">
        <v>24.386316000000001</v>
      </c>
    </row>
    <row r="4280" spans="1:7">
      <c r="A4280" t="s">
        <v>1297</v>
      </c>
      <c r="B4280" t="s">
        <v>1298</v>
      </c>
      <c r="C4280" t="s">
        <v>682</v>
      </c>
      <c r="D4280" t="s">
        <v>1361</v>
      </c>
      <c r="E4280" t="s">
        <v>187</v>
      </c>
      <c r="F4280">
        <v>2016</v>
      </c>
      <c r="G4280">
        <v>25.115200000000002</v>
      </c>
    </row>
    <row r="4281" spans="1:7">
      <c r="A4281" t="s">
        <v>1297</v>
      </c>
      <c r="B4281" t="s">
        <v>1298</v>
      </c>
      <c r="C4281" t="s">
        <v>682</v>
      </c>
      <c r="D4281" t="s">
        <v>1361</v>
      </c>
      <c r="E4281" t="s">
        <v>187</v>
      </c>
      <c r="F4281">
        <v>2020</v>
      </c>
      <c r="G4281">
        <v>25.888577000000002</v>
      </c>
    </row>
    <row r="4282" spans="1:7">
      <c r="A4282" t="s">
        <v>1297</v>
      </c>
      <c r="B4282" t="s">
        <v>1298</v>
      </c>
      <c r="C4282" t="s">
        <v>670</v>
      </c>
      <c r="D4282" t="s">
        <v>1361</v>
      </c>
      <c r="E4282" t="s">
        <v>187</v>
      </c>
      <c r="F4282">
        <v>2005</v>
      </c>
      <c r="G4282">
        <v>67.993200000000002</v>
      </c>
    </row>
    <row r="4283" spans="1:7">
      <c r="A4283" t="s">
        <v>1297</v>
      </c>
      <c r="B4283" t="s">
        <v>1298</v>
      </c>
      <c r="C4283" t="s">
        <v>670</v>
      </c>
      <c r="D4283" t="s">
        <v>1361</v>
      </c>
      <c r="E4283" t="s">
        <v>187</v>
      </c>
      <c r="F4283">
        <v>2010</v>
      </c>
      <c r="G4283">
        <v>62.045000000000002</v>
      </c>
    </row>
    <row r="4284" spans="1:7">
      <c r="A4284" t="s">
        <v>1297</v>
      </c>
      <c r="B4284" t="s">
        <v>1298</v>
      </c>
      <c r="C4284" t="s">
        <v>670</v>
      </c>
      <c r="D4284" t="s">
        <v>1361</v>
      </c>
      <c r="E4284" t="s">
        <v>187</v>
      </c>
      <c r="F4284">
        <v>2012</v>
      </c>
      <c r="G4284">
        <v>57.646000000000001</v>
      </c>
    </row>
    <row r="4285" spans="1:7">
      <c r="A4285" t="s">
        <v>1297</v>
      </c>
      <c r="B4285" t="s">
        <v>1298</v>
      </c>
      <c r="C4285" t="s">
        <v>670</v>
      </c>
      <c r="D4285" t="s">
        <v>1361</v>
      </c>
      <c r="E4285" t="s">
        <v>187</v>
      </c>
      <c r="F4285">
        <v>2016</v>
      </c>
      <c r="G4285">
        <v>61.054025000000003</v>
      </c>
    </row>
    <row r="4286" spans="1:7">
      <c r="A4286" t="s">
        <v>1297</v>
      </c>
      <c r="B4286" t="s">
        <v>1298</v>
      </c>
      <c r="C4286" t="s">
        <v>670</v>
      </c>
      <c r="D4286" t="s">
        <v>1361</v>
      </c>
      <c r="E4286" t="s">
        <v>187</v>
      </c>
      <c r="F4286">
        <v>2020</v>
      </c>
      <c r="G4286">
        <v>59.424531000000002</v>
      </c>
    </row>
    <row r="4287" spans="1:7">
      <c r="A4287" t="s">
        <v>1297</v>
      </c>
      <c r="B4287" t="s">
        <v>1298</v>
      </c>
      <c r="C4287" t="s">
        <v>665</v>
      </c>
      <c r="D4287" t="s">
        <v>1361</v>
      </c>
      <c r="E4287" t="s">
        <v>187</v>
      </c>
      <c r="F4287">
        <v>2005</v>
      </c>
      <c r="G4287">
        <v>132.64599999999999</v>
      </c>
    </row>
    <row r="4288" spans="1:7">
      <c r="A4288" t="s">
        <v>1297</v>
      </c>
      <c r="B4288" t="s">
        <v>1298</v>
      </c>
      <c r="C4288" t="s">
        <v>665</v>
      </c>
      <c r="D4288" t="s">
        <v>1361</v>
      </c>
      <c r="E4288" t="s">
        <v>187</v>
      </c>
      <c r="F4288">
        <v>2010</v>
      </c>
      <c r="G4288">
        <v>119.19</v>
      </c>
    </row>
    <row r="4289" spans="1:7">
      <c r="A4289" t="s">
        <v>1297</v>
      </c>
      <c r="B4289" t="s">
        <v>1298</v>
      </c>
      <c r="C4289" t="s">
        <v>665</v>
      </c>
      <c r="D4289" t="s">
        <v>1361</v>
      </c>
      <c r="E4289" t="s">
        <v>187</v>
      </c>
      <c r="F4289">
        <v>2012</v>
      </c>
      <c r="G4289">
        <v>121.336</v>
      </c>
    </row>
    <row r="4290" spans="1:7">
      <c r="A4290" t="s">
        <v>1297</v>
      </c>
      <c r="B4290" t="s">
        <v>1298</v>
      </c>
      <c r="C4290" t="s">
        <v>665</v>
      </c>
      <c r="D4290" t="s">
        <v>1361</v>
      </c>
      <c r="E4290" t="s">
        <v>187</v>
      </c>
      <c r="F4290">
        <v>2016</v>
      </c>
      <c r="G4290">
        <v>51.736499999999999</v>
      </c>
    </row>
    <row r="4291" spans="1:7">
      <c r="A4291" t="s">
        <v>1297</v>
      </c>
      <c r="B4291" t="s">
        <v>1298</v>
      </c>
      <c r="C4291" t="s">
        <v>665</v>
      </c>
      <c r="D4291" t="s">
        <v>1361</v>
      </c>
      <c r="E4291" t="s">
        <v>187</v>
      </c>
      <c r="F4291">
        <v>2020</v>
      </c>
      <c r="G4291">
        <v>50.501021999999999</v>
      </c>
    </row>
    <row r="4292" spans="1:7">
      <c r="A4292" t="s">
        <v>1297</v>
      </c>
      <c r="B4292" t="s">
        <v>1298</v>
      </c>
      <c r="C4292" t="s">
        <v>686</v>
      </c>
      <c r="D4292" t="s">
        <v>1361</v>
      </c>
      <c r="E4292" t="s">
        <v>187</v>
      </c>
      <c r="F4292">
        <v>2005</v>
      </c>
      <c r="G4292">
        <v>10.48386</v>
      </c>
    </row>
    <row r="4293" spans="1:7">
      <c r="A4293" t="s">
        <v>1297</v>
      </c>
      <c r="B4293" t="s">
        <v>1298</v>
      </c>
      <c r="C4293" t="s">
        <v>686</v>
      </c>
      <c r="D4293" t="s">
        <v>1361</v>
      </c>
      <c r="E4293" t="s">
        <v>187</v>
      </c>
      <c r="F4293">
        <v>2010</v>
      </c>
      <c r="G4293">
        <v>9.7920599999999993</v>
      </c>
    </row>
    <row r="4294" spans="1:7">
      <c r="A4294" t="s">
        <v>1297</v>
      </c>
      <c r="B4294" t="s">
        <v>1298</v>
      </c>
      <c r="C4294" t="s">
        <v>686</v>
      </c>
      <c r="D4294" t="s">
        <v>1361</v>
      </c>
      <c r="E4294" t="s">
        <v>187</v>
      </c>
      <c r="F4294">
        <v>2012</v>
      </c>
      <c r="G4294">
        <v>9.1240199999999998</v>
      </c>
    </row>
    <row r="4295" spans="1:7">
      <c r="A4295" t="s">
        <v>1297</v>
      </c>
      <c r="B4295" t="s">
        <v>1298</v>
      </c>
      <c r="C4295" t="s">
        <v>686</v>
      </c>
      <c r="D4295" t="s">
        <v>1361</v>
      </c>
      <c r="E4295" t="s">
        <v>187</v>
      </c>
      <c r="F4295">
        <v>2016</v>
      </c>
      <c r="G4295">
        <v>7.7017639999999998</v>
      </c>
    </row>
    <row r="4296" spans="1:7">
      <c r="A4296" t="s">
        <v>1297</v>
      </c>
      <c r="B4296" t="s">
        <v>1298</v>
      </c>
      <c r="C4296" t="s">
        <v>686</v>
      </c>
      <c r="D4296" t="s">
        <v>1361</v>
      </c>
      <c r="E4296" t="s">
        <v>187</v>
      </c>
      <c r="F4296">
        <v>2020</v>
      </c>
      <c r="G4296">
        <v>6.4390000000000001</v>
      </c>
    </row>
    <row r="4297" spans="1:7">
      <c r="A4297" t="s">
        <v>1297</v>
      </c>
      <c r="B4297" t="s">
        <v>1298</v>
      </c>
      <c r="C4297" t="s">
        <v>658</v>
      </c>
      <c r="D4297" t="s">
        <v>1361</v>
      </c>
      <c r="E4297" t="s">
        <v>187</v>
      </c>
      <c r="F4297">
        <v>2010</v>
      </c>
      <c r="G4297">
        <v>0.627</v>
      </c>
    </row>
    <row r="4298" spans="1:7">
      <c r="A4298" t="s">
        <v>1297</v>
      </c>
      <c r="B4298" t="s">
        <v>1298</v>
      </c>
      <c r="C4298" t="s">
        <v>658</v>
      </c>
      <c r="D4298" t="s">
        <v>1361</v>
      </c>
      <c r="E4298" t="s">
        <v>187</v>
      </c>
      <c r="F4298">
        <v>2012</v>
      </c>
      <c r="G4298">
        <v>0.71250000000000002</v>
      </c>
    </row>
    <row r="4299" spans="1:7">
      <c r="A4299" t="s">
        <v>1297</v>
      </c>
      <c r="B4299" t="s">
        <v>1298</v>
      </c>
      <c r="C4299" t="s">
        <v>658</v>
      </c>
      <c r="D4299" t="s">
        <v>1361</v>
      </c>
      <c r="E4299" t="s">
        <v>187</v>
      </c>
      <c r="F4299">
        <v>2016</v>
      </c>
      <c r="G4299">
        <v>0.3705</v>
      </c>
    </row>
    <row r="4300" spans="1:7">
      <c r="A4300" t="s">
        <v>1297</v>
      </c>
      <c r="B4300" t="s">
        <v>1298</v>
      </c>
      <c r="C4300" t="s">
        <v>658</v>
      </c>
      <c r="D4300" t="s">
        <v>1361</v>
      </c>
      <c r="E4300" t="s">
        <v>187</v>
      </c>
      <c r="F4300">
        <v>2020</v>
      </c>
      <c r="G4300">
        <v>0.66405000000000003</v>
      </c>
    </row>
    <row r="4301" spans="1:7">
      <c r="A4301" t="s">
        <v>1297</v>
      </c>
      <c r="B4301" t="s">
        <v>1298</v>
      </c>
      <c r="C4301" t="s">
        <v>652</v>
      </c>
      <c r="D4301" t="s">
        <v>1361</v>
      </c>
      <c r="E4301" t="s">
        <v>187</v>
      </c>
      <c r="F4301">
        <v>2005</v>
      </c>
      <c r="G4301">
        <v>86.310466000000005</v>
      </c>
    </row>
    <row r="4302" spans="1:7">
      <c r="A4302" t="s">
        <v>1297</v>
      </c>
      <c r="B4302" t="s">
        <v>1298</v>
      </c>
      <c r="C4302" t="s">
        <v>1299</v>
      </c>
      <c r="D4302" t="s">
        <v>1361</v>
      </c>
      <c r="E4302" t="s">
        <v>187</v>
      </c>
      <c r="F4302">
        <v>2005</v>
      </c>
      <c r="G4302">
        <v>507.44687499999998</v>
      </c>
    </row>
    <row r="4303" spans="1:7">
      <c r="A4303" t="s">
        <v>1297</v>
      </c>
      <c r="B4303" t="s">
        <v>1298</v>
      </c>
      <c r="C4303" t="s">
        <v>1299</v>
      </c>
      <c r="D4303" t="s">
        <v>1361</v>
      </c>
      <c r="E4303" t="s">
        <v>187</v>
      </c>
      <c r="F4303">
        <v>2010</v>
      </c>
      <c r="G4303">
        <v>499.36059999999998</v>
      </c>
    </row>
    <row r="4304" spans="1:7">
      <c r="A4304" t="s">
        <v>1297</v>
      </c>
      <c r="B4304" t="s">
        <v>1298</v>
      </c>
      <c r="C4304" t="s">
        <v>1299</v>
      </c>
      <c r="D4304" t="s">
        <v>1361</v>
      </c>
      <c r="E4304" t="s">
        <v>187</v>
      </c>
      <c r="F4304">
        <v>2012</v>
      </c>
      <c r="G4304">
        <v>508.02861899999999</v>
      </c>
    </row>
    <row r="4305" spans="1:7">
      <c r="A4305" t="s">
        <v>1297</v>
      </c>
      <c r="B4305" t="s">
        <v>1298</v>
      </c>
      <c r="C4305" t="s">
        <v>1299</v>
      </c>
      <c r="D4305" t="s">
        <v>1361</v>
      </c>
      <c r="E4305" t="s">
        <v>187</v>
      </c>
      <c r="F4305">
        <v>2016</v>
      </c>
      <c r="G4305">
        <v>346.94936200000001</v>
      </c>
    </row>
    <row r="4306" spans="1:7">
      <c r="A4306" t="s">
        <v>1297</v>
      </c>
      <c r="B4306" t="s">
        <v>1298</v>
      </c>
      <c r="C4306" t="s">
        <v>1299</v>
      </c>
      <c r="D4306" t="s">
        <v>1361</v>
      </c>
      <c r="E4306" t="s">
        <v>187</v>
      </c>
      <c r="F4306">
        <v>2020</v>
      </c>
      <c r="G4306">
        <v>275.221879</v>
      </c>
    </row>
    <row r="4307" spans="1:7">
      <c r="A4307" t="s">
        <v>1297</v>
      </c>
      <c r="B4307" t="s">
        <v>1298</v>
      </c>
      <c r="C4307" t="s">
        <v>673</v>
      </c>
      <c r="D4307" t="s">
        <v>1361</v>
      </c>
      <c r="E4307" t="s">
        <v>187</v>
      </c>
      <c r="F4307">
        <v>2005</v>
      </c>
      <c r="G4307">
        <v>49.865670000000001</v>
      </c>
    </row>
    <row r="4308" spans="1:7">
      <c r="A4308" t="s">
        <v>1297</v>
      </c>
      <c r="B4308" t="s">
        <v>1298</v>
      </c>
      <c r="C4308" t="s">
        <v>673</v>
      </c>
      <c r="D4308" t="s">
        <v>1361</v>
      </c>
      <c r="E4308" t="s">
        <v>187</v>
      </c>
      <c r="F4308">
        <v>2010</v>
      </c>
      <c r="G4308">
        <v>5.2740000000000002E-2</v>
      </c>
    </row>
    <row r="4309" spans="1:7">
      <c r="A4309" t="s">
        <v>1297</v>
      </c>
      <c r="B4309" t="s">
        <v>1298</v>
      </c>
      <c r="C4309" t="s">
        <v>655</v>
      </c>
      <c r="D4309" t="s">
        <v>1361</v>
      </c>
      <c r="E4309" t="s">
        <v>187</v>
      </c>
      <c r="F4309">
        <v>2005</v>
      </c>
      <c r="G4309">
        <v>111.23379300000001</v>
      </c>
    </row>
    <row r="4310" spans="1:7">
      <c r="A4310" t="s">
        <v>1297</v>
      </c>
      <c r="B4310" t="s">
        <v>1298</v>
      </c>
      <c r="C4310" t="s">
        <v>655</v>
      </c>
      <c r="D4310" t="s">
        <v>1361</v>
      </c>
      <c r="E4310" t="s">
        <v>187</v>
      </c>
      <c r="F4310">
        <v>2010</v>
      </c>
      <c r="G4310">
        <v>84.483800000000002</v>
      </c>
    </row>
    <row r="4311" spans="1:7">
      <c r="A4311" t="s">
        <v>1297</v>
      </c>
      <c r="B4311" t="s">
        <v>1298</v>
      </c>
      <c r="C4311" t="s">
        <v>655</v>
      </c>
      <c r="D4311" t="s">
        <v>1361</v>
      </c>
      <c r="E4311" t="s">
        <v>187</v>
      </c>
      <c r="F4311">
        <v>2012</v>
      </c>
      <c r="G4311">
        <v>80.785678000000004</v>
      </c>
    </row>
    <row r="4312" spans="1:7">
      <c r="A4312" t="s">
        <v>1297</v>
      </c>
      <c r="B4312" t="s">
        <v>1298</v>
      </c>
      <c r="C4312" t="s">
        <v>655</v>
      </c>
      <c r="D4312" t="s">
        <v>1361</v>
      </c>
      <c r="E4312" t="s">
        <v>187</v>
      </c>
      <c r="F4312">
        <v>2016</v>
      </c>
      <c r="G4312">
        <v>73.077714999999998</v>
      </c>
    </row>
    <row r="4313" spans="1:7">
      <c r="A4313" t="s">
        <v>1297</v>
      </c>
      <c r="B4313" t="s">
        <v>1298</v>
      </c>
      <c r="C4313" t="s">
        <v>655</v>
      </c>
      <c r="D4313" t="s">
        <v>1361</v>
      </c>
      <c r="E4313" t="s">
        <v>187</v>
      </c>
      <c r="F4313">
        <v>2020</v>
      </c>
      <c r="G4313">
        <v>77.191461000000004</v>
      </c>
    </row>
    <row r="4314" spans="1:7">
      <c r="A4314" t="s">
        <v>1297</v>
      </c>
      <c r="B4314" t="s">
        <v>1298</v>
      </c>
      <c r="C4314" t="s">
        <v>661</v>
      </c>
      <c r="D4314" t="s">
        <v>1361</v>
      </c>
      <c r="E4314" t="s">
        <v>187</v>
      </c>
      <c r="F4314">
        <v>2005</v>
      </c>
      <c r="G4314">
        <v>129.20400000000001</v>
      </c>
    </row>
    <row r="4315" spans="1:7">
      <c r="A4315" t="s">
        <v>1297</v>
      </c>
      <c r="B4315" t="s">
        <v>1298</v>
      </c>
      <c r="C4315" t="s">
        <v>661</v>
      </c>
      <c r="D4315" t="s">
        <v>1361</v>
      </c>
      <c r="E4315" t="s">
        <v>187</v>
      </c>
      <c r="F4315">
        <v>2010</v>
      </c>
      <c r="G4315">
        <v>90.132000000000005</v>
      </c>
    </row>
    <row r="4316" spans="1:7">
      <c r="A4316" t="s">
        <v>1297</v>
      </c>
      <c r="B4316" t="s">
        <v>1298</v>
      </c>
      <c r="C4316" t="s">
        <v>661</v>
      </c>
      <c r="D4316" t="s">
        <v>1361</v>
      </c>
      <c r="E4316" t="s">
        <v>187</v>
      </c>
      <c r="F4316">
        <v>2012</v>
      </c>
      <c r="G4316">
        <v>93.452534</v>
      </c>
    </row>
    <row r="4317" spans="1:7">
      <c r="A4317" t="s">
        <v>1297</v>
      </c>
      <c r="B4317" t="s">
        <v>1298</v>
      </c>
      <c r="C4317" t="s">
        <v>661</v>
      </c>
      <c r="D4317" t="s">
        <v>1361</v>
      </c>
      <c r="E4317" t="s">
        <v>187</v>
      </c>
      <c r="F4317">
        <v>2016</v>
      </c>
      <c r="G4317">
        <v>91.344300000000004</v>
      </c>
    </row>
    <row r="4318" spans="1:7">
      <c r="A4318" t="s">
        <v>1297</v>
      </c>
      <c r="B4318" t="s">
        <v>1298</v>
      </c>
      <c r="C4318" t="s">
        <v>661</v>
      </c>
      <c r="D4318" t="s">
        <v>1361</v>
      </c>
      <c r="E4318" t="s">
        <v>187</v>
      </c>
      <c r="F4318">
        <v>2020</v>
      </c>
      <c r="G4318">
        <v>92.555544999999995</v>
      </c>
    </row>
    <row r="4319" spans="1:7">
      <c r="A4319" t="s">
        <v>1297</v>
      </c>
      <c r="B4319" t="s">
        <v>1298</v>
      </c>
      <c r="C4319" t="s">
        <v>653</v>
      </c>
      <c r="D4319" t="s">
        <v>1361</v>
      </c>
      <c r="E4319" t="s">
        <v>187</v>
      </c>
      <c r="F4319">
        <v>2005</v>
      </c>
      <c r="G4319">
        <v>43.710945000000002</v>
      </c>
    </row>
    <row r="4320" spans="1:7">
      <c r="A4320" t="s">
        <v>1297</v>
      </c>
      <c r="B4320" t="s">
        <v>1298</v>
      </c>
      <c r="C4320" t="s">
        <v>653</v>
      </c>
      <c r="D4320" t="s">
        <v>1361</v>
      </c>
      <c r="E4320" t="s">
        <v>187</v>
      </c>
      <c r="F4320">
        <v>2010</v>
      </c>
      <c r="G4320">
        <v>17.370408000000001</v>
      </c>
    </row>
    <row r="4321" spans="1:7">
      <c r="A4321" t="s">
        <v>1297</v>
      </c>
      <c r="B4321" t="s">
        <v>1298</v>
      </c>
      <c r="C4321" t="s">
        <v>653</v>
      </c>
      <c r="D4321" t="s">
        <v>1361</v>
      </c>
      <c r="E4321" t="s">
        <v>187</v>
      </c>
      <c r="F4321">
        <v>2012</v>
      </c>
      <c r="G4321">
        <v>12.412625</v>
      </c>
    </row>
    <row r="4322" spans="1:7">
      <c r="A4322" t="s">
        <v>1297</v>
      </c>
      <c r="B4322" t="s">
        <v>1298</v>
      </c>
      <c r="C4322" t="s">
        <v>653</v>
      </c>
      <c r="D4322" t="s">
        <v>1361</v>
      </c>
      <c r="E4322" t="s">
        <v>187</v>
      </c>
      <c r="F4322">
        <v>2016</v>
      </c>
      <c r="G4322">
        <v>15.278067999999999</v>
      </c>
    </row>
    <row r="4323" spans="1:7">
      <c r="A4323" t="s">
        <v>1297</v>
      </c>
      <c r="B4323" t="s">
        <v>1298</v>
      </c>
      <c r="C4323" t="s">
        <v>653</v>
      </c>
      <c r="D4323" t="s">
        <v>1361</v>
      </c>
      <c r="E4323" t="s">
        <v>187</v>
      </c>
      <c r="F4323">
        <v>2020</v>
      </c>
      <c r="G4323">
        <v>8.7517969999999998</v>
      </c>
    </row>
    <row r="4324" spans="1:7">
      <c r="A4324" t="s">
        <v>1297</v>
      </c>
      <c r="B4324" t="s">
        <v>1298</v>
      </c>
      <c r="C4324" t="s">
        <v>677</v>
      </c>
      <c r="D4324" t="s">
        <v>1361</v>
      </c>
      <c r="E4324" t="s">
        <v>187</v>
      </c>
      <c r="F4324">
        <v>2005</v>
      </c>
      <c r="G4324">
        <v>143.686397</v>
      </c>
    </row>
    <row r="4325" spans="1:7">
      <c r="A4325" t="s">
        <v>1297</v>
      </c>
      <c r="B4325" t="s">
        <v>1298</v>
      </c>
      <c r="C4325" t="s">
        <v>677</v>
      </c>
      <c r="D4325" t="s">
        <v>1361</v>
      </c>
      <c r="E4325" t="s">
        <v>187</v>
      </c>
      <c r="F4325">
        <v>2010</v>
      </c>
      <c r="G4325">
        <v>134.69878499999999</v>
      </c>
    </row>
    <row r="4326" spans="1:7">
      <c r="A4326" t="s">
        <v>1297</v>
      </c>
      <c r="B4326" t="s">
        <v>1298</v>
      </c>
      <c r="C4326" t="s">
        <v>677</v>
      </c>
      <c r="D4326" t="s">
        <v>1361</v>
      </c>
      <c r="E4326" t="s">
        <v>187</v>
      </c>
      <c r="F4326">
        <v>2012</v>
      </c>
      <c r="G4326">
        <v>124.11668</v>
      </c>
    </row>
    <row r="4327" spans="1:7">
      <c r="A4327" t="s">
        <v>1297</v>
      </c>
      <c r="B4327" t="s">
        <v>1298</v>
      </c>
      <c r="C4327" t="s">
        <v>677</v>
      </c>
      <c r="D4327" t="s">
        <v>1361</v>
      </c>
      <c r="E4327" t="s">
        <v>187</v>
      </c>
      <c r="F4327">
        <v>2016</v>
      </c>
      <c r="G4327">
        <v>48.922175000000003</v>
      </c>
    </row>
    <row r="4328" spans="1:7">
      <c r="A4328" t="s">
        <v>1297</v>
      </c>
      <c r="B4328" t="s">
        <v>1298</v>
      </c>
      <c r="C4328" t="s">
        <v>656</v>
      </c>
      <c r="D4328" t="s">
        <v>1361</v>
      </c>
      <c r="E4328" t="s">
        <v>187</v>
      </c>
      <c r="F4328">
        <v>2005</v>
      </c>
      <c r="G4328">
        <v>354.59517</v>
      </c>
    </row>
    <row r="4329" spans="1:7">
      <c r="A4329" t="s">
        <v>1297</v>
      </c>
      <c r="B4329" t="s">
        <v>1298</v>
      </c>
      <c r="C4329" t="s">
        <v>656</v>
      </c>
      <c r="D4329" t="s">
        <v>1361</v>
      </c>
      <c r="E4329" t="s">
        <v>187</v>
      </c>
      <c r="F4329">
        <v>2010</v>
      </c>
      <c r="G4329">
        <v>366.28620799999999</v>
      </c>
    </row>
    <row r="4330" spans="1:7">
      <c r="A4330" t="s">
        <v>1297</v>
      </c>
      <c r="B4330" t="s">
        <v>1298</v>
      </c>
      <c r="C4330" t="s">
        <v>656</v>
      </c>
      <c r="D4330" t="s">
        <v>1361</v>
      </c>
      <c r="E4330" t="s">
        <v>187</v>
      </c>
      <c r="F4330">
        <v>2012</v>
      </c>
      <c r="G4330">
        <v>374.12247000000002</v>
      </c>
    </row>
    <row r="4331" spans="1:7">
      <c r="A4331" t="s">
        <v>1297</v>
      </c>
      <c r="B4331" t="s">
        <v>1298</v>
      </c>
      <c r="C4331" t="s">
        <v>656</v>
      </c>
      <c r="D4331" t="s">
        <v>1361</v>
      </c>
      <c r="E4331" t="s">
        <v>187</v>
      </c>
      <c r="F4331">
        <v>2016</v>
      </c>
      <c r="G4331">
        <v>406.46887199999998</v>
      </c>
    </row>
    <row r="4332" spans="1:7">
      <c r="A4332" t="s">
        <v>1297</v>
      </c>
      <c r="B4332" t="s">
        <v>1298</v>
      </c>
      <c r="C4332" t="s">
        <v>656</v>
      </c>
      <c r="D4332" t="s">
        <v>1361</v>
      </c>
      <c r="E4332" t="s">
        <v>187</v>
      </c>
      <c r="F4332">
        <v>2020</v>
      </c>
      <c r="G4332">
        <v>349.57581900000002</v>
      </c>
    </row>
    <row r="4333" spans="1:7">
      <c r="A4333" t="s">
        <v>1297</v>
      </c>
      <c r="B4333" t="s">
        <v>1298</v>
      </c>
      <c r="C4333" t="s">
        <v>651</v>
      </c>
      <c r="D4333" t="s">
        <v>1361</v>
      </c>
      <c r="E4333" t="s">
        <v>187</v>
      </c>
      <c r="F4333">
        <v>2005</v>
      </c>
      <c r="G4333">
        <v>42.529617000000002</v>
      </c>
    </row>
    <row r="4334" spans="1:7">
      <c r="A4334" t="s">
        <v>1297</v>
      </c>
      <c r="B4334" t="s">
        <v>1298</v>
      </c>
      <c r="C4334" t="s">
        <v>651</v>
      </c>
      <c r="D4334" t="s">
        <v>1361</v>
      </c>
      <c r="E4334" t="s">
        <v>187</v>
      </c>
      <c r="F4334">
        <v>2010</v>
      </c>
      <c r="G4334">
        <v>41.565263999999999</v>
      </c>
    </row>
    <row r="4335" spans="1:7">
      <c r="A4335" t="s">
        <v>1297</v>
      </c>
      <c r="B4335" t="s">
        <v>1298</v>
      </c>
      <c r="C4335" t="s">
        <v>651</v>
      </c>
      <c r="D4335" t="s">
        <v>1361</v>
      </c>
      <c r="E4335" t="s">
        <v>187</v>
      </c>
      <c r="F4335">
        <v>2012</v>
      </c>
      <c r="G4335">
        <v>40.022345999999999</v>
      </c>
    </row>
    <row r="4336" spans="1:7">
      <c r="A4336" t="s">
        <v>1297</v>
      </c>
      <c r="B4336" t="s">
        <v>1298</v>
      </c>
      <c r="C4336" t="s">
        <v>651</v>
      </c>
      <c r="D4336" t="s">
        <v>1361</v>
      </c>
      <c r="E4336" t="s">
        <v>187</v>
      </c>
      <c r="F4336">
        <v>2016</v>
      </c>
      <c r="G4336">
        <v>40.586772000000003</v>
      </c>
    </row>
    <row r="4337" spans="1:7">
      <c r="A4337" t="s">
        <v>1297</v>
      </c>
      <c r="B4337" t="s">
        <v>1298</v>
      </c>
      <c r="C4337" t="s">
        <v>651</v>
      </c>
      <c r="D4337" t="s">
        <v>1361</v>
      </c>
      <c r="E4337" t="s">
        <v>187</v>
      </c>
      <c r="F4337">
        <v>2020</v>
      </c>
      <c r="G4337">
        <v>39.641376999999999</v>
      </c>
    </row>
    <row r="4338" spans="1:7">
      <c r="A4338" t="s">
        <v>1297</v>
      </c>
      <c r="B4338" t="s">
        <v>1298</v>
      </c>
      <c r="C4338" t="s">
        <v>671</v>
      </c>
      <c r="D4338" t="s">
        <v>1361</v>
      </c>
      <c r="E4338" t="s">
        <v>187</v>
      </c>
      <c r="F4338">
        <v>2016</v>
      </c>
      <c r="G4338">
        <v>286.59706799999998</v>
      </c>
    </row>
    <row r="4339" spans="1:7">
      <c r="A4339" t="s">
        <v>1297</v>
      </c>
      <c r="B4339" t="s">
        <v>1298</v>
      </c>
      <c r="C4339" t="s">
        <v>671</v>
      </c>
      <c r="D4339" t="s">
        <v>1361</v>
      </c>
      <c r="E4339" t="s">
        <v>187</v>
      </c>
      <c r="F4339">
        <v>2020</v>
      </c>
      <c r="G4339">
        <v>263.41001499999999</v>
      </c>
    </row>
    <row r="4340" spans="1:7">
      <c r="A4340" t="s">
        <v>1297</v>
      </c>
      <c r="B4340" t="s">
        <v>1298</v>
      </c>
      <c r="C4340" t="s">
        <v>676</v>
      </c>
      <c r="D4340" t="s">
        <v>1361</v>
      </c>
      <c r="E4340" t="s">
        <v>187</v>
      </c>
      <c r="F4340">
        <v>2005</v>
      </c>
      <c r="G4340">
        <v>54.693500999999998</v>
      </c>
    </row>
    <row r="4341" spans="1:7">
      <c r="A4341" t="s">
        <v>1297</v>
      </c>
      <c r="B4341" t="s">
        <v>1298</v>
      </c>
      <c r="C4341" t="s">
        <v>676</v>
      </c>
      <c r="D4341" t="s">
        <v>1361</v>
      </c>
      <c r="E4341" t="s">
        <v>187</v>
      </c>
      <c r="F4341">
        <v>2010</v>
      </c>
      <c r="G4341">
        <v>48.813749999999999</v>
      </c>
    </row>
    <row r="4342" spans="1:7">
      <c r="A4342" t="s">
        <v>1297</v>
      </c>
      <c r="B4342" t="s">
        <v>1298</v>
      </c>
      <c r="C4342" t="s">
        <v>676</v>
      </c>
      <c r="D4342" t="s">
        <v>1361</v>
      </c>
      <c r="E4342" t="s">
        <v>187</v>
      </c>
      <c r="F4342">
        <v>2012</v>
      </c>
      <c r="G4342">
        <v>46.235399999999998</v>
      </c>
    </row>
    <row r="4343" spans="1:7">
      <c r="A4343" t="s">
        <v>1297</v>
      </c>
      <c r="B4343" t="s">
        <v>1298</v>
      </c>
      <c r="C4343" t="s">
        <v>676</v>
      </c>
      <c r="D4343" t="s">
        <v>1361</v>
      </c>
      <c r="E4343" t="s">
        <v>187</v>
      </c>
      <c r="F4343">
        <v>2016</v>
      </c>
      <c r="G4343">
        <v>48.164659999999998</v>
      </c>
    </row>
    <row r="4344" spans="1:7">
      <c r="A4344" t="s">
        <v>1297</v>
      </c>
      <c r="B4344" t="s">
        <v>1298</v>
      </c>
      <c r="C4344" t="s">
        <v>676</v>
      </c>
      <c r="D4344" t="s">
        <v>1361</v>
      </c>
      <c r="E4344" t="s">
        <v>187</v>
      </c>
      <c r="F4344">
        <v>2020</v>
      </c>
      <c r="G4344">
        <v>41.466799999999999</v>
      </c>
    </row>
    <row r="4345" spans="1:7">
      <c r="A4345" t="s">
        <v>1297</v>
      </c>
      <c r="B4345" t="s">
        <v>1298</v>
      </c>
      <c r="C4345" t="s">
        <v>1301</v>
      </c>
      <c r="D4345" t="s">
        <v>1361</v>
      </c>
      <c r="E4345" t="s">
        <v>187</v>
      </c>
      <c r="F4345">
        <v>2005</v>
      </c>
      <c r="G4345">
        <v>94.427621000000002</v>
      </c>
    </row>
    <row r="4346" spans="1:7">
      <c r="A4346" t="s">
        <v>1297</v>
      </c>
      <c r="B4346" t="s">
        <v>1298</v>
      </c>
      <c r="C4346" t="s">
        <v>1301</v>
      </c>
      <c r="D4346" t="s">
        <v>1361</v>
      </c>
      <c r="E4346" t="s">
        <v>187</v>
      </c>
      <c r="F4346">
        <v>2010</v>
      </c>
      <c r="G4346">
        <v>123.60006799999999</v>
      </c>
    </row>
    <row r="4347" spans="1:7">
      <c r="A4347" t="s">
        <v>1297</v>
      </c>
      <c r="B4347" t="s">
        <v>1298</v>
      </c>
      <c r="C4347" t="s">
        <v>1301</v>
      </c>
      <c r="D4347" t="s">
        <v>1361</v>
      </c>
      <c r="E4347" t="s">
        <v>187</v>
      </c>
      <c r="F4347">
        <v>2012</v>
      </c>
      <c r="G4347">
        <v>120.22832</v>
      </c>
    </row>
    <row r="4348" spans="1:7">
      <c r="A4348" t="s">
        <v>1297</v>
      </c>
      <c r="B4348" t="s">
        <v>1298</v>
      </c>
      <c r="C4348" t="s">
        <v>1301</v>
      </c>
      <c r="D4348" t="s">
        <v>1361</v>
      </c>
      <c r="E4348" t="s">
        <v>187</v>
      </c>
      <c r="F4348">
        <v>2016</v>
      </c>
      <c r="G4348">
        <v>119.539935</v>
      </c>
    </row>
    <row r="4349" spans="1:7">
      <c r="A4349" t="s">
        <v>1297</v>
      </c>
      <c r="B4349" t="s">
        <v>1298</v>
      </c>
      <c r="C4349" t="s">
        <v>1301</v>
      </c>
      <c r="D4349" t="s">
        <v>1361</v>
      </c>
      <c r="E4349" t="s">
        <v>187</v>
      </c>
      <c r="F4349">
        <v>2020</v>
      </c>
      <c r="G4349">
        <v>120.90818299999999</v>
      </c>
    </row>
    <row r="4350" spans="1:7">
      <c r="A4350" t="s">
        <v>1297</v>
      </c>
      <c r="B4350" t="s">
        <v>1298</v>
      </c>
      <c r="C4350" t="s">
        <v>663</v>
      </c>
      <c r="D4350" t="s">
        <v>1361</v>
      </c>
      <c r="E4350" t="s">
        <v>187</v>
      </c>
      <c r="F4350">
        <v>2005</v>
      </c>
      <c r="G4350">
        <v>20.145659999999999</v>
      </c>
    </row>
    <row r="4351" spans="1:7">
      <c r="A4351" t="s">
        <v>1297</v>
      </c>
      <c r="B4351" t="s">
        <v>1298</v>
      </c>
      <c r="C4351" t="s">
        <v>663</v>
      </c>
      <c r="D4351" t="s">
        <v>1361</v>
      </c>
      <c r="E4351" t="s">
        <v>187</v>
      </c>
      <c r="F4351">
        <v>2010</v>
      </c>
      <c r="G4351">
        <v>32.951639999999998</v>
      </c>
    </row>
    <row r="4352" spans="1:7">
      <c r="A4352" t="s">
        <v>1297</v>
      </c>
      <c r="B4352" t="s">
        <v>1298</v>
      </c>
      <c r="C4352" t="s">
        <v>663</v>
      </c>
      <c r="D4352" t="s">
        <v>1361</v>
      </c>
      <c r="E4352" t="s">
        <v>187</v>
      </c>
      <c r="F4352">
        <v>2012</v>
      </c>
      <c r="G4352">
        <v>32.536740000000002</v>
      </c>
    </row>
    <row r="4353" spans="1:7">
      <c r="A4353" t="s">
        <v>1297</v>
      </c>
      <c r="B4353" t="s">
        <v>1298</v>
      </c>
      <c r="C4353" t="s">
        <v>663</v>
      </c>
      <c r="D4353" t="s">
        <v>1361</v>
      </c>
      <c r="E4353" t="s">
        <v>187</v>
      </c>
      <c r="F4353">
        <v>2016</v>
      </c>
      <c r="G4353">
        <v>28.067080000000001</v>
      </c>
    </row>
    <row r="4354" spans="1:7">
      <c r="A4354" t="s">
        <v>1297</v>
      </c>
      <c r="B4354" t="s">
        <v>1298</v>
      </c>
      <c r="C4354" t="s">
        <v>663</v>
      </c>
      <c r="D4354" t="s">
        <v>1361</v>
      </c>
      <c r="E4354" t="s">
        <v>187</v>
      </c>
      <c r="F4354">
        <v>2020</v>
      </c>
      <c r="G4354">
        <v>27.869679999999999</v>
      </c>
    </row>
    <row r="4355" spans="1:7">
      <c r="A4355" t="s">
        <v>1297</v>
      </c>
      <c r="B4355" t="s">
        <v>1298</v>
      </c>
      <c r="C4355" t="s">
        <v>677</v>
      </c>
      <c r="D4355" t="s">
        <v>1361</v>
      </c>
      <c r="E4355" t="s">
        <v>187</v>
      </c>
      <c r="F4355">
        <v>2020</v>
      </c>
      <c r="G4355">
        <v>46.294972999999999</v>
      </c>
    </row>
    <row r="4356" spans="1:7">
      <c r="A4356" t="s">
        <v>1297</v>
      </c>
      <c r="B4356" t="s">
        <v>1298</v>
      </c>
      <c r="C4356" t="s">
        <v>655</v>
      </c>
      <c r="D4356" t="s">
        <v>1362</v>
      </c>
      <c r="E4356" t="s">
        <v>187</v>
      </c>
      <c r="F4356">
        <v>2005</v>
      </c>
      <c r="G4356">
        <v>18.097200000000001</v>
      </c>
    </row>
    <row r="4357" spans="1:7">
      <c r="A4357" t="s">
        <v>1297</v>
      </c>
      <c r="B4357" t="s">
        <v>1298</v>
      </c>
      <c r="C4357" t="s">
        <v>655</v>
      </c>
      <c r="D4357" t="s">
        <v>1362</v>
      </c>
      <c r="E4357" t="s">
        <v>187</v>
      </c>
      <c r="F4357">
        <v>2010</v>
      </c>
      <c r="G4357">
        <v>16.0776</v>
      </c>
    </row>
    <row r="4358" spans="1:7">
      <c r="A4358" t="s">
        <v>1297</v>
      </c>
      <c r="B4358" t="s">
        <v>1298</v>
      </c>
      <c r="C4358" t="s">
        <v>655</v>
      </c>
      <c r="D4358" t="s">
        <v>1362</v>
      </c>
      <c r="E4358" t="s">
        <v>187</v>
      </c>
      <c r="F4358">
        <v>2012</v>
      </c>
      <c r="G4358">
        <v>15.0732</v>
      </c>
    </row>
    <row r="4359" spans="1:7">
      <c r="A4359" t="s">
        <v>1297</v>
      </c>
      <c r="B4359" t="s">
        <v>1298</v>
      </c>
      <c r="C4359" t="s">
        <v>655</v>
      </c>
      <c r="D4359" t="s">
        <v>1362</v>
      </c>
      <c r="E4359" t="s">
        <v>187</v>
      </c>
      <c r="F4359">
        <v>2016</v>
      </c>
      <c r="G4359">
        <v>14.688000000000001</v>
      </c>
    </row>
    <row r="4360" spans="1:7">
      <c r="A4360" t="s">
        <v>1297</v>
      </c>
      <c r="B4360" t="s">
        <v>1298</v>
      </c>
      <c r="C4360" t="s">
        <v>655</v>
      </c>
      <c r="D4360" t="s">
        <v>1362</v>
      </c>
      <c r="E4360" t="s">
        <v>187</v>
      </c>
      <c r="F4360">
        <v>2020</v>
      </c>
      <c r="G4360">
        <v>15.479888000000001</v>
      </c>
    </row>
    <row r="4361" spans="1:7">
      <c r="A4361" t="s">
        <v>1297</v>
      </c>
      <c r="B4361" t="s">
        <v>1298</v>
      </c>
      <c r="C4361" t="s">
        <v>685</v>
      </c>
      <c r="D4361" t="s">
        <v>1362</v>
      </c>
      <c r="E4361" t="s">
        <v>187</v>
      </c>
      <c r="F4361">
        <v>2005</v>
      </c>
      <c r="G4361">
        <v>5.7312000000000003</v>
      </c>
    </row>
    <row r="4362" spans="1:7">
      <c r="A4362" t="s">
        <v>1297</v>
      </c>
      <c r="B4362" t="s">
        <v>1298</v>
      </c>
      <c r="C4362" t="s">
        <v>685</v>
      </c>
      <c r="D4362" t="s">
        <v>1362</v>
      </c>
      <c r="E4362" t="s">
        <v>187</v>
      </c>
      <c r="F4362">
        <v>2010</v>
      </c>
      <c r="G4362">
        <v>4.6044</v>
      </c>
    </row>
    <row r="4363" spans="1:7">
      <c r="A4363" t="s">
        <v>1297</v>
      </c>
      <c r="B4363" t="s">
        <v>1298</v>
      </c>
      <c r="C4363" t="s">
        <v>685</v>
      </c>
      <c r="D4363" t="s">
        <v>1362</v>
      </c>
      <c r="E4363" t="s">
        <v>187</v>
      </c>
      <c r="F4363">
        <v>2012</v>
      </c>
      <c r="G4363">
        <v>4.6656000000000004</v>
      </c>
    </row>
    <row r="4364" spans="1:7">
      <c r="A4364" t="s">
        <v>1297</v>
      </c>
      <c r="B4364" t="s">
        <v>1298</v>
      </c>
      <c r="C4364" t="s">
        <v>685</v>
      </c>
      <c r="D4364" t="s">
        <v>1362</v>
      </c>
      <c r="E4364" t="s">
        <v>187</v>
      </c>
      <c r="F4364">
        <v>2016</v>
      </c>
      <c r="G4364">
        <v>3.6251389999999999</v>
      </c>
    </row>
    <row r="4365" spans="1:7">
      <c r="A4365" t="s">
        <v>1297</v>
      </c>
      <c r="B4365" t="s">
        <v>1298</v>
      </c>
      <c r="C4365" t="s">
        <v>685</v>
      </c>
      <c r="D4365" t="s">
        <v>1362</v>
      </c>
      <c r="E4365" t="s">
        <v>187</v>
      </c>
      <c r="F4365">
        <v>2020</v>
      </c>
      <c r="G4365">
        <v>3.5245549999999999</v>
      </c>
    </row>
    <row r="4366" spans="1:7">
      <c r="A4366" t="s">
        <v>1297</v>
      </c>
      <c r="B4366" t="s">
        <v>1298</v>
      </c>
      <c r="C4366" t="s">
        <v>676</v>
      </c>
      <c r="D4366" t="s">
        <v>1362</v>
      </c>
      <c r="E4366" t="s">
        <v>187</v>
      </c>
      <c r="F4366">
        <v>2005</v>
      </c>
      <c r="G4366">
        <v>6.0731999999999999</v>
      </c>
    </row>
    <row r="4367" spans="1:7">
      <c r="A4367" t="s">
        <v>1297</v>
      </c>
      <c r="B4367" t="s">
        <v>1298</v>
      </c>
      <c r="C4367" t="s">
        <v>661</v>
      </c>
      <c r="D4367" t="s">
        <v>1362</v>
      </c>
      <c r="E4367" t="s">
        <v>187</v>
      </c>
      <c r="F4367">
        <v>2010</v>
      </c>
      <c r="G4367">
        <v>127.49039999999999</v>
      </c>
    </row>
    <row r="4368" spans="1:7">
      <c r="A4368" t="s">
        <v>1297</v>
      </c>
      <c r="B4368" t="s">
        <v>1298</v>
      </c>
      <c r="C4368" t="s">
        <v>661</v>
      </c>
      <c r="D4368" t="s">
        <v>1362</v>
      </c>
      <c r="E4368" t="s">
        <v>187</v>
      </c>
      <c r="F4368">
        <v>2012</v>
      </c>
      <c r="G4368">
        <v>136.279325</v>
      </c>
    </row>
    <row r="4369" spans="1:7">
      <c r="A4369" t="s">
        <v>1297</v>
      </c>
      <c r="B4369" t="s">
        <v>1298</v>
      </c>
      <c r="C4369" t="s">
        <v>661</v>
      </c>
      <c r="D4369" t="s">
        <v>1362</v>
      </c>
      <c r="E4369" t="s">
        <v>187</v>
      </c>
      <c r="F4369">
        <v>2016</v>
      </c>
      <c r="G4369">
        <v>134.92094399999999</v>
      </c>
    </row>
    <row r="4370" spans="1:7">
      <c r="A4370" t="s">
        <v>1297</v>
      </c>
      <c r="B4370" t="s">
        <v>1298</v>
      </c>
      <c r="C4370" t="s">
        <v>661</v>
      </c>
      <c r="D4370" t="s">
        <v>1362</v>
      </c>
      <c r="E4370" t="s">
        <v>187</v>
      </c>
      <c r="F4370">
        <v>2020</v>
      </c>
      <c r="G4370">
        <v>137.20359999999999</v>
      </c>
    </row>
    <row r="4371" spans="1:7">
      <c r="A4371" t="s">
        <v>1297</v>
      </c>
      <c r="B4371" t="s">
        <v>1298</v>
      </c>
      <c r="C4371" t="s">
        <v>656</v>
      </c>
      <c r="D4371" t="s">
        <v>1362</v>
      </c>
      <c r="E4371" t="s">
        <v>187</v>
      </c>
      <c r="F4371">
        <v>2005</v>
      </c>
      <c r="G4371">
        <v>105.5808</v>
      </c>
    </row>
    <row r="4372" spans="1:7">
      <c r="A4372" t="s">
        <v>1297</v>
      </c>
      <c r="B4372" t="s">
        <v>1298</v>
      </c>
      <c r="C4372" t="s">
        <v>676</v>
      </c>
      <c r="D4372" t="s">
        <v>1362</v>
      </c>
      <c r="E4372" t="s">
        <v>187</v>
      </c>
      <c r="F4372">
        <v>2010</v>
      </c>
      <c r="G4372">
        <v>3.0815999999999999</v>
      </c>
    </row>
    <row r="4373" spans="1:7">
      <c r="A4373" t="s">
        <v>1297</v>
      </c>
      <c r="B4373" t="s">
        <v>1298</v>
      </c>
      <c r="C4373" t="s">
        <v>676</v>
      </c>
      <c r="D4373" t="s">
        <v>1362</v>
      </c>
      <c r="E4373" t="s">
        <v>187</v>
      </c>
      <c r="F4373">
        <v>2012</v>
      </c>
      <c r="G4373">
        <v>4.5864000000000003</v>
      </c>
    </row>
    <row r="4374" spans="1:7">
      <c r="A4374" t="s">
        <v>1297</v>
      </c>
      <c r="B4374" t="s">
        <v>1298</v>
      </c>
      <c r="C4374" t="s">
        <v>676</v>
      </c>
      <c r="D4374" t="s">
        <v>1362</v>
      </c>
      <c r="E4374" t="s">
        <v>187</v>
      </c>
      <c r="F4374">
        <v>2016</v>
      </c>
      <c r="G4374">
        <v>4.7952000000000004</v>
      </c>
    </row>
    <row r="4375" spans="1:7">
      <c r="A4375" t="s">
        <v>1297</v>
      </c>
      <c r="B4375" t="s">
        <v>1298</v>
      </c>
      <c r="C4375" t="s">
        <v>676</v>
      </c>
      <c r="D4375" t="s">
        <v>1362</v>
      </c>
      <c r="E4375" t="s">
        <v>187</v>
      </c>
      <c r="F4375">
        <v>2020</v>
      </c>
      <c r="G4375">
        <v>6.1163999999999996</v>
      </c>
    </row>
    <row r="4376" spans="1:7">
      <c r="A4376" t="s">
        <v>1297</v>
      </c>
      <c r="B4376" t="s">
        <v>1298</v>
      </c>
      <c r="C4376" t="s">
        <v>654</v>
      </c>
      <c r="D4376" t="s">
        <v>1362</v>
      </c>
      <c r="E4376" t="s">
        <v>187</v>
      </c>
      <c r="F4376">
        <v>2005</v>
      </c>
      <c r="G4376">
        <v>0.59040000000000004</v>
      </c>
    </row>
    <row r="4377" spans="1:7">
      <c r="A4377" t="s">
        <v>1297</v>
      </c>
      <c r="B4377" t="s">
        <v>1298</v>
      </c>
      <c r="C4377" t="s">
        <v>654</v>
      </c>
      <c r="D4377" t="s">
        <v>1362</v>
      </c>
      <c r="E4377" t="s">
        <v>187</v>
      </c>
      <c r="F4377">
        <v>2010</v>
      </c>
      <c r="G4377">
        <v>0.79200000000000004</v>
      </c>
    </row>
    <row r="4378" spans="1:7">
      <c r="A4378" t="s">
        <v>1297</v>
      </c>
      <c r="B4378" t="s">
        <v>1298</v>
      </c>
      <c r="C4378" t="s">
        <v>654</v>
      </c>
      <c r="D4378" t="s">
        <v>1362</v>
      </c>
      <c r="E4378" t="s">
        <v>187</v>
      </c>
      <c r="F4378">
        <v>2012</v>
      </c>
      <c r="G4378">
        <v>0.49320000000000003</v>
      </c>
    </row>
    <row r="4379" spans="1:7">
      <c r="A4379" t="s">
        <v>1297</v>
      </c>
      <c r="B4379" t="s">
        <v>1298</v>
      </c>
      <c r="C4379" t="s">
        <v>654</v>
      </c>
      <c r="D4379" t="s">
        <v>1362</v>
      </c>
      <c r="E4379" t="s">
        <v>187</v>
      </c>
      <c r="F4379">
        <v>2016</v>
      </c>
      <c r="G4379">
        <v>0.94679999999999997</v>
      </c>
    </row>
    <row r="4380" spans="1:7">
      <c r="A4380" t="s">
        <v>1297</v>
      </c>
      <c r="B4380" t="s">
        <v>1298</v>
      </c>
      <c r="C4380" t="s">
        <v>654</v>
      </c>
      <c r="D4380" t="s">
        <v>1362</v>
      </c>
      <c r="E4380" t="s">
        <v>187</v>
      </c>
      <c r="F4380">
        <v>2020</v>
      </c>
      <c r="G4380">
        <v>0.66202899999999998</v>
      </c>
    </row>
    <row r="4381" spans="1:7">
      <c r="A4381" t="s">
        <v>1297</v>
      </c>
      <c r="B4381" t="s">
        <v>1298</v>
      </c>
      <c r="C4381" t="s">
        <v>651</v>
      </c>
      <c r="D4381" t="s">
        <v>1362</v>
      </c>
      <c r="E4381" t="s">
        <v>187</v>
      </c>
      <c r="F4381">
        <v>2005</v>
      </c>
      <c r="G4381">
        <v>12.36092</v>
      </c>
    </row>
    <row r="4382" spans="1:7">
      <c r="A4382" t="s">
        <v>1297</v>
      </c>
      <c r="B4382" t="s">
        <v>1298</v>
      </c>
      <c r="C4382" t="s">
        <v>651</v>
      </c>
      <c r="D4382" t="s">
        <v>1362</v>
      </c>
      <c r="E4382" t="s">
        <v>187</v>
      </c>
      <c r="F4382">
        <v>2010</v>
      </c>
      <c r="G4382">
        <v>12.063236</v>
      </c>
    </row>
    <row r="4383" spans="1:7">
      <c r="A4383" t="s">
        <v>1297</v>
      </c>
      <c r="B4383" t="s">
        <v>1298</v>
      </c>
      <c r="C4383" t="s">
        <v>651</v>
      </c>
      <c r="D4383" t="s">
        <v>1362</v>
      </c>
      <c r="E4383" t="s">
        <v>187</v>
      </c>
      <c r="F4383">
        <v>2012</v>
      </c>
      <c r="G4383">
        <v>12.688473999999999</v>
      </c>
    </row>
    <row r="4384" spans="1:7">
      <c r="A4384" t="s">
        <v>1297</v>
      </c>
      <c r="B4384" t="s">
        <v>1298</v>
      </c>
      <c r="C4384" t="s">
        <v>651</v>
      </c>
      <c r="D4384" t="s">
        <v>1362</v>
      </c>
      <c r="E4384" t="s">
        <v>187</v>
      </c>
      <c r="F4384">
        <v>2016</v>
      </c>
      <c r="G4384">
        <v>12.020403999999999</v>
      </c>
    </row>
    <row r="4385" spans="1:7">
      <c r="A4385" t="s">
        <v>1297</v>
      </c>
      <c r="B4385" t="s">
        <v>1298</v>
      </c>
      <c r="C4385" t="s">
        <v>651</v>
      </c>
      <c r="D4385" t="s">
        <v>1362</v>
      </c>
      <c r="E4385" t="s">
        <v>187</v>
      </c>
      <c r="F4385">
        <v>2020</v>
      </c>
      <c r="G4385">
        <v>11.896337000000001</v>
      </c>
    </row>
    <row r="4386" spans="1:7">
      <c r="A4386" t="s">
        <v>1297</v>
      </c>
      <c r="B4386" t="s">
        <v>1298</v>
      </c>
      <c r="C4386" t="s">
        <v>662</v>
      </c>
      <c r="D4386" t="s">
        <v>1362</v>
      </c>
      <c r="E4386" t="s">
        <v>187</v>
      </c>
      <c r="F4386">
        <v>2005</v>
      </c>
      <c r="G4386">
        <v>20.152799999999999</v>
      </c>
    </row>
    <row r="4387" spans="1:7">
      <c r="A4387" t="s">
        <v>1297</v>
      </c>
      <c r="B4387" t="s">
        <v>1298</v>
      </c>
      <c r="C4387" t="s">
        <v>662</v>
      </c>
      <c r="D4387" t="s">
        <v>1362</v>
      </c>
      <c r="E4387" t="s">
        <v>187</v>
      </c>
      <c r="F4387">
        <v>2010</v>
      </c>
      <c r="G4387">
        <v>13.6188</v>
      </c>
    </row>
    <row r="4388" spans="1:7">
      <c r="A4388" t="s">
        <v>1297</v>
      </c>
      <c r="B4388" t="s">
        <v>1298</v>
      </c>
      <c r="C4388" t="s">
        <v>662</v>
      </c>
      <c r="D4388" t="s">
        <v>1362</v>
      </c>
      <c r="E4388" t="s">
        <v>187</v>
      </c>
      <c r="F4388">
        <v>2012</v>
      </c>
      <c r="G4388">
        <v>5.7995999999999999</v>
      </c>
    </row>
    <row r="4389" spans="1:7">
      <c r="A4389" t="s">
        <v>1297</v>
      </c>
      <c r="B4389" t="s">
        <v>1298</v>
      </c>
      <c r="C4389" t="s">
        <v>662</v>
      </c>
      <c r="D4389" t="s">
        <v>1362</v>
      </c>
      <c r="E4389" t="s">
        <v>187</v>
      </c>
      <c r="F4389">
        <v>2016</v>
      </c>
      <c r="G4389">
        <v>14.245200000000001</v>
      </c>
    </row>
    <row r="4390" spans="1:7">
      <c r="A4390" t="s">
        <v>1297</v>
      </c>
      <c r="B4390" t="s">
        <v>1298</v>
      </c>
      <c r="C4390" t="s">
        <v>662</v>
      </c>
      <c r="D4390" t="s">
        <v>1362</v>
      </c>
      <c r="E4390" t="s">
        <v>187</v>
      </c>
      <c r="F4390">
        <v>2020</v>
      </c>
      <c r="G4390">
        <v>13.292698</v>
      </c>
    </row>
    <row r="4391" spans="1:7">
      <c r="A4391" t="s">
        <v>1297</v>
      </c>
      <c r="B4391" t="s">
        <v>1298</v>
      </c>
      <c r="C4391" t="s">
        <v>661</v>
      </c>
      <c r="D4391" t="s">
        <v>1362</v>
      </c>
      <c r="E4391" t="s">
        <v>187</v>
      </c>
      <c r="F4391">
        <v>2005</v>
      </c>
      <c r="G4391">
        <v>116.0316</v>
      </c>
    </row>
    <row r="4392" spans="1:7">
      <c r="A4392" t="s">
        <v>1297</v>
      </c>
      <c r="B4392" t="s">
        <v>1298</v>
      </c>
      <c r="C4392" t="s">
        <v>671</v>
      </c>
      <c r="D4392" t="s">
        <v>1362</v>
      </c>
      <c r="E4392" t="s">
        <v>187</v>
      </c>
      <c r="F4392">
        <v>2005</v>
      </c>
      <c r="G4392">
        <v>52.4268</v>
      </c>
    </row>
    <row r="4393" spans="1:7">
      <c r="A4393" t="s">
        <v>1297</v>
      </c>
      <c r="B4393" t="s">
        <v>1298</v>
      </c>
      <c r="C4393" t="s">
        <v>671</v>
      </c>
      <c r="D4393" t="s">
        <v>1362</v>
      </c>
      <c r="E4393" t="s">
        <v>187</v>
      </c>
      <c r="F4393">
        <v>2010</v>
      </c>
      <c r="G4393">
        <v>42.663600000000002</v>
      </c>
    </row>
    <row r="4394" spans="1:7">
      <c r="A4394" t="s">
        <v>1297</v>
      </c>
      <c r="B4394" t="s">
        <v>1298</v>
      </c>
      <c r="C4394" t="s">
        <v>671</v>
      </c>
      <c r="D4394" t="s">
        <v>1362</v>
      </c>
      <c r="E4394" t="s">
        <v>187</v>
      </c>
      <c r="F4394">
        <v>2012</v>
      </c>
      <c r="G4394">
        <v>39.182400000000001</v>
      </c>
    </row>
    <row r="4395" spans="1:7">
      <c r="A4395" t="s">
        <v>1297</v>
      </c>
      <c r="B4395" t="s">
        <v>1298</v>
      </c>
      <c r="C4395" t="s">
        <v>671</v>
      </c>
      <c r="D4395" t="s">
        <v>1362</v>
      </c>
      <c r="E4395" t="s">
        <v>187</v>
      </c>
      <c r="F4395">
        <v>2016</v>
      </c>
      <c r="G4395">
        <v>34.182000000000002</v>
      </c>
    </row>
    <row r="4396" spans="1:7">
      <c r="A4396" t="s">
        <v>1297</v>
      </c>
      <c r="B4396" t="s">
        <v>1298</v>
      </c>
      <c r="C4396" t="s">
        <v>671</v>
      </c>
      <c r="D4396" t="s">
        <v>1362</v>
      </c>
      <c r="E4396" t="s">
        <v>187</v>
      </c>
      <c r="F4396">
        <v>2020</v>
      </c>
      <c r="G4396">
        <v>32.223599999999998</v>
      </c>
    </row>
    <row r="4397" spans="1:7">
      <c r="A4397" t="s">
        <v>1297</v>
      </c>
      <c r="B4397" t="s">
        <v>1298</v>
      </c>
      <c r="C4397" t="s">
        <v>1299</v>
      </c>
      <c r="D4397" t="s">
        <v>1362</v>
      </c>
      <c r="E4397" t="s">
        <v>187</v>
      </c>
      <c r="F4397">
        <v>2005</v>
      </c>
      <c r="G4397">
        <v>89.269199999999998</v>
      </c>
    </row>
    <row r="4398" spans="1:7">
      <c r="A4398" t="s">
        <v>1297</v>
      </c>
      <c r="B4398" t="s">
        <v>1298</v>
      </c>
      <c r="C4398" t="s">
        <v>1299</v>
      </c>
      <c r="D4398" t="s">
        <v>1362</v>
      </c>
      <c r="E4398" t="s">
        <v>187</v>
      </c>
      <c r="F4398">
        <v>2010</v>
      </c>
      <c r="G4398">
        <v>78.102000000000004</v>
      </c>
    </row>
    <row r="4399" spans="1:7">
      <c r="A4399" t="s">
        <v>1297</v>
      </c>
      <c r="B4399" t="s">
        <v>1298</v>
      </c>
      <c r="C4399" t="s">
        <v>1299</v>
      </c>
      <c r="D4399" t="s">
        <v>1362</v>
      </c>
      <c r="E4399" t="s">
        <v>187</v>
      </c>
      <c r="F4399">
        <v>2012</v>
      </c>
      <c r="G4399">
        <v>77.115600000000001</v>
      </c>
    </row>
    <row r="4400" spans="1:7">
      <c r="A4400" t="s">
        <v>1297</v>
      </c>
      <c r="B4400" t="s">
        <v>1298</v>
      </c>
      <c r="C4400" t="s">
        <v>1299</v>
      </c>
      <c r="D4400" t="s">
        <v>1362</v>
      </c>
      <c r="E4400" t="s">
        <v>187</v>
      </c>
      <c r="F4400">
        <v>2016</v>
      </c>
      <c r="G4400">
        <v>59.8536</v>
      </c>
    </row>
    <row r="4401" spans="1:7">
      <c r="A4401" t="s">
        <v>1297</v>
      </c>
      <c r="B4401" t="s">
        <v>1298</v>
      </c>
      <c r="C4401" t="s">
        <v>1299</v>
      </c>
      <c r="D4401" t="s">
        <v>1362</v>
      </c>
      <c r="E4401" t="s">
        <v>187</v>
      </c>
      <c r="F4401">
        <v>2020</v>
      </c>
      <c r="G4401">
        <v>59.162759999999999</v>
      </c>
    </row>
    <row r="4402" spans="1:7">
      <c r="A4402" t="s">
        <v>1297</v>
      </c>
      <c r="B4402" t="s">
        <v>1298</v>
      </c>
      <c r="C4402" t="s">
        <v>653</v>
      </c>
      <c r="D4402" t="s">
        <v>1362</v>
      </c>
      <c r="E4402" t="s">
        <v>187</v>
      </c>
      <c r="F4402">
        <v>2005</v>
      </c>
      <c r="G4402">
        <v>17.578800000000001</v>
      </c>
    </row>
    <row r="4403" spans="1:7">
      <c r="A4403" t="s">
        <v>1297</v>
      </c>
      <c r="B4403" t="s">
        <v>1298</v>
      </c>
      <c r="C4403" t="s">
        <v>653</v>
      </c>
      <c r="D4403" t="s">
        <v>1362</v>
      </c>
      <c r="E4403" t="s">
        <v>187</v>
      </c>
      <c r="F4403">
        <v>2010</v>
      </c>
      <c r="G4403">
        <v>16.128</v>
      </c>
    </row>
    <row r="4404" spans="1:7">
      <c r="A4404" t="s">
        <v>1297</v>
      </c>
      <c r="B4404" t="s">
        <v>1298</v>
      </c>
      <c r="C4404" t="s">
        <v>653</v>
      </c>
      <c r="D4404" t="s">
        <v>1362</v>
      </c>
      <c r="E4404" t="s">
        <v>187</v>
      </c>
      <c r="F4404">
        <v>2012</v>
      </c>
      <c r="G4404">
        <v>15.2316</v>
      </c>
    </row>
    <row r="4405" spans="1:7">
      <c r="A4405" t="s">
        <v>1297</v>
      </c>
      <c r="B4405" t="s">
        <v>1298</v>
      </c>
      <c r="C4405" t="s">
        <v>653</v>
      </c>
      <c r="D4405" t="s">
        <v>1362</v>
      </c>
      <c r="E4405" t="s">
        <v>187</v>
      </c>
      <c r="F4405">
        <v>2016</v>
      </c>
      <c r="G4405">
        <v>12.8772</v>
      </c>
    </row>
    <row r="4406" spans="1:7">
      <c r="A4406" t="s">
        <v>1297</v>
      </c>
      <c r="B4406" t="s">
        <v>1298</v>
      </c>
      <c r="C4406" t="s">
        <v>653</v>
      </c>
      <c r="D4406" t="s">
        <v>1362</v>
      </c>
      <c r="E4406" t="s">
        <v>187</v>
      </c>
      <c r="F4406">
        <v>2020</v>
      </c>
      <c r="G4406">
        <v>9.9594649999999998</v>
      </c>
    </row>
    <row r="4407" spans="1:7">
      <c r="A4407" t="s">
        <v>1297</v>
      </c>
      <c r="B4407" t="s">
        <v>1298</v>
      </c>
      <c r="C4407" t="s">
        <v>674</v>
      </c>
      <c r="D4407" t="s">
        <v>1362</v>
      </c>
      <c r="E4407" t="s">
        <v>187</v>
      </c>
      <c r="F4407">
        <v>2005</v>
      </c>
      <c r="G4407">
        <v>42.148800000000001</v>
      </c>
    </row>
    <row r="4408" spans="1:7">
      <c r="A4408" t="s">
        <v>1297</v>
      </c>
      <c r="B4408" t="s">
        <v>1298</v>
      </c>
      <c r="C4408" t="s">
        <v>674</v>
      </c>
      <c r="D4408" t="s">
        <v>1362</v>
      </c>
      <c r="E4408" t="s">
        <v>187</v>
      </c>
      <c r="F4408">
        <v>2010</v>
      </c>
      <c r="G4408">
        <v>38.019599999999997</v>
      </c>
    </row>
    <row r="4409" spans="1:7">
      <c r="A4409" t="s">
        <v>1297</v>
      </c>
      <c r="B4409" t="s">
        <v>1298</v>
      </c>
      <c r="C4409" t="s">
        <v>674</v>
      </c>
      <c r="D4409" t="s">
        <v>1362</v>
      </c>
      <c r="E4409" t="s">
        <v>187</v>
      </c>
      <c r="F4409">
        <v>2012</v>
      </c>
      <c r="G4409">
        <v>39.456000000000003</v>
      </c>
    </row>
    <row r="4410" spans="1:7">
      <c r="A4410" t="s">
        <v>1297</v>
      </c>
      <c r="B4410" t="s">
        <v>1298</v>
      </c>
      <c r="C4410" t="s">
        <v>674</v>
      </c>
      <c r="D4410" t="s">
        <v>1362</v>
      </c>
      <c r="E4410" t="s">
        <v>187</v>
      </c>
      <c r="F4410">
        <v>2016</v>
      </c>
      <c r="G4410">
        <v>30.848400000000002</v>
      </c>
    </row>
    <row r="4411" spans="1:7">
      <c r="A4411" t="s">
        <v>1297</v>
      </c>
      <c r="B4411" t="s">
        <v>1298</v>
      </c>
      <c r="C4411" t="s">
        <v>674</v>
      </c>
      <c r="D4411" t="s">
        <v>1362</v>
      </c>
      <c r="E4411" t="s">
        <v>187</v>
      </c>
      <c r="F4411">
        <v>2020</v>
      </c>
      <c r="G4411">
        <v>39.031199999999998</v>
      </c>
    </row>
    <row r="4412" spans="1:7">
      <c r="A4412" t="s">
        <v>1297</v>
      </c>
      <c r="B4412" t="s">
        <v>1298</v>
      </c>
      <c r="C4412" t="s">
        <v>659</v>
      </c>
      <c r="D4412" t="s">
        <v>1362</v>
      </c>
      <c r="E4412" t="s">
        <v>187</v>
      </c>
      <c r="F4412">
        <v>2005</v>
      </c>
      <c r="G4412">
        <v>93.456000000000003</v>
      </c>
    </row>
    <row r="4413" spans="1:7">
      <c r="A4413" t="s">
        <v>1297</v>
      </c>
      <c r="B4413" t="s">
        <v>1298</v>
      </c>
      <c r="C4413" t="s">
        <v>659</v>
      </c>
      <c r="D4413" t="s">
        <v>1362</v>
      </c>
      <c r="E4413" t="s">
        <v>187</v>
      </c>
      <c r="F4413">
        <v>2010</v>
      </c>
      <c r="G4413">
        <v>98.64</v>
      </c>
    </row>
    <row r="4414" spans="1:7">
      <c r="A4414" t="s">
        <v>1297</v>
      </c>
      <c r="B4414" t="s">
        <v>1298</v>
      </c>
      <c r="C4414" t="s">
        <v>659</v>
      </c>
      <c r="D4414" t="s">
        <v>1362</v>
      </c>
      <c r="E4414" t="s">
        <v>187</v>
      </c>
      <c r="F4414">
        <v>2012</v>
      </c>
      <c r="G4414">
        <v>92.43</v>
      </c>
    </row>
    <row r="4415" spans="1:7">
      <c r="A4415" t="s">
        <v>1297</v>
      </c>
      <c r="B4415" t="s">
        <v>1298</v>
      </c>
      <c r="C4415" t="s">
        <v>659</v>
      </c>
      <c r="D4415" t="s">
        <v>1362</v>
      </c>
      <c r="E4415" t="s">
        <v>187</v>
      </c>
      <c r="F4415">
        <v>2016</v>
      </c>
      <c r="G4415">
        <v>96.191999999999993</v>
      </c>
    </row>
    <row r="4416" spans="1:7">
      <c r="A4416" t="s">
        <v>1297</v>
      </c>
      <c r="B4416" t="s">
        <v>1298</v>
      </c>
      <c r="C4416" t="s">
        <v>659</v>
      </c>
      <c r="D4416" t="s">
        <v>1362</v>
      </c>
      <c r="E4416" t="s">
        <v>187</v>
      </c>
      <c r="F4416">
        <v>2020</v>
      </c>
      <c r="G4416">
        <v>89.244</v>
      </c>
    </row>
    <row r="4417" spans="1:7">
      <c r="A4417" t="s">
        <v>1297</v>
      </c>
      <c r="B4417" t="s">
        <v>1298</v>
      </c>
      <c r="C4417" t="s">
        <v>686</v>
      </c>
      <c r="D4417" t="s">
        <v>1362</v>
      </c>
      <c r="E4417" t="s">
        <v>187</v>
      </c>
      <c r="F4417">
        <v>2005</v>
      </c>
      <c r="G4417">
        <v>19.256399999999999</v>
      </c>
    </row>
    <row r="4418" spans="1:7">
      <c r="A4418" t="s">
        <v>1297</v>
      </c>
      <c r="B4418" t="s">
        <v>1298</v>
      </c>
      <c r="C4418" t="s">
        <v>686</v>
      </c>
      <c r="D4418" t="s">
        <v>1362</v>
      </c>
      <c r="E4418" t="s">
        <v>187</v>
      </c>
      <c r="F4418">
        <v>2010</v>
      </c>
      <c r="G4418">
        <v>21.686399999999999</v>
      </c>
    </row>
    <row r="4419" spans="1:7">
      <c r="A4419" t="s">
        <v>1297</v>
      </c>
      <c r="B4419" t="s">
        <v>1298</v>
      </c>
      <c r="C4419" t="s">
        <v>686</v>
      </c>
      <c r="D4419" t="s">
        <v>1362</v>
      </c>
      <c r="E4419" t="s">
        <v>187</v>
      </c>
      <c r="F4419">
        <v>2012</v>
      </c>
      <c r="G4419">
        <v>20.192399999999999</v>
      </c>
    </row>
    <row r="4420" spans="1:7">
      <c r="A4420" t="s">
        <v>1297</v>
      </c>
      <c r="B4420" t="s">
        <v>1298</v>
      </c>
      <c r="C4420" t="s">
        <v>686</v>
      </c>
      <c r="D4420" t="s">
        <v>1362</v>
      </c>
      <c r="E4420" t="s">
        <v>187</v>
      </c>
      <c r="F4420">
        <v>2016</v>
      </c>
      <c r="G4420">
        <v>17.308800000000002</v>
      </c>
    </row>
    <row r="4421" spans="1:7">
      <c r="A4421" t="s">
        <v>1297</v>
      </c>
      <c r="B4421" t="s">
        <v>1298</v>
      </c>
      <c r="C4421" t="s">
        <v>686</v>
      </c>
      <c r="D4421" t="s">
        <v>1362</v>
      </c>
      <c r="E4421" t="s">
        <v>187</v>
      </c>
      <c r="F4421">
        <v>2020</v>
      </c>
      <c r="G4421">
        <v>15.596788</v>
      </c>
    </row>
    <row r="4422" spans="1:7">
      <c r="A4422" t="s">
        <v>1297</v>
      </c>
      <c r="B4422" t="s">
        <v>1298</v>
      </c>
      <c r="C4422" t="s">
        <v>684</v>
      </c>
      <c r="D4422" t="s">
        <v>1362</v>
      </c>
      <c r="E4422" t="s">
        <v>187</v>
      </c>
      <c r="F4422">
        <v>2005</v>
      </c>
      <c r="G4422">
        <v>2.79</v>
      </c>
    </row>
    <row r="4423" spans="1:7">
      <c r="A4423" t="s">
        <v>1297</v>
      </c>
      <c r="B4423" t="s">
        <v>1298</v>
      </c>
      <c r="C4423" t="s">
        <v>684</v>
      </c>
      <c r="D4423" t="s">
        <v>1362</v>
      </c>
      <c r="E4423" t="s">
        <v>187</v>
      </c>
      <c r="F4423">
        <v>2010</v>
      </c>
      <c r="G4423">
        <v>2.4011999999999998</v>
      </c>
    </row>
    <row r="4424" spans="1:7">
      <c r="A4424" t="s">
        <v>1297</v>
      </c>
      <c r="B4424" t="s">
        <v>1298</v>
      </c>
      <c r="C4424" t="s">
        <v>684</v>
      </c>
      <c r="D4424" t="s">
        <v>1362</v>
      </c>
      <c r="E4424" t="s">
        <v>187</v>
      </c>
      <c r="F4424">
        <v>2012</v>
      </c>
      <c r="G4424">
        <v>2.5019999999999998</v>
      </c>
    </row>
    <row r="4425" spans="1:7">
      <c r="A4425" t="s">
        <v>1297</v>
      </c>
      <c r="B4425" t="s">
        <v>1298</v>
      </c>
      <c r="C4425" t="s">
        <v>684</v>
      </c>
      <c r="D4425" t="s">
        <v>1362</v>
      </c>
      <c r="E4425" t="s">
        <v>187</v>
      </c>
      <c r="F4425">
        <v>2016</v>
      </c>
      <c r="G4425">
        <v>1.9476</v>
      </c>
    </row>
    <row r="4426" spans="1:7">
      <c r="A4426" t="s">
        <v>1297</v>
      </c>
      <c r="B4426" t="s">
        <v>1298</v>
      </c>
      <c r="C4426" t="s">
        <v>684</v>
      </c>
      <c r="D4426" t="s">
        <v>1362</v>
      </c>
      <c r="E4426" t="s">
        <v>187</v>
      </c>
      <c r="F4426">
        <v>2020</v>
      </c>
      <c r="G4426">
        <v>1.77444</v>
      </c>
    </row>
    <row r="4427" spans="1:7">
      <c r="A4427" t="s">
        <v>1297</v>
      </c>
      <c r="B4427" t="s">
        <v>1298</v>
      </c>
      <c r="C4427" t="s">
        <v>652</v>
      </c>
      <c r="D4427" t="s">
        <v>1362</v>
      </c>
      <c r="E4427" t="s">
        <v>187</v>
      </c>
      <c r="F4427">
        <v>2005</v>
      </c>
      <c r="G4427">
        <v>14.961600000000001</v>
      </c>
    </row>
    <row r="4428" spans="1:7">
      <c r="A4428" t="s">
        <v>1297</v>
      </c>
      <c r="B4428" t="s">
        <v>1298</v>
      </c>
      <c r="C4428" t="s">
        <v>652</v>
      </c>
      <c r="D4428" t="s">
        <v>1362</v>
      </c>
      <c r="E4428" t="s">
        <v>187</v>
      </c>
      <c r="F4428">
        <v>2010</v>
      </c>
      <c r="G4428">
        <v>14.93784</v>
      </c>
    </row>
    <row r="4429" spans="1:7">
      <c r="A4429" t="s">
        <v>1297</v>
      </c>
      <c r="B4429" t="s">
        <v>1298</v>
      </c>
      <c r="C4429" t="s">
        <v>652</v>
      </c>
      <c r="D4429" t="s">
        <v>1362</v>
      </c>
      <c r="E4429" t="s">
        <v>187</v>
      </c>
      <c r="F4429">
        <v>2012</v>
      </c>
      <c r="G4429">
        <v>14.808960000000001</v>
      </c>
    </row>
    <row r="4430" spans="1:7">
      <c r="A4430" t="s">
        <v>1297</v>
      </c>
      <c r="B4430" t="s">
        <v>1298</v>
      </c>
      <c r="C4430" t="s">
        <v>652</v>
      </c>
      <c r="D4430" t="s">
        <v>1362</v>
      </c>
      <c r="E4430" t="s">
        <v>187</v>
      </c>
      <c r="F4430">
        <v>2016</v>
      </c>
      <c r="G4430">
        <v>13.97052</v>
      </c>
    </row>
    <row r="4431" spans="1:7">
      <c r="A4431" t="s">
        <v>1297</v>
      </c>
      <c r="B4431" t="s">
        <v>1298</v>
      </c>
      <c r="C4431" t="s">
        <v>652</v>
      </c>
      <c r="D4431" t="s">
        <v>1362</v>
      </c>
      <c r="E4431" t="s">
        <v>187</v>
      </c>
      <c r="F4431">
        <v>2020</v>
      </c>
      <c r="G4431">
        <v>12.924720000000001</v>
      </c>
    </row>
    <row r="4432" spans="1:7">
      <c r="A4432" t="s">
        <v>1297</v>
      </c>
      <c r="B4432" t="s">
        <v>1298</v>
      </c>
      <c r="C4432" t="s">
        <v>668</v>
      </c>
      <c r="D4432" t="s">
        <v>1362</v>
      </c>
      <c r="E4432" t="s">
        <v>187</v>
      </c>
      <c r="F4432">
        <v>2005</v>
      </c>
      <c r="G4432">
        <v>3.0095999999999998</v>
      </c>
    </row>
    <row r="4433" spans="1:7">
      <c r="A4433" t="s">
        <v>1297</v>
      </c>
      <c r="B4433" t="s">
        <v>1298</v>
      </c>
      <c r="C4433" t="s">
        <v>668</v>
      </c>
      <c r="D4433" t="s">
        <v>1362</v>
      </c>
      <c r="E4433" t="s">
        <v>187</v>
      </c>
      <c r="F4433">
        <v>2010</v>
      </c>
      <c r="G4433">
        <v>2.6089199999999999</v>
      </c>
    </row>
    <row r="4434" spans="1:7">
      <c r="A4434" t="s">
        <v>1297</v>
      </c>
      <c r="B4434" t="s">
        <v>1298</v>
      </c>
      <c r="C4434" t="s">
        <v>668</v>
      </c>
      <c r="D4434" t="s">
        <v>1362</v>
      </c>
      <c r="E4434" t="s">
        <v>187</v>
      </c>
      <c r="F4434">
        <v>2012</v>
      </c>
      <c r="G4434">
        <v>2.0127419999999998</v>
      </c>
    </row>
    <row r="4435" spans="1:7">
      <c r="A4435" t="s">
        <v>1297</v>
      </c>
      <c r="B4435" t="s">
        <v>1298</v>
      </c>
      <c r="C4435" t="s">
        <v>668</v>
      </c>
      <c r="D4435" t="s">
        <v>1362</v>
      </c>
      <c r="E4435" t="s">
        <v>187</v>
      </c>
      <c r="F4435">
        <v>2016</v>
      </c>
      <c r="G4435">
        <v>1.7120949999999999</v>
      </c>
    </row>
    <row r="4436" spans="1:7">
      <c r="A4436" t="s">
        <v>1297</v>
      </c>
      <c r="B4436" t="s">
        <v>1298</v>
      </c>
      <c r="C4436" t="s">
        <v>668</v>
      </c>
      <c r="D4436" t="s">
        <v>1362</v>
      </c>
      <c r="E4436" t="s">
        <v>187</v>
      </c>
      <c r="F4436">
        <v>2020</v>
      </c>
      <c r="G4436">
        <v>1.5386580000000001</v>
      </c>
    </row>
    <row r="4437" spans="1:7">
      <c r="A4437" t="s">
        <v>1297</v>
      </c>
      <c r="B4437" t="s">
        <v>1298</v>
      </c>
      <c r="C4437" t="s">
        <v>669</v>
      </c>
      <c r="D4437" t="s">
        <v>1362</v>
      </c>
      <c r="E4437" t="s">
        <v>187</v>
      </c>
      <c r="F4437">
        <v>2005</v>
      </c>
      <c r="G4437">
        <v>0.92159999999999997</v>
      </c>
    </row>
    <row r="4438" spans="1:7">
      <c r="A4438" t="s">
        <v>1297</v>
      </c>
      <c r="B4438" t="s">
        <v>1298</v>
      </c>
      <c r="C4438" t="s">
        <v>669</v>
      </c>
      <c r="D4438" t="s">
        <v>1362</v>
      </c>
      <c r="E4438" t="s">
        <v>187</v>
      </c>
      <c r="F4438">
        <v>2010</v>
      </c>
      <c r="G4438">
        <v>0.60840000000000005</v>
      </c>
    </row>
    <row r="4439" spans="1:7">
      <c r="A4439" t="s">
        <v>1297</v>
      </c>
      <c r="B4439" t="s">
        <v>1298</v>
      </c>
      <c r="C4439" t="s">
        <v>669</v>
      </c>
      <c r="D4439" t="s">
        <v>1362</v>
      </c>
      <c r="E4439" t="s">
        <v>187</v>
      </c>
      <c r="F4439">
        <v>2012</v>
      </c>
      <c r="G4439">
        <v>0.81359999999999999</v>
      </c>
    </row>
    <row r="4440" spans="1:7">
      <c r="A4440" t="s">
        <v>1297</v>
      </c>
      <c r="B4440" t="s">
        <v>1298</v>
      </c>
      <c r="C4440" t="s">
        <v>669</v>
      </c>
      <c r="D4440" t="s">
        <v>1362</v>
      </c>
      <c r="E4440" t="s">
        <v>187</v>
      </c>
      <c r="F4440">
        <v>2016</v>
      </c>
      <c r="G4440">
        <v>0.77759999999999996</v>
      </c>
    </row>
    <row r="4441" spans="1:7">
      <c r="A4441" t="s">
        <v>1297</v>
      </c>
      <c r="B4441" t="s">
        <v>1298</v>
      </c>
      <c r="C4441" t="s">
        <v>669</v>
      </c>
      <c r="D4441" t="s">
        <v>1362</v>
      </c>
      <c r="E4441" t="s">
        <v>187</v>
      </c>
      <c r="F4441">
        <v>2020</v>
      </c>
      <c r="G4441">
        <v>0.56945199999999996</v>
      </c>
    </row>
    <row r="4442" spans="1:7">
      <c r="A4442" t="s">
        <v>1297</v>
      </c>
      <c r="B4442" t="s">
        <v>1298</v>
      </c>
      <c r="C4442" t="s">
        <v>656</v>
      </c>
      <c r="D4442" t="s">
        <v>1362</v>
      </c>
      <c r="E4442" t="s">
        <v>187</v>
      </c>
      <c r="F4442">
        <v>2010</v>
      </c>
      <c r="G4442">
        <v>86.306399999999996</v>
      </c>
    </row>
    <row r="4443" spans="1:7">
      <c r="A4443" t="s">
        <v>1297</v>
      </c>
      <c r="B4443" t="s">
        <v>1298</v>
      </c>
      <c r="C4443" t="s">
        <v>656</v>
      </c>
      <c r="D4443" t="s">
        <v>1362</v>
      </c>
      <c r="E4443" t="s">
        <v>187</v>
      </c>
      <c r="F4443">
        <v>2012</v>
      </c>
      <c r="G4443">
        <v>88.423199999999994</v>
      </c>
    </row>
    <row r="4444" spans="1:7">
      <c r="A4444" t="s">
        <v>1297</v>
      </c>
      <c r="B4444" t="s">
        <v>1298</v>
      </c>
      <c r="C4444" t="s">
        <v>656</v>
      </c>
      <c r="D4444" t="s">
        <v>1362</v>
      </c>
      <c r="E4444" t="s">
        <v>187</v>
      </c>
      <c r="F4444">
        <v>2016</v>
      </c>
      <c r="G4444">
        <v>92.732399999999998</v>
      </c>
    </row>
    <row r="4445" spans="1:7">
      <c r="A4445" t="s">
        <v>1297</v>
      </c>
      <c r="B4445" t="s">
        <v>1298</v>
      </c>
      <c r="C4445" t="s">
        <v>656</v>
      </c>
      <c r="D4445" t="s">
        <v>1362</v>
      </c>
      <c r="E4445" t="s">
        <v>187</v>
      </c>
      <c r="F4445">
        <v>2020</v>
      </c>
      <c r="G4445">
        <v>98.906400000000005</v>
      </c>
    </row>
    <row r="4446" spans="1:7">
      <c r="A4446" t="s">
        <v>1297</v>
      </c>
      <c r="B4446" t="s">
        <v>1298</v>
      </c>
      <c r="C4446" t="s">
        <v>681</v>
      </c>
      <c r="D4446" t="s">
        <v>1362</v>
      </c>
      <c r="E4446" t="s">
        <v>187</v>
      </c>
      <c r="F4446">
        <v>2005</v>
      </c>
      <c r="G4446">
        <v>2.2608000000000001</v>
      </c>
    </row>
    <row r="4447" spans="1:7">
      <c r="A4447" t="s">
        <v>1297</v>
      </c>
      <c r="B4447" t="s">
        <v>1298</v>
      </c>
      <c r="C4447" t="s">
        <v>681</v>
      </c>
      <c r="D4447" t="s">
        <v>1362</v>
      </c>
      <c r="E4447" t="s">
        <v>187</v>
      </c>
      <c r="F4447">
        <v>2010</v>
      </c>
      <c r="G4447">
        <v>3.4487999999999999</v>
      </c>
    </row>
    <row r="4448" spans="1:7">
      <c r="A4448" t="s">
        <v>1297</v>
      </c>
      <c r="B4448" t="s">
        <v>1298</v>
      </c>
      <c r="C4448" t="s">
        <v>681</v>
      </c>
      <c r="D4448" t="s">
        <v>1362</v>
      </c>
      <c r="E4448" t="s">
        <v>187</v>
      </c>
      <c r="F4448">
        <v>2012</v>
      </c>
      <c r="G4448">
        <v>4.0284000000000004</v>
      </c>
    </row>
    <row r="4449" spans="1:7">
      <c r="A4449" t="s">
        <v>1297</v>
      </c>
      <c r="B4449" t="s">
        <v>1298</v>
      </c>
      <c r="C4449" t="s">
        <v>681</v>
      </c>
      <c r="D4449" t="s">
        <v>1362</v>
      </c>
      <c r="E4449" t="s">
        <v>187</v>
      </c>
      <c r="F4449">
        <v>2016</v>
      </c>
      <c r="G4449">
        <v>7.2144000000000004</v>
      </c>
    </row>
    <row r="4450" spans="1:7">
      <c r="A4450" t="s">
        <v>1297</v>
      </c>
      <c r="B4450" t="s">
        <v>1298</v>
      </c>
      <c r="C4450" t="s">
        <v>681</v>
      </c>
      <c r="D4450" t="s">
        <v>1362</v>
      </c>
      <c r="E4450" t="s">
        <v>187</v>
      </c>
      <c r="F4450">
        <v>2020</v>
      </c>
      <c r="G4450">
        <v>3.79548</v>
      </c>
    </row>
    <row r="4451" spans="1:7">
      <c r="A4451" t="s">
        <v>1297</v>
      </c>
      <c r="B4451" t="s">
        <v>1298</v>
      </c>
      <c r="C4451" t="s">
        <v>677</v>
      </c>
      <c r="D4451" t="s">
        <v>1362</v>
      </c>
      <c r="E4451" t="s">
        <v>187</v>
      </c>
      <c r="F4451">
        <v>2005</v>
      </c>
      <c r="G4451">
        <v>100.4436</v>
      </c>
    </row>
    <row r="4452" spans="1:7">
      <c r="A4452" t="s">
        <v>1297</v>
      </c>
      <c r="B4452" t="s">
        <v>1298</v>
      </c>
      <c r="C4452" t="s">
        <v>677</v>
      </c>
      <c r="D4452" t="s">
        <v>1362</v>
      </c>
      <c r="E4452" t="s">
        <v>187</v>
      </c>
      <c r="F4452">
        <v>2010</v>
      </c>
      <c r="G4452">
        <v>96.782399999999996</v>
      </c>
    </row>
    <row r="4453" spans="1:7">
      <c r="A4453" t="s">
        <v>1297</v>
      </c>
      <c r="B4453" t="s">
        <v>1298</v>
      </c>
      <c r="C4453" t="s">
        <v>677</v>
      </c>
      <c r="D4453" t="s">
        <v>1362</v>
      </c>
      <c r="E4453" t="s">
        <v>187</v>
      </c>
      <c r="F4453">
        <v>2012</v>
      </c>
      <c r="G4453">
        <v>101.8584</v>
      </c>
    </row>
    <row r="4454" spans="1:7">
      <c r="A4454" t="s">
        <v>1297</v>
      </c>
      <c r="B4454" t="s">
        <v>1298</v>
      </c>
      <c r="C4454" t="s">
        <v>677</v>
      </c>
      <c r="D4454" t="s">
        <v>1362</v>
      </c>
      <c r="E4454" t="s">
        <v>187</v>
      </c>
      <c r="F4454">
        <v>2016</v>
      </c>
      <c r="G4454">
        <v>94.789714000000004</v>
      </c>
    </row>
    <row r="4455" spans="1:7">
      <c r="A4455" t="s">
        <v>1297</v>
      </c>
      <c r="B4455" t="s">
        <v>1298</v>
      </c>
      <c r="C4455" t="s">
        <v>677</v>
      </c>
      <c r="D4455" t="s">
        <v>1362</v>
      </c>
      <c r="E4455" t="s">
        <v>187</v>
      </c>
      <c r="F4455">
        <v>2020</v>
      </c>
      <c r="G4455">
        <v>96.235607000000002</v>
      </c>
    </row>
    <row r="4456" spans="1:7">
      <c r="A4456" t="s">
        <v>1297</v>
      </c>
      <c r="B4456" t="s">
        <v>1298</v>
      </c>
      <c r="C4456" t="s">
        <v>1301</v>
      </c>
      <c r="D4456" t="s">
        <v>1362</v>
      </c>
      <c r="E4456" t="s">
        <v>187</v>
      </c>
      <c r="F4456">
        <v>2005</v>
      </c>
      <c r="G4456">
        <v>86.558400000000006</v>
      </c>
    </row>
    <row r="4457" spans="1:7">
      <c r="A4457" t="s">
        <v>1297</v>
      </c>
      <c r="B4457" t="s">
        <v>1298</v>
      </c>
      <c r="C4457" t="s">
        <v>1301</v>
      </c>
      <c r="D4457" t="s">
        <v>1362</v>
      </c>
      <c r="E4457" t="s">
        <v>187</v>
      </c>
      <c r="F4457">
        <v>2010</v>
      </c>
      <c r="G4457">
        <v>108.7992</v>
      </c>
    </row>
    <row r="4458" spans="1:7">
      <c r="A4458" t="s">
        <v>1297</v>
      </c>
      <c r="B4458" t="s">
        <v>1298</v>
      </c>
      <c r="C4458" t="s">
        <v>1301</v>
      </c>
      <c r="D4458" t="s">
        <v>1362</v>
      </c>
      <c r="E4458" t="s">
        <v>187</v>
      </c>
      <c r="F4458">
        <v>2012</v>
      </c>
      <c r="G4458">
        <v>128.36519999999999</v>
      </c>
    </row>
    <row r="4459" spans="1:7">
      <c r="A4459" t="s">
        <v>1297</v>
      </c>
      <c r="B4459" t="s">
        <v>1298</v>
      </c>
      <c r="C4459" t="s">
        <v>1301</v>
      </c>
      <c r="D4459" t="s">
        <v>1362</v>
      </c>
      <c r="E4459" t="s">
        <v>187</v>
      </c>
      <c r="F4459">
        <v>2016</v>
      </c>
      <c r="G4459">
        <v>128.1996</v>
      </c>
    </row>
    <row r="4460" spans="1:7">
      <c r="A4460" t="s">
        <v>1297</v>
      </c>
      <c r="B4460" t="s">
        <v>1298</v>
      </c>
      <c r="C4460" t="s">
        <v>1301</v>
      </c>
      <c r="D4460" t="s">
        <v>1362</v>
      </c>
      <c r="E4460" t="s">
        <v>187</v>
      </c>
      <c r="F4460">
        <v>2020</v>
      </c>
      <c r="G4460">
        <v>112.627685</v>
      </c>
    </row>
    <row r="4461" spans="1:7">
      <c r="A4461" t="s">
        <v>1297</v>
      </c>
      <c r="B4461" t="s">
        <v>1298</v>
      </c>
      <c r="C4461" t="s">
        <v>675</v>
      </c>
      <c r="D4461" t="s">
        <v>1362</v>
      </c>
      <c r="E4461" t="s">
        <v>187</v>
      </c>
      <c r="F4461">
        <v>2005</v>
      </c>
      <c r="G4461">
        <v>3.4308000000000001</v>
      </c>
    </row>
    <row r="4462" spans="1:7">
      <c r="A4462" t="s">
        <v>1297</v>
      </c>
      <c r="B4462" t="s">
        <v>1298</v>
      </c>
      <c r="C4462" t="s">
        <v>675</v>
      </c>
      <c r="D4462" t="s">
        <v>1362</v>
      </c>
      <c r="E4462" t="s">
        <v>187</v>
      </c>
      <c r="F4462">
        <v>2010</v>
      </c>
      <c r="G4462">
        <v>3.5352000000000001</v>
      </c>
    </row>
    <row r="4463" spans="1:7">
      <c r="A4463" t="s">
        <v>1297</v>
      </c>
      <c r="B4463" t="s">
        <v>1298</v>
      </c>
      <c r="C4463" t="s">
        <v>675</v>
      </c>
      <c r="D4463" t="s">
        <v>1362</v>
      </c>
      <c r="E4463" t="s">
        <v>187</v>
      </c>
      <c r="F4463">
        <v>2012</v>
      </c>
      <c r="G4463">
        <v>3.15</v>
      </c>
    </row>
    <row r="4464" spans="1:7">
      <c r="A4464" t="s">
        <v>1297</v>
      </c>
      <c r="B4464" t="s">
        <v>1298</v>
      </c>
      <c r="C4464" t="s">
        <v>675</v>
      </c>
      <c r="D4464" t="s">
        <v>1362</v>
      </c>
      <c r="E4464" t="s">
        <v>187</v>
      </c>
      <c r="F4464">
        <v>2016</v>
      </c>
      <c r="G4464">
        <v>3.1536</v>
      </c>
    </row>
    <row r="4465" spans="1:7">
      <c r="A4465" t="s">
        <v>1297</v>
      </c>
      <c r="B4465" t="s">
        <v>1298</v>
      </c>
      <c r="C4465" t="s">
        <v>675</v>
      </c>
      <c r="D4465" t="s">
        <v>1362</v>
      </c>
      <c r="E4465" t="s">
        <v>187</v>
      </c>
      <c r="F4465">
        <v>2020</v>
      </c>
      <c r="G4465">
        <v>3.090049</v>
      </c>
    </row>
    <row r="4466" spans="1:7">
      <c r="A4466" t="s">
        <v>1297</v>
      </c>
      <c r="B4466" t="s">
        <v>1298</v>
      </c>
      <c r="C4466" t="s">
        <v>657</v>
      </c>
      <c r="D4466" t="s">
        <v>1362</v>
      </c>
      <c r="E4466" t="s">
        <v>187</v>
      </c>
      <c r="F4466">
        <v>2005</v>
      </c>
      <c r="G4466">
        <v>5.4972000000000003</v>
      </c>
    </row>
    <row r="4467" spans="1:7">
      <c r="A4467" t="s">
        <v>1297</v>
      </c>
      <c r="B4467" t="s">
        <v>1298</v>
      </c>
      <c r="C4467" t="s">
        <v>657</v>
      </c>
      <c r="D4467" t="s">
        <v>1362</v>
      </c>
      <c r="E4467" t="s">
        <v>187</v>
      </c>
      <c r="F4467">
        <v>2010</v>
      </c>
      <c r="G4467">
        <v>9.4464000000000006</v>
      </c>
    </row>
    <row r="4468" spans="1:7">
      <c r="A4468" t="s">
        <v>1297</v>
      </c>
      <c r="B4468" t="s">
        <v>1298</v>
      </c>
      <c r="C4468" t="s">
        <v>657</v>
      </c>
      <c r="D4468" t="s">
        <v>1362</v>
      </c>
      <c r="E4468" t="s">
        <v>187</v>
      </c>
      <c r="F4468">
        <v>2012</v>
      </c>
      <c r="G4468">
        <v>7.74</v>
      </c>
    </row>
    <row r="4469" spans="1:7">
      <c r="A4469" t="s">
        <v>1297</v>
      </c>
      <c r="B4469" t="s">
        <v>1298</v>
      </c>
      <c r="C4469" t="s">
        <v>657</v>
      </c>
      <c r="D4469" t="s">
        <v>1362</v>
      </c>
      <c r="E4469" t="s">
        <v>187</v>
      </c>
      <c r="F4469">
        <v>2016</v>
      </c>
      <c r="G4469">
        <v>6.7416479999999996</v>
      </c>
    </row>
    <row r="4470" spans="1:7">
      <c r="A4470" t="s">
        <v>1297</v>
      </c>
      <c r="B4470" t="s">
        <v>1298</v>
      </c>
      <c r="C4470" t="s">
        <v>657</v>
      </c>
      <c r="D4470" t="s">
        <v>1362</v>
      </c>
      <c r="E4470" t="s">
        <v>187</v>
      </c>
      <c r="F4470">
        <v>2020</v>
      </c>
      <c r="G4470">
        <v>5.8007090000000003</v>
      </c>
    </row>
    <row r="4471" spans="1:7">
      <c r="A4471" t="s">
        <v>1297</v>
      </c>
      <c r="B4471" t="s">
        <v>1298</v>
      </c>
      <c r="C4471" t="s">
        <v>682</v>
      </c>
      <c r="D4471" t="s">
        <v>1362</v>
      </c>
      <c r="E4471" t="s">
        <v>187</v>
      </c>
      <c r="F4471">
        <v>2016</v>
      </c>
      <c r="G4471">
        <v>4.8887999999999998</v>
      </c>
    </row>
    <row r="4472" spans="1:7">
      <c r="A4472" t="s">
        <v>1297</v>
      </c>
      <c r="B4472" t="s">
        <v>1298</v>
      </c>
      <c r="C4472" t="s">
        <v>682</v>
      </c>
      <c r="D4472" t="s">
        <v>1362</v>
      </c>
      <c r="E4472" t="s">
        <v>187</v>
      </c>
      <c r="F4472">
        <v>2020</v>
      </c>
      <c r="G4472">
        <v>4.5251999999999999</v>
      </c>
    </row>
    <row r="4473" spans="1:7">
      <c r="A4473" t="s">
        <v>1297</v>
      </c>
      <c r="B4473" t="s">
        <v>1298</v>
      </c>
      <c r="C4473" t="s">
        <v>658</v>
      </c>
      <c r="D4473" t="s">
        <v>1362</v>
      </c>
      <c r="E4473" t="s">
        <v>187</v>
      </c>
      <c r="F4473">
        <v>2005</v>
      </c>
      <c r="G4473">
        <v>3.9708000000000001</v>
      </c>
    </row>
    <row r="4474" spans="1:7">
      <c r="A4474" t="s">
        <v>1297</v>
      </c>
      <c r="B4474" t="s">
        <v>1298</v>
      </c>
      <c r="C4474" t="s">
        <v>658</v>
      </c>
      <c r="D4474" t="s">
        <v>1362</v>
      </c>
      <c r="E4474" t="s">
        <v>187</v>
      </c>
      <c r="F4474">
        <v>2010</v>
      </c>
      <c r="G4474">
        <v>3.7692000000000001</v>
      </c>
    </row>
    <row r="4475" spans="1:7">
      <c r="A4475" t="s">
        <v>1297</v>
      </c>
      <c r="B4475" t="s">
        <v>1298</v>
      </c>
      <c r="C4475" t="s">
        <v>658</v>
      </c>
      <c r="D4475" t="s">
        <v>1362</v>
      </c>
      <c r="E4475" t="s">
        <v>187</v>
      </c>
      <c r="F4475">
        <v>2012</v>
      </c>
      <c r="G4475">
        <v>3.1644000000000001</v>
      </c>
    </row>
    <row r="4476" spans="1:7">
      <c r="A4476" t="s">
        <v>1297</v>
      </c>
      <c r="B4476" t="s">
        <v>1298</v>
      </c>
      <c r="C4476" t="s">
        <v>658</v>
      </c>
      <c r="D4476" t="s">
        <v>1362</v>
      </c>
      <c r="E4476" t="s">
        <v>187</v>
      </c>
      <c r="F4476">
        <v>2016</v>
      </c>
      <c r="G4476">
        <v>2.6027999999999998</v>
      </c>
    </row>
    <row r="4477" spans="1:7">
      <c r="A4477" t="s">
        <v>1297</v>
      </c>
      <c r="B4477" t="s">
        <v>1298</v>
      </c>
      <c r="C4477" t="s">
        <v>658</v>
      </c>
      <c r="D4477" t="s">
        <v>1362</v>
      </c>
      <c r="E4477" t="s">
        <v>187</v>
      </c>
      <c r="F4477">
        <v>2020</v>
      </c>
      <c r="G4477">
        <v>1.8</v>
      </c>
    </row>
    <row r="4478" spans="1:7">
      <c r="A4478" t="s">
        <v>1297</v>
      </c>
      <c r="B4478" t="s">
        <v>1298</v>
      </c>
      <c r="C4478" t="s">
        <v>679</v>
      </c>
      <c r="D4478" t="s">
        <v>1362</v>
      </c>
      <c r="E4478" t="s">
        <v>187</v>
      </c>
      <c r="F4478">
        <v>2005</v>
      </c>
      <c r="G4478">
        <v>36</v>
      </c>
    </row>
    <row r="4479" spans="1:7">
      <c r="A4479" t="s">
        <v>1297</v>
      </c>
      <c r="B4479" t="s">
        <v>1298</v>
      </c>
      <c r="C4479" t="s">
        <v>679</v>
      </c>
      <c r="D4479" t="s">
        <v>1362</v>
      </c>
      <c r="E4479" t="s">
        <v>187</v>
      </c>
      <c r="F4479">
        <v>2010</v>
      </c>
      <c r="G4479">
        <v>34.394399999999997</v>
      </c>
    </row>
    <row r="4480" spans="1:7">
      <c r="A4480" t="s">
        <v>1297</v>
      </c>
      <c r="B4480" t="s">
        <v>1298</v>
      </c>
      <c r="C4480" t="s">
        <v>679</v>
      </c>
      <c r="D4480" t="s">
        <v>1362</v>
      </c>
      <c r="E4480" t="s">
        <v>187</v>
      </c>
      <c r="F4480">
        <v>2012</v>
      </c>
      <c r="G4480">
        <v>32.968800000000002</v>
      </c>
    </row>
    <row r="4481" spans="1:7">
      <c r="A4481" t="s">
        <v>1297</v>
      </c>
      <c r="B4481" t="s">
        <v>1298</v>
      </c>
      <c r="C4481" t="s">
        <v>679</v>
      </c>
      <c r="D4481" t="s">
        <v>1362</v>
      </c>
      <c r="E4481" t="s">
        <v>187</v>
      </c>
      <c r="F4481">
        <v>2016</v>
      </c>
      <c r="G4481">
        <v>33.012</v>
      </c>
    </row>
    <row r="4482" spans="1:7">
      <c r="A4482" t="s">
        <v>1297</v>
      </c>
      <c r="B4482" t="s">
        <v>1298</v>
      </c>
      <c r="C4482" t="s">
        <v>679</v>
      </c>
      <c r="D4482" t="s">
        <v>1362</v>
      </c>
      <c r="E4482" t="s">
        <v>187</v>
      </c>
      <c r="F4482">
        <v>2020</v>
      </c>
      <c r="G4482">
        <v>29.725200000000001</v>
      </c>
    </row>
    <row r="4483" spans="1:7">
      <c r="A4483" t="s">
        <v>1297</v>
      </c>
      <c r="B4483" t="s">
        <v>1298</v>
      </c>
      <c r="C4483" t="s">
        <v>664</v>
      </c>
      <c r="D4483" t="s">
        <v>1362</v>
      </c>
      <c r="E4483" t="s">
        <v>187</v>
      </c>
      <c r="F4483">
        <v>2005</v>
      </c>
      <c r="G4483">
        <v>7.3752409999999999</v>
      </c>
    </row>
    <row r="4484" spans="1:7">
      <c r="A4484" t="s">
        <v>1297</v>
      </c>
      <c r="B4484" t="s">
        <v>1298</v>
      </c>
      <c r="C4484" t="s">
        <v>664</v>
      </c>
      <c r="D4484" t="s">
        <v>1362</v>
      </c>
      <c r="E4484" t="s">
        <v>187</v>
      </c>
      <c r="F4484">
        <v>2010</v>
      </c>
      <c r="G4484">
        <v>7.5536349999999999</v>
      </c>
    </row>
    <row r="4485" spans="1:7">
      <c r="A4485" t="s">
        <v>1297</v>
      </c>
      <c r="B4485" t="s">
        <v>1298</v>
      </c>
      <c r="C4485" t="s">
        <v>664</v>
      </c>
      <c r="D4485" t="s">
        <v>1362</v>
      </c>
      <c r="E4485" t="s">
        <v>187</v>
      </c>
      <c r="F4485">
        <v>2012</v>
      </c>
      <c r="G4485">
        <v>7.2102560000000002</v>
      </c>
    </row>
    <row r="4486" spans="1:7">
      <c r="A4486" t="s">
        <v>1297</v>
      </c>
      <c r="B4486" t="s">
        <v>1298</v>
      </c>
      <c r="C4486" t="s">
        <v>664</v>
      </c>
      <c r="D4486" t="s">
        <v>1362</v>
      </c>
      <c r="E4486" t="s">
        <v>187</v>
      </c>
      <c r="F4486">
        <v>2016</v>
      </c>
      <c r="G4486">
        <v>7.6852119999999999</v>
      </c>
    </row>
    <row r="4487" spans="1:7">
      <c r="A4487" t="s">
        <v>1297</v>
      </c>
      <c r="B4487" t="s">
        <v>1298</v>
      </c>
      <c r="C4487" t="s">
        <v>664</v>
      </c>
      <c r="D4487" t="s">
        <v>1362</v>
      </c>
      <c r="E4487" t="s">
        <v>187</v>
      </c>
      <c r="F4487">
        <v>2020</v>
      </c>
      <c r="G4487">
        <v>8.1860579999999992</v>
      </c>
    </row>
    <row r="4488" spans="1:7">
      <c r="A4488" t="s">
        <v>1297</v>
      </c>
      <c r="B4488" t="s">
        <v>1298</v>
      </c>
      <c r="C4488" t="s">
        <v>673</v>
      </c>
      <c r="D4488" t="s">
        <v>1362</v>
      </c>
      <c r="E4488" t="s">
        <v>187</v>
      </c>
      <c r="F4488">
        <v>2005</v>
      </c>
      <c r="G4488">
        <v>21.888000000000002</v>
      </c>
    </row>
    <row r="4489" spans="1:7">
      <c r="A4489" t="s">
        <v>1297</v>
      </c>
      <c r="B4489" t="s">
        <v>1298</v>
      </c>
      <c r="C4489" t="s">
        <v>673</v>
      </c>
      <c r="D4489" t="s">
        <v>1362</v>
      </c>
      <c r="E4489" t="s">
        <v>187</v>
      </c>
      <c r="F4489">
        <v>2010</v>
      </c>
      <c r="G4489">
        <v>25.408799999999999</v>
      </c>
    </row>
    <row r="4490" spans="1:7">
      <c r="A4490" t="s">
        <v>1297</v>
      </c>
      <c r="B4490" t="s">
        <v>1298</v>
      </c>
      <c r="C4490" t="s">
        <v>673</v>
      </c>
      <c r="D4490" t="s">
        <v>1362</v>
      </c>
      <c r="E4490" t="s">
        <v>187</v>
      </c>
      <c r="F4490">
        <v>2012</v>
      </c>
      <c r="G4490">
        <v>25.423200000000001</v>
      </c>
    </row>
    <row r="4491" spans="1:7">
      <c r="A4491" t="s">
        <v>1297</v>
      </c>
      <c r="B4491" t="s">
        <v>1298</v>
      </c>
      <c r="C4491" t="s">
        <v>673</v>
      </c>
      <c r="D4491" t="s">
        <v>1362</v>
      </c>
      <c r="E4491" t="s">
        <v>187</v>
      </c>
      <c r="F4491">
        <v>2016</v>
      </c>
      <c r="G4491">
        <v>25.65</v>
      </c>
    </row>
    <row r="4492" spans="1:7">
      <c r="A4492" t="s">
        <v>1297</v>
      </c>
      <c r="B4492" t="s">
        <v>1298</v>
      </c>
      <c r="C4492" t="s">
        <v>673</v>
      </c>
      <c r="D4492" t="s">
        <v>1362</v>
      </c>
      <c r="E4492" t="s">
        <v>187</v>
      </c>
      <c r="F4492">
        <v>2020</v>
      </c>
      <c r="G4492">
        <v>23.404792</v>
      </c>
    </row>
    <row r="4493" spans="1:7">
      <c r="A4493" t="s">
        <v>1297</v>
      </c>
      <c r="B4493" t="s">
        <v>1298</v>
      </c>
      <c r="C4493" t="s">
        <v>665</v>
      </c>
      <c r="D4493" t="s">
        <v>1362</v>
      </c>
      <c r="E4493" t="s">
        <v>187</v>
      </c>
      <c r="F4493">
        <v>2005</v>
      </c>
      <c r="G4493">
        <v>74.253600000000006</v>
      </c>
    </row>
    <row r="4494" spans="1:7">
      <c r="A4494" t="s">
        <v>1297</v>
      </c>
      <c r="B4494" t="s">
        <v>1298</v>
      </c>
      <c r="C4494" t="s">
        <v>665</v>
      </c>
      <c r="D4494" t="s">
        <v>1362</v>
      </c>
      <c r="E4494" t="s">
        <v>187</v>
      </c>
      <c r="F4494">
        <v>2010</v>
      </c>
      <c r="G4494">
        <v>74.052000000000007</v>
      </c>
    </row>
    <row r="4495" spans="1:7">
      <c r="A4495" t="s">
        <v>1297</v>
      </c>
      <c r="B4495" t="s">
        <v>1298</v>
      </c>
      <c r="C4495" t="s">
        <v>665</v>
      </c>
      <c r="D4495" t="s">
        <v>1362</v>
      </c>
      <c r="E4495" t="s">
        <v>187</v>
      </c>
      <c r="F4495">
        <v>2012</v>
      </c>
      <c r="G4495">
        <v>75.599999999999994</v>
      </c>
    </row>
    <row r="4496" spans="1:7">
      <c r="A4496" t="s">
        <v>1297</v>
      </c>
      <c r="B4496" t="s">
        <v>1298</v>
      </c>
      <c r="C4496" t="s">
        <v>665</v>
      </c>
      <c r="D4496" t="s">
        <v>1362</v>
      </c>
      <c r="E4496" t="s">
        <v>187</v>
      </c>
      <c r="F4496">
        <v>2016</v>
      </c>
      <c r="G4496">
        <v>67.510800000000003</v>
      </c>
    </row>
    <row r="4497" spans="1:7">
      <c r="A4497" t="s">
        <v>1297</v>
      </c>
      <c r="B4497" t="s">
        <v>1298</v>
      </c>
      <c r="C4497" t="s">
        <v>665</v>
      </c>
      <c r="D4497" t="s">
        <v>1362</v>
      </c>
      <c r="E4497" t="s">
        <v>187</v>
      </c>
      <c r="F4497">
        <v>2020</v>
      </c>
      <c r="G4497">
        <v>64.145650000000003</v>
      </c>
    </row>
    <row r="4498" spans="1:7">
      <c r="A4498" t="s">
        <v>1297</v>
      </c>
      <c r="B4498" t="s">
        <v>1298</v>
      </c>
      <c r="C4498" t="s">
        <v>1302</v>
      </c>
      <c r="D4498" t="s">
        <v>1362</v>
      </c>
      <c r="E4498" t="s">
        <v>187</v>
      </c>
      <c r="F4498">
        <v>2005</v>
      </c>
      <c r="G4498">
        <v>3.6827999999999999</v>
      </c>
    </row>
    <row r="4499" spans="1:7">
      <c r="A4499" t="s">
        <v>1297</v>
      </c>
      <c r="B4499" t="s">
        <v>1298</v>
      </c>
      <c r="C4499" t="s">
        <v>1302</v>
      </c>
      <c r="D4499" t="s">
        <v>1362</v>
      </c>
      <c r="E4499" t="s">
        <v>187</v>
      </c>
      <c r="F4499">
        <v>2010</v>
      </c>
      <c r="G4499">
        <v>3.3443999999999998</v>
      </c>
    </row>
    <row r="4500" spans="1:7">
      <c r="A4500" t="s">
        <v>1297</v>
      </c>
      <c r="B4500" t="s">
        <v>1298</v>
      </c>
      <c r="C4500" t="s">
        <v>1302</v>
      </c>
      <c r="D4500" t="s">
        <v>1362</v>
      </c>
      <c r="E4500" t="s">
        <v>187</v>
      </c>
      <c r="F4500">
        <v>2012</v>
      </c>
      <c r="G4500">
        <v>3.3443999999999998</v>
      </c>
    </row>
    <row r="4501" spans="1:7">
      <c r="A4501" t="s">
        <v>1297</v>
      </c>
      <c r="B4501" t="s">
        <v>1298</v>
      </c>
      <c r="C4501" t="s">
        <v>1302</v>
      </c>
      <c r="D4501" t="s">
        <v>1362</v>
      </c>
      <c r="E4501" t="s">
        <v>187</v>
      </c>
      <c r="F4501">
        <v>2016</v>
      </c>
      <c r="G4501">
        <v>4.2263999999999999</v>
      </c>
    </row>
    <row r="4502" spans="1:7">
      <c r="A4502" t="s">
        <v>1297</v>
      </c>
      <c r="B4502" t="s">
        <v>1298</v>
      </c>
      <c r="C4502" t="s">
        <v>1302</v>
      </c>
      <c r="D4502" t="s">
        <v>1362</v>
      </c>
      <c r="E4502" t="s">
        <v>187</v>
      </c>
      <c r="F4502">
        <v>2020</v>
      </c>
      <c r="G4502">
        <v>4.1235480000000004</v>
      </c>
    </row>
    <row r="4503" spans="1:7">
      <c r="A4503" t="s">
        <v>1297</v>
      </c>
      <c r="B4503" t="s">
        <v>1298</v>
      </c>
      <c r="C4503" t="s">
        <v>670</v>
      </c>
      <c r="D4503" t="s">
        <v>1362</v>
      </c>
      <c r="E4503" t="s">
        <v>187</v>
      </c>
      <c r="F4503">
        <v>2005</v>
      </c>
      <c r="G4503">
        <v>19.457999999999998</v>
      </c>
    </row>
    <row r="4504" spans="1:7">
      <c r="A4504" t="s">
        <v>1297</v>
      </c>
      <c r="B4504" t="s">
        <v>1298</v>
      </c>
      <c r="C4504" t="s">
        <v>670</v>
      </c>
      <c r="D4504" t="s">
        <v>1362</v>
      </c>
      <c r="E4504" t="s">
        <v>187</v>
      </c>
      <c r="F4504">
        <v>2010</v>
      </c>
      <c r="G4504">
        <v>20.2788</v>
      </c>
    </row>
    <row r="4505" spans="1:7">
      <c r="A4505" t="s">
        <v>1297</v>
      </c>
      <c r="B4505" t="s">
        <v>1298</v>
      </c>
      <c r="C4505" t="s">
        <v>670</v>
      </c>
      <c r="D4505" t="s">
        <v>1362</v>
      </c>
      <c r="E4505" t="s">
        <v>187</v>
      </c>
      <c r="F4505">
        <v>2012</v>
      </c>
      <c r="G4505">
        <v>18.687830000000002</v>
      </c>
    </row>
    <row r="4506" spans="1:7">
      <c r="A4506" t="s">
        <v>1297</v>
      </c>
      <c r="B4506" t="s">
        <v>1298</v>
      </c>
      <c r="C4506" t="s">
        <v>670</v>
      </c>
      <c r="D4506" t="s">
        <v>1362</v>
      </c>
      <c r="E4506" t="s">
        <v>187</v>
      </c>
      <c r="F4506">
        <v>2016</v>
      </c>
      <c r="G4506">
        <v>19.561802</v>
      </c>
    </row>
    <row r="4507" spans="1:7">
      <c r="A4507" t="s">
        <v>1297</v>
      </c>
      <c r="B4507" t="s">
        <v>1298</v>
      </c>
      <c r="C4507" t="s">
        <v>670</v>
      </c>
      <c r="D4507" t="s">
        <v>1362</v>
      </c>
      <c r="E4507" t="s">
        <v>187</v>
      </c>
      <c r="F4507">
        <v>2020</v>
      </c>
      <c r="G4507">
        <v>18.210989000000001</v>
      </c>
    </row>
    <row r="4508" spans="1:7">
      <c r="A4508" t="s">
        <v>1297</v>
      </c>
      <c r="B4508" t="s">
        <v>1298</v>
      </c>
      <c r="C4508" t="s">
        <v>666</v>
      </c>
      <c r="D4508" t="s">
        <v>1362</v>
      </c>
      <c r="E4508" t="s">
        <v>187</v>
      </c>
      <c r="F4508">
        <v>2005</v>
      </c>
      <c r="G4508">
        <v>4.4244000000000003</v>
      </c>
    </row>
    <row r="4509" spans="1:7">
      <c r="A4509" t="s">
        <v>1297</v>
      </c>
      <c r="B4509" t="s">
        <v>1298</v>
      </c>
      <c r="C4509" t="s">
        <v>666</v>
      </c>
      <c r="D4509" t="s">
        <v>1362</v>
      </c>
      <c r="E4509" t="s">
        <v>187</v>
      </c>
      <c r="F4509">
        <v>2010</v>
      </c>
      <c r="G4509">
        <v>3.5604</v>
      </c>
    </row>
    <row r="4510" spans="1:7">
      <c r="A4510" t="s">
        <v>1297</v>
      </c>
      <c r="B4510" t="s">
        <v>1298</v>
      </c>
      <c r="C4510" t="s">
        <v>666</v>
      </c>
      <c r="D4510" t="s">
        <v>1362</v>
      </c>
      <c r="E4510" t="s">
        <v>187</v>
      </c>
      <c r="F4510">
        <v>2012</v>
      </c>
      <c r="G4510">
        <v>3.1787999999999998</v>
      </c>
    </row>
    <row r="4511" spans="1:7">
      <c r="A4511" t="s">
        <v>1297</v>
      </c>
      <c r="B4511" t="s">
        <v>1298</v>
      </c>
      <c r="C4511" t="s">
        <v>666</v>
      </c>
      <c r="D4511" t="s">
        <v>1362</v>
      </c>
      <c r="E4511" t="s">
        <v>187</v>
      </c>
      <c r="F4511">
        <v>2016</v>
      </c>
      <c r="G4511">
        <v>3.2652000000000001</v>
      </c>
    </row>
    <row r="4512" spans="1:7">
      <c r="A4512" t="s">
        <v>1297</v>
      </c>
      <c r="B4512" t="s">
        <v>1298</v>
      </c>
      <c r="C4512" t="s">
        <v>666</v>
      </c>
      <c r="D4512" t="s">
        <v>1362</v>
      </c>
      <c r="E4512" t="s">
        <v>187</v>
      </c>
      <c r="F4512">
        <v>2020</v>
      </c>
      <c r="G4512">
        <v>3.1899600000000001</v>
      </c>
    </row>
    <row r="4513" spans="1:7">
      <c r="A4513" t="s">
        <v>1297</v>
      </c>
      <c r="B4513" t="s">
        <v>1298</v>
      </c>
      <c r="C4513" t="s">
        <v>680</v>
      </c>
      <c r="D4513" t="s">
        <v>1362</v>
      </c>
      <c r="E4513" t="s">
        <v>187</v>
      </c>
      <c r="F4513">
        <v>2005</v>
      </c>
      <c r="G4513">
        <v>1.3715999999999999</v>
      </c>
    </row>
    <row r="4514" spans="1:7">
      <c r="A4514" t="s">
        <v>1297</v>
      </c>
      <c r="B4514" t="s">
        <v>1298</v>
      </c>
      <c r="C4514" t="s">
        <v>680</v>
      </c>
      <c r="D4514" t="s">
        <v>1362</v>
      </c>
      <c r="E4514" t="s">
        <v>187</v>
      </c>
      <c r="F4514">
        <v>2010</v>
      </c>
      <c r="G4514">
        <v>2.5164</v>
      </c>
    </row>
    <row r="4515" spans="1:7">
      <c r="A4515" t="s">
        <v>1297</v>
      </c>
      <c r="B4515" t="s">
        <v>1298</v>
      </c>
      <c r="C4515" t="s">
        <v>680</v>
      </c>
      <c r="D4515" t="s">
        <v>1362</v>
      </c>
      <c r="E4515" t="s">
        <v>187</v>
      </c>
      <c r="F4515">
        <v>2012</v>
      </c>
      <c r="G4515">
        <v>1.7496</v>
      </c>
    </row>
    <row r="4516" spans="1:7">
      <c r="A4516" t="s">
        <v>1297</v>
      </c>
      <c r="B4516" t="s">
        <v>1298</v>
      </c>
      <c r="C4516" t="s">
        <v>680</v>
      </c>
      <c r="D4516" t="s">
        <v>1362</v>
      </c>
      <c r="E4516" t="s">
        <v>187</v>
      </c>
      <c r="F4516">
        <v>2016</v>
      </c>
      <c r="G4516">
        <v>1.7604</v>
      </c>
    </row>
    <row r="4517" spans="1:7">
      <c r="A4517" t="s">
        <v>1297</v>
      </c>
      <c r="B4517" t="s">
        <v>1298</v>
      </c>
      <c r="C4517" t="s">
        <v>680</v>
      </c>
      <c r="D4517" t="s">
        <v>1362</v>
      </c>
      <c r="E4517" t="s">
        <v>187</v>
      </c>
      <c r="F4517">
        <v>2020</v>
      </c>
      <c r="G4517">
        <v>1.912622</v>
      </c>
    </row>
    <row r="4518" spans="1:7">
      <c r="A4518" t="s">
        <v>1297</v>
      </c>
      <c r="B4518" t="s">
        <v>1298</v>
      </c>
      <c r="C4518" t="s">
        <v>289</v>
      </c>
      <c r="D4518" t="s">
        <v>1362</v>
      </c>
      <c r="E4518" t="s">
        <v>187</v>
      </c>
      <c r="F4518">
        <v>2005</v>
      </c>
      <c r="G4518">
        <v>7.6715999999999998</v>
      </c>
    </row>
    <row r="4519" spans="1:7">
      <c r="A4519" t="s">
        <v>1297</v>
      </c>
      <c r="B4519" t="s">
        <v>1298</v>
      </c>
      <c r="C4519" t="s">
        <v>289</v>
      </c>
      <c r="D4519" t="s">
        <v>1362</v>
      </c>
      <c r="E4519" t="s">
        <v>187</v>
      </c>
      <c r="F4519">
        <v>2010</v>
      </c>
      <c r="G4519">
        <v>7.2792000000000003</v>
      </c>
    </row>
    <row r="4520" spans="1:7">
      <c r="A4520" t="s">
        <v>1297</v>
      </c>
      <c r="B4520" t="s">
        <v>1298</v>
      </c>
      <c r="C4520" t="s">
        <v>289</v>
      </c>
      <c r="D4520" t="s">
        <v>1362</v>
      </c>
      <c r="E4520" t="s">
        <v>187</v>
      </c>
      <c r="F4520">
        <v>2012</v>
      </c>
      <c r="G4520">
        <v>6.7931999999999997</v>
      </c>
    </row>
    <row r="4521" spans="1:7">
      <c r="A4521" t="s">
        <v>1297</v>
      </c>
      <c r="B4521" t="s">
        <v>1298</v>
      </c>
      <c r="C4521" t="s">
        <v>289</v>
      </c>
      <c r="D4521" t="s">
        <v>1362</v>
      </c>
      <c r="E4521" t="s">
        <v>187</v>
      </c>
      <c r="F4521">
        <v>2016</v>
      </c>
      <c r="G4521">
        <v>6.5015999999999998</v>
      </c>
    </row>
    <row r="4522" spans="1:7">
      <c r="A4522" t="s">
        <v>1297</v>
      </c>
      <c r="B4522" t="s">
        <v>1298</v>
      </c>
      <c r="C4522" t="s">
        <v>289</v>
      </c>
      <c r="D4522" t="s">
        <v>1362</v>
      </c>
      <c r="E4522" t="s">
        <v>187</v>
      </c>
      <c r="F4522">
        <v>2020</v>
      </c>
      <c r="G4522">
        <v>5.9724000000000004</v>
      </c>
    </row>
    <row r="4523" spans="1:7">
      <c r="A4523" t="s">
        <v>1297</v>
      </c>
      <c r="B4523" t="s">
        <v>1298</v>
      </c>
      <c r="C4523" t="s">
        <v>663</v>
      </c>
      <c r="D4523" t="s">
        <v>1362</v>
      </c>
      <c r="E4523" t="s">
        <v>187</v>
      </c>
      <c r="F4523">
        <v>2005</v>
      </c>
      <c r="G4523">
        <v>14.1876</v>
      </c>
    </row>
    <row r="4524" spans="1:7">
      <c r="A4524" t="s">
        <v>1297</v>
      </c>
      <c r="B4524" t="s">
        <v>1298</v>
      </c>
      <c r="C4524" t="s">
        <v>663</v>
      </c>
      <c r="D4524" t="s">
        <v>1362</v>
      </c>
      <c r="E4524" t="s">
        <v>187</v>
      </c>
      <c r="F4524">
        <v>2010</v>
      </c>
      <c r="G4524">
        <v>13.6836</v>
      </c>
    </row>
    <row r="4525" spans="1:7">
      <c r="A4525" t="s">
        <v>1297</v>
      </c>
      <c r="B4525" t="s">
        <v>1298</v>
      </c>
      <c r="C4525" t="s">
        <v>663</v>
      </c>
      <c r="D4525" t="s">
        <v>1362</v>
      </c>
      <c r="E4525" t="s">
        <v>187</v>
      </c>
      <c r="F4525">
        <v>2012</v>
      </c>
      <c r="G4525">
        <v>13.2624</v>
      </c>
    </row>
    <row r="4526" spans="1:7">
      <c r="A4526" t="s">
        <v>1297</v>
      </c>
      <c r="B4526" t="s">
        <v>1298</v>
      </c>
      <c r="C4526" t="s">
        <v>663</v>
      </c>
      <c r="D4526" t="s">
        <v>1362</v>
      </c>
      <c r="E4526" t="s">
        <v>187</v>
      </c>
      <c r="F4526">
        <v>2016</v>
      </c>
      <c r="G4526">
        <v>12.8376</v>
      </c>
    </row>
    <row r="4527" spans="1:7">
      <c r="A4527" t="s">
        <v>1297</v>
      </c>
      <c r="B4527" t="s">
        <v>1298</v>
      </c>
      <c r="C4527" t="s">
        <v>663</v>
      </c>
      <c r="D4527" t="s">
        <v>1362</v>
      </c>
      <c r="E4527" t="s">
        <v>187</v>
      </c>
      <c r="F4527">
        <v>2020</v>
      </c>
      <c r="G4527">
        <v>11.8512</v>
      </c>
    </row>
    <row r="4528" spans="1:7">
      <c r="A4528" t="s">
        <v>1297</v>
      </c>
      <c r="B4528" t="s">
        <v>1298</v>
      </c>
      <c r="C4528" t="s">
        <v>672</v>
      </c>
      <c r="D4528" t="s">
        <v>1362</v>
      </c>
      <c r="E4528" t="s">
        <v>187</v>
      </c>
      <c r="F4528">
        <v>2005</v>
      </c>
      <c r="G4528">
        <v>15.1632</v>
      </c>
    </row>
    <row r="4529" spans="1:7">
      <c r="A4529" t="s">
        <v>1297</v>
      </c>
      <c r="B4529" t="s">
        <v>1298</v>
      </c>
      <c r="C4529" t="s">
        <v>672</v>
      </c>
      <c r="D4529" t="s">
        <v>1362</v>
      </c>
      <c r="E4529" t="s">
        <v>187</v>
      </c>
      <c r="F4529">
        <v>2010</v>
      </c>
      <c r="G4529">
        <v>15.407999999999999</v>
      </c>
    </row>
    <row r="4530" spans="1:7">
      <c r="A4530" t="s">
        <v>1297</v>
      </c>
      <c r="B4530" t="s">
        <v>1298</v>
      </c>
      <c r="C4530" t="s">
        <v>672</v>
      </c>
      <c r="D4530" t="s">
        <v>1362</v>
      </c>
      <c r="E4530" t="s">
        <v>187</v>
      </c>
      <c r="F4530">
        <v>2012</v>
      </c>
      <c r="G4530">
        <v>16.9452</v>
      </c>
    </row>
    <row r="4531" spans="1:7">
      <c r="A4531" t="s">
        <v>1297</v>
      </c>
      <c r="B4531" t="s">
        <v>1298</v>
      </c>
      <c r="C4531" t="s">
        <v>672</v>
      </c>
      <c r="D4531" t="s">
        <v>1362</v>
      </c>
      <c r="E4531" t="s">
        <v>187</v>
      </c>
      <c r="F4531">
        <v>2016</v>
      </c>
      <c r="G4531">
        <v>17.644038999999999</v>
      </c>
    </row>
    <row r="4532" spans="1:7">
      <c r="A4532" t="s">
        <v>1297</v>
      </c>
      <c r="B4532" t="s">
        <v>1298</v>
      </c>
      <c r="C4532" t="s">
        <v>672</v>
      </c>
      <c r="D4532" t="s">
        <v>1362</v>
      </c>
      <c r="E4532" t="s">
        <v>187</v>
      </c>
      <c r="F4532">
        <v>2020</v>
      </c>
      <c r="G4532">
        <v>17.811579999999999</v>
      </c>
    </row>
    <row r="4533" spans="1:7">
      <c r="A4533" t="s">
        <v>1297</v>
      </c>
      <c r="B4533" t="s">
        <v>1298</v>
      </c>
      <c r="C4533" t="s">
        <v>1300</v>
      </c>
      <c r="D4533" t="s">
        <v>1362</v>
      </c>
      <c r="E4533" t="s">
        <v>187</v>
      </c>
      <c r="F4533">
        <v>2010</v>
      </c>
      <c r="G4533">
        <v>1.6848000000000001</v>
      </c>
    </row>
    <row r="4534" spans="1:7">
      <c r="A4534" t="s">
        <v>1297</v>
      </c>
      <c r="B4534" t="s">
        <v>1298</v>
      </c>
      <c r="C4534" t="s">
        <v>1300</v>
      </c>
      <c r="D4534" t="s">
        <v>1362</v>
      </c>
      <c r="E4534" t="s">
        <v>187</v>
      </c>
      <c r="F4534">
        <v>2012</v>
      </c>
      <c r="G4534">
        <v>1.6055999999999999</v>
      </c>
    </row>
    <row r="4535" spans="1:7">
      <c r="A4535" t="s">
        <v>1297</v>
      </c>
      <c r="B4535" t="s">
        <v>1298</v>
      </c>
      <c r="C4535" t="s">
        <v>1300</v>
      </c>
      <c r="D4535" t="s">
        <v>1362</v>
      </c>
      <c r="E4535" t="s">
        <v>187</v>
      </c>
      <c r="F4535">
        <v>2016</v>
      </c>
      <c r="G4535">
        <v>1.5407999999999999</v>
      </c>
    </row>
    <row r="4536" spans="1:7">
      <c r="A4536" t="s">
        <v>1297</v>
      </c>
      <c r="B4536" t="s">
        <v>1298</v>
      </c>
      <c r="C4536" t="s">
        <v>1300</v>
      </c>
      <c r="D4536" t="s">
        <v>1362</v>
      </c>
      <c r="E4536" t="s">
        <v>187</v>
      </c>
      <c r="F4536">
        <v>2020</v>
      </c>
      <c r="G4536">
        <v>1.53</v>
      </c>
    </row>
    <row r="4537" spans="1:7">
      <c r="A4537" t="s">
        <v>1297</v>
      </c>
      <c r="B4537" t="s">
        <v>1298</v>
      </c>
      <c r="C4537" t="s">
        <v>667</v>
      </c>
      <c r="D4537" t="s">
        <v>1362</v>
      </c>
      <c r="E4537" t="s">
        <v>187</v>
      </c>
      <c r="F4537">
        <v>2005</v>
      </c>
      <c r="G4537">
        <v>0.42048000000000002</v>
      </c>
    </row>
    <row r="4538" spans="1:7">
      <c r="A4538" t="s">
        <v>1297</v>
      </c>
      <c r="B4538" t="s">
        <v>1298</v>
      </c>
      <c r="C4538" t="s">
        <v>667</v>
      </c>
      <c r="D4538" t="s">
        <v>1362</v>
      </c>
      <c r="E4538" t="s">
        <v>187</v>
      </c>
      <c r="F4538">
        <v>2010</v>
      </c>
      <c r="G4538">
        <v>0.48096</v>
      </c>
    </row>
    <row r="4539" spans="1:7">
      <c r="A4539" t="s">
        <v>1297</v>
      </c>
      <c r="B4539" t="s">
        <v>1298</v>
      </c>
      <c r="C4539" t="s">
        <v>667</v>
      </c>
      <c r="D4539" t="s">
        <v>1362</v>
      </c>
      <c r="E4539" t="s">
        <v>187</v>
      </c>
      <c r="F4539">
        <v>2012</v>
      </c>
      <c r="G4539">
        <v>0.55511999999999995</v>
      </c>
    </row>
    <row r="4540" spans="1:7">
      <c r="A4540" t="s">
        <v>1297</v>
      </c>
      <c r="B4540" t="s">
        <v>1298</v>
      </c>
      <c r="C4540" t="s">
        <v>667</v>
      </c>
      <c r="D4540" t="s">
        <v>1362</v>
      </c>
      <c r="E4540" t="s">
        <v>187</v>
      </c>
      <c r="F4540">
        <v>2016</v>
      </c>
      <c r="G4540">
        <v>0.56808000000000003</v>
      </c>
    </row>
    <row r="4541" spans="1:7">
      <c r="A4541" t="s">
        <v>1297</v>
      </c>
      <c r="B4541" t="s">
        <v>1298</v>
      </c>
      <c r="C4541" t="s">
        <v>667</v>
      </c>
      <c r="D4541" t="s">
        <v>1362</v>
      </c>
      <c r="E4541" t="s">
        <v>187</v>
      </c>
      <c r="F4541">
        <v>2020</v>
      </c>
      <c r="G4541">
        <v>0.56123999999999996</v>
      </c>
    </row>
    <row r="4542" spans="1:7">
      <c r="A4542" t="s">
        <v>1297</v>
      </c>
      <c r="B4542" t="s">
        <v>1298</v>
      </c>
      <c r="C4542" t="s">
        <v>660</v>
      </c>
      <c r="D4542" t="s">
        <v>1362</v>
      </c>
      <c r="E4542" t="s">
        <v>187</v>
      </c>
      <c r="F4542">
        <v>2005</v>
      </c>
      <c r="G4542">
        <v>10.9476</v>
      </c>
    </row>
    <row r="4543" spans="1:7">
      <c r="A4543" t="s">
        <v>1297</v>
      </c>
      <c r="B4543" t="s">
        <v>1298</v>
      </c>
      <c r="C4543" t="s">
        <v>660</v>
      </c>
      <c r="D4543" t="s">
        <v>1362</v>
      </c>
      <c r="E4543" t="s">
        <v>187</v>
      </c>
      <c r="F4543">
        <v>2010</v>
      </c>
      <c r="G4543">
        <v>9.9396000000000004</v>
      </c>
    </row>
    <row r="4544" spans="1:7">
      <c r="A4544" t="s">
        <v>1297</v>
      </c>
      <c r="B4544" t="s">
        <v>1298</v>
      </c>
      <c r="C4544" t="s">
        <v>660</v>
      </c>
      <c r="D4544" t="s">
        <v>1362</v>
      </c>
      <c r="E4544" t="s">
        <v>187</v>
      </c>
      <c r="F4544">
        <v>2012</v>
      </c>
      <c r="G4544">
        <v>10.4724</v>
      </c>
    </row>
    <row r="4545" spans="1:7">
      <c r="A4545" t="s">
        <v>1297</v>
      </c>
      <c r="B4545" t="s">
        <v>1298</v>
      </c>
      <c r="C4545" t="s">
        <v>660</v>
      </c>
      <c r="D4545" t="s">
        <v>1362</v>
      </c>
      <c r="E4545" t="s">
        <v>187</v>
      </c>
      <c r="F4545">
        <v>2016</v>
      </c>
      <c r="G4545">
        <v>9.3095999999999997</v>
      </c>
    </row>
    <row r="4546" spans="1:7">
      <c r="A4546" t="s">
        <v>1297</v>
      </c>
      <c r="B4546" t="s">
        <v>1298</v>
      </c>
      <c r="C4546" t="s">
        <v>660</v>
      </c>
      <c r="D4546" t="s">
        <v>1362</v>
      </c>
      <c r="E4546" t="s">
        <v>187</v>
      </c>
      <c r="F4546">
        <v>2020</v>
      </c>
      <c r="G4546">
        <v>9.7775999999999996</v>
      </c>
    </row>
    <row r="4547" spans="1:7">
      <c r="A4547" t="s">
        <v>1297</v>
      </c>
      <c r="B4547" t="s">
        <v>1298</v>
      </c>
      <c r="C4547" t="s">
        <v>1303</v>
      </c>
      <c r="D4547" t="s">
        <v>1362</v>
      </c>
      <c r="E4547" t="s">
        <v>187</v>
      </c>
      <c r="F4547">
        <v>2016</v>
      </c>
      <c r="G4547">
        <v>2.8224</v>
      </c>
    </row>
    <row r="4548" spans="1:7">
      <c r="A4548" t="s">
        <v>1297</v>
      </c>
      <c r="B4548" t="s">
        <v>1298</v>
      </c>
      <c r="C4548" t="s">
        <v>1303</v>
      </c>
      <c r="D4548" t="s">
        <v>1362</v>
      </c>
      <c r="E4548" t="s">
        <v>187</v>
      </c>
      <c r="F4548">
        <v>2020</v>
      </c>
      <c r="G4548">
        <v>3.30552</v>
      </c>
    </row>
    <row r="4549" spans="1:7">
      <c r="A4549" t="s">
        <v>1297</v>
      </c>
      <c r="B4549" t="s">
        <v>1298</v>
      </c>
      <c r="C4549" t="s">
        <v>666</v>
      </c>
      <c r="D4549" t="s">
        <v>1363</v>
      </c>
      <c r="E4549" t="s">
        <v>187</v>
      </c>
      <c r="F4549">
        <v>2005</v>
      </c>
      <c r="G4549">
        <v>30.985199999999999</v>
      </c>
    </row>
    <row r="4550" spans="1:7">
      <c r="A4550" t="s">
        <v>1297</v>
      </c>
      <c r="B4550" t="s">
        <v>1298</v>
      </c>
      <c r="C4550" t="s">
        <v>666</v>
      </c>
      <c r="D4550" t="s">
        <v>1363</v>
      </c>
      <c r="E4550" t="s">
        <v>187</v>
      </c>
      <c r="F4550">
        <v>2010</v>
      </c>
      <c r="G4550">
        <v>7.8624000000000001</v>
      </c>
    </row>
    <row r="4551" spans="1:7">
      <c r="A4551" t="s">
        <v>1297</v>
      </c>
      <c r="B4551" t="s">
        <v>1298</v>
      </c>
      <c r="C4551" t="s">
        <v>666</v>
      </c>
      <c r="D4551" t="s">
        <v>1363</v>
      </c>
      <c r="E4551" t="s">
        <v>187</v>
      </c>
      <c r="F4551">
        <v>2012</v>
      </c>
      <c r="G4551">
        <v>5.1875999999999998</v>
      </c>
    </row>
    <row r="4552" spans="1:7">
      <c r="A4552" t="s">
        <v>1297</v>
      </c>
      <c r="B4552" t="s">
        <v>1298</v>
      </c>
      <c r="C4552" t="s">
        <v>666</v>
      </c>
      <c r="D4552" t="s">
        <v>1363</v>
      </c>
      <c r="E4552" t="s">
        <v>187</v>
      </c>
      <c r="F4552">
        <v>2016</v>
      </c>
      <c r="G4552">
        <v>10.191599999999999</v>
      </c>
    </row>
    <row r="4553" spans="1:7">
      <c r="A4553" t="s">
        <v>1297</v>
      </c>
      <c r="B4553" t="s">
        <v>1298</v>
      </c>
      <c r="C4553" t="s">
        <v>666</v>
      </c>
      <c r="D4553" t="s">
        <v>1363</v>
      </c>
      <c r="E4553" t="s">
        <v>187</v>
      </c>
      <c r="F4553">
        <v>2020</v>
      </c>
      <c r="G4553">
        <v>14.12748</v>
      </c>
    </row>
    <row r="4554" spans="1:7">
      <c r="A4554" t="s">
        <v>1297</v>
      </c>
      <c r="B4554" t="s">
        <v>1298</v>
      </c>
      <c r="C4554" t="s">
        <v>684</v>
      </c>
      <c r="D4554" t="s">
        <v>1363</v>
      </c>
      <c r="E4554" t="s">
        <v>187</v>
      </c>
      <c r="F4554">
        <v>2005</v>
      </c>
      <c r="G4554">
        <v>0.15840000000000001</v>
      </c>
    </row>
    <row r="4555" spans="1:7">
      <c r="A4555" t="s">
        <v>1297</v>
      </c>
      <c r="B4555" t="s">
        <v>1298</v>
      </c>
      <c r="C4555" t="s">
        <v>684</v>
      </c>
      <c r="D4555" t="s">
        <v>1363</v>
      </c>
      <c r="E4555" t="s">
        <v>187</v>
      </c>
      <c r="F4555">
        <v>2010</v>
      </c>
      <c r="G4555">
        <v>2.6280000000000001</v>
      </c>
    </row>
    <row r="4556" spans="1:7">
      <c r="A4556" t="s">
        <v>1297</v>
      </c>
      <c r="B4556" t="s">
        <v>1298</v>
      </c>
      <c r="C4556" t="s">
        <v>684</v>
      </c>
      <c r="D4556" t="s">
        <v>1363</v>
      </c>
      <c r="E4556" t="s">
        <v>187</v>
      </c>
      <c r="F4556">
        <v>2012</v>
      </c>
      <c r="G4556">
        <v>0.82079999999999997</v>
      </c>
    </row>
    <row r="4557" spans="1:7">
      <c r="A4557" t="s">
        <v>1297</v>
      </c>
      <c r="B4557" t="s">
        <v>1298</v>
      </c>
      <c r="C4557" t="s">
        <v>684</v>
      </c>
      <c r="D4557" t="s">
        <v>1363</v>
      </c>
      <c r="E4557" t="s">
        <v>187</v>
      </c>
      <c r="F4557">
        <v>2016</v>
      </c>
      <c r="G4557">
        <v>3.2616000000000001</v>
      </c>
    </row>
    <row r="4558" spans="1:7">
      <c r="A4558" t="s">
        <v>1297</v>
      </c>
      <c r="B4558" t="s">
        <v>1298</v>
      </c>
      <c r="C4558" t="s">
        <v>684</v>
      </c>
      <c r="D4558" t="s">
        <v>1363</v>
      </c>
      <c r="E4558" t="s">
        <v>187</v>
      </c>
      <c r="F4558">
        <v>2020</v>
      </c>
      <c r="G4558">
        <v>3.3944399999999999</v>
      </c>
    </row>
    <row r="4559" spans="1:7">
      <c r="A4559" t="s">
        <v>1297</v>
      </c>
      <c r="B4559" t="s">
        <v>1298</v>
      </c>
      <c r="C4559" t="s">
        <v>652</v>
      </c>
      <c r="D4559" t="s">
        <v>1363</v>
      </c>
      <c r="E4559" t="s">
        <v>187</v>
      </c>
      <c r="F4559">
        <v>2016</v>
      </c>
      <c r="G4559">
        <v>30.474</v>
      </c>
    </row>
    <row r="4560" spans="1:7">
      <c r="A4560" t="s">
        <v>1297</v>
      </c>
      <c r="B4560" t="s">
        <v>1298</v>
      </c>
      <c r="C4560" t="s">
        <v>652</v>
      </c>
      <c r="D4560" t="s">
        <v>1363</v>
      </c>
      <c r="E4560" t="s">
        <v>187</v>
      </c>
      <c r="F4560">
        <v>2020</v>
      </c>
      <c r="G4560">
        <v>52.520400000000002</v>
      </c>
    </row>
    <row r="4561" spans="1:7">
      <c r="A4561" t="s">
        <v>1297</v>
      </c>
      <c r="B4561" t="s">
        <v>1298</v>
      </c>
      <c r="C4561" t="s">
        <v>662</v>
      </c>
      <c r="D4561" t="s">
        <v>1363</v>
      </c>
      <c r="E4561" t="s">
        <v>187</v>
      </c>
      <c r="F4561">
        <v>2005</v>
      </c>
      <c r="G4561">
        <v>6.6096000000000004</v>
      </c>
    </row>
    <row r="4562" spans="1:7">
      <c r="A4562" t="s">
        <v>1297</v>
      </c>
      <c r="B4562" t="s">
        <v>1298</v>
      </c>
      <c r="C4562" t="s">
        <v>662</v>
      </c>
      <c r="D4562" t="s">
        <v>1363</v>
      </c>
      <c r="E4562" t="s">
        <v>187</v>
      </c>
      <c r="F4562">
        <v>2010</v>
      </c>
      <c r="G4562">
        <v>10.1196</v>
      </c>
    </row>
    <row r="4563" spans="1:7">
      <c r="A4563" t="s">
        <v>1297</v>
      </c>
      <c r="B4563" t="s">
        <v>1298</v>
      </c>
      <c r="C4563" t="s">
        <v>662</v>
      </c>
      <c r="D4563" t="s">
        <v>1363</v>
      </c>
      <c r="E4563" t="s">
        <v>187</v>
      </c>
      <c r="F4563">
        <v>2012</v>
      </c>
      <c r="G4563">
        <v>15.0084</v>
      </c>
    </row>
    <row r="4564" spans="1:7">
      <c r="A4564" t="s">
        <v>1297</v>
      </c>
      <c r="B4564" t="s">
        <v>1298</v>
      </c>
      <c r="C4564" t="s">
        <v>662</v>
      </c>
      <c r="D4564" t="s">
        <v>1363</v>
      </c>
      <c r="E4564" t="s">
        <v>187</v>
      </c>
      <c r="F4564">
        <v>2016</v>
      </c>
      <c r="G4564">
        <v>3.7332000000000001</v>
      </c>
    </row>
    <row r="4565" spans="1:7">
      <c r="A4565" t="s">
        <v>1297</v>
      </c>
      <c r="B4565" t="s">
        <v>1298</v>
      </c>
      <c r="C4565" t="s">
        <v>662</v>
      </c>
      <c r="D4565" t="s">
        <v>1363</v>
      </c>
      <c r="E4565" t="s">
        <v>187</v>
      </c>
      <c r="F4565">
        <v>2020</v>
      </c>
      <c r="G4565">
        <v>4.0427999999999997</v>
      </c>
    </row>
    <row r="4566" spans="1:7">
      <c r="A4566" t="s">
        <v>1297</v>
      </c>
      <c r="B4566" t="s">
        <v>1298</v>
      </c>
      <c r="C4566" t="s">
        <v>289</v>
      </c>
      <c r="D4566" t="s">
        <v>1363</v>
      </c>
      <c r="E4566" t="s">
        <v>187</v>
      </c>
      <c r="F4566">
        <v>2005</v>
      </c>
      <c r="G4566">
        <v>15.613200000000001</v>
      </c>
    </row>
    <row r="4567" spans="1:7">
      <c r="A4567" t="s">
        <v>1297</v>
      </c>
      <c r="B4567" t="s">
        <v>1298</v>
      </c>
      <c r="C4567" t="s">
        <v>289</v>
      </c>
      <c r="D4567" t="s">
        <v>1363</v>
      </c>
      <c r="E4567" t="s">
        <v>187</v>
      </c>
      <c r="F4567">
        <v>2010</v>
      </c>
      <c r="G4567">
        <v>30.409199999999998</v>
      </c>
    </row>
    <row r="4568" spans="1:7">
      <c r="A4568" t="s">
        <v>1297</v>
      </c>
      <c r="B4568" t="s">
        <v>1298</v>
      </c>
      <c r="C4568" t="s">
        <v>289</v>
      </c>
      <c r="D4568" t="s">
        <v>1363</v>
      </c>
      <c r="E4568" t="s">
        <v>187</v>
      </c>
      <c r="F4568">
        <v>2012</v>
      </c>
      <c r="G4568">
        <v>20.674800000000001</v>
      </c>
    </row>
    <row r="4569" spans="1:7">
      <c r="A4569" t="s">
        <v>1297</v>
      </c>
      <c r="B4569" t="s">
        <v>1298</v>
      </c>
      <c r="C4569" t="s">
        <v>289</v>
      </c>
      <c r="D4569" t="s">
        <v>1363</v>
      </c>
      <c r="E4569" t="s">
        <v>187</v>
      </c>
      <c r="F4569">
        <v>2016</v>
      </c>
      <c r="G4569">
        <v>24.7212</v>
      </c>
    </row>
    <row r="4570" spans="1:7">
      <c r="A4570" t="s">
        <v>1297</v>
      </c>
      <c r="B4570" t="s">
        <v>1298</v>
      </c>
      <c r="C4570" t="s">
        <v>289</v>
      </c>
      <c r="D4570" t="s">
        <v>1363</v>
      </c>
      <c r="E4570" t="s">
        <v>187</v>
      </c>
      <c r="F4570">
        <v>2020</v>
      </c>
      <c r="G4570">
        <v>18.964079999999999</v>
      </c>
    </row>
    <row r="4571" spans="1:7">
      <c r="A4571" t="s">
        <v>1297</v>
      </c>
      <c r="B4571" t="s">
        <v>1298</v>
      </c>
      <c r="C4571" t="s">
        <v>1302</v>
      </c>
      <c r="D4571" t="s">
        <v>1363</v>
      </c>
      <c r="E4571" t="s">
        <v>187</v>
      </c>
      <c r="F4571">
        <v>2005</v>
      </c>
      <c r="G4571">
        <v>0.81359999999999999</v>
      </c>
    </row>
    <row r="4572" spans="1:7">
      <c r="A4572" t="s">
        <v>1297</v>
      </c>
      <c r="B4572" t="s">
        <v>1298</v>
      </c>
      <c r="C4572" t="s">
        <v>1302</v>
      </c>
      <c r="D4572" t="s">
        <v>1363</v>
      </c>
      <c r="E4572" t="s">
        <v>187</v>
      </c>
      <c r="F4572">
        <v>2010</v>
      </c>
      <c r="G4572">
        <v>1.2707999999999999</v>
      </c>
    </row>
    <row r="4573" spans="1:7">
      <c r="A4573" t="s">
        <v>1297</v>
      </c>
      <c r="B4573" t="s">
        <v>1298</v>
      </c>
      <c r="C4573" t="s">
        <v>1302</v>
      </c>
      <c r="D4573" t="s">
        <v>1363</v>
      </c>
      <c r="E4573" t="s">
        <v>187</v>
      </c>
      <c r="F4573">
        <v>2012</v>
      </c>
      <c r="G4573">
        <v>9.4283999999999999</v>
      </c>
    </row>
    <row r="4574" spans="1:7">
      <c r="A4574" t="s">
        <v>1297</v>
      </c>
      <c r="B4574" t="s">
        <v>1298</v>
      </c>
      <c r="C4574" t="s">
        <v>1302</v>
      </c>
      <c r="D4574" t="s">
        <v>1363</v>
      </c>
      <c r="E4574" t="s">
        <v>187</v>
      </c>
      <c r="F4574">
        <v>2016</v>
      </c>
      <c r="G4574">
        <v>3.8304</v>
      </c>
    </row>
    <row r="4575" spans="1:7">
      <c r="A4575" t="s">
        <v>1297</v>
      </c>
      <c r="B4575" t="s">
        <v>1298</v>
      </c>
      <c r="C4575" t="s">
        <v>1302</v>
      </c>
      <c r="D4575" t="s">
        <v>1363</v>
      </c>
      <c r="E4575" t="s">
        <v>187</v>
      </c>
      <c r="F4575">
        <v>2020</v>
      </c>
      <c r="G4575">
        <v>3.2579600000000002</v>
      </c>
    </row>
    <row r="4576" spans="1:7">
      <c r="A4576" t="s">
        <v>1297</v>
      </c>
      <c r="B4576" t="s">
        <v>1298</v>
      </c>
      <c r="C4576" t="s">
        <v>653</v>
      </c>
      <c r="D4576" t="s">
        <v>1363</v>
      </c>
      <c r="E4576" t="s">
        <v>187</v>
      </c>
      <c r="F4576">
        <v>2005</v>
      </c>
      <c r="G4576">
        <v>30.167999999999999</v>
      </c>
    </row>
    <row r="4577" spans="1:7">
      <c r="A4577" t="s">
        <v>1297</v>
      </c>
      <c r="B4577" t="s">
        <v>1298</v>
      </c>
      <c r="C4577" t="s">
        <v>653</v>
      </c>
      <c r="D4577" t="s">
        <v>1363</v>
      </c>
      <c r="E4577" t="s">
        <v>187</v>
      </c>
      <c r="F4577">
        <v>2010</v>
      </c>
      <c r="G4577">
        <v>34.6068</v>
      </c>
    </row>
    <row r="4578" spans="1:7">
      <c r="A4578" t="s">
        <v>1297</v>
      </c>
      <c r="B4578" t="s">
        <v>1298</v>
      </c>
      <c r="C4578" t="s">
        <v>653</v>
      </c>
      <c r="D4578" t="s">
        <v>1363</v>
      </c>
      <c r="E4578" t="s">
        <v>187</v>
      </c>
      <c r="F4578">
        <v>2012</v>
      </c>
      <c r="G4578">
        <v>38.379600000000003</v>
      </c>
    </row>
    <row r="4579" spans="1:7">
      <c r="A4579" t="s">
        <v>1297</v>
      </c>
      <c r="B4579" t="s">
        <v>1298</v>
      </c>
      <c r="C4579" t="s">
        <v>653</v>
      </c>
      <c r="D4579" t="s">
        <v>1363</v>
      </c>
      <c r="E4579" t="s">
        <v>187</v>
      </c>
      <c r="F4579">
        <v>2016</v>
      </c>
      <c r="G4579">
        <v>39.384</v>
      </c>
    </row>
    <row r="4580" spans="1:7">
      <c r="A4580" t="s">
        <v>1297</v>
      </c>
      <c r="B4580" t="s">
        <v>1298</v>
      </c>
      <c r="C4580" t="s">
        <v>653</v>
      </c>
      <c r="D4580" t="s">
        <v>1363</v>
      </c>
      <c r="E4580" t="s">
        <v>187</v>
      </c>
      <c r="F4580">
        <v>2020</v>
      </c>
      <c r="G4580">
        <v>31.878485999999999</v>
      </c>
    </row>
    <row r="4581" spans="1:7">
      <c r="A4581" t="s">
        <v>1297</v>
      </c>
      <c r="B4581" t="s">
        <v>1298</v>
      </c>
      <c r="C4581" t="s">
        <v>673</v>
      </c>
      <c r="D4581" t="s">
        <v>1363</v>
      </c>
      <c r="E4581" t="s">
        <v>187</v>
      </c>
      <c r="F4581">
        <v>2005</v>
      </c>
      <c r="G4581">
        <v>18.8064</v>
      </c>
    </row>
    <row r="4582" spans="1:7">
      <c r="A4582" t="s">
        <v>1297</v>
      </c>
      <c r="B4582" t="s">
        <v>1298</v>
      </c>
      <c r="C4582" t="s">
        <v>673</v>
      </c>
      <c r="D4582" t="s">
        <v>1363</v>
      </c>
      <c r="E4582" t="s">
        <v>187</v>
      </c>
      <c r="F4582">
        <v>2010</v>
      </c>
      <c r="G4582">
        <v>10.9476</v>
      </c>
    </row>
    <row r="4583" spans="1:7">
      <c r="A4583" t="s">
        <v>1297</v>
      </c>
      <c r="B4583" t="s">
        <v>1298</v>
      </c>
      <c r="C4583" t="s">
        <v>673</v>
      </c>
      <c r="D4583" t="s">
        <v>1363</v>
      </c>
      <c r="E4583" t="s">
        <v>187</v>
      </c>
      <c r="F4583">
        <v>2012</v>
      </c>
      <c r="G4583">
        <v>13.14</v>
      </c>
    </row>
    <row r="4584" spans="1:7">
      <c r="A4584" t="s">
        <v>1297</v>
      </c>
      <c r="B4584" t="s">
        <v>1298</v>
      </c>
      <c r="C4584" t="s">
        <v>673</v>
      </c>
      <c r="D4584" t="s">
        <v>1363</v>
      </c>
      <c r="E4584" t="s">
        <v>187</v>
      </c>
      <c r="F4584">
        <v>2016</v>
      </c>
      <c r="G4584">
        <v>33.098399999999998</v>
      </c>
    </row>
    <row r="4585" spans="1:7">
      <c r="A4585" t="s">
        <v>1297</v>
      </c>
      <c r="B4585" t="s">
        <v>1298</v>
      </c>
      <c r="C4585" t="s">
        <v>673</v>
      </c>
      <c r="D4585" t="s">
        <v>1363</v>
      </c>
      <c r="E4585" t="s">
        <v>187</v>
      </c>
      <c r="F4585">
        <v>2020</v>
      </c>
      <c r="G4585">
        <v>14.30861</v>
      </c>
    </row>
    <row r="4586" spans="1:7">
      <c r="A4586" t="s">
        <v>1297</v>
      </c>
      <c r="B4586" t="s">
        <v>1298</v>
      </c>
      <c r="C4586" t="s">
        <v>676</v>
      </c>
      <c r="D4586" t="s">
        <v>1363</v>
      </c>
      <c r="E4586" t="s">
        <v>187</v>
      </c>
      <c r="F4586">
        <v>2005</v>
      </c>
      <c r="G4586">
        <v>40.572000000000003</v>
      </c>
    </row>
    <row r="4587" spans="1:7">
      <c r="A4587" t="s">
        <v>1297</v>
      </c>
      <c r="B4587" t="s">
        <v>1298</v>
      </c>
      <c r="C4587" t="s">
        <v>676</v>
      </c>
      <c r="D4587" t="s">
        <v>1363</v>
      </c>
      <c r="E4587" t="s">
        <v>187</v>
      </c>
      <c r="F4587">
        <v>2010</v>
      </c>
      <c r="G4587">
        <v>22.654800000000002</v>
      </c>
    </row>
    <row r="4588" spans="1:7">
      <c r="A4588" t="s">
        <v>1297</v>
      </c>
      <c r="B4588" t="s">
        <v>1298</v>
      </c>
      <c r="C4588" t="s">
        <v>676</v>
      </c>
      <c r="D4588" t="s">
        <v>1363</v>
      </c>
      <c r="E4588" t="s">
        <v>187</v>
      </c>
      <c r="F4588">
        <v>2012</v>
      </c>
      <c r="G4588">
        <v>47.084400000000002</v>
      </c>
    </row>
    <row r="4589" spans="1:7">
      <c r="A4589" t="s">
        <v>1297</v>
      </c>
      <c r="B4589" t="s">
        <v>1298</v>
      </c>
      <c r="C4589" t="s">
        <v>676</v>
      </c>
      <c r="D4589" t="s">
        <v>1363</v>
      </c>
      <c r="E4589" t="s">
        <v>187</v>
      </c>
      <c r="F4589">
        <v>2016</v>
      </c>
      <c r="G4589">
        <v>38.152799999999999</v>
      </c>
    </row>
    <row r="4590" spans="1:7">
      <c r="A4590" t="s">
        <v>1297</v>
      </c>
      <c r="B4590" t="s">
        <v>1298</v>
      </c>
      <c r="C4590" t="s">
        <v>676</v>
      </c>
      <c r="D4590" t="s">
        <v>1363</v>
      </c>
      <c r="E4590" t="s">
        <v>187</v>
      </c>
      <c r="F4590">
        <v>2020</v>
      </c>
      <c r="G4590">
        <v>42.616799999999998</v>
      </c>
    </row>
    <row r="4591" spans="1:7">
      <c r="A4591" t="s">
        <v>1297</v>
      </c>
      <c r="B4591" t="s">
        <v>1298</v>
      </c>
      <c r="C4591" t="s">
        <v>657</v>
      </c>
      <c r="D4591" t="s">
        <v>1363</v>
      </c>
      <c r="E4591" t="s">
        <v>187</v>
      </c>
      <c r="F4591">
        <v>2005</v>
      </c>
      <c r="G4591">
        <v>41.666400000000003</v>
      </c>
    </row>
    <row r="4592" spans="1:7">
      <c r="A4592" t="s">
        <v>1297</v>
      </c>
      <c r="B4592" t="s">
        <v>1298</v>
      </c>
      <c r="C4592" t="s">
        <v>657</v>
      </c>
      <c r="D4592" t="s">
        <v>1363</v>
      </c>
      <c r="E4592" t="s">
        <v>187</v>
      </c>
      <c r="F4592">
        <v>2010</v>
      </c>
      <c r="G4592">
        <v>42.242400000000004</v>
      </c>
    </row>
    <row r="4593" spans="1:7">
      <c r="A4593" t="s">
        <v>1297</v>
      </c>
      <c r="B4593" t="s">
        <v>1298</v>
      </c>
      <c r="C4593" t="s">
        <v>657</v>
      </c>
      <c r="D4593" t="s">
        <v>1363</v>
      </c>
      <c r="E4593" t="s">
        <v>187</v>
      </c>
      <c r="F4593">
        <v>2012</v>
      </c>
      <c r="G4593">
        <v>38.541600000000003</v>
      </c>
    </row>
    <row r="4594" spans="1:7">
      <c r="A4594" t="s">
        <v>1297</v>
      </c>
      <c r="B4594" t="s">
        <v>1298</v>
      </c>
      <c r="C4594" t="s">
        <v>657</v>
      </c>
      <c r="D4594" t="s">
        <v>1363</v>
      </c>
      <c r="E4594" t="s">
        <v>187</v>
      </c>
      <c r="F4594">
        <v>2016</v>
      </c>
      <c r="G4594">
        <v>35.709713999999998</v>
      </c>
    </row>
    <row r="4595" spans="1:7">
      <c r="A4595" t="s">
        <v>1297</v>
      </c>
      <c r="B4595" t="s">
        <v>1298</v>
      </c>
      <c r="C4595" t="s">
        <v>657</v>
      </c>
      <c r="D4595" t="s">
        <v>1363</v>
      </c>
      <c r="E4595" t="s">
        <v>187</v>
      </c>
      <c r="F4595">
        <v>2020</v>
      </c>
      <c r="G4595">
        <v>36.615751000000003</v>
      </c>
    </row>
    <row r="4596" spans="1:7">
      <c r="A4596" t="s">
        <v>1297</v>
      </c>
      <c r="B4596" t="s">
        <v>1298</v>
      </c>
      <c r="C4596" t="s">
        <v>1303</v>
      </c>
      <c r="D4596" t="s">
        <v>1363</v>
      </c>
      <c r="E4596" t="s">
        <v>187</v>
      </c>
      <c r="F4596">
        <v>2016</v>
      </c>
      <c r="G4596">
        <v>5.0724</v>
      </c>
    </row>
    <row r="4597" spans="1:7">
      <c r="A4597" t="s">
        <v>1297</v>
      </c>
      <c r="B4597" t="s">
        <v>1298</v>
      </c>
      <c r="C4597" t="s">
        <v>1303</v>
      </c>
      <c r="D4597" t="s">
        <v>1363</v>
      </c>
      <c r="E4597" t="s">
        <v>187</v>
      </c>
      <c r="F4597">
        <v>2020</v>
      </c>
      <c r="G4597">
        <v>1.36656</v>
      </c>
    </row>
    <row r="4598" spans="1:7">
      <c r="A4598" t="s">
        <v>1297</v>
      </c>
      <c r="B4598" t="s">
        <v>1298</v>
      </c>
      <c r="C4598" t="s">
        <v>686</v>
      </c>
      <c r="D4598" t="s">
        <v>1363</v>
      </c>
      <c r="E4598" t="s">
        <v>187</v>
      </c>
      <c r="F4598">
        <v>2005</v>
      </c>
      <c r="G4598">
        <v>31.298400000000001</v>
      </c>
    </row>
    <row r="4599" spans="1:7">
      <c r="A4599" t="s">
        <v>1297</v>
      </c>
      <c r="B4599" t="s">
        <v>1298</v>
      </c>
      <c r="C4599" t="s">
        <v>686</v>
      </c>
      <c r="D4599" t="s">
        <v>1363</v>
      </c>
      <c r="E4599" t="s">
        <v>187</v>
      </c>
      <c r="F4599">
        <v>2010</v>
      </c>
      <c r="G4599">
        <v>21.301200000000001</v>
      </c>
    </row>
    <row r="4600" spans="1:7">
      <c r="A4600" t="s">
        <v>1297</v>
      </c>
      <c r="B4600" t="s">
        <v>1298</v>
      </c>
      <c r="C4600" t="s">
        <v>686</v>
      </c>
      <c r="D4600" t="s">
        <v>1363</v>
      </c>
      <c r="E4600" t="s">
        <v>187</v>
      </c>
      <c r="F4600">
        <v>2012</v>
      </c>
      <c r="G4600">
        <v>19.411200000000001</v>
      </c>
    </row>
    <row r="4601" spans="1:7">
      <c r="A4601" t="s">
        <v>1297</v>
      </c>
      <c r="B4601" t="s">
        <v>1298</v>
      </c>
      <c r="C4601" t="s">
        <v>686</v>
      </c>
      <c r="D4601" t="s">
        <v>1363</v>
      </c>
      <c r="E4601" t="s">
        <v>187</v>
      </c>
      <c r="F4601">
        <v>2016</v>
      </c>
      <c r="G4601">
        <v>25.164000000000001</v>
      </c>
    </row>
    <row r="4602" spans="1:7">
      <c r="A4602" t="s">
        <v>1297</v>
      </c>
      <c r="B4602" t="s">
        <v>1298</v>
      </c>
      <c r="C4602" t="s">
        <v>686</v>
      </c>
      <c r="D4602" t="s">
        <v>1363</v>
      </c>
      <c r="E4602" t="s">
        <v>187</v>
      </c>
      <c r="F4602">
        <v>2020</v>
      </c>
      <c r="G4602">
        <v>19.227485000000001</v>
      </c>
    </row>
    <row r="4603" spans="1:7">
      <c r="A4603" t="s">
        <v>1297</v>
      </c>
      <c r="B4603" t="s">
        <v>1298</v>
      </c>
      <c r="C4603" t="s">
        <v>652</v>
      </c>
      <c r="D4603" t="s">
        <v>1363</v>
      </c>
      <c r="E4603" t="s">
        <v>187</v>
      </c>
      <c r="F4603">
        <v>2005</v>
      </c>
      <c r="G4603">
        <v>28.886399999999998</v>
      </c>
    </row>
    <row r="4604" spans="1:7">
      <c r="A4604" t="s">
        <v>1297</v>
      </c>
      <c r="B4604" t="s">
        <v>1298</v>
      </c>
      <c r="C4604" t="s">
        <v>652</v>
      </c>
      <c r="D4604" t="s">
        <v>1363</v>
      </c>
      <c r="E4604" t="s">
        <v>187</v>
      </c>
      <c r="F4604">
        <v>2010</v>
      </c>
      <c r="G4604">
        <v>42.638399999999997</v>
      </c>
    </row>
    <row r="4605" spans="1:7">
      <c r="A4605" t="s">
        <v>1297</v>
      </c>
      <c r="B4605" t="s">
        <v>1298</v>
      </c>
      <c r="C4605" t="s">
        <v>652</v>
      </c>
      <c r="D4605" t="s">
        <v>1363</v>
      </c>
      <c r="E4605" t="s">
        <v>187</v>
      </c>
      <c r="F4605">
        <v>2012</v>
      </c>
      <c r="G4605">
        <v>24.883199999999999</v>
      </c>
    </row>
    <row r="4606" spans="1:7">
      <c r="A4606" t="s">
        <v>1297</v>
      </c>
      <c r="B4606" t="s">
        <v>1298</v>
      </c>
      <c r="C4606" t="s">
        <v>660</v>
      </c>
      <c r="D4606" t="s">
        <v>1363</v>
      </c>
      <c r="E4606" t="s">
        <v>187</v>
      </c>
      <c r="F4606">
        <v>2005</v>
      </c>
      <c r="G4606">
        <v>3.3588</v>
      </c>
    </row>
    <row r="4607" spans="1:7">
      <c r="A4607" t="s">
        <v>1297</v>
      </c>
      <c r="B4607" t="s">
        <v>1298</v>
      </c>
      <c r="C4607" t="s">
        <v>660</v>
      </c>
      <c r="D4607" t="s">
        <v>1363</v>
      </c>
      <c r="E4607" t="s">
        <v>187</v>
      </c>
      <c r="F4607">
        <v>2010</v>
      </c>
      <c r="G4607">
        <v>18.784800000000001</v>
      </c>
    </row>
    <row r="4608" spans="1:7">
      <c r="A4608" t="s">
        <v>1297</v>
      </c>
      <c r="B4608" t="s">
        <v>1298</v>
      </c>
      <c r="C4608" t="s">
        <v>660</v>
      </c>
      <c r="D4608" t="s">
        <v>1363</v>
      </c>
      <c r="E4608" t="s">
        <v>187</v>
      </c>
      <c r="F4608">
        <v>2012</v>
      </c>
      <c r="G4608">
        <v>5.9219999999999997</v>
      </c>
    </row>
    <row r="4609" spans="1:7">
      <c r="A4609" t="s">
        <v>1297</v>
      </c>
      <c r="B4609" t="s">
        <v>1298</v>
      </c>
      <c r="C4609" t="s">
        <v>660</v>
      </c>
      <c r="D4609" t="s">
        <v>1363</v>
      </c>
      <c r="E4609" t="s">
        <v>187</v>
      </c>
      <c r="F4609">
        <v>2016</v>
      </c>
      <c r="G4609">
        <v>11.372400000000001</v>
      </c>
    </row>
    <row r="4610" spans="1:7">
      <c r="A4610" t="s">
        <v>1297</v>
      </c>
      <c r="B4610" t="s">
        <v>1298</v>
      </c>
      <c r="C4610" t="s">
        <v>660</v>
      </c>
      <c r="D4610" t="s">
        <v>1363</v>
      </c>
      <c r="E4610" t="s">
        <v>187</v>
      </c>
      <c r="F4610">
        <v>2020</v>
      </c>
      <c r="G4610">
        <v>14.025600000000001</v>
      </c>
    </row>
    <row r="4611" spans="1:7">
      <c r="A4611" t="s">
        <v>1297</v>
      </c>
      <c r="B4611" t="s">
        <v>1298</v>
      </c>
      <c r="C4611" t="s">
        <v>659</v>
      </c>
      <c r="D4611" t="s">
        <v>1363</v>
      </c>
      <c r="E4611" t="s">
        <v>187</v>
      </c>
      <c r="F4611">
        <v>2005</v>
      </c>
      <c r="G4611">
        <v>41.597999999999999</v>
      </c>
    </row>
    <row r="4612" spans="1:7">
      <c r="A4612" t="s">
        <v>1297</v>
      </c>
      <c r="B4612" t="s">
        <v>1298</v>
      </c>
      <c r="C4612" t="s">
        <v>659</v>
      </c>
      <c r="D4612" t="s">
        <v>1363</v>
      </c>
      <c r="E4612" t="s">
        <v>187</v>
      </c>
      <c r="F4612">
        <v>2010</v>
      </c>
      <c r="G4612">
        <v>48.740400000000001</v>
      </c>
    </row>
    <row r="4613" spans="1:7">
      <c r="A4613" t="s">
        <v>1297</v>
      </c>
      <c r="B4613" t="s">
        <v>1298</v>
      </c>
      <c r="C4613" t="s">
        <v>659</v>
      </c>
      <c r="D4613" t="s">
        <v>1363</v>
      </c>
      <c r="E4613" t="s">
        <v>187</v>
      </c>
      <c r="F4613">
        <v>2012</v>
      </c>
      <c r="G4613">
        <v>68.349599999999995</v>
      </c>
    </row>
    <row r="4614" spans="1:7">
      <c r="A4614" t="s">
        <v>1297</v>
      </c>
      <c r="B4614" t="s">
        <v>1298</v>
      </c>
      <c r="C4614" t="s">
        <v>659</v>
      </c>
      <c r="D4614" t="s">
        <v>1363</v>
      </c>
      <c r="E4614" t="s">
        <v>187</v>
      </c>
      <c r="F4614">
        <v>2016</v>
      </c>
      <c r="G4614">
        <v>51.040799999999997</v>
      </c>
    </row>
    <row r="4615" spans="1:7">
      <c r="A4615" t="s">
        <v>1297</v>
      </c>
      <c r="B4615" t="s">
        <v>1298</v>
      </c>
      <c r="C4615" t="s">
        <v>659</v>
      </c>
      <c r="D4615" t="s">
        <v>1363</v>
      </c>
      <c r="E4615" t="s">
        <v>187</v>
      </c>
      <c r="F4615">
        <v>2020</v>
      </c>
      <c r="G4615">
        <v>42.690649999999998</v>
      </c>
    </row>
    <row r="4616" spans="1:7">
      <c r="A4616" t="s">
        <v>1297</v>
      </c>
      <c r="B4616" t="s">
        <v>1298</v>
      </c>
      <c r="C4616" t="s">
        <v>655</v>
      </c>
      <c r="D4616" t="s">
        <v>1363</v>
      </c>
      <c r="E4616" t="s">
        <v>187</v>
      </c>
      <c r="F4616">
        <v>2005</v>
      </c>
      <c r="G4616">
        <v>89.945999999999998</v>
      </c>
    </row>
    <row r="4617" spans="1:7">
      <c r="A4617" t="s">
        <v>1297</v>
      </c>
      <c r="B4617" t="s">
        <v>1298</v>
      </c>
      <c r="C4617" t="s">
        <v>655</v>
      </c>
      <c r="D4617" t="s">
        <v>1363</v>
      </c>
      <c r="E4617" t="s">
        <v>187</v>
      </c>
      <c r="F4617">
        <v>2010</v>
      </c>
      <c r="G4617">
        <v>77.724000000000004</v>
      </c>
    </row>
    <row r="4618" spans="1:7">
      <c r="A4618" t="s">
        <v>1297</v>
      </c>
      <c r="B4618" t="s">
        <v>1298</v>
      </c>
      <c r="C4618" t="s">
        <v>655</v>
      </c>
      <c r="D4618" t="s">
        <v>1363</v>
      </c>
      <c r="E4618" t="s">
        <v>187</v>
      </c>
      <c r="F4618">
        <v>2012</v>
      </c>
      <c r="G4618">
        <v>103.34520000000001</v>
      </c>
    </row>
    <row r="4619" spans="1:7">
      <c r="A4619" t="s">
        <v>1297</v>
      </c>
      <c r="B4619" t="s">
        <v>1298</v>
      </c>
      <c r="C4619" t="s">
        <v>655</v>
      </c>
      <c r="D4619" t="s">
        <v>1363</v>
      </c>
      <c r="E4619" t="s">
        <v>187</v>
      </c>
      <c r="F4619">
        <v>2016</v>
      </c>
      <c r="G4619">
        <v>89.247600000000006</v>
      </c>
    </row>
    <row r="4620" spans="1:7">
      <c r="A4620" t="s">
        <v>1297</v>
      </c>
      <c r="B4620" t="s">
        <v>1298</v>
      </c>
      <c r="C4620" t="s">
        <v>655</v>
      </c>
      <c r="D4620" t="s">
        <v>1363</v>
      </c>
      <c r="E4620" t="s">
        <v>187</v>
      </c>
      <c r="F4620">
        <v>2020</v>
      </c>
      <c r="G4620">
        <v>86.842140999999998</v>
      </c>
    </row>
    <row r="4621" spans="1:7">
      <c r="A4621" t="s">
        <v>1297</v>
      </c>
      <c r="B4621" t="s">
        <v>1298</v>
      </c>
      <c r="C4621" t="s">
        <v>675</v>
      </c>
      <c r="D4621" t="s">
        <v>1363</v>
      </c>
      <c r="E4621" t="s">
        <v>187</v>
      </c>
      <c r="F4621">
        <v>2005</v>
      </c>
      <c r="G4621">
        <v>34.801200000000001</v>
      </c>
    </row>
    <row r="4622" spans="1:7">
      <c r="A4622" t="s">
        <v>1297</v>
      </c>
      <c r="B4622" t="s">
        <v>1298</v>
      </c>
      <c r="C4622" t="s">
        <v>675</v>
      </c>
      <c r="D4622" t="s">
        <v>1363</v>
      </c>
      <c r="E4622" t="s">
        <v>187</v>
      </c>
      <c r="F4622">
        <v>2010</v>
      </c>
      <c r="G4622">
        <v>38.682000000000002</v>
      </c>
    </row>
    <row r="4623" spans="1:7">
      <c r="A4623" t="s">
        <v>1297</v>
      </c>
      <c r="B4623" t="s">
        <v>1298</v>
      </c>
      <c r="C4623" t="s">
        <v>675</v>
      </c>
      <c r="D4623" t="s">
        <v>1363</v>
      </c>
      <c r="E4623" t="s">
        <v>187</v>
      </c>
      <c r="F4623">
        <v>2012</v>
      </c>
      <c r="G4623">
        <v>30.567599999999999</v>
      </c>
    </row>
    <row r="4624" spans="1:7">
      <c r="A4624" t="s">
        <v>1297</v>
      </c>
      <c r="B4624" t="s">
        <v>1298</v>
      </c>
      <c r="C4624" t="s">
        <v>675</v>
      </c>
      <c r="D4624" t="s">
        <v>1363</v>
      </c>
      <c r="E4624" t="s">
        <v>187</v>
      </c>
      <c r="F4624">
        <v>2016</v>
      </c>
      <c r="G4624">
        <v>34.326000000000001</v>
      </c>
    </row>
    <row r="4625" spans="1:7">
      <c r="A4625" t="s">
        <v>1297</v>
      </c>
      <c r="B4625" t="s">
        <v>1298</v>
      </c>
      <c r="C4625" t="s">
        <v>675</v>
      </c>
      <c r="D4625" t="s">
        <v>1363</v>
      </c>
      <c r="E4625" t="s">
        <v>187</v>
      </c>
      <c r="F4625">
        <v>2020</v>
      </c>
      <c r="G4625">
        <v>33.623384000000001</v>
      </c>
    </row>
    <row r="4626" spans="1:7">
      <c r="A4626" t="s">
        <v>1297</v>
      </c>
      <c r="B4626" t="s">
        <v>1298</v>
      </c>
      <c r="C4626" t="s">
        <v>670</v>
      </c>
      <c r="D4626" t="s">
        <v>1363</v>
      </c>
      <c r="E4626" t="s">
        <v>187</v>
      </c>
      <c r="F4626">
        <v>2005</v>
      </c>
      <c r="G4626">
        <v>19.4328</v>
      </c>
    </row>
    <row r="4627" spans="1:7">
      <c r="A4627" t="s">
        <v>1297</v>
      </c>
      <c r="B4627" t="s">
        <v>1298</v>
      </c>
      <c r="C4627" t="s">
        <v>670</v>
      </c>
      <c r="D4627" t="s">
        <v>1363</v>
      </c>
      <c r="E4627" t="s">
        <v>187</v>
      </c>
      <c r="F4627">
        <v>2010</v>
      </c>
      <c r="G4627">
        <v>46.108800000000002</v>
      </c>
    </row>
    <row r="4628" spans="1:7">
      <c r="A4628" t="s">
        <v>1297</v>
      </c>
      <c r="B4628" t="s">
        <v>1298</v>
      </c>
      <c r="C4628" t="s">
        <v>670</v>
      </c>
      <c r="D4628" t="s">
        <v>1363</v>
      </c>
      <c r="E4628" t="s">
        <v>187</v>
      </c>
      <c r="F4628">
        <v>2012</v>
      </c>
      <c r="G4628">
        <v>54.165103000000002</v>
      </c>
    </row>
    <row r="4629" spans="1:7">
      <c r="A4629" t="s">
        <v>1297</v>
      </c>
      <c r="B4629" t="s">
        <v>1298</v>
      </c>
      <c r="C4629" t="s">
        <v>670</v>
      </c>
      <c r="D4629" t="s">
        <v>1363</v>
      </c>
      <c r="E4629" t="s">
        <v>187</v>
      </c>
      <c r="F4629">
        <v>2016</v>
      </c>
      <c r="G4629">
        <v>69.635713999999993</v>
      </c>
    </row>
    <row r="4630" spans="1:7">
      <c r="A4630" t="s">
        <v>1297</v>
      </c>
      <c r="B4630" t="s">
        <v>1298</v>
      </c>
      <c r="C4630" t="s">
        <v>670</v>
      </c>
      <c r="D4630" t="s">
        <v>1363</v>
      </c>
      <c r="E4630" t="s">
        <v>187</v>
      </c>
      <c r="F4630">
        <v>2020</v>
      </c>
      <c r="G4630">
        <v>70.371431999999999</v>
      </c>
    </row>
    <row r="4631" spans="1:7">
      <c r="A4631" t="s">
        <v>1297</v>
      </c>
      <c r="B4631" t="s">
        <v>1298</v>
      </c>
      <c r="C4631" t="s">
        <v>665</v>
      </c>
      <c r="D4631" t="s">
        <v>1363</v>
      </c>
      <c r="E4631" t="s">
        <v>187</v>
      </c>
      <c r="F4631">
        <v>2005</v>
      </c>
      <c r="G4631">
        <v>3.9923999999999999</v>
      </c>
    </row>
    <row r="4632" spans="1:7">
      <c r="A4632" t="s">
        <v>1297</v>
      </c>
      <c r="B4632" t="s">
        <v>1298</v>
      </c>
      <c r="C4632" t="s">
        <v>665</v>
      </c>
      <c r="D4632" t="s">
        <v>1363</v>
      </c>
      <c r="E4632" t="s">
        <v>187</v>
      </c>
      <c r="F4632">
        <v>2010</v>
      </c>
      <c r="G4632">
        <v>6.5772000000000004</v>
      </c>
    </row>
    <row r="4633" spans="1:7">
      <c r="A4633" t="s">
        <v>1297</v>
      </c>
      <c r="B4633" t="s">
        <v>1298</v>
      </c>
      <c r="C4633" t="s">
        <v>665</v>
      </c>
      <c r="D4633" t="s">
        <v>1363</v>
      </c>
      <c r="E4633" t="s">
        <v>187</v>
      </c>
      <c r="F4633">
        <v>2012</v>
      </c>
      <c r="G4633">
        <v>8.2943999999999996</v>
      </c>
    </row>
    <row r="4634" spans="1:7">
      <c r="A4634" t="s">
        <v>1297</v>
      </c>
      <c r="B4634" t="s">
        <v>1298</v>
      </c>
      <c r="C4634" t="s">
        <v>665</v>
      </c>
      <c r="D4634" t="s">
        <v>1363</v>
      </c>
      <c r="E4634" t="s">
        <v>187</v>
      </c>
      <c r="F4634">
        <v>2016</v>
      </c>
      <c r="G4634">
        <v>22.154399999999999</v>
      </c>
    </row>
    <row r="4635" spans="1:7">
      <c r="A4635" t="s">
        <v>1297</v>
      </c>
      <c r="B4635" t="s">
        <v>1298</v>
      </c>
      <c r="C4635" t="s">
        <v>665</v>
      </c>
      <c r="D4635" t="s">
        <v>1363</v>
      </c>
      <c r="E4635" t="s">
        <v>187</v>
      </c>
      <c r="F4635">
        <v>2020</v>
      </c>
      <c r="G4635">
        <v>21.001345000000001</v>
      </c>
    </row>
    <row r="4636" spans="1:7">
      <c r="A4636" t="s">
        <v>1297</v>
      </c>
      <c r="B4636" t="s">
        <v>1298</v>
      </c>
      <c r="C4636" t="s">
        <v>1301</v>
      </c>
      <c r="D4636" t="s">
        <v>1363</v>
      </c>
      <c r="E4636" t="s">
        <v>187</v>
      </c>
      <c r="F4636">
        <v>2005</v>
      </c>
      <c r="G4636">
        <v>6.4728000000000003</v>
      </c>
    </row>
    <row r="4637" spans="1:7">
      <c r="A4637" t="s">
        <v>1297</v>
      </c>
      <c r="B4637" t="s">
        <v>1298</v>
      </c>
      <c r="C4637" t="s">
        <v>1301</v>
      </c>
      <c r="D4637" t="s">
        <v>1363</v>
      </c>
      <c r="E4637" t="s">
        <v>187</v>
      </c>
      <c r="F4637">
        <v>2010</v>
      </c>
      <c r="G4637">
        <v>6.9047999999999998</v>
      </c>
    </row>
    <row r="4638" spans="1:7">
      <c r="A4638" t="s">
        <v>1297</v>
      </c>
      <c r="B4638" t="s">
        <v>1298</v>
      </c>
      <c r="C4638" t="s">
        <v>1301</v>
      </c>
      <c r="D4638" t="s">
        <v>1363</v>
      </c>
      <c r="E4638" t="s">
        <v>187</v>
      </c>
      <c r="F4638">
        <v>2012</v>
      </c>
      <c r="G4638">
        <v>10.634399999999999</v>
      </c>
    </row>
    <row r="4639" spans="1:7">
      <c r="A4639" t="s">
        <v>1297</v>
      </c>
      <c r="B4639" t="s">
        <v>1298</v>
      </c>
      <c r="C4639" t="s">
        <v>1301</v>
      </c>
      <c r="D4639" t="s">
        <v>1363</v>
      </c>
      <c r="E4639" t="s">
        <v>187</v>
      </c>
      <c r="F4639">
        <v>2016</v>
      </c>
      <c r="G4639">
        <v>5.2271999999999998</v>
      </c>
    </row>
    <row r="4640" spans="1:7">
      <c r="A4640" t="s">
        <v>1297</v>
      </c>
      <c r="B4640" t="s">
        <v>1298</v>
      </c>
      <c r="C4640" t="s">
        <v>1301</v>
      </c>
      <c r="D4640" t="s">
        <v>1363</v>
      </c>
      <c r="E4640" t="s">
        <v>187</v>
      </c>
      <c r="F4640">
        <v>2020</v>
      </c>
      <c r="G4640">
        <v>10.039201</v>
      </c>
    </row>
    <row r="4641" spans="1:7">
      <c r="A4641" t="s">
        <v>1297</v>
      </c>
      <c r="B4641" t="s">
        <v>1298</v>
      </c>
      <c r="C4641" t="s">
        <v>664</v>
      </c>
      <c r="D4641" t="s">
        <v>1363</v>
      </c>
      <c r="E4641" t="s">
        <v>187</v>
      </c>
      <c r="F4641">
        <v>2005</v>
      </c>
      <c r="G4641">
        <v>4.5360000000000001E-3</v>
      </c>
    </row>
    <row r="4642" spans="1:7">
      <c r="A4642" t="s">
        <v>1297</v>
      </c>
      <c r="B4642" t="s">
        <v>1298</v>
      </c>
      <c r="C4642" t="s">
        <v>664</v>
      </c>
      <c r="D4642" t="s">
        <v>1363</v>
      </c>
      <c r="E4642" t="s">
        <v>187</v>
      </c>
      <c r="F4642">
        <v>2010</v>
      </c>
      <c r="G4642">
        <v>1.0424199999999999</v>
      </c>
    </row>
    <row r="4643" spans="1:7">
      <c r="A4643" t="s">
        <v>1297</v>
      </c>
      <c r="B4643" t="s">
        <v>1298</v>
      </c>
      <c r="C4643" t="s">
        <v>664</v>
      </c>
      <c r="D4643" t="s">
        <v>1363</v>
      </c>
      <c r="E4643" t="s">
        <v>187</v>
      </c>
      <c r="F4643">
        <v>2012</v>
      </c>
      <c r="G4643">
        <v>1.332468</v>
      </c>
    </row>
    <row r="4644" spans="1:7">
      <c r="A4644" t="s">
        <v>1297</v>
      </c>
      <c r="B4644" t="s">
        <v>1298</v>
      </c>
      <c r="C4644" t="s">
        <v>664</v>
      </c>
      <c r="D4644" t="s">
        <v>1363</v>
      </c>
      <c r="E4644" t="s">
        <v>187</v>
      </c>
      <c r="F4644">
        <v>2016</v>
      </c>
      <c r="G4644">
        <v>5.6988399999999997</v>
      </c>
    </row>
    <row r="4645" spans="1:7">
      <c r="A4645" t="s">
        <v>1297</v>
      </c>
      <c r="B4645" t="s">
        <v>1298</v>
      </c>
      <c r="C4645" t="s">
        <v>664</v>
      </c>
      <c r="D4645" t="s">
        <v>1363</v>
      </c>
      <c r="E4645" t="s">
        <v>187</v>
      </c>
      <c r="F4645">
        <v>2020</v>
      </c>
      <c r="G4645">
        <v>5.5261399999999998</v>
      </c>
    </row>
    <row r="4646" spans="1:7">
      <c r="A4646" t="s">
        <v>1297</v>
      </c>
      <c r="B4646" t="s">
        <v>1298</v>
      </c>
      <c r="C4646" t="s">
        <v>674</v>
      </c>
      <c r="D4646" t="s">
        <v>1363</v>
      </c>
      <c r="E4646" t="s">
        <v>187</v>
      </c>
      <c r="F4646">
        <v>2005</v>
      </c>
      <c r="G4646">
        <v>79.084800000000001</v>
      </c>
    </row>
    <row r="4647" spans="1:7">
      <c r="A4647" t="s">
        <v>1297</v>
      </c>
      <c r="B4647" t="s">
        <v>1298</v>
      </c>
      <c r="C4647" t="s">
        <v>674</v>
      </c>
      <c r="D4647" t="s">
        <v>1363</v>
      </c>
      <c r="E4647" t="s">
        <v>187</v>
      </c>
      <c r="F4647">
        <v>2010</v>
      </c>
      <c r="G4647">
        <v>46.270800000000001</v>
      </c>
    </row>
    <row r="4648" spans="1:7">
      <c r="A4648" t="s">
        <v>1297</v>
      </c>
      <c r="B4648" t="s">
        <v>1298</v>
      </c>
      <c r="C4648" t="s">
        <v>674</v>
      </c>
      <c r="D4648" t="s">
        <v>1363</v>
      </c>
      <c r="E4648" t="s">
        <v>187</v>
      </c>
      <c r="F4648">
        <v>2012</v>
      </c>
      <c r="G4648">
        <v>112.518</v>
      </c>
    </row>
    <row r="4649" spans="1:7">
      <c r="A4649" t="s">
        <v>1297</v>
      </c>
      <c r="B4649" t="s">
        <v>1298</v>
      </c>
      <c r="C4649" t="s">
        <v>674</v>
      </c>
      <c r="D4649" t="s">
        <v>1363</v>
      </c>
      <c r="E4649" t="s">
        <v>187</v>
      </c>
      <c r="F4649">
        <v>2016</v>
      </c>
      <c r="G4649">
        <v>93.679199999999994</v>
      </c>
    </row>
    <row r="4650" spans="1:7">
      <c r="A4650" t="s">
        <v>1297</v>
      </c>
      <c r="B4650" t="s">
        <v>1298</v>
      </c>
      <c r="C4650" t="s">
        <v>674</v>
      </c>
      <c r="D4650" t="s">
        <v>1363</v>
      </c>
      <c r="E4650" t="s">
        <v>187</v>
      </c>
      <c r="F4650">
        <v>2020</v>
      </c>
      <c r="G4650">
        <v>126.83159999999999</v>
      </c>
    </row>
    <row r="4651" spans="1:7">
      <c r="A4651" t="s">
        <v>1297</v>
      </c>
      <c r="B4651" t="s">
        <v>1298</v>
      </c>
      <c r="C4651" t="s">
        <v>1299</v>
      </c>
      <c r="D4651" t="s">
        <v>1363</v>
      </c>
      <c r="E4651" t="s">
        <v>187</v>
      </c>
      <c r="F4651">
        <v>2005</v>
      </c>
      <c r="G4651">
        <v>36.244799999999998</v>
      </c>
    </row>
    <row r="4652" spans="1:7">
      <c r="A4652" t="s">
        <v>1297</v>
      </c>
      <c r="B4652" t="s">
        <v>1298</v>
      </c>
      <c r="C4652" t="s">
        <v>1299</v>
      </c>
      <c r="D4652" t="s">
        <v>1363</v>
      </c>
      <c r="E4652" t="s">
        <v>187</v>
      </c>
      <c r="F4652">
        <v>2010</v>
      </c>
      <c r="G4652">
        <v>14.6808</v>
      </c>
    </row>
    <row r="4653" spans="1:7">
      <c r="A4653" t="s">
        <v>1297</v>
      </c>
      <c r="B4653" t="s">
        <v>1298</v>
      </c>
      <c r="C4653" t="s">
        <v>1299</v>
      </c>
      <c r="D4653" t="s">
        <v>1363</v>
      </c>
      <c r="E4653" t="s">
        <v>187</v>
      </c>
      <c r="F4653">
        <v>2012</v>
      </c>
      <c r="G4653">
        <v>41.619599999999998</v>
      </c>
    </row>
    <row r="4654" spans="1:7">
      <c r="A4654" t="s">
        <v>1297</v>
      </c>
      <c r="B4654" t="s">
        <v>1298</v>
      </c>
      <c r="C4654" t="s">
        <v>1299</v>
      </c>
      <c r="D4654" t="s">
        <v>1363</v>
      </c>
      <c r="E4654" t="s">
        <v>187</v>
      </c>
      <c r="F4654">
        <v>2016</v>
      </c>
      <c r="G4654">
        <v>13.788</v>
      </c>
    </row>
    <row r="4655" spans="1:7">
      <c r="A4655" t="s">
        <v>1297</v>
      </c>
      <c r="B4655" t="s">
        <v>1298</v>
      </c>
      <c r="C4655" t="s">
        <v>1299</v>
      </c>
      <c r="D4655" t="s">
        <v>1363</v>
      </c>
      <c r="E4655" t="s">
        <v>187</v>
      </c>
      <c r="F4655">
        <v>2020</v>
      </c>
      <c r="G4655">
        <v>22.61844</v>
      </c>
    </row>
    <row r="4656" spans="1:7">
      <c r="A4656" t="s">
        <v>1297</v>
      </c>
      <c r="B4656" t="s">
        <v>1298</v>
      </c>
      <c r="C4656" t="s">
        <v>651</v>
      </c>
      <c r="D4656" t="s">
        <v>1363</v>
      </c>
      <c r="E4656" t="s">
        <v>187</v>
      </c>
      <c r="F4656">
        <v>2005</v>
      </c>
      <c r="G4656">
        <v>63.835250000000002</v>
      </c>
    </row>
    <row r="4657" spans="1:7">
      <c r="A4657" t="s">
        <v>1297</v>
      </c>
      <c r="B4657" t="s">
        <v>1298</v>
      </c>
      <c r="C4657" t="s">
        <v>651</v>
      </c>
      <c r="D4657" t="s">
        <v>1363</v>
      </c>
      <c r="E4657" t="s">
        <v>187</v>
      </c>
      <c r="F4657">
        <v>2010</v>
      </c>
      <c r="G4657">
        <v>62.899465999999997</v>
      </c>
    </row>
    <row r="4658" spans="1:7">
      <c r="A4658" t="s">
        <v>1297</v>
      </c>
      <c r="B4658" t="s">
        <v>1298</v>
      </c>
      <c r="C4658" t="s">
        <v>651</v>
      </c>
      <c r="D4658" t="s">
        <v>1363</v>
      </c>
      <c r="E4658" t="s">
        <v>187</v>
      </c>
      <c r="F4658">
        <v>2012</v>
      </c>
      <c r="G4658">
        <v>74.256296000000006</v>
      </c>
    </row>
    <row r="4659" spans="1:7">
      <c r="A4659" t="s">
        <v>1297</v>
      </c>
      <c r="B4659" t="s">
        <v>1298</v>
      </c>
      <c r="C4659" t="s">
        <v>651</v>
      </c>
      <c r="D4659" t="s">
        <v>1363</v>
      </c>
      <c r="E4659" t="s">
        <v>187</v>
      </c>
      <c r="F4659">
        <v>2016</v>
      </c>
      <c r="G4659">
        <v>69.144800000000004</v>
      </c>
    </row>
    <row r="4660" spans="1:7">
      <c r="A4660" t="s">
        <v>1297</v>
      </c>
      <c r="B4660" t="s">
        <v>1298</v>
      </c>
      <c r="C4660" t="s">
        <v>651</v>
      </c>
      <c r="D4660" t="s">
        <v>1363</v>
      </c>
      <c r="E4660" t="s">
        <v>187</v>
      </c>
      <c r="F4660">
        <v>2020</v>
      </c>
      <c r="G4660">
        <v>82.505750000000006</v>
      </c>
    </row>
    <row r="4661" spans="1:7">
      <c r="A4661" t="s">
        <v>1297</v>
      </c>
      <c r="B4661" t="s">
        <v>1298</v>
      </c>
      <c r="C4661" t="s">
        <v>658</v>
      </c>
      <c r="D4661" t="s">
        <v>1363</v>
      </c>
      <c r="E4661" t="s">
        <v>187</v>
      </c>
      <c r="F4661">
        <v>2005</v>
      </c>
      <c r="G4661">
        <v>7.0308000000000002</v>
      </c>
    </row>
    <row r="4662" spans="1:7">
      <c r="A4662" t="s">
        <v>1297</v>
      </c>
      <c r="B4662" t="s">
        <v>1298</v>
      </c>
      <c r="C4662" t="s">
        <v>658</v>
      </c>
      <c r="D4662" t="s">
        <v>1363</v>
      </c>
      <c r="E4662" t="s">
        <v>187</v>
      </c>
      <c r="F4662">
        <v>2010</v>
      </c>
      <c r="G4662">
        <v>15.6744</v>
      </c>
    </row>
    <row r="4663" spans="1:7">
      <c r="A4663" t="s">
        <v>1297</v>
      </c>
      <c r="B4663" t="s">
        <v>1298</v>
      </c>
      <c r="C4663" t="s">
        <v>658</v>
      </c>
      <c r="D4663" t="s">
        <v>1363</v>
      </c>
      <c r="E4663" t="s">
        <v>187</v>
      </c>
      <c r="F4663">
        <v>2012</v>
      </c>
      <c r="G4663">
        <v>17.82</v>
      </c>
    </row>
    <row r="4664" spans="1:7">
      <c r="A4664" t="s">
        <v>1297</v>
      </c>
      <c r="B4664" t="s">
        <v>1298</v>
      </c>
      <c r="C4664" t="s">
        <v>658</v>
      </c>
      <c r="D4664" t="s">
        <v>1363</v>
      </c>
      <c r="E4664" t="s">
        <v>187</v>
      </c>
      <c r="F4664">
        <v>2016</v>
      </c>
      <c r="G4664">
        <v>20.2104</v>
      </c>
    </row>
    <row r="4665" spans="1:7">
      <c r="A4665" t="s">
        <v>1297</v>
      </c>
      <c r="B4665" t="s">
        <v>1298</v>
      </c>
      <c r="C4665" t="s">
        <v>658</v>
      </c>
      <c r="D4665" t="s">
        <v>1363</v>
      </c>
      <c r="E4665" t="s">
        <v>187</v>
      </c>
      <c r="F4665">
        <v>2020</v>
      </c>
      <c r="G4665">
        <v>9.7344000000000008</v>
      </c>
    </row>
    <row r="4666" spans="1:7">
      <c r="A4666" t="s">
        <v>1297</v>
      </c>
      <c r="B4666" t="s">
        <v>1298</v>
      </c>
      <c r="C4666" t="s">
        <v>668</v>
      </c>
      <c r="D4666" t="s">
        <v>1363</v>
      </c>
      <c r="E4666" t="s">
        <v>187</v>
      </c>
      <c r="F4666">
        <v>2005</v>
      </c>
      <c r="G4666">
        <v>2.5451999999999999</v>
      </c>
    </row>
    <row r="4667" spans="1:7">
      <c r="A4667" t="s">
        <v>1297</v>
      </c>
      <c r="B4667" t="s">
        <v>1298</v>
      </c>
      <c r="C4667" t="s">
        <v>668</v>
      </c>
      <c r="D4667" t="s">
        <v>1363</v>
      </c>
      <c r="E4667" t="s">
        <v>187</v>
      </c>
      <c r="F4667">
        <v>2010</v>
      </c>
      <c r="G4667">
        <v>11.16</v>
      </c>
    </row>
    <row r="4668" spans="1:7">
      <c r="A4668" t="s">
        <v>1297</v>
      </c>
      <c r="B4668" t="s">
        <v>1298</v>
      </c>
      <c r="C4668" t="s">
        <v>668</v>
      </c>
      <c r="D4668" t="s">
        <v>1363</v>
      </c>
      <c r="E4668" t="s">
        <v>187</v>
      </c>
      <c r="F4668">
        <v>2012</v>
      </c>
      <c r="G4668">
        <v>11.6784</v>
      </c>
    </row>
    <row r="4669" spans="1:7">
      <c r="A4669" t="s">
        <v>1297</v>
      </c>
      <c r="B4669" t="s">
        <v>1298</v>
      </c>
      <c r="C4669" t="s">
        <v>668</v>
      </c>
      <c r="D4669" t="s">
        <v>1363</v>
      </c>
      <c r="E4669" t="s">
        <v>187</v>
      </c>
      <c r="F4669">
        <v>2016</v>
      </c>
      <c r="G4669">
        <v>13.662000000000001</v>
      </c>
    </row>
    <row r="4670" spans="1:7">
      <c r="A4670" t="s">
        <v>1297</v>
      </c>
      <c r="B4670" t="s">
        <v>1298</v>
      </c>
      <c r="C4670" t="s">
        <v>668</v>
      </c>
      <c r="D4670" t="s">
        <v>1363</v>
      </c>
      <c r="E4670" t="s">
        <v>187</v>
      </c>
      <c r="F4670">
        <v>2020</v>
      </c>
      <c r="G4670">
        <v>12.573658999999999</v>
      </c>
    </row>
    <row r="4671" spans="1:7">
      <c r="A4671" t="s">
        <v>1297</v>
      </c>
      <c r="B4671" t="s">
        <v>1298</v>
      </c>
      <c r="C4671" t="s">
        <v>656</v>
      </c>
      <c r="D4671" t="s">
        <v>1363</v>
      </c>
      <c r="E4671" t="s">
        <v>187</v>
      </c>
      <c r="F4671">
        <v>2005</v>
      </c>
      <c r="G4671">
        <v>221.13720000000001</v>
      </c>
    </row>
    <row r="4672" spans="1:7">
      <c r="A4672" t="s">
        <v>1297</v>
      </c>
      <c r="B4672" t="s">
        <v>1298</v>
      </c>
      <c r="C4672" t="s">
        <v>656</v>
      </c>
      <c r="D4672" t="s">
        <v>1363</v>
      </c>
      <c r="E4672" t="s">
        <v>187</v>
      </c>
      <c r="F4672">
        <v>2010</v>
      </c>
      <c r="G4672">
        <v>208.50120000000001</v>
      </c>
    </row>
    <row r="4673" spans="1:7">
      <c r="A4673" t="s">
        <v>1297</v>
      </c>
      <c r="B4673" t="s">
        <v>1298</v>
      </c>
      <c r="C4673" t="s">
        <v>656</v>
      </c>
      <c r="D4673" t="s">
        <v>1363</v>
      </c>
      <c r="E4673" t="s">
        <v>187</v>
      </c>
      <c r="F4673">
        <v>2012</v>
      </c>
      <c r="G4673">
        <v>240.51599999999999</v>
      </c>
    </row>
    <row r="4674" spans="1:7">
      <c r="A4674" t="s">
        <v>1297</v>
      </c>
      <c r="B4674" t="s">
        <v>1298</v>
      </c>
      <c r="C4674" t="s">
        <v>656</v>
      </c>
      <c r="D4674" t="s">
        <v>1363</v>
      </c>
      <c r="E4674" t="s">
        <v>187</v>
      </c>
      <c r="F4674">
        <v>2016</v>
      </c>
      <c r="G4674">
        <v>283.90679999999998</v>
      </c>
    </row>
    <row r="4675" spans="1:7">
      <c r="A4675" t="s">
        <v>1297</v>
      </c>
      <c r="B4675" t="s">
        <v>1298</v>
      </c>
      <c r="C4675" t="s">
        <v>656</v>
      </c>
      <c r="D4675" t="s">
        <v>1363</v>
      </c>
      <c r="E4675" t="s">
        <v>187</v>
      </c>
      <c r="F4675">
        <v>2020</v>
      </c>
      <c r="G4675">
        <v>262.0548</v>
      </c>
    </row>
    <row r="4676" spans="1:7">
      <c r="A4676" t="s">
        <v>1297</v>
      </c>
      <c r="B4676" t="s">
        <v>1298</v>
      </c>
      <c r="C4676" t="s">
        <v>669</v>
      </c>
      <c r="D4676" t="s">
        <v>1363</v>
      </c>
      <c r="E4676" t="s">
        <v>187</v>
      </c>
      <c r="F4676">
        <v>2020</v>
      </c>
      <c r="G4676">
        <v>7.3623999999999995E-2</v>
      </c>
    </row>
    <row r="4677" spans="1:7">
      <c r="A4677" t="s">
        <v>1297</v>
      </c>
      <c r="B4677" t="s">
        <v>1298</v>
      </c>
      <c r="C4677" t="s">
        <v>677</v>
      </c>
      <c r="D4677" t="s">
        <v>1363</v>
      </c>
      <c r="E4677" t="s">
        <v>187</v>
      </c>
      <c r="F4677">
        <v>2005</v>
      </c>
      <c r="G4677">
        <v>10.2204</v>
      </c>
    </row>
    <row r="4678" spans="1:7">
      <c r="A4678" t="s">
        <v>1297</v>
      </c>
      <c r="B4678" t="s">
        <v>1298</v>
      </c>
      <c r="C4678" t="s">
        <v>677</v>
      </c>
      <c r="D4678" t="s">
        <v>1363</v>
      </c>
      <c r="E4678" t="s">
        <v>187</v>
      </c>
      <c r="F4678">
        <v>2010</v>
      </c>
      <c r="G4678">
        <v>16.135200000000001</v>
      </c>
    </row>
    <row r="4679" spans="1:7">
      <c r="A4679" t="s">
        <v>1297</v>
      </c>
      <c r="B4679" t="s">
        <v>1298</v>
      </c>
      <c r="C4679" t="s">
        <v>677</v>
      </c>
      <c r="D4679" t="s">
        <v>1363</v>
      </c>
      <c r="E4679" t="s">
        <v>187</v>
      </c>
      <c r="F4679">
        <v>2012</v>
      </c>
      <c r="G4679">
        <v>6.8795999999999999</v>
      </c>
    </row>
    <row r="4680" spans="1:7">
      <c r="A4680" t="s">
        <v>1297</v>
      </c>
      <c r="B4680" t="s">
        <v>1298</v>
      </c>
      <c r="C4680" t="s">
        <v>677</v>
      </c>
      <c r="D4680" t="s">
        <v>1363</v>
      </c>
      <c r="E4680" t="s">
        <v>187</v>
      </c>
      <c r="F4680">
        <v>2016</v>
      </c>
      <c r="G4680">
        <v>8.182321</v>
      </c>
    </row>
    <row r="4681" spans="1:7">
      <c r="A4681" t="s">
        <v>1297</v>
      </c>
      <c r="B4681" t="s">
        <v>1298</v>
      </c>
      <c r="C4681" t="s">
        <v>677</v>
      </c>
      <c r="D4681" t="s">
        <v>1363</v>
      </c>
      <c r="E4681" t="s">
        <v>187</v>
      </c>
      <c r="F4681">
        <v>2020</v>
      </c>
      <c r="G4681">
        <v>12.186420999999999</v>
      </c>
    </row>
    <row r="4682" spans="1:7">
      <c r="A4682" t="s">
        <v>1297</v>
      </c>
      <c r="B4682" t="s">
        <v>1298</v>
      </c>
      <c r="C4682" t="s">
        <v>685</v>
      </c>
      <c r="D4682" t="s">
        <v>1363</v>
      </c>
      <c r="E4682" t="s">
        <v>187</v>
      </c>
      <c r="F4682">
        <v>2012</v>
      </c>
      <c r="G4682">
        <v>0.25919999999999999</v>
      </c>
    </row>
    <row r="4683" spans="1:7">
      <c r="A4683" t="s">
        <v>1297</v>
      </c>
      <c r="B4683" t="s">
        <v>1298</v>
      </c>
      <c r="C4683" t="s">
        <v>685</v>
      </c>
      <c r="D4683" t="s">
        <v>1363</v>
      </c>
      <c r="E4683" t="s">
        <v>187</v>
      </c>
      <c r="F4683">
        <v>2016</v>
      </c>
      <c r="G4683">
        <v>0.57547099999999995</v>
      </c>
    </row>
    <row r="4684" spans="1:7">
      <c r="A4684" t="s">
        <v>1297</v>
      </c>
      <c r="B4684" t="s">
        <v>1298</v>
      </c>
      <c r="C4684" t="s">
        <v>685</v>
      </c>
      <c r="D4684" t="s">
        <v>1363</v>
      </c>
      <c r="E4684" t="s">
        <v>187</v>
      </c>
      <c r="F4684">
        <v>2020</v>
      </c>
      <c r="G4684">
        <v>2.098868</v>
      </c>
    </row>
    <row r="4685" spans="1:7">
      <c r="A4685" t="s">
        <v>1297</v>
      </c>
      <c r="B4685" t="s">
        <v>1298</v>
      </c>
      <c r="C4685" t="s">
        <v>679</v>
      </c>
      <c r="D4685" t="s">
        <v>1363</v>
      </c>
      <c r="E4685" t="s">
        <v>187</v>
      </c>
      <c r="F4685">
        <v>2005</v>
      </c>
      <c r="G4685">
        <v>56.502000000000002</v>
      </c>
    </row>
    <row r="4686" spans="1:7">
      <c r="A4686" t="s">
        <v>1297</v>
      </c>
      <c r="B4686" t="s">
        <v>1298</v>
      </c>
      <c r="C4686" t="s">
        <v>679</v>
      </c>
      <c r="D4686" t="s">
        <v>1363</v>
      </c>
      <c r="E4686" t="s">
        <v>187</v>
      </c>
      <c r="F4686">
        <v>2010</v>
      </c>
      <c r="G4686">
        <v>25.6464</v>
      </c>
    </row>
    <row r="4687" spans="1:7">
      <c r="A4687" t="s">
        <v>1297</v>
      </c>
      <c r="B4687" t="s">
        <v>1298</v>
      </c>
      <c r="C4687" t="s">
        <v>679</v>
      </c>
      <c r="D4687" t="s">
        <v>1363</v>
      </c>
      <c r="E4687" t="s">
        <v>187</v>
      </c>
      <c r="F4687">
        <v>2012</v>
      </c>
      <c r="G4687">
        <v>79.221599999999995</v>
      </c>
    </row>
    <row r="4688" spans="1:7">
      <c r="A4688" t="s">
        <v>1297</v>
      </c>
      <c r="B4688" t="s">
        <v>1298</v>
      </c>
      <c r="C4688" t="s">
        <v>679</v>
      </c>
      <c r="D4688" t="s">
        <v>1363</v>
      </c>
      <c r="E4688" t="s">
        <v>187</v>
      </c>
      <c r="F4688">
        <v>2016</v>
      </c>
      <c r="G4688">
        <v>79.743600000000001</v>
      </c>
    </row>
    <row r="4689" spans="1:7">
      <c r="A4689" t="s">
        <v>1297</v>
      </c>
      <c r="B4689" t="s">
        <v>1298</v>
      </c>
      <c r="C4689" t="s">
        <v>679</v>
      </c>
      <c r="D4689" t="s">
        <v>1363</v>
      </c>
      <c r="E4689" t="s">
        <v>187</v>
      </c>
      <c r="F4689">
        <v>2020</v>
      </c>
      <c r="G4689">
        <v>44.312399999999997</v>
      </c>
    </row>
    <row r="4690" spans="1:7">
      <c r="A4690" t="s">
        <v>1297</v>
      </c>
      <c r="B4690" t="s">
        <v>1298</v>
      </c>
      <c r="C4690" t="s">
        <v>663</v>
      </c>
      <c r="D4690" t="s">
        <v>1363</v>
      </c>
      <c r="E4690" t="s">
        <v>187</v>
      </c>
      <c r="F4690">
        <v>2005</v>
      </c>
      <c r="G4690">
        <v>33.875999999999998</v>
      </c>
    </row>
    <row r="4691" spans="1:7">
      <c r="A4691" t="s">
        <v>1297</v>
      </c>
      <c r="B4691" t="s">
        <v>1298</v>
      </c>
      <c r="C4691" t="s">
        <v>663</v>
      </c>
      <c r="D4691" t="s">
        <v>1363</v>
      </c>
      <c r="E4691" t="s">
        <v>187</v>
      </c>
      <c r="F4691">
        <v>2010</v>
      </c>
      <c r="G4691">
        <v>16.927199999999999</v>
      </c>
    </row>
    <row r="4692" spans="1:7">
      <c r="A4692" t="s">
        <v>1297</v>
      </c>
      <c r="B4692" t="s">
        <v>1298</v>
      </c>
      <c r="C4692" t="s">
        <v>663</v>
      </c>
      <c r="D4692" t="s">
        <v>1363</v>
      </c>
      <c r="E4692" t="s">
        <v>187</v>
      </c>
      <c r="F4692">
        <v>2012</v>
      </c>
      <c r="G4692">
        <v>32.410800000000002</v>
      </c>
    </row>
    <row r="4693" spans="1:7">
      <c r="A4693" t="s">
        <v>1297</v>
      </c>
      <c r="B4693" t="s">
        <v>1298</v>
      </c>
      <c r="C4693" t="s">
        <v>663</v>
      </c>
      <c r="D4693" t="s">
        <v>1363</v>
      </c>
      <c r="E4693" t="s">
        <v>187</v>
      </c>
      <c r="F4693">
        <v>2016</v>
      </c>
      <c r="G4693">
        <v>18.864000000000001</v>
      </c>
    </row>
    <row r="4694" spans="1:7">
      <c r="A4694" t="s">
        <v>1297</v>
      </c>
      <c r="B4694" t="s">
        <v>1298</v>
      </c>
      <c r="C4694" t="s">
        <v>663</v>
      </c>
      <c r="D4694" t="s">
        <v>1363</v>
      </c>
      <c r="E4694" t="s">
        <v>187</v>
      </c>
      <c r="F4694">
        <v>2020</v>
      </c>
      <c r="G4694">
        <v>26.168399999999998</v>
      </c>
    </row>
    <row r="4695" spans="1:7">
      <c r="A4695" t="s">
        <v>1297</v>
      </c>
      <c r="B4695" t="s">
        <v>1298</v>
      </c>
      <c r="C4695" t="s">
        <v>661</v>
      </c>
      <c r="D4695" t="s">
        <v>1363</v>
      </c>
      <c r="E4695" t="s">
        <v>187</v>
      </c>
      <c r="F4695">
        <v>2005</v>
      </c>
      <c r="G4695">
        <v>246.20400000000001</v>
      </c>
    </row>
    <row r="4696" spans="1:7">
      <c r="A4696" t="s">
        <v>1297</v>
      </c>
      <c r="B4696" t="s">
        <v>1298</v>
      </c>
      <c r="C4696" t="s">
        <v>661</v>
      </c>
      <c r="D4696" t="s">
        <v>1363</v>
      </c>
      <c r="E4696" t="s">
        <v>187</v>
      </c>
      <c r="F4696">
        <v>2010</v>
      </c>
      <c r="G4696">
        <v>180.67679999999999</v>
      </c>
    </row>
    <row r="4697" spans="1:7">
      <c r="A4697" t="s">
        <v>1297</v>
      </c>
      <c r="B4697" t="s">
        <v>1298</v>
      </c>
      <c r="C4697" t="s">
        <v>661</v>
      </c>
      <c r="D4697" t="s">
        <v>1363</v>
      </c>
      <c r="E4697" t="s">
        <v>187</v>
      </c>
      <c r="F4697">
        <v>2012</v>
      </c>
      <c r="G4697">
        <v>204.2424</v>
      </c>
    </row>
    <row r="4698" spans="1:7">
      <c r="A4698" t="s">
        <v>1297</v>
      </c>
      <c r="B4698" t="s">
        <v>1298</v>
      </c>
      <c r="C4698" t="s">
        <v>661</v>
      </c>
      <c r="D4698" t="s">
        <v>1363</v>
      </c>
      <c r="E4698" t="s">
        <v>187</v>
      </c>
      <c r="F4698">
        <v>2016</v>
      </c>
      <c r="G4698">
        <v>221.05439999999999</v>
      </c>
    </row>
    <row r="4699" spans="1:7">
      <c r="A4699" t="s">
        <v>1297</v>
      </c>
      <c r="B4699" t="s">
        <v>1298</v>
      </c>
      <c r="C4699" t="s">
        <v>661</v>
      </c>
      <c r="D4699" t="s">
        <v>1363</v>
      </c>
      <c r="E4699" t="s">
        <v>187</v>
      </c>
      <c r="F4699">
        <v>2020</v>
      </c>
      <c r="G4699">
        <v>263.875676</v>
      </c>
    </row>
    <row r="4700" spans="1:7">
      <c r="A4700" t="s">
        <v>1297</v>
      </c>
      <c r="B4700" t="s">
        <v>1298</v>
      </c>
      <c r="C4700" t="s">
        <v>681</v>
      </c>
      <c r="D4700" t="s">
        <v>1363</v>
      </c>
      <c r="E4700" t="s">
        <v>187</v>
      </c>
      <c r="F4700">
        <v>2010</v>
      </c>
      <c r="G4700">
        <v>10.566000000000001</v>
      </c>
    </row>
    <row r="4701" spans="1:7">
      <c r="A4701" t="s">
        <v>1297</v>
      </c>
      <c r="B4701" t="s">
        <v>1298</v>
      </c>
      <c r="C4701" t="s">
        <v>681</v>
      </c>
      <c r="D4701" t="s">
        <v>1363</v>
      </c>
      <c r="E4701" t="s">
        <v>187</v>
      </c>
      <c r="F4701">
        <v>2016</v>
      </c>
      <c r="G4701">
        <v>0.1512</v>
      </c>
    </row>
    <row r="4702" spans="1:7">
      <c r="A4702" t="s">
        <v>1297</v>
      </c>
      <c r="B4702" t="s">
        <v>1298</v>
      </c>
      <c r="C4702" t="s">
        <v>681</v>
      </c>
      <c r="D4702" t="s">
        <v>1363</v>
      </c>
      <c r="E4702" t="s">
        <v>187</v>
      </c>
      <c r="F4702">
        <v>2020</v>
      </c>
      <c r="G4702">
        <v>2.7737280000000002</v>
      </c>
    </row>
    <row r="4703" spans="1:7">
      <c r="A4703" t="s">
        <v>1297</v>
      </c>
      <c r="B4703" t="s">
        <v>1298</v>
      </c>
      <c r="C4703" t="s">
        <v>672</v>
      </c>
      <c r="D4703" t="s">
        <v>1363</v>
      </c>
      <c r="E4703" t="s">
        <v>187</v>
      </c>
      <c r="F4703">
        <v>2005</v>
      </c>
      <c r="G4703">
        <v>10.087199999999999</v>
      </c>
    </row>
    <row r="4704" spans="1:7">
      <c r="A4704" t="s">
        <v>1297</v>
      </c>
      <c r="B4704" t="s">
        <v>1298</v>
      </c>
      <c r="C4704" t="s">
        <v>672</v>
      </c>
      <c r="D4704" t="s">
        <v>1363</v>
      </c>
      <c r="E4704" t="s">
        <v>187</v>
      </c>
      <c r="F4704">
        <v>2010</v>
      </c>
      <c r="G4704">
        <v>11.4876</v>
      </c>
    </row>
    <row r="4705" spans="1:7">
      <c r="A4705" t="s">
        <v>1297</v>
      </c>
      <c r="B4705" t="s">
        <v>1298</v>
      </c>
      <c r="C4705" t="s">
        <v>672</v>
      </c>
      <c r="D4705" t="s">
        <v>1363</v>
      </c>
      <c r="E4705" t="s">
        <v>187</v>
      </c>
      <c r="F4705">
        <v>2012</v>
      </c>
      <c r="G4705">
        <v>10.335599999999999</v>
      </c>
    </row>
    <row r="4706" spans="1:7">
      <c r="A4706" t="s">
        <v>1297</v>
      </c>
      <c r="B4706" t="s">
        <v>1298</v>
      </c>
      <c r="C4706" t="s">
        <v>672</v>
      </c>
      <c r="D4706" t="s">
        <v>1363</v>
      </c>
      <c r="E4706" t="s">
        <v>187</v>
      </c>
      <c r="F4706">
        <v>2016</v>
      </c>
      <c r="G4706">
        <v>34.9236</v>
      </c>
    </row>
    <row r="4707" spans="1:7">
      <c r="A4707" t="s">
        <v>1297</v>
      </c>
      <c r="B4707" t="s">
        <v>1298</v>
      </c>
      <c r="C4707" t="s">
        <v>672</v>
      </c>
      <c r="D4707" t="s">
        <v>1363</v>
      </c>
      <c r="E4707" t="s">
        <v>187</v>
      </c>
      <c r="F4707">
        <v>2020</v>
      </c>
      <c r="G4707">
        <v>16.920133</v>
      </c>
    </row>
    <row r="4708" spans="1:7">
      <c r="A4708" t="s">
        <v>1297</v>
      </c>
      <c r="B4708" t="s">
        <v>1298</v>
      </c>
      <c r="C4708" t="s">
        <v>682</v>
      </c>
      <c r="D4708" t="s">
        <v>1363</v>
      </c>
      <c r="E4708" t="s">
        <v>187</v>
      </c>
      <c r="F4708">
        <v>2016</v>
      </c>
      <c r="G4708">
        <v>24.627600000000001</v>
      </c>
    </row>
    <row r="4709" spans="1:7">
      <c r="A4709" t="s">
        <v>1297</v>
      </c>
      <c r="B4709" t="s">
        <v>1298</v>
      </c>
      <c r="C4709" t="s">
        <v>682</v>
      </c>
      <c r="D4709" t="s">
        <v>1363</v>
      </c>
      <c r="E4709" t="s">
        <v>187</v>
      </c>
      <c r="F4709">
        <v>2020</v>
      </c>
      <c r="G4709">
        <v>23.634</v>
      </c>
    </row>
    <row r="4710" spans="1:7">
      <c r="A4710" t="s">
        <v>1297</v>
      </c>
      <c r="B4710" t="s">
        <v>1298</v>
      </c>
      <c r="C4710" t="s">
        <v>667</v>
      </c>
      <c r="D4710" t="s">
        <v>1363</v>
      </c>
      <c r="E4710" t="s">
        <v>187</v>
      </c>
      <c r="F4710">
        <v>2005</v>
      </c>
      <c r="G4710">
        <v>11.272698</v>
      </c>
    </row>
    <row r="4711" spans="1:7">
      <c r="A4711" t="s">
        <v>1297</v>
      </c>
      <c r="B4711" t="s">
        <v>1298</v>
      </c>
      <c r="C4711" t="s">
        <v>667</v>
      </c>
      <c r="D4711" t="s">
        <v>1363</v>
      </c>
      <c r="E4711" t="s">
        <v>187</v>
      </c>
      <c r="F4711">
        <v>2010</v>
      </c>
      <c r="G4711">
        <v>11.577847999999999</v>
      </c>
    </row>
    <row r="4712" spans="1:7">
      <c r="A4712" t="s">
        <v>1297</v>
      </c>
      <c r="B4712" t="s">
        <v>1298</v>
      </c>
      <c r="C4712" t="s">
        <v>667</v>
      </c>
      <c r="D4712" t="s">
        <v>1363</v>
      </c>
      <c r="E4712" t="s">
        <v>187</v>
      </c>
      <c r="F4712">
        <v>2012</v>
      </c>
      <c r="G4712">
        <v>9.4384119999999996</v>
      </c>
    </row>
    <row r="4713" spans="1:7">
      <c r="A4713" t="s">
        <v>1297</v>
      </c>
      <c r="B4713" t="s">
        <v>1298</v>
      </c>
      <c r="C4713" t="s">
        <v>667</v>
      </c>
      <c r="D4713" t="s">
        <v>1363</v>
      </c>
      <c r="E4713" t="s">
        <v>187</v>
      </c>
      <c r="F4713">
        <v>2016</v>
      </c>
      <c r="G4713">
        <v>5.1108880000000001</v>
      </c>
    </row>
    <row r="4714" spans="1:7">
      <c r="A4714" t="s">
        <v>1297</v>
      </c>
      <c r="B4714" t="s">
        <v>1298</v>
      </c>
      <c r="C4714" t="s">
        <v>667</v>
      </c>
      <c r="D4714" t="s">
        <v>1363</v>
      </c>
      <c r="E4714" t="s">
        <v>187</v>
      </c>
      <c r="F4714">
        <v>2020</v>
      </c>
      <c r="G4714">
        <v>3.3793989999999998</v>
      </c>
    </row>
    <row r="4715" spans="1:7">
      <c r="A4715" t="s">
        <v>1297</v>
      </c>
      <c r="B4715" t="s">
        <v>1298</v>
      </c>
      <c r="C4715" t="s">
        <v>671</v>
      </c>
      <c r="D4715" t="s">
        <v>1363</v>
      </c>
      <c r="E4715" t="s">
        <v>187</v>
      </c>
      <c r="F4715">
        <v>2005</v>
      </c>
      <c r="G4715">
        <v>58.276800000000001</v>
      </c>
    </row>
    <row r="4716" spans="1:7">
      <c r="A4716" t="s">
        <v>1297</v>
      </c>
      <c r="B4716" t="s">
        <v>1298</v>
      </c>
      <c r="C4716" t="s">
        <v>671</v>
      </c>
      <c r="D4716" t="s">
        <v>1363</v>
      </c>
      <c r="E4716" t="s">
        <v>187</v>
      </c>
      <c r="F4716">
        <v>2010</v>
      </c>
      <c r="G4716">
        <v>27.590399999999999</v>
      </c>
    </row>
    <row r="4717" spans="1:7">
      <c r="A4717" t="s">
        <v>1297</v>
      </c>
      <c r="B4717" t="s">
        <v>1298</v>
      </c>
      <c r="C4717" t="s">
        <v>671</v>
      </c>
      <c r="D4717" t="s">
        <v>1363</v>
      </c>
      <c r="E4717" t="s">
        <v>187</v>
      </c>
      <c r="F4717">
        <v>2012</v>
      </c>
      <c r="G4717">
        <v>45.514800000000001</v>
      </c>
    </row>
    <row r="4718" spans="1:7">
      <c r="A4718" t="s">
        <v>1297</v>
      </c>
      <c r="B4718" t="s">
        <v>1298</v>
      </c>
      <c r="C4718" t="s">
        <v>671</v>
      </c>
      <c r="D4718" t="s">
        <v>1363</v>
      </c>
      <c r="E4718" t="s">
        <v>187</v>
      </c>
      <c r="F4718">
        <v>2016</v>
      </c>
      <c r="G4718">
        <v>43.264800000000001</v>
      </c>
    </row>
    <row r="4719" spans="1:7">
      <c r="A4719" t="s">
        <v>1297</v>
      </c>
      <c r="B4719" t="s">
        <v>1298</v>
      </c>
      <c r="C4719" t="s">
        <v>671</v>
      </c>
      <c r="D4719" t="s">
        <v>1363</v>
      </c>
      <c r="E4719" t="s">
        <v>187</v>
      </c>
      <c r="F4719">
        <v>2020</v>
      </c>
      <c r="G4719">
        <v>26.083266999999999</v>
      </c>
    </row>
    <row r="4720" spans="1:7">
      <c r="A4720" t="s">
        <v>1297</v>
      </c>
      <c r="B4720" t="s">
        <v>1298</v>
      </c>
      <c r="C4720" t="s">
        <v>665</v>
      </c>
      <c r="D4720" t="s">
        <v>1364</v>
      </c>
      <c r="E4720" t="s">
        <v>187</v>
      </c>
      <c r="F4720">
        <v>2012</v>
      </c>
      <c r="G4720">
        <v>433.1628</v>
      </c>
    </row>
    <row r="4721" spans="1:7">
      <c r="A4721" t="s">
        <v>1297</v>
      </c>
      <c r="B4721" t="s">
        <v>1298</v>
      </c>
      <c r="C4721" t="s">
        <v>665</v>
      </c>
      <c r="D4721" t="s">
        <v>1364</v>
      </c>
      <c r="E4721" t="s">
        <v>187</v>
      </c>
      <c r="F4721">
        <v>2016</v>
      </c>
      <c r="G4721">
        <v>407.72519999999997</v>
      </c>
    </row>
    <row r="4722" spans="1:7">
      <c r="A4722" t="s">
        <v>1297</v>
      </c>
      <c r="B4722" t="s">
        <v>1298</v>
      </c>
      <c r="C4722" t="s">
        <v>665</v>
      </c>
      <c r="D4722" t="s">
        <v>1364</v>
      </c>
      <c r="E4722" t="s">
        <v>187</v>
      </c>
      <c r="F4722">
        <v>2020</v>
      </c>
      <c r="G4722">
        <v>430.32535200000001</v>
      </c>
    </row>
    <row r="4723" spans="1:7">
      <c r="A4723" t="s">
        <v>1297</v>
      </c>
      <c r="B4723" t="s">
        <v>1298</v>
      </c>
      <c r="C4723" t="s">
        <v>672</v>
      </c>
      <c r="D4723" t="s">
        <v>1364</v>
      </c>
      <c r="E4723" t="s">
        <v>187</v>
      </c>
      <c r="F4723">
        <v>2005</v>
      </c>
      <c r="G4723">
        <v>61.819200000000002</v>
      </c>
    </row>
    <row r="4724" spans="1:7">
      <c r="A4724" t="s">
        <v>1297</v>
      </c>
      <c r="B4724" t="s">
        <v>1298</v>
      </c>
      <c r="C4724" t="s">
        <v>672</v>
      </c>
      <c r="D4724" t="s">
        <v>1364</v>
      </c>
      <c r="E4724" t="s">
        <v>187</v>
      </c>
      <c r="F4724">
        <v>2010</v>
      </c>
      <c r="G4724">
        <v>62.884799999999998</v>
      </c>
    </row>
    <row r="4725" spans="1:7">
      <c r="A4725" t="s">
        <v>1297</v>
      </c>
      <c r="B4725" t="s">
        <v>1298</v>
      </c>
      <c r="C4725" t="s">
        <v>672</v>
      </c>
      <c r="D4725" t="s">
        <v>1364</v>
      </c>
      <c r="E4725" t="s">
        <v>187</v>
      </c>
      <c r="F4725">
        <v>2012</v>
      </c>
      <c r="G4725">
        <v>57.355200000000004</v>
      </c>
    </row>
    <row r="4726" spans="1:7">
      <c r="A4726" t="s">
        <v>1297</v>
      </c>
      <c r="B4726" t="s">
        <v>1298</v>
      </c>
      <c r="C4726" t="s">
        <v>672</v>
      </c>
      <c r="D4726" t="s">
        <v>1364</v>
      </c>
      <c r="E4726" t="s">
        <v>187</v>
      </c>
      <c r="F4726">
        <v>2016</v>
      </c>
      <c r="G4726">
        <v>56.316881000000002</v>
      </c>
    </row>
    <row r="4727" spans="1:7">
      <c r="A4727" t="s">
        <v>1297</v>
      </c>
      <c r="B4727" t="s">
        <v>1298</v>
      </c>
      <c r="C4727" t="s">
        <v>672</v>
      </c>
      <c r="D4727" t="s">
        <v>1364</v>
      </c>
      <c r="E4727" t="s">
        <v>187</v>
      </c>
      <c r="F4727">
        <v>2020</v>
      </c>
      <c r="G4727">
        <v>60.103807000000003</v>
      </c>
    </row>
    <row r="4728" spans="1:7">
      <c r="A4728" t="s">
        <v>1297</v>
      </c>
      <c r="B4728" t="s">
        <v>1298</v>
      </c>
      <c r="C4728" t="s">
        <v>671</v>
      </c>
      <c r="D4728" t="s">
        <v>1364</v>
      </c>
      <c r="E4728" t="s">
        <v>187</v>
      </c>
      <c r="F4728">
        <v>2005</v>
      </c>
      <c r="G4728">
        <v>147.26159999999999</v>
      </c>
    </row>
    <row r="4729" spans="1:7">
      <c r="A4729" t="s">
        <v>1297</v>
      </c>
      <c r="B4729" t="s">
        <v>1298</v>
      </c>
      <c r="C4729" t="s">
        <v>671</v>
      </c>
      <c r="D4729" t="s">
        <v>1364</v>
      </c>
      <c r="E4729" t="s">
        <v>187</v>
      </c>
      <c r="F4729">
        <v>2010</v>
      </c>
      <c r="G4729">
        <v>149.22720000000001</v>
      </c>
    </row>
    <row r="4730" spans="1:7">
      <c r="A4730" t="s">
        <v>1297</v>
      </c>
      <c r="B4730" t="s">
        <v>1298</v>
      </c>
      <c r="C4730" t="s">
        <v>671</v>
      </c>
      <c r="D4730" t="s">
        <v>1364</v>
      </c>
      <c r="E4730" t="s">
        <v>187</v>
      </c>
      <c r="F4730">
        <v>2012</v>
      </c>
      <c r="G4730">
        <v>160.97040000000001</v>
      </c>
    </row>
    <row r="4731" spans="1:7">
      <c r="A4731" t="s">
        <v>1297</v>
      </c>
      <c r="B4731" t="s">
        <v>1298</v>
      </c>
      <c r="C4731" t="s">
        <v>671</v>
      </c>
      <c r="D4731" t="s">
        <v>1364</v>
      </c>
      <c r="E4731" t="s">
        <v>187</v>
      </c>
      <c r="F4731">
        <v>2016</v>
      </c>
      <c r="G4731">
        <v>184.35599999999999</v>
      </c>
    </row>
    <row r="4732" spans="1:7">
      <c r="A4732" t="s">
        <v>1297</v>
      </c>
      <c r="B4732" t="s">
        <v>1298</v>
      </c>
      <c r="C4732" t="s">
        <v>671</v>
      </c>
      <c r="D4732" t="s">
        <v>1364</v>
      </c>
      <c r="E4732" t="s">
        <v>187</v>
      </c>
      <c r="F4732">
        <v>2020</v>
      </c>
      <c r="G4732">
        <v>204.03149400000001</v>
      </c>
    </row>
    <row r="4733" spans="1:7">
      <c r="A4733" t="s">
        <v>1297</v>
      </c>
      <c r="B4733" t="s">
        <v>1298</v>
      </c>
      <c r="C4733" t="s">
        <v>663</v>
      </c>
      <c r="D4733" t="s">
        <v>1364</v>
      </c>
      <c r="E4733" t="s">
        <v>187</v>
      </c>
      <c r="F4733">
        <v>2005</v>
      </c>
      <c r="G4733">
        <v>33.375599999999999</v>
      </c>
    </row>
    <row r="4734" spans="1:7">
      <c r="A4734" t="s">
        <v>1297</v>
      </c>
      <c r="B4734" t="s">
        <v>1298</v>
      </c>
      <c r="C4734" t="s">
        <v>663</v>
      </c>
      <c r="D4734" t="s">
        <v>1364</v>
      </c>
      <c r="E4734" t="s">
        <v>187</v>
      </c>
      <c r="F4734">
        <v>2010</v>
      </c>
      <c r="G4734">
        <v>35.2224</v>
      </c>
    </row>
    <row r="4735" spans="1:7">
      <c r="A4735" t="s">
        <v>1297</v>
      </c>
      <c r="B4735" t="s">
        <v>1298</v>
      </c>
      <c r="C4735" t="s">
        <v>663</v>
      </c>
      <c r="D4735" t="s">
        <v>1364</v>
      </c>
      <c r="E4735" t="s">
        <v>187</v>
      </c>
      <c r="F4735">
        <v>2012</v>
      </c>
      <c r="G4735">
        <v>53.287199999999999</v>
      </c>
    </row>
    <row r="4736" spans="1:7">
      <c r="A4736" t="s">
        <v>1297</v>
      </c>
      <c r="B4736" t="s">
        <v>1298</v>
      </c>
      <c r="C4736" t="s">
        <v>663</v>
      </c>
      <c r="D4736" t="s">
        <v>1364</v>
      </c>
      <c r="E4736" t="s">
        <v>187</v>
      </c>
      <c r="F4736">
        <v>2016</v>
      </c>
      <c r="G4736">
        <v>57.607199999999999</v>
      </c>
    </row>
    <row r="4737" spans="1:7">
      <c r="A4737" t="s">
        <v>1297</v>
      </c>
      <c r="B4737" t="s">
        <v>1298</v>
      </c>
      <c r="C4737" t="s">
        <v>663</v>
      </c>
      <c r="D4737" t="s">
        <v>1364</v>
      </c>
      <c r="E4737" t="s">
        <v>187</v>
      </c>
      <c r="F4737">
        <v>2020</v>
      </c>
      <c r="G4737">
        <v>63.997199999999999</v>
      </c>
    </row>
    <row r="4738" spans="1:7">
      <c r="A4738" t="s">
        <v>1297</v>
      </c>
      <c r="B4738" t="s">
        <v>1298</v>
      </c>
      <c r="C4738" t="s">
        <v>654</v>
      </c>
      <c r="D4738" t="s">
        <v>1364</v>
      </c>
      <c r="E4738" t="s">
        <v>187</v>
      </c>
      <c r="F4738">
        <v>2005</v>
      </c>
      <c r="G4738">
        <v>1.9656</v>
      </c>
    </row>
    <row r="4739" spans="1:7">
      <c r="A4739" t="s">
        <v>1297</v>
      </c>
      <c r="B4739" t="s">
        <v>1298</v>
      </c>
      <c r="C4739" t="s">
        <v>654</v>
      </c>
      <c r="D4739" t="s">
        <v>1364</v>
      </c>
      <c r="E4739" t="s">
        <v>187</v>
      </c>
      <c r="F4739">
        <v>2010</v>
      </c>
      <c r="G4739">
        <v>2.0844</v>
      </c>
    </row>
    <row r="4740" spans="1:7">
      <c r="A4740" t="s">
        <v>1297</v>
      </c>
      <c r="B4740" t="s">
        <v>1298</v>
      </c>
      <c r="C4740" t="s">
        <v>654</v>
      </c>
      <c r="D4740" t="s">
        <v>1364</v>
      </c>
      <c r="E4740" t="s">
        <v>187</v>
      </c>
      <c r="F4740">
        <v>2012</v>
      </c>
      <c r="G4740">
        <v>1.746</v>
      </c>
    </row>
    <row r="4741" spans="1:7">
      <c r="A4741" t="s">
        <v>1297</v>
      </c>
      <c r="B4741" t="s">
        <v>1298</v>
      </c>
      <c r="C4741" t="s">
        <v>654</v>
      </c>
      <c r="D4741" t="s">
        <v>1364</v>
      </c>
      <c r="E4741" t="s">
        <v>187</v>
      </c>
      <c r="F4741">
        <v>2016</v>
      </c>
      <c r="G4741">
        <v>1.7496</v>
      </c>
    </row>
    <row r="4742" spans="1:7">
      <c r="A4742" t="s">
        <v>1297</v>
      </c>
      <c r="B4742" t="s">
        <v>1298</v>
      </c>
      <c r="C4742" t="s">
        <v>654</v>
      </c>
      <c r="D4742" t="s">
        <v>1364</v>
      </c>
      <c r="E4742" t="s">
        <v>187</v>
      </c>
      <c r="F4742">
        <v>2020</v>
      </c>
      <c r="G4742">
        <v>1.9150959999999999</v>
      </c>
    </row>
    <row r="4743" spans="1:7">
      <c r="A4743" t="s">
        <v>1297</v>
      </c>
      <c r="B4743" t="s">
        <v>1298</v>
      </c>
      <c r="C4743" t="s">
        <v>652</v>
      </c>
      <c r="D4743" t="s">
        <v>1364</v>
      </c>
      <c r="E4743" t="s">
        <v>187</v>
      </c>
      <c r="F4743">
        <v>2005</v>
      </c>
      <c r="G4743">
        <v>141.9228</v>
      </c>
    </row>
    <row r="4744" spans="1:7">
      <c r="A4744" t="s">
        <v>1297</v>
      </c>
      <c r="B4744" t="s">
        <v>1298</v>
      </c>
      <c r="C4744" t="s">
        <v>652</v>
      </c>
      <c r="D4744" t="s">
        <v>1364</v>
      </c>
      <c r="E4744" t="s">
        <v>187</v>
      </c>
      <c r="F4744">
        <v>2010</v>
      </c>
      <c r="G4744">
        <v>143.45604</v>
      </c>
    </row>
    <row r="4745" spans="1:7">
      <c r="A4745" t="s">
        <v>1297</v>
      </c>
      <c r="B4745" t="s">
        <v>1298</v>
      </c>
      <c r="C4745" t="s">
        <v>652</v>
      </c>
      <c r="D4745" t="s">
        <v>1364</v>
      </c>
      <c r="E4745" t="s">
        <v>187</v>
      </c>
      <c r="F4745">
        <v>2012</v>
      </c>
      <c r="G4745">
        <v>137.79252</v>
      </c>
    </row>
    <row r="4746" spans="1:7">
      <c r="A4746" t="s">
        <v>1297</v>
      </c>
      <c r="B4746" t="s">
        <v>1298</v>
      </c>
      <c r="C4746" t="s">
        <v>652</v>
      </c>
      <c r="D4746" t="s">
        <v>1364</v>
      </c>
      <c r="E4746" t="s">
        <v>187</v>
      </c>
      <c r="F4746">
        <v>2016</v>
      </c>
      <c r="G4746">
        <v>138.13596000000001</v>
      </c>
    </row>
    <row r="4747" spans="1:7">
      <c r="A4747" t="s">
        <v>1297</v>
      </c>
      <c r="B4747" t="s">
        <v>1298</v>
      </c>
      <c r="C4747" t="s">
        <v>652</v>
      </c>
      <c r="D4747" t="s">
        <v>1364</v>
      </c>
      <c r="E4747" t="s">
        <v>187</v>
      </c>
      <c r="F4747">
        <v>2020</v>
      </c>
      <c r="G4747">
        <v>137.97971999999999</v>
      </c>
    </row>
    <row r="4748" spans="1:7">
      <c r="A4748" t="s">
        <v>1297</v>
      </c>
      <c r="B4748" t="s">
        <v>1298</v>
      </c>
      <c r="C4748" t="s">
        <v>682</v>
      </c>
      <c r="D4748" t="s">
        <v>1364</v>
      </c>
      <c r="E4748" t="s">
        <v>187</v>
      </c>
      <c r="F4748">
        <v>2016</v>
      </c>
      <c r="G4748">
        <v>14.6844</v>
      </c>
    </row>
    <row r="4749" spans="1:7">
      <c r="A4749" t="s">
        <v>1297</v>
      </c>
      <c r="B4749" t="s">
        <v>1298</v>
      </c>
      <c r="C4749" t="s">
        <v>682</v>
      </c>
      <c r="D4749" t="s">
        <v>1364</v>
      </c>
      <c r="E4749" t="s">
        <v>187</v>
      </c>
      <c r="F4749">
        <v>2020</v>
      </c>
      <c r="G4749">
        <v>13.284000000000001</v>
      </c>
    </row>
    <row r="4750" spans="1:7">
      <c r="A4750" t="s">
        <v>1297</v>
      </c>
      <c r="B4750" t="s">
        <v>1298</v>
      </c>
      <c r="C4750" t="s">
        <v>667</v>
      </c>
      <c r="D4750" t="s">
        <v>1364</v>
      </c>
      <c r="E4750" t="s">
        <v>187</v>
      </c>
      <c r="F4750">
        <v>2005</v>
      </c>
      <c r="G4750">
        <v>12.348889</v>
      </c>
    </row>
    <row r="4751" spans="1:7">
      <c r="A4751" t="s">
        <v>1297</v>
      </c>
      <c r="B4751" t="s">
        <v>1298</v>
      </c>
      <c r="C4751" t="s">
        <v>667</v>
      </c>
      <c r="D4751" t="s">
        <v>1364</v>
      </c>
      <c r="E4751" t="s">
        <v>187</v>
      </c>
      <c r="F4751">
        <v>2010</v>
      </c>
      <c r="G4751">
        <v>13.051321</v>
      </c>
    </row>
    <row r="4752" spans="1:7">
      <c r="A4752" t="s">
        <v>1297</v>
      </c>
      <c r="B4752" t="s">
        <v>1298</v>
      </c>
      <c r="C4752" t="s">
        <v>667</v>
      </c>
      <c r="D4752" t="s">
        <v>1364</v>
      </c>
      <c r="E4752" t="s">
        <v>187</v>
      </c>
      <c r="F4752">
        <v>2012</v>
      </c>
      <c r="G4752">
        <v>11.544437</v>
      </c>
    </row>
    <row r="4753" spans="1:7">
      <c r="A4753" t="s">
        <v>1297</v>
      </c>
      <c r="B4753" t="s">
        <v>1298</v>
      </c>
      <c r="C4753" t="s">
        <v>667</v>
      </c>
      <c r="D4753" t="s">
        <v>1364</v>
      </c>
      <c r="E4753" t="s">
        <v>187</v>
      </c>
      <c r="F4753">
        <v>2016</v>
      </c>
      <c r="G4753">
        <v>12.354862000000001</v>
      </c>
    </row>
    <row r="4754" spans="1:7">
      <c r="A4754" t="s">
        <v>1297</v>
      </c>
      <c r="B4754" t="s">
        <v>1298</v>
      </c>
      <c r="C4754" t="s">
        <v>667</v>
      </c>
      <c r="D4754" t="s">
        <v>1364</v>
      </c>
      <c r="E4754" t="s">
        <v>187</v>
      </c>
      <c r="F4754">
        <v>2020</v>
      </c>
      <c r="G4754">
        <v>10.891745999999999</v>
      </c>
    </row>
    <row r="4755" spans="1:7">
      <c r="A4755" t="s">
        <v>1297</v>
      </c>
      <c r="B4755" t="s">
        <v>1298</v>
      </c>
      <c r="C4755" t="s">
        <v>668</v>
      </c>
      <c r="D4755" t="s">
        <v>1364</v>
      </c>
      <c r="E4755" t="s">
        <v>187</v>
      </c>
      <c r="F4755">
        <v>2005</v>
      </c>
      <c r="G4755">
        <v>6.12</v>
      </c>
    </row>
    <row r="4756" spans="1:7">
      <c r="A4756" t="s">
        <v>1297</v>
      </c>
      <c r="B4756" t="s">
        <v>1298</v>
      </c>
      <c r="C4756" t="s">
        <v>668</v>
      </c>
      <c r="D4756" t="s">
        <v>1364</v>
      </c>
      <c r="E4756" t="s">
        <v>187</v>
      </c>
      <c r="F4756">
        <v>2010</v>
      </c>
      <c r="G4756">
        <v>5.7240000000000002</v>
      </c>
    </row>
    <row r="4757" spans="1:7">
      <c r="A4757" t="s">
        <v>1297</v>
      </c>
      <c r="B4757" t="s">
        <v>1298</v>
      </c>
      <c r="C4757" t="s">
        <v>668</v>
      </c>
      <c r="D4757" t="s">
        <v>1364</v>
      </c>
      <c r="E4757" t="s">
        <v>187</v>
      </c>
      <c r="F4757">
        <v>2012</v>
      </c>
      <c r="G4757">
        <v>7.1748000000000003</v>
      </c>
    </row>
    <row r="4758" spans="1:7">
      <c r="A4758" t="s">
        <v>1297</v>
      </c>
      <c r="B4758" t="s">
        <v>1298</v>
      </c>
      <c r="C4758" t="s">
        <v>668</v>
      </c>
      <c r="D4758" t="s">
        <v>1364</v>
      </c>
      <c r="E4758" t="s">
        <v>187</v>
      </c>
      <c r="F4758">
        <v>2016</v>
      </c>
      <c r="G4758">
        <v>6.0011999999999999</v>
      </c>
    </row>
    <row r="4759" spans="1:7">
      <c r="A4759" t="s">
        <v>1297</v>
      </c>
      <c r="B4759" t="s">
        <v>1298</v>
      </c>
      <c r="C4759" t="s">
        <v>668</v>
      </c>
      <c r="D4759" t="s">
        <v>1364</v>
      </c>
      <c r="E4759" t="s">
        <v>187</v>
      </c>
      <c r="F4759">
        <v>2020</v>
      </c>
      <c r="G4759">
        <v>6.6459380000000001</v>
      </c>
    </row>
    <row r="4760" spans="1:7">
      <c r="A4760" t="s">
        <v>1297</v>
      </c>
      <c r="B4760" t="s">
        <v>1298</v>
      </c>
      <c r="C4760" t="s">
        <v>670</v>
      </c>
      <c r="D4760" t="s">
        <v>1364</v>
      </c>
      <c r="E4760" t="s">
        <v>187</v>
      </c>
      <c r="F4760">
        <v>2005</v>
      </c>
      <c r="G4760">
        <v>149.55119999999999</v>
      </c>
    </row>
    <row r="4761" spans="1:7">
      <c r="A4761" t="s">
        <v>1297</v>
      </c>
      <c r="B4761" t="s">
        <v>1298</v>
      </c>
      <c r="C4761" t="s">
        <v>670</v>
      </c>
      <c r="D4761" t="s">
        <v>1364</v>
      </c>
      <c r="E4761" t="s">
        <v>187</v>
      </c>
      <c r="F4761">
        <v>2010</v>
      </c>
      <c r="G4761">
        <v>141.15600000000001</v>
      </c>
    </row>
    <row r="4762" spans="1:7">
      <c r="A4762" t="s">
        <v>1297</v>
      </c>
      <c r="B4762" t="s">
        <v>1298</v>
      </c>
      <c r="C4762" t="s">
        <v>670</v>
      </c>
      <c r="D4762" t="s">
        <v>1364</v>
      </c>
      <c r="E4762" t="s">
        <v>187</v>
      </c>
      <c r="F4762">
        <v>2012</v>
      </c>
      <c r="G4762">
        <v>126.279371</v>
      </c>
    </row>
    <row r="4763" spans="1:7">
      <c r="A4763" t="s">
        <v>1297</v>
      </c>
      <c r="B4763" t="s">
        <v>1298</v>
      </c>
      <c r="C4763" t="s">
        <v>670</v>
      </c>
      <c r="D4763" t="s">
        <v>1364</v>
      </c>
      <c r="E4763" t="s">
        <v>187</v>
      </c>
      <c r="F4763">
        <v>2016</v>
      </c>
      <c r="G4763">
        <v>128.43978100000001</v>
      </c>
    </row>
    <row r="4764" spans="1:7">
      <c r="A4764" t="s">
        <v>1297</v>
      </c>
      <c r="B4764" t="s">
        <v>1298</v>
      </c>
      <c r="C4764" t="s">
        <v>670</v>
      </c>
      <c r="D4764" t="s">
        <v>1364</v>
      </c>
      <c r="E4764" t="s">
        <v>187</v>
      </c>
      <c r="F4764">
        <v>2020</v>
      </c>
      <c r="G4764">
        <v>128.56828300000001</v>
      </c>
    </row>
    <row r="4765" spans="1:7">
      <c r="A4765" t="s">
        <v>1297</v>
      </c>
      <c r="B4765" t="s">
        <v>1298</v>
      </c>
      <c r="C4765" t="s">
        <v>653</v>
      </c>
      <c r="D4765" t="s">
        <v>1364</v>
      </c>
      <c r="E4765" t="s">
        <v>187</v>
      </c>
      <c r="F4765">
        <v>2005</v>
      </c>
      <c r="G4765">
        <v>35.416800000000002</v>
      </c>
    </row>
    <row r="4766" spans="1:7">
      <c r="A4766" t="s">
        <v>1297</v>
      </c>
      <c r="B4766" t="s">
        <v>1298</v>
      </c>
      <c r="C4766" t="s">
        <v>653</v>
      </c>
      <c r="D4766" t="s">
        <v>1364</v>
      </c>
      <c r="E4766" t="s">
        <v>187</v>
      </c>
      <c r="F4766">
        <v>2010</v>
      </c>
      <c r="G4766">
        <v>28.1448</v>
      </c>
    </row>
    <row r="4767" spans="1:7">
      <c r="A4767" t="s">
        <v>1297</v>
      </c>
      <c r="B4767" t="s">
        <v>1298</v>
      </c>
      <c r="C4767" t="s">
        <v>653</v>
      </c>
      <c r="D4767" t="s">
        <v>1364</v>
      </c>
      <c r="E4767" t="s">
        <v>187</v>
      </c>
      <c r="F4767">
        <v>2012</v>
      </c>
      <c r="G4767">
        <v>29.761199999999999</v>
      </c>
    </row>
    <row r="4768" spans="1:7">
      <c r="A4768" t="s">
        <v>1297</v>
      </c>
      <c r="B4768" t="s">
        <v>1298</v>
      </c>
      <c r="C4768" t="s">
        <v>653</v>
      </c>
      <c r="D4768" t="s">
        <v>1364</v>
      </c>
      <c r="E4768" t="s">
        <v>187</v>
      </c>
      <c r="F4768">
        <v>2016</v>
      </c>
      <c r="G4768">
        <v>32.698799999999999</v>
      </c>
    </row>
    <row r="4769" spans="1:7">
      <c r="A4769" t="s">
        <v>1297</v>
      </c>
      <c r="B4769" t="s">
        <v>1298</v>
      </c>
      <c r="C4769" t="s">
        <v>653</v>
      </c>
      <c r="D4769" t="s">
        <v>1364</v>
      </c>
      <c r="E4769" t="s">
        <v>187</v>
      </c>
      <c r="F4769">
        <v>2020</v>
      </c>
      <c r="G4769">
        <v>35.389073000000003</v>
      </c>
    </row>
    <row r="4770" spans="1:7">
      <c r="A4770" t="s">
        <v>1297</v>
      </c>
      <c r="B4770" t="s">
        <v>1298</v>
      </c>
      <c r="C4770" t="s">
        <v>679</v>
      </c>
      <c r="D4770" t="s">
        <v>1364</v>
      </c>
      <c r="E4770" t="s">
        <v>187</v>
      </c>
      <c r="F4770">
        <v>2005</v>
      </c>
      <c r="G4770">
        <v>187.29</v>
      </c>
    </row>
    <row r="4771" spans="1:7">
      <c r="A4771" t="s">
        <v>1297</v>
      </c>
      <c r="B4771" t="s">
        <v>1298</v>
      </c>
      <c r="C4771" t="s">
        <v>679</v>
      </c>
      <c r="D4771" t="s">
        <v>1364</v>
      </c>
      <c r="E4771" t="s">
        <v>187</v>
      </c>
      <c r="F4771">
        <v>2010</v>
      </c>
      <c r="G4771">
        <v>160.28639999999999</v>
      </c>
    </row>
    <row r="4772" spans="1:7">
      <c r="A4772" t="s">
        <v>1297</v>
      </c>
      <c r="B4772" t="s">
        <v>1298</v>
      </c>
      <c r="C4772" t="s">
        <v>679</v>
      </c>
      <c r="D4772" t="s">
        <v>1364</v>
      </c>
      <c r="E4772" t="s">
        <v>187</v>
      </c>
      <c r="F4772">
        <v>2012</v>
      </c>
      <c r="G4772">
        <v>156.5712</v>
      </c>
    </row>
    <row r="4773" spans="1:7">
      <c r="A4773" t="s">
        <v>1297</v>
      </c>
      <c r="B4773" t="s">
        <v>1298</v>
      </c>
      <c r="C4773" t="s">
        <v>679</v>
      </c>
      <c r="D4773" t="s">
        <v>1364</v>
      </c>
      <c r="E4773" t="s">
        <v>187</v>
      </c>
      <c r="F4773">
        <v>2016</v>
      </c>
      <c r="G4773">
        <v>164.7216</v>
      </c>
    </row>
    <row r="4774" spans="1:7">
      <c r="A4774" t="s">
        <v>1297</v>
      </c>
      <c r="B4774" t="s">
        <v>1298</v>
      </c>
      <c r="C4774" t="s">
        <v>679</v>
      </c>
      <c r="D4774" t="s">
        <v>1364</v>
      </c>
      <c r="E4774" t="s">
        <v>187</v>
      </c>
      <c r="F4774">
        <v>2020</v>
      </c>
      <c r="G4774">
        <v>167.59800000000001</v>
      </c>
    </row>
    <row r="4775" spans="1:7">
      <c r="A4775" t="s">
        <v>1297</v>
      </c>
      <c r="B4775" t="s">
        <v>1298</v>
      </c>
      <c r="C4775" t="s">
        <v>657</v>
      </c>
      <c r="D4775" t="s">
        <v>1364</v>
      </c>
      <c r="E4775" t="s">
        <v>187</v>
      </c>
      <c r="F4775">
        <v>2005</v>
      </c>
      <c r="G4775">
        <v>36.939599999999999</v>
      </c>
    </row>
    <row r="4776" spans="1:7">
      <c r="A4776" t="s">
        <v>1297</v>
      </c>
      <c r="B4776" t="s">
        <v>1298</v>
      </c>
      <c r="C4776" t="s">
        <v>657</v>
      </c>
      <c r="D4776" t="s">
        <v>1364</v>
      </c>
      <c r="E4776" t="s">
        <v>187</v>
      </c>
      <c r="F4776">
        <v>2010</v>
      </c>
      <c r="G4776">
        <v>30.650400000000001</v>
      </c>
    </row>
    <row r="4777" spans="1:7">
      <c r="A4777" t="s">
        <v>1297</v>
      </c>
      <c r="B4777" t="s">
        <v>1298</v>
      </c>
      <c r="C4777" t="s">
        <v>657</v>
      </c>
      <c r="D4777" t="s">
        <v>1364</v>
      </c>
      <c r="E4777" t="s">
        <v>187</v>
      </c>
      <c r="F4777">
        <v>2012</v>
      </c>
      <c r="G4777">
        <v>30.754799999999999</v>
      </c>
    </row>
    <row r="4778" spans="1:7">
      <c r="A4778" t="s">
        <v>1297</v>
      </c>
      <c r="B4778" t="s">
        <v>1298</v>
      </c>
      <c r="C4778" t="s">
        <v>657</v>
      </c>
      <c r="D4778" t="s">
        <v>1364</v>
      </c>
      <c r="E4778" t="s">
        <v>187</v>
      </c>
      <c r="F4778">
        <v>2016</v>
      </c>
      <c r="G4778">
        <v>30.315588999999999</v>
      </c>
    </row>
    <row r="4779" spans="1:7">
      <c r="A4779" t="s">
        <v>1297</v>
      </c>
      <c r="B4779" t="s">
        <v>1298</v>
      </c>
      <c r="C4779" t="s">
        <v>657</v>
      </c>
      <c r="D4779" t="s">
        <v>1364</v>
      </c>
      <c r="E4779" t="s">
        <v>187</v>
      </c>
      <c r="F4779">
        <v>2020</v>
      </c>
      <c r="G4779">
        <v>29.927371999999998</v>
      </c>
    </row>
    <row r="4780" spans="1:7">
      <c r="A4780" t="s">
        <v>1297</v>
      </c>
      <c r="B4780" t="s">
        <v>1298</v>
      </c>
      <c r="C4780" t="s">
        <v>680</v>
      </c>
      <c r="D4780" t="s">
        <v>1364</v>
      </c>
      <c r="E4780" t="s">
        <v>187</v>
      </c>
      <c r="F4780">
        <v>2005</v>
      </c>
      <c r="G4780">
        <v>21.200399999999998</v>
      </c>
    </row>
    <row r="4781" spans="1:7">
      <c r="A4781" t="s">
        <v>1297</v>
      </c>
      <c r="B4781" t="s">
        <v>1298</v>
      </c>
      <c r="C4781" t="s">
        <v>680</v>
      </c>
      <c r="D4781" t="s">
        <v>1364</v>
      </c>
      <c r="E4781" t="s">
        <v>187</v>
      </c>
      <c r="F4781">
        <v>2010</v>
      </c>
      <c r="G4781">
        <v>48.592799999999997</v>
      </c>
    </row>
    <row r="4782" spans="1:7">
      <c r="A4782" t="s">
        <v>1297</v>
      </c>
      <c r="B4782" t="s">
        <v>1298</v>
      </c>
      <c r="C4782" t="s">
        <v>680</v>
      </c>
      <c r="D4782" t="s">
        <v>1364</v>
      </c>
      <c r="E4782" t="s">
        <v>187</v>
      </c>
      <c r="F4782">
        <v>2012</v>
      </c>
      <c r="G4782">
        <v>51.123600000000003</v>
      </c>
    </row>
    <row r="4783" spans="1:7">
      <c r="A4783" t="s">
        <v>1297</v>
      </c>
      <c r="B4783" t="s">
        <v>1298</v>
      </c>
      <c r="C4783" t="s">
        <v>680</v>
      </c>
      <c r="D4783" t="s">
        <v>1364</v>
      </c>
      <c r="E4783" t="s">
        <v>187</v>
      </c>
      <c r="F4783">
        <v>2016</v>
      </c>
      <c r="G4783">
        <v>53.423999999999999</v>
      </c>
    </row>
    <row r="4784" spans="1:7">
      <c r="A4784" t="s">
        <v>1297</v>
      </c>
      <c r="B4784" t="s">
        <v>1298</v>
      </c>
      <c r="C4784" t="s">
        <v>680</v>
      </c>
      <c r="D4784" t="s">
        <v>1364</v>
      </c>
      <c r="E4784" t="s">
        <v>187</v>
      </c>
      <c r="F4784">
        <v>2020</v>
      </c>
      <c r="G4784">
        <v>53.640262999999997</v>
      </c>
    </row>
    <row r="4785" spans="1:7">
      <c r="A4785" t="s">
        <v>1297</v>
      </c>
      <c r="B4785" t="s">
        <v>1298</v>
      </c>
      <c r="C4785" t="s">
        <v>685</v>
      </c>
      <c r="D4785" t="s">
        <v>1364</v>
      </c>
      <c r="E4785" t="s">
        <v>187</v>
      </c>
      <c r="F4785">
        <v>2005</v>
      </c>
      <c r="G4785">
        <v>7.7148000000000003</v>
      </c>
    </row>
    <row r="4786" spans="1:7">
      <c r="A4786" t="s">
        <v>1297</v>
      </c>
      <c r="B4786" t="s">
        <v>1298</v>
      </c>
      <c r="C4786" t="s">
        <v>685</v>
      </c>
      <c r="D4786" t="s">
        <v>1364</v>
      </c>
      <c r="E4786" t="s">
        <v>187</v>
      </c>
      <c r="F4786">
        <v>2010</v>
      </c>
      <c r="G4786">
        <v>7.2359999999999998</v>
      </c>
    </row>
    <row r="4787" spans="1:7">
      <c r="A4787" t="s">
        <v>1297</v>
      </c>
      <c r="B4787" t="s">
        <v>1298</v>
      </c>
      <c r="C4787" t="s">
        <v>685</v>
      </c>
      <c r="D4787" t="s">
        <v>1364</v>
      </c>
      <c r="E4787" t="s">
        <v>187</v>
      </c>
      <c r="F4787">
        <v>2012</v>
      </c>
      <c r="G4787">
        <v>7.9416000000000002</v>
      </c>
    </row>
    <row r="4788" spans="1:7">
      <c r="A4788" t="s">
        <v>1297</v>
      </c>
      <c r="B4788" t="s">
        <v>1298</v>
      </c>
      <c r="C4788" t="s">
        <v>685</v>
      </c>
      <c r="D4788" t="s">
        <v>1364</v>
      </c>
      <c r="E4788" t="s">
        <v>187</v>
      </c>
      <c r="F4788">
        <v>2016</v>
      </c>
      <c r="G4788">
        <v>5.9525860000000002</v>
      </c>
    </row>
    <row r="4789" spans="1:7">
      <c r="A4789" t="s">
        <v>1297</v>
      </c>
      <c r="B4789" t="s">
        <v>1298</v>
      </c>
      <c r="C4789" t="s">
        <v>685</v>
      </c>
      <c r="D4789" t="s">
        <v>1364</v>
      </c>
      <c r="E4789" t="s">
        <v>187</v>
      </c>
      <c r="F4789">
        <v>2020</v>
      </c>
      <c r="G4789">
        <v>5.8324680000000004</v>
      </c>
    </row>
    <row r="4790" spans="1:7">
      <c r="A4790" t="s">
        <v>1297</v>
      </c>
      <c r="B4790" t="s">
        <v>1298</v>
      </c>
      <c r="C4790" t="s">
        <v>289</v>
      </c>
      <c r="D4790" t="s">
        <v>1364</v>
      </c>
      <c r="E4790" t="s">
        <v>187</v>
      </c>
      <c r="F4790">
        <v>2005</v>
      </c>
      <c r="G4790">
        <v>12.034800000000001</v>
      </c>
    </row>
    <row r="4791" spans="1:7">
      <c r="A4791" t="s">
        <v>1297</v>
      </c>
      <c r="B4791" t="s">
        <v>1298</v>
      </c>
      <c r="C4791" t="s">
        <v>289</v>
      </c>
      <c r="D4791" t="s">
        <v>1364</v>
      </c>
      <c r="E4791" t="s">
        <v>187</v>
      </c>
      <c r="F4791">
        <v>2010</v>
      </c>
      <c r="G4791">
        <v>12.520799999999999</v>
      </c>
    </row>
    <row r="4792" spans="1:7">
      <c r="A4792" t="s">
        <v>1297</v>
      </c>
      <c r="B4792" t="s">
        <v>1298</v>
      </c>
      <c r="C4792" t="s">
        <v>289</v>
      </c>
      <c r="D4792" t="s">
        <v>1364</v>
      </c>
      <c r="E4792" t="s">
        <v>187</v>
      </c>
      <c r="F4792">
        <v>2012</v>
      </c>
      <c r="G4792">
        <v>10.9404</v>
      </c>
    </row>
    <row r="4793" spans="1:7">
      <c r="A4793" t="s">
        <v>1297</v>
      </c>
      <c r="B4793" t="s">
        <v>1298</v>
      </c>
      <c r="C4793" t="s">
        <v>289</v>
      </c>
      <c r="D4793" t="s">
        <v>1364</v>
      </c>
      <c r="E4793" t="s">
        <v>187</v>
      </c>
      <c r="F4793">
        <v>2016</v>
      </c>
      <c r="G4793">
        <v>12.333600000000001</v>
      </c>
    </row>
    <row r="4794" spans="1:7">
      <c r="A4794" t="s">
        <v>1297</v>
      </c>
      <c r="B4794" t="s">
        <v>1298</v>
      </c>
      <c r="C4794" t="s">
        <v>289</v>
      </c>
      <c r="D4794" t="s">
        <v>1364</v>
      </c>
      <c r="E4794" t="s">
        <v>187</v>
      </c>
      <c r="F4794">
        <v>2020</v>
      </c>
      <c r="G4794">
        <v>13.00536</v>
      </c>
    </row>
    <row r="4795" spans="1:7">
      <c r="A4795" t="s">
        <v>1297</v>
      </c>
      <c r="B4795" t="s">
        <v>1298</v>
      </c>
      <c r="C4795" t="s">
        <v>659</v>
      </c>
      <c r="D4795" t="s">
        <v>1364</v>
      </c>
      <c r="E4795" t="s">
        <v>187</v>
      </c>
      <c r="F4795">
        <v>2005</v>
      </c>
      <c r="G4795">
        <v>378.12959999999998</v>
      </c>
    </row>
    <row r="4796" spans="1:7">
      <c r="A4796" t="s">
        <v>1297</v>
      </c>
      <c r="B4796" t="s">
        <v>1298</v>
      </c>
      <c r="C4796" t="s">
        <v>659</v>
      </c>
      <c r="D4796" t="s">
        <v>1364</v>
      </c>
      <c r="E4796" t="s">
        <v>187</v>
      </c>
      <c r="F4796">
        <v>2010</v>
      </c>
      <c r="G4796">
        <v>264.56400000000002</v>
      </c>
    </row>
    <row r="4797" spans="1:7">
      <c r="A4797" t="s">
        <v>1297</v>
      </c>
      <c r="B4797" t="s">
        <v>1298</v>
      </c>
      <c r="C4797" t="s">
        <v>659</v>
      </c>
      <c r="D4797" t="s">
        <v>1364</v>
      </c>
      <c r="E4797" t="s">
        <v>187</v>
      </c>
      <c r="F4797">
        <v>2012</v>
      </c>
      <c r="G4797">
        <v>260.87759999999997</v>
      </c>
    </row>
    <row r="4798" spans="1:7">
      <c r="A4798" t="s">
        <v>1297</v>
      </c>
      <c r="B4798" t="s">
        <v>1298</v>
      </c>
      <c r="C4798" t="s">
        <v>686</v>
      </c>
      <c r="D4798" t="s">
        <v>1364</v>
      </c>
      <c r="E4798" t="s">
        <v>187</v>
      </c>
      <c r="F4798">
        <v>2016</v>
      </c>
      <c r="G4798">
        <v>28.803599999999999</v>
      </c>
    </row>
    <row r="4799" spans="1:7">
      <c r="A4799" t="s">
        <v>1297</v>
      </c>
      <c r="B4799" t="s">
        <v>1298</v>
      </c>
      <c r="C4799" t="s">
        <v>686</v>
      </c>
      <c r="D4799" t="s">
        <v>1364</v>
      </c>
      <c r="E4799" t="s">
        <v>187</v>
      </c>
      <c r="F4799">
        <v>2020</v>
      </c>
      <c r="G4799">
        <v>31.618994000000001</v>
      </c>
    </row>
    <row r="4800" spans="1:7">
      <c r="A4800" t="s">
        <v>1297</v>
      </c>
      <c r="B4800" t="s">
        <v>1298</v>
      </c>
      <c r="C4800" t="s">
        <v>659</v>
      </c>
      <c r="D4800" t="s">
        <v>1364</v>
      </c>
      <c r="E4800" t="s">
        <v>187</v>
      </c>
      <c r="F4800">
        <v>2016</v>
      </c>
      <c r="G4800">
        <v>280.43639999999999</v>
      </c>
    </row>
    <row r="4801" spans="1:7">
      <c r="A4801" t="s">
        <v>1297</v>
      </c>
      <c r="B4801" t="s">
        <v>1298</v>
      </c>
      <c r="C4801" t="s">
        <v>659</v>
      </c>
      <c r="D4801" t="s">
        <v>1364</v>
      </c>
      <c r="E4801" t="s">
        <v>187</v>
      </c>
      <c r="F4801">
        <v>2020</v>
      </c>
      <c r="G4801">
        <v>273.33</v>
      </c>
    </row>
    <row r="4802" spans="1:7">
      <c r="A4802" t="s">
        <v>1297</v>
      </c>
      <c r="B4802" t="s">
        <v>1298</v>
      </c>
      <c r="C4802" t="s">
        <v>676</v>
      </c>
      <c r="D4802" t="s">
        <v>1364</v>
      </c>
      <c r="E4802" t="s">
        <v>187</v>
      </c>
      <c r="F4802">
        <v>2005</v>
      </c>
      <c r="G4802">
        <v>39.7224</v>
      </c>
    </row>
    <row r="4803" spans="1:7">
      <c r="A4803" t="s">
        <v>1297</v>
      </c>
      <c r="B4803" t="s">
        <v>1298</v>
      </c>
      <c r="C4803" t="s">
        <v>676</v>
      </c>
      <c r="D4803" t="s">
        <v>1364</v>
      </c>
      <c r="E4803" t="s">
        <v>187</v>
      </c>
      <c r="F4803">
        <v>2010</v>
      </c>
      <c r="G4803">
        <v>39.337200000000003</v>
      </c>
    </row>
    <row r="4804" spans="1:7">
      <c r="A4804" t="s">
        <v>1297</v>
      </c>
      <c r="B4804" t="s">
        <v>1298</v>
      </c>
      <c r="C4804" t="s">
        <v>676</v>
      </c>
      <c r="D4804" t="s">
        <v>1364</v>
      </c>
      <c r="E4804" t="s">
        <v>187</v>
      </c>
      <c r="F4804">
        <v>2012</v>
      </c>
      <c r="G4804">
        <v>42.8688</v>
      </c>
    </row>
    <row r="4805" spans="1:7">
      <c r="A4805" t="s">
        <v>1297</v>
      </c>
      <c r="B4805" t="s">
        <v>1298</v>
      </c>
      <c r="C4805" t="s">
        <v>676</v>
      </c>
      <c r="D4805" t="s">
        <v>1364</v>
      </c>
      <c r="E4805" t="s">
        <v>187</v>
      </c>
      <c r="F4805">
        <v>2016</v>
      </c>
      <c r="G4805">
        <v>43.506</v>
      </c>
    </row>
    <row r="4806" spans="1:7">
      <c r="A4806" t="s">
        <v>1297</v>
      </c>
      <c r="B4806" t="s">
        <v>1298</v>
      </c>
      <c r="C4806" t="s">
        <v>676</v>
      </c>
      <c r="D4806" t="s">
        <v>1364</v>
      </c>
      <c r="E4806" t="s">
        <v>187</v>
      </c>
      <c r="F4806">
        <v>2020</v>
      </c>
      <c r="G4806">
        <v>44.085599999999999</v>
      </c>
    </row>
    <row r="4807" spans="1:7">
      <c r="A4807" t="s">
        <v>1297</v>
      </c>
      <c r="B4807" t="s">
        <v>1298</v>
      </c>
      <c r="C4807" t="s">
        <v>673</v>
      </c>
      <c r="D4807" t="s">
        <v>1364</v>
      </c>
      <c r="E4807" t="s">
        <v>187</v>
      </c>
      <c r="F4807">
        <v>2005</v>
      </c>
      <c r="G4807">
        <v>85.2624</v>
      </c>
    </row>
    <row r="4808" spans="1:7">
      <c r="A4808" t="s">
        <v>1297</v>
      </c>
      <c r="B4808" t="s">
        <v>1298</v>
      </c>
      <c r="C4808" t="s">
        <v>673</v>
      </c>
      <c r="D4808" t="s">
        <v>1364</v>
      </c>
      <c r="E4808" t="s">
        <v>187</v>
      </c>
      <c r="F4808">
        <v>2010</v>
      </c>
      <c r="G4808">
        <v>73.371600000000001</v>
      </c>
    </row>
    <row r="4809" spans="1:7">
      <c r="A4809" t="s">
        <v>1297</v>
      </c>
      <c r="B4809" t="s">
        <v>1298</v>
      </c>
      <c r="C4809" t="s">
        <v>673</v>
      </c>
      <c r="D4809" t="s">
        <v>1364</v>
      </c>
      <c r="E4809" t="s">
        <v>187</v>
      </c>
      <c r="F4809">
        <v>2012</v>
      </c>
      <c r="G4809">
        <v>73.457999999999998</v>
      </c>
    </row>
    <row r="4810" spans="1:7">
      <c r="A4810" t="s">
        <v>1297</v>
      </c>
      <c r="B4810" t="s">
        <v>1298</v>
      </c>
      <c r="C4810" t="s">
        <v>673</v>
      </c>
      <c r="D4810" t="s">
        <v>1364</v>
      </c>
      <c r="E4810" t="s">
        <v>187</v>
      </c>
      <c r="F4810">
        <v>2016</v>
      </c>
      <c r="G4810">
        <v>74.941199999999995</v>
      </c>
    </row>
    <row r="4811" spans="1:7">
      <c r="A4811" t="s">
        <v>1297</v>
      </c>
      <c r="B4811" t="s">
        <v>1298</v>
      </c>
      <c r="C4811" t="s">
        <v>673</v>
      </c>
      <c r="D4811" t="s">
        <v>1364</v>
      </c>
      <c r="E4811" t="s">
        <v>187</v>
      </c>
      <c r="F4811">
        <v>2020</v>
      </c>
      <c r="G4811">
        <v>79.015482000000006</v>
      </c>
    </row>
    <row r="4812" spans="1:7">
      <c r="A4812" t="s">
        <v>1297</v>
      </c>
      <c r="B4812" t="s">
        <v>1298</v>
      </c>
      <c r="C4812" t="s">
        <v>1301</v>
      </c>
      <c r="D4812" t="s">
        <v>1364</v>
      </c>
      <c r="E4812" t="s">
        <v>187</v>
      </c>
      <c r="F4812">
        <v>2005</v>
      </c>
      <c r="G4812">
        <v>218.41560000000001</v>
      </c>
    </row>
    <row r="4813" spans="1:7">
      <c r="A4813" t="s">
        <v>1297</v>
      </c>
      <c r="B4813" t="s">
        <v>1298</v>
      </c>
      <c r="C4813" t="s">
        <v>1301</v>
      </c>
      <c r="D4813" t="s">
        <v>1364</v>
      </c>
      <c r="E4813" t="s">
        <v>187</v>
      </c>
      <c r="F4813">
        <v>2010</v>
      </c>
      <c r="G4813">
        <v>278.262</v>
      </c>
    </row>
    <row r="4814" spans="1:7">
      <c r="A4814" t="s">
        <v>1297</v>
      </c>
      <c r="B4814" t="s">
        <v>1298</v>
      </c>
      <c r="C4814" t="s">
        <v>1301</v>
      </c>
      <c r="D4814" t="s">
        <v>1364</v>
      </c>
      <c r="E4814" t="s">
        <v>187</v>
      </c>
      <c r="F4814">
        <v>2012</v>
      </c>
      <c r="G4814">
        <v>324.99</v>
      </c>
    </row>
    <row r="4815" spans="1:7">
      <c r="A4815" t="s">
        <v>1297</v>
      </c>
      <c r="B4815" t="s">
        <v>1298</v>
      </c>
      <c r="C4815" t="s">
        <v>1301</v>
      </c>
      <c r="D4815" t="s">
        <v>1364</v>
      </c>
      <c r="E4815" t="s">
        <v>187</v>
      </c>
      <c r="F4815">
        <v>2016</v>
      </c>
      <c r="G4815">
        <v>378.9468</v>
      </c>
    </row>
    <row r="4816" spans="1:7">
      <c r="A4816" t="s">
        <v>1297</v>
      </c>
      <c r="B4816" t="s">
        <v>1298</v>
      </c>
      <c r="C4816" t="s">
        <v>1301</v>
      </c>
      <c r="D4816" t="s">
        <v>1364</v>
      </c>
      <c r="E4816" t="s">
        <v>187</v>
      </c>
      <c r="F4816">
        <v>2020</v>
      </c>
      <c r="G4816">
        <v>401.79475400000001</v>
      </c>
    </row>
    <row r="4817" spans="1:7">
      <c r="A4817" t="s">
        <v>1297</v>
      </c>
      <c r="B4817" t="s">
        <v>1298</v>
      </c>
      <c r="C4817" t="s">
        <v>674</v>
      </c>
      <c r="D4817" t="s">
        <v>1364</v>
      </c>
      <c r="E4817" t="s">
        <v>187</v>
      </c>
      <c r="F4817">
        <v>2005</v>
      </c>
      <c r="G4817">
        <v>207.2088</v>
      </c>
    </row>
    <row r="4818" spans="1:7">
      <c r="A4818" t="s">
        <v>1297</v>
      </c>
      <c r="B4818" t="s">
        <v>1298</v>
      </c>
      <c r="C4818" t="s">
        <v>674</v>
      </c>
      <c r="D4818" t="s">
        <v>1364</v>
      </c>
      <c r="E4818" t="s">
        <v>187</v>
      </c>
      <c r="F4818">
        <v>2010</v>
      </c>
      <c r="G4818">
        <v>195.78960000000001</v>
      </c>
    </row>
    <row r="4819" spans="1:7">
      <c r="A4819" t="s">
        <v>1297</v>
      </c>
      <c r="B4819" t="s">
        <v>1298</v>
      </c>
      <c r="C4819" t="s">
        <v>674</v>
      </c>
      <c r="D4819" t="s">
        <v>1364</v>
      </c>
      <c r="E4819" t="s">
        <v>187</v>
      </c>
      <c r="F4819">
        <v>2012</v>
      </c>
      <c r="G4819">
        <v>194.6772</v>
      </c>
    </row>
    <row r="4820" spans="1:7">
      <c r="A4820" t="s">
        <v>1297</v>
      </c>
      <c r="B4820" t="s">
        <v>1298</v>
      </c>
      <c r="C4820" t="s">
        <v>674</v>
      </c>
      <c r="D4820" t="s">
        <v>1364</v>
      </c>
      <c r="E4820" t="s">
        <v>187</v>
      </c>
      <c r="F4820">
        <v>2016</v>
      </c>
      <c r="G4820">
        <v>181.04040000000001</v>
      </c>
    </row>
    <row r="4821" spans="1:7">
      <c r="A4821" t="s">
        <v>1297</v>
      </c>
      <c r="B4821" t="s">
        <v>1298</v>
      </c>
      <c r="C4821" t="s">
        <v>674</v>
      </c>
      <c r="D4821" t="s">
        <v>1364</v>
      </c>
      <c r="E4821" t="s">
        <v>187</v>
      </c>
      <c r="F4821">
        <v>2020</v>
      </c>
      <c r="G4821">
        <v>178.1208</v>
      </c>
    </row>
    <row r="4822" spans="1:7">
      <c r="A4822" t="s">
        <v>1297</v>
      </c>
      <c r="B4822" t="s">
        <v>1298</v>
      </c>
      <c r="C4822" t="s">
        <v>684</v>
      </c>
      <c r="D4822" t="s">
        <v>1364</v>
      </c>
      <c r="E4822" t="s">
        <v>187</v>
      </c>
      <c r="F4822">
        <v>2005</v>
      </c>
      <c r="G4822">
        <v>9.3851999999999993</v>
      </c>
    </row>
    <row r="4823" spans="1:7">
      <c r="A4823" t="s">
        <v>1297</v>
      </c>
      <c r="B4823" t="s">
        <v>1298</v>
      </c>
      <c r="C4823" t="s">
        <v>684</v>
      </c>
      <c r="D4823" t="s">
        <v>1364</v>
      </c>
      <c r="E4823" t="s">
        <v>187</v>
      </c>
      <c r="F4823">
        <v>2010</v>
      </c>
      <c r="G4823">
        <v>6.6707999999999998</v>
      </c>
    </row>
    <row r="4824" spans="1:7">
      <c r="A4824" t="s">
        <v>1297</v>
      </c>
      <c r="B4824" t="s">
        <v>1298</v>
      </c>
      <c r="C4824" t="s">
        <v>684</v>
      </c>
      <c r="D4824" t="s">
        <v>1364</v>
      </c>
      <c r="E4824" t="s">
        <v>187</v>
      </c>
      <c r="F4824">
        <v>2012</v>
      </c>
      <c r="G4824">
        <v>6.6779999999999999</v>
      </c>
    </row>
    <row r="4825" spans="1:7">
      <c r="A4825" t="s">
        <v>1297</v>
      </c>
      <c r="B4825" t="s">
        <v>1298</v>
      </c>
      <c r="C4825" t="s">
        <v>684</v>
      </c>
      <c r="D4825" t="s">
        <v>1364</v>
      </c>
      <c r="E4825" t="s">
        <v>187</v>
      </c>
      <c r="F4825">
        <v>2016</v>
      </c>
      <c r="G4825">
        <v>2.3759999999999999</v>
      </c>
    </row>
    <row r="4826" spans="1:7">
      <c r="A4826" t="s">
        <v>1297</v>
      </c>
      <c r="B4826" t="s">
        <v>1298</v>
      </c>
      <c r="C4826" t="s">
        <v>684</v>
      </c>
      <c r="D4826" t="s">
        <v>1364</v>
      </c>
      <c r="E4826" t="s">
        <v>187</v>
      </c>
      <c r="F4826">
        <v>2020</v>
      </c>
      <c r="G4826">
        <v>2.5146000000000002</v>
      </c>
    </row>
    <row r="4827" spans="1:7">
      <c r="A4827" t="s">
        <v>1297</v>
      </c>
      <c r="B4827" t="s">
        <v>1298</v>
      </c>
      <c r="C4827" t="s">
        <v>664</v>
      </c>
      <c r="D4827" t="s">
        <v>1364</v>
      </c>
      <c r="E4827" t="s">
        <v>187</v>
      </c>
      <c r="F4827">
        <v>2005</v>
      </c>
      <c r="G4827">
        <v>27.191153</v>
      </c>
    </row>
    <row r="4828" spans="1:7">
      <c r="A4828" t="s">
        <v>1297</v>
      </c>
      <c r="B4828" t="s">
        <v>1298</v>
      </c>
      <c r="C4828" t="s">
        <v>664</v>
      </c>
      <c r="D4828" t="s">
        <v>1364</v>
      </c>
      <c r="E4828" t="s">
        <v>187</v>
      </c>
      <c r="F4828">
        <v>2010</v>
      </c>
      <c r="G4828">
        <v>20.515363000000001</v>
      </c>
    </row>
    <row r="4829" spans="1:7">
      <c r="A4829" t="s">
        <v>1297</v>
      </c>
      <c r="B4829" t="s">
        <v>1298</v>
      </c>
      <c r="C4829" t="s">
        <v>664</v>
      </c>
      <c r="D4829" t="s">
        <v>1364</v>
      </c>
      <c r="E4829" t="s">
        <v>187</v>
      </c>
      <c r="F4829">
        <v>2012</v>
      </c>
      <c r="G4829">
        <v>20.033747999999999</v>
      </c>
    </row>
    <row r="4830" spans="1:7">
      <c r="A4830" t="s">
        <v>1297</v>
      </c>
      <c r="B4830" t="s">
        <v>1298</v>
      </c>
      <c r="C4830" t="s">
        <v>664</v>
      </c>
      <c r="D4830" t="s">
        <v>1364</v>
      </c>
      <c r="E4830" t="s">
        <v>187</v>
      </c>
      <c r="F4830">
        <v>2016</v>
      </c>
      <c r="G4830">
        <v>24.146006</v>
      </c>
    </row>
    <row r="4831" spans="1:7">
      <c r="A4831" t="s">
        <v>1297</v>
      </c>
      <c r="B4831" t="s">
        <v>1298</v>
      </c>
      <c r="C4831" t="s">
        <v>664</v>
      </c>
      <c r="D4831" t="s">
        <v>1364</v>
      </c>
      <c r="E4831" t="s">
        <v>187</v>
      </c>
      <c r="F4831">
        <v>2020</v>
      </c>
      <c r="G4831">
        <v>26.858315000000001</v>
      </c>
    </row>
    <row r="4832" spans="1:7">
      <c r="A4832" t="s">
        <v>1297</v>
      </c>
      <c r="B4832" t="s">
        <v>1298</v>
      </c>
      <c r="C4832" t="s">
        <v>686</v>
      </c>
      <c r="D4832" t="s">
        <v>1364</v>
      </c>
      <c r="E4832" t="s">
        <v>187</v>
      </c>
      <c r="F4832">
        <v>2005</v>
      </c>
      <c r="G4832">
        <v>21.7944</v>
      </c>
    </row>
    <row r="4833" spans="1:7">
      <c r="A4833" t="s">
        <v>1297</v>
      </c>
      <c r="B4833" t="s">
        <v>1298</v>
      </c>
      <c r="C4833" t="s">
        <v>686</v>
      </c>
      <c r="D4833" t="s">
        <v>1364</v>
      </c>
      <c r="E4833" t="s">
        <v>187</v>
      </c>
      <c r="F4833">
        <v>2010</v>
      </c>
      <c r="G4833">
        <v>26.9604</v>
      </c>
    </row>
    <row r="4834" spans="1:7">
      <c r="A4834" t="s">
        <v>1297</v>
      </c>
      <c r="B4834" t="s">
        <v>1298</v>
      </c>
      <c r="C4834" t="s">
        <v>686</v>
      </c>
      <c r="D4834" t="s">
        <v>1364</v>
      </c>
      <c r="E4834" t="s">
        <v>187</v>
      </c>
      <c r="F4834">
        <v>2012</v>
      </c>
      <c r="G4834">
        <v>25.574400000000001</v>
      </c>
    </row>
    <row r="4835" spans="1:7">
      <c r="A4835" t="s">
        <v>1297</v>
      </c>
      <c r="B4835" t="s">
        <v>1298</v>
      </c>
      <c r="C4835" t="s">
        <v>662</v>
      </c>
      <c r="D4835" t="s">
        <v>1364</v>
      </c>
      <c r="E4835" t="s">
        <v>187</v>
      </c>
      <c r="F4835">
        <v>2010</v>
      </c>
      <c r="G4835">
        <v>50.911200000000001</v>
      </c>
    </row>
    <row r="4836" spans="1:7">
      <c r="A4836" t="s">
        <v>1297</v>
      </c>
      <c r="B4836" t="s">
        <v>1298</v>
      </c>
      <c r="C4836" t="s">
        <v>662</v>
      </c>
      <c r="D4836" t="s">
        <v>1364</v>
      </c>
      <c r="E4836" t="s">
        <v>187</v>
      </c>
      <c r="F4836">
        <v>2012</v>
      </c>
      <c r="G4836">
        <v>41.662799999999997</v>
      </c>
    </row>
    <row r="4837" spans="1:7">
      <c r="A4837" t="s">
        <v>1297</v>
      </c>
      <c r="B4837" t="s">
        <v>1298</v>
      </c>
      <c r="C4837" t="s">
        <v>662</v>
      </c>
      <c r="D4837" t="s">
        <v>1364</v>
      </c>
      <c r="E4837" t="s">
        <v>187</v>
      </c>
      <c r="F4837">
        <v>2016</v>
      </c>
      <c r="G4837">
        <v>40.625999999999998</v>
      </c>
    </row>
    <row r="4838" spans="1:7">
      <c r="A4838" t="s">
        <v>1297</v>
      </c>
      <c r="B4838" t="s">
        <v>1298</v>
      </c>
      <c r="C4838" t="s">
        <v>662</v>
      </c>
      <c r="D4838" t="s">
        <v>1364</v>
      </c>
      <c r="E4838" t="s">
        <v>187</v>
      </c>
      <c r="F4838">
        <v>2020</v>
      </c>
      <c r="G4838">
        <v>44.308224000000003</v>
      </c>
    </row>
    <row r="4839" spans="1:7">
      <c r="A4839" t="s">
        <v>1297</v>
      </c>
      <c r="B4839" t="s">
        <v>1298</v>
      </c>
      <c r="C4839" t="s">
        <v>655</v>
      </c>
      <c r="D4839" t="s">
        <v>1364</v>
      </c>
      <c r="E4839" t="s">
        <v>187</v>
      </c>
      <c r="F4839">
        <v>2005</v>
      </c>
      <c r="G4839">
        <v>83.322000000000003</v>
      </c>
    </row>
    <row r="4840" spans="1:7">
      <c r="A4840" t="s">
        <v>1297</v>
      </c>
      <c r="B4840" t="s">
        <v>1298</v>
      </c>
      <c r="C4840" t="s">
        <v>655</v>
      </c>
      <c r="D4840" t="s">
        <v>1364</v>
      </c>
      <c r="E4840" t="s">
        <v>187</v>
      </c>
      <c r="F4840">
        <v>2010</v>
      </c>
      <c r="G4840">
        <v>78.454800000000006</v>
      </c>
    </row>
    <row r="4841" spans="1:7">
      <c r="A4841" t="s">
        <v>1297</v>
      </c>
      <c r="B4841" t="s">
        <v>1298</v>
      </c>
      <c r="C4841" t="s">
        <v>655</v>
      </c>
      <c r="D4841" t="s">
        <v>1364</v>
      </c>
      <c r="E4841" t="s">
        <v>187</v>
      </c>
      <c r="F4841">
        <v>2012</v>
      </c>
      <c r="G4841">
        <v>80.557199999999995</v>
      </c>
    </row>
    <row r="4842" spans="1:7">
      <c r="A4842" t="s">
        <v>1297</v>
      </c>
      <c r="B4842" t="s">
        <v>1298</v>
      </c>
      <c r="C4842" t="s">
        <v>655</v>
      </c>
      <c r="D4842" t="s">
        <v>1364</v>
      </c>
      <c r="E4842" t="s">
        <v>187</v>
      </c>
      <c r="F4842">
        <v>2016</v>
      </c>
      <c r="G4842">
        <v>82.821600000000004</v>
      </c>
    </row>
    <row r="4843" spans="1:7">
      <c r="A4843" t="s">
        <v>1297</v>
      </c>
      <c r="B4843" t="s">
        <v>1298</v>
      </c>
      <c r="C4843" t="s">
        <v>655</v>
      </c>
      <c r="D4843" t="s">
        <v>1364</v>
      </c>
      <c r="E4843" t="s">
        <v>187</v>
      </c>
      <c r="F4843">
        <v>2020</v>
      </c>
      <c r="G4843">
        <v>87.525949999999995</v>
      </c>
    </row>
    <row r="4844" spans="1:7">
      <c r="A4844" t="s">
        <v>1297</v>
      </c>
      <c r="B4844" t="s">
        <v>1298</v>
      </c>
      <c r="C4844" t="s">
        <v>1299</v>
      </c>
      <c r="D4844" t="s">
        <v>1364</v>
      </c>
      <c r="E4844" t="s">
        <v>187</v>
      </c>
      <c r="F4844">
        <v>2005</v>
      </c>
      <c r="G4844">
        <v>236.55240000000001</v>
      </c>
    </row>
    <row r="4845" spans="1:7">
      <c r="A4845" t="s">
        <v>1297</v>
      </c>
      <c r="B4845" t="s">
        <v>1298</v>
      </c>
      <c r="C4845" t="s">
        <v>1299</v>
      </c>
      <c r="D4845" t="s">
        <v>1364</v>
      </c>
      <c r="E4845" t="s">
        <v>187</v>
      </c>
      <c r="F4845">
        <v>2010</v>
      </c>
      <c r="G4845">
        <v>237.27959999999999</v>
      </c>
    </row>
    <row r="4846" spans="1:7">
      <c r="A4846" t="s">
        <v>1297</v>
      </c>
      <c r="B4846" t="s">
        <v>1298</v>
      </c>
      <c r="C4846" t="s">
        <v>1299</v>
      </c>
      <c r="D4846" t="s">
        <v>1364</v>
      </c>
      <c r="E4846" t="s">
        <v>187</v>
      </c>
      <c r="F4846">
        <v>2012</v>
      </c>
      <c r="G4846">
        <v>227.1636</v>
      </c>
    </row>
    <row r="4847" spans="1:7">
      <c r="A4847" t="s">
        <v>1297</v>
      </c>
      <c r="B4847" t="s">
        <v>1298</v>
      </c>
      <c r="C4847" t="s">
        <v>1299</v>
      </c>
      <c r="D4847" t="s">
        <v>1364</v>
      </c>
      <c r="E4847" t="s">
        <v>187</v>
      </c>
      <c r="F4847">
        <v>2016</v>
      </c>
      <c r="G4847">
        <v>179.7876</v>
      </c>
    </row>
    <row r="4848" spans="1:7">
      <c r="A4848" t="s">
        <v>1297</v>
      </c>
      <c r="B4848" t="s">
        <v>1298</v>
      </c>
      <c r="C4848" t="s">
        <v>1299</v>
      </c>
      <c r="D4848" t="s">
        <v>1364</v>
      </c>
      <c r="E4848" t="s">
        <v>187</v>
      </c>
      <c r="F4848">
        <v>2020</v>
      </c>
      <c r="G4848">
        <v>174.92939999999999</v>
      </c>
    </row>
    <row r="4849" spans="1:7">
      <c r="A4849" t="s">
        <v>1297</v>
      </c>
      <c r="B4849" t="s">
        <v>1298</v>
      </c>
      <c r="C4849" t="s">
        <v>661</v>
      </c>
      <c r="D4849" t="s">
        <v>1364</v>
      </c>
      <c r="E4849" t="s">
        <v>187</v>
      </c>
      <c r="F4849">
        <v>2005</v>
      </c>
      <c r="G4849">
        <v>502.36919999999998</v>
      </c>
    </row>
    <row r="4850" spans="1:7">
      <c r="A4850" t="s">
        <v>1297</v>
      </c>
      <c r="B4850" t="s">
        <v>1298</v>
      </c>
      <c r="C4850" t="s">
        <v>661</v>
      </c>
      <c r="D4850" t="s">
        <v>1364</v>
      </c>
      <c r="E4850" t="s">
        <v>187</v>
      </c>
      <c r="F4850">
        <v>2010</v>
      </c>
      <c r="G4850">
        <v>422.79840000000002</v>
      </c>
    </row>
    <row r="4851" spans="1:7">
      <c r="A4851" t="s">
        <v>1297</v>
      </c>
      <c r="B4851" t="s">
        <v>1298</v>
      </c>
      <c r="C4851" t="s">
        <v>661</v>
      </c>
      <c r="D4851" t="s">
        <v>1364</v>
      </c>
      <c r="E4851" t="s">
        <v>187</v>
      </c>
      <c r="F4851">
        <v>2012</v>
      </c>
      <c r="G4851">
        <v>430.95617299999998</v>
      </c>
    </row>
    <row r="4852" spans="1:7">
      <c r="A4852" t="s">
        <v>1297</v>
      </c>
      <c r="B4852" t="s">
        <v>1298</v>
      </c>
      <c r="C4852" t="s">
        <v>661</v>
      </c>
      <c r="D4852" t="s">
        <v>1364</v>
      </c>
      <c r="E4852" t="s">
        <v>187</v>
      </c>
      <c r="F4852">
        <v>2016</v>
      </c>
      <c r="G4852">
        <v>423.74135899999999</v>
      </c>
    </row>
    <row r="4853" spans="1:7">
      <c r="A4853" t="s">
        <v>1297</v>
      </c>
      <c r="B4853" t="s">
        <v>1298</v>
      </c>
      <c r="C4853" t="s">
        <v>661</v>
      </c>
      <c r="D4853" t="s">
        <v>1364</v>
      </c>
      <c r="E4853" t="s">
        <v>187</v>
      </c>
      <c r="F4853">
        <v>2020</v>
      </c>
      <c r="G4853">
        <v>415.88818199999997</v>
      </c>
    </row>
    <row r="4854" spans="1:7">
      <c r="A4854" t="s">
        <v>1297</v>
      </c>
      <c r="B4854" t="s">
        <v>1298</v>
      </c>
      <c r="C4854" t="s">
        <v>656</v>
      </c>
      <c r="D4854" t="s">
        <v>1364</v>
      </c>
      <c r="E4854" t="s">
        <v>187</v>
      </c>
      <c r="F4854">
        <v>2005</v>
      </c>
      <c r="G4854">
        <v>830.01959999999997</v>
      </c>
    </row>
    <row r="4855" spans="1:7">
      <c r="A4855" t="s">
        <v>1297</v>
      </c>
      <c r="B4855" t="s">
        <v>1298</v>
      </c>
      <c r="C4855" t="s">
        <v>656</v>
      </c>
      <c r="D4855" t="s">
        <v>1364</v>
      </c>
      <c r="E4855" t="s">
        <v>187</v>
      </c>
      <c r="F4855">
        <v>2010</v>
      </c>
      <c r="G4855">
        <v>822.61800000000005</v>
      </c>
    </row>
    <row r="4856" spans="1:7">
      <c r="A4856" t="s">
        <v>1297</v>
      </c>
      <c r="B4856" t="s">
        <v>1298</v>
      </c>
      <c r="C4856" t="s">
        <v>656</v>
      </c>
      <c r="D4856" t="s">
        <v>1364</v>
      </c>
      <c r="E4856" t="s">
        <v>187</v>
      </c>
      <c r="F4856">
        <v>2012</v>
      </c>
      <c r="G4856">
        <v>830.13120000000004</v>
      </c>
    </row>
    <row r="4857" spans="1:7">
      <c r="A4857" t="s">
        <v>1297</v>
      </c>
      <c r="B4857" t="s">
        <v>1298</v>
      </c>
      <c r="C4857" t="s">
        <v>656</v>
      </c>
      <c r="D4857" t="s">
        <v>1364</v>
      </c>
      <c r="E4857" t="s">
        <v>187</v>
      </c>
      <c r="F4857">
        <v>2016</v>
      </c>
      <c r="G4857">
        <v>830.06640000000004</v>
      </c>
    </row>
    <row r="4858" spans="1:7">
      <c r="A4858" t="s">
        <v>1297</v>
      </c>
      <c r="B4858" t="s">
        <v>1298</v>
      </c>
      <c r="C4858" t="s">
        <v>656</v>
      </c>
      <c r="D4858" t="s">
        <v>1364</v>
      </c>
      <c r="E4858" t="s">
        <v>187</v>
      </c>
      <c r="F4858">
        <v>2020</v>
      </c>
      <c r="G4858">
        <v>804.41279999999995</v>
      </c>
    </row>
    <row r="4859" spans="1:7">
      <c r="A4859" t="s">
        <v>1297</v>
      </c>
      <c r="B4859" t="s">
        <v>1298</v>
      </c>
      <c r="C4859" t="s">
        <v>660</v>
      </c>
      <c r="D4859" t="s">
        <v>1364</v>
      </c>
      <c r="E4859" t="s">
        <v>187</v>
      </c>
      <c r="F4859">
        <v>2005</v>
      </c>
      <c r="G4859">
        <v>155.0016</v>
      </c>
    </row>
    <row r="4860" spans="1:7">
      <c r="A4860" t="s">
        <v>1297</v>
      </c>
      <c r="B4860" t="s">
        <v>1298</v>
      </c>
      <c r="C4860" t="s">
        <v>660</v>
      </c>
      <c r="D4860" t="s">
        <v>1364</v>
      </c>
      <c r="E4860" t="s">
        <v>187</v>
      </c>
      <c r="F4860">
        <v>2010</v>
      </c>
      <c r="G4860">
        <v>145.29599999999999</v>
      </c>
    </row>
    <row r="4861" spans="1:7">
      <c r="A4861" t="s">
        <v>1297</v>
      </c>
      <c r="B4861" t="s">
        <v>1298</v>
      </c>
      <c r="C4861" t="s">
        <v>660</v>
      </c>
      <c r="D4861" t="s">
        <v>1364</v>
      </c>
      <c r="E4861" t="s">
        <v>187</v>
      </c>
      <c r="F4861">
        <v>2012</v>
      </c>
      <c r="G4861">
        <v>137.39400000000001</v>
      </c>
    </row>
    <row r="4862" spans="1:7">
      <c r="A4862" t="s">
        <v>1297</v>
      </c>
      <c r="B4862" t="s">
        <v>1298</v>
      </c>
      <c r="C4862" t="s">
        <v>660</v>
      </c>
      <c r="D4862" t="s">
        <v>1364</v>
      </c>
      <c r="E4862" t="s">
        <v>187</v>
      </c>
      <c r="F4862">
        <v>2016</v>
      </c>
      <c r="G4862">
        <v>138.61080000000001</v>
      </c>
    </row>
    <row r="4863" spans="1:7">
      <c r="A4863" t="s">
        <v>1297</v>
      </c>
      <c r="B4863" t="s">
        <v>1298</v>
      </c>
      <c r="C4863" t="s">
        <v>660</v>
      </c>
      <c r="D4863" t="s">
        <v>1364</v>
      </c>
      <c r="E4863" t="s">
        <v>187</v>
      </c>
      <c r="F4863">
        <v>2020</v>
      </c>
      <c r="G4863">
        <v>140.00399999999999</v>
      </c>
    </row>
    <row r="4864" spans="1:7">
      <c r="A4864" t="s">
        <v>1297</v>
      </c>
      <c r="B4864" t="s">
        <v>1298</v>
      </c>
      <c r="C4864" t="s">
        <v>669</v>
      </c>
      <c r="D4864" t="s">
        <v>1364</v>
      </c>
      <c r="E4864" t="s">
        <v>187</v>
      </c>
      <c r="F4864">
        <v>2005</v>
      </c>
      <c r="G4864">
        <v>1.7387999999999999</v>
      </c>
    </row>
    <row r="4865" spans="1:7">
      <c r="A4865" t="s">
        <v>1297</v>
      </c>
      <c r="B4865" t="s">
        <v>1298</v>
      </c>
      <c r="C4865" t="s">
        <v>669</v>
      </c>
      <c r="D4865" t="s">
        <v>1364</v>
      </c>
      <c r="E4865" t="s">
        <v>187</v>
      </c>
      <c r="F4865">
        <v>2010</v>
      </c>
      <c r="G4865">
        <v>1.4292</v>
      </c>
    </row>
    <row r="4866" spans="1:7">
      <c r="A4866" t="s">
        <v>1297</v>
      </c>
      <c r="B4866" t="s">
        <v>1298</v>
      </c>
      <c r="C4866" t="s">
        <v>669</v>
      </c>
      <c r="D4866" t="s">
        <v>1364</v>
      </c>
      <c r="E4866" t="s">
        <v>187</v>
      </c>
      <c r="F4866">
        <v>2012</v>
      </c>
      <c r="G4866">
        <v>1.4508000000000001</v>
      </c>
    </row>
    <row r="4867" spans="1:7">
      <c r="A4867" t="s">
        <v>1297</v>
      </c>
      <c r="B4867" t="s">
        <v>1298</v>
      </c>
      <c r="C4867" t="s">
        <v>669</v>
      </c>
      <c r="D4867" t="s">
        <v>1364</v>
      </c>
      <c r="E4867" t="s">
        <v>187</v>
      </c>
      <c r="F4867">
        <v>2016</v>
      </c>
      <c r="G4867">
        <v>1.4796</v>
      </c>
    </row>
    <row r="4868" spans="1:7">
      <c r="A4868" t="s">
        <v>1297</v>
      </c>
      <c r="B4868" t="s">
        <v>1298</v>
      </c>
      <c r="C4868" t="s">
        <v>669</v>
      </c>
      <c r="D4868" t="s">
        <v>1364</v>
      </c>
      <c r="E4868" t="s">
        <v>187</v>
      </c>
      <c r="F4868">
        <v>2020</v>
      </c>
      <c r="G4868">
        <v>1.745374</v>
      </c>
    </row>
    <row r="4869" spans="1:7">
      <c r="A4869" t="s">
        <v>1297</v>
      </c>
      <c r="B4869" t="s">
        <v>1298</v>
      </c>
      <c r="C4869" t="s">
        <v>1302</v>
      </c>
      <c r="D4869" t="s">
        <v>1364</v>
      </c>
      <c r="E4869" t="s">
        <v>187</v>
      </c>
      <c r="F4869">
        <v>2005</v>
      </c>
      <c r="G4869">
        <v>1.1916</v>
      </c>
    </row>
    <row r="4870" spans="1:7">
      <c r="A4870" t="s">
        <v>1297</v>
      </c>
      <c r="B4870" t="s">
        <v>1298</v>
      </c>
      <c r="C4870" t="s">
        <v>1302</v>
      </c>
      <c r="D4870" t="s">
        <v>1364</v>
      </c>
      <c r="E4870" t="s">
        <v>187</v>
      </c>
      <c r="F4870">
        <v>2010</v>
      </c>
      <c r="G4870">
        <v>4.1508000000000003</v>
      </c>
    </row>
    <row r="4871" spans="1:7">
      <c r="A4871" t="s">
        <v>1297</v>
      </c>
      <c r="B4871" t="s">
        <v>1298</v>
      </c>
      <c r="C4871" t="s">
        <v>1302</v>
      </c>
      <c r="D4871" t="s">
        <v>1364</v>
      </c>
      <c r="E4871" t="s">
        <v>187</v>
      </c>
      <c r="F4871">
        <v>2012</v>
      </c>
      <c r="G4871">
        <v>4.5179999999999998</v>
      </c>
    </row>
    <row r="4872" spans="1:7">
      <c r="A4872" t="s">
        <v>1297</v>
      </c>
      <c r="B4872" t="s">
        <v>1298</v>
      </c>
      <c r="C4872" t="s">
        <v>1302</v>
      </c>
      <c r="D4872" t="s">
        <v>1364</v>
      </c>
      <c r="E4872" t="s">
        <v>187</v>
      </c>
      <c r="F4872">
        <v>2016</v>
      </c>
      <c r="G4872">
        <v>3.7728000000000002</v>
      </c>
    </row>
    <row r="4873" spans="1:7">
      <c r="A4873" t="s">
        <v>1297</v>
      </c>
      <c r="B4873" t="s">
        <v>1298</v>
      </c>
      <c r="C4873" t="s">
        <v>1302</v>
      </c>
      <c r="D4873" t="s">
        <v>1364</v>
      </c>
      <c r="E4873" t="s">
        <v>187</v>
      </c>
      <c r="F4873">
        <v>2020</v>
      </c>
      <c r="G4873">
        <v>3.7543899999999999</v>
      </c>
    </row>
    <row r="4874" spans="1:7">
      <c r="A4874" t="s">
        <v>1297</v>
      </c>
      <c r="B4874" t="s">
        <v>1298</v>
      </c>
      <c r="C4874" t="s">
        <v>651</v>
      </c>
      <c r="D4874" t="s">
        <v>1364</v>
      </c>
      <c r="E4874" t="s">
        <v>187</v>
      </c>
      <c r="F4874">
        <v>2005</v>
      </c>
      <c r="G4874">
        <v>87.871117999999996</v>
      </c>
    </row>
    <row r="4875" spans="1:7">
      <c r="A4875" t="s">
        <v>1297</v>
      </c>
      <c r="B4875" t="s">
        <v>1298</v>
      </c>
      <c r="C4875" t="s">
        <v>651</v>
      </c>
      <c r="D4875" t="s">
        <v>1364</v>
      </c>
      <c r="E4875" t="s">
        <v>187</v>
      </c>
      <c r="F4875">
        <v>2010</v>
      </c>
      <c r="G4875">
        <v>93.876645999999994</v>
      </c>
    </row>
    <row r="4876" spans="1:7">
      <c r="A4876" t="s">
        <v>1297</v>
      </c>
      <c r="B4876" t="s">
        <v>1298</v>
      </c>
      <c r="C4876" t="s">
        <v>651</v>
      </c>
      <c r="D4876" t="s">
        <v>1364</v>
      </c>
      <c r="E4876" t="s">
        <v>187</v>
      </c>
      <c r="F4876">
        <v>2012</v>
      </c>
      <c r="G4876">
        <v>96.774736000000004</v>
      </c>
    </row>
    <row r="4877" spans="1:7">
      <c r="A4877" t="s">
        <v>1297</v>
      </c>
      <c r="B4877" t="s">
        <v>1298</v>
      </c>
      <c r="C4877" t="s">
        <v>651</v>
      </c>
      <c r="D4877" t="s">
        <v>1364</v>
      </c>
      <c r="E4877" t="s">
        <v>187</v>
      </c>
      <c r="F4877">
        <v>2016</v>
      </c>
      <c r="G4877">
        <v>101.355588</v>
      </c>
    </row>
    <row r="4878" spans="1:7">
      <c r="A4878" t="s">
        <v>1297</v>
      </c>
      <c r="B4878" t="s">
        <v>1298</v>
      </c>
      <c r="C4878" t="s">
        <v>651</v>
      </c>
      <c r="D4878" t="s">
        <v>1364</v>
      </c>
      <c r="E4878" t="s">
        <v>187</v>
      </c>
      <c r="F4878">
        <v>2020</v>
      </c>
      <c r="G4878">
        <v>100.854677</v>
      </c>
    </row>
    <row r="4879" spans="1:7">
      <c r="A4879" t="s">
        <v>1297</v>
      </c>
      <c r="B4879" t="s">
        <v>1298</v>
      </c>
      <c r="C4879" t="s">
        <v>1303</v>
      </c>
      <c r="D4879" t="s">
        <v>1364</v>
      </c>
      <c r="E4879" t="s">
        <v>187</v>
      </c>
      <c r="F4879">
        <v>2016</v>
      </c>
      <c r="G4879">
        <v>10.4472</v>
      </c>
    </row>
    <row r="4880" spans="1:7">
      <c r="A4880" t="s">
        <v>1297</v>
      </c>
      <c r="B4880" t="s">
        <v>1298</v>
      </c>
      <c r="C4880" t="s">
        <v>1303</v>
      </c>
      <c r="D4880" t="s">
        <v>1364</v>
      </c>
      <c r="E4880" t="s">
        <v>187</v>
      </c>
      <c r="F4880">
        <v>2020</v>
      </c>
      <c r="G4880">
        <v>11.710087</v>
      </c>
    </row>
    <row r="4881" spans="1:7">
      <c r="A4881" t="s">
        <v>1297</v>
      </c>
      <c r="B4881" t="s">
        <v>1298</v>
      </c>
      <c r="C4881" t="s">
        <v>658</v>
      </c>
      <c r="D4881" t="s">
        <v>1364</v>
      </c>
      <c r="E4881" t="s">
        <v>187</v>
      </c>
      <c r="F4881">
        <v>2005</v>
      </c>
      <c r="G4881">
        <v>7.8048000000000002</v>
      </c>
    </row>
    <row r="4882" spans="1:7">
      <c r="A4882" t="s">
        <v>1297</v>
      </c>
      <c r="B4882" t="s">
        <v>1298</v>
      </c>
      <c r="C4882" t="s">
        <v>658</v>
      </c>
      <c r="D4882" t="s">
        <v>1364</v>
      </c>
      <c r="E4882" t="s">
        <v>187</v>
      </c>
      <c r="F4882">
        <v>2010</v>
      </c>
      <c r="G4882">
        <v>7.5419999999999998</v>
      </c>
    </row>
    <row r="4883" spans="1:7">
      <c r="A4883" t="s">
        <v>1297</v>
      </c>
      <c r="B4883" t="s">
        <v>1298</v>
      </c>
      <c r="C4883" t="s">
        <v>658</v>
      </c>
      <c r="D4883" t="s">
        <v>1364</v>
      </c>
      <c r="E4883" t="s">
        <v>187</v>
      </c>
      <c r="F4883">
        <v>2012</v>
      </c>
      <c r="G4883">
        <v>7.8731999999999998</v>
      </c>
    </row>
    <row r="4884" spans="1:7">
      <c r="A4884" t="s">
        <v>1297</v>
      </c>
      <c r="B4884" t="s">
        <v>1298</v>
      </c>
      <c r="C4884" t="s">
        <v>658</v>
      </c>
      <c r="D4884" t="s">
        <v>1364</v>
      </c>
      <c r="E4884" t="s">
        <v>187</v>
      </c>
      <c r="F4884">
        <v>2016</v>
      </c>
      <c r="G4884">
        <v>7.7472000000000003</v>
      </c>
    </row>
    <row r="4885" spans="1:7">
      <c r="A4885" t="s">
        <v>1297</v>
      </c>
      <c r="B4885" t="s">
        <v>1298</v>
      </c>
      <c r="C4885" t="s">
        <v>658</v>
      </c>
      <c r="D4885" t="s">
        <v>1364</v>
      </c>
      <c r="E4885" t="s">
        <v>187</v>
      </c>
      <c r="F4885">
        <v>2020</v>
      </c>
      <c r="G4885">
        <v>7.6749840000000003</v>
      </c>
    </row>
    <row r="4886" spans="1:7">
      <c r="A4886" t="s">
        <v>1297</v>
      </c>
      <c r="B4886" t="s">
        <v>1298</v>
      </c>
      <c r="C4886" t="s">
        <v>666</v>
      </c>
      <c r="D4886" t="s">
        <v>1364</v>
      </c>
      <c r="E4886" t="s">
        <v>187</v>
      </c>
      <c r="F4886">
        <v>2005</v>
      </c>
      <c r="G4886">
        <v>10.1988</v>
      </c>
    </row>
    <row r="4887" spans="1:7">
      <c r="A4887" t="s">
        <v>1297</v>
      </c>
      <c r="B4887" t="s">
        <v>1298</v>
      </c>
      <c r="C4887" t="s">
        <v>666</v>
      </c>
      <c r="D4887" t="s">
        <v>1364</v>
      </c>
      <c r="E4887" t="s">
        <v>187</v>
      </c>
      <c r="F4887">
        <v>2010</v>
      </c>
      <c r="G4887">
        <v>9.5543999999999993</v>
      </c>
    </row>
    <row r="4888" spans="1:7">
      <c r="A4888" t="s">
        <v>1297</v>
      </c>
      <c r="B4888" t="s">
        <v>1298</v>
      </c>
      <c r="C4888" t="s">
        <v>666</v>
      </c>
      <c r="D4888" t="s">
        <v>1364</v>
      </c>
      <c r="E4888" t="s">
        <v>187</v>
      </c>
      <c r="F4888">
        <v>2012</v>
      </c>
      <c r="G4888">
        <v>10.4688</v>
      </c>
    </row>
    <row r="4889" spans="1:7">
      <c r="A4889" t="s">
        <v>1297</v>
      </c>
      <c r="B4889" t="s">
        <v>1298</v>
      </c>
      <c r="C4889" t="s">
        <v>666</v>
      </c>
      <c r="D4889" t="s">
        <v>1364</v>
      </c>
      <c r="E4889" t="s">
        <v>187</v>
      </c>
      <c r="F4889">
        <v>2016</v>
      </c>
      <c r="G4889">
        <v>12.3012</v>
      </c>
    </row>
    <row r="4890" spans="1:7">
      <c r="A4890" t="s">
        <v>1297</v>
      </c>
      <c r="B4890" t="s">
        <v>1298</v>
      </c>
      <c r="C4890" t="s">
        <v>666</v>
      </c>
      <c r="D4890" t="s">
        <v>1364</v>
      </c>
      <c r="E4890" t="s">
        <v>187</v>
      </c>
      <c r="F4890">
        <v>2020</v>
      </c>
      <c r="G4890">
        <v>13.6584</v>
      </c>
    </row>
    <row r="4891" spans="1:7">
      <c r="A4891" t="s">
        <v>1297</v>
      </c>
      <c r="B4891" t="s">
        <v>1298</v>
      </c>
      <c r="C4891" t="s">
        <v>677</v>
      </c>
      <c r="D4891" t="s">
        <v>1364</v>
      </c>
      <c r="E4891" t="s">
        <v>187</v>
      </c>
      <c r="F4891">
        <v>2005</v>
      </c>
      <c r="G4891">
        <v>417.69</v>
      </c>
    </row>
    <row r="4892" spans="1:7">
      <c r="A4892" t="s">
        <v>1297</v>
      </c>
      <c r="B4892" t="s">
        <v>1298</v>
      </c>
      <c r="C4892" t="s">
        <v>677</v>
      </c>
      <c r="D4892" t="s">
        <v>1364</v>
      </c>
      <c r="E4892" t="s">
        <v>187</v>
      </c>
      <c r="F4892">
        <v>2010</v>
      </c>
      <c r="G4892">
        <v>376.8048</v>
      </c>
    </row>
    <row r="4893" spans="1:7">
      <c r="A4893" t="s">
        <v>1297</v>
      </c>
      <c r="B4893" t="s">
        <v>1298</v>
      </c>
      <c r="C4893" t="s">
        <v>677</v>
      </c>
      <c r="D4893" t="s">
        <v>1364</v>
      </c>
      <c r="E4893" t="s">
        <v>187</v>
      </c>
      <c r="F4893">
        <v>2012</v>
      </c>
      <c r="G4893">
        <v>354.88440000000003</v>
      </c>
    </row>
    <row r="4894" spans="1:7">
      <c r="A4894" t="s">
        <v>1297</v>
      </c>
      <c r="B4894" t="s">
        <v>1298</v>
      </c>
      <c r="C4894" t="s">
        <v>677</v>
      </c>
      <c r="D4894" t="s">
        <v>1364</v>
      </c>
      <c r="E4894" t="s">
        <v>187</v>
      </c>
      <c r="F4894">
        <v>2016</v>
      </c>
      <c r="G4894">
        <v>336.323801</v>
      </c>
    </row>
    <row r="4895" spans="1:7">
      <c r="A4895" t="s">
        <v>1297</v>
      </c>
      <c r="B4895" t="s">
        <v>1298</v>
      </c>
      <c r="C4895" t="s">
        <v>677</v>
      </c>
      <c r="D4895" t="s">
        <v>1364</v>
      </c>
      <c r="E4895" t="s">
        <v>187</v>
      </c>
      <c r="F4895">
        <v>2020</v>
      </c>
      <c r="G4895">
        <v>330.235207</v>
      </c>
    </row>
    <row r="4896" spans="1:7">
      <c r="A4896" t="s">
        <v>1297</v>
      </c>
      <c r="B4896" t="s">
        <v>1298</v>
      </c>
      <c r="C4896" t="s">
        <v>681</v>
      </c>
      <c r="D4896" t="s">
        <v>1364</v>
      </c>
      <c r="E4896" t="s">
        <v>187</v>
      </c>
      <c r="F4896">
        <v>2005</v>
      </c>
      <c r="G4896">
        <v>2.5956000000000001</v>
      </c>
    </row>
    <row r="4897" spans="1:7">
      <c r="A4897" t="s">
        <v>1297</v>
      </c>
      <c r="B4897" t="s">
        <v>1298</v>
      </c>
      <c r="C4897" t="s">
        <v>681</v>
      </c>
      <c r="D4897" t="s">
        <v>1364</v>
      </c>
      <c r="E4897" t="s">
        <v>187</v>
      </c>
      <c r="F4897">
        <v>2010</v>
      </c>
      <c r="G4897">
        <v>3.7404000000000002</v>
      </c>
    </row>
    <row r="4898" spans="1:7">
      <c r="A4898" t="s">
        <v>1297</v>
      </c>
      <c r="B4898" t="s">
        <v>1298</v>
      </c>
      <c r="C4898" t="s">
        <v>681</v>
      </c>
      <c r="D4898" t="s">
        <v>1364</v>
      </c>
      <c r="E4898" t="s">
        <v>187</v>
      </c>
      <c r="F4898">
        <v>2012</v>
      </c>
      <c r="G4898">
        <v>4.2911999999999999</v>
      </c>
    </row>
    <row r="4899" spans="1:7">
      <c r="A4899" t="s">
        <v>1297</v>
      </c>
      <c r="B4899" t="s">
        <v>1298</v>
      </c>
      <c r="C4899" t="s">
        <v>681</v>
      </c>
      <c r="D4899" t="s">
        <v>1364</v>
      </c>
      <c r="E4899" t="s">
        <v>187</v>
      </c>
      <c r="F4899">
        <v>2016</v>
      </c>
      <c r="G4899">
        <v>4.5792000000000002</v>
      </c>
    </row>
    <row r="4900" spans="1:7">
      <c r="A4900" t="s">
        <v>1297</v>
      </c>
      <c r="B4900" t="s">
        <v>1298</v>
      </c>
      <c r="C4900" t="s">
        <v>681</v>
      </c>
      <c r="D4900" t="s">
        <v>1364</v>
      </c>
      <c r="E4900" t="s">
        <v>187</v>
      </c>
      <c r="F4900">
        <v>2020</v>
      </c>
      <c r="G4900">
        <v>4.8862550000000002</v>
      </c>
    </row>
    <row r="4901" spans="1:7">
      <c r="A4901" t="s">
        <v>1297</v>
      </c>
      <c r="B4901" t="s">
        <v>1298</v>
      </c>
      <c r="C4901" t="s">
        <v>665</v>
      </c>
      <c r="D4901" t="s">
        <v>1364</v>
      </c>
      <c r="E4901" t="s">
        <v>187</v>
      </c>
      <c r="F4901">
        <v>2005</v>
      </c>
      <c r="G4901">
        <v>521.14679999999998</v>
      </c>
    </row>
    <row r="4902" spans="1:7">
      <c r="A4902" t="s">
        <v>1297</v>
      </c>
      <c r="B4902" t="s">
        <v>1298</v>
      </c>
      <c r="C4902" t="s">
        <v>665</v>
      </c>
      <c r="D4902" t="s">
        <v>1364</v>
      </c>
      <c r="E4902" t="s">
        <v>187</v>
      </c>
      <c r="F4902">
        <v>2010</v>
      </c>
      <c r="G4902">
        <v>460.32479999999998</v>
      </c>
    </row>
    <row r="4903" spans="1:7">
      <c r="A4903" t="s">
        <v>1297</v>
      </c>
      <c r="B4903" t="s">
        <v>1298</v>
      </c>
      <c r="C4903" t="s">
        <v>675</v>
      </c>
      <c r="D4903" t="s">
        <v>1364</v>
      </c>
      <c r="E4903" t="s">
        <v>187</v>
      </c>
      <c r="F4903">
        <v>2005</v>
      </c>
      <c r="G4903">
        <v>25.819199999999999</v>
      </c>
    </row>
    <row r="4904" spans="1:7">
      <c r="A4904" t="s">
        <v>1297</v>
      </c>
      <c r="B4904" t="s">
        <v>1298</v>
      </c>
      <c r="C4904" t="s">
        <v>675</v>
      </c>
      <c r="D4904" t="s">
        <v>1364</v>
      </c>
      <c r="E4904" t="s">
        <v>187</v>
      </c>
      <c r="F4904">
        <v>2010</v>
      </c>
      <c r="G4904">
        <v>19.7532</v>
      </c>
    </row>
    <row r="4905" spans="1:7">
      <c r="A4905" t="s">
        <v>1297</v>
      </c>
      <c r="B4905" t="s">
        <v>1298</v>
      </c>
      <c r="C4905" t="s">
        <v>675</v>
      </c>
      <c r="D4905" t="s">
        <v>1364</v>
      </c>
      <c r="E4905" t="s">
        <v>187</v>
      </c>
      <c r="F4905">
        <v>2012</v>
      </c>
      <c r="G4905">
        <v>21.319199999999999</v>
      </c>
    </row>
    <row r="4906" spans="1:7">
      <c r="A4906" t="s">
        <v>1297</v>
      </c>
      <c r="B4906" t="s">
        <v>1298</v>
      </c>
      <c r="C4906" t="s">
        <v>675</v>
      </c>
      <c r="D4906" t="s">
        <v>1364</v>
      </c>
      <c r="E4906" t="s">
        <v>187</v>
      </c>
      <c r="F4906">
        <v>2016</v>
      </c>
      <c r="G4906">
        <v>22.442399999999999</v>
      </c>
    </row>
    <row r="4907" spans="1:7">
      <c r="A4907" t="s">
        <v>1297</v>
      </c>
      <c r="B4907" t="s">
        <v>1298</v>
      </c>
      <c r="C4907" t="s">
        <v>675</v>
      </c>
      <c r="D4907" t="s">
        <v>1364</v>
      </c>
      <c r="E4907" t="s">
        <v>187</v>
      </c>
      <c r="F4907">
        <v>2020</v>
      </c>
      <c r="G4907">
        <v>23.370076999999998</v>
      </c>
    </row>
    <row r="4908" spans="1:7">
      <c r="A4908" t="s">
        <v>1297</v>
      </c>
      <c r="B4908" t="s">
        <v>1298</v>
      </c>
      <c r="C4908" t="s">
        <v>1300</v>
      </c>
      <c r="D4908" t="s">
        <v>1364</v>
      </c>
      <c r="E4908" t="s">
        <v>187</v>
      </c>
      <c r="F4908">
        <v>2010</v>
      </c>
      <c r="G4908">
        <v>2.8368000000000002</v>
      </c>
    </row>
    <row r="4909" spans="1:7">
      <c r="A4909" t="s">
        <v>1297</v>
      </c>
      <c r="B4909" t="s">
        <v>1298</v>
      </c>
      <c r="C4909" t="s">
        <v>1300</v>
      </c>
      <c r="D4909" t="s">
        <v>1364</v>
      </c>
      <c r="E4909" t="s">
        <v>187</v>
      </c>
      <c r="F4909">
        <v>2012</v>
      </c>
      <c r="G4909">
        <v>3.0419999999999998</v>
      </c>
    </row>
    <row r="4910" spans="1:7">
      <c r="A4910" t="s">
        <v>1297</v>
      </c>
      <c r="B4910" t="s">
        <v>1298</v>
      </c>
      <c r="C4910" t="s">
        <v>1300</v>
      </c>
      <c r="D4910" t="s">
        <v>1364</v>
      </c>
      <c r="E4910" t="s">
        <v>187</v>
      </c>
      <c r="F4910">
        <v>2016</v>
      </c>
      <c r="G4910">
        <v>2.7035999999999998</v>
      </c>
    </row>
    <row r="4911" spans="1:7">
      <c r="A4911" t="s">
        <v>1297</v>
      </c>
      <c r="B4911" t="s">
        <v>1298</v>
      </c>
      <c r="C4911" t="s">
        <v>1300</v>
      </c>
      <c r="D4911" t="s">
        <v>1364</v>
      </c>
      <c r="E4911" t="s">
        <v>187</v>
      </c>
      <c r="F4911">
        <v>2020</v>
      </c>
      <c r="G4911">
        <v>2.6640000000000001</v>
      </c>
    </row>
    <row r="4912" spans="1:7">
      <c r="A4912" t="s">
        <v>1297</v>
      </c>
      <c r="B4912" t="s">
        <v>1298</v>
      </c>
      <c r="C4912" t="s">
        <v>662</v>
      </c>
      <c r="D4912" t="s">
        <v>1364</v>
      </c>
      <c r="E4912" t="s">
        <v>187</v>
      </c>
      <c r="F4912">
        <v>2005</v>
      </c>
      <c r="G4912">
        <v>51.9084</v>
      </c>
    </row>
    <row r="4913" spans="1:7">
      <c r="A4913" t="s">
        <v>1297</v>
      </c>
      <c r="B4913" t="s">
        <v>1298</v>
      </c>
      <c r="C4913" t="s">
        <v>653</v>
      </c>
      <c r="D4913" t="s">
        <v>1365</v>
      </c>
      <c r="E4913" t="s">
        <v>187</v>
      </c>
      <c r="F4913">
        <v>2010</v>
      </c>
      <c r="G4913">
        <v>0.80640000000000001</v>
      </c>
    </row>
    <row r="4914" spans="1:7">
      <c r="A4914" t="s">
        <v>1297</v>
      </c>
      <c r="B4914" t="s">
        <v>1298</v>
      </c>
      <c r="C4914" t="s">
        <v>653</v>
      </c>
      <c r="D4914" t="s">
        <v>1365</v>
      </c>
      <c r="E4914" t="s">
        <v>187</v>
      </c>
      <c r="F4914">
        <v>2012</v>
      </c>
      <c r="G4914">
        <v>0.94679999999999997</v>
      </c>
    </row>
    <row r="4915" spans="1:7">
      <c r="A4915" t="s">
        <v>1297</v>
      </c>
      <c r="B4915" t="s">
        <v>1298</v>
      </c>
      <c r="C4915" t="s">
        <v>653</v>
      </c>
      <c r="D4915" t="s">
        <v>1365</v>
      </c>
      <c r="E4915" t="s">
        <v>187</v>
      </c>
      <c r="F4915">
        <v>2016</v>
      </c>
      <c r="G4915">
        <v>0.79559999999999997</v>
      </c>
    </row>
    <row r="4916" spans="1:7">
      <c r="A4916" t="s">
        <v>1297</v>
      </c>
      <c r="B4916" t="s">
        <v>1298</v>
      </c>
      <c r="C4916" t="s">
        <v>653</v>
      </c>
      <c r="D4916" t="s">
        <v>1365</v>
      </c>
      <c r="E4916" t="s">
        <v>187</v>
      </c>
      <c r="F4916">
        <v>2020</v>
      </c>
      <c r="G4916">
        <v>1.158142</v>
      </c>
    </row>
    <row r="4917" spans="1:7">
      <c r="A4917" t="s">
        <v>1297</v>
      </c>
      <c r="B4917" t="s">
        <v>1298</v>
      </c>
      <c r="C4917" t="s">
        <v>684</v>
      </c>
      <c r="D4917" t="s">
        <v>1365</v>
      </c>
      <c r="E4917" t="s">
        <v>187</v>
      </c>
      <c r="F4917">
        <v>2005</v>
      </c>
      <c r="G4917">
        <v>9.3600000000000003E-2</v>
      </c>
    </row>
    <row r="4918" spans="1:7">
      <c r="A4918" t="s">
        <v>1297</v>
      </c>
      <c r="B4918" t="s">
        <v>1298</v>
      </c>
      <c r="C4918" t="s">
        <v>684</v>
      </c>
      <c r="D4918" t="s">
        <v>1365</v>
      </c>
      <c r="E4918" t="s">
        <v>187</v>
      </c>
      <c r="F4918">
        <v>2010</v>
      </c>
      <c r="G4918">
        <v>0.1368</v>
      </c>
    </row>
    <row r="4919" spans="1:7">
      <c r="A4919" t="s">
        <v>1297</v>
      </c>
      <c r="B4919" t="s">
        <v>1298</v>
      </c>
      <c r="C4919" t="s">
        <v>684</v>
      </c>
      <c r="D4919" t="s">
        <v>1365</v>
      </c>
      <c r="E4919" t="s">
        <v>187</v>
      </c>
      <c r="F4919">
        <v>2012</v>
      </c>
      <c r="G4919">
        <v>3.5999999999999997E-2</v>
      </c>
    </row>
    <row r="4920" spans="1:7">
      <c r="A4920" t="s">
        <v>1297</v>
      </c>
      <c r="B4920" t="s">
        <v>1298</v>
      </c>
      <c r="C4920" t="s">
        <v>684</v>
      </c>
      <c r="D4920" t="s">
        <v>1365</v>
      </c>
      <c r="E4920" t="s">
        <v>187</v>
      </c>
      <c r="F4920">
        <v>2016</v>
      </c>
      <c r="G4920">
        <v>5.04E-2</v>
      </c>
    </row>
    <row r="4921" spans="1:7">
      <c r="A4921" t="s">
        <v>1297</v>
      </c>
      <c r="B4921" t="s">
        <v>1298</v>
      </c>
      <c r="C4921" t="s">
        <v>684</v>
      </c>
      <c r="D4921" t="s">
        <v>1365</v>
      </c>
      <c r="E4921" t="s">
        <v>187</v>
      </c>
      <c r="F4921">
        <v>2020</v>
      </c>
      <c r="G4921">
        <v>5.688E-2</v>
      </c>
    </row>
    <row r="4922" spans="1:7">
      <c r="A4922" t="s">
        <v>1297</v>
      </c>
      <c r="B4922" t="s">
        <v>1298</v>
      </c>
      <c r="C4922" t="s">
        <v>654</v>
      </c>
      <c r="D4922" t="s">
        <v>1365</v>
      </c>
      <c r="E4922" t="s">
        <v>187</v>
      </c>
      <c r="F4922">
        <v>2005</v>
      </c>
      <c r="G4922">
        <v>0.42480000000000001</v>
      </c>
    </row>
    <row r="4923" spans="1:7">
      <c r="A4923" t="s">
        <v>1297</v>
      </c>
      <c r="B4923" t="s">
        <v>1298</v>
      </c>
      <c r="C4923" t="s">
        <v>654</v>
      </c>
      <c r="D4923" t="s">
        <v>1365</v>
      </c>
      <c r="E4923" t="s">
        <v>187</v>
      </c>
      <c r="F4923">
        <v>2010</v>
      </c>
      <c r="G4923">
        <v>0.54</v>
      </c>
    </row>
    <row r="4924" spans="1:7">
      <c r="A4924" t="s">
        <v>1297</v>
      </c>
      <c r="B4924" t="s">
        <v>1298</v>
      </c>
      <c r="C4924" t="s">
        <v>654</v>
      </c>
      <c r="D4924" t="s">
        <v>1365</v>
      </c>
      <c r="E4924" t="s">
        <v>187</v>
      </c>
      <c r="F4924">
        <v>2012</v>
      </c>
      <c r="G4924">
        <v>0.4536</v>
      </c>
    </row>
    <row r="4925" spans="1:7">
      <c r="A4925" t="s">
        <v>1297</v>
      </c>
      <c r="B4925" t="s">
        <v>1298</v>
      </c>
      <c r="C4925" t="s">
        <v>654</v>
      </c>
      <c r="D4925" t="s">
        <v>1365</v>
      </c>
      <c r="E4925" t="s">
        <v>187</v>
      </c>
      <c r="F4925">
        <v>2016</v>
      </c>
      <c r="G4925">
        <v>0.6048</v>
      </c>
    </row>
    <row r="4926" spans="1:7">
      <c r="A4926" t="s">
        <v>1297</v>
      </c>
      <c r="B4926" t="s">
        <v>1298</v>
      </c>
      <c r="C4926" t="s">
        <v>654</v>
      </c>
      <c r="D4926" t="s">
        <v>1365</v>
      </c>
      <c r="E4926" t="s">
        <v>187</v>
      </c>
      <c r="F4926">
        <v>2020</v>
      </c>
      <c r="G4926">
        <v>0.55639799999999995</v>
      </c>
    </row>
    <row r="4927" spans="1:7">
      <c r="A4927" t="s">
        <v>1297</v>
      </c>
      <c r="B4927" t="s">
        <v>1298</v>
      </c>
      <c r="C4927" t="s">
        <v>671</v>
      </c>
      <c r="D4927" t="s">
        <v>1365</v>
      </c>
      <c r="E4927" t="s">
        <v>187</v>
      </c>
      <c r="F4927">
        <v>2005</v>
      </c>
      <c r="G4927">
        <v>5.3819999999999997</v>
      </c>
    </row>
    <row r="4928" spans="1:7">
      <c r="A4928" t="s">
        <v>1297</v>
      </c>
      <c r="B4928" t="s">
        <v>1298</v>
      </c>
      <c r="C4928" t="s">
        <v>671</v>
      </c>
      <c r="D4928" t="s">
        <v>1365</v>
      </c>
      <c r="E4928" t="s">
        <v>187</v>
      </c>
      <c r="F4928">
        <v>2010</v>
      </c>
      <c r="G4928">
        <v>5.8175999999999997</v>
      </c>
    </row>
    <row r="4929" spans="1:7">
      <c r="A4929" t="s">
        <v>1297</v>
      </c>
      <c r="B4929" t="s">
        <v>1298</v>
      </c>
      <c r="C4929" t="s">
        <v>671</v>
      </c>
      <c r="D4929" t="s">
        <v>1365</v>
      </c>
      <c r="E4929" t="s">
        <v>187</v>
      </c>
      <c r="F4929">
        <v>2012</v>
      </c>
      <c r="G4929">
        <v>5.6124000000000001</v>
      </c>
    </row>
    <row r="4930" spans="1:7">
      <c r="A4930" t="s">
        <v>1297</v>
      </c>
      <c r="B4930" t="s">
        <v>1298</v>
      </c>
      <c r="C4930" t="s">
        <v>671</v>
      </c>
      <c r="D4930" t="s">
        <v>1365</v>
      </c>
      <c r="E4930" t="s">
        <v>187</v>
      </c>
      <c r="F4930">
        <v>2016</v>
      </c>
      <c r="G4930">
        <v>5.8788</v>
      </c>
    </row>
    <row r="4931" spans="1:7">
      <c r="A4931" t="s">
        <v>1297</v>
      </c>
      <c r="B4931" t="s">
        <v>1298</v>
      </c>
      <c r="C4931" t="s">
        <v>671</v>
      </c>
      <c r="D4931" t="s">
        <v>1365</v>
      </c>
      <c r="E4931" t="s">
        <v>187</v>
      </c>
      <c r="F4931">
        <v>2020</v>
      </c>
      <c r="G4931">
        <v>6.5961040000000004</v>
      </c>
    </row>
    <row r="4932" spans="1:7">
      <c r="A4932" t="s">
        <v>1297</v>
      </c>
      <c r="B4932" t="s">
        <v>1298</v>
      </c>
      <c r="C4932" t="s">
        <v>672</v>
      </c>
      <c r="D4932" t="s">
        <v>1365</v>
      </c>
      <c r="E4932" t="s">
        <v>187</v>
      </c>
      <c r="F4932">
        <v>2005</v>
      </c>
      <c r="G4932">
        <v>3.5604</v>
      </c>
    </row>
    <row r="4933" spans="1:7">
      <c r="A4933" t="s">
        <v>1297</v>
      </c>
      <c r="B4933" t="s">
        <v>1298</v>
      </c>
      <c r="C4933" t="s">
        <v>672</v>
      </c>
      <c r="D4933" t="s">
        <v>1365</v>
      </c>
      <c r="E4933" t="s">
        <v>187</v>
      </c>
      <c r="F4933">
        <v>2010</v>
      </c>
      <c r="G4933">
        <v>3.4775999999999998</v>
      </c>
    </row>
    <row r="4934" spans="1:7">
      <c r="A4934" t="s">
        <v>1297</v>
      </c>
      <c r="B4934" t="s">
        <v>1298</v>
      </c>
      <c r="C4934" t="s">
        <v>672</v>
      </c>
      <c r="D4934" t="s">
        <v>1365</v>
      </c>
      <c r="E4934" t="s">
        <v>187</v>
      </c>
      <c r="F4934">
        <v>2012</v>
      </c>
      <c r="G4934">
        <v>3.3155999999999999</v>
      </c>
    </row>
    <row r="4935" spans="1:7">
      <c r="A4935" t="s">
        <v>1297</v>
      </c>
      <c r="B4935" t="s">
        <v>1298</v>
      </c>
      <c r="C4935" t="s">
        <v>672</v>
      </c>
      <c r="D4935" t="s">
        <v>1365</v>
      </c>
      <c r="E4935" t="s">
        <v>187</v>
      </c>
      <c r="F4935">
        <v>2016</v>
      </c>
      <c r="G4935">
        <v>2.9517190000000002</v>
      </c>
    </row>
    <row r="4936" spans="1:7">
      <c r="A4936" t="s">
        <v>1297</v>
      </c>
      <c r="B4936" t="s">
        <v>1298</v>
      </c>
      <c r="C4936" t="s">
        <v>672</v>
      </c>
      <c r="D4936" t="s">
        <v>1365</v>
      </c>
      <c r="E4936" t="s">
        <v>187</v>
      </c>
      <c r="F4936">
        <v>2020</v>
      </c>
      <c r="G4936">
        <v>3.447803</v>
      </c>
    </row>
    <row r="4937" spans="1:7">
      <c r="A4937" t="s">
        <v>1297</v>
      </c>
      <c r="B4937" t="s">
        <v>1298</v>
      </c>
      <c r="C4937" t="s">
        <v>656</v>
      </c>
      <c r="D4937" t="s">
        <v>1365</v>
      </c>
      <c r="E4937" t="s">
        <v>187</v>
      </c>
      <c r="F4937">
        <v>2010</v>
      </c>
      <c r="G4937">
        <v>21.153600000000001</v>
      </c>
    </row>
    <row r="4938" spans="1:7">
      <c r="A4938" t="s">
        <v>1297</v>
      </c>
      <c r="B4938" t="s">
        <v>1298</v>
      </c>
      <c r="C4938" t="s">
        <v>656</v>
      </c>
      <c r="D4938" t="s">
        <v>1365</v>
      </c>
      <c r="E4938" t="s">
        <v>187</v>
      </c>
      <c r="F4938">
        <v>2012</v>
      </c>
      <c r="G4938">
        <v>20.5092</v>
      </c>
    </row>
    <row r="4939" spans="1:7">
      <c r="A4939" t="s">
        <v>1297</v>
      </c>
      <c r="B4939" t="s">
        <v>1298</v>
      </c>
      <c r="C4939" t="s">
        <v>656</v>
      </c>
      <c r="D4939" t="s">
        <v>1365</v>
      </c>
      <c r="E4939" t="s">
        <v>187</v>
      </c>
      <c r="F4939">
        <v>2016</v>
      </c>
      <c r="G4939">
        <v>19.645199999999999</v>
      </c>
    </row>
    <row r="4940" spans="1:7">
      <c r="A4940" t="s">
        <v>1297</v>
      </c>
      <c r="B4940" t="s">
        <v>1298</v>
      </c>
      <c r="C4940" t="s">
        <v>656</v>
      </c>
      <c r="D4940" t="s">
        <v>1365</v>
      </c>
      <c r="E4940" t="s">
        <v>187</v>
      </c>
      <c r="F4940">
        <v>2020</v>
      </c>
      <c r="G4940">
        <v>18.936</v>
      </c>
    </row>
    <row r="4941" spans="1:7">
      <c r="A4941" t="s">
        <v>1297</v>
      </c>
      <c r="B4941" t="s">
        <v>1298</v>
      </c>
      <c r="C4941" t="s">
        <v>659</v>
      </c>
      <c r="D4941" t="s">
        <v>1365</v>
      </c>
      <c r="E4941" t="s">
        <v>187</v>
      </c>
      <c r="F4941">
        <v>2005</v>
      </c>
      <c r="G4941">
        <v>19.058399999999999</v>
      </c>
    </row>
    <row r="4942" spans="1:7">
      <c r="A4942" t="s">
        <v>1297</v>
      </c>
      <c r="B4942" t="s">
        <v>1298</v>
      </c>
      <c r="C4942" t="s">
        <v>659</v>
      </c>
      <c r="D4942" t="s">
        <v>1365</v>
      </c>
      <c r="E4942" t="s">
        <v>187</v>
      </c>
      <c r="F4942">
        <v>2010</v>
      </c>
      <c r="G4942">
        <v>14.936400000000001</v>
      </c>
    </row>
    <row r="4943" spans="1:7">
      <c r="A4943" t="s">
        <v>1297</v>
      </c>
      <c r="B4943" t="s">
        <v>1298</v>
      </c>
      <c r="C4943" t="s">
        <v>659</v>
      </c>
      <c r="D4943" t="s">
        <v>1365</v>
      </c>
      <c r="E4943" t="s">
        <v>187</v>
      </c>
      <c r="F4943">
        <v>2012</v>
      </c>
      <c r="G4943">
        <v>14.414400000000001</v>
      </c>
    </row>
    <row r="4944" spans="1:7">
      <c r="A4944" t="s">
        <v>1297</v>
      </c>
      <c r="B4944" t="s">
        <v>1298</v>
      </c>
      <c r="C4944" t="s">
        <v>659</v>
      </c>
      <c r="D4944" t="s">
        <v>1365</v>
      </c>
      <c r="E4944" t="s">
        <v>187</v>
      </c>
      <c r="F4944">
        <v>2016</v>
      </c>
      <c r="G4944">
        <v>21.542400000000001</v>
      </c>
    </row>
    <row r="4945" spans="1:7">
      <c r="A4945" t="s">
        <v>1297</v>
      </c>
      <c r="B4945" t="s">
        <v>1298</v>
      </c>
      <c r="C4945" t="s">
        <v>659</v>
      </c>
      <c r="D4945" t="s">
        <v>1365</v>
      </c>
      <c r="E4945" t="s">
        <v>187</v>
      </c>
      <c r="F4945">
        <v>2020</v>
      </c>
      <c r="G4945">
        <v>19.357199999999999</v>
      </c>
    </row>
    <row r="4946" spans="1:7">
      <c r="A4946" t="s">
        <v>1297</v>
      </c>
      <c r="B4946" t="s">
        <v>1298</v>
      </c>
      <c r="C4946" t="s">
        <v>660</v>
      </c>
      <c r="D4946" t="s">
        <v>1365</v>
      </c>
      <c r="E4946" t="s">
        <v>187</v>
      </c>
      <c r="F4946">
        <v>2005</v>
      </c>
      <c r="G4946">
        <v>4.5144000000000002</v>
      </c>
    </row>
    <row r="4947" spans="1:7">
      <c r="A4947" t="s">
        <v>1297</v>
      </c>
      <c r="B4947" t="s">
        <v>1298</v>
      </c>
      <c r="C4947" t="s">
        <v>1302</v>
      </c>
      <c r="D4947" t="s">
        <v>1365</v>
      </c>
      <c r="E4947" t="s">
        <v>187</v>
      </c>
      <c r="F4947">
        <v>2005</v>
      </c>
      <c r="G4947">
        <v>0.1152</v>
      </c>
    </row>
    <row r="4948" spans="1:7">
      <c r="A4948" t="s">
        <v>1297</v>
      </c>
      <c r="B4948" t="s">
        <v>1298</v>
      </c>
      <c r="C4948" t="s">
        <v>1302</v>
      </c>
      <c r="D4948" t="s">
        <v>1365</v>
      </c>
      <c r="E4948" t="s">
        <v>187</v>
      </c>
      <c r="F4948">
        <v>2010</v>
      </c>
      <c r="G4948">
        <v>0.25559999999999999</v>
      </c>
    </row>
    <row r="4949" spans="1:7">
      <c r="A4949" t="s">
        <v>1297</v>
      </c>
      <c r="B4949" t="s">
        <v>1298</v>
      </c>
      <c r="C4949" t="s">
        <v>1302</v>
      </c>
      <c r="D4949" t="s">
        <v>1365</v>
      </c>
      <c r="E4949" t="s">
        <v>187</v>
      </c>
      <c r="F4949">
        <v>2012</v>
      </c>
      <c r="G4949">
        <v>0.2772</v>
      </c>
    </row>
    <row r="4950" spans="1:7">
      <c r="A4950" t="s">
        <v>1297</v>
      </c>
      <c r="B4950" t="s">
        <v>1298</v>
      </c>
      <c r="C4950" t="s">
        <v>1302</v>
      </c>
      <c r="D4950" t="s">
        <v>1365</v>
      </c>
      <c r="E4950" t="s">
        <v>187</v>
      </c>
      <c r="F4950">
        <v>2016</v>
      </c>
      <c r="G4950">
        <v>0.38519999999999999</v>
      </c>
    </row>
    <row r="4951" spans="1:7">
      <c r="A4951" t="s">
        <v>1297</v>
      </c>
      <c r="B4951" t="s">
        <v>1298</v>
      </c>
      <c r="C4951" t="s">
        <v>1302</v>
      </c>
      <c r="D4951" t="s">
        <v>1365</v>
      </c>
      <c r="E4951" t="s">
        <v>187</v>
      </c>
      <c r="F4951">
        <v>2020</v>
      </c>
      <c r="G4951">
        <v>0.50066600000000006</v>
      </c>
    </row>
    <row r="4952" spans="1:7">
      <c r="A4952" t="s">
        <v>1297</v>
      </c>
      <c r="B4952" t="s">
        <v>1298</v>
      </c>
      <c r="C4952" t="s">
        <v>665</v>
      </c>
      <c r="D4952" t="s">
        <v>1365</v>
      </c>
      <c r="E4952" t="s">
        <v>187</v>
      </c>
      <c r="F4952">
        <v>2005</v>
      </c>
      <c r="G4952">
        <v>19.047599999999999</v>
      </c>
    </row>
    <row r="4953" spans="1:7">
      <c r="A4953" t="s">
        <v>1297</v>
      </c>
      <c r="B4953" t="s">
        <v>1298</v>
      </c>
      <c r="C4953" t="s">
        <v>665</v>
      </c>
      <c r="D4953" t="s">
        <v>1365</v>
      </c>
      <c r="E4953" t="s">
        <v>187</v>
      </c>
      <c r="F4953">
        <v>2010</v>
      </c>
      <c r="G4953">
        <v>19.947600000000001</v>
      </c>
    </row>
    <row r="4954" spans="1:7">
      <c r="A4954" t="s">
        <v>1297</v>
      </c>
      <c r="B4954" t="s">
        <v>1298</v>
      </c>
      <c r="C4954" t="s">
        <v>665</v>
      </c>
      <c r="D4954" t="s">
        <v>1365</v>
      </c>
      <c r="E4954" t="s">
        <v>187</v>
      </c>
      <c r="F4954">
        <v>2012</v>
      </c>
      <c r="G4954">
        <v>20.962800000000001</v>
      </c>
    </row>
    <row r="4955" spans="1:7">
      <c r="A4955" t="s">
        <v>1297</v>
      </c>
      <c r="B4955" t="s">
        <v>1298</v>
      </c>
      <c r="C4955" t="s">
        <v>665</v>
      </c>
      <c r="D4955" t="s">
        <v>1365</v>
      </c>
      <c r="E4955" t="s">
        <v>187</v>
      </c>
      <c r="F4955">
        <v>2016</v>
      </c>
      <c r="G4955">
        <v>19.130400000000002</v>
      </c>
    </row>
    <row r="4956" spans="1:7">
      <c r="A4956" t="s">
        <v>1297</v>
      </c>
      <c r="B4956" t="s">
        <v>1298</v>
      </c>
      <c r="C4956" t="s">
        <v>665</v>
      </c>
      <c r="D4956" t="s">
        <v>1365</v>
      </c>
      <c r="E4956" t="s">
        <v>187</v>
      </c>
      <c r="F4956">
        <v>2020</v>
      </c>
      <c r="G4956">
        <v>21.023284</v>
      </c>
    </row>
    <row r="4957" spans="1:7">
      <c r="A4957" t="s">
        <v>1297</v>
      </c>
      <c r="B4957" t="s">
        <v>1298</v>
      </c>
      <c r="C4957" t="s">
        <v>651</v>
      </c>
      <c r="D4957" t="s">
        <v>1365</v>
      </c>
      <c r="E4957" t="s">
        <v>187</v>
      </c>
      <c r="F4957">
        <v>2005</v>
      </c>
      <c r="G4957">
        <v>3.3550200000000001</v>
      </c>
    </row>
    <row r="4958" spans="1:7">
      <c r="A4958" t="s">
        <v>1297</v>
      </c>
      <c r="B4958" t="s">
        <v>1298</v>
      </c>
      <c r="C4958" t="s">
        <v>651</v>
      </c>
      <c r="D4958" t="s">
        <v>1365</v>
      </c>
      <c r="E4958" t="s">
        <v>187</v>
      </c>
      <c r="F4958">
        <v>2010</v>
      </c>
      <c r="G4958">
        <v>4.1820769999999996</v>
      </c>
    </row>
    <row r="4959" spans="1:7">
      <c r="A4959" t="s">
        <v>1297</v>
      </c>
      <c r="B4959" t="s">
        <v>1298</v>
      </c>
      <c r="C4959" t="s">
        <v>651</v>
      </c>
      <c r="D4959" t="s">
        <v>1365</v>
      </c>
      <c r="E4959" t="s">
        <v>187</v>
      </c>
      <c r="F4959">
        <v>2012</v>
      </c>
      <c r="G4959">
        <v>4.1601020000000002</v>
      </c>
    </row>
    <row r="4960" spans="1:7">
      <c r="A4960" t="s">
        <v>1297</v>
      </c>
      <c r="B4960" t="s">
        <v>1298</v>
      </c>
      <c r="C4960" t="s">
        <v>651</v>
      </c>
      <c r="D4960" t="s">
        <v>1365</v>
      </c>
      <c r="E4960" t="s">
        <v>187</v>
      </c>
      <c r="F4960">
        <v>2016</v>
      </c>
      <c r="G4960">
        <v>4.2517300000000002</v>
      </c>
    </row>
    <row r="4961" spans="1:7">
      <c r="A4961" t="s">
        <v>1297</v>
      </c>
      <c r="B4961" t="s">
        <v>1298</v>
      </c>
      <c r="C4961" t="s">
        <v>651</v>
      </c>
      <c r="D4961" t="s">
        <v>1365</v>
      </c>
      <c r="E4961" t="s">
        <v>187</v>
      </c>
      <c r="F4961">
        <v>2020</v>
      </c>
      <c r="G4961">
        <v>4.3931199999999997</v>
      </c>
    </row>
    <row r="4962" spans="1:7">
      <c r="A4962" t="s">
        <v>1297</v>
      </c>
      <c r="B4962" t="s">
        <v>1298</v>
      </c>
      <c r="C4962" t="s">
        <v>677</v>
      </c>
      <c r="D4962" t="s">
        <v>1365</v>
      </c>
      <c r="E4962" t="s">
        <v>187</v>
      </c>
      <c r="F4962">
        <v>2005</v>
      </c>
      <c r="G4962">
        <v>14.4072</v>
      </c>
    </row>
    <row r="4963" spans="1:7">
      <c r="A4963" t="s">
        <v>1297</v>
      </c>
      <c r="B4963" t="s">
        <v>1298</v>
      </c>
      <c r="C4963" t="s">
        <v>677</v>
      </c>
      <c r="D4963" t="s">
        <v>1365</v>
      </c>
      <c r="E4963" t="s">
        <v>187</v>
      </c>
      <c r="F4963">
        <v>2010</v>
      </c>
      <c r="G4963">
        <v>10.8756</v>
      </c>
    </row>
    <row r="4964" spans="1:7">
      <c r="A4964" t="s">
        <v>1297</v>
      </c>
      <c r="B4964" t="s">
        <v>1298</v>
      </c>
      <c r="C4964" t="s">
        <v>677</v>
      </c>
      <c r="D4964" t="s">
        <v>1365</v>
      </c>
      <c r="E4964" t="s">
        <v>187</v>
      </c>
      <c r="F4964">
        <v>2012</v>
      </c>
      <c r="G4964">
        <v>10.450799999999999</v>
      </c>
    </row>
    <row r="4965" spans="1:7">
      <c r="A4965" t="s">
        <v>1297</v>
      </c>
      <c r="B4965" t="s">
        <v>1298</v>
      </c>
      <c r="C4965" t="s">
        <v>677</v>
      </c>
      <c r="D4965" t="s">
        <v>1365</v>
      </c>
      <c r="E4965" t="s">
        <v>187</v>
      </c>
      <c r="F4965">
        <v>2016</v>
      </c>
      <c r="G4965">
        <v>11.636950000000001</v>
      </c>
    </row>
    <row r="4966" spans="1:7">
      <c r="A4966" t="s">
        <v>1297</v>
      </c>
      <c r="B4966" t="s">
        <v>1298</v>
      </c>
      <c r="C4966" t="s">
        <v>677</v>
      </c>
      <c r="D4966" t="s">
        <v>1365</v>
      </c>
      <c r="E4966" t="s">
        <v>187</v>
      </c>
      <c r="F4966">
        <v>2020</v>
      </c>
      <c r="G4966">
        <v>11.354395999999999</v>
      </c>
    </row>
    <row r="4967" spans="1:7">
      <c r="A4967" t="s">
        <v>1297</v>
      </c>
      <c r="B4967" t="s">
        <v>1298</v>
      </c>
      <c r="C4967" t="s">
        <v>686</v>
      </c>
      <c r="D4967" t="s">
        <v>1365</v>
      </c>
      <c r="E4967" t="s">
        <v>187</v>
      </c>
      <c r="F4967">
        <v>2005</v>
      </c>
      <c r="G4967">
        <v>0.77759999999999996</v>
      </c>
    </row>
    <row r="4968" spans="1:7">
      <c r="A4968" t="s">
        <v>1297</v>
      </c>
      <c r="B4968" t="s">
        <v>1298</v>
      </c>
      <c r="C4968" t="s">
        <v>686</v>
      </c>
      <c r="D4968" t="s">
        <v>1365</v>
      </c>
      <c r="E4968" t="s">
        <v>187</v>
      </c>
      <c r="F4968">
        <v>2010</v>
      </c>
      <c r="G4968">
        <v>1.6415999999999999</v>
      </c>
    </row>
    <row r="4969" spans="1:7">
      <c r="A4969" t="s">
        <v>1297</v>
      </c>
      <c r="B4969" t="s">
        <v>1298</v>
      </c>
      <c r="C4969" t="s">
        <v>686</v>
      </c>
      <c r="D4969" t="s">
        <v>1365</v>
      </c>
      <c r="E4969" t="s">
        <v>187</v>
      </c>
      <c r="F4969">
        <v>2012</v>
      </c>
      <c r="G4969">
        <v>1.1124000000000001</v>
      </c>
    </row>
    <row r="4970" spans="1:7">
      <c r="A4970" t="s">
        <v>1297</v>
      </c>
      <c r="B4970" t="s">
        <v>1298</v>
      </c>
      <c r="C4970" t="s">
        <v>686</v>
      </c>
      <c r="D4970" t="s">
        <v>1365</v>
      </c>
      <c r="E4970" t="s">
        <v>187</v>
      </c>
      <c r="F4970">
        <v>2016</v>
      </c>
      <c r="G4970">
        <v>1.1268</v>
      </c>
    </row>
    <row r="4971" spans="1:7">
      <c r="A4971" t="s">
        <v>1297</v>
      </c>
      <c r="B4971" t="s">
        <v>1298</v>
      </c>
      <c r="C4971" t="s">
        <v>686</v>
      </c>
      <c r="D4971" t="s">
        <v>1365</v>
      </c>
      <c r="E4971" t="s">
        <v>187</v>
      </c>
      <c r="F4971">
        <v>2020</v>
      </c>
      <c r="G4971">
        <v>1.230278</v>
      </c>
    </row>
    <row r="4972" spans="1:7">
      <c r="A4972" t="s">
        <v>1297</v>
      </c>
      <c r="B4972" t="s">
        <v>1298</v>
      </c>
      <c r="C4972" t="s">
        <v>679</v>
      </c>
      <c r="D4972" t="s">
        <v>1365</v>
      </c>
      <c r="E4972" t="s">
        <v>187</v>
      </c>
      <c r="F4972">
        <v>2005</v>
      </c>
      <c r="G4972">
        <v>7.1459999999999999</v>
      </c>
    </row>
    <row r="4973" spans="1:7">
      <c r="A4973" t="s">
        <v>1297</v>
      </c>
      <c r="B4973" t="s">
        <v>1298</v>
      </c>
      <c r="C4973" t="s">
        <v>679</v>
      </c>
      <c r="D4973" t="s">
        <v>1365</v>
      </c>
      <c r="E4973" t="s">
        <v>187</v>
      </c>
      <c r="F4973">
        <v>2010</v>
      </c>
      <c r="G4973">
        <v>7.0380000000000003</v>
      </c>
    </row>
    <row r="4974" spans="1:7">
      <c r="A4974" t="s">
        <v>1297</v>
      </c>
      <c r="B4974" t="s">
        <v>1298</v>
      </c>
      <c r="C4974" t="s">
        <v>679</v>
      </c>
      <c r="D4974" t="s">
        <v>1365</v>
      </c>
      <c r="E4974" t="s">
        <v>187</v>
      </c>
      <c r="F4974">
        <v>2012</v>
      </c>
      <c r="G4974">
        <v>6.7896000000000001</v>
      </c>
    </row>
    <row r="4975" spans="1:7">
      <c r="A4975" t="s">
        <v>1297</v>
      </c>
      <c r="B4975" t="s">
        <v>1298</v>
      </c>
      <c r="C4975" t="s">
        <v>679</v>
      </c>
      <c r="D4975" t="s">
        <v>1365</v>
      </c>
      <c r="E4975" t="s">
        <v>187</v>
      </c>
      <c r="F4975">
        <v>2016</v>
      </c>
      <c r="G4975">
        <v>6.7031999999999998</v>
      </c>
    </row>
    <row r="4976" spans="1:7">
      <c r="A4976" t="s">
        <v>1297</v>
      </c>
      <c r="B4976" t="s">
        <v>1298</v>
      </c>
      <c r="C4976" t="s">
        <v>679</v>
      </c>
      <c r="D4976" t="s">
        <v>1365</v>
      </c>
      <c r="E4976" t="s">
        <v>187</v>
      </c>
      <c r="F4976">
        <v>2020</v>
      </c>
      <c r="G4976">
        <v>6.7931999999999997</v>
      </c>
    </row>
    <row r="4977" spans="1:7">
      <c r="A4977" t="s">
        <v>1297</v>
      </c>
      <c r="B4977" t="s">
        <v>1298</v>
      </c>
      <c r="C4977" t="s">
        <v>675</v>
      </c>
      <c r="D4977" t="s">
        <v>1365</v>
      </c>
      <c r="E4977" t="s">
        <v>187</v>
      </c>
      <c r="F4977">
        <v>2020</v>
      </c>
      <c r="G4977">
        <v>6.1638999999999999E-2</v>
      </c>
    </row>
    <row r="4978" spans="1:7">
      <c r="A4978" t="s">
        <v>1297</v>
      </c>
      <c r="B4978" t="s">
        <v>1298</v>
      </c>
      <c r="C4978" t="s">
        <v>653</v>
      </c>
      <c r="D4978" t="s">
        <v>1365</v>
      </c>
      <c r="E4978" t="s">
        <v>187</v>
      </c>
      <c r="F4978">
        <v>2005</v>
      </c>
      <c r="G4978">
        <v>0.67320000000000002</v>
      </c>
    </row>
    <row r="4979" spans="1:7">
      <c r="A4979" t="s">
        <v>1297</v>
      </c>
      <c r="B4979" t="s">
        <v>1298</v>
      </c>
      <c r="C4979" t="s">
        <v>660</v>
      </c>
      <c r="D4979" t="s">
        <v>1365</v>
      </c>
      <c r="E4979" t="s">
        <v>187</v>
      </c>
      <c r="F4979">
        <v>2010</v>
      </c>
      <c r="G4979">
        <v>5.9580000000000002</v>
      </c>
    </row>
    <row r="4980" spans="1:7">
      <c r="A4980" t="s">
        <v>1297</v>
      </c>
      <c r="B4980" t="s">
        <v>1298</v>
      </c>
      <c r="C4980" t="s">
        <v>660</v>
      </c>
      <c r="D4980" t="s">
        <v>1365</v>
      </c>
      <c r="E4980" t="s">
        <v>187</v>
      </c>
      <c r="F4980">
        <v>2012</v>
      </c>
      <c r="G4980">
        <v>5.7023999999999999</v>
      </c>
    </row>
    <row r="4981" spans="1:7">
      <c r="A4981" t="s">
        <v>1297</v>
      </c>
      <c r="B4981" t="s">
        <v>1298</v>
      </c>
      <c r="C4981" t="s">
        <v>660</v>
      </c>
      <c r="D4981" t="s">
        <v>1365</v>
      </c>
      <c r="E4981" t="s">
        <v>187</v>
      </c>
      <c r="F4981">
        <v>2016</v>
      </c>
      <c r="G4981">
        <v>5.6844000000000001</v>
      </c>
    </row>
    <row r="4982" spans="1:7">
      <c r="A4982" t="s">
        <v>1297</v>
      </c>
      <c r="B4982" t="s">
        <v>1298</v>
      </c>
      <c r="C4982" t="s">
        <v>660</v>
      </c>
      <c r="D4982" t="s">
        <v>1365</v>
      </c>
      <c r="E4982" t="s">
        <v>187</v>
      </c>
      <c r="F4982">
        <v>2020</v>
      </c>
      <c r="G4982">
        <v>5.31</v>
      </c>
    </row>
    <row r="4983" spans="1:7">
      <c r="A4983" t="s">
        <v>1297</v>
      </c>
      <c r="B4983" t="s">
        <v>1298</v>
      </c>
      <c r="C4983" t="s">
        <v>668</v>
      </c>
      <c r="D4983" t="s">
        <v>1365</v>
      </c>
      <c r="E4983" t="s">
        <v>187</v>
      </c>
      <c r="F4983">
        <v>2005</v>
      </c>
      <c r="G4983">
        <v>0.53639999999999999</v>
      </c>
    </row>
    <row r="4984" spans="1:7">
      <c r="A4984" t="s">
        <v>1297</v>
      </c>
      <c r="B4984" t="s">
        <v>1298</v>
      </c>
      <c r="C4984" t="s">
        <v>668</v>
      </c>
      <c r="D4984" t="s">
        <v>1365</v>
      </c>
      <c r="E4984" t="s">
        <v>187</v>
      </c>
      <c r="F4984">
        <v>2010</v>
      </c>
      <c r="G4984">
        <v>0.4788</v>
      </c>
    </row>
    <row r="4985" spans="1:7">
      <c r="A4985" t="s">
        <v>1297</v>
      </c>
      <c r="B4985" t="s">
        <v>1298</v>
      </c>
      <c r="C4985" t="s">
        <v>668</v>
      </c>
      <c r="D4985" t="s">
        <v>1365</v>
      </c>
      <c r="E4985" t="s">
        <v>187</v>
      </c>
      <c r="F4985">
        <v>2012</v>
      </c>
      <c r="G4985">
        <v>0.504</v>
      </c>
    </row>
    <row r="4986" spans="1:7">
      <c r="A4986" t="s">
        <v>1297</v>
      </c>
      <c r="B4986" t="s">
        <v>1298</v>
      </c>
      <c r="C4986" t="s">
        <v>668</v>
      </c>
      <c r="D4986" t="s">
        <v>1365</v>
      </c>
      <c r="E4986" t="s">
        <v>187</v>
      </c>
      <c r="F4986">
        <v>2016</v>
      </c>
      <c r="G4986">
        <v>0.61919999999999997</v>
      </c>
    </row>
    <row r="4987" spans="1:7">
      <c r="A4987" t="s">
        <v>1297</v>
      </c>
      <c r="B4987" t="s">
        <v>1298</v>
      </c>
      <c r="C4987" t="s">
        <v>668</v>
      </c>
      <c r="D4987" t="s">
        <v>1365</v>
      </c>
      <c r="E4987" t="s">
        <v>187</v>
      </c>
      <c r="F4987">
        <v>2020</v>
      </c>
      <c r="G4987">
        <v>0.64511300000000005</v>
      </c>
    </row>
    <row r="4988" spans="1:7">
      <c r="A4988" t="s">
        <v>1297</v>
      </c>
      <c r="B4988" t="s">
        <v>1298</v>
      </c>
      <c r="C4988" t="s">
        <v>667</v>
      </c>
      <c r="D4988" t="s">
        <v>1365</v>
      </c>
      <c r="E4988" t="s">
        <v>187</v>
      </c>
      <c r="F4988">
        <v>2005</v>
      </c>
      <c r="G4988">
        <v>0.115121</v>
      </c>
    </row>
    <row r="4989" spans="1:7">
      <c r="A4989" t="s">
        <v>1297</v>
      </c>
      <c r="B4989" t="s">
        <v>1298</v>
      </c>
      <c r="C4989" t="s">
        <v>667</v>
      </c>
      <c r="D4989" t="s">
        <v>1365</v>
      </c>
      <c r="E4989" t="s">
        <v>187</v>
      </c>
      <c r="F4989">
        <v>2010</v>
      </c>
      <c r="G4989">
        <v>0.14152300000000001</v>
      </c>
    </row>
    <row r="4990" spans="1:7">
      <c r="A4990" t="s">
        <v>1297</v>
      </c>
      <c r="B4990" t="s">
        <v>1298</v>
      </c>
      <c r="C4990" t="s">
        <v>667</v>
      </c>
      <c r="D4990" t="s">
        <v>1365</v>
      </c>
      <c r="E4990" t="s">
        <v>187</v>
      </c>
      <c r="F4990">
        <v>2012</v>
      </c>
      <c r="G4990">
        <v>0.13635</v>
      </c>
    </row>
    <row r="4991" spans="1:7">
      <c r="A4991" t="s">
        <v>1297</v>
      </c>
      <c r="B4991" t="s">
        <v>1298</v>
      </c>
      <c r="C4991" t="s">
        <v>667</v>
      </c>
      <c r="D4991" t="s">
        <v>1365</v>
      </c>
      <c r="E4991" t="s">
        <v>187</v>
      </c>
      <c r="F4991">
        <v>2016</v>
      </c>
      <c r="G4991">
        <v>0.123386</v>
      </c>
    </row>
    <row r="4992" spans="1:7">
      <c r="A4992" t="s">
        <v>1297</v>
      </c>
      <c r="B4992" t="s">
        <v>1298</v>
      </c>
      <c r="C4992" t="s">
        <v>667</v>
      </c>
      <c r="D4992" t="s">
        <v>1365</v>
      </c>
      <c r="E4992" t="s">
        <v>187</v>
      </c>
      <c r="F4992">
        <v>2020</v>
      </c>
      <c r="G4992">
        <v>0.111733</v>
      </c>
    </row>
    <row r="4993" spans="1:7">
      <c r="A4993" t="s">
        <v>1297</v>
      </c>
      <c r="B4993" t="s">
        <v>1298</v>
      </c>
      <c r="C4993" t="s">
        <v>666</v>
      </c>
      <c r="D4993" t="s">
        <v>1365</v>
      </c>
      <c r="E4993" t="s">
        <v>187</v>
      </c>
      <c r="F4993">
        <v>2005</v>
      </c>
      <c r="G4993">
        <v>0.6804</v>
      </c>
    </row>
    <row r="4994" spans="1:7">
      <c r="A4994" t="s">
        <v>1297</v>
      </c>
      <c r="B4994" t="s">
        <v>1298</v>
      </c>
      <c r="C4994" t="s">
        <v>666</v>
      </c>
      <c r="D4994" t="s">
        <v>1365</v>
      </c>
      <c r="E4994" t="s">
        <v>187</v>
      </c>
      <c r="F4994">
        <v>2010</v>
      </c>
      <c r="G4994">
        <v>0.61560000000000004</v>
      </c>
    </row>
    <row r="4995" spans="1:7">
      <c r="A4995" t="s">
        <v>1297</v>
      </c>
      <c r="B4995" t="s">
        <v>1298</v>
      </c>
      <c r="C4995" t="s">
        <v>666</v>
      </c>
      <c r="D4995" t="s">
        <v>1365</v>
      </c>
      <c r="E4995" t="s">
        <v>187</v>
      </c>
      <c r="F4995">
        <v>2012</v>
      </c>
      <c r="G4995">
        <v>0.64439999999999997</v>
      </c>
    </row>
    <row r="4996" spans="1:7">
      <c r="A4996" t="s">
        <v>1297</v>
      </c>
      <c r="B4996" t="s">
        <v>1298</v>
      </c>
      <c r="C4996" t="s">
        <v>666</v>
      </c>
      <c r="D4996" t="s">
        <v>1365</v>
      </c>
      <c r="E4996" t="s">
        <v>187</v>
      </c>
      <c r="F4996">
        <v>2016</v>
      </c>
      <c r="G4996">
        <v>0.72719999999999996</v>
      </c>
    </row>
    <row r="4997" spans="1:7">
      <c r="A4997" t="s">
        <v>1297</v>
      </c>
      <c r="B4997" t="s">
        <v>1298</v>
      </c>
      <c r="C4997" t="s">
        <v>666</v>
      </c>
      <c r="D4997" t="s">
        <v>1365</v>
      </c>
      <c r="E4997" t="s">
        <v>187</v>
      </c>
      <c r="F4997">
        <v>2020</v>
      </c>
      <c r="G4997">
        <v>0.75995999999999997</v>
      </c>
    </row>
    <row r="4998" spans="1:7">
      <c r="A4998" t="s">
        <v>1297</v>
      </c>
      <c r="B4998" t="s">
        <v>1298</v>
      </c>
      <c r="C4998" t="s">
        <v>664</v>
      </c>
      <c r="D4998" t="s">
        <v>1365</v>
      </c>
      <c r="E4998" t="s">
        <v>187</v>
      </c>
      <c r="F4998">
        <v>2005</v>
      </c>
      <c r="G4998">
        <v>2.3159920000000001</v>
      </c>
    </row>
    <row r="4999" spans="1:7">
      <c r="A4999" t="s">
        <v>1297</v>
      </c>
      <c r="B4999" t="s">
        <v>1298</v>
      </c>
      <c r="C4999" t="s">
        <v>664</v>
      </c>
      <c r="D4999" t="s">
        <v>1365</v>
      </c>
      <c r="E4999" t="s">
        <v>187</v>
      </c>
      <c r="F4999">
        <v>2010</v>
      </c>
      <c r="G4999">
        <v>2.0087999999999999</v>
      </c>
    </row>
    <row r="5000" spans="1:7">
      <c r="A5000" t="s">
        <v>1297</v>
      </c>
      <c r="B5000" t="s">
        <v>1298</v>
      </c>
      <c r="C5000" t="s">
        <v>664</v>
      </c>
      <c r="D5000" t="s">
        <v>1365</v>
      </c>
      <c r="E5000" t="s">
        <v>187</v>
      </c>
      <c r="F5000">
        <v>2012</v>
      </c>
      <c r="G5000">
        <v>2.0087999999999999</v>
      </c>
    </row>
    <row r="5001" spans="1:7">
      <c r="A5001" t="s">
        <v>1297</v>
      </c>
      <c r="B5001" t="s">
        <v>1298</v>
      </c>
      <c r="C5001" t="s">
        <v>664</v>
      </c>
      <c r="D5001" t="s">
        <v>1365</v>
      </c>
      <c r="E5001" t="s">
        <v>187</v>
      </c>
      <c r="F5001">
        <v>2016</v>
      </c>
      <c r="G5001">
        <v>2.0087999999999999</v>
      </c>
    </row>
    <row r="5002" spans="1:7">
      <c r="A5002" t="s">
        <v>1297</v>
      </c>
      <c r="B5002" t="s">
        <v>1298</v>
      </c>
      <c r="C5002" t="s">
        <v>664</v>
      </c>
      <c r="D5002" t="s">
        <v>1365</v>
      </c>
      <c r="E5002" t="s">
        <v>187</v>
      </c>
      <c r="F5002">
        <v>2020</v>
      </c>
      <c r="G5002">
        <v>1.9588030000000001</v>
      </c>
    </row>
    <row r="5003" spans="1:7">
      <c r="A5003" t="s">
        <v>1297</v>
      </c>
      <c r="B5003" t="s">
        <v>1298</v>
      </c>
      <c r="C5003" t="s">
        <v>1300</v>
      </c>
      <c r="D5003" t="s">
        <v>1365</v>
      </c>
      <c r="E5003" t="s">
        <v>187</v>
      </c>
      <c r="F5003">
        <v>2010</v>
      </c>
      <c r="G5003">
        <v>0.19439999999999999</v>
      </c>
    </row>
    <row r="5004" spans="1:7">
      <c r="A5004" t="s">
        <v>1297</v>
      </c>
      <c r="B5004" t="s">
        <v>1298</v>
      </c>
      <c r="C5004" t="s">
        <v>1300</v>
      </c>
      <c r="D5004" t="s">
        <v>1365</v>
      </c>
      <c r="E5004" t="s">
        <v>187</v>
      </c>
      <c r="F5004">
        <v>2012</v>
      </c>
      <c r="G5004">
        <v>0.18720000000000001</v>
      </c>
    </row>
    <row r="5005" spans="1:7">
      <c r="A5005" t="s">
        <v>1297</v>
      </c>
      <c r="B5005" t="s">
        <v>1298</v>
      </c>
      <c r="C5005" t="s">
        <v>1300</v>
      </c>
      <c r="D5005" t="s">
        <v>1365</v>
      </c>
      <c r="E5005" t="s">
        <v>187</v>
      </c>
      <c r="F5005">
        <v>2016</v>
      </c>
      <c r="G5005">
        <v>0.16919999999999999</v>
      </c>
    </row>
    <row r="5006" spans="1:7">
      <c r="A5006" t="s">
        <v>1297</v>
      </c>
      <c r="B5006" t="s">
        <v>1298</v>
      </c>
      <c r="C5006" t="s">
        <v>1300</v>
      </c>
      <c r="D5006" t="s">
        <v>1365</v>
      </c>
      <c r="E5006" t="s">
        <v>187</v>
      </c>
      <c r="F5006">
        <v>2020</v>
      </c>
      <c r="G5006">
        <v>0.25919999999999999</v>
      </c>
    </row>
    <row r="5007" spans="1:7">
      <c r="A5007" t="s">
        <v>1297</v>
      </c>
      <c r="B5007" t="s">
        <v>1298</v>
      </c>
      <c r="C5007" t="s">
        <v>652</v>
      </c>
      <c r="D5007" t="s">
        <v>1365</v>
      </c>
      <c r="E5007" t="s">
        <v>187</v>
      </c>
      <c r="F5007">
        <v>2005</v>
      </c>
      <c r="G5007">
        <v>1.3464</v>
      </c>
    </row>
    <row r="5008" spans="1:7">
      <c r="A5008" t="s">
        <v>1297</v>
      </c>
      <c r="B5008" t="s">
        <v>1298</v>
      </c>
      <c r="C5008" t="s">
        <v>652</v>
      </c>
      <c r="D5008" t="s">
        <v>1365</v>
      </c>
      <c r="E5008" t="s">
        <v>187</v>
      </c>
      <c r="F5008">
        <v>2010</v>
      </c>
      <c r="G5008">
        <v>5.81616</v>
      </c>
    </row>
    <row r="5009" spans="1:7">
      <c r="A5009" t="s">
        <v>1297</v>
      </c>
      <c r="B5009" t="s">
        <v>1298</v>
      </c>
      <c r="C5009" t="s">
        <v>652</v>
      </c>
      <c r="D5009" t="s">
        <v>1365</v>
      </c>
      <c r="E5009" t="s">
        <v>187</v>
      </c>
      <c r="F5009">
        <v>2012</v>
      </c>
      <c r="G5009">
        <v>5.7895200000000004</v>
      </c>
    </row>
    <row r="5010" spans="1:7">
      <c r="A5010" t="s">
        <v>1297</v>
      </c>
      <c r="B5010" t="s">
        <v>1298</v>
      </c>
      <c r="C5010" t="s">
        <v>652</v>
      </c>
      <c r="D5010" t="s">
        <v>1365</v>
      </c>
      <c r="E5010" t="s">
        <v>187</v>
      </c>
      <c r="F5010">
        <v>2016</v>
      </c>
      <c r="G5010">
        <v>5.9871600000000003</v>
      </c>
    </row>
    <row r="5011" spans="1:7">
      <c r="A5011" t="s">
        <v>1297</v>
      </c>
      <c r="B5011" t="s">
        <v>1298</v>
      </c>
      <c r="C5011" t="s">
        <v>652</v>
      </c>
      <c r="D5011" t="s">
        <v>1365</v>
      </c>
      <c r="E5011" t="s">
        <v>187</v>
      </c>
      <c r="F5011">
        <v>2020</v>
      </c>
      <c r="G5011">
        <v>6.42096</v>
      </c>
    </row>
    <row r="5012" spans="1:7">
      <c r="A5012" t="s">
        <v>1297</v>
      </c>
      <c r="B5012" t="s">
        <v>1298</v>
      </c>
      <c r="C5012" t="s">
        <v>662</v>
      </c>
      <c r="D5012" t="s">
        <v>1365</v>
      </c>
      <c r="E5012" t="s">
        <v>187</v>
      </c>
      <c r="F5012">
        <v>2016</v>
      </c>
      <c r="G5012">
        <v>8.6544000000000008</v>
      </c>
    </row>
    <row r="5013" spans="1:7">
      <c r="A5013" t="s">
        <v>1297</v>
      </c>
      <c r="B5013" t="s">
        <v>1298</v>
      </c>
      <c r="C5013" t="s">
        <v>662</v>
      </c>
      <c r="D5013" t="s">
        <v>1365</v>
      </c>
      <c r="E5013" t="s">
        <v>187</v>
      </c>
      <c r="F5013">
        <v>2020</v>
      </c>
      <c r="G5013">
        <v>8.5599720000000001</v>
      </c>
    </row>
    <row r="5014" spans="1:7">
      <c r="A5014" t="s">
        <v>1297</v>
      </c>
      <c r="B5014" t="s">
        <v>1298</v>
      </c>
      <c r="C5014" t="s">
        <v>1303</v>
      </c>
      <c r="D5014" t="s">
        <v>1365</v>
      </c>
      <c r="E5014" t="s">
        <v>187</v>
      </c>
      <c r="F5014">
        <v>2016</v>
      </c>
      <c r="G5014">
        <v>0.1908</v>
      </c>
    </row>
    <row r="5015" spans="1:7">
      <c r="A5015" t="s">
        <v>1297</v>
      </c>
      <c r="B5015" t="s">
        <v>1298</v>
      </c>
      <c r="C5015" t="s">
        <v>1303</v>
      </c>
      <c r="D5015" t="s">
        <v>1365</v>
      </c>
      <c r="E5015" t="s">
        <v>187</v>
      </c>
      <c r="F5015">
        <v>2020</v>
      </c>
      <c r="G5015">
        <v>0.29124</v>
      </c>
    </row>
    <row r="5016" spans="1:7">
      <c r="A5016" t="s">
        <v>1297</v>
      </c>
      <c r="B5016" t="s">
        <v>1298</v>
      </c>
      <c r="C5016" t="s">
        <v>682</v>
      </c>
      <c r="D5016" t="s">
        <v>1365</v>
      </c>
      <c r="E5016" t="s">
        <v>187</v>
      </c>
      <c r="F5016">
        <v>2016</v>
      </c>
      <c r="G5016">
        <v>0.2412</v>
      </c>
    </row>
    <row r="5017" spans="1:7">
      <c r="A5017" t="s">
        <v>1297</v>
      </c>
      <c r="B5017" t="s">
        <v>1298</v>
      </c>
      <c r="C5017" t="s">
        <v>682</v>
      </c>
      <c r="D5017" t="s">
        <v>1365</v>
      </c>
      <c r="E5017" t="s">
        <v>187</v>
      </c>
      <c r="F5017">
        <v>2020</v>
      </c>
      <c r="G5017">
        <v>0.21240000000000001</v>
      </c>
    </row>
    <row r="5018" spans="1:7">
      <c r="A5018" t="s">
        <v>1297</v>
      </c>
      <c r="B5018" t="s">
        <v>1298</v>
      </c>
      <c r="C5018" t="s">
        <v>663</v>
      </c>
      <c r="D5018" t="s">
        <v>1365</v>
      </c>
      <c r="E5018" t="s">
        <v>187</v>
      </c>
      <c r="F5018">
        <v>2005</v>
      </c>
      <c r="G5018">
        <v>3.33</v>
      </c>
    </row>
    <row r="5019" spans="1:7">
      <c r="A5019" t="s">
        <v>1297</v>
      </c>
      <c r="B5019" t="s">
        <v>1298</v>
      </c>
      <c r="C5019" t="s">
        <v>663</v>
      </c>
      <c r="D5019" t="s">
        <v>1365</v>
      </c>
      <c r="E5019" t="s">
        <v>187</v>
      </c>
      <c r="F5019">
        <v>2010</v>
      </c>
      <c r="G5019">
        <v>2.7107999999999999</v>
      </c>
    </row>
    <row r="5020" spans="1:7">
      <c r="A5020" t="s">
        <v>1297</v>
      </c>
      <c r="B5020" t="s">
        <v>1298</v>
      </c>
      <c r="C5020" t="s">
        <v>663</v>
      </c>
      <c r="D5020" t="s">
        <v>1365</v>
      </c>
      <c r="E5020" t="s">
        <v>187</v>
      </c>
      <c r="F5020">
        <v>2012</v>
      </c>
      <c r="G5020">
        <v>2.79</v>
      </c>
    </row>
    <row r="5021" spans="1:7">
      <c r="A5021" t="s">
        <v>1297</v>
      </c>
      <c r="B5021" t="s">
        <v>1298</v>
      </c>
      <c r="C5021" t="s">
        <v>663</v>
      </c>
      <c r="D5021" t="s">
        <v>1365</v>
      </c>
      <c r="E5021" t="s">
        <v>187</v>
      </c>
      <c r="F5021">
        <v>2016</v>
      </c>
      <c r="G5021">
        <v>3.1896</v>
      </c>
    </row>
    <row r="5022" spans="1:7">
      <c r="A5022" t="s">
        <v>1297</v>
      </c>
      <c r="B5022" t="s">
        <v>1298</v>
      </c>
      <c r="C5022" t="s">
        <v>663</v>
      </c>
      <c r="D5022" t="s">
        <v>1365</v>
      </c>
      <c r="E5022" t="s">
        <v>187</v>
      </c>
      <c r="F5022">
        <v>2020</v>
      </c>
      <c r="G5022">
        <v>3.6467999999999998</v>
      </c>
    </row>
    <row r="5023" spans="1:7">
      <c r="A5023" t="s">
        <v>1297</v>
      </c>
      <c r="B5023" t="s">
        <v>1298</v>
      </c>
      <c r="C5023" t="s">
        <v>680</v>
      </c>
      <c r="D5023" t="s">
        <v>1365</v>
      </c>
      <c r="E5023" t="s">
        <v>187</v>
      </c>
      <c r="F5023">
        <v>2005</v>
      </c>
      <c r="G5023">
        <v>0.73440000000000005</v>
      </c>
    </row>
    <row r="5024" spans="1:7">
      <c r="A5024" t="s">
        <v>1297</v>
      </c>
      <c r="B5024" t="s">
        <v>1298</v>
      </c>
      <c r="C5024" t="s">
        <v>680</v>
      </c>
      <c r="D5024" t="s">
        <v>1365</v>
      </c>
      <c r="E5024" t="s">
        <v>187</v>
      </c>
      <c r="F5024">
        <v>2010</v>
      </c>
      <c r="G5024">
        <v>0.78480000000000005</v>
      </c>
    </row>
    <row r="5025" spans="1:7">
      <c r="A5025" t="s">
        <v>1297</v>
      </c>
      <c r="B5025" t="s">
        <v>1298</v>
      </c>
      <c r="C5025" t="s">
        <v>680</v>
      </c>
      <c r="D5025" t="s">
        <v>1365</v>
      </c>
      <c r="E5025" t="s">
        <v>187</v>
      </c>
      <c r="F5025">
        <v>2012</v>
      </c>
      <c r="G5025">
        <v>0.80279999999999996</v>
      </c>
    </row>
    <row r="5026" spans="1:7">
      <c r="A5026" t="s">
        <v>1297</v>
      </c>
      <c r="B5026" t="s">
        <v>1298</v>
      </c>
      <c r="C5026" t="s">
        <v>680</v>
      </c>
      <c r="D5026" t="s">
        <v>1365</v>
      </c>
      <c r="E5026" t="s">
        <v>187</v>
      </c>
      <c r="F5026">
        <v>2016</v>
      </c>
      <c r="G5026">
        <v>0.85680000000000001</v>
      </c>
    </row>
    <row r="5027" spans="1:7">
      <c r="A5027" t="s">
        <v>1297</v>
      </c>
      <c r="B5027" t="s">
        <v>1298</v>
      </c>
      <c r="C5027" t="s">
        <v>680</v>
      </c>
      <c r="D5027" t="s">
        <v>1365</v>
      </c>
      <c r="E5027" t="s">
        <v>187</v>
      </c>
      <c r="F5027">
        <v>2020</v>
      </c>
      <c r="G5027">
        <v>0.83307200000000003</v>
      </c>
    </row>
    <row r="5028" spans="1:7">
      <c r="A5028" t="s">
        <v>1297</v>
      </c>
      <c r="B5028" t="s">
        <v>1298</v>
      </c>
      <c r="C5028" t="s">
        <v>1299</v>
      </c>
      <c r="D5028" t="s">
        <v>1365</v>
      </c>
      <c r="E5028" t="s">
        <v>187</v>
      </c>
      <c r="F5028">
        <v>2005</v>
      </c>
      <c r="G5028">
        <v>11.7</v>
      </c>
    </row>
    <row r="5029" spans="1:7">
      <c r="A5029" t="s">
        <v>1297</v>
      </c>
      <c r="B5029" t="s">
        <v>1298</v>
      </c>
      <c r="C5029" t="s">
        <v>1299</v>
      </c>
      <c r="D5029" t="s">
        <v>1365</v>
      </c>
      <c r="E5029" t="s">
        <v>187</v>
      </c>
      <c r="F5029">
        <v>2010</v>
      </c>
      <c r="G5029">
        <v>11.8116</v>
      </c>
    </row>
    <row r="5030" spans="1:7">
      <c r="A5030" t="s">
        <v>1297</v>
      </c>
      <c r="B5030" t="s">
        <v>1298</v>
      </c>
      <c r="C5030" t="s">
        <v>1299</v>
      </c>
      <c r="D5030" t="s">
        <v>1365</v>
      </c>
      <c r="E5030" t="s">
        <v>187</v>
      </c>
      <c r="F5030">
        <v>2012</v>
      </c>
      <c r="G5030">
        <v>13.791600000000001</v>
      </c>
    </row>
    <row r="5031" spans="1:7">
      <c r="A5031" t="s">
        <v>1297</v>
      </c>
      <c r="B5031" t="s">
        <v>1298</v>
      </c>
      <c r="C5031" t="s">
        <v>1299</v>
      </c>
      <c r="D5031" t="s">
        <v>1365</v>
      </c>
      <c r="E5031" t="s">
        <v>187</v>
      </c>
      <c r="F5031">
        <v>2016</v>
      </c>
      <c r="G5031">
        <v>12.646800000000001</v>
      </c>
    </row>
    <row r="5032" spans="1:7">
      <c r="A5032" t="s">
        <v>1297</v>
      </c>
      <c r="B5032" t="s">
        <v>1298</v>
      </c>
      <c r="C5032" t="s">
        <v>1299</v>
      </c>
      <c r="D5032" t="s">
        <v>1365</v>
      </c>
      <c r="E5032" t="s">
        <v>187</v>
      </c>
      <c r="F5032">
        <v>2020</v>
      </c>
      <c r="G5032">
        <v>13.231354</v>
      </c>
    </row>
    <row r="5033" spans="1:7">
      <c r="A5033" t="s">
        <v>1297</v>
      </c>
      <c r="B5033" t="s">
        <v>1298</v>
      </c>
      <c r="C5033" t="s">
        <v>661</v>
      </c>
      <c r="D5033" t="s">
        <v>1365</v>
      </c>
      <c r="E5033" t="s">
        <v>187</v>
      </c>
      <c r="F5033">
        <v>2005</v>
      </c>
      <c r="G5033">
        <v>26.3736</v>
      </c>
    </row>
    <row r="5034" spans="1:7">
      <c r="A5034" t="s">
        <v>1297</v>
      </c>
      <c r="B5034" t="s">
        <v>1298</v>
      </c>
      <c r="C5034" t="s">
        <v>661</v>
      </c>
      <c r="D5034" t="s">
        <v>1365</v>
      </c>
      <c r="E5034" t="s">
        <v>187</v>
      </c>
      <c r="F5034">
        <v>2010</v>
      </c>
      <c r="G5034">
        <v>27.4176</v>
      </c>
    </row>
    <row r="5035" spans="1:7">
      <c r="A5035" t="s">
        <v>1297</v>
      </c>
      <c r="B5035" t="s">
        <v>1298</v>
      </c>
      <c r="C5035" t="s">
        <v>661</v>
      </c>
      <c r="D5035" t="s">
        <v>1365</v>
      </c>
      <c r="E5035" t="s">
        <v>187</v>
      </c>
      <c r="F5035">
        <v>2012</v>
      </c>
      <c r="G5035">
        <v>30.210476</v>
      </c>
    </row>
    <row r="5036" spans="1:7">
      <c r="A5036" t="s">
        <v>1297</v>
      </c>
      <c r="B5036" t="s">
        <v>1298</v>
      </c>
      <c r="C5036" t="s">
        <v>661</v>
      </c>
      <c r="D5036" t="s">
        <v>1365</v>
      </c>
      <c r="E5036" t="s">
        <v>187</v>
      </c>
      <c r="F5036">
        <v>2016</v>
      </c>
      <c r="G5036">
        <v>31.338661999999999</v>
      </c>
    </row>
    <row r="5037" spans="1:7">
      <c r="A5037" t="s">
        <v>1297</v>
      </c>
      <c r="B5037" t="s">
        <v>1298</v>
      </c>
      <c r="C5037" t="s">
        <v>661</v>
      </c>
      <c r="D5037" t="s">
        <v>1365</v>
      </c>
      <c r="E5037" t="s">
        <v>187</v>
      </c>
      <c r="F5037">
        <v>2020</v>
      </c>
      <c r="G5037">
        <v>29.766542000000001</v>
      </c>
    </row>
    <row r="5038" spans="1:7">
      <c r="A5038" t="s">
        <v>1297</v>
      </c>
      <c r="B5038" t="s">
        <v>1298</v>
      </c>
      <c r="C5038" t="s">
        <v>658</v>
      </c>
      <c r="D5038" t="s">
        <v>1365</v>
      </c>
      <c r="E5038" t="s">
        <v>187</v>
      </c>
      <c r="F5038">
        <v>2005</v>
      </c>
      <c r="G5038">
        <v>0.75600000000000001</v>
      </c>
    </row>
    <row r="5039" spans="1:7">
      <c r="A5039" t="s">
        <v>1297</v>
      </c>
      <c r="B5039" t="s">
        <v>1298</v>
      </c>
      <c r="C5039" t="s">
        <v>658</v>
      </c>
      <c r="D5039" t="s">
        <v>1365</v>
      </c>
      <c r="E5039" t="s">
        <v>187</v>
      </c>
      <c r="F5039">
        <v>2010</v>
      </c>
      <c r="G5039">
        <v>0.66959999999999997</v>
      </c>
    </row>
    <row r="5040" spans="1:7">
      <c r="A5040" t="s">
        <v>1297</v>
      </c>
      <c r="B5040" t="s">
        <v>1298</v>
      </c>
      <c r="C5040" t="s">
        <v>658</v>
      </c>
      <c r="D5040" t="s">
        <v>1365</v>
      </c>
      <c r="E5040" t="s">
        <v>187</v>
      </c>
      <c r="F5040">
        <v>2012</v>
      </c>
      <c r="G5040">
        <v>0.75960000000000005</v>
      </c>
    </row>
    <row r="5041" spans="1:7">
      <c r="A5041" t="s">
        <v>1297</v>
      </c>
      <c r="B5041" t="s">
        <v>1298</v>
      </c>
      <c r="C5041" t="s">
        <v>658</v>
      </c>
      <c r="D5041" t="s">
        <v>1365</v>
      </c>
      <c r="E5041" t="s">
        <v>187</v>
      </c>
      <c r="F5041">
        <v>2016</v>
      </c>
      <c r="G5041">
        <v>0.75239999999999996</v>
      </c>
    </row>
    <row r="5042" spans="1:7">
      <c r="A5042" t="s">
        <v>1297</v>
      </c>
      <c r="B5042" t="s">
        <v>1298</v>
      </c>
      <c r="C5042" t="s">
        <v>658</v>
      </c>
      <c r="D5042" t="s">
        <v>1365</v>
      </c>
      <c r="E5042" t="s">
        <v>187</v>
      </c>
      <c r="F5042">
        <v>2020</v>
      </c>
      <c r="G5042">
        <v>0.4824</v>
      </c>
    </row>
    <row r="5043" spans="1:7">
      <c r="A5043" t="s">
        <v>1297</v>
      </c>
      <c r="B5043" t="s">
        <v>1298</v>
      </c>
      <c r="C5043" t="s">
        <v>657</v>
      </c>
      <c r="D5043" t="s">
        <v>1365</v>
      </c>
      <c r="E5043" t="s">
        <v>187</v>
      </c>
      <c r="F5043">
        <v>2005</v>
      </c>
      <c r="G5043">
        <v>6.8579999999999997</v>
      </c>
    </row>
    <row r="5044" spans="1:7">
      <c r="A5044" t="s">
        <v>1297</v>
      </c>
      <c r="B5044" t="s">
        <v>1298</v>
      </c>
      <c r="C5044" t="s">
        <v>657</v>
      </c>
      <c r="D5044" t="s">
        <v>1365</v>
      </c>
      <c r="E5044" t="s">
        <v>187</v>
      </c>
      <c r="F5044">
        <v>2010</v>
      </c>
      <c r="G5044">
        <v>6.8975999999999997</v>
      </c>
    </row>
    <row r="5045" spans="1:7">
      <c r="A5045" t="s">
        <v>1297</v>
      </c>
      <c r="B5045" t="s">
        <v>1298</v>
      </c>
      <c r="C5045" t="s">
        <v>657</v>
      </c>
      <c r="D5045" t="s">
        <v>1365</v>
      </c>
      <c r="E5045" t="s">
        <v>187</v>
      </c>
      <c r="F5045">
        <v>2012</v>
      </c>
      <c r="G5045">
        <v>6.4188000000000001</v>
      </c>
    </row>
    <row r="5046" spans="1:7">
      <c r="A5046" t="s">
        <v>1297</v>
      </c>
      <c r="B5046" t="s">
        <v>1298</v>
      </c>
      <c r="C5046" t="s">
        <v>657</v>
      </c>
      <c r="D5046" t="s">
        <v>1365</v>
      </c>
      <c r="E5046" t="s">
        <v>187</v>
      </c>
      <c r="F5046">
        <v>2016</v>
      </c>
      <c r="G5046">
        <v>6.2747460000000004</v>
      </c>
    </row>
    <row r="5047" spans="1:7">
      <c r="A5047" t="s">
        <v>1297</v>
      </c>
      <c r="B5047" t="s">
        <v>1298</v>
      </c>
      <c r="C5047" t="s">
        <v>657</v>
      </c>
      <c r="D5047" t="s">
        <v>1365</v>
      </c>
      <c r="E5047" t="s">
        <v>187</v>
      </c>
      <c r="F5047">
        <v>2020</v>
      </c>
      <c r="G5047">
        <v>6.5753570000000003</v>
      </c>
    </row>
    <row r="5048" spans="1:7">
      <c r="A5048" t="s">
        <v>1297</v>
      </c>
      <c r="B5048" t="s">
        <v>1298</v>
      </c>
      <c r="C5048" t="s">
        <v>289</v>
      </c>
      <c r="D5048" t="s">
        <v>1365</v>
      </c>
      <c r="E5048" t="s">
        <v>187</v>
      </c>
      <c r="F5048">
        <v>2005</v>
      </c>
      <c r="G5048">
        <v>0.49357400000000001</v>
      </c>
    </row>
    <row r="5049" spans="1:7">
      <c r="A5049" t="s">
        <v>1297</v>
      </c>
      <c r="B5049" t="s">
        <v>1298</v>
      </c>
      <c r="C5049" t="s">
        <v>289</v>
      </c>
      <c r="D5049" t="s">
        <v>1365</v>
      </c>
      <c r="E5049" t="s">
        <v>187</v>
      </c>
      <c r="F5049">
        <v>2010</v>
      </c>
      <c r="G5049">
        <v>0.52961800000000003</v>
      </c>
    </row>
    <row r="5050" spans="1:7">
      <c r="A5050" t="s">
        <v>1297</v>
      </c>
      <c r="B5050" t="s">
        <v>1298</v>
      </c>
      <c r="C5050" t="s">
        <v>289</v>
      </c>
      <c r="D5050" t="s">
        <v>1365</v>
      </c>
      <c r="E5050" t="s">
        <v>187</v>
      </c>
      <c r="F5050">
        <v>2012</v>
      </c>
      <c r="G5050">
        <v>0.50129999999999997</v>
      </c>
    </row>
    <row r="5051" spans="1:7">
      <c r="A5051" t="s">
        <v>1297</v>
      </c>
      <c r="B5051" t="s">
        <v>1298</v>
      </c>
      <c r="C5051" t="s">
        <v>289</v>
      </c>
      <c r="D5051" t="s">
        <v>1365</v>
      </c>
      <c r="E5051" t="s">
        <v>187</v>
      </c>
      <c r="F5051">
        <v>2016</v>
      </c>
      <c r="G5051">
        <v>0.51426000000000005</v>
      </c>
    </row>
    <row r="5052" spans="1:7">
      <c r="A5052" t="s">
        <v>1297</v>
      </c>
      <c r="B5052" t="s">
        <v>1298</v>
      </c>
      <c r="C5052" t="s">
        <v>289</v>
      </c>
      <c r="D5052" t="s">
        <v>1365</v>
      </c>
      <c r="E5052" t="s">
        <v>187</v>
      </c>
      <c r="F5052">
        <v>2020</v>
      </c>
      <c r="G5052">
        <v>0.53624899999999998</v>
      </c>
    </row>
    <row r="5053" spans="1:7">
      <c r="A5053" t="s">
        <v>1297</v>
      </c>
      <c r="B5053" t="s">
        <v>1298</v>
      </c>
      <c r="C5053" t="s">
        <v>655</v>
      </c>
      <c r="D5053" t="s">
        <v>1365</v>
      </c>
      <c r="E5053" t="s">
        <v>187</v>
      </c>
      <c r="F5053">
        <v>2005</v>
      </c>
      <c r="G5053">
        <v>3.6612</v>
      </c>
    </row>
    <row r="5054" spans="1:7">
      <c r="A5054" t="s">
        <v>1297</v>
      </c>
      <c r="B5054" t="s">
        <v>1298</v>
      </c>
      <c r="C5054" t="s">
        <v>655</v>
      </c>
      <c r="D5054" t="s">
        <v>1365</v>
      </c>
      <c r="E5054" t="s">
        <v>187</v>
      </c>
      <c r="F5054">
        <v>2010</v>
      </c>
      <c r="G5054">
        <v>3.2904</v>
      </c>
    </row>
    <row r="5055" spans="1:7">
      <c r="A5055" t="s">
        <v>1297</v>
      </c>
      <c r="B5055" t="s">
        <v>1298</v>
      </c>
      <c r="C5055" t="s">
        <v>655</v>
      </c>
      <c r="D5055" t="s">
        <v>1365</v>
      </c>
      <c r="E5055" t="s">
        <v>187</v>
      </c>
      <c r="F5055">
        <v>2012</v>
      </c>
      <c r="G5055">
        <v>3.0059999999999998</v>
      </c>
    </row>
    <row r="5056" spans="1:7">
      <c r="A5056" t="s">
        <v>1297</v>
      </c>
      <c r="B5056" t="s">
        <v>1298</v>
      </c>
      <c r="C5056" t="s">
        <v>655</v>
      </c>
      <c r="D5056" t="s">
        <v>1365</v>
      </c>
      <c r="E5056" t="s">
        <v>187</v>
      </c>
      <c r="F5056">
        <v>2016</v>
      </c>
      <c r="G5056">
        <v>3.3839999999999999</v>
      </c>
    </row>
    <row r="5057" spans="1:7">
      <c r="A5057" t="s">
        <v>1297</v>
      </c>
      <c r="B5057" t="s">
        <v>1298</v>
      </c>
      <c r="C5057" t="s">
        <v>655</v>
      </c>
      <c r="D5057" t="s">
        <v>1365</v>
      </c>
      <c r="E5057" t="s">
        <v>187</v>
      </c>
      <c r="F5057">
        <v>2020</v>
      </c>
      <c r="G5057">
        <v>3.4977200000000002</v>
      </c>
    </row>
    <row r="5058" spans="1:7">
      <c r="A5058" t="s">
        <v>1297</v>
      </c>
      <c r="B5058" t="s">
        <v>1298</v>
      </c>
      <c r="C5058" t="s">
        <v>676</v>
      </c>
      <c r="D5058" t="s">
        <v>1365</v>
      </c>
      <c r="E5058" t="s">
        <v>187</v>
      </c>
      <c r="F5058">
        <v>2005</v>
      </c>
      <c r="G5058">
        <v>1.4112</v>
      </c>
    </row>
    <row r="5059" spans="1:7">
      <c r="A5059" t="s">
        <v>1297</v>
      </c>
      <c r="B5059" t="s">
        <v>1298</v>
      </c>
      <c r="C5059" t="s">
        <v>676</v>
      </c>
      <c r="D5059" t="s">
        <v>1365</v>
      </c>
      <c r="E5059" t="s">
        <v>187</v>
      </c>
      <c r="F5059">
        <v>2010</v>
      </c>
      <c r="G5059">
        <v>1.0296000000000001</v>
      </c>
    </row>
    <row r="5060" spans="1:7">
      <c r="A5060" t="s">
        <v>1297</v>
      </c>
      <c r="B5060" t="s">
        <v>1298</v>
      </c>
      <c r="C5060" t="s">
        <v>676</v>
      </c>
      <c r="D5060" t="s">
        <v>1365</v>
      </c>
      <c r="E5060" t="s">
        <v>187</v>
      </c>
      <c r="F5060">
        <v>2012</v>
      </c>
      <c r="G5060">
        <v>1.026</v>
      </c>
    </row>
    <row r="5061" spans="1:7">
      <c r="A5061" t="s">
        <v>1297</v>
      </c>
      <c r="B5061" t="s">
        <v>1298</v>
      </c>
      <c r="C5061" t="s">
        <v>676</v>
      </c>
      <c r="D5061" t="s">
        <v>1365</v>
      </c>
      <c r="E5061" t="s">
        <v>187</v>
      </c>
      <c r="F5061">
        <v>2016</v>
      </c>
      <c r="G5061">
        <v>0.90720000000000001</v>
      </c>
    </row>
    <row r="5062" spans="1:7">
      <c r="A5062" t="s">
        <v>1297</v>
      </c>
      <c r="B5062" t="s">
        <v>1298</v>
      </c>
      <c r="C5062" t="s">
        <v>676</v>
      </c>
      <c r="D5062" t="s">
        <v>1365</v>
      </c>
      <c r="E5062" t="s">
        <v>187</v>
      </c>
      <c r="F5062">
        <v>2020</v>
      </c>
      <c r="G5062">
        <v>1.1124000000000001</v>
      </c>
    </row>
    <row r="5063" spans="1:7">
      <c r="A5063" t="s">
        <v>1297</v>
      </c>
      <c r="B5063" t="s">
        <v>1298</v>
      </c>
      <c r="C5063" t="s">
        <v>669</v>
      </c>
      <c r="D5063" t="s">
        <v>1365</v>
      </c>
      <c r="E5063" t="s">
        <v>187</v>
      </c>
      <c r="F5063">
        <v>2010</v>
      </c>
      <c r="G5063">
        <v>3.5999999999999997E-2</v>
      </c>
    </row>
    <row r="5064" spans="1:7">
      <c r="A5064" t="s">
        <v>1297</v>
      </c>
      <c r="B5064" t="s">
        <v>1298</v>
      </c>
      <c r="C5064" t="s">
        <v>669</v>
      </c>
      <c r="D5064" t="s">
        <v>1365</v>
      </c>
      <c r="E5064" t="s">
        <v>187</v>
      </c>
      <c r="F5064">
        <v>2012</v>
      </c>
      <c r="G5064">
        <v>3.5999999999999997E-2</v>
      </c>
    </row>
    <row r="5065" spans="1:7">
      <c r="A5065" t="s">
        <v>1297</v>
      </c>
      <c r="B5065" t="s">
        <v>1298</v>
      </c>
      <c r="C5065" t="s">
        <v>669</v>
      </c>
      <c r="D5065" t="s">
        <v>1365</v>
      </c>
      <c r="E5065" t="s">
        <v>187</v>
      </c>
      <c r="F5065">
        <v>2016</v>
      </c>
      <c r="G5065">
        <v>3.9657999999999999E-2</v>
      </c>
    </row>
    <row r="5066" spans="1:7">
      <c r="A5066" t="s">
        <v>1297</v>
      </c>
      <c r="B5066" t="s">
        <v>1298</v>
      </c>
      <c r="C5066" t="s">
        <v>669</v>
      </c>
      <c r="D5066" t="s">
        <v>1365</v>
      </c>
      <c r="E5066" t="s">
        <v>187</v>
      </c>
      <c r="F5066">
        <v>2020</v>
      </c>
      <c r="G5066">
        <v>3.3954999999999999E-2</v>
      </c>
    </row>
    <row r="5067" spans="1:7">
      <c r="A5067" t="s">
        <v>1297</v>
      </c>
      <c r="B5067" t="s">
        <v>1298</v>
      </c>
      <c r="C5067" t="s">
        <v>670</v>
      </c>
      <c r="D5067" t="s">
        <v>1365</v>
      </c>
      <c r="E5067" t="s">
        <v>187</v>
      </c>
      <c r="F5067">
        <v>2005</v>
      </c>
      <c r="G5067">
        <v>20.703600000000002</v>
      </c>
    </row>
    <row r="5068" spans="1:7">
      <c r="A5068" t="s">
        <v>1297</v>
      </c>
      <c r="B5068" t="s">
        <v>1298</v>
      </c>
      <c r="C5068" t="s">
        <v>670</v>
      </c>
      <c r="D5068" t="s">
        <v>1365</v>
      </c>
      <c r="E5068" t="s">
        <v>187</v>
      </c>
      <c r="F5068">
        <v>2010</v>
      </c>
      <c r="G5068">
        <v>24.937200000000001</v>
      </c>
    </row>
    <row r="5069" spans="1:7">
      <c r="A5069" t="s">
        <v>1297</v>
      </c>
      <c r="B5069" t="s">
        <v>1298</v>
      </c>
      <c r="C5069" t="s">
        <v>670</v>
      </c>
      <c r="D5069" t="s">
        <v>1365</v>
      </c>
      <c r="E5069" t="s">
        <v>187</v>
      </c>
      <c r="F5069">
        <v>2012</v>
      </c>
      <c r="G5069">
        <v>26.816756000000002</v>
      </c>
    </row>
    <row r="5070" spans="1:7">
      <c r="A5070" t="s">
        <v>1297</v>
      </c>
      <c r="B5070" t="s">
        <v>1298</v>
      </c>
      <c r="C5070" t="s">
        <v>670</v>
      </c>
      <c r="D5070" t="s">
        <v>1365</v>
      </c>
      <c r="E5070" t="s">
        <v>187</v>
      </c>
      <c r="F5070">
        <v>2016</v>
      </c>
      <c r="G5070">
        <v>32.190742999999998</v>
      </c>
    </row>
    <row r="5071" spans="1:7">
      <c r="A5071" t="s">
        <v>1297</v>
      </c>
      <c r="B5071" t="s">
        <v>1298</v>
      </c>
      <c r="C5071" t="s">
        <v>670</v>
      </c>
      <c r="D5071" t="s">
        <v>1365</v>
      </c>
      <c r="E5071" t="s">
        <v>187</v>
      </c>
      <c r="F5071">
        <v>2020</v>
      </c>
      <c r="G5071">
        <v>41.206453000000003</v>
      </c>
    </row>
    <row r="5072" spans="1:7">
      <c r="A5072" t="s">
        <v>1297</v>
      </c>
      <c r="B5072" t="s">
        <v>1298</v>
      </c>
      <c r="C5072" t="s">
        <v>674</v>
      </c>
      <c r="D5072" t="s">
        <v>1365</v>
      </c>
      <c r="E5072" t="s">
        <v>187</v>
      </c>
      <c r="F5072">
        <v>2005</v>
      </c>
      <c r="G5072">
        <v>5.4863999999999997</v>
      </c>
    </row>
    <row r="5073" spans="1:7">
      <c r="A5073" t="s">
        <v>1297</v>
      </c>
      <c r="B5073" t="s">
        <v>1298</v>
      </c>
      <c r="C5073" t="s">
        <v>674</v>
      </c>
      <c r="D5073" t="s">
        <v>1365</v>
      </c>
      <c r="E5073" t="s">
        <v>187</v>
      </c>
      <c r="F5073">
        <v>2010</v>
      </c>
      <c r="G5073">
        <v>4.5288000000000004</v>
      </c>
    </row>
    <row r="5074" spans="1:7">
      <c r="A5074" t="s">
        <v>1297</v>
      </c>
      <c r="B5074" t="s">
        <v>1298</v>
      </c>
      <c r="C5074" t="s">
        <v>674</v>
      </c>
      <c r="D5074" t="s">
        <v>1365</v>
      </c>
      <c r="E5074" t="s">
        <v>187</v>
      </c>
      <c r="F5074">
        <v>2012</v>
      </c>
      <c r="G5074">
        <v>3.1463999999999999</v>
      </c>
    </row>
    <row r="5075" spans="1:7">
      <c r="A5075" t="s">
        <v>1297</v>
      </c>
      <c r="B5075" t="s">
        <v>1298</v>
      </c>
      <c r="C5075" t="s">
        <v>674</v>
      </c>
      <c r="D5075" t="s">
        <v>1365</v>
      </c>
      <c r="E5075" t="s">
        <v>187</v>
      </c>
      <c r="F5075">
        <v>2016</v>
      </c>
      <c r="G5075">
        <v>4.6475999999999997</v>
      </c>
    </row>
    <row r="5076" spans="1:7">
      <c r="A5076" t="s">
        <v>1297</v>
      </c>
      <c r="B5076" t="s">
        <v>1298</v>
      </c>
      <c r="C5076" t="s">
        <v>674</v>
      </c>
      <c r="D5076" t="s">
        <v>1365</v>
      </c>
      <c r="E5076" t="s">
        <v>187</v>
      </c>
      <c r="F5076">
        <v>2020</v>
      </c>
      <c r="G5076">
        <v>3.6863999999999999</v>
      </c>
    </row>
    <row r="5077" spans="1:7">
      <c r="A5077" t="s">
        <v>1297</v>
      </c>
      <c r="B5077" t="s">
        <v>1298</v>
      </c>
      <c r="C5077" t="s">
        <v>681</v>
      </c>
      <c r="D5077" t="s">
        <v>1365</v>
      </c>
      <c r="E5077" t="s">
        <v>187</v>
      </c>
      <c r="F5077">
        <v>2010</v>
      </c>
      <c r="G5077">
        <v>0.378</v>
      </c>
    </row>
    <row r="5078" spans="1:7">
      <c r="A5078" t="s">
        <v>1297</v>
      </c>
      <c r="B5078" t="s">
        <v>1298</v>
      </c>
      <c r="C5078" t="s">
        <v>681</v>
      </c>
      <c r="D5078" t="s">
        <v>1365</v>
      </c>
      <c r="E5078" t="s">
        <v>187</v>
      </c>
      <c r="F5078">
        <v>2012</v>
      </c>
      <c r="G5078">
        <v>0.50039999999999996</v>
      </c>
    </row>
    <row r="5079" spans="1:7">
      <c r="A5079" t="s">
        <v>1297</v>
      </c>
      <c r="B5079" t="s">
        <v>1298</v>
      </c>
      <c r="C5079" t="s">
        <v>681</v>
      </c>
      <c r="D5079" t="s">
        <v>1365</v>
      </c>
      <c r="E5079" t="s">
        <v>187</v>
      </c>
      <c r="F5079">
        <v>2016</v>
      </c>
      <c r="G5079">
        <v>0.29520000000000002</v>
      </c>
    </row>
    <row r="5080" spans="1:7">
      <c r="A5080" t="s">
        <v>1297</v>
      </c>
      <c r="B5080" t="s">
        <v>1298</v>
      </c>
      <c r="C5080" t="s">
        <v>681</v>
      </c>
      <c r="D5080" t="s">
        <v>1365</v>
      </c>
      <c r="E5080" t="s">
        <v>187</v>
      </c>
      <c r="F5080">
        <v>2020</v>
      </c>
      <c r="G5080">
        <v>0.36498999999999998</v>
      </c>
    </row>
    <row r="5081" spans="1:7">
      <c r="A5081" t="s">
        <v>1297</v>
      </c>
      <c r="B5081" t="s">
        <v>1298</v>
      </c>
      <c r="C5081" t="s">
        <v>673</v>
      </c>
      <c r="D5081" t="s">
        <v>1365</v>
      </c>
      <c r="E5081" t="s">
        <v>187</v>
      </c>
      <c r="F5081">
        <v>2005</v>
      </c>
      <c r="G5081">
        <v>1.1916</v>
      </c>
    </row>
    <row r="5082" spans="1:7">
      <c r="A5082" t="s">
        <v>1297</v>
      </c>
      <c r="B5082" t="s">
        <v>1298</v>
      </c>
      <c r="C5082" t="s">
        <v>673</v>
      </c>
      <c r="D5082" t="s">
        <v>1365</v>
      </c>
      <c r="E5082" t="s">
        <v>187</v>
      </c>
      <c r="F5082">
        <v>2010</v>
      </c>
      <c r="G5082">
        <v>2.4156</v>
      </c>
    </row>
    <row r="5083" spans="1:7">
      <c r="A5083" t="s">
        <v>1297</v>
      </c>
      <c r="B5083" t="s">
        <v>1298</v>
      </c>
      <c r="C5083" t="s">
        <v>673</v>
      </c>
      <c r="D5083" t="s">
        <v>1365</v>
      </c>
      <c r="E5083" t="s">
        <v>187</v>
      </c>
      <c r="F5083">
        <v>2012</v>
      </c>
      <c r="G5083">
        <v>2.9556</v>
      </c>
    </row>
    <row r="5084" spans="1:7">
      <c r="A5084" t="s">
        <v>1297</v>
      </c>
      <c r="B5084" t="s">
        <v>1298</v>
      </c>
      <c r="C5084" t="s">
        <v>673</v>
      </c>
      <c r="D5084" t="s">
        <v>1365</v>
      </c>
      <c r="E5084" t="s">
        <v>187</v>
      </c>
      <c r="F5084">
        <v>2016</v>
      </c>
      <c r="G5084">
        <v>2.6711999999999998</v>
      </c>
    </row>
    <row r="5085" spans="1:7">
      <c r="A5085" t="s">
        <v>1297</v>
      </c>
      <c r="B5085" t="s">
        <v>1298</v>
      </c>
      <c r="C5085" t="s">
        <v>673</v>
      </c>
      <c r="D5085" t="s">
        <v>1365</v>
      </c>
      <c r="E5085" t="s">
        <v>187</v>
      </c>
      <c r="F5085">
        <v>2020</v>
      </c>
      <c r="G5085">
        <v>2.7088160000000001</v>
      </c>
    </row>
    <row r="5086" spans="1:7">
      <c r="A5086" t="s">
        <v>1297</v>
      </c>
      <c r="B5086" t="s">
        <v>1298</v>
      </c>
      <c r="C5086" t="s">
        <v>662</v>
      </c>
      <c r="D5086" t="s">
        <v>1365</v>
      </c>
      <c r="E5086" t="s">
        <v>187</v>
      </c>
      <c r="F5086">
        <v>2005</v>
      </c>
      <c r="G5086">
        <v>10.555199999999999</v>
      </c>
    </row>
    <row r="5087" spans="1:7">
      <c r="A5087" t="s">
        <v>1297</v>
      </c>
      <c r="B5087" t="s">
        <v>1298</v>
      </c>
      <c r="C5087" t="s">
        <v>662</v>
      </c>
      <c r="D5087" t="s">
        <v>1365</v>
      </c>
      <c r="E5087" t="s">
        <v>187</v>
      </c>
      <c r="F5087">
        <v>2010</v>
      </c>
      <c r="G5087">
        <v>9.5939999999999994</v>
      </c>
    </row>
    <row r="5088" spans="1:7">
      <c r="A5088" t="s">
        <v>1297</v>
      </c>
      <c r="B5088" t="s">
        <v>1298</v>
      </c>
      <c r="C5088" t="s">
        <v>662</v>
      </c>
      <c r="D5088" t="s">
        <v>1365</v>
      </c>
      <c r="E5088" t="s">
        <v>187</v>
      </c>
      <c r="F5088">
        <v>2012</v>
      </c>
      <c r="G5088">
        <v>9.8171999999999997</v>
      </c>
    </row>
    <row r="5089" spans="1:7">
      <c r="A5089" t="s">
        <v>1297</v>
      </c>
      <c r="B5089" t="s">
        <v>1298</v>
      </c>
      <c r="C5089" t="s">
        <v>1301</v>
      </c>
      <c r="D5089" t="s">
        <v>1365</v>
      </c>
      <c r="E5089" t="s">
        <v>187</v>
      </c>
      <c r="F5089">
        <v>2005</v>
      </c>
      <c r="G5089">
        <v>14.436</v>
      </c>
    </row>
    <row r="5090" spans="1:7">
      <c r="A5090" t="s">
        <v>1297</v>
      </c>
      <c r="B5090" t="s">
        <v>1298</v>
      </c>
      <c r="C5090" t="s">
        <v>1301</v>
      </c>
      <c r="D5090" t="s">
        <v>1365</v>
      </c>
      <c r="E5090" t="s">
        <v>187</v>
      </c>
      <c r="F5090">
        <v>2010</v>
      </c>
      <c r="G5090">
        <v>19.565999999999999</v>
      </c>
    </row>
    <row r="5091" spans="1:7">
      <c r="A5091" t="s">
        <v>1297</v>
      </c>
      <c r="B5091" t="s">
        <v>1298</v>
      </c>
      <c r="C5091" t="s">
        <v>1301</v>
      </c>
      <c r="D5091" t="s">
        <v>1365</v>
      </c>
      <c r="E5091" t="s">
        <v>187</v>
      </c>
      <c r="F5091">
        <v>2012</v>
      </c>
      <c r="G5091">
        <v>20.642399999999999</v>
      </c>
    </row>
    <row r="5092" spans="1:7">
      <c r="A5092" t="s">
        <v>1297</v>
      </c>
      <c r="B5092" t="s">
        <v>1298</v>
      </c>
      <c r="C5092" t="s">
        <v>1301</v>
      </c>
      <c r="D5092" t="s">
        <v>1365</v>
      </c>
      <c r="E5092" t="s">
        <v>187</v>
      </c>
      <c r="F5092">
        <v>2016</v>
      </c>
      <c r="G5092">
        <v>24.019200000000001</v>
      </c>
    </row>
    <row r="5093" spans="1:7">
      <c r="A5093" t="s">
        <v>1297</v>
      </c>
      <c r="B5093" t="s">
        <v>1298</v>
      </c>
      <c r="C5093" t="s">
        <v>1301</v>
      </c>
      <c r="D5093" t="s">
        <v>1365</v>
      </c>
      <c r="E5093" t="s">
        <v>187</v>
      </c>
      <c r="F5093">
        <v>2020</v>
      </c>
      <c r="G5093">
        <v>33.832605999999998</v>
      </c>
    </row>
    <row r="5094" spans="1:7">
      <c r="A5094" t="s">
        <v>1297</v>
      </c>
      <c r="B5094" t="s">
        <v>1298</v>
      </c>
      <c r="C5094" t="s">
        <v>685</v>
      </c>
      <c r="D5094" t="s">
        <v>1365</v>
      </c>
      <c r="E5094" t="s">
        <v>187</v>
      </c>
      <c r="F5094">
        <v>2005</v>
      </c>
      <c r="G5094">
        <v>9.3600000000000003E-2</v>
      </c>
    </row>
    <row r="5095" spans="1:7">
      <c r="A5095" t="s">
        <v>1297</v>
      </c>
      <c r="B5095" t="s">
        <v>1298</v>
      </c>
      <c r="C5095" t="s">
        <v>685</v>
      </c>
      <c r="D5095" t="s">
        <v>1365</v>
      </c>
      <c r="E5095" t="s">
        <v>187</v>
      </c>
      <c r="F5095">
        <v>2010</v>
      </c>
      <c r="G5095">
        <v>0.12959999999999999</v>
      </c>
    </row>
    <row r="5096" spans="1:7">
      <c r="A5096" t="s">
        <v>1297</v>
      </c>
      <c r="B5096" t="s">
        <v>1298</v>
      </c>
      <c r="C5096" t="s">
        <v>685</v>
      </c>
      <c r="D5096" t="s">
        <v>1365</v>
      </c>
      <c r="E5096" t="s">
        <v>187</v>
      </c>
      <c r="F5096">
        <v>2012</v>
      </c>
      <c r="G5096">
        <v>0.12959999999999999</v>
      </c>
    </row>
    <row r="5097" spans="1:7">
      <c r="A5097" t="s">
        <v>1297</v>
      </c>
      <c r="B5097" t="s">
        <v>1298</v>
      </c>
      <c r="C5097" t="s">
        <v>685</v>
      </c>
      <c r="D5097" t="s">
        <v>1365</v>
      </c>
      <c r="E5097" t="s">
        <v>187</v>
      </c>
      <c r="F5097">
        <v>2016</v>
      </c>
      <c r="G5097">
        <v>0.13014400000000001</v>
      </c>
    </row>
    <row r="5098" spans="1:7">
      <c r="A5098" t="s">
        <v>1297</v>
      </c>
      <c r="B5098" t="s">
        <v>1298</v>
      </c>
      <c r="C5098" t="s">
        <v>685</v>
      </c>
      <c r="D5098" t="s">
        <v>1365</v>
      </c>
      <c r="E5098" t="s">
        <v>187</v>
      </c>
      <c r="F5098">
        <v>2020</v>
      </c>
      <c r="G5098">
        <v>0.14348900000000001</v>
      </c>
    </row>
    <row r="5099" spans="1:7">
      <c r="A5099" t="s">
        <v>1297</v>
      </c>
      <c r="B5099" t="s">
        <v>1298</v>
      </c>
      <c r="C5099" t="s">
        <v>681</v>
      </c>
      <c r="D5099" t="s">
        <v>1366</v>
      </c>
      <c r="E5099" t="s">
        <v>187</v>
      </c>
      <c r="F5099">
        <v>2016</v>
      </c>
      <c r="G5099">
        <v>4.1543999999999999</v>
      </c>
    </row>
    <row r="5100" spans="1:7">
      <c r="A5100" t="s">
        <v>1297</v>
      </c>
      <c r="B5100" t="s">
        <v>1298</v>
      </c>
      <c r="C5100" t="s">
        <v>681</v>
      </c>
      <c r="D5100" t="s">
        <v>1366</v>
      </c>
      <c r="E5100" t="s">
        <v>187</v>
      </c>
      <c r="F5100">
        <v>2020</v>
      </c>
      <c r="G5100">
        <v>5.6638840000000004</v>
      </c>
    </row>
    <row r="5101" spans="1:7">
      <c r="A5101" t="s">
        <v>1297</v>
      </c>
      <c r="B5101" t="s">
        <v>1298</v>
      </c>
      <c r="C5101" t="s">
        <v>667</v>
      </c>
      <c r="D5101" t="s">
        <v>1366</v>
      </c>
      <c r="E5101" t="s">
        <v>187</v>
      </c>
      <c r="F5101">
        <v>2005</v>
      </c>
      <c r="G5101">
        <v>6.3030200000000001</v>
      </c>
    </row>
    <row r="5102" spans="1:7">
      <c r="A5102" t="s">
        <v>1297</v>
      </c>
      <c r="B5102" t="s">
        <v>1298</v>
      </c>
      <c r="C5102" t="s">
        <v>667</v>
      </c>
      <c r="D5102" t="s">
        <v>1366</v>
      </c>
      <c r="E5102" t="s">
        <v>187</v>
      </c>
      <c r="F5102">
        <v>2010</v>
      </c>
      <c r="G5102">
        <v>7.1767219999999998</v>
      </c>
    </row>
    <row r="5103" spans="1:7">
      <c r="A5103" t="s">
        <v>1297</v>
      </c>
      <c r="B5103" t="s">
        <v>1298</v>
      </c>
      <c r="C5103" t="s">
        <v>667</v>
      </c>
      <c r="D5103" t="s">
        <v>1366</v>
      </c>
      <c r="E5103" t="s">
        <v>187</v>
      </c>
      <c r="F5103">
        <v>2012</v>
      </c>
      <c r="G5103">
        <v>7.0060900000000004</v>
      </c>
    </row>
    <row r="5104" spans="1:7">
      <c r="A5104" t="s">
        <v>1297</v>
      </c>
      <c r="B5104" t="s">
        <v>1298</v>
      </c>
      <c r="C5104" t="s">
        <v>667</v>
      </c>
      <c r="D5104" t="s">
        <v>1366</v>
      </c>
      <c r="E5104" t="s">
        <v>187</v>
      </c>
      <c r="F5104">
        <v>2016</v>
      </c>
      <c r="G5104">
        <v>6.4327319999999997</v>
      </c>
    </row>
    <row r="5105" spans="1:7">
      <c r="A5105" t="s">
        <v>1297</v>
      </c>
      <c r="B5105" t="s">
        <v>1298</v>
      </c>
      <c r="C5105" t="s">
        <v>667</v>
      </c>
      <c r="D5105" t="s">
        <v>1366</v>
      </c>
      <c r="E5105" t="s">
        <v>187</v>
      </c>
      <c r="F5105">
        <v>2020</v>
      </c>
      <c r="G5105">
        <v>8.2040109999999995</v>
      </c>
    </row>
    <row r="5106" spans="1:7">
      <c r="A5106" t="s">
        <v>1297</v>
      </c>
      <c r="B5106" t="s">
        <v>1298</v>
      </c>
      <c r="C5106" t="s">
        <v>1302</v>
      </c>
      <c r="D5106" t="s">
        <v>1366</v>
      </c>
      <c r="E5106" t="s">
        <v>187</v>
      </c>
      <c r="F5106">
        <v>2005</v>
      </c>
      <c r="G5106">
        <v>1.6308</v>
      </c>
    </row>
    <row r="5107" spans="1:7">
      <c r="A5107" t="s">
        <v>1297</v>
      </c>
      <c r="B5107" t="s">
        <v>1298</v>
      </c>
      <c r="C5107" t="s">
        <v>1302</v>
      </c>
      <c r="D5107" t="s">
        <v>1366</v>
      </c>
      <c r="E5107" t="s">
        <v>187</v>
      </c>
      <c r="F5107">
        <v>2010</v>
      </c>
      <c r="G5107">
        <v>2.2968000000000002</v>
      </c>
    </row>
    <row r="5108" spans="1:7">
      <c r="A5108" t="s">
        <v>1297</v>
      </c>
      <c r="B5108" t="s">
        <v>1298</v>
      </c>
      <c r="C5108" t="s">
        <v>1302</v>
      </c>
      <c r="D5108" t="s">
        <v>1366</v>
      </c>
      <c r="E5108" t="s">
        <v>187</v>
      </c>
      <c r="F5108">
        <v>2012</v>
      </c>
      <c r="G5108">
        <v>2.5055999999999998</v>
      </c>
    </row>
    <row r="5109" spans="1:7">
      <c r="A5109" t="s">
        <v>1297</v>
      </c>
      <c r="B5109" t="s">
        <v>1298</v>
      </c>
      <c r="C5109" t="s">
        <v>1302</v>
      </c>
      <c r="D5109" t="s">
        <v>1366</v>
      </c>
      <c r="E5109" t="s">
        <v>187</v>
      </c>
      <c r="F5109">
        <v>2016</v>
      </c>
      <c r="G5109">
        <v>2.1636000000000002</v>
      </c>
    </row>
    <row r="5110" spans="1:7">
      <c r="A5110" t="s">
        <v>1297</v>
      </c>
      <c r="B5110" t="s">
        <v>1298</v>
      </c>
      <c r="C5110" t="s">
        <v>1302</v>
      </c>
      <c r="D5110" t="s">
        <v>1366</v>
      </c>
      <c r="E5110" t="s">
        <v>187</v>
      </c>
      <c r="F5110">
        <v>2020</v>
      </c>
      <c r="G5110">
        <v>3.6130900000000001</v>
      </c>
    </row>
    <row r="5111" spans="1:7">
      <c r="A5111" t="s">
        <v>1297</v>
      </c>
      <c r="B5111" t="s">
        <v>1298</v>
      </c>
      <c r="C5111" t="s">
        <v>651</v>
      </c>
      <c r="D5111" t="s">
        <v>1366</v>
      </c>
      <c r="E5111" t="s">
        <v>187</v>
      </c>
      <c r="F5111">
        <v>2005</v>
      </c>
      <c r="G5111">
        <v>44.347622000000001</v>
      </c>
    </row>
    <row r="5112" spans="1:7">
      <c r="A5112" t="s">
        <v>1297</v>
      </c>
      <c r="B5112" t="s">
        <v>1298</v>
      </c>
      <c r="C5112" t="s">
        <v>651</v>
      </c>
      <c r="D5112" t="s">
        <v>1366</v>
      </c>
      <c r="E5112" t="s">
        <v>187</v>
      </c>
      <c r="F5112">
        <v>2010</v>
      </c>
      <c r="G5112">
        <v>42.571530000000003</v>
      </c>
    </row>
    <row r="5113" spans="1:7">
      <c r="A5113" t="s">
        <v>1297</v>
      </c>
      <c r="B5113" t="s">
        <v>1298</v>
      </c>
      <c r="C5113" t="s">
        <v>664</v>
      </c>
      <c r="D5113" t="s">
        <v>1366</v>
      </c>
      <c r="E5113" t="s">
        <v>187</v>
      </c>
      <c r="F5113">
        <v>2012</v>
      </c>
      <c r="G5113">
        <v>37.949418000000001</v>
      </c>
    </row>
    <row r="5114" spans="1:7">
      <c r="A5114" t="s">
        <v>1297</v>
      </c>
      <c r="B5114" t="s">
        <v>1298</v>
      </c>
      <c r="C5114" t="s">
        <v>664</v>
      </c>
      <c r="D5114" t="s">
        <v>1366</v>
      </c>
      <c r="E5114" t="s">
        <v>187</v>
      </c>
      <c r="F5114">
        <v>2016</v>
      </c>
      <c r="G5114">
        <v>40.283096</v>
      </c>
    </row>
    <row r="5115" spans="1:7">
      <c r="A5115" t="s">
        <v>1297</v>
      </c>
      <c r="B5115" t="s">
        <v>1298</v>
      </c>
      <c r="C5115" t="s">
        <v>664</v>
      </c>
      <c r="D5115" t="s">
        <v>1366</v>
      </c>
      <c r="E5115" t="s">
        <v>187</v>
      </c>
      <c r="F5115">
        <v>2020</v>
      </c>
      <c r="G5115">
        <v>43.946921000000003</v>
      </c>
    </row>
    <row r="5116" spans="1:7">
      <c r="A5116" t="s">
        <v>1297</v>
      </c>
      <c r="B5116" t="s">
        <v>1298</v>
      </c>
      <c r="C5116" t="s">
        <v>663</v>
      </c>
      <c r="D5116" t="s">
        <v>1366</v>
      </c>
      <c r="E5116" t="s">
        <v>187</v>
      </c>
      <c r="F5116">
        <v>2005</v>
      </c>
      <c r="G5116">
        <v>35.751600000000003</v>
      </c>
    </row>
    <row r="5117" spans="1:7">
      <c r="A5117" t="s">
        <v>1297</v>
      </c>
      <c r="B5117" t="s">
        <v>1298</v>
      </c>
      <c r="C5117" t="s">
        <v>663</v>
      </c>
      <c r="D5117" t="s">
        <v>1366</v>
      </c>
      <c r="E5117" t="s">
        <v>187</v>
      </c>
      <c r="F5117">
        <v>2010</v>
      </c>
      <c r="G5117">
        <v>40.878</v>
      </c>
    </row>
    <row r="5118" spans="1:7">
      <c r="A5118" t="s">
        <v>1297</v>
      </c>
      <c r="B5118" t="s">
        <v>1298</v>
      </c>
      <c r="C5118" t="s">
        <v>663</v>
      </c>
      <c r="D5118" t="s">
        <v>1366</v>
      </c>
      <c r="E5118" t="s">
        <v>187</v>
      </c>
      <c r="F5118">
        <v>2012</v>
      </c>
      <c r="G5118">
        <v>28.141200000000001</v>
      </c>
    </row>
    <row r="5119" spans="1:7">
      <c r="A5119" t="s">
        <v>1297</v>
      </c>
      <c r="B5119" t="s">
        <v>1298</v>
      </c>
      <c r="C5119" t="s">
        <v>663</v>
      </c>
      <c r="D5119" t="s">
        <v>1366</v>
      </c>
      <c r="E5119" t="s">
        <v>187</v>
      </c>
      <c r="F5119">
        <v>2016</v>
      </c>
      <c r="G5119">
        <v>28.962</v>
      </c>
    </row>
    <row r="5120" spans="1:7">
      <c r="A5120" t="s">
        <v>1297</v>
      </c>
      <c r="B5120" t="s">
        <v>1298</v>
      </c>
      <c r="C5120" t="s">
        <v>663</v>
      </c>
      <c r="D5120" t="s">
        <v>1366</v>
      </c>
      <c r="E5120" t="s">
        <v>187</v>
      </c>
      <c r="F5120">
        <v>2020</v>
      </c>
      <c r="G5120">
        <v>31.0716</v>
      </c>
    </row>
    <row r="5121" spans="1:7">
      <c r="A5121" t="s">
        <v>1297</v>
      </c>
      <c r="B5121" t="s">
        <v>1298</v>
      </c>
      <c r="C5121" t="s">
        <v>670</v>
      </c>
      <c r="D5121" t="s">
        <v>1366</v>
      </c>
      <c r="E5121" t="s">
        <v>187</v>
      </c>
      <c r="F5121">
        <v>2005</v>
      </c>
      <c r="G5121">
        <v>121.3128</v>
      </c>
    </row>
    <row r="5122" spans="1:7">
      <c r="A5122" t="s">
        <v>1297</v>
      </c>
      <c r="B5122" t="s">
        <v>1298</v>
      </c>
      <c r="C5122" t="s">
        <v>670</v>
      </c>
      <c r="D5122" t="s">
        <v>1366</v>
      </c>
      <c r="E5122" t="s">
        <v>187</v>
      </c>
      <c r="F5122">
        <v>2010</v>
      </c>
      <c r="G5122">
        <v>132.35759999999999</v>
      </c>
    </row>
    <row r="5123" spans="1:7">
      <c r="A5123" t="s">
        <v>1297</v>
      </c>
      <c r="B5123" t="s">
        <v>1298</v>
      </c>
      <c r="C5123" t="s">
        <v>670</v>
      </c>
      <c r="D5123" t="s">
        <v>1366</v>
      </c>
      <c r="E5123" t="s">
        <v>187</v>
      </c>
      <c r="F5123">
        <v>2012</v>
      </c>
      <c r="G5123">
        <v>130.06650999999999</v>
      </c>
    </row>
    <row r="5124" spans="1:7">
      <c r="A5124" t="s">
        <v>1297</v>
      </c>
      <c r="B5124" t="s">
        <v>1298</v>
      </c>
      <c r="C5124" t="s">
        <v>670</v>
      </c>
      <c r="D5124" t="s">
        <v>1366</v>
      </c>
      <c r="E5124" t="s">
        <v>187</v>
      </c>
      <c r="F5124">
        <v>2016</v>
      </c>
      <c r="G5124">
        <v>130.26741799999999</v>
      </c>
    </row>
    <row r="5125" spans="1:7">
      <c r="A5125" t="s">
        <v>1297</v>
      </c>
      <c r="B5125" t="s">
        <v>1298</v>
      </c>
      <c r="C5125" t="s">
        <v>670</v>
      </c>
      <c r="D5125" t="s">
        <v>1366</v>
      </c>
      <c r="E5125" t="s">
        <v>187</v>
      </c>
      <c r="F5125">
        <v>2020</v>
      </c>
      <c r="G5125">
        <v>132.016615</v>
      </c>
    </row>
    <row r="5126" spans="1:7">
      <c r="A5126" t="s">
        <v>1297</v>
      </c>
      <c r="B5126" t="s">
        <v>1298</v>
      </c>
      <c r="C5126" t="s">
        <v>653</v>
      </c>
      <c r="D5126" t="s">
        <v>1366</v>
      </c>
      <c r="E5126" t="s">
        <v>187</v>
      </c>
      <c r="F5126">
        <v>2005</v>
      </c>
      <c r="G5126">
        <v>22.114799999999999</v>
      </c>
    </row>
    <row r="5127" spans="1:7">
      <c r="A5127" t="s">
        <v>1297</v>
      </c>
      <c r="B5127" t="s">
        <v>1298</v>
      </c>
      <c r="C5127" t="s">
        <v>653</v>
      </c>
      <c r="D5127" t="s">
        <v>1366</v>
      </c>
      <c r="E5127" t="s">
        <v>187</v>
      </c>
      <c r="F5127">
        <v>2010</v>
      </c>
      <c r="G5127">
        <v>29.163599999999999</v>
      </c>
    </row>
    <row r="5128" spans="1:7">
      <c r="A5128" t="s">
        <v>1297</v>
      </c>
      <c r="B5128" t="s">
        <v>1298</v>
      </c>
      <c r="C5128" t="s">
        <v>653</v>
      </c>
      <c r="D5128" t="s">
        <v>1366</v>
      </c>
      <c r="E5128" t="s">
        <v>187</v>
      </c>
      <c r="F5128">
        <v>2012</v>
      </c>
      <c r="G5128">
        <v>29.411999999999999</v>
      </c>
    </row>
    <row r="5129" spans="1:7">
      <c r="A5129" t="s">
        <v>1297</v>
      </c>
      <c r="B5129" t="s">
        <v>1298</v>
      </c>
      <c r="C5129" t="s">
        <v>653</v>
      </c>
      <c r="D5129" t="s">
        <v>1366</v>
      </c>
      <c r="E5129" t="s">
        <v>187</v>
      </c>
      <c r="F5129">
        <v>2016</v>
      </c>
      <c r="G5129">
        <v>30.617999999999999</v>
      </c>
    </row>
    <row r="5130" spans="1:7">
      <c r="A5130" t="s">
        <v>1297</v>
      </c>
      <c r="B5130" t="s">
        <v>1298</v>
      </c>
      <c r="C5130" t="s">
        <v>653</v>
      </c>
      <c r="D5130" t="s">
        <v>1366</v>
      </c>
      <c r="E5130" t="s">
        <v>187</v>
      </c>
      <c r="F5130">
        <v>2020</v>
      </c>
      <c r="G5130">
        <v>31.516390999999999</v>
      </c>
    </row>
    <row r="5131" spans="1:7">
      <c r="A5131" t="s">
        <v>1297</v>
      </c>
      <c r="B5131" t="s">
        <v>1298</v>
      </c>
      <c r="C5131" t="s">
        <v>681</v>
      </c>
      <c r="D5131" t="s">
        <v>1366</v>
      </c>
      <c r="E5131" t="s">
        <v>187</v>
      </c>
      <c r="F5131">
        <v>2005</v>
      </c>
      <c r="G5131">
        <v>5.8680000000000003</v>
      </c>
    </row>
    <row r="5132" spans="1:7">
      <c r="A5132" t="s">
        <v>1297</v>
      </c>
      <c r="B5132" t="s">
        <v>1298</v>
      </c>
      <c r="C5132" t="s">
        <v>681</v>
      </c>
      <c r="D5132" t="s">
        <v>1366</v>
      </c>
      <c r="E5132" t="s">
        <v>187</v>
      </c>
      <c r="F5132">
        <v>2010</v>
      </c>
      <c r="G5132">
        <v>4.3091999999999997</v>
      </c>
    </row>
    <row r="5133" spans="1:7">
      <c r="A5133" t="s">
        <v>1297</v>
      </c>
      <c r="B5133" t="s">
        <v>1298</v>
      </c>
      <c r="C5133" t="s">
        <v>681</v>
      </c>
      <c r="D5133" t="s">
        <v>1366</v>
      </c>
      <c r="E5133" t="s">
        <v>187</v>
      </c>
      <c r="F5133">
        <v>2012</v>
      </c>
      <c r="G5133">
        <v>4.7556000000000003</v>
      </c>
    </row>
    <row r="5134" spans="1:7">
      <c r="A5134" t="s">
        <v>1297</v>
      </c>
      <c r="B5134" t="s">
        <v>1298</v>
      </c>
      <c r="C5134" t="s">
        <v>651</v>
      </c>
      <c r="D5134" t="s">
        <v>1366</v>
      </c>
      <c r="E5134" t="s">
        <v>187</v>
      </c>
      <c r="F5134">
        <v>2012</v>
      </c>
      <c r="G5134">
        <v>43.855898000000003</v>
      </c>
    </row>
    <row r="5135" spans="1:7">
      <c r="A5135" t="s">
        <v>1297</v>
      </c>
      <c r="B5135" t="s">
        <v>1298</v>
      </c>
      <c r="C5135" t="s">
        <v>651</v>
      </c>
      <c r="D5135" t="s">
        <v>1366</v>
      </c>
      <c r="E5135" t="s">
        <v>187</v>
      </c>
      <c r="F5135">
        <v>2016</v>
      </c>
      <c r="G5135">
        <v>42.326582000000002</v>
      </c>
    </row>
    <row r="5136" spans="1:7">
      <c r="A5136" t="s">
        <v>1297</v>
      </c>
      <c r="B5136" t="s">
        <v>1298</v>
      </c>
      <c r="C5136" t="s">
        <v>651</v>
      </c>
      <c r="D5136" t="s">
        <v>1366</v>
      </c>
      <c r="E5136" t="s">
        <v>187</v>
      </c>
      <c r="F5136">
        <v>2020</v>
      </c>
      <c r="G5136">
        <v>45.417549999999999</v>
      </c>
    </row>
    <row r="5137" spans="1:7">
      <c r="A5137" t="s">
        <v>1297</v>
      </c>
      <c r="B5137" t="s">
        <v>1298</v>
      </c>
      <c r="C5137" t="s">
        <v>657</v>
      </c>
      <c r="D5137" t="s">
        <v>1366</v>
      </c>
      <c r="E5137" t="s">
        <v>187</v>
      </c>
      <c r="F5137">
        <v>2005</v>
      </c>
      <c r="G5137">
        <v>37.699199999999998</v>
      </c>
    </row>
    <row r="5138" spans="1:7">
      <c r="A5138" t="s">
        <v>1297</v>
      </c>
      <c r="B5138" t="s">
        <v>1298</v>
      </c>
      <c r="C5138" t="s">
        <v>657</v>
      </c>
      <c r="D5138" t="s">
        <v>1366</v>
      </c>
      <c r="E5138" t="s">
        <v>187</v>
      </c>
      <c r="F5138">
        <v>2010</v>
      </c>
      <c r="G5138">
        <v>39.006</v>
      </c>
    </row>
    <row r="5139" spans="1:7">
      <c r="A5139" t="s">
        <v>1297</v>
      </c>
      <c r="B5139" t="s">
        <v>1298</v>
      </c>
      <c r="C5139" t="s">
        <v>657</v>
      </c>
      <c r="D5139" t="s">
        <v>1366</v>
      </c>
      <c r="E5139" t="s">
        <v>187</v>
      </c>
      <c r="F5139">
        <v>2012</v>
      </c>
      <c r="G5139">
        <v>37.7316</v>
      </c>
    </row>
    <row r="5140" spans="1:7">
      <c r="A5140" t="s">
        <v>1297</v>
      </c>
      <c r="B5140" t="s">
        <v>1298</v>
      </c>
      <c r="C5140" t="s">
        <v>657</v>
      </c>
      <c r="D5140" t="s">
        <v>1366</v>
      </c>
      <c r="E5140" t="s">
        <v>187</v>
      </c>
      <c r="F5140">
        <v>2016</v>
      </c>
      <c r="G5140">
        <v>36.070397999999997</v>
      </c>
    </row>
    <row r="5141" spans="1:7">
      <c r="A5141" t="s">
        <v>1297</v>
      </c>
      <c r="B5141" t="s">
        <v>1298</v>
      </c>
      <c r="C5141" t="s">
        <v>657</v>
      </c>
      <c r="D5141" t="s">
        <v>1366</v>
      </c>
      <c r="E5141" t="s">
        <v>187</v>
      </c>
      <c r="F5141">
        <v>2020</v>
      </c>
      <c r="G5141">
        <v>37.252885999999997</v>
      </c>
    </row>
    <row r="5142" spans="1:7">
      <c r="A5142" t="s">
        <v>1297</v>
      </c>
      <c r="B5142" t="s">
        <v>1298</v>
      </c>
      <c r="C5142" t="s">
        <v>677</v>
      </c>
      <c r="D5142" t="s">
        <v>1366</v>
      </c>
      <c r="E5142" t="s">
        <v>187</v>
      </c>
      <c r="F5142">
        <v>2005</v>
      </c>
      <c r="G5142">
        <v>355.96080000000001</v>
      </c>
    </row>
    <row r="5143" spans="1:7">
      <c r="A5143" t="s">
        <v>1297</v>
      </c>
      <c r="B5143" t="s">
        <v>1298</v>
      </c>
      <c r="C5143" t="s">
        <v>677</v>
      </c>
      <c r="D5143" t="s">
        <v>1366</v>
      </c>
      <c r="E5143" t="s">
        <v>187</v>
      </c>
      <c r="F5143">
        <v>2010</v>
      </c>
      <c r="G5143">
        <v>350.53919999999999</v>
      </c>
    </row>
    <row r="5144" spans="1:7">
      <c r="A5144" t="s">
        <v>1297</v>
      </c>
      <c r="B5144" t="s">
        <v>1298</v>
      </c>
      <c r="C5144" t="s">
        <v>677</v>
      </c>
      <c r="D5144" t="s">
        <v>1366</v>
      </c>
      <c r="E5144" t="s">
        <v>187</v>
      </c>
      <c r="F5144">
        <v>2012</v>
      </c>
      <c r="G5144">
        <v>348.48719999999997</v>
      </c>
    </row>
    <row r="5145" spans="1:7">
      <c r="A5145" t="s">
        <v>1297</v>
      </c>
      <c r="B5145" t="s">
        <v>1298</v>
      </c>
      <c r="C5145" t="s">
        <v>677</v>
      </c>
      <c r="D5145" t="s">
        <v>1366</v>
      </c>
      <c r="E5145" t="s">
        <v>187</v>
      </c>
      <c r="F5145">
        <v>2016</v>
      </c>
      <c r="G5145">
        <v>337.29219699999999</v>
      </c>
    </row>
    <row r="5146" spans="1:7">
      <c r="A5146" t="s">
        <v>1297</v>
      </c>
      <c r="B5146" t="s">
        <v>1298</v>
      </c>
      <c r="C5146" t="s">
        <v>677</v>
      </c>
      <c r="D5146" t="s">
        <v>1366</v>
      </c>
      <c r="E5146" t="s">
        <v>187</v>
      </c>
      <c r="F5146">
        <v>2020</v>
      </c>
      <c r="G5146">
        <v>324.56286</v>
      </c>
    </row>
    <row r="5147" spans="1:7">
      <c r="A5147" t="s">
        <v>1297</v>
      </c>
      <c r="B5147" t="s">
        <v>1298</v>
      </c>
      <c r="C5147" t="s">
        <v>676</v>
      </c>
      <c r="D5147" t="s">
        <v>1366</v>
      </c>
      <c r="E5147" t="s">
        <v>187</v>
      </c>
      <c r="F5147">
        <v>2005</v>
      </c>
      <c r="G5147">
        <v>22.143599999999999</v>
      </c>
    </row>
    <row r="5148" spans="1:7">
      <c r="A5148" t="s">
        <v>1297</v>
      </c>
      <c r="B5148" t="s">
        <v>1298</v>
      </c>
      <c r="C5148" t="s">
        <v>676</v>
      </c>
      <c r="D5148" t="s">
        <v>1366</v>
      </c>
      <c r="E5148" t="s">
        <v>187</v>
      </c>
      <c r="F5148">
        <v>2010</v>
      </c>
      <c r="G5148">
        <v>28.8504</v>
      </c>
    </row>
    <row r="5149" spans="1:7">
      <c r="A5149" t="s">
        <v>1297</v>
      </c>
      <c r="B5149" t="s">
        <v>1298</v>
      </c>
      <c r="C5149" t="s">
        <v>676</v>
      </c>
      <c r="D5149" t="s">
        <v>1366</v>
      </c>
      <c r="E5149" t="s">
        <v>187</v>
      </c>
      <c r="F5149">
        <v>2012</v>
      </c>
      <c r="G5149">
        <v>23.22</v>
      </c>
    </row>
    <row r="5150" spans="1:7">
      <c r="A5150" t="s">
        <v>1297</v>
      </c>
      <c r="B5150" t="s">
        <v>1298</v>
      </c>
      <c r="C5150" t="s">
        <v>676</v>
      </c>
      <c r="D5150" t="s">
        <v>1366</v>
      </c>
      <c r="E5150" t="s">
        <v>187</v>
      </c>
      <c r="F5150">
        <v>2016</v>
      </c>
      <c r="G5150">
        <v>25.005600000000001</v>
      </c>
    </row>
    <row r="5151" spans="1:7">
      <c r="A5151" t="s">
        <v>1297</v>
      </c>
      <c r="B5151" t="s">
        <v>1298</v>
      </c>
      <c r="C5151" t="s">
        <v>676</v>
      </c>
      <c r="D5151" t="s">
        <v>1366</v>
      </c>
      <c r="E5151" t="s">
        <v>187</v>
      </c>
      <c r="F5151">
        <v>2020</v>
      </c>
      <c r="G5151">
        <v>23.9544</v>
      </c>
    </row>
    <row r="5152" spans="1:7">
      <c r="A5152" t="s">
        <v>1297</v>
      </c>
      <c r="B5152" t="s">
        <v>1298</v>
      </c>
      <c r="C5152" t="s">
        <v>684</v>
      </c>
      <c r="D5152" t="s">
        <v>1366</v>
      </c>
      <c r="E5152" t="s">
        <v>187</v>
      </c>
      <c r="F5152">
        <v>2010</v>
      </c>
      <c r="G5152">
        <v>6.4799999999999996E-2</v>
      </c>
    </row>
    <row r="5153" spans="1:7">
      <c r="A5153" t="s">
        <v>1297</v>
      </c>
      <c r="B5153" t="s">
        <v>1298</v>
      </c>
      <c r="C5153" t="s">
        <v>684</v>
      </c>
      <c r="D5153" t="s">
        <v>1366</v>
      </c>
      <c r="E5153" t="s">
        <v>187</v>
      </c>
      <c r="F5153">
        <v>2012</v>
      </c>
      <c r="G5153">
        <v>0.108</v>
      </c>
    </row>
    <row r="5154" spans="1:7">
      <c r="A5154" t="s">
        <v>1297</v>
      </c>
      <c r="B5154" t="s">
        <v>1298</v>
      </c>
      <c r="C5154" t="s">
        <v>684</v>
      </c>
      <c r="D5154" t="s">
        <v>1366</v>
      </c>
      <c r="E5154" t="s">
        <v>187</v>
      </c>
      <c r="F5154">
        <v>2016</v>
      </c>
      <c r="G5154">
        <v>2.61</v>
      </c>
    </row>
    <row r="5155" spans="1:7">
      <c r="A5155" t="s">
        <v>1297</v>
      </c>
      <c r="B5155" t="s">
        <v>1298</v>
      </c>
      <c r="C5155" t="s">
        <v>684</v>
      </c>
      <c r="D5155" t="s">
        <v>1366</v>
      </c>
      <c r="E5155" t="s">
        <v>187</v>
      </c>
      <c r="F5155">
        <v>2020</v>
      </c>
      <c r="G5155">
        <v>3.7036799999999999</v>
      </c>
    </row>
    <row r="5156" spans="1:7">
      <c r="A5156" t="s">
        <v>1297</v>
      </c>
      <c r="B5156" t="s">
        <v>1298</v>
      </c>
      <c r="C5156" t="s">
        <v>655</v>
      </c>
      <c r="D5156" t="s">
        <v>1366</v>
      </c>
      <c r="E5156" t="s">
        <v>187</v>
      </c>
      <c r="F5156">
        <v>2005</v>
      </c>
      <c r="G5156">
        <v>46.479599999999998</v>
      </c>
    </row>
    <row r="5157" spans="1:7">
      <c r="A5157" t="s">
        <v>1297</v>
      </c>
      <c r="B5157" t="s">
        <v>1298</v>
      </c>
      <c r="C5157" t="s">
        <v>655</v>
      </c>
      <c r="D5157" t="s">
        <v>1366</v>
      </c>
      <c r="E5157" t="s">
        <v>187</v>
      </c>
      <c r="F5157">
        <v>2010</v>
      </c>
      <c r="G5157">
        <v>53.4636</v>
      </c>
    </row>
    <row r="5158" spans="1:7">
      <c r="A5158" t="s">
        <v>1297</v>
      </c>
      <c r="B5158" t="s">
        <v>1298</v>
      </c>
      <c r="C5158" t="s">
        <v>655</v>
      </c>
      <c r="D5158" t="s">
        <v>1366</v>
      </c>
      <c r="E5158" t="s">
        <v>187</v>
      </c>
      <c r="F5158">
        <v>2012</v>
      </c>
      <c r="G5158">
        <v>52.0884</v>
      </c>
    </row>
    <row r="5159" spans="1:7">
      <c r="A5159" t="s">
        <v>1297</v>
      </c>
      <c r="B5159" t="s">
        <v>1298</v>
      </c>
      <c r="C5159" t="s">
        <v>655</v>
      </c>
      <c r="D5159" t="s">
        <v>1366</v>
      </c>
      <c r="E5159" t="s">
        <v>187</v>
      </c>
      <c r="F5159">
        <v>2016</v>
      </c>
      <c r="G5159">
        <v>55.177199999999999</v>
      </c>
    </row>
    <row r="5160" spans="1:7">
      <c r="A5160" t="s">
        <v>1297</v>
      </c>
      <c r="B5160" t="s">
        <v>1298</v>
      </c>
      <c r="C5160" t="s">
        <v>655</v>
      </c>
      <c r="D5160" t="s">
        <v>1366</v>
      </c>
      <c r="E5160" t="s">
        <v>187</v>
      </c>
      <c r="F5160">
        <v>2020</v>
      </c>
      <c r="G5160">
        <v>58.089168000000001</v>
      </c>
    </row>
    <row r="5161" spans="1:7">
      <c r="A5161" t="s">
        <v>1297</v>
      </c>
      <c r="B5161" t="s">
        <v>1298</v>
      </c>
      <c r="C5161" t="s">
        <v>679</v>
      </c>
      <c r="D5161" t="s">
        <v>1366</v>
      </c>
      <c r="E5161" t="s">
        <v>187</v>
      </c>
      <c r="F5161">
        <v>2005</v>
      </c>
      <c r="G5161">
        <v>79.034400000000005</v>
      </c>
    </row>
    <row r="5162" spans="1:7">
      <c r="A5162" t="s">
        <v>1297</v>
      </c>
      <c r="B5162" t="s">
        <v>1298</v>
      </c>
      <c r="C5162" t="s">
        <v>679</v>
      </c>
      <c r="D5162" t="s">
        <v>1366</v>
      </c>
      <c r="E5162" t="s">
        <v>187</v>
      </c>
      <c r="F5162">
        <v>2010</v>
      </c>
      <c r="G5162">
        <v>94.276799999999994</v>
      </c>
    </row>
    <row r="5163" spans="1:7">
      <c r="A5163" t="s">
        <v>1297</v>
      </c>
      <c r="B5163" t="s">
        <v>1298</v>
      </c>
      <c r="C5163" t="s">
        <v>679</v>
      </c>
      <c r="D5163" t="s">
        <v>1366</v>
      </c>
      <c r="E5163" t="s">
        <v>187</v>
      </c>
      <c r="F5163">
        <v>2012</v>
      </c>
      <c r="G5163">
        <v>93.081599999999995</v>
      </c>
    </row>
    <row r="5164" spans="1:7">
      <c r="A5164" t="s">
        <v>1297</v>
      </c>
      <c r="B5164" t="s">
        <v>1298</v>
      </c>
      <c r="C5164" t="s">
        <v>679</v>
      </c>
      <c r="D5164" t="s">
        <v>1366</v>
      </c>
      <c r="E5164" t="s">
        <v>187</v>
      </c>
      <c r="F5164">
        <v>2016</v>
      </c>
      <c r="G5164">
        <v>94.017600000000002</v>
      </c>
    </row>
    <row r="5165" spans="1:7">
      <c r="A5165" t="s">
        <v>1297</v>
      </c>
      <c r="B5165" t="s">
        <v>1298</v>
      </c>
      <c r="C5165" t="s">
        <v>679</v>
      </c>
      <c r="D5165" t="s">
        <v>1366</v>
      </c>
      <c r="E5165" t="s">
        <v>187</v>
      </c>
      <c r="F5165">
        <v>2020</v>
      </c>
      <c r="G5165">
        <v>91.472399999999993</v>
      </c>
    </row>
    <row r="5166" spans="1:7">
      <c r="A5166" t="s">
        <v>1297</v>
      </c>
      <c r="B5166" t="s">
        <v>1298</v>
      </c>
      <c r="C5166" t="s">
        <v>656</v>
      </c>
      <c r="D5166" t="s">
        <v>1366</v>
      </c>
      <c r="E5166" t="s">
        <v>187</v>
      </c>
      <c r="F5166">
        <v>2005</v>
      </c>
      <c r="G5166">
        <v>494.67599999999999</v>
      </c>
    </row>
    <row r="5167" spans="1:7">
      <c r="A5167" t="s">
        <v>1297</v>
      </c>
      <c r="B5167" t="s">
        <v>1298</v>
      </c>
      <c r="C5167" t="s">
        <v>656</v>
      </c>
      <c r="D5167" t="s">
        <v>1366</v>
      </c>
      <c r="E5167" t="s">
        <v>187</v>
      </c>
      <c r="F5167">
        <v>2010</v>
      </c>
      <c r="G5167">
        <v>517.90319999999997</v>
      </c>
    </row>
    <row r="5168" spans="1:7">
      <c r="A5168" t="s">
        <v>1297</v>
      </c>
      <c r="B5168" t="s">
        <v>1298</v>
      </c>
      <c r="C5168" t="s">
        <v>656</v>
      </c>
      <c r="D5168" t="s">
        <v>1366</v>
      </c>
      <c r="E5168" t="s">
        <v>187</v>
      </c>
      <c r="F5168">
        <v>2012</v>
      </c>
      <c r="G5168">
        <v>501.15600000000001</v>
      </c>
    </row>
    <row r="5169" spans="1:7">
      <c r="A5169" t="s">
        <v>1297</v>
      </c>
      <c r="B5169" t="s">
        <v>1298</v>
      </c>
      <c r="C5169" t="s">
        <v>656</v>
      </c>
      <c r="D5169" t="s">
        <v>1366</v>
      </c>
      <c r="E5169" t="s">
        <v>187</v>
      </c>
      <c r="F5169">
        <v>2016</v>
      </c>
      <c r="G5169">
        <v>509.70600000000002</v>
      </c>
    </row>
    <row r="5170" spans="1:7">
      <c r="A5170" t="s">
        <v>1297</v>
      </c>
      <c r="B5170" t="s">
        <v>1298</v>
      </c>
      <c r="C5170" t="s">
        <v>656</v>
      </c>
      <c r="D5170" t="s">
        <v>1366</v>
      </c>
      <c r="E5170" t="s">
        <v>187</v>
      </c>
      <c r="F5170">
        <v>2020</v>
      </c>
      <c r="G5170">
        <v>477.22320000000002</v>
      </c>
    </row>
    <row r="5171" spans="1:7">
      <c r="A5171" t="s">
        <v>1297</v>
      </c>
      <c r="B5171" t="s">
        <v>1298</v>
      </c>
      <c r="C5171" t="s">
        <v>666</v>
      </c>
      <c r="D5171" t="s">
        <v>1366</v>
      </c>
      <c r="E5171" t="s">
        <v>187</v>
      </c>
      <c r="F5171">
        <v>2005</v>
      </c>
      <c r="G5171">
        <v>9.6696000000000009</v>
      </c>
    </row>
    <row r="5172" spans="1:7">
      <c r="A5172" t="s">
        <v>1297</v>
      </c>
      <c r="B5172" t="s">
        <v>1298</v>
      </c>
      <c r="C5172" t="s">
        <v>666</v>
      </c>
      <c r="D5172" t="s">
        <v>1366</v>
      </c>
      <c r="E5172" t="s">
        <v>187</v>
      </c>
      <c r="F5172">
        <v>2010</v>
      </c>
      <c r="G5172">
        <v>10.2204</v>
      </c>
    </row>
    <row r="5173" spans="1:7">
      <c r="A5173" t="s">
        <v>1297</v>
      </c>
      <c r="B5173" t="s">
        <v>1298</v>
      </c>
      <c r="C5173" t="s">
        <v>666</v>
      </c>
      <c r="D5173" t="s">
        <v>1366</v>
      </c>
      <c r="E5173" t="s">
        <v>187</v>
      </c>
      <c r="F5173">
        <v>2012</v>
      </c>
      <c r="G5173">
        <v>11.2104</v>
      </c>
    </row>
    <row r="5174" spans="1:7">
      <c r="A5174" t="s">
        <v>1297</v>
      </c>
      <c r="B5174" t="s">
        <v>1298</v>
      </c>
      <c r="C5174" t="s">
        <v>666</v>
      </c>
      <c r="D5174" t="s">
        <v>1366</v>
      </c>
      <c r="E5174" t="s">
        <v>187</v>
      </c>
      <c r="F5174">
        <v>2016</v>
      </c>
      <c r="G5174">
        <v>11.808</v>
      </c>
    </row>
    <row r="5175" spans="1:7">
      <c r="A5175" t="s">
        <v>1297</v>
      </c>
      <c r="B5175" t="s">
        <v>1298</v>
      </c>
      <c r="C5175" t="s">
        <v>666</v>
      </c>
      <c r="D5175" t="s">
        <v>1366</v>
      </c>
      <c r="E5175" t="s">
        <v>187</v>
      </c>
      <c r="F5175">
        <v>2020</v>
      </c>
      <c r="G5175">
        <v>12.755520000000001</v>
      </c>
    </row>
    <row r="5176" spans="1:7">
      <c r="A5176" t="s">
        <v>1297</v>
      </c>
      <c r="B5176" t="s">
        <v>1298</v>
      </c>
      <c r="C5176" t="s">
        <v>685</v>
      </c>
      <c r="D5176" t="s">
        <v>1366</v>
      </c>
      <c r="E5176" t="s">
        <v>187</v>
      </c>
      <c r="F5176">
        <v>2005</v>
      </c>
      <c r="G5176">
        <v>3.7692000000000001</v>
      </c>
    </row>
    <row r="5177" spans="1:7">
      <c r="A5177" t="s">
        <v>1297</v>
      </c>
      <c r="B5177" t="s">
        <v>1298</v>
      </c>
      <c r="C5177" t="s">
        <v>685</v>
      </c>
      <c r="D5177" t="s">
        <v>1366</v>
      </c>
      <c r="E5177" t="s">
        <v>187</v>
      </c>
      <c r="F5177">
        <v>2010</v>
      </c>
      <c r="G5177">
        <v>5.3460000000000001</v>
      </c>
    </row>
    <row r="5178" spans="1:7">
      <c r="A5178" t="s">
        <v>1297</v>
      </c>
      <c r="B5178" t="s">
        <v>1298</v>
      </c>
      <c r="C5178" t="s">
        <v>685</v>
      </c>
      <c r="D5178" t="s">
        <v>1366</v>
      </c>
      <c r="E5178" t="s">
        <v>187</v>
      </c>
      <c r="F5178">
        <v>2012</v>
      </c>
      <c r="G5178">
        <v>5.3388</v>
      </c>
    </row>
    <row r="5179" spans="1:7">
      <c r="A5179" t="s">
        <v>1297</v>
      </c>
      <c r="B5179" t="s">
        <v>1298</v>
      </c>
      <c r="C5179" t="s">
        <v>685</v>
      </c>
      <c r="D5179" t="s">
        <v>1366</v>
      </c>
      <c r="E5179" t="s">
        <v>187</v>
      </c>
      <c r="F5179">
        <v>2016</v>
      </c>
      <c r="G5179">
        <v>5.1553009999999997</v>
      </c>
    </row>
    <row r="5180" spans="1:7">
      <c r="A5180" t="s">
        <v>1297</v>
      </c>
      <c r="B5180" t="s">
        <v>1298</v>
      </c>
      <c r="C5180" t="s">
        <v>685</v>
      </c>
      <c r="D5180" t="s">
        <v>1366</v>
      </c>
      <c r="E5180" t="s">
        <v>187</v>
      </c>
      <c r="F5180">
        <v>2020</v>
      </c>
      <c r="G5180">
        <v>5.4971819999999996</v>
      </c>
    </row>
    <row r="5181" spans="1:7">
      <c r="A5181" t="s">
        <v>1297</v>
      </c>
      <c r="B5181" t="s">
        <v>1298</v>
      </c>
      <c r="C5181" t="s">
        <v>662</v>
      </c>
      <c r="D5181" t="s">
        <v>1366</v>
      </c>
      <c r="E5181" t="s">
        <v>187</v>
      </c>
      <c r="F5181">
        <v>2005</v>
      </c>
      <c r="G5181">
        <v>59.324399999999997</v>
      </c>
    </row>
    <row r="5182" spans="1:7">
      <c r="A5182" t="s">
        <v>1297</v>
      </c>
      <c r="B5182" t="s">
        <v>1298</v>
      </c>
      <c r="C5182" t="s">
        <v>662</v>
      </c>
      <c r="D5182" t="s">
        <v>1366</v>
      </c>
      <c r="E5182" t="s">
        <v>187</v>
      </c>
      <c r="F5182">
        <v>2010</v>
      </c>
      <c r="G5182">
        <v>64.8</v>
      </c>
    </row>
    <row r="5183" spans="1:7">
      <c r="A5183" t="s">
        <v>1297</v>
      </c>
      <c r="B5183" t="s">
        <v>1298</v>
      </c>
      <c r="C5183" t="s">
        <v>662</v>
      </c>
      <c r="D5183" t="s">
        <v>1366</v>
      </c>
      <c r="E5183" t="s">
        <v>187</v>
      </c>
      <c r="F5183">
        <v>2012</v>
      </c>
      <c r="G5183">
        <v>66.492000000000004</v>
      </c>
    </row>
    <row r="5184" spans="1:7">
      <c r="A5184" t="s">
        <v>1297</v>
      </c>
      <c r="B5184" t="s">
        <v>1298</v>
      </c>
      <c r="C5184" t="s">
        <v>662</v>
      </c>
      <c r="D5184" t="s">
        <v>1366</v>
      </c>
      <c r="E5184" t="s">
        <v>187</v>
      </c>
      <c r="F5184">
        <v>2016</v>
      </c>
      <c r="G5184">
        <v>70.012799999999999</v>
      </c>
    </row>
    <row r="5185" spans="1:7">
      <c r="A5185" t="s">
        <v>1297</v>
      </c>
      <c r="B5185" t="s">
        <v>1298</v>
      </c>
      <c r="C5185" t="s">
        <v>662</v>
      </c>
      <c r="D5185" t="s">
        <v>1366</v>
      </c>
      <c r="E5185" t="s">
        <v>187</v>
      </c>
      <c r="F5185">
        <v>2020</v>
      </c>
      <c r="G5185">
        <v>64.492632</v>
      </c>
    </row>
    <row r="5186" spans="1:7">
      <c r="A5186" t="s">
        <v>1297</v>
      </c>
      <c r="B5186" t="s">
        <v>1298</v>
      </c>
      <c r="C5186" t="s">
        <v>675</v>
      </c>
      <c r="D5186" t="s">
        <v>1366</v>
      </c>
      <c r="E5186" t="s">
        <v>187</v>
      </c>
      <c r="F5186">
        <v>2005</v>
      </c>
      <c r="G5186">
        <v>8.7156000000000002</v>
      </c>
    </row>
    <row r="5187" spans="1:7">
      <c r="A5187" t="s">
        <v>1297</v>
      </c>
      <c r="B5187" t="s">
        <v>1298</v>
      </c>
      <c r="C5187" t="s">
        <v>675</v>
      </c>
      <c r="D5187" t="s">
        <v>1366</v>
      </c>
      <c r="E5187" t="s">
        <v>187</v>
      </c>
      <c r="F5187">
        <v>2010</v>
      </c>
      <c r="G5187">
        <v>11.037599999999999</v>
      </c>
    </row>
    <row r="5188" spans="1:7">
      <c r="A5188" t="s">
        <v>1297</v>
      </c>
      <c r="B5188" t="s">
        <v>1298</v>
      </c>
      <c r="C5188" t="s">
        <v>675</v>
      </c>
      <c r="D5188" t="s">
        <v>1366</v>
      </c>
      <c r="E5188" t="s">
        <v>187</v>
      </c>
      <c r="F5188">
        <v>2012</v>
      </c>
      <c r="G5188">
        <v>11.4048</v>
      </c>
    </row>
    <row r="5189" spans="1:7">
      <c r="A5189" t="s">
        <v>1297</v>
      </c>
      <c r="B5189" t="s">
        <v>1298</v>
      </c>
      <c r="C5189" t="s">
        <v>675</v>
      </c>
      <c r="D5189" t="s">
        <v>1366</v>
      </c>
      <c r="E5189" t="s">
        <v>187</v>
      </c>
      <c r="F5189">
        <v>2016</v>
      </c>
      <c r="G5189">
        <v>12.114000000000001</v>
      </c>
    </row>
    <row r="5190" spans="1:7">
      <c r="A5190" t="s">
        <v>1297</v>
      </c>
      <c r="B5190" t="s">
        <v>1298</v>
      </c>
      <c r="C5190" t="s">
        <v>675</v>
      </c>
      <c r="D5190" t="s">
        <v>1366</v>
      </c>
      <c r="E5190" t="s">
        <v>187</v>
      </c>
      <c r="F5190">
        <v>2020</v>
      </c>
      <c r="G5190">
        <v>12.674206999999999</v>
      </c>
    </row>
    <row r="5191" spans="1:7">
      <c r="A5191" t="s">
        <v>1297</v>
      </c>
      <c r="B5191" t="s">
        <v>1298</v>
      </c>
      <c r="C5191" t="s">
        <v>654</v>
      </c>
      <c r="D5191" t="s">
        <v>1366</v>
      </c>
      <c r="E5191" t="s">
        <v>187</v>
      </c>
      <c r="F5191">
        <v>2005</v>
      </c>
      <c r="G5191">
        <v>6.4308779999999999</v>
      </c>
    </row>
    <row r="5192" spans="1:7">
      <c r="A5192" t="s">
        <v>1297</v>
      </c>
      <c r="B5192" t="s">
        <v>1298</v>
      </c>
      <c r="C5192" t="s">
        <v>654</v>
      </c>
      <c r="D5192" t="s">
        <v>1366</v>
      </c>
      <c r="E5192" t="s">
        <v>187</v>
      </c>
      <c r="F5192">
        <v>2010</v>
      </c>
      <c r="G5192">
        <v>8.122878</v>
      </c>
    </row>
    <row r="5193" spans="1:7">
      <c r="A5193" t="s">
        <v>1297</v>
      </c>
      <c r="B5193" t="s">
        <v>1298</v>
      </c>
      <c r="C5193" t="s">
        <v>654</v>
      </c>
      <c r="D5193" t="s">
        <v>1366</v>
      </c>
      <c r="E5193" t="s">
        <v>187</v>
      </c>
      <c r="F5193">
        <v>2012</v>
      </c>
      <c r="G5193">
        <v>7.2015440000000002</v>
      </c>
    </row>
    <row r="5194" spans="1:7">
      <c r="A5194" t="s">
        <v>1297</v>
      </c>
      <c r="B5194" t="s">
        <v>1298</v>
      </c>
      <c r="C5194" t="s">
        <v>654</v>
      </c>
      <c r="D5194" t="s">
        <v>1366</v>
      </c>
      <c r="E5194" t="s">
        <v>187</v>
      </c>
      <c r="F5194">
        <v>2016</v>
      </c>
      <c r="G5194">
        <v>7.4355440000000002</v>
      </c>
    </row>
    <row r="5195" spans="1:7">
      <c r="A5195" t="s">
        <v>1297</v>
      </c>
      <c r="B5195" t="s">
        <v>1298</v>
      </c>
      <c r="C5195" t="s">
        <v>654</v>
      </c>
      <c r="D5195" t="s">
        <v>1366</v>
      </c>
      <c r="E5195" t="s">
        <v>187</v>
      </c>
      <c r="F5195">
        <v>2020</v>
      </c>
      <c r="G5195">
        <v>7.8182780000000003</v>
      </c>
    </row>
    <row r="5196" spans="1:7">
      <c r="A5196" t="s">
        <v>1297</v>
      </c>
      <c r="B5196" t="s">
        <v>1298</v>
      </c>
      <c r="C5196" t="s">
        <v>668</v>
      </c>
      <c r="D5196" t="s">
        <v>1366</v>
      </c>
      <c r="E5196" t="s">
        <v>187</v>
      </c>
      <c r="F5196">
        <v>2005</v>
      </c>
      <c r="G5196">
        <v>7.7111999999999998</v>
      </c>
    </row>
    <row r="5197" spans="1:7">
      <c r="A5197" t="s">
        <v>1297</v>
      </c>
      <c r="B5197" t="s">
        <v>1298</v>
      </c>
      <c r="C5197" t="s">
        <v>668</v>
      </c>
      <c r="D5197" t="s">
        <v>1366</v>
      </c>
      <c r="E5197" t="s">
        <v>187</v>
      </c>
      <c r="F5197">
        <v>2010</v>
      </c>
      <c r="G5197">
        <v>8.7119999999999997</v>
      </c>
    </row>
    <row r="5198" spans="1:7">
      <c r="A5198" t="s">
        <v>1297</v>
      </c>
      <c r="B5198" t="s">
        <v>1298</v>
      </c>
      <c r="C5198" t="s">
        <v>668</v>
      </c>
      <c r="D5198" t="s">
        <v>1366</v>
      </c>
      <c r="E5198" t="s">
        <v>187</v>
      </c>
      <c r="F5198">
        <v>2012</v>
      </c>
      <c r="G5198">
        <v>10.072800000000001</v>
      </c>
    </row>
    <row r="5199" spans="1:7">
      <c r="A5199" t="s">
        <v>1297</v>
      </c>
      <c r="B5199" t="s">
        <v>1298</v>
      </c>
      <c r="C5199" t="s">
        <v>668</v>
      </c>
      <c r="D5199" t="s">
        <v>1366</v>
      </c>
      <c r="E5199" t="s">
        <v>187</v>
      </c>
      <c r="F5199">
        <v>2016</v>
      </c>
      <c r="G5199">
        <v>9.8388000000000009</v>
      </c>
    </row>
    <row r="5200" spans="1:7">
      <c r="A5200" t="s">
        <v>1297</v>
      </c>
      <c r="B5200" t="s">
        <v>1298</v>
      </c>
      <c r="C5200" t="s">
        <v>668</v>
      </c>
      <c r="D5200" t="s">
        <v>1366</v>
      </c>
      <c r="E5200" t="s">
        <v>187</v>
      </c>
      <c r="F5200">
        <v>2020</v>
      </c>
      <c r="G5200">
        <v>10.254200000000001</v>
      </c>
    </row>
    <row r="5201" spans="1:7">
      <c r="A5201" t="s">
        <v>1297</v>
      </c>
      <c r="B5201" t="s">
        <v>1298</v>
      </c>
      <c r="C5201" t="s">
        <v>1299</v>
      </c>
      <c r="D5201" t="s">
        <v>1366</v>
      </c>
      <c r="E5201" t="s">
        <v>187</v>
      </c>
      <c r="F5201">
        <v>2005</v>
      </c>
      <c r="G5201">
        <v>66.798000000000002</v>
      </c>
    </row>
    <row r="5202" spans="1:7">
      <c r="A5202" t="s">
        <v>1297</v>
      </c>
      <c r="B5202" t="s">
        <v>1298</v>
      </c>
      <c r="C5202" t="s">
        <v>1299</v>
      </c>
      <c r="D5202" t="s">
        <v>1366</v>
      </c>
      <c r="E5202" t="s">
        <v>187</v>
      </c>
      <c r="F5202">
        <v>2010</v>
      </c>
      <c r="G5202">
        <v>69.2316</v>
      </c>
    </row>
    <row r="5203" spans="1:7">
      <c r="A5203" t="s">
        <v>1297</v>
      </c>
      <c r="B5203" t="s">
        <v>1298</v>
      </c>
      <c r="C5203" t="s">
        <v>1299</v>
      </c>
      <c r="D5203" t="s">
        <v>1366</v>
      </c>
      <c r="E5203" t="s">
        <v>187</v>
      </c>
      <c r="F5203">
        <v>2012</v>
      </c>
      <c r="G5203">
        <v>82.872</v>
      </c>
    </row>
    <row r="5204" spans="1:7">
      <c r="A5204" t="s">
        <v>1297</v>
      </c>
      <c r="B5204" t="s">
        <v>1298</v>
      </c>
      <c r="C5204" t="s">
        <v>1299</v>
      </c>
      <c r="D5204" t="s">
        <v>1366</v>
      </c>
      <c r="E5204" t="s">
        <v>187</v>
      </c>
      <c r="F5204">
        <v>2016</v>
      </c>
      <c r="G5204">
        <v>76.503600000000006</v>
      </c>
    </row>
    <row r="5205" spans="1:7">
      <c r="A5205" t="s">
        <v>1297</v>
      </c>
      <c r="B5205" t="s">
        <v>1298</v>
      </c>
      <c r="C5205" t="s">
        <v>1299</v>
      </c>
      <c r="D5205" t="s">
        <v>1366</v>
      </c>
      <c r="E5205" t="s">
        <v>187</v>
      </c>
      <c r="F5205">
        <v>2020</v>
      </c>
      <c r="G5205">
        <v>81.173159999999996</v>
      </c>
    </row>
    <row r="5206" spans="1:7">
      <c r="A5206" t="s">
        <v>1297</v>
      </c>
      <c r="B5206" t="s">
        <v>1298</v>
      </c>
      <c r="C5206" t="s">
        <v>652</v>
      </c>
      <c r="D5206" t="s">
        <v>1366</v>
      </c>
      <c r="E5206" t="s">
        <v>187</v>
      </c>
      <c r="F5206">
        <v>2005</v>
      </c>
      <c r="G5206">
        <v>45.730800000000002</v>
      </c>
    </row>
    <row r="5207" spans="1:7">
      <c r="A5207" t="s">
        <v>1297</v>
      </c>
      <c r="B5207" t="s">
        <v>1298</v>
      </c>
      <c r="C5207" t="s">
        <v>652</v>
      </c>
      <c r="D5207" t="s">
        <v>1366</v>
      </c>
      <c r="E5207" t="s">
        <v>187</v>
      </c>
      <c r="F5207">
        <v>2010</v>
      </c>
      <c r="G5207">
        <v>77.585400000000007</v>
      </c>
    </row>
    <row r="5208" spans="1:7">
      <c r="A5208" t="s">
        <v>1297</v>
      </c>
      <c r="B5208" t="s">
        <v>1298</v>
      </c>
      <c r="C5208" t="s">
        <v>652</v>
      </c>
      <c r="D5208" t="s">
        <v>1366</v>
      </c>
      <c r="E5208" t="s">
        <v>187</v>
      </c>
      <c r="F5208">
        <v>2012</v>
      </c>
      <c r="G5208">
        <v>76.061520000000002</v>
      </c>
    </row>
    <row r="5209" spans="1:7">
      <c r="A5209" t="s">
        <v>1297</v>
      </c>
      <c r="B5209" t="s">
        <v>1298</v>
      </c>
      <c r="C5209" t="s">
        <v>652</v>
      </c>
      <c r="D5209" t="s">
        <v>1366</v>
      </c>
      <c r="E5209" t="s">
        <v>187</v>
      </c>
      <c r="F5209">
        <v>2016</v>
      </c>
      <c r="G5209">
        <v>77.820840000000004</v>
      </c>
    </row>
    <row r="5210" spans="1:7">
      <c r="A5210" t="s">
        <v>1297</v>
      </c>
      <c r="B5210" t="s">
        <v>1298</v>
      </c>
      <c r="C5210" t="s">
        <v>652</v>
      </c>
      <c r="D5210" t="s">
        <v>1366</v>
      </c>
      <c r="E5210" t="s">
        <v>187</v>
      </c>
      <c r="F5210">
        <v>2020</v>
      </c>
      <c r="G5210">
        <v>77.869439999999997</v>
      </c>
    </row>
    <row r="5211" spans="1:7">
      <c r="A5211" t="s">
        <v>1297</v>
      </c>
      <c r="B5211" t="s">
        <v>1298</v>
      </c>
      <c r="C5211" t="s">
        <v>673</v>
      </c>
      <c r="D5211" t="s">
        <v>1366</v>
      </c>
      <c r="E5211" t="s">
        <v>187</v>
      </c>
      <c r="F5211">
        <v>2005</v>
      </c>
      <c r="G5211">
        <v>14.4</v>
      </c>
    </row>
    <row r="5212" spans="1:7">
      <c r="A5212" t="s">
        <v>1297</v>
      </c>
      <c r="B5212" t="s">
        <v>1298</v>
      </c>
      <c r="C5212" t="s">
        <v>673</v>
      </c>
      <c r="D5212" t="s">
        <v>1366</v>
      </c>
      <c r="E5212" t="s">
        <v>187</v>
      </c>
      <c r="F5212">
        <v>2010</v>
      </c>
      <c r="G5212">
        <v>27.291599999999999</v>
      </c>
    </row>
    <row r="5213" spans="1:7">
      <c r="A5213" t="s">
        <v>1297</v>
      </c>
      <c r="B5213" t="s">
        <v>1298</v>
      </c>
      <c r="C5213" t="s">
        <v>673</v>
      </c>
      <c r="D5213" t="s">
        <v>1366</v>
      </c>
      <c r="E5213" t="s">
        <v>187</v>
      </c>
      <c r="F5213">
        <v>2012</v>
      </c>
      <c r="G5213">
        <v>28.429200000000002</v>
      </c>
    </row>
    <row r="5214" spans="1:7">
      <c r="A5214" t="s">
        <v>1297</v>
      </c>
      <c r="B5214" t="s">
        <v>1298</v>
      </c>
      <c r="C5214" t="s">
        <v>673</v>
      </c>
      <c r="D5214" t="s">
        <v>1366</v>
      </c>
      <c r="E5214" t="s">
        <v>187</v>
      </c>
      <c r="F5214">
        <v>2016</v>
      </c>
      <c r="G5214">
        <v>30.8916</v>
      </c>
    </row>
    <row r="5215" spans="1:7">
      <c r="A5215" t="s">
        <v>1297</v>
      </c>
      <c r="B5215" t="s">
        <v>1298</v>
      </c>
      <c r="C5215" t="s">
        <v>673</v>
      </c>
      <c r="D5215" t="s">
        <v>1366</v>
      </c>
      <c r="E5215" t="s">
        <v>187</v>
      </c>
      <c r="F5215">
        <v>2020</v>
      </c>
      <c r="G5215">
        <v>31.776689000000001</v>
      </c>
    </row>
    <row r="5216" spans="1:7">
      <c r="A5216" t="s">
        <v>1297</v>
      </c>
      <c r="B5216" t="s">
        <v>1298</v>
      </c>
      <c r="C5216" t="s">
        <v>658</v>
      </c>
      <c r="D5216" t="s">
        <v>1366</v>
      </c>
      <c r="E5216" t="s">
        <v>187</v>
      </c>
      <c r="F5216">
        <v>2005</v>
      </c>
      <c r="G5216">
        <v>6.9443999999999999</v>
      </c>
    </row>
    <row r="5217" spans="1:7">
      <c r="A5217" t="s">
        <v>1297</v>
      </c>
      <c r="B5217" t="s">
        <v>1298</v>
      </c>
      <c r="C5217" t="s">
        <v>658</v>
      </c>
      <c r="D5217" t="s">
        <v>1366</v>
      </c>
      <c r="E5217" t="s">
        <v>187</v>
      </c>
      <c r="F5217">
        <v>2010</v>
      </c>
      <c r="G5217">
        <v>9.0396000000000001</v>
      </c>
    </row>
    <row r="5218" spans="1:7">
      <c r="A5218" t="s">
        <v>1297</v>
      </c>
      <c r="B5218" t="s">
        <v>1298</v>
      </c>
      <c r="C5218" t="s">
        <v>658</v>
      </c>
      <c r="D5218" t="s">
        <v>1366</v>
      </c>
      <c r="E5218" t="s">
        <v>187</v>
      </c>
      <c r="F5218">
        <v>2012</v>
      </c>
      <c r="G5218">
        <v>9.1295999999999999</v>
      </c>
    </row>
    <row r="5219" spans="1:7">
      <c r="A5219" t="s">
        <v>1297</v>
      </c>
      <c r="B5219" t="s">
        <v>1298</v>
      </c>
      <c r="C5219" t="s">
        <v>658</v>
      </c>
      <c r="D5219" t="s">
        <v>1366</v>
      </c>
      <c r="E5219" t="s">
        <v>187</v>
      </c>
      <c r="F5219">
        <v>2016</v>
      </c>
      <c r="G5219">
        <v>10.695600000000001</v>
      </c>
    </row>
    <row r="5220" spans="1:7">
      <c r="A5220" t="s">
        <v>1297</v>
      </c>
      <c r="B5220" t="s">
        <v>1298</v>
      </c>
      <c r="C5220" t="s">
        <v>658</v>
      </c>
      <c r="D5220" t="s">
        <v>1366</v>
      </c>
      <c r="E5220" t="s">
        <v>187</v>
      </c>
      <c r="F5220">
        <v>2020</v>
      </c>
      <c r="G5220">
        <v>10.515599999999999</v>
      </c>
    </row>
    <row r="5221" spans="1:7">
      <c r="A5221" t="s">
        <v>1297</v>
      </c>
      <c r="B5221" t="s">
        <v>1298</v>
      </c>
      <c r="C5221" t="s">
        <v>671</v>
      </c>
      <c r="D5221" t="s">
        <v>1366</v>
      </c>
      <c r="E5221" t="s">
        <v>187</v>
      </c>
      <c r="F5221">
        <v>2005</v>
      </c>
      <c r="G5221">
        <v>120.0852</v>
      </c>
    </row>
    <row r="5222" spans="1:7">
      <c r="A5222" t="s">
        <v>1297</v>
      </c>
      <c r="B5222" t="s">
        <v>1298</v>
      </c>
      <c r="C5222" t="s">
        <v>671</v>
      </c>
      <c r="D5222" t="s">
        <v>1366</v>
      </c>
      <c r="E5222" t="s">
        <v>187</v>
      </c>
      <c r="F5222">
        <v>2010</v>
      </c>
      <c r="G5222">
        <v>157.20840000000001</v>
      </c>
    </row>
    <row r="5223" spans="1:7">
      <c r="A5223" t="s">
        <v>1297</v>
      </c>
      <c r="B5223" t="s">
        <v>1298</v>
      </c>
      <c r="C5223" t="s">
        <v>671</v>
      </c>
      <c r="D5223" t="s">
        <v>1366</v>
      </c>
      <c r="E5223" t="s">
        <v>187</v>
      </c>
      <c r="F5223">
        <v>2012</v>
      </c>
      <c r="G5223">
        <v>159.76079999999999</v>
      </c>
    </row>
    <row r="5224" spans="1:7">
      <c r="A5224" t="s">
        <v>1297</v>
      </c>
      <c r="B5224" t="s">
        <v>1298</v>
      </c>
      <c r="C5224" t="s">
        <v>671</v>
      </c>
      <c r="D5224" t="s">
        <v>1366</v>
      </c>
      <c r="E5224" t="s">
        <v>187</v>
      </c>
      <c r="F5224">
        <v>2016</v>
      </c>
      <c r="G5224">
        <v>172.07820000000001</v>
      </c>
    </row>
    <row r="5225" spans="1:7">
      <c r="A5225" t="s">
        <v>1297</v>
      </c>
      <c r="B5225" t="s">
        <v>1298</v>
      </c>
      <c r="C5225" t="s">
        <v>671</v>
      </c>
      <c r="D5225" t="s">
        <v>1366</v>
      </c>
      <c r="E5225" t="s">
        <v>187</v>
      </c>
      <c r="F5225">
        <v>2020</v>
      </c>
      <c r="G5225">
        <v>176.71927299999999</v>
      </c>
    </row>
    <row r="5226" spans="1:7">
      <c r="A5226" t="s">
        <v>1297</v>
      </c>
      <c r="B5226" t="s">
        <v>1298</v>
      </c>
      <c r="C5226" t="s">
        <v>659</v>
      </c>
      <c r="D5226" t="s">
        <v>1366</v>
      </c>
      <c r="E5226" t="s">
        <v>187</v>
      </c>
      <c r="F5226">
        <v>2005</v>
      </c>
      <c r="G5226">
        <v>229.7628</v>
      </c>
    </row>
    <row r="5227" spans="1:7">
      <c r="A5227" t="s">
        <v>1297</v>
      </c>
      <c r="B5227" t="s">
        <v>1298</v>
      </c>
      <c r="C5227" t="s">
        <v>659</v>
      </c>
      <c r="D5227" t="s">
        <v>1366</v>
      </c>
      <c r="E5227" t="s">
        <v>187</v>
      </c>
      <c r="F5227">
        <v>2010</v>
      </c>
      <c r="G5227">
        <v>302.01119999999997</v>
      </c>
    </row>
    <row r="5228" spans="1:7">
      <c r="A5228" t="s">
        <v>1297</v>
      </c>
      <c r="B5228" t="s">
        <v>1298</v>
      </c>
      <c r="C5228" t="s">
        <v>659</v>
      </c>
      <c r="D5228" t="s">
        <v>1366</v>
      </c>
      <c r="E5228" t="s">
        <v>187</v>
      </c>
      <c r="F5228">
        <v>2012</v>
      </c>
      <c r="G5228">
        <v>290.7072</v>
      </c>
    </row>
    <row r="5229" spans="1:7">
      <c r="A5229" t="s">
        <v>1297</v>
      </c>
      <c r="B5229" t="s">
        <v>1298</v>
      </c>
      <c r="C5229" t="s">
        <v>659</v>
      </c>
      <c r="D5229" t="s">
        <v>1366</v>
      </c>
      <c r="E5229" t="s">
        <v>187</v>
      </c>
      <c r="F5229">
        <v>2016</v>
      </c>
      <c r="G5229">
        <v>264.1968</v>
      </c>
    </row>
    <row r="5230" spans="1:7">
      <c r="A5230" t="s">
        <v>1297</v>
      </c>
      <c r="B5230" t="s">
        <v>1298</v>
      </c>
      <c r="C5230" t="s">
        <v>659</v>
      </c>
      <c r="D5230" t="s">
        <v>1366</v>
      </c>
      <c r="E5230" t="s">
        <v>187</v>
      </c>
      <c r="F5230">
        <v>2020</v>
      </c>
      <c r="G5230">
        <v>268.65359999999998</v>
      </c>
    </row>
    <row r="5231" spans="1:7">
      <c r="A5231" t="s">
        <v>1297</v>
      </c>
      <c r="B5231" t="s">
        <v>1298</v>
      </c>
      <c r="C5231" t="s">
        <v>672</v>
      </c>
      <c r="D5231" t="s">
        <v>1366</v>
      </c>
      <c r="E5231" t="s">
        <v>187</v>
      </c>
      <c r="F5231">
        <v>2005</v>
      </c>
      <c r="G5231">
        <v>51.865200000000002</v>
      </c>
    </row>
    <row r="5232" spans="1:7">
      <c r="A5232" t="s">
        <v>1297</v>
      </c>
      <c r="B5232" t="s">
        <v>1298</v>
      </c>
      <c r="C5232" t="s">
        <v>672</v>
      </c>
      <c r="D5232" t="s">
        <v>1366</v>
      </c>
      <c r="E5232" t="s">
        <v>187</v>
      </c>
      <c r="F5232">
        <v>2010</v>
      </c>
      <c r="G5232">
        <v>59.029200000000003</v>
      </c>
    </row>
    <row r="5233" spans="1:7">
      <c r="A5233" t="s">
        <v>1297</v>
      </c>
      <c r="B5233" t="s">
        <v>1298</v>
      </c>
      <c r="C5233" t="s">
        <v>672</v>
      </c>
      <c r="D5233" t="s">
        <v>1366</v>
      </c>
      <c r="E5233" t="s">
        <v>187</v>
      </c>
      <c r="F5233">
        <v>2012</v>
      </c>
      <c r="G5233">
        <v>57.6252</v>
      </c>
    </row>
    <row r="5234" spans="1:7">
      <c r="A5234" t="s">
        <v>1297</v>
      </c>
      <c r="B5234" t="s">
        <v>1298</v>
      </c>
      <c r="C5234" t="s">
        <v>672</v>
      </c>
      <c r="D5234" t="s">
        <v>1366</v>
      </c>
      <c r="E5234" t="s">
        <v>187</v>
      </c>
      <c r="F5234">
        <v>2016</v>
      </c>
      <c r="G5234">
        <v>59.243640999999997</v>
      </c>
    </row>
    <row r="5235" spans="1:7">
      <c r="A5235" t="s">
        <v>1297</v>
      </c>
      <c r="B5235" t="s">
        <v>1298</v>
      </c>
      <c r="C5235" t="s">
        <v>672</v>
      </c>
      <c r="D5235" t="s">
        <v>1366</v>
      </c>
      <c r="E5235" t="s">
        <v>187</v>
      </c>
      <c r="F5235">
        <v>2020</v>
      </c>
      <c r="G5235">
        <v>59.197423999999998</v>
      </c>
    </row>
    <row r="5236" spans="1:7">
      <c r="A5236" t="s">
        <v>1297</v>
      </c>
      <c r="B5236" t="s">
        <v>1298</v>
      </c>
      <c r="C5236" t="s">
        <v>660</v>
      </c>
      <c r="D5236" t="s">
        <v>1366</v>
      </c>
      <c r="E5236" t="s">
        <v>187</v>
      </c>
      <c r="F5236">
        <v>2020</v>
      </c>
      <c r="G5236">
        <v>64.367999999999995</v>
      </c>
    </row>
    <row r="5237" spans="1:7">
      <c r="A5237" t="s">
        <v>1297</v>
      </c>
      <c r="B5237" t="s">
        <v>1298</v>
      </c>
      <c r="C5237" t="s">
        <v>664</v>
      </c>
      <c r="D5237" t="s">
        <v>1366</v>
      </c>
      <c r="E5237" t="s">
        <v>187</v>
      </c>
      <c r="F5237">
        <v>2005</v>
      </c>
      <c r="G5237">
        <v>30.906274</v>
      </c>
    </row>
    <row r="5238" spans="1:7">
      <c r="A5238" t="s">
        <v>1297</v>
      </c>
      <c r="B5238" t="s">
        <v>1298</v>
      </c>
      <c r="C5238" t="s">
        <v>664</v>
      </c>
      <c r="D5238" t="s">
        <v>1366</v>
      </c>
      <c r="E5238" t="s">
        <v>187</v>
      </c>
      <c r="F5238">
        <v>2010</v>
      </c>
      <c r="G5238">
        <v>37.984741</v>
      </c>
    </row>
    <row r="5239" spans="1:7">
      <c r="A5239" t="s">
        <v>1297</v>
      </c>
      <c r="B5239" t="s">
        <v>1298</v>
      </c>
      <c r="C5239" t="s">
        <v>669</v>
      </c>
      <c r="D5239" t="s">
        <v>1366</v>
      </c>
      <c r="E5239" t="s">
        <v>187</v>
      </c>
      <c r="F5239">
        <v>2016</v>
      </c>
      <c r="G5239">
        <v>3.5726619999999998</v>
      </c>
    </row>
    <row r="5240" spans="1:7">
      <c r="A5240" t="s">
        <v>1297</v>
      </c>
      <c r="B5240" t="s">
        <v>1298</v>
      </c>
      <c r="C5240" t="s">
        <v>669</v>
      </c>
      <c r="D5240" t="s">
        <v>1366</v>
      </c>
      <c r="E5240" t="s">
        <v>187</v>
      </c>
      <c r="F5240">
        <v>2020</v>
      </c>
      <c r="G5240">
        <v>4.1192599999999997</v>
      </c>
    </row>
    <row r="5241" spans="1:7">
      <c r="A5241" t="s">
        <v>1297</v>
      </c>
      <c r="B5241" t="s">
        <v>1298</v>
      </c>
      <c r="C5241" t="s">
        <v>665</v>
      </c>
      <c r="D5241" t="s">
        <v>1366</v>
      </c>
      <c r="E5241" t="s">
        <v>187</v>
      </c>
      <c r="F5241">
        <v>2005</v>
      </c>
      <c r="G5241">
        <v>265.95</v>
      </c>
    </row>
    <row r="5242" spans="1:7">
      <c r="A5242" t="s">
        <v>1297</v>
      </c>
      <c r="B5242" t="s">
        <v>1298</v>
      </c>
      <c r="C5242" t="s">
        <v>665</v>
      </c>
      <c r="D5242" t="s">
        <v>1366</v>
      </c>
      <c r="E5242" t="s">
        <v>187</v>
      </c>
      <c r="F5242">
        <v>2010</v>
      </c>
      <c r="G5242">
        <v>308.22840000000002</v>
      </c>
    </row>
    <row r="5243" spans="1:7">
      <c r="A5243" t="s">
        <v>1297</v>
      </c>
      <c r="B5243" t="s">
        <v>1298</v>
      </c>
      <c r="C5243" t="s">
        <v>665</v>
      </c>
      <c r="D5243" t="s">
        <v>1366</v>
      </c>
      <c r="E5243" t="s">
        <v>187</v>
      </c>
      <c r="F5243">
        <v>2012</v>
      </c>
      <c r="G5243">
        <v>325.00439999999998</v>
      </c>
    </row>
    <row r="5244" spans="1:7">
      <c r="A5244" t="s">
        <v>1297</v>
      </c>
      <c r="B5244" t="s">
        <v>1298</v>
      </c>
      <c r="C5244" t="s">
        <v>665</v>
      </c>
      <c r="D5244" t="s">
        <v>1366</v>
      </c>
      <c r="E5244" t="s">
        <v>187</v>
      </c>
      <c r="F5244">
        <v>2016</v>
      </c>
      <c r="G5244">
        <v>330.24959999999999</v>
      </c>
    </row>
    <row r="5245" spans="1:7">
      <c r="A5245" t="s">
        <v>1297</v>
      </c>
      <c r="B5245" t="s">
        <v>1298</v>
      </c>
      <c r="C5245" t="s">
        <v>665</v>
      </c>
      <c r="D5245" t="s">
        <v>1366</v>
      </c>
      <c r="E5245" t="s">
        <v>187</v>
      </c>
      <c r="F5245">
        <v>2020</v>
      </c>
      <c r="G5245">
        <v>321.17716799999999</v>
      </c>
    </row>
    <row r="5246" spans="1:7">
      <c r="A5246" t="s">
        <v>1297</v>
      </c>
      <c r="B5246" t="s">
        <v>1298</v>
      </c>
      <c r="C5246" t="s">
        <v>682</v>
      </c>
      <c r="D5246" t="s">
        <v>1366</v>
      </c>
      <c r="E5246" t="s">
        <v>187</v>
      </c>
      <c r="F5246">
        <v>2016</v>
      </c>
      <c r="G5246">
        <v>7.6896000000000004</v>
      </c>
    </row>
    <row r="5247" spans="1:7">
      <c r="A5247" t="s">
        <v>1297</v>
      </c>
      <c r="B5247" t="s">
        <v>1298</v>
      </c>
      <c r="C5247" t="s">
        <v>682</v>
      </c>
      <c r="D5247" t="s">
        <v>1366</v>
      </c>
      <c r="E5247" t="s">
        <v>187</v>
      </c>
      <c r="F5247">
        <v>2020</v>
      </c>
      <c r="G5247">
        <v>8.8523999999999994</v>
      </c>
    </row>
    <row r="5248" spans="1:7">
      <c r="A5248" t="s">
        <v>1297</v>
      </c>
      <c r="B5248" t="s">
        <v>1298</v>
      </c>
      <c r="C5248" t="s">
        <v>661</v>
      </c>
      <c r="D5248" t="s">
        <v>1366</v>
      </c>
      <c r="E5248" t="s">
        <v>187</v>
      </c>
      <c r="F5248">
        <v>2005</v>
      </c>
      <c r="G5248">
        <v>450.67680000000001</v>
      </c>
    </row>
    <row r="5249" spans="1:7">
      <c r="A5249" t="s">
        <v>1297</v>
      </c>
      <c r="B5249" t="s">
        <v>1298</v>
      </c>
      <c r="C5249" t="s">
        <v>661</v>
      </c>
      <c r="D5249" t="s">
        <v>1366</v>
      </c>
      <c r="E5249" t="s">
        <v>187</v>
      </c>
      <c r="F5249">
        <v>2010</v>
      </c>
      <c r="G5249">
        <v>520.79039999999998</v>
      </c>
    </row>
    <row r="5250" spans="1:7">
      <c r="A5250" t="s">
        <v>1297</v>
      </c>
      <c r="B5250" t="s">
        <v>1298</v>
      </c>
      <c r="C5250" t="s">
        <v>661</v>
      </c>
      <c r="D5250" t="s">
        <v>1366</v>
      </c>
      <c r="E5250" t="s">
        <v>187</v>
      </c>
      <c r="F5250">
        <v>2012</v>
      </c>
      <c r="G5250">
        <v>518.08002499999998</v>
      </c>
    </row>
    <row r="5251" spans="1:7">
      <c r="A5251" t="s">
        <v>1297</v>
      </c>
      <c r="B5251" t="s">
        <v>1298</v>
      </c>
      <c r="C5251" t="s">
        <v>661</v>
      </c>
      <c r="D5251" t="s">
        <v>1366</v>
      </c>
      <c r="E5251" t="s">
        <v>187</v>
      </c>
      <c r="F5251">
        <v>2016</v>
      </c>
      <c r="G5251">
        <v>510.75084199999998</v>
      </c>
    </row>
    <row r="5252" spans="1:7">
      <c r="A5252" t="s">
        <v>1297</v>
      </c>
      <c r="B5252" t="s">
        <v>1298</v>
      </c>
      <c r="C5252" t="s">
        <v>661</v>
      </c>
      <c r="D5252" t="s">
        <v>1366</v>
      </c>
      <c r="E5252" t="s">
        <v>187</v>
      </c>
      <c r="F5252">
        <v>2020</v>
      </c>
      <c r="G5252">
        <v>493.206253</v>
      </c>
    </row>
    <row r="5253" spans="1:7">
      <c r="A5253" t="s">
        <v>1297</v>
      </c>
      <c r="B5253" t="s">
        <v>1298</v>
      </c>
      <c r="C5253" t="s">
        <v>680</v>
      </c>
      <c r="D5253" t="s">
        <v>1366</v>
      </c>
      <c r="E5253" t="s">
        <v>187</v>
      </c>
      <c r="F5253">
        <v>2005</v>
      </c>
      <c r="G5253">
        <v>3.2976000000000001</v>
      </c>
    </row>
    <row r="5254" spans="1:7">
      <c r="A5254" t="s">
        <v>1297</v>
      </c>
      <c r="B5254" t="s">
        <v>1298</v>
      </c>
      <c r="C5254" t="s">
        <v>680</v>
      </c>
      <c r="D5254" t="s">
        <v>1366</v>
      </c>
      <c r="E5254" t="s">
        <v>187</v>
      </c>
      <c r="F5254">
        <v>2010</v>
      </c>
      <c r="G5254">
        <v>3.6827999999999999</v>
      </c>
    </row>
    <row r="5255" spans="1:7">
      <c r="A5255" t="s">
        <v>1297</v>
      </c>
      <c r="B5255" t="s">
        <v>1298</v>
      </c>
      <c r="C5255" t="s">
        <v>680</v>
      </c>
      <c r="D5255" t="s">
        <v>1366</v>
      </c>
      <c r="E5255" t="s">
        <v>187</v>
      </c>
      <c r="F5255">
        <v>2012</v>
      </c>
      <c r="G5255">
        <v>3.7332000000000001</v>
      </c>
    </row>
    <row r="5256" spans="1:7">
      <c r="A5256" t="s">
        <v>1297</v>
      </c>
      <c r="B5256" t="s">
        <v>1298</v>
      </c>
      <c r="C5256" t="s">
        <v>680</v>
      </c>
      <c r="D5256" t="s">
        <v>1366</v>
      </c>
      <c r="E5256" t="s">
        <v>187</v>
      </c>
      <c r="F5256">
        <v>2016</v>
      </c>
      <c r="G5256">
        <v>4.5468000000000002</v>
      </c>
    </row>
    <row r="5257" spans="1:7">
      <c r="A5257" t="s">
        <v>1297</v>
      </c>
      <c r="B5257" t="s">
        <v>1298</v>
      </c>
      <c r="C5257" t="s">
        <v>680</v>
      </c>
      <c r="D5257" t="s">
        <v>1366</v>
      </c>
      <c r="E5257" t="s">
        <v>187</v>
      </c>
      <c r="F5257">
        <v>2020</v>
      </c>
      <c r="G5257">
        <v>7.7293760000000002</v>
      </c>
    </row>
    <row r="5258" spans="1:7">
      <c r="A5258" t="s">
        <v>1297</v>
      </c>
      <c r="B5258" t="s">
        <v>1298</v>
      </c>
      <c r="C5258" t="s">
        <v>1301</v>
      </c>
      <c r="D5258" t="s">
        <v>1366</v>
      </c>
      <c r="E5258" t="s">
        <v>187</v>
      </c>
      <c r="F5258">
        <v>2005</v>
      </c>
      <c r="G5258">
        <v>115.8156</v>
      </c>
    </row>
    <row r="5259" spans="1:7">
      <c r="A5259" t="s">
        <v>1297</v>
      </c>
      <c r="B5259" t="s">
        <v>1298</v>
      </c>
      <c r="C5259" t="s">
        <v>1301</v>
      </c>
      <c r="D5259" t="s">
        <v>1366</v>
      </c>
      <c r="E5259" t="s">
        <v>187</v>
      </c>
      <c r="F5259">
        <v>2010</v>
      </c>
      <c r="G5259">
        <v>162.47880000000001</v>
      </c>
    </row>
    <row r="5260" spans="1:7">
      <c r="A5260" t="s">
        <v>1297</v>
      </c>
      <c r="B5260" t="s">
        <v>1298</v>
      </c>
      <c r="C5260" t="s">
        <v>1301</v>
      </c>
      <c r="D5260" t="s">
        <v>1366</v>
      </c>
      <c r="E5260" t="s">
        <v>187</v>
      </c>
      <c r="F5260">
        <v>2012</v>
      </c>
      <c r="G5260">
        <v>182.14920000000001</v>
      </c>
    </row>
    <row r="5261" spans="1:7">
      <c r="A5261" t="s">
        <v>1297</v>
      </c>
      <c r="B5261" t="s">
        <v>1298</v>
      </c>
      <c r="C5261" t="s">
        <v>1301</v>
      </c>
      <c r="D5261" t="s">
        <v>1366</v>
      </c>
      <c r="E5261" t="s">
        <v>187</v>
      </c>
      <c r="F5261">
        <v>2016</v>
      </c>
      <c r="G5261">
        <v>229.4676</v>
      </c>
    </row>
    <row r="5262" spans="1:7">
      <c r="A5262" t="s">
        <v>1297</v>
      </c>
      <c r="B5262" t="s">
        <v>1298</v>
      </c>
      <c r="C5262" t="s">
        <v>1301</v>
      </c>
      <c r="D5262" t="s">
        <v>1366</v>
      </c>
      <c r="E5262" t="s">
        <v>187</v>
      </c>
      <c r="F5262">
        <v>2020</v>
      </c>
      <c r="G5262">
        <v>267.31669299999999</v>
      </c>
    </row>
    <row r="5263" spans="1:7">
      <c r="A5263" t="s">
        <v>1297</v>
      </c>
      <c r="B5263" t="s">
        <v>1298</v>
      </c>
      <c r="C5263" t="s">
        <v>289</v>
      </c>
      <c r="D5263" t="s">
        <v>1366</v>
      </c>
      <c r="E5263" t="s">
        <v>187</v>
      </c>
      <c r="F5263">
        <v>2005</v>
      </c>
      <c r="G5263">
        <v>15.634425999999999</v>
      </c>
    </row>
    <row r="5264" spans="1:7">
      <c r="A5264" t="s">
        <v>1297</v>
      </c>
      <c r="B5264" t="s">
        <v>1298</v>
      </c>
      <c r="C5264" t="s">
        <v>289</v>
      </c>
      <c r="D5264" t="s">
        <v>1366</v>
      </c>
      <c r="E5264" t="s">
        <v>187</v>
      </c>
      <c r="F5264">
        <v>2010</v>
      </c>
      <c r="G5264">
        <v>19.101182000000001</v>
      </c>
    </row>
    <row r="5265" spans="1:7">
      <c r="A5265" t="s">
        <v>1297</v>
      </c>
      <c r="B5265" t="s">
        <v>1298</v>
      </c>
      <c r="C5265" t="s">
        <v>289</v>
      </c>
      <c r="D5265" t="s">
        <v>1366</v>
      </c>
      <c r="E5265" t="s">
        <v>187</v>
      </c>
      <c r="F5265">
        <v>2012</v>
      </c>
      <c r="G5265">
        <v>19.572299999999998</v>
      </c>
    </row>
    <row r="5266" spans="1:7">
      <c r="A5266" t="s">
        <v>1297</v>
      </c>
      <c r="B5266" t="s">
        <v>1298</v>
      </c>
      <c r="C5266" t="s">
        <v>289</v>
      </c>
      <c r="D5266" t="s">
        <v>1366</v>
      </c>
      <c r="E5266" t="s">
        <v>187</v>
      </c>
      <c r="F5266">
        <v>2016</v>
      </c>
      <c r="G5266">
        <v>19.26774</v>
      </c>
    </row>
    <row r="5267" spans="1:7">
      <c r="A5267" t="s">
        <v>1297</v>
      </c>
      <c r="B5267" t="s">
        <v>1298</v>
      </c>
      <c r="C5267" t="s">
        <v>289</v>
      </c>
      <c r="D5267" t="s">
        <v>1366</v>
      </c>
      <c r="E5267" t="s">
        <v>187</v>
      </c>
      <c r="F5267">
        <v>2020</v>
      </c>
      <c r="G5267">
        <v>21.294150999999999</v>
      </c>
    </row>
    <row r="5268" spans="1:7">
      <c r="A5268" t="s">
        <v>1297</v>
      </c>
      <c r="B5268" t="s">
        <v>1298</v>
      </c>
      <c r="C5268" t="s">
        <v>660</v>
      </c>
      <c r="D5268" t="s">
        <v>1366</v>
      </c>
      <c r="E5268" t="s">
        <v>187</v>
      </c>
      <c r="F5268">
        <v>2005</v>
      </c>
      <c r="G5268">
        <v>55.882800000000003</v>
      </c>
    </row>
    <row r="5269" spans="1:7">
      <c r="A5269" t="s">
        <v>1297</v>
      </c>
      <c r="B5269" t="s">
        <v>1298</v>
      </c>
      <c r="C5269" t="s">
        <v>660</v>
      </c>
      <c r="D5269" t="s">
        <v>1366</v>
      </c>
      <c r="E5269" t="s">
        <v>187</v>
      </c>
      <c r="F5269">
        <v>2010</v>
      </c>
      <c r="G5269">
        <v>64.245599999999996</v>
      </c>
    </row>
    <row r="5270" spans="1:7">
      <c r="A5270" t="s">
        <v>1297</v>
      </c>
      <c r="B5270" t="s">
        <v>1298</v>
      </c>
      <c r="C5270" t="s">
        <v>660</v>
      </c>
      <c r="D5270" t="s">
        <v>1366</v>
      </c>
      <c r="E5270" t="s">
        <v>187</v>
      </c>
      <c r="F5270">
        <v>2012</v>
      </c>
      <c r="G5270">
        <v>64.285200000000003</v>
      </c>
    </row>
    <row r="5271" spans="1:7">
      <c r="A5271" t="s">
        <v>1297</v>
      </c>
      <c r="B5271" t="s">
        <v>1298</v>
      </c>
      <c r="C5271" t="s">
        <v>660</v>
      </c>
      <c r="D5271" t="s">
        <v>1366</v>
      </c>
      <c r="E5271" t="s">
        <v>187</v>
      </c>
      <c r="F5271">
        <v>2016</v>
      </c>
      <c r="G5271">
        <v>63.521999999999998</v>
      </c>
    </row>
    <row r="5272" spans="1:7">
      <c r="A5272" t="s">
        <v>1297</v>
      </c>
      <c r="B5272" t="s">
        <v>1298</v>
      </c>
      <c r="C5272" t="s">
        <v>686</v>
      </c>
      <c r="D5272" t="s">
        <v>1366</v>
      </c>
      <c r="E5272" t="s">
        <v>187</v>
      </c>
      <c r="F5272">
        <v>2005</v>
      </c>
      <c r="G5272">
        <v>17.8416</v>
      </c>
    </row>
    <row r="5273" spans="1:7">
      <c r="A5273" t="s">
        <v>1297</v>
      </c>
      <c r="B5273" t="s">
        <v>1298</v>
      </c>
      <c r="C5273" t="s">
        <v>686</v>
      </c>
      <c r="D5273" t="s">
        <v>1366</v>
      </c>
      <c r="E5273" t="s">
        <v>187</v>
      </c>
      <c r="F5273">
        <v>2010</v>
      </c>
      <c r="G5273">
        <v>17.845199999999998</v>
      </c>
    </row>
    <row r="5274" spans="1:7">
      <c r="A5274" t="s">
        <v>1297</v>
      </c>
      <c r="B5274" t="s">
        <v>1298</v>
      </c>
      <c r="C5274" t="s">
        <v>686</v>
      </c>
      <c r="D5274" t="s">
        <v>1366</v>
      </c>
      <c r="E5274" t="s">
        <v>187</v>
      </c>
      <c r="F5274">
        <v>2012</v>
      </c>
      <c r="G5274">
        <v>17.704799999999999</v>
      </c>
    </row>
    <row r="5275" spans="1:7">
      <c r="A5275" t="s">
        <v>1297</v>
      </c>
      <c r="B5275" t="s">
        <v>1298</v>
      </c>
      <c r="C5275" t="s">
        <v>686</v>
      </c>
      <c r="D5275" t="s">
        <v>1366</v>
      </c>
      <c r="E5275" t="s">
        <v>187</v>
      </c>
      <c r="F5275">
        <v>2016</v>
      </c>
      <c r="G5275">
        <v>18.018000000000001</v>
      </c>
    </row>
    <row r="5276" spans="1:7">
      <c r="A5276" t="s">
        <v>1297</v>
      </c>
      <c r="B5276" t="s">
        <v>1298</v>
      </c>
      <c r="C5276" t="s">
        <v>686</v>
      </c>
      <c r="D5276" t="s">
        <v>1366</v>
      </c>
      <c r="E5276" t="s">
        <v>187</v>
      </c>
      <c r="F5276">
        <v>2020</v>
      </c>
      <c r="G5276">
        <v>18.555904999999999</v>
      </c>
    </row>
    <row r="5277" spans="1:7">
      <c r="A5277" t="s">
        <v>1297</v>
      </c>
      <c r="B5277" t="s">
        <v>1298</v>
      </c>
      <c r="C5277" t="s">
        <v>1300</v>
      </c>
      <c r="D5277" t="s">
        <v>1366</v>
      </c>
      <c r="E5277" t="s">
        <v>187</v>
      </c>
      <c r="F5277">
        <v>2010</v>
      </c>
      <c r="G5277">
        <v>3.1823999999999999</v>
      </c>
    </row>
    <row r="5278" spans="1:7">
      <c r="A5278" t="s">
        <v>1297</v>
      </c>
      <c r="B5278" t="s">
        <v>1298</v>
      </c>
      <c r="C5278" t="s">
        <v>1300</v>
      </c>
      <c r="D5278" t="s">
        <v>1366</v>
      </c>
      <c r="E5278" t="s">
        <v>187</v>
      </c>
      <c r="F5278">
        <v>2012</v>
      </c>
      <c r="G5278">
        <v>3.3948</v>
      </c>
    </row>
    <row r="5279" spans="1:7">
      <c r="A5279" t="s">
        <v>1297</v>
      </c>
      <c r="B5279" t="s">
        <v>1298</v>
      </c>
      <c r="C5279" t="s">
        <v>1300</v>
      </c>
      <c r="D5279" t="s">
        <v>1366</v>
      </c>
      <c r="E5279" t="s">
        <v>187</v>
      </c>
      <c r="F5279">
        <v>2016</v>
      </c>
      <c r="G5279">
        <v>4.0608000000000004</v>
      </c>
    </row>
    <row r="5280" spans="1:7">
      <c r="A5280" t="s">
        <v>1297</v>
      </c>
      <c r="B5280" t="s">
        <v>1298</v>
      </c>
      <c r="C5280" t="s">
        <v>1300</v>
      </c>
      <c r="D5280" t="s">
        <v>1366</v>
      </c>
      <c r="E5280" t="s">
        <v>187</v>
      </c>
      <c r="F5280">
        <v>2020</v>
      </c>
      <c r="G5280">
        <v>4.6260000000000003</v>
      </c>
    </row>
    <row r="5281" spans="1:7">
      <c r="A5281" t="s">
        <v>1297</v>
      </c>
      <c r="B5281" t="s">
        <v>1298</v>
      </c>
      <c r="C5281" t="s">
        <v>674</v>
      </c>
      <c r="D5281" t="s">
        <v>1366</v>
      </c>
      <c r="E5281" t="s">
        <v>187</v>
      </c>
      <c r="F5281">
        <v>2005</v>
      </c>
      <c r="G5281">
        <v>94.085999999999999</v>
      </c>
    </row>
    <row r="5282" spans="1:7">
      <c r="A5282" t="s">
        <v>1297</v>
      </c>
      <c r="B5282" t="s">
        <v>1298</v>
      </c>
      <c r="C5282" t="s">
        <v>674</v>
      </c>
      <c r="D5282" t="s">
        <v>1366</v>
      </c>
      <c r="E5282" t="s">
        <v>187</v>
      </c>
      <c r="F5282">
        <v>2010</v>
      </c>
      <c r="G5282">
        <v>97.873199999999997</v>
      </c>
    </row>
    <row r="5283" spans="1:7">
      <c r="A5283" t="s">
        <v>1297</v>
      </c>
      <c r="B5283" t="s">
        <v>1298</v>
      </c>
      <c r="C5283" t="s">
        <v>674</v>
      </c>
      <c r="D5283" t="s">
        <v>1366</v>
      </c>
      <c r="E5283" t="s">
        <v>187</v>
      </c>
      <c r="F5283">
        <v>2012</v>
      </c>
      <c r="G5283">
        <v>92.667599999999993</v>
      </c>
    </row>
    <row r="5284" spans="1:7">
      <c r="A5284" t="s">
        <v>1297</v>
      </c>
      <c r="B5284" t="s">
        <v>1298</v>
      </c>
      <c r="C5284" t="s">
        <v>674</v>
      </c>
      <c r="D5284" t="s">
        <v>1366</v>
      </c>
      <c r="E5284" t="s">
        <v>187</v>
      </c>
      <c r="F5284">
        <v>2016</v>
      </c>
      <c r="G5284">
        <v>103.4388</v>
      </c>
    </row>
    <row r="5285" spans="1:7">
      <c r="A5285" t="s">
        <v>1297</v>
      </c>
      <c r="B5285" t="s">
        <v>1298</v>
      </c>
      <c r="C5285" t="s">
        <v>674</v>
      </c>
      <c r="D5285" t="s">
        <v>1366</v>
      </c>
      <c r="E5285" t="s">
        <v>187</v>
      </c>
      <c r="F5285">
        <v>2020</v>
      </c>
      <c r="G5285">
        <v>98.852400000000003</v>
      </c>
    </row>
    <row r="5286" spans="1:7">
      <c r="A5286" t="s">
        <v>1297</v>
      </c>
      <c r="B5286" t="s">
        <v>1298</v>
      </c>
      <c r="C5286" t="s">
        <v>1303</v>
      </c>
      <c r="D5286" t="s">
        <v>1366</v>
      </c>
      <c r="E5286" t="s">
        <v>187</v>
      </c>
      <c r="F5286">
        <v>2016</v>
      </c>
      <c r="G5286">
        <v>10.3752</v>
      </c>
    </row>
    <row r="5287" spans="1:7">
      <c r="A5287" t="s">
        <v>1297</v>
      </c>
      <c r="B5287" t="s">
        <v>1298</v>
      </c>
      <c r="C5287" t="s">
        <v>1303</v>
      </c>
      <c r="D5287" t="s">
        <v>1366</v>
      </c>
      <c r="E5287" t="s">
        <v>187</v>
      </c>
      <c r="F5287">
        <v>2020</v>
      </c>
      <c r="G5287">
        <v>13.628880000000001</v>
      </c>
    </row>
    <row r="5288" spans="1:7">
      <c r="A5288" t="s">
        <v>1297</v>
      </c>
      <c r="B5288" t="s">
        <v>1298</v>
      </c>
      <c r="C5288" t="s">
        <v>669</v>
      </c>
      <c r="D5288" t="s">
        <v>1366</v>
      </c>
      <c r="E5288" t="s">
        <v>187</v>
      </c>
      <c r="F5288">
        <v>2005</v>
      </c>
      <c r="G5288">
        <v>2.0268000000000002</v>
      </c>
    </row>
    <row r="5289" spans="1:7">
      <c r="A5289" t="s">
        <v>1297</v>
      </c>
      <c r="B5289" t="s">
        <v>1298</v>
      </c>
      <c r="C5289" t="s">
        <v>669</v>
      </c>
      <c r="D5289" t="s">
        <v>1366</v>
      </c>
      <c r="E5289" t="s">
        <v>187</v>
      </c>
      <c r="F5289">
        <v>2010</v>
      </c>
      <c r="G5289">
        <v>2.8692000000000002</v>
      </c>
    </row>
    <row r="5290" spans="1:7">
      <c r="A5290" t="s">
        <v>1297</v>
      </c>
      <c r="B5290" t="s">
        <v>1298</v>
      </c>
      <c r="C5290" t="s">
        <v>669</v>
      </c>
      <c r="D5290" t="s">
        <v>1366</v>
      </c>
      <c r="E5290" t="s">
        <v>187</v>
      </c>
      <c r="F5290">
        <v>2012</v>
      </c>
      <c r="G5290">
        <v>3.1968000000000001</v>
      </c>
    </row>
    <row r="5291" spans="1:7">
      <c r="A5291" t="s">
        <v>1297</v>
      </c>
      <c r="B5291" t="s">
        <v>1298</v>
      </c>
      <c r="C5291" t="s">
        <v>666</v>
      </c>
      <c r="D5291" t="s">
        <v>1367</v>
      </c>
      <c r="E5291" t="s">
        <v>187</v>
      </c>
      <c r="F5291">
        <v>2005</v>
      </c>
      <c r="G5291">
        <v>1.44E-2</v>
      </c>
    </row>
    <row r="5292" spans="1:7">
      <c r="A5292" t="s">
        <v>1297</v>
      </c>
      <c r="B5292" t="s">
        <v>1298</v>
      </c>
      <c r="C5292" t="s">
        <v>666</v>
      </c>
      <c r="D5292" t="s">
        <v>1367</v>
      </c>
      <c r="E5292" t="s">
        <v>187</v>
      </c>
      <c r="F5292">
        <v>2010</v>
      </c>
      <c r="G5292">
        <v>7.1999999999999998E-3</v>
      </c>
    </row>
    <row r="5293" spans="1:7">
      <c r="A5293" t="s">
        <v>1297</v>
      </c>
      <c r="B5293" t="s">
        <v>1298</v>
      </c>
      <c r="C5293" t="s">
        <v>666</v>
      </c>
      <c r="D5293" t="s">
        <v>1367</v>
      </c>
      <c r="E5293" t="s">
        <v>187</v>
      </c>
      <c r="F5293">
        <v>2012</v>
      </c>
      <c r="G5293">
        <v>1.0800000000000001E-2</v>
      </c>
    </row>
    <row r="5294" spans="1:7">
      <c r="A5294" t="s">
        <v>1297</v>
      </c>
      <c r="B5294" t="s">
        <v>1298</v>
      </c>
      <c r="C5294" t="s">
        <v>666</v>
      </c>
      <c r="D5294" t="s">
        <v>1367</v>
      </c>
      <c r="E5294" t="s">
        <v>187</v>
      </c>
      <c r="F5294">
        <v>2016</v>
      </c>
      <c r="G5294">
        <v>1.44E-2</v>
      </c>
    </row>
    <row r="5295" spans="1:7">
      <c r="A5295" t="s">
        <v>1297</v>
      </c>
      <c r="B5295" t="s">
        <v>1298</v>
      </c>
      <c r="C5295" t="s">
        <v>666</v>
      </c>
      <c r="D5295" t="s">
        <v>1367</v>
      </c>
      <c r="E5295" t="s">
        <v>187</v>
      </c>
      <c r="F5295">
        <v>2020</v>
      </c>
      <c r="G5295">
        <v>9.3600000000000003E-3</v>
      </c>
    </row>
    <row r="5296" spans="1:7">
      <c r="A5296" t="s">
        <v>1297</v>
      </c>
      <c r="B5296" t="s">
        <v>1298</v>
      </c>
      <c r="C5296" t="s">
        <v>661</v>
      </c>
      <c r="D5296" t="s">
        <v>1367</v>
      </c>
      <c r="E5296" t="s">
        <v>187</v>
      </c>
      <c r="F5296">
        <v>2005</v>
      </c>
      <c r="G5296">
        <v>0.39240000000000003</v>
      </c>
    </row>
    <row r="5297" spans="1:7">
      <c r="A5297" t="s">
        <v>1297</v>
      </c>
      <c r="B5297" t="s">
        <v>1298</v>
      </c>
      <c r="C5297" t="s">
        <v>661</v>
      </c>
      <c r="D5297" t="s">
        <v>1367</v>
      </c>
      <c r="E5297" t="s">
        <v>187</v>
      </c>
      <c r="F5297">
        <v>2010</v>
      </c>
      <c r="G5297">
        <v>0.44280000000000003</v>
      </c>
    </row>
    <row r="5298" spans="1:7">
      <c r="A5298" t="s">
        <v>1297</v>
      </c>
      <c r="B5298" t="s">
        <v>1298</v>
      </c>
      <c r="C5298" t="s">
        <v>661</v>
      </c>
      <c r="D5298" t="s">
        <v>1367</v>
      </c>
      <c r="E5298" t="s">
        <v>187</v>
      </c>
      <c r="F5298">
        <v>2012</v>
      </c>
      <c r="G5298">
        <v>0.75543499999999997</v>
      </c>
    </row>
    <row r="5299" spans="1:7">
      <c r="A5299" t="s">
        <v>1297</v>
      </c>
      <c r="B5299" t="s">
        <v>1298</v>
      </c>
      <c r="C5299" t="s">
        <v>661</v>
      </c>
      <c r="D5299" t="s">
        <v>1367</v>
      </c>
      <c r="E5299" t="s">
        <v>187</v>
      </c>
      <c r="F5299">
        <v>2016</v>
      </c>
      <c r="G5299">
        <v>0.75241400000000003</v>
      </c>
    </row>
    <row r="5300" spans="1:7">
      <c r="A5300" t="s">
        <v>1297</v>
      </c>
      <c r="B5300" t="s">
        <v>1298</v>
      </c>
      <c r="C5300" t="s">
        <v>661</v>
      </c>
      <c r="D5300" t="s">
        <v>1367</v>
      </c>
      <c r="E5300" t="s">
        <v>187</v>
      </c>
      <c r="F5300">
        <v>2020</v>
      </c>
      <c r="G5300">
        <v>0.75861400000000001</v>
      </c>
    </row>
    <row r="5301" spans="1:7">
      <c r="A5301" t="s">
        <v>1297</v>
      </c>
      <c r="B5301" t="s">
        <v>1298</v>
      </c>
      <c r="C5301" t="s">
        <v>663</v>
      </c>
      <c r="D5301" t="s">
        <v>1367</v>
      </c>
      <c r="E5301" t="s">
        <v>187</v>
      </c>
      <c r="F5301">
        <v>2010</v>
      </c>
      <c r="G5301">
        <v>2.52E-2</v>
      </c>
    </row>
    <row r="5302" spans="1:7">
      <c r="A5302" t="s">
        <v>1297</v>
      </c>
      <c r="B5302" t="s">
        <v>1298</v>
      </c>
      <c r="C5302" t="s">
        <v>663</v>
      </c>
      <c r="D5302" t="s">
        <v>1367</v>
      </c>
      <c r="E5302" t="s">
        <v>187</v>
      </c>
      <c r="F5302">
        <v>2012</v>
      </c>
      <c r="G5302">
        <v>2.52E-2</v>
      </c>
    </row>
    <row r="5303" spans="1:7">
      <c r="A5303" t="s">
        <v>1297</v>
      </c>
      <c r="B5303" t="s">
        <v>1298</v>
      </c>
      <c r="C5303" t="s">
        <v>663</v>
      </c>
      <c r="D5303" t="s">
        <v>1367</v>
      </c>
      <c r="E5303" t="s">
        <v>187</v>
      </c>
      <c r="F5303">
        <v>2016</v>
      </c>
      <c r="G5303">
        <v>5.04E-2</v>
      </c>
    </row>
    <row r="5304" spans="1:7">
      <c r="A5304" t="s">
        <v>1297</v>
      </c>
      <c r="B5304" t="s">
        <v>1298</v>
      </c>
      <c r="C5304" t="s">
        <v>663</v>
      </c>
      <c r="D5304" t="s">
        <v>1367</v>
      </c>
      <c r="E5304" t="s">
        <v>187</v>
      </c>
      <c r="F5304">
        <v>2020</v>
      </c>
      <c r="G5304">
        <v>5.04E-2</v>
      </c>
    </row>
    <row r="5305" spans="1:7">
      <c r="A5305" t="s">
        <v>1297</v>
      </c>
      <c r="B5305" t="s">
        <v>1298</v>
      </c>
      <c r="C5305" t="s">
        <v>662</v>
      </c>
      <c r="D5305" t="s">
        <v>1367</v>
      </c>
      <c r="E5305" t="s">
        <v>187</v>
      </c>
      <c r="F5305">
        <v>2020</v>
      </c>
      <c r="G5305">
        <v>6.0299999999999999E-2</v>
      </c>
    </row>
    <row r="5306" spans="1:7">
      <c r="A5306" t="s">
        <v>1297</v>
      </c>
      <c r="B5306" t="s">
        <v>1298</v>
      </c>
      <c r="C5306" t="s">
        <v>655</v>
      </c>
      <c r="D5306" t="s">
        <v>1367</v>
      </c>
      <c r="E5306" t="s">
        <v>187</v>
      </c>
      <c r="F5306">
        <v>2005</v>
      </c>
      <c r="G5306">
        <v>3.2399999999999998E-2</v>
      </c>
    </row>
    <row r="5307" spans="1:7">
      <c r="A5307" t="s">
        <v>1297</v>
      </c>
      <c r="B5307" t="s">
        <v>1298</v>
      </c>
      <c r="C5307" t="s">
        <v>655</v>
      </c>
      <c r="D5307" t="s">
        <v>1367</v>
      </c>
      <c r="E5307" t="s">
        <v>187</v>
      </c>
      <c r="F5307">
        <v>2010</v>
      </c>
      <c r="G5307">
        <v>2.8799999999999999E-2</v>
      </c>
    </row>
    <row r="5308" spans="1:7">
      <c r="A5308" t="s">
        <v>1297</v>
      </c>
      <c r="B5308" t="s">
        <v>1298</v>
      </c>
      <c r="C5308" t="s">
        <v>655</v>
      </c>
      <c r="D5308" t="s">
        <v>1367</v>
      </c>
      <c r="E5308" t="s">
        <v>187</v>
      </c>
      <c r="F5308">
        <v>2012</v>
      </c>
      <c r="G5308">
        <v>2.8799999999999999E-2</v>
      </c>
    </row>
    <row r="5309" spans="1:7">
      <c r="A5309" t="s">
        <v>1297</v>
      </c>
      <c r="B5309" t="s">
        <v>1298</v>
      </c>
      <c r="C5309" t="s">
        <v>655</v>
      </c>
      <c r="D5309" t="s">
        <v>1367</v>
      </c>
      <c r="E5309" t="s">
        <v>187</v>
      </c>
      <c r="F5309">
        <v>2016</v>
      </c>
      <c r="G5309">
        <v>2.8799999999999999E-2</v>
      </c>
    </row>
    <row r="5310" spans="1:7">
      <c r="A5310" t="s">
        <v>1297</v>
      </c>
      <c r="B5310" t="s">
        <v>1298</v>
      </c>
      <c r="C5310" t="s">
        <v>655</v>
      </c>
      <c r="D5310" t="s">
        <v>1367</v>
      </c>
      <c r="E5310" t="s">
        <v>187</v>
      </c>
      <c r="F5310">
        <v>2020</v>
      </c>
      <c r="G5310">
        <v>2.8393000000000002E-2</v>
      </c>
    </row>
    <row r="5311" spans="1:7">
      <c r="A5311" t="s">
        <v>1297</v>
      </c>
      <c r="B5311" t="s">
        <v>1298</v>
      </c>
      <c r="C5311" t="s">
        <v>679</v>
      </c>
      <c r="D5311" t="s">
        <v>1367</v>
      </c>
      <c r="E5311" t="s">
        <v>187</v>
      </c>
      <c r="F5311">
        <v>2005</v>
      </c>
      <c r="G5311">
        <v>0.56159999999999999</v>
      </c>
    </row>
    <row r="5312" spans="1:7">
      <c r="A5312" t="s">
        <v>1297</v>
      </c>
      <c r="B5312" t="s">
        <v>1298</v>
      </c>
      <c r="C5312" t="s">
        <v>679</v>
      </c>
      <c r="D5312" t="s">
        <v>1367</v>
      </c>
      <c r="E5312" t="s">
        <v>187</v>
      </c>
      <c r="F5312">
        <v>2010</v>
      </c>
      <c r="G5312">
        <v>0.78120000000000001</v>
      </c>
    </row>
    <row r="5313" spans="1:7">
      <c r="A5313" t="s">
        <v>1297</v>
      </c>
      <c r="B5313" t="s">
        <v>1298</v>
      </c>
      <c r="C5313" t="s">
        <v>679</v>
      </c>
      <c r="D5313" t="s">
        <v>1367</v>
      </c>
      <c r="E5313" t="s">
        <v>187</v>
      </c>
      <c r="F5313">
        <v>2012</v>
      </c>
      <c r="G5313">
        <v>0.75600000000000001</v>
      </c>
    </row>
    <row r="5314" spans="1:7">
      <c r="A5314" t="s">
        <v>1297</v>
      </c>
      <c r="B5314" t="s">
        <v>1298</v>
      </c>
      <c r="C5314" t="s">
        <v>679</v>
      </c>
      <c r="D5314" t="s">
        <v>1367</v>
      </c>
      <c r="E5314" t="s">
        <v>187</v>
      </c>
      <c r="F5314">
        <v>2016</v>
      </c>
      <c r="G5314">
        <v>0.74519999999999997</v>
      </c>
    </row>
    <row r="5315" spans="1:7">
      <c r="A5315" t="s">
        <v>1297</v>
      </c>
      <c r="B5315" t="s">
        <v>1298</v>
      </c>
      <c r="C5315" t="s">
        <v>679</v>
      </c>
      <c r="D5315" t="s">
        <v>1367</v>
      </c>
      <c r="E5315" t="s">
        <v>187</v>
      </c>
      <c r="F5315">
        <v>2020</v>
      </c>
      <c r="G5315">
        <v>0.75239999999999996</v>
      </c>
    </row>
    <row r="5316" spans="1:7">
      <c r="A5316" t="s">
        <v>1297</v>
      </c>
      <c r="B5316" t="s">
        <v>1298</v>
      </c>
      <c r="C5316" t="s">
        <v>658</v>
      </c>
      <c r="D5316" t="s">
        <v>1367</v>
      </c>
      <c r="E5316" t="s">
        <v>187</v>
      </c>
      <c r="F5316">
        <v>2005</v>
      </c>
      <c r="G5316">
        <v>3.5999999999999997E-2</v>
      </c>
    </row>
    <row r="5317" spans="1:7">
      <c r="A5317" t="s">
        <v>1297</v>
      </c>
      <c r="B5317" t="s">
        <v>1298</v>
      </c>
      <c r="C5317" t="s">
        <v>658</v>
      </c>
      <c r="D5317" t="s">
        <v>1367</v>
      </c>
      <c r="E5317" t="s">
        <v>187</v>
      </c>
      <c r="F5317">
        <v>2010</v>
      </c>
      <c r="G5317">
        <v>1.44E-2</v>
      </c>
    </row>
    <row r="5318" spans="1:7">
      <c r="A5318" t="s">
        <v>1297</v>
      </c>
      <c r="B5318" t="s">
        <v>1298</v>
      </c>
      <c r="C5318" t="s">
        <v>658</v>
      </c>
      <c r="D5318" t="s">
        <v>1367</v>
      </c>
      <c r="E5318" t="s">
        <v>187</v>
      </c>
      <c r="F5318">
        <v>2012</v>
      </c>
      <c r="G5318">
        <v>3.2399999999999998E-2</v>
      </c>
    </row>
    <row r="5319" spans="1:7">
      <c r="A5319" t="s">
        <v>1297</v>
      </c>
      <c r="B5319" t="s">
        <v>1298</v>
      </c>
      <c r="C5319" t="s">
        <v>658</v>
      </c>
      <c r="D5319" t="s">
        <v>1367</v>
      </c>
      <c r="E5319" t="s">
        <v>187</v>
      </c>
      <c r="F5319">
        <v>2016</v>
      </c>
      <c r="G5319">
        <v>2.1600000000000001E-2</v>
      </c>
    </row>
    <row r="5320" spans="1:7">
      <c r="A5320" t="s">
        <v>1297</v>
      </c>
      <c r="B5320" t="s">
        <v>1298</v>
      </c>
      <c r="C5320" t="s">
        <v>658</v>
      </c>
      <c r="D5320" t="s">
        <v>1367</v>
      </c>
      <c r="E5320" t="s">
        <v>187</v>
      </c>
      <c r="F5320">
        <v>2020</v>
      </c>
      <c r="G5320">
        <v>1.44E-2</v>
      </c>
    </row>
    <row r="5321" spans="1:7">
      <c r="A5321" t="s">
        <v>1297</v>
      </c>
      <c r="B5321" t="s">
        <v>1298</v>
      </c>
      <c r="C5321" t="s">
        <v>669</v>
      </c>
      <c r="D5321" t="s">
        <v>1367</v>
      </c>
      <c r="E5321" t="s">
        <v>187</v>
      </c>
      <c r="F5321">
        <v>2010</v>
      </c>
      <c r="G5321">
        <v>3.5999999999999999E-3</v>
      </c>
    </row>
    <row r="5322" spans="1:7">
      <c r="A5322" t="s">
        <v>1297</v>
      </c>
      <c r="B5322" t="s">
        <v>1298</v>
      </c>
      <c r="C5322" t="s">
        <v>669</v>
      </c>
      <c r="D5322" t="s">
        <v>1367</v>
      </c>
      <c r="E5322" t="s">
        <v>187</v>
      </c>
      <c r="F5322">
        <v>2012</v>
      </c>
      <c r="G5322">
        <v>3.5999999999999999E-3</v>
      </c>
    </row>
    <row r="5323" spans="1:7">
      <c r="A5323" t="s">
        <v>1297</v>
      </c>
      <c r="B5323" t="s">
        <v>1298</v>
      </c>
      <c r="C5323" t="s">
        <v>669</v>
      </c>
      <c r="D5323" t="s">
        <v>1367</v>
      </c>
      <c r="E5323" t="s">
        <v>187</v>
      </c>
      <c r="F5323">
        <v>2016</v>
      </c>
      <c r="G5323">
        <v>3.604E-3</v>
      </c>
    </row>
    <row r="5324" spans="1:7">
      <c r="A5324" t="s">
        <v>1297</v>
      </c>
      <c r="B5324" t="s">
        <v>1298</v>
      </c>
      <c r="C5324" t="s">
        <v>669</v>
      </c>
      <c r="D5324" t="s">
        <v>1367</v>
      </c>
      <c r="E5324" t="s">
        <v>187</v>
      </c>
      <c r="F5324">
        <v>2020</v>
      </c>
      <c r="G5324">
        <v>6.2680000000000001E-3</v>
      </c>
    </row>
    <row r="5325" spans="1:7">
      <c r="A5325" t="s">
        <v>1297</v>
      </c>
      <c r="B5325" t="s">
        <v>1298</v>
      </c>
      <c r="C5325" t="s">
        <v>671</v>
      </c>
      <c r="D5325" t="s">
        <v>1367</v>
      </c>
      <c r="E5325" t="s">
        <v>187</v>
      </c>
      <c r="F5325">
        <v>2005</v>
      </c>
      <c r="G5325">
        <v>1.7999999999999999E-2</v>
      </c>
    </row>
    <row r="5326" spans="1:7">
      <c r="A5326" t="s">
        <v>1297</v>
      </c>
      <c r="B5326" t="s">
        <v>1298</v>
      </c>
      <c r="C5326" t="s">
        <v>671</v>
      </c>
      <c r="D5326" t="s">
        <v>1367</v>
      </c>
      <c r="E5326" t="s">
        <v>187</v>
      </c>
      <c r="F5326">
        <v>2020</v>
      </c>
      <c r="G5326">
        <v>3.1496000000000003E-2</v>
      </c>
    </row>
    <row r="5327" spans="1:7">
      <c r="A5327" t="s">
        <v>1297</v>
      </c>
      <c r="B5327" t="s">
        <v>1298</v>
      </c>
      <c r="C5327" t="s">
        <v>668</v>
      </c>
      <c r="D5327" t="s">
        <v>1367</v>
      </c>
      <c r="E5327" t="s">
        <v>187</v>
      </c>
      <c r="F5327">
        <v>2005</v>
      </c>
      <c r="G5327">
        <v>2.52E-2</v>
      </c>
    </row>
    <row r="5328" spans="1:7">
      <c r="A5328" t="s">
        <v>1297</v>
      </c>
      <c r="B5328" t="s">
        <v>1298</v>
      </c>
      <c r="C5328" t="s">
        <v>668</v>
      </c>
      <c r="D5328" t="s">
        <v>1367</v>
      </c>
      <c r="E5328" t="s">
        <v>187</v>
      </c>
      <c r="F5328">
        <v>2010</v>
      </c>
      <c r="G5328">
        <v>2.1600000000000001E-2</v>
      </c>
    </row>
    <row r="5329" spans="1:7">
      <c r="A5329" t="s">
        <v>1297</v>
      </c>
      <c r="B5329" t="s">
        <v>1298</v>
      </c>
      <c r="C5329" t="s">
        <v>668</v>
      </c>
      <c r="D5329" t="s">
        <v>1367</v>
      </c>
      <c r="E5329" t="s">
        <v>187</v>
      </c>
      <c r="F5329">
        <v>2012</v>
      </c>
      <c r="G5329">
        <v>2.8799999999999999E-2</v>
      </c>
    </row>
    <row r="5330" spans="1:7">
      <c r="A5330" t="s">
        <v>1297</v>
      </c>
      <c r="B5330" t="s">
        <v>1298</v>
      </c>
      <c r="C5330" t="s">
        <v>668</v>
      </c>
      <c r="D5330" t="s">
        <v>1367</v>
      </c>
      <c r="E5330" t="s">
        <v>187</v>
      </c>
      <c r="F5330">
        <v>2016</v>
      </c>
      <c r="G5330">
        <v>3.5999999999999997E-2</v>
      </c>
    </row>
    <row r="5331" spans="1:7">
      <c r="A5331" t="s">
        <v>1297</v>
      </c>
      <c r="B5331" t="s">
        <v>1298</v>
      </c>
      <c r="C5331" t="s">
        <v>668</v>
      </c>
      <c r="D5331" t="s">
        <v>1367</v>
      </c>
      <c r="E5331" t="s">
        <v>187</v>
      </c>
      <c r="F5331">
        <v>2020</v>
      </c>
      <c r="G5331">
        <v>4.4928000000000003E-2</v>
      </c>
    </row>
    <row r="5332" spans="1:7">
      <c r="A5332" t="s">
        <v>1297</v>
      </c>
      <c r="B5332" t="s">
        <v>1298</v>
      </c>
      <c r="C5332" t="s">
        <v>672</v>
      </c>
      <c r="D5332" t="s">
        <v>1367</v>
      </c>
      <c r="E5332" t="s">
        <v>187</v>
      </c>
      <c r="F5332">
        <v>2005</v>
      </c>
      <c r="G5332">
        <v>0.14399999999999999</v>
      </c>
    </row>
    <row r="5333" spans="1:7">
      <c r="A5333" t="s">
        <v>1297</v>
      </c>
      <c r="B5333" t="s">
        <v>1298</v>
      </c>
      <c r="C5333" t="s">
        <v>672</v>
      </c>
      <c r="D5333" t="s">
        <v>1367</v>
      </c>
      <c r="E5333" t="s">
        <v>187</v>
      </c>
      <c r="F5333">
        <v>2010</v>
      </c>
      <c r="G5333">
        <v>0.216</v>
      </c>
    </row>
    <row r="5334" spans="1:7">
      <c r="A5334" t="s">
        <v>1297</v>
      </c>
      <c r="B5334" t="s">
        <v>1298</v>
      </c>
      <c r="C5334" t="s">
        <v>672</v>
      </c>
      <c r="D5334" t="s">
        <v>1367</v>
      </c>
      <c r="E5334" t="s">
        <v>187</v>
      </c>
      <c r="F5334">
        <v>2012</v>
      </c>
      <c r="G5334">
        <v>0.29520000000000002</v>
      </c>
    </row>
    <row r="5335" spans="1:7">
      <c r="A5335" t="s">
        <v>1297</v>
      </c>
      <c r="B5335" t="s">
        <v>1298</v>
      </c>
      <c r="C5335" t="s">
        <v>672</v>
      </c>
      <c r="D5335" t="s">
        <v>1367</v>
      </c>
      <c r="E5335" t="s">
        <v>187</v>
      </c>
      <c r="F5335">
        <v>2016</v>
      </c>
      <c r="G5335">
        <v>0.24898000000000001</v>
      </c>
    </row>
    <row r="5336" spans="1:7">
      <c r="A5336" t="s">
        <v>1297</v>
      </c>
      <c r="B5336" t="s">
        <v>1298</v>
      </c>
      <c r="C5336" t="s">
        <v>672</v>
      </c>
      <c r="D5336" t="s">
        <v>1367</v>
      </c>
      <c r="E5336" t="s">
        <v>187</v>
      </c>
      <c r="F5336">
        <v>2020</v>
      </c>
      <c r="G5336">
        <v>0.23344899999999999</v>
      </c>
    </row>
    <row r="5337" spans="1:7">
      <c r="A5337" t="s">
        <v>1297</v>
      </c>
      <c r="B5337" t="s">
        <v>1298</v>
      </c>
      <c r="C5337" t="s">
        <v>680</v>
      </c>
      <c r="D5337" t="s">
        <v>1367</v>
      </c>
      <c r="E5337" t="s">
        <v>187</v>
      </c>
      <c r="F5337">
        <v>2005</v>
      </c>
      <c r="G5337">
        <v>0.12959999999999999</v>
      </c>
    </row>
    <row r="5338" spans="1:7">
      <c r="A5338" t="s">
        <v>1297</v>
      </c>
      <c r="B5338" t="s">
        <v>1298</v>
      </c>
      <c r="C5338" t="s">
        <v>680</v>
      </c>
      <c r="D5338" t="s">
        <v>1367</v>
      </c>
      <c r="E5338" t="s">
        <v>187</v>
      </c>
      <c r="F5338">
        <v>2010</v>
      </c>
      <c r="G5338">
        <v>0.1404</v>
      </c>
    </row>
    <row r="5339" spans="1:7">
      <c r="A5339" t="s">
        <v>1297</v>
      </c>
      <c r="B5339" t="s">
        <v>1298</v>
      </c>
      <c r="C5339" t="s">
        <v>680</v>
      </c>
      <c r="D5339" t="s">
        <v>1367</v>
      </c>
      <c r="E5339" t="s">
        <v>187</v>
      </c>
      <c r="F5339">
        <v>2012</v>
      </c>
      <c r="G5339">
        <v>0.15479999999999999</v>
      </c>
    </row>
    <row r="5340" spans="1:7">
      <c r="A5340" t="s">
        <v>1297</v>
      </c>
      <c r="B5340" t="s">
        <v>1298</v>
      </c>
      <c r="C5340" t="s">
        <v>680</v>
      </c>
      <c r="D5340" t="s">
        <v>1367</v>
      </c>
      <c r="E5340" t="s">
        <v>187</v>
      </c>
      <c r="F5340">
        <v>2016</v>
      </c>
      <c r="G5340">
        <v>0.20519999999999999</v>
      </c>
    </row>
    <row r="5341" spans="1:7">
      <c r="A5341" t="s">
        <v>1297</v>
      </c>
      <c r="B5341" t="s">
        <v>1298</v>
      </c>
      <c r="C5341" t="s">
        <v>680</v>
      </c>
      <c r="D5341" t="s">
        <v>1367</v>
      </c>
      <c r="E5341" t="s">
        <v>187</v>
      </c>
      <c r="F5341">
        <v>2020</v>
      </c>
      <c r="G5341">
        <v>0.28418399999999999</v>
      </c>
    </row>
    <row r="5342" spans="1:7">
      <c r="A5342" t="s">
        <v>1297</v>
      </c>
      <c r="B5342" t="s">
        <v>1298</v>
      </c>
      <c r="C5342" t="s">
        <v>665</v>
      </c>
      <c r="D5342" t="s">
        <v>1367</v>
      </c>
      <c r="E5342" t="s">
        <v>187</v>
      </c>
      <c r="F5342">
        <v>2012</v>
      </c>
      <c r="G5342">
        <v>0.36359999999999998</v>
      </c>
    </row>
    <row r="5343" spans="1:7">
      <c r="A5343" t="s">
        <v>1297</v>
      </c>
      <c r="B5343" t="s">
        <v>1298</v>
      </c>
      <c r="C5343" t="s">
        <v>665</v>
      </c>
      <c r="D5343" t="s">
        <v>1367</v>
      </c>
      <c r="E5343" t="s">
        <v>187</v>
      </c>
      <c r="F5343">
        <v>2016</v>
      </c>
      <c r="G5343">
        <v>0.91439999999999999</v>
      </c>
    </row>
    <row r="5344" spans="1:7">
      <c r="A5344" t="s">
        <v>1297</v>
      </c>
      <c r="B5344" t="s">
        <v>1298</v>
      </c>
      <c r="C5344" t="s">
        <v>665</v>
      </c>
      <c r="D5344" t="s">
        <v>1367</v>
      </c>
      <c r="E5344" t="s">
        <v>187</v>
      </c>
      <c r="F5344">
        <v>2020</v>
      </c>
      <c r="G5344">
        <v>0.76533499999999999</v>
      </c>
    </row>
    <row r="5345" spans="1:7">
      <c r="A5345" t="s">
        <v>1297</v>
      </c>
      <c r="B5345" t="s">
        <v>1298</v>
      </c>
      <c r="C5345" t="s">
        <v>673</v>
      </c>
      <c r="D5345" t="s">
        <v>1367</v>
      </c>
      <c r="E5345" t="s">
        <v>187</v>
      </c>
      <c r="F5345">
        <v>2016</v>
      </c>
      <c r="G5345">
        <v>7.1999999999999998E-3</v>
      </c>
    </row>
    <row r="5346" spans="1:7">
      <c r="A5346" t="s">
        <v>1297</v>
      </c>
      <c r="B5346" t="s">
        <v>1298</v>
      </c>
      <c r="C5346" t="s">
        <v>673</v>
      </c>
      <c r="D5346" t="s">
        <v>1367</v>
      </c>
      <c r="E5346" t="s">
        <v>187</v>
      </c>
      <c r="F5346">
        <v>2020</v>
      </c>
      <c r="G5346">
        <v>2.8300000000000001E-3</v>
      </c>
    </row>
    <row r="5347" spans="1:7">
      <c r="A5347" t="s">
        <v>1297</v>
      </c>
      <c r="B5347" t="s">
        <v>1298</v>
      </c>
      <c r="C5347" t="s">
        <v>654</v>
      </c>
      <c r="D5347" t="s">
        <v>1367</v>
      </c>
      <c r="E5347" t="s">
        <v>187</v>
      </c>
      <c r="F5347">
        <v>2005</v>
      </c>
      <c r="G5347">
        <v>1.0800000000000001E-2</v>
      </c>
    </row>
    <row r="5348" spans="1:7">
      <c r="A5348" t="s">
        <v>1297</v>
      </c>
      <c r="B5348" t="s">
        <v>1298</v>
      </c>
      <c r="C5348" t="s">
        <v>654</v>
      </c>
      <c r="D5348" t="s">
        <v>1367</v>
      </c>
      <c r="E5348" t="s">
        <v>187</v>
      </c>
      <c r="F5348">
        <v>2010</v>
      </c>
      <c r="G5348">
        <v>1.0800000000000001E-2</v>
      </c>
    </row>
    <row r="5349" spans="1:7">
      <c r="A5349" t="s">
        <v>1297</v>
      </c>
      <c r="B5349" t="s">
        <v>1298</v>
      </c>
      <c r="C5349" t="s">
        <v>654</v>
      </c>
      <c r="D5349" t="s">
        <v>1367</v>
      </c>
      <c r="E5349" t="s">
        <v>187</v>
      </c>
      <c r="F5349">
        <v>2012</v>
      </c>
      <c r="G5349">
        <v>1.0800000000000001E-2</v>
      </c>
    </row>
    <row r="5350" spans="1:7">
      <c r="A5350" t="s">
        <v>1297</v>
      </c>
      <c r="B5350" t="s">
        <v>1298</v>
      </c>
      <c r="C5350" t="s">
        <v>654</v>
      </c>
      <c r="D5350" t="s">
        <v>1367</v>
      </c>
      <c r="E5350" t="s">
        <v>187</v>
      </c>
      <c r="F5350">
        <v>2016</v>
      </c>
      <c r="G5350">
        <v>1.44E-2</v>
      </c>
    </row>
    <row r="5351" spans="1:7">
      <c r="A5351" t="s">
        <v>1297</v>
      </c>
      <c r="B5351" t="s">
        <v>1298</v>
      </c>
      <c r="C5351" t="s">
        <v>654</v>
      </c>
      <c r="D5351" t="s">
        <v>1367</v>
      </c>
      <c r="E5351" t="s">
        <v>187</v>
      </c>
      <c r="F5351">
        <v>2020</v>
      </c>
      <c r="G5351">
        <v>1.1923E-2</v>
      </c>
    </row>
    <row r="5352" spans="1:7">
      <c r="A5352" t="s">
        <v>1297</v>
      </c>
      <c r="B5352" t="s">
        <v>1298</v>
      </c>
      <c r="C5352" t="s">
        <v>1299</v>
      </c>
      <c r="D5352" t="s">
        <v>1367</v>
      </c>
      <c r="E5352" t="s">
        <v>187</v>
      </c>
      <c r="F5352">
        <v>2016</v>
      </c>
      <c r="G5352">
        <v>7.9200000000000007E-2</v>
      </c>
    </row>
    <row r="5353" spans="1:7">
      <c r="A5353" t="s">
        <v>1297</v>
      </c>
      <c r="B5353" t="s">
        <v>1298</v>
      </c>
      <c r="C5353" t="s">
        <v>1299</v>
      </c>
      <c r="D5353" t="s">
        <v>1367</v>
      </c>
      <c r="E5353" t="s">
        <v>187</v>
      </c>
      <c r="F5353">
        <v>2020</v>
      </c>
      <c r="G5353">
        <v>0.124654</v>
      </c>
    </row>
    <row r="5354" spans="1:7">
      <c r="A5354" t="s">
        <v>1297</v>
      </c>
      <c r="B5354" t="s">
        <v>1298</v>
      </c>
      <c r="C5354" t="s">
        <v>1301</v>
      </c>
      <c r="D5354" t="s">
        <v>1367</v>
      </c>
      <c r="E5354" t="s">
        <v>187</v>
      </c>
      <c r="F5354">
        <v>2005</v>
      </c>
      <c r="G5354">
        <v>0.37440000000000001</v>
      </c>
    </row>
    <row r="5355" spans="1:7">
      <c r="A5355" t="s">
        <v>1297</v>
      </c>
      <c r="B5355" t="s">
        <v>1298</v>
      </c>
      <c r="C5355" t="s">
        <v>1301</v>
      </c>
      <c r="D5355" t="s">
        <v>1367</v>
      </c>
      <c r="E5355" t="s">
        <v>187</v>
      </c>
      <c r="F5355">
        <v>2010</v>
      </c>
      <c r="G5355">
        <v>0.54</v>
      </c>
    </row>
    <row r="5356" spans="1:7">
      <c r="A5356" t="s">
        <v>1297</v>
      </c>
      <c r="B5356" t="s">
        <v>1298</v>
      </c>
      <c r="C5356" t="s">
        <v>1301</v>
      </c>
      <c r="D5356" t="s">
        <v>1367</v>
      </c>
      <c r="E5356" t="s">
        <v>187</v>
      </c>
      <c r="F5356">
        <v>2012</v>
      </c>
      <c r="G5356">
        <v>0.41760000000000003</v>
      </c>
    </row>
    <row r="5357" spans="1:7">
      <c r="A5357" t="s">
        <v>1297</v>
      </c>
      <c r="B5357" t="s">
        <v>1298</v>
      </c>
      <c r="C5357" t="s">
        <v>1301</v>
      </c>
      <c r="D5357" t="s">
        <v>1367</v>
      </c>
      <c r="E5357" t="s">
        <v>187</v>
      </c>
      <c r="F5357">
        <v>2016</v>
      </c>
      <c r="G5357">
        <v>0.4824</v>
      </c>
    </row>
    <row r="5358" spans="1:7">
      <c r="A5358" t="s">
        <v>1297</v>
      </c>
      <c r="B5358" t="s">
        <v>1298</v>
      </c>
      <c r="C5358" t="s">
        <v>1301</v>
      </c>
      <c r="D5358" t="s">
        <v>1367</v>
      </c>
      <c r="E5358" t="s">
        <v>187</v>
      </c>
      <c r="F5358">
        <v>2020</v>
      </c>
      <c r="G5358">
        <v>0.62444500000000003</v>
      </c>
    </row>
    <row r="5359" spans="1:7">
      <c r="A5359" t="s">
        <v>1297</v>
      </c>
      <c r="B5359" t="s">
        <v>1298</v>
      </c>
      <c r="C5359" t="s">
        <v>681</v>
      </c>
      <c r="D5359" t="s">
        <v>1367</v>
      </c>
      <c r="E5359" t="s">
        <v>187</v>
      </c>
      <c r="F5359">
        <v>2005</v>
      </c>
      <c r="G5359">
        <v>6.1199999999999997E-2</v>
      </c>
    </row>
    <row r="5360" spans="1:7">
      <c r="A5360" t="s">
        <v>1297</v>
      </c>
      <c r="B5360" t="s">
        <v>1298</v>
      </c>
      <c r="C5360" t="s">
        <v>681</v>
      </c>
      <c r="D5360" t="s">
        <v>1367</v>
      </c>
      <c r="E5360" t="s">
        <v>187</v>
      </c>
      <c r="F5360">
        <v>2020</v>
      </c>
      <c r="G5360">
        <v>9.7387000000000001E-2</v>
      </c>
    </row>
    <row r="5361" spans="1:7">
      <c r="A5361" t="s">
        <v>1297</v>
      </c>
      <c r="B5361" t="s">
        <v>1298</v>
      </c>
      <c r="C5361" t="s">
        <v>656</v>
      </c>
      <c r="D5361" t="s">
        <v>1367</v>
      </c>
      <c r="E5361" t="s">
        <v>187</v>
      </c>
      <c r="F5361">
        <v>2020</v>
      </c>
      <c r="G5361">
        <v>0.36</v>
      </c>
    </row>
    <row r="5362" spans="1:7">
      <c r="A5362" t="s">
        <v>1297</v>
      </c>
      <c r="B5362" t="s">
        <v>1298</v>
      </c>
      <c r="C5362" t="s">
        <v>653</v>
      </c>
      <c r="D5362" t="s">
        <v>1367</v>
      </c>
      <c r="E5362" t="s">
        <v>187</v>
      </c>
      <c r="F5362">
        <v>2005</v>
      </c>
      <c r="G5362">
        <v>7.1999999999999998E-3</v>
      </c>
    </row>
    <row r="5363" spans="1:7">
      <c r="A5363" t="s">
        <v>1297</v>
      </c>
      <c r="B5363" t="s">
        <v>1298</v>
      </c>
      <c r="C5363" t="s">
        <v>653</v>
      </c>
      <c r="D5363" t="s">
        <v>1367</v>
      </c>
      <c r="E5363" t="s">
        <v>187</v>
      </c>
      <c r="F5363">
        <v>2010</v>
      </c>
      <c r="G5363">
        <v>7.1999999999999998E-3</v>
      </c>
    </row>
    <row r="5364" spans="1:7">
      <c r="A5364" t="s">
        <v>1297</v>
      </c>
      <c r="B5364" t="s">
        <v>1298</v>
      </c>
      <c r="C5364" t="s">
        <v>653</v>
      </c>
      <c r="D5364" t="s">
        <v>1367</v>
      </c>
      <c r="E5364" t="s">
        <v>187</v>
      </c>
      <c r="F5364">
        <v>2012</v>
      </c>
      <c r="G5364">
        <v>1.7999999999999999E-2</v>
      </c>
    </row>
    <row r="5365" spans="1:7">
      <c r="A5365" t="s">
        <v>1297</v>
      </c>
      <c r="B5365" t="s">
        <v>1298</v>
      </c>
      <c r="C5365" t="s">
        <v>653</v>
      </c>
      <c r="D5365" t="s">
        <v>1367</v>
      </c>
      <c r="E5365" t="s">
        <v>187</v>
      </c>
      <c r="F5365">
        <v>2016</v>
      </c>
      <c r="G5365">
        <v>7.1999999999999998E-3</v>
      </c>
    </row>
    <row r="5366" spans="1:7">
      <c r="A5366" t="s">
        <v>1297</v>
      </c>
      <c r="B5366" t="s">
        <v>1298</v>
      </c>
      <c r="C5366" t="s">
        <v>653</v>
      </c>
      <c r="D5366" t="s">
        <v>1367</v>
      </c>
      <c r="E5366" t="s">
        <v>187</v>
      </c>
      <c r="F5366">
        <v>2020</v>
      </c>
      <c r="G5366">
        <v>3.2576000000000001E-2</v>
      </c>
    </row>
    <row r="5367" spans="1:7">
      <c r="A5367" t="s">
        <v>1297</v>
      </c>
      <c r="B5367" t="s">
        <v>1298</v>
      </c>
      <c r="C5367" t="s">
        <v>677</v>
      </c>
      <c r="D5367" t="s">
        <v>1367</v>
      </c>
      <c r="E5367" t="s">
        <v>187</v>
      </c>
      <c r="F5367">
        <v>2010</v>
      </c>
      <c r="G5367">
        <v>3.6252</v>
      </c>
    </row>
    <row r="5368" spans="1:7">
      <c r="A5368" t="s">
        <v>1297</v>
      </c>
      <c r="B5368" t="s">
        <v>1298</v>
      </c>
      <c r="C5368" t="s">
        <v>677</v>
      </c>
      <c r="D5368" t="s">
        <v>1367</v>
      </c>
      <c r="E5368" t="s">
        <v>187</v>
      </c>
      <c r="F5368">
        <v>2012</v>
      </c>
      <c r="G5368">
        <v>3.4847999999999999</v>
      </c>
    </row>
    <row r="5369" spans="1:7">
      <c r="A5369" t="s">
        <v>1297</v>
      </c>
      <c r="B5369" t="s">
        <v>1298</v>
      </c>
      <c r="C5369" t="s">
        <v>677</v>
      </c>
      <c r="D5369" t="s">
        <v>1367</v>
      </c>
      <c r="E5369" t="s">
        <v>187</v>
      </c>
      <c r="F5369">
        <v>2016</v>
      </c>
      <c r="G5369">
        <v>3.8789820000000002</v>
      </c>
    </row>
    <row r="5370" spans="1:7">
      <c r="A5370" t="s">
        <v>1297</v>
      </c>
      <c r="B5370" t="s">
        <v>1298</v>
      </c>
      <c r="C5370" t="s">
        <v>677</v>
      </c>
      <c r="D5370" t="s">
        <v>1367</v>
      </c>
      <c r="E5370" t="s">
        <v>187</v>
      </c>
      <c r="F5370">
        <v>2020</v>
      </c>
      <c r="G5370">
        <v>3.784799</v>
      </c>
    </row>
    <row r="5371" spans="1:7">
      <c r="A5371" t="s">
        <v>1297</v>
      </c>
      <c r="B5371" t="s">
        <v>1298</v>
      </c>
      <c r="C5371" t="s">
        <v>665</v>
      </c>
      <c r="D5371" t="s">
        <v>1367</v>
      </c>
      <c r="E5371" t="s">
        <v>187</v>
      </c>
      <c r="F5371">
        <v>2005</v>
      </c>
      <c r="G5371">
        <v>0.26279999999999998</v>
      </c>
    </row>
    <row r="5372" spans="1:7">
      <c r="A5372" t="s">
        <v>1297</v>
      </c>
      <c r="B5372" t="s">
        <v>1298</v>
      </c>
      <c r="C5372" t="s">
        <v>665</v>
      </c>
      <c r="D5372" t="s">
        <v>1367</v>
      </c>
      <c r="E5372" t="s">
        <v>187</v>
      </c>
      <c r="F5372">
        <v>2010</v>
      </c>
      <c r="G5372">
        <v>0.24840000000000001</v>
      </c>
    </row>
    <row r="5373" spans="1:7">
      <c r="A5373" t="s">
        <v>1297</v>
      </c>
      <c r="B5373" t="s">
        <v>1298</v>
      </c>
      <c r="C5373" t="s">
        <v>659</v>
      </c>
      <c r="D5373" t="s">
        <v>1367</v>
      </c>
      <c r="E5373" t="s">
        <v>187</v>
      </c>
      <c r="F5373">
        <v>2020</v>
      </c>
      <c r="G5373">
        <v>0.38519999999999999</v>
      </c>
    </row>
    <row r="5374" spans="1:7">
      <c r="A5374" t="s">
        <v>1297</v>
      </c>
      <c r="B5374" t="s">
        <v>1298</v>
      </c>
      <c r="C5374" t="s">
        <v>1299</v>
      </c>
      <c r="D5374" t="s">
        <v>1367</v>
      </c>
      <c r="E5374" t="s">
        <v>187</v>
      </c>
      <c r="F5374">
        <v>2005</v>
      </c>
      <c r="G5374">
        <v>0.15479999999999999</v>
      </c>
    </row>
    <row r="5375" spans="1:7">
      <c r="A5375" t="s">
        <v>1297</v>
      </c>
      <c r="B5375" t="s">
        <v>1298</v>
      </c>
      <c r="C5375" t="s">
        <v>1299</v>
      </c>
      <c r="D5375" t="s">
        <v>1367</v>
      </c>
      <c r="E5375" t="s">
        <v>187</v>
      </c>
      <c r="F5375">
        <v>2012</v>
      </c>
      <c r="G5375">
        <v>0.1152</v>
      </c>
    </row>
    <row r="5376" spans="1:7">
      <c r="A5376" t="s">
        <v>1297</v>
      </c>
      <c r="B5376" t="s">
        <v>1298</v>
      </c>
      <c r="C5376" t="s">
        <v>664</v>
      </c>
      <c r="D5376" t="s">
        <v>1368</v>
      </c>
      <c r="E5376" t="s">
        <v>187</v>
      </c>
      <c r="F5376">
        <v>2005</v>
      </c>
      <c r="G5376">
        <v>27.041753</v>
      </c>
    </row>
    <row r="5377" spans="1:7">
      <c r="A5377" t="s">
        <v>1297</v>
      </c>
      <c r="B5377" t="s">
        <v>1298</v>
      </c>
      <c r="C5377" t="s">
        <v>664</v>
      </c>
      <c r="D5377" t="s">
        <v>1368</v>
      </c>
      <c r="E5377" t="s">
        <v>187</v>
      </c>
      <c r="F5377">
        <v>2010</v>
      </c>
      <c r="G5377">
        <v>30.765488000000001</v>
      </c>
    </row>
    <row r="5378" spans="1:7">
      <c r="A5378" t="s">
        <v>1297</v>
      </c>
      <c r="B5378" t="s">
        <v>1298</v>
      </c>
      <c r="C5378" t="s">
        <v>664</v>
      </c>
      <c r="D5378" t="s">
        <v>1368</v>
      </c>
      <c r="E5378" t="s">
        <v>187</v>
      </c>
      <c r="F5378">
        <v>2012</v>
      </c>
      <c r="G5378">
        <v>29.233681000000001</v>
      </c>
    </row>
    <row r="5379" spans="1:7">
      <c r="A5379" t="s">
        <v>1297</v>
      </c>
      <c r="B5379" t="s">
        <v>1298</v>
      </c>
      <c r="C5379" t="s">
        <v>664</v>
      </c>
      <c r="D5379" t="s">
        <v>1368</v>
      </c>
      <c r="E5379" t="s">
        <v>187</v>
      </c>
      <c r="F5379">
        <v>2016</v>
      </c>
      <c r="G5379">
        <v>28.341881999999998</v>
      </c>
    </row>
    <row r="5380" spans="1:7">
      <c r="A5380" t="s">
        <v>1297</v>
      </c>
      <c r="B5380" t="s">
        <v>1298</v>
      </c>
      <c r="C5380" t="s">
        <v>664</v>
      </c>
      <c r="D5380" t="s">
        <v>1368</v>
      </c>
      <c r="E5380" t="s">
        <v>187</v>
      </c>
      <c r="F5380">
        <v>2020</v>
      </c>
      <c r="G5380">
        <v>29.27862</v>
      </c>
    </row>
    <row r="5381" spans="1:7">
      <c r="A5381" t="s">
        <v>1297</v>
      </c>
      <c r="B5381" t="s">
        <v>1298</v>
      </c>
      <c r="C5381" t="s">
        <v>674</v>
      </c>
      <c r="D5381" t="s">
        <v>1368</v>
      </c>
      <c r="E5381" t="s">
        <v>187</v>
      </c>
      <c r="F5381">
        <v>2005</v>
      </c>
      <c r="G5381">
        <v>153.58680000000001</v>
      </c>
    </row>
    <row r="5382" spans="1:7">
      <c r="A5382" t="s">
        <v>1297</v>
      </c>
      <c r="B5382" t="s">
        <v>1298</v>
      </c>
      <c r="C5382" t="s">
        <v>674</v>
      </c>
      <c r="D5382" t="s">
        <v>1368</v>
      </c>
      <c r="E5382" t="s">
        <v>187</v>
      </c>
      <c r="F5382">
        <v>2010</v>
      </c>
      <c r="G5382">
        <v>165.5352</v>
      </c>
    </row>
    <row r="5383" spans="1:7">
      <c r="A5383" t="s">
        <v>1297</v>
      </c>
      <c r="B5383" t="s">
        <v>1298</v>
      </c>
      <c r="C5383" t="s">
        <v>674</v>
      </c>
      <c r="D5383" t="s">
        <v>1368</v>
      </c>
      <c r="E5383" t="s">
        <v>187</v>
      </c>
      <c r="F5383">
        <v>2012</v>
      </c>
      <c r="G5383">
        <v>158.07239999999999</v>
      </c>
    </row>
    <row r="5384" spans="1:7">
      <c r="A5384" t="s">
        <v>1297</v>
      </c>
      <c r="B5384" t="s">
        <v>1298</v>
      </c>
      <c r="C5384" t="s">
        <v>674</v>
      </c>
      <c r="D5384" t="s">
        <v>1368</v>
      </c>
      <c r="E5384" t="s">
        <v>187</v>
      </c>
      <c r="F5384">
        <v>2016</v>
      </c>
      <c r="G5384">
        <v>160.26840000000001</v>
      </c>
    </row>
    <row r="5385" spans="1:7">
      <c r="A5385" t="s">
        <v>1297</v>
      </c>
      <c r="B5385" t="s">
        <v>1298</v>
      </c>
      <c r="C5385" t="s">
        <v>674</v>
      </c>
      <c r="D5385" t="s">
        <v>1368</v>
      </c>
      <c r="E5385" t="s">
        <v>187</v>
      </c>
      <c r="F5385">
        <v>2020</v>
      </c>
      <c r="G5385">
        <v>157.89240000000001</v>
      </c>
    </row>
    <row r="5386" spans="1:7">
      <c r="A5386" t="s">
        <v>1297</v>
      </c>
      <c r="B5386" t="s">
        <v>1298</v>
      </c>
      <c r="C5386" t="s">
        <v>676</v>
      </c>
      <c r="D5386" t="s">
        <v>1368</v>
      </c>
      <c r="E5386" t="s">
        <v>187</v>
      </c>
      <c r="F5386">
        <v>2005</v>
      </c>
      <c r="G5386">
        <v>16.9236</v>
      </c>
    </row>
    <row r="5387" spans="1:7">
      <c r="A5387" t="s">
        <v>1297</v>
      </c>
      <c r="B5387" t="s">
        <v>1298</v>
      </c>
      <c r="C5387" t="s">
        <v>676</v>
      </c>
      <c r="D5387" t="s">
        <v>1368</v>
      </c>
      <c r="E5387" t="s">
        <v>187</v>
      </c>
      <c r="F5387">
        <v>2010</v>
      </c>
      <c r="G5387">
        <v>15.731999999999999</v>
      </c>
    </row>
    <row r="5388" spans="1:7">
      <c r="A5388" t="s">
        <v>1297</v>
      </c>
      <c r="B5388" t="s">
        <v>1298</v>
      </c>
      <c r="C5388" t="s">
        <v>676</v>
      </c>
      <c r="D5388" t="s">
        <v>1368</v>
      </c>
      <c r="E5388" t="s">
        <v>187</v>
      </c>
      <c r="F5388">
        <v>2012</v>
      </c>
      <c r="G5388">
        <v>17.042400000000001</v>
      </c>
    </row>
    <row r="5389" spans="1:7">
      <c r="A5389" t="s">
        <v>1297</v>
      </c>
      <c r="B5389" t="s">
        <v>1298</v>
      </c>
      <c r="C5389" t="s">
        <v>676</v>
      </c>
      <c r="D5389" t="s">
        <v>1368</v>
      </c>
      <c r="E5389" t="s">
        <v>187</v>
      </c>
      <c r="F5389">
        <v>2016</v>
      </c>
      <c r="G5389">
        <v>18.3492</v>
      </c>
    </row>
    <row r="5390" spans="1:7">
      <c r="A5390" t="s">
        <v>1297</v>
      </c>
      <c r="B5390" t="s">
        <v>1298</v>
      </c>
      <c r="C5390" t="s">
        <v>676</v>
      </c>
      <c r="D5390" t="s">
        <v>1368</v>
      </c>
      <c r="E5390" t="s">
        <v>187</v>
      </c>
      <c r="F5390">
        <v>2020</v>
      </c>
      <c r="G5390">
        <v>19.630800000000001</v>
      </c>
    </row>
    <row r="5391" spans="1:7">
      <c r="A5391" t="s">
        <v>1297</v>
      </c>
      <c r="B5391" t="s">
        <v>1298</v>
      </c>
      <c r="C5391" t="s">
        <v>680</v>
      </c>
      <c r="D5391" t="s">
        <v>1368</v>
      </c>
      <c r="E5391" t="s">
        <v>187</v>
      </c>
      <c r="F5391">
        <v>2005</v>
      </c>
      <c r="G5391">
        <v>2.484</v>
      </c>
    </row>
    <row r="5392" spans="1:7">
      <c r="A5392" t="s">
        <v>1297</v>
      </c>
      <c r="B5392" t="s">
        <v>1298</v>
      </c>
      <c r="C5392" t="s">
        <v>680</v>
      </c>
      <c r="D5392" t="s">
        <v>1368</v>
      </c>
      <c r="E5392" t="s">
        <v>187</v>
      </c>
      <c r="F5392">
        <v>2010</v>
      </c>
      <c r="G5392">
        <v>3.3443999999999998</v>
      </c>
    </row>
    <row r="5393" spans="1:7">
      <c r="A5393" t="s">
        <v>1297</v>
      </c>
      <c r="B5393" t="s">
        <v>1298</v>
      </c>
      <c r="C5393" t="s">
        <v>680</v>
      </c>
      <c r="D5393" t="s">
        <v>1368</v>
      </c>
      <c r="E5393" t="s">
        <v>187</v>
      </c>
      <c r="F5393">
        <v>2012</v>
      </c>
      <c r="G5393">
        <v>3.0672000000000001</v>
      </c>
    </row>
    <row r="5394" spans="1:7">
      <c r="A5394" t="s">
        <v>1297</v>
      </c>
      <c r="B5394" t="s">
        <v>1298</v>
      </c>
      <c r="C5394" t="s">
        <v>680</v>
      </c>
      <c r="D5394" t="s">
        <v>1368</v>
      </c>
      <c r="E5394" t="s">
        <v>187</v>
      </c>
      <c r="F5394">
        <v>2016</v>
      </c>
      <c r="G5394">
        <v>3.0186320000000002</v>
      </c>
    </row>
    <row r="5395" spans="1:7">
      <c r="A5395" t="s">
        <v>1297</v>
      </c>
      <c r="B5395" t="s">
        <v>1298</v>
      </c>
      <c r="C5395" t="s">
        <v>680</v>
      </c>
      <c r="D5395" t="s">
        <v>1368</v>
      </c>
      <c r="E5395" t="s">
        <v>187</v>
      </c>
      <c r="F5395">
        <v>2020</v>
      </c>
      <c r="G5395">
        <v>2.9751080000000001</v>
      </c>
    </row>
    <row r="5396" spans="1:7">
      <c r="A5396" t="s">
        <v>1297</v>
      </c>
      <c r="B5396" t="s">
        <v>1298</v>
      </c>
      <c r="C5396" t="s">
        <v>667</v>
      </c>
      <c r="D5396" t="s">
        <v>1368</v>
      </c>
      <c r="E5396" t="s">
        <v>187</v>
      </c>
      <c r="F5396">
        <v>2005</v>
      </c>
      <c r="G5396">
        <v>3.0423100000000001</v>
      </c>
    </row>
    <row r="5397" spans="1:7">
      <c r="A5397" t="s">
        <v>1297</v>
      </c>
      <c r="B5397" t="s">
        <v>1298</v>
      </c>
      <c r="C5397" t="s">
        <v>667</v>
      </c>
      <c r="D5397" t="s">
        <v>1368</v>
      </c>
      <c r="E5397" t="s">
        <v>187</v>
      </c>
      <c r="F5397">
        <v>2010</v>
      </c>
      <c r="G5397">
        <v>2.934558</v>
      </c>
    </row>
    <row r="5398" spans="1:7">
      <c r="A5398" t="s">
        <v>1297</v>
      </c>
      <c r="B5398" t="s">
        <v>1298</v>
      </c>
      <c r="C5398" t="s">
        <v>667</v>
      </c>
      <c r="D5398" t="s">
        <v>1368</v>
      </c>
      <c r="E5398" t="s">
        <v>187</v>
      </c>
      <c r="F5398">
        <v>2012</v>
      </c>
      <c r="G5398">
        <v>3.2993749999999999</v>
      </c>
    </row>
    <row r="5399" spans="1:7">
      <c r="A5399" t="s">
        <v>1297</v>
      </c>
      <c r="B5399" t="s">
        <v>1298</v>
      </c>
      <c r="C5399" t="s">
        <v>656</v>
      </c>
      <c r="D5399" t="s">
        <v>1368</v>
      </c>
      <c r="E5399" t="s">
        <v>187</v>
      </c>
      <c r="F5399">
        <v>2005</v>
      </c>
      <c r="G5399">
        <v>508.68</v>
      </c>
    </row>
    <row r="5400" spans="1:7">
      <c r="A5400" t="s">
        <v>1297</v>
      </c>
      <c r="B5400" t="s">
        <v>1298</v>
      </c>
      <c r="C5400" t="s">
        <v>656</v>
      </c>
      <c r="D5400" t="s">
        <v>1368</v>
      </c>
      <c r="E5400" t="s">
        <v>187</v>
      </c>
      <c r="F5400">
        <v>2010</v>
      </c>
      <c r="G5400">
        <v>510.12</v>
      </c>
    </row>
    <row r="5401" spans="1:7">
      <c r="A5401" t="s">
        <v>1297</v>
      </c>
      <c r="B5401" t="s">
        <v>1298</v>
      </c>
      <c r="C5401" t="s">
        <v>656</v>
      </c>
      <c r="D5401" t="s">
        <v>1368</v>
      </c>
      <c r="E5401" t="s">
        <v>187</v>
      </c>
      <c r="F5401">
        <v>2012</v>
      </c>
      <c r="G5401">
        <v>493.2</v>
      </c>
    </row>
    <row r="5402" spans="1:7">
      <c r="A5402" t="s">
        <v>1297</v>
      </c>
      <c r="B5402" t="s">
        <v>1298</v>
      </c>
      <c r="C5402" t="s">
        <v>656</v>
      </c>
      <c r="D5402" t="s">
        <v>1368</v>
      </c>
      <c r="E5402" t="s">
        <v>187</v>
      </c>
      <c r="F5402">
        <v>2016</v>
      </c>
      <c r="G5402">
        <v>461.52</v>
      </c>
    </row>
    <row r="5403" spans="1:7">
      <c r="A5403" t="s">
        <v>1297</v>
      </c>
      <c r="B5403" t="s">
        <v>1298</v>
      </c>
      <c r="C5403" t="s">
        <v>656</v>
      </c>
      <c r="D5403" t="s">
        <v>1368</v>
      </c>
      <c r="E5403" t="s">
        <v>187</v>
      </c>
      <c r="F5403">
        <v>2020</v>
      </c>
      <c r="G5403">
        <v>455.54039999999998</v>
      </c>
    </row>
    <row r="5404" spans="1:7">
      <c r="A5404" t="s">
        <v>1297</v>
      </c>
      <c r="B5404" t="s">
        <v>1298</v>
      </c>
      <c r="C5404" t="s">
        <v>655</v>
      </c>
      <c r="D5404" t="s">
        <v>1368</v>
      </c>
      <c r="E5404" t="s">
        <v>187</v>
      </c>
      <c r="F5404">
        <v>2005</v>
      </c>
      <c r="G5404">
        <v>52.988399999999999</v>
      </c>
    </row>
    <row r="5405" spans="1:7">
      <c r="A5405" t="s">
        <v>1297</v>
      </c>
      <c r="B5405" t="s">
        <v>1298</v>
      </c>
      <c r="C5405" t="s">
        <v>655</v>
      </c>
      <c r="D5405" t="s">
        <v>1368</v>
      </c>
      <c r="E5405" t="s">
        <v>187</v>
      </c>
      <c r="F5405">
        <v>2010</v>
      </c>
      <c r="G5405">
        <v>54.1008</v>
      </c>
    </row>
    <row r="5406" spans="1:7">
      <c r="A5406" t="s">
        <v>1297</v>
      </c>
      <c r="B5406" t="s">
        <v>1298</v>
      </c>
      <c r="C5406" t="s">
        <v>655</v>
      </c>
      <c r="D5406" t="s">
        <v>1368</v>
      </c>
      <c r="E5406" t="s">
        <v>187</v>
      </c>
      <c r="F5406">
        <v>2012</v>
      </c>
      <c r="G5406">
        <v>52.491599999999998</v>
      </c>
    </row>
    <row r="5407" spans="1:7">
      <c r="A5407" t="s">
        <v>1297</v>
      </c>
      <c r="B5407" t="s">
        <v>1298</v>
      </c>
      <c r="C5407" t="s">
        <v>655</v>
      </c>
      <c r="D5407" t="s">
        <v>1368</v>
      </c>
      <c r="E5407" t="s">
        <v>187</v>
      </c>
      <c r="F5407">
        <v>2016</v>
      </c>
      <c r="G5407">
        <v>53.765999999999998</v>
      </c>
    </row>
    <row r="5408" spans="1:7">
      <c r="A5408" t="s">
        <v>1297</v>
      </c>
      <c r="B5408" t="s">
        <v>1298</v>
      </c>
      <c r="C5408" t="s">
        <v>655</v>
      </c>
      <c r="D5408" t="s">
        <v>1368</v>
      </c>
      <c r="E5408" t="s">
        <v>187</v>
      </c>
      <c r="F5408">
        <v>2020</v>
      </c>
      <c r="G5408">
        <v>54.924602</v>
      </c>
    </row>
    <row r="5409" spans="1:7">
      <c r="A5409" t="s">
        <v>1297</v>
      </c>
      <c r="B5409" t="s">
        <v>1298</v>
      </c>
      <c r="C5409" t="s">
        <v>669</v>
      </c>
      <c r="D5409" t="s">
        <v>1368</v>
      </c>
      <c r="E5409" t="s">
        <v>187</v>
      </c>
      <c r="F5409">
        <v>2005</v>
      </c>
      <c r="G5409">
        <v>2.2427999999999999</v>
      </c>
    </row>
    <row r="5410" spans="1:7">
      <c r="A5410" t="s">
        <v>1297</v>
      </c>
      <c r="B5410" t="s">
        <v>1298</v>
      </c>
      <c r="C5410" t="s">
        <v>669</v>
      </c>
      <c r="D5410" t="s">
        <v>1368</v>
      </c>
      <c r="E5410" t="s">
        <v>187</v>
      </c>
      <c r="F5410">
        <v>2010</v>
      </c>
      <c r="G5410">
        <v>2.1204000000000001</v>
      </c>
    </row>
    <row r="5411" spans="1:7">
      <c r="A5411" t="s">
        <v>1297</v>
      </c>
      <c r="B5411" t="s">
        <v>1298</v>
      </c>
      <c r="C5411" t="s">
        <v>667</v>
      </c>
      <c r="D5411" t="s">
        <v>1368</v>
      </c>
      <c r="E5411" t="s">
        <v>187</v>
      </c>
      <c r="F5411">
        <v>2016</v>
      </c>
      <c r="G5411">
        <v>3.5153639999999999</v>
      </c>
    </row>
    <row r="5412" spans="1:7">
      <c r="A5412" t="s">
        <v>1297</v>
      </c>
      <c r="B5412" t="s">
        <v>1298</v>
      </c>
      <c r="C5412" t="s">
        <v>667</v>
      </c>
      <c r="D5412" t="s">
        <v>1368</v>
      </c>
      <c r="E5412" t="s">
        <v>187</v>
      </c>
      <c r="F5412">
        <v>2020</v>
      </c>
      <c r="G5412">
        <v>3.293752</v>
      </c>
    </row>
    <row r="5413" spans="1:7">
      <c r="A5413" t="s">
        <v>1297</v>
      </c>
      <c r="B5413" t="s">
        <v>1298</v>
      </c>
      <c r="C5413" t="s">
        <v>663</v>
      </c>
      <c r="D5413" t="s">
        <v>1368</v>
      </c>
      <c r="E5413" t="s">
        <v>187</v>
      </c>
      <c r="F5413">
        <v>2016</v>
      </c>
      <c r="G5413">
        <v>39.434399999999997</v>
      </c>
    </row>
    <row r="5414" spans="1:7">
      <c r="A5414" t="s">
        <v>1297</v>
      </c>
      <c r="B5414" t="s">
        <v>1298</v>
      </c>
      <c r="C5414" t="s">
        <v>663</v>
      </c>
      <c r="D5414" t="s">
        <v>1368</v>
      </c>
      <c r="E5414" t="s">
        <v>187</v>
      </c>
      <c r="F5414">
        <v>2020</v>
      </c>
      <c r="G5414">
        <v>41.824800000000003</v>
      </c>
    </row>
    <row r="5415" spans="1:7">
      <c r="A5415" t="s">
        <v>1297</v>
      </c>
      <c r="B5415" t="s">
        <v>1298</v>
      </c>
      <c r="C5415" t="s">
        <v>661</v>
      </c>
      <c r="D5415" t="s">
        <v>1368</v>
      </c>
      <c r="E5415" t="s">
        <v>187</v>
      </c>
      <c r="F5415">
        <v>2005</v>
      </c>
      <c r="G5415">
        <v>498.53879999999998</v>
      </c>
    </row>
    <row r="5416" spans="1:7">
      <c r="A5416" t="s">
        <v>1297</v>
      </c>
      <c r="B5416" t="s">
        <v>1298</v>
      </c>
      <c r="C5416" t="s">
        <v>661</v>
      </c>
      <c r="D5416" t="s">
        <v>1368</v>
      </c>
      <c r="E5416" t="s">
        <v>187</v>
      </c>
      <c r="F5416">
        <v>2010</v>
      </c>
      <c r="G5416">
        <v>581.47199999999998</v>
      </c>
    </row>
    <row r="5417" spans="1:7">
      <c r="A5417" t="s">
        <v>1297</v>
      </c>
      <c r="B5417" t="s">
        <v>1298</v>
      </c>
      <c r="C5417" t="s">
        <v>661</v>
      </c>
      <c r="D5417" t="s">
        <v>1368</v>
      </c>
      <c r="E5417" t="s">
        <v>187</v>
      </c>
      <c r="F5417">
        <v>2012</v>
      </c>
      <c r="G5417">
        <v>576.317452</v>
      </c>
    </row>
    <row r="5418" spans="1:7">
      <c r="A5418" t="s">
        <v>1297</v>
      </c>
      <c r="B5418" t="s">
        <v>1298</v>
      </c>
      <c r="C5418" t="s">
        <v>661</v>
      </c>
      <c r="D5418" t="s">
        <v>1368</v>
      </c>
      <c r="E5418" t="s">
        <v>187</v>
      </c>
      <c r="F5418">
        <v>2016</v>
      </c>
      <c r="G5418">
        <v>587.17476699999997</v>
      </c>
    </row>
    <row r="5419" spans="1:7">
      <c r="A5419" t="s">
        <v>1297</v>
      </c>
      <c r="B5419" t="s">
        <v>1298</v>
      </c>
      <c r="C5419" t="s">
        <v>661</v>
      </c>
      <c r="D5419" t="s">
        <v>1368</v>
      </c>
      <c r="E5419" t="s">
        <v>187</v>
      </c>
      <c r="F5419">
        <v>2020</v>
      </c>
      <c r="G5419">
        <v>574.935563</v>
      </c>
    </row>
    <row r="5420" spans="1:7">
      <c r="A5420" t="s">
        <v>1297</v>
      </c>
      <c r="B5420" t="s">
        <v>1298</v>
      </c>
      <c r="C5420" t="s">
        <v>663</v>
      </c>
      <c r="D5420" t="s">
        <v>1368</v>
      </c>
      <c r="E5420" t="s">
        <v>187</v>
      </c>
      <c r="F5420">
        <v>2005</v>
      </c>
      <c r="G5420">
        <v>40.014000000000003</v>
      </c>
    </row>
    <row r="5421" spans="1:7">
      <c r="A5421" t="s">
        <v>1297</v>
      </c>
      <c r="B5421" t="s">
        <v>1298</v>
      </c>
      <c r="C5421" t="s">
        <v>663</v>
      </c>
      <c r="D5421" t="s">
        <v>1368</v>
      </c>
      <c r="E5421" t="s">
        <v>187</v>
      </c>
      <c r="F5421">
        <v>2010</v>
      </c>
      <c r="G5421">
        <v>40.327199999999998</v>
      </c>
    </row>
    <row r="5422" spans="1:7">
      <c r="A5422" t="s">
        <v>1297</v>
      </c>
      <c r="B5422" t="s">
        <v>1298</v>
      </c>
      <c r="C5422" t="s">
        <v>663</v>
      </c>
      <c r="D5422" t="s">
        <v>1368</v>
      </c>
      <c r="E5422" t="s">
        <v>187</v>
      </c>
      <c r="F5422">
        <v>2012</v>
      </c>
      <c r="G5422">
        <v>38.231999999999999</v>
      </c>
    </row>
    <row r="5423" spans="1:7">
      <c r="A5423" t="s">
        <v>1297</v>
      </c>
      <c r="B5423" t="s">
        <v>1298</v>
      </c>
      <c r="C5423" t="s">
        <v>677</v>
      </c>
      <c r="D5423" t="s">
        <v>1368</v>
      </c>
      <c r="E5423" t="s">
        <v>187</v>
      </c>
      <c r="F5423">
        <v>2005</v>
      </c>
      <c r="G5423">
        <v>452.55959999999999</v>
      </c>
    </row>
    <row r="5424" spans="1:7">
      <c r="A5424" t="s">
        <v>1297</v>
      </c>
      <c r="B5424" t="s">
        <v>1298</v>
      </c>
      <c r="C5424" t="s">
        <v>677</v>
      </c>
      <c r="D5424" t="s">
        <v>1368</v>
      </c>
      <c r="E5424" t="s">
        <v>187</v>
      </c>
      <c r="F5424">
        <v>2010</v>
      </c>
      <c r="G5424">
        <v>427.79520000000002</v>
      </c>
    </row>
    <row r="5425" spans="1:7">
      <c r="A5425" t="s">
        <v>1297</v>
      </c>
      <c r="B5425" t="s">
        <v>1298</v>
      </c>
      <c r="C5425" t="s">
        <v>677</v>
      </c>
      <c r="D5425" t="s">
        <v>1368</v>
      </c>
      <c r="E5425" t="s">
        <v>187</v>
      </c>
      <c r="F5425">
        <v>2012</v>
      </c>
      <c r="G5425">
        <v>412.78680000000003</v>
      </c>
    </row>
    <row r="5426" spans="1:7">
      <c r="A5426" t="s">
        <v>1297</v>
      </c>
      <c r="B5426" t="s">
        <v>1298</v>
      </c>
      <c r="C5426" t="s">
        <v>677</v>
      </c>
      <c r="D5426" t="s">
        <v>1368</v>
      </c>
      <c r="E5426" t="s">
        <v>187</v>
      </c>
      <c r="F5426">
        <v>2016</v>
      </c>
      <c r="G5426">
        <v>388.89015499999999</v>
      </c>
    </row>
    <row r="5427" spans="1:7">
      <c r="A5427" t="s">
        <v>1297</v>
      </c>
      <c r="B5427" t="s">
        <v>1298</v>
      </c>
      <c r="C5427" t="s">
        <v>677</v>
      </c>
      <c r="D5427" t="s">
        <v>1368</v>
      </c>
      <c r="E5427" t="s">
        <v>187</v>
      </c>
      <c r="F5427">
        <v>2020</v>
      </c>
      <c r="G5427">
        <v>373.76951400000002</v>
      </c>
    </row>
    <row r="5428" spans="1:7">
      <c r="A5428" t="s">
        <v>1297</v>
      </c>
      <c r="B5428" t="s">
        <v>1298</v>
      </c>
      <c r="C5428" t="s">
        <v>653</v>
      </c>
      <c r="D5428" t="s">
        <v>1368</v>
      </c>
      <c r="E5428" t="s">
        <v>187</v>
      </c>
      <c r="F5428">
        <v>2005</v>
      </c>
      <c r="G5428">
        <v>32.565600000000003</v>
      </c>
    </row>
    <row r="5429" spans="1:7">
      <c r="A5429" t="s">
        <v>1297</v>
      </c>
      <c r="B5429" t="s">
        <v>1298</v>
      </c>
      <c r="C5429" t="s">
        <v>653</v>
      </c>
      <c r="D5429" t="s">
        <v>1368</v>
      </c>
      <c r="E5429" t="s">
        <v>187</v>
      </c>
      <c r="F5429">
        <v>2010</v>
      </c>
      <c r="G5429">
        <v>38.0124</v>
      </c>
    </row>
    <row r="5430" spans="1:7">
      <c r="A5430" t="s">
        <v>1297</v>
      </c>
      <c r="B5430" t="s">
        <v>1298</v>
      </c>
      <c r="C5430" t="s">
        <v>653</v>
      </c>
      <c r="D5430" t="s">
        <v>1368</v>
      </c>
      <c r="E5430" t="s">
        <v>187</v>
      </c>
      <c r="F5430">
        <v>2012</v>
      </c>
      <c r="G5430">
        <v>39.016800000000003</v>
      </c>
    </row>
    <row r="5431" spans="1:7">
      <c r="A5431" t="s">
        <v>1297</v>
      </c>
      <c r="B5431" t="s">
        <v>1298</v>
      </c>
      <c r="C5431" t="s">
        <v>653</v>
      </c>
      <c r="D5431" t="s">
        <v>1368</v>
      </c>
      <c r="E5431" t="s">
        <v>187</v>
      </c>
      <c r="F5431">
        <v>2016</v>
      </c>
      <c r="G5431">
        <v>38.638800000000003</v>
      </c>
    </row>
    <row r="5432" spans="1:7">
      <c r="A5432" t="s">
        <v>1297</v>
      </c>
      <c r="B5432" t="s">
        <v>1298</v>
      </c>
      <c r="C5432" t="s">
        <v>653</v>
      </c>
      <c r="D5432" t="s">
        <v>1368</v>
      </c>
      <c r="E5432" t="s">
        <v>187</v>
      </c>
      <c r="F5432">
        <v>2020</v>
      </c>
      <c r="G5432">
        <v>39.038010999999997</v>
      </c>
    </row>
    <row r="5433" spans="1:7">
      <c r="A5433" t="s">
        <v>1297</v>
      </c>
      <c r="B5433" t="s">
        <v>1298</v>
      </c>
      <c r="C5433" t="s">
        <v>666</v>
      </c>
      <c r="D5433" t="s">
        <v>1368</v>
      </c>
      <c r="E5433" t="s">
        <v>187</v>
      </c>
      <c r="F5433">
        <v>2005</v>
      </c>
      <c r="G5433">
        <v>7.7831999999999999</v>
      </c>
    </row>
    <row r="5434" spans="1:7">
      <c r="A5434" t="s">
        <v>1297</v>
      </c>
      <c r="B5434" t="s">
        <v>1298</v>
      </c>
      <c r="C5434" t="s">
        <v>666</v>
      </c>
      <c r="D5434" t="s">
        <v>1368</v>
      </c>
      <c r="E5434" t="s">
        <v>187</v>
      </c>
      <c r="F5434">
        <v>2010</v>
      </c>
      <c r="G5434">
        <v>9.3239999999999998</v>
      </c>
    </row>
    <row r="5435" spans="1:7">
      <c r="A5435" t="s">
        <v>1297</v>
      </c>
      <c r="B5435" t="s">
        <v>1298</v>
      </c>
      <c r="C5435" t="s">
        <v>666</v>
      </c>
      <c r="D5435" t="s">
        <v>1368</v>
      </c>
      <c r="E5435" t="s">
        <v>187</v>
      </c>
      <c r="F5435">
        <v>2012</v>
      </c>
      <c r="G5435">
        <v>9.5112000000000005</v>
      </c>
    </row>
    <row r="5436" spans="1:7">
      <c r="A5436" t="s">
        <v>1297</v>
      </c>
      <c r="B5436" t="s">
        <v>1298</v>
      </c>
      <c r="C5436" t="s">
        <v>666</v>
      </c>
      <c r="D5436" t="s">
        <v>1368</v>
      </c>
      <c r="E5436" t="s">
        <v>187</v>
      </c>
      <c r="F5436">
        <v>2016</v>
      </c>
      <c r="G5436">
        <v>9.99</v>
      </c>
    </row>
    <row r="5437" spans="1:7">
      <c r="A5437" t="s">
        <v>1297</v>
      </c>
      <c r="B5437" t="s">
        <v>1298</v>
      </c>
      <c r="C5437" t="s">
        <v>666</v>
      </c>
      <c r="D5437" t="s">
        <v>1368</v>
      </c>
      <c r="E5437" t="s">
        <v>187</v>
      </c>
      <c r="F5437">
        <v>2020</v>
      </c>
      <c r="G5437">
        <v>10.485720000000001</v>
      </c>
    </row>
    <row r="5438" spans="1:7">
      <c r="A5438" t="s">
        <v>1297</v>
      </c>
      <c r="B5438" t="s">
        <v>1298</v>
      </c>
      <c r="C5438" t="s">
        <v>679</v>
      </c>
      <c r="D5438" t="s">
        <v>1368</v>
      </c>
      <c r="E5438" t="s">
        <v>187</v>
      </c>
      <c r="F5438">
        <v>2005</v>
      </c>
      <c r="G5438">
        <v>122.4216</v>
      </c>
    </row>
    <row r="5439" spans="1:7">
      <c r="A5439" t="s">
        <v>1297</v>
      </c>
      <c r="B5439" t="s">
        <v>1298</v>
      </c>
      <c r="C5439" t="s">
        <v>679</v>
      </c>
      <c r="D5439" t="s">
        <v>1368</v>
      </c>
      <c r="E5439" t="s">
        <v>187</v>
      </c>
      <c r="F5439">
        <v>2010</v>
      </c>
      <c r="G5439">
        <v>143.0352</v>
      </c>
    </row>
    <row r="5440" spans="1:7">
      <c r="A5440" t="s">
        <v>1297</v>
      </c>
      <c r="B5440" t="s">
        <v>1298</v>
      </c>
      <c r="C5440" t="s">
        <v>679</v>
      </c>
      <c r="D5440" t="s">
        <v>1368</v>
      </c>
      <c r="E5440" t="s">
        <v>187</v>
      </c>
      <c r="F5440">
        <v>2012</v>
      </c>
      <c r="G5440">
        <v>137.69999999999999</v>
      </c>
    </row>
    <row r="5441" spans="1:7">
      <c r="A5441" t="s">
        <v>1297</v>
      </c>
      <c r="B5441" t="s">
        <v>1298</v>
      </c>
      <c r="C5441" t="s">
        <v>679</v>
      </c>
      <c r="D5441" t="s">
        <v>1368</v>
      </c>
      <c r="E5441" t="s">
        <v>187</v>
      </c>
      <c r="F5441">
        <v>2016</v>
      </c>
      <c r="G5441">
        <v>139.6908</v>
      </c>
    </row>
    <row r="5442" spans="1:7">
      <c r="A5442" t="s">
        <v>1297</v>
      </c>
      <c r="B5442" t="s">
        <v>1298</v>
      </c>
      <c r="C5442" t="s">
        <v>679</v>
      </c>
      <c r="D5442" t="s">
        <v>1368</v>
      </c>
      <c r="E5442" t="s">
        <v>187</v>
      </c>
      <c r="F5442">
        <v>2020</v>
      </c>
      <c r="G5442">
        <v>144.4248</v>
      </c>
    </row>
    <row r="5443" spans="1:7">
      <c r="A5443" t="s">
        <v>1297</v>
      </c>
      <c r="B5443" t="s">
        <v>1298</v>
      </c>
      <c r="C5443" t="s">
        <v>654</v>
      </c>
      <c r="D5443" t="s">
        <v>1368</v>
      </c>
      <c r="E5443" t="s">
        <v>187</v>
      </c>
      <c r="F5443">
        <v>2005</v>
      </c>
      <c r="G5443">
        <v>5.1588000000000003</v>
      </c>
    </row>
    <row r="5444" spans="1:7">
      <c r="A5444" t="s">
        <v>1297</v>
      </c>
      <c r="B5444" t="s">
        <v>1298</v>
      </c>
      <c r="C5444" t="s">
        <v>654</v>
      </c>
      <c r="D5444" t="s">
        <v>1368</v>
      </c>
      <c r="E5444" t="s">
        <v>187</v>
      </c>
      <c r="F5444">
        <v>2010</v>
      </c>
      <c r="G5444">
        <v>6.2568000000000001</v>
      </c>
    </row>
    <row r="5445" spans="1:7">
      <c r="A5445" t="s">
        <v>1297</v>
      </c>
      <c r="B5445" t="s">
        <v>1298</v>
      </c>
      <c r="C5445" t="s">
        <v>654</v>
      </c>
      <c r="D5445" t="s">
        <v>1368</v>
      </c>
      <c r="E5445" t="s">
        <v>187</v>
      </c>
      <c r="F5445">
        <v>2012</v>
      </c>
      <c r="G5445">
        <v>6.0228000000000002</v>
      </c>
    </row>
    <row r="5446" spans="1:7">
      <c r="A5446" t="s">
        <v>1297</v>
      </c>
      <c r="B5446" t="s">
        <v>1298</v>
      </c>
      <c r="C5446" t="s">
        <v>654</v>
      </c>
      <c r="D5446" t="s">
        <v>1368</v>
      </c>
      <c r="E5446" t="s">
        <v>187</v>
      </c>
      <c r="F5446">
        <v>2016</v>
      </c>
      <c r="G5446">
        <v>5.7060000000000004</v>
      </c>
    </row>
    <row r="5447" spans="1:7">
      <c r="A5447" t="s">
        <v>1297</v>
      </c>
      <c r="B5447" t="s">
        <v>1298</v>
      </c>
      <c r="C5447" t="s">
        <v>654</v>
      </c>
      <c r="D5447" t="s">
        <v>1368</v>
      </c>
      <c r="E5447" t="s">
        <v>187</v>
      </c>
      <c r="F5447">
        <v>2020</v>
      </c>
      <c r="G5447">
        <v>6.3780910000000004</v>
      </c>
    </row>
    <row r="5448" spans="1:7">
      <c r="A5448" t="s">
        <v>1297</v>
      </c>
      <c r="B5448" t="s">
        <v>1298</v>
      </c>
      <c r="C5448" t="s">
        <v>657</v>
      </c>
      <c r="D5448" t="s">
        <v>1368</v>
      </c>
      <c r="E5448" t="s">
        <v>187</v>
      </c>
      <c r="F5448">
        <v>2005</v>
      </c>
      <c r="G5448">
        <v>37.616399999999999</v>
      </c>
    </row>
    <row r="5449" spans="1:7">
      <c r="A5449" t="s">
        <v>1297</v>
      </c>
      <c r="B5449" t="s">
        <v>1298</v>
      </c>
      <c r="C5449" t="s">
        <v>657</v>
      </c>
      <c r="D5449" t="s">
        <v>1368</v>
      </c>
      <c r="E5449" t="s">
        <v>187</v>
      </c>
      <c r="F5449">
        <v>2010</v>
      </c>
      <c r="G5449">
        <v>37.400399999999998</v>
      </c>
    </row>
    <row r="5450" spans="1:7">
      <c r="A5450" t="s">
        <v>1297</v>
      </c>
      <c r="B5450" t="s">
        <v>1298</v>
      </c>
      <c r="C5450" t="s">
        <v>657</v>
      </c>
      <c r="D5450" t="s">
        <v>1368</v>
      </c>
      <c r="E5450" t="s">
        <v>187</v>
      </c>
      <c r="F5450">
        <v>2012</v>
      </c>
      <c r="G5450">
        <v>35.9604</v>
      </c>
    </row>
    <row r="5451" spans="1:7">
      <c r="A5451" t="s">
        <v>1297</v>
      </c>
      <c r="B5451" t="s">
        <v>1298</v>
      </c>
      <c r="C5451" t="s">
        <v>657</v>
      </c>
      <c r="D5451" t="s">
        <v>1368</v>
      </c>
      <c r="E5451" t="s">
        <v>187</v>
      </c>
      <c r="F5451">
        <v>2016</v>
      </c>
      <c r="G5451">
        <v>36.973587999999999</v>
      </c>
    </row>
    <row r="5452" spans="1:7">
      <c r="A5452" t="s">
        <v>1297</v>
      </c>
      <c r="B5452" t="s">
        <v>1298</v>
      </c>
      <c r="C5452" t="s">
        <v>657</v>
      </c>
      <c r="D5452" t="s">
        <v>1368</v>
      </c>
      <c r="E5452" t="s">
        <v>187</v>
      </c>
      <c r="F5452">
        <v>2020</v>
      </c>
      <c r="G5452">
        <v>36.857686000000001</v>
      </c>
    </row>
    <row r="5453" spans="1:7">
      <c r="A5453" t="s">
        <v>1297</v>
      </c>
      <c r="B5453" t="s">
        <v>1298</v>
      </c>
      <c r="C5453" t="s">
        <v>685</v>
      </c>
      <c r="D5453" t="s">
        <v>1368</v>
      </c>
      <c r="E5453" t="s">
        <v>187</v>
      </c>
      <c r="F5453">
        <v>2005</v>
      </c>
      <c r="G5453">
        <v>10.7532</v>
      </c>
    </row>
    <row r="5454" spans="1:7">
      <c r="A5454" t="s">
        <v>1297</v>
      </c>
      <c r="B5454" t="s">
        <v>1298</v>
      </c>
      <c r="C5454" t="s">
        <v>685</v>
      </c>
      <c r="D5454" t="s">
        <v>1368</v>
      </c>
      <c r="E5454" t="s">
        <v>187</v>
      </c>
      <c r="F5454">
        <v>2010</v>
      </c>
      <c r="G5454">
        <v>11.6388</v>
      </c>
    </row>
    <row r="5455" spans="1:7">
      <c r="A5455" t="s">
        <v>1297</v>
      </c>
      <c r="B5455" t="s">
        <v>1298</v>
      </c>
      <c r="C5455" t="s">
        <v>685</v>
      </c>
      <c r="D5455" t="s">
        <v>1368</v>
      </c>
      <c r="E5455" t="s">
        <v>187</v>
      </c>
      <c r="F5455">
        <v>2012</v>
      </c>
      <c r="G5455">
        <v>11.7468</v>
      </c>
    </row>
    <row r="5456" spans="1:7">
      <c r="A5456" t="s">
        <v>1297</v>
      </c>
      <c r="B5456" t="s">
        <v>1298</v>
      </c>
      <c r="C5456" t="s">
        <v>685</v>
      </c>
      <c r="D5456" t="s">
        <v>1368</v>
      </c>
      <c r="E5456" t="s">
        <v>187</v>
      </c>
      <c r="F5456">
        <v>2016</v>
      </c>
      <c r="G5456">
        <v>11.006838</v>
      </c>
    </row>
    <row r="5457" spans="1:7">
      <c r="A5457" t="s">
        <v>1297</v>
      </c>
      <c r="B5457" t="s">
        <v>1298</v>
      </c>
      <c r="C5457" t="s">
        <v>685</v>
      </c>
      <c r="D5457" t="s">
        <v>1368</v>
      </c>
      <c r="E5457" t="s">
        <v>187</v>
      </c>
      <c r="F5457">
        <v>2020</v>
      </c>
      <c r="G5457">
        <v>10.942531000000001</v>
      </c>
    </row>
    <row r="5458" spans="1:7">
      <c r="A5458" t="s">
        <v>1297</v>
      </c>
      <c r="B5458" t="s">
        <v>1298</v>
      </c>
      <c r="C5458" t="s">
        <v>668</v>
      </c>
      <c r="D5458" t="s">
        <v>1368</v>
      </c>
      <c r="E5458" t="s">
        <v>187</v>
      </c>
      <c r="F5458">
        <v>2005</v>
      </c>
      <c r="G5458">
        <v>5.6592000000000002</v>
      </c>
    </row>
    <row r="5459" spans="1:7">
      <c r="A5459" t="s">
        <v>1297</v>
      </c>
      <c r="B5459" t="s">
        <v>1298</v>
      </c>
      <c r="C5459" t="s">
        <v>668</v>
      </c>
      <c r="D5459" t="s">
        <v>1368</v>
      </c>
      <c r="E5459" t="s">
        <v>187</v>
      </c>
      <c r="F5459">
        <v>2010</v>
      </c>
      <c r="G5459">
        <v>6.9767999999999999</v>
      </c>
    </row>
    <row r="5460" spans="1:7">
      <c r="A5460" t="s">
        <v>1297</v>
      </c>
      <c r="B5460" t="s">
        <v>1298</v>
      </c>
      <c r="C5460" t="s">
        <v>668</v>
      </c>
      <c r="D5460" t="s">
        <v>1368</v>
      </c>
      <c r="E5460" t="s">
        <v>187</v>
      </c>
      <c r="F5460">
        <v>2012</v>
      </c>
      <c r="G5460">
        <v>6.3936000000000002</v>
      </c>
    </row>
    <row r="5461" spans="1:7">
      <c r="A5461" t="s">
        <v>1297</v>
      </c>
      <c r="B5461" t="s">
        <v>1298</v>
      </c>
      <c r="C5461" t="s">
        <v>668</v>
      </c>
      <c r="D5461" t="s">
        <v>1368</v>
      </c>
      <c r="E5461" t="s">
        <v>187</v>
      </c>
      <c r="F5461">
        <v>2016</v>
      </c>
      <c r="G5461">
        <v>6.4547999999999996</v>
      </c>
    </row>
    <row r="5462" spans="1:7">
      <c r="A5462" t="s">
        <v>1297</v>
      </c>
      <c r="B5462" t="s">
        <v>1298</v>
      </c>
      <c r="C5462" t="s">
        <v>668</v>
      </c>
      <c r="D5462" t="s">
        <v>1368</v>
      </c>
      <c r="E5462" t="s">
        <v>187</v>
      </c>
      <c r="F5462">
        <v>2020</v>
      </c>
      <c r="G5462">
        <v>5.9377750000000002</v>
      </c>
    </row>
    <row r="5463" spans="1:7">
      <c r="A5463" t="s">
        <v>1297</v>
      </c>
      <c r="B5463" t="s">
        <v>1298</v>
      </c>
      <c r="C5463" t="s">
        <v>289</v>
      </c>
      <c r="D5463" t="s">
        <v>1368</v>
      </c>
      <c r="E5463" t="s">
        <v>187</v>
      </c>
      <c r="F5463">
        <v>2005</v>
      </c>
      <c r="G5463">
        <v>22.7988</v>
      </c>
    </row>
    <row r="5464" spans="1:7">
      <c r="A5464" t="s">
        <v>1297</v>
      </c>
      <c r="B5464" t="s">
        <v>1298</v>
      </c>
      <c r="C5464" t="s">
        <v>289</v>
      </c>
      <c r="D5464" t="s">
        <v>1368</v>
      </c>
      <c r="E5464" t="s">
        <v>187</v>
      </c>
      <c r="F5464">
        <v>2010</v>
      </c>
      <c r="G5464">
        <v>23.990400000000001</v>
      </c>
    </row>
    <row r="5465" spans="1:7">
      <c r="A5465" t="s">
        <v>1297</v>
      </c>
      <c r="B5465" t="s">
        <v>1298</v>
      </c>
      <c r="C5465" t="s">
        <v>289</v>
      </c>
      <c r="D5465" t="s">
        <v>1368</v>
      </c>
      <c r="E5465" t="s">
        <v>187</v>
      </c>
      <c r="F5465">
        <v>2012</v>
      </c>
      <c r="G5465">
        <v>23.349599999999999</v>
      </c>
    </row>
    <row r="5466" spans="1:7">
      <c r="A5466" t="s">
        <v>1297</v>
      </c>
      <c r="B5466" t="s">
        <v>1298</v>
      </c>
      <c r="C5466" t="s">
        <v>289</v>
      </c>
      <c r="D5466" t="s">
        <v>1368</v>
      </c>
      <c r="E5466" t="s">
        <v>187</v>
      </c>
      <c r="F5466">
        <v>2016</v>
      </c>
      <c r="G5466">
        <v>22.0608</v>
      </c>
    </row>
    <row r="5467" spans="1:7">
      <c r="A5467" t="s">
        <v>1297</v>
      </c>
      <c r="B5467" t="s">
        <v>1298</v>
      </c>
      <c r="C5467" t="s">
        <v>289</v>
      </c>
      <c r="D5467" t="s">
        <v>1368</v>
      </c>
      <c r="E5467" t="s">
        <v>187</v>
      </c>
      <c r="F5467">
        <v>2020</v>
      </c>
      <c r="G5467">
        <v>22.341239999999999</v>
      </c>
    </row>
    <row r="5468" spans="1:7">
      <c r="A5468" t="s">
        <v>1297</v>
      </c>
      <c r="B5468" t="s">
        <v>1298</v>
      </c>
      <c r="C5468" t="s">
        <v>671</v>
      </c>
      <c r="D5468" t="s">
        <v>1368</v>
      </c>
      <c r="E5468" t="s">
        <v>187</v>
      </c>
      <c r="F5468">
        <v>2005</v>
      </c>
      <c r="G5468">
        <v>90.910799999999995</v>
      </c>
    </row>
    <row r="5469" spans="1:7">
      <c r="A5469" t="s">
        <v>1297</v>
      </c>
      <c r="B5469" t="s">
        <v>1298</v>
      </c>
      <c r="C5469" t="s">
        <v>671</v>
      </c>
      <c r="D5469" t="s">
        <v>1368</v>
      </c>
      <c r="E5469" t="s">
        <v>187</v>
      </c>
      <c r="F5469">
        <v>2010</v>
      </c>
      <c r="G5469">
        <v>103.014</v>
      </c>
    </row>
    <row r="5470" spans="1:7">
      <c r="A5470" t="s">
        <v>1297</v>
      </c>
      <c r="B5470" t="s">
        <v>1298</v>
      </c>
      <c r="C5470" t="s">
        <v>671</v>
      </c>
      <c r="D5470" t="s">
        <v>1368</v>
      </c>
      <c r="E5470" t="s">
        <v>187</v>
      </c>
      <c r="F5470">
        <v>2012</v>
      </c>
      <c r="G5470">
        <v>101.9448</v>
      </c>
    </row>
    <row r="5471" spans="1:7">
      <c r="A5471" t="s">
        <v>1297</v>
      </c>
      <c r="B5471" t="s">
        <v>1298</v>
      </c>
      <c r="C5471" t="s">
        <v>671</v>
      </c>
      <c r="D5471" t="s">
        <v>1368</v>
      </c>
      <c r="E5471" t="s">
        <v>187</v>
      </c>
      <c r="F5471">
        <v>2016</v>
      </c>
      <c r="G5471">
        <v>104.0724</v>
      </c>
    </row>
    <row r="5472" spans="1:7">
      <c r="A5472" t="s">
        <v>1297</v>
      </c>
      <c r="B5472" t="s">
        <v>1298</v>
      </c>
      <c r="C5472" t="s">
        <v>671</v>
      </c>
      <c r="D5472" t="s">
        <v>1368</v>
      </c>
      <c r="E5472" t="s">
        <v>187</v>
      </c>
      <c r="F5472">
        <v>2020</v>
      </c>
      <c r="G5472">
        <v>105.815808</v>
      </c>
    </row>
    <row r="5473" spans="1:7">
      <c r="A5473" t="s">
        <v>1297</v>
      </c>
      <c r="B5473" t="s">
        <v>1298</v>
      </c>
      <c r="C5473" t="s">
        <v>673</v>
      </c>
      <c r="D5473" t="s">
        <v>1368</v>
      </c>
      <c r="E5473" t="s">
        <v>187</v>
      </c>
      <c r="F5473">
        <v>2005</v>
      </c>
      <c r="G5473">
        <v>33.242400000000004</v>
      </c>
    </row>
    <row r="5474" spans="1:7">
      <c r="A5474" t="s">
        <v>1297</v>
      </c>
      <c r="B5474" t="s">
        <v>1298</v>
      </c>
      <c r="C5474" t="s">
        <v>673</v>
      </c>
      <c r="D5474" t="s">
        <v>1368</v>
      </c>
      <c r="E5474" t="s">
        <v>187</v>
      </c>
      <c r="F5474">
        <v>2010</v>
      </c>
      <c r="G5474">
        <v>40.784399999999998</v>
      </c>
    </row>
    <row r="5475" spans="1:7">
      <c r="A5475" t="s">
        <v>1297</v>
      </c>
      <c r="B5475" t="s">
        <v>1298</v>
      </c>
      <c r="C5475" t="s">
        <v>673</v>
      </c>
      <c r="D5475" t="s">
        <v>1368</v>
      </c>
      <c r="E5475" t="s">
        <v>187</v>
      </c>
      <c r="F5475">
        <v>2012</v>
      </c>
      <c r="G5475">
        <v>43.326000000000001</v>
      </c>
    </row>
    <row r="5476" spans="1:7">
      <c r="A5476" t="s">
        <v>1297</v>
      </c>
      <c r="B5476" t="s">
        <v>1298</v>
      </c>
      <c r="C5476" t="s">
        <v>673</v>
      </c>
      <c r="D5476" t="s">
        <v>1368</v>
      </c>
      <c r="E5476" t="s">
        <v>187</v>
      </c>
      <c r="F5476">
        <v>2016</v>
      </c>
      <c r="G5476">
        <v>43.441200000000002</v>
      </c>
    </row>
    <row r="5477" spans="1:7">
      <c r="A5477" t="s">
        <v>1297</v>
      </c>
      <c r="B5477" t="s">
        <v>1298</v>
      </c>
      <c r="C5477" t="s">
        <v>673</v>
      </c>
      <c r="D5477" t="s">
        <v>1368</v>
      </c>
      <c r="E5477" t="s">
        <v>187</v>
      </c>
      <c r="F5477">
        <v>2020</v>
      </c>
      <c r="G5477">
        <v>46.743425999999999</v>
      </c>
    </row>
    <row r="5478" spans="1:7">
      <c r="A5478" t="s">
        <v>1297</v>
      </c>
      <c r="B5478" t="s">
        <v>1298</v>
      </c>
      <c r="C5478" t="s">
        <v>1302</v>
      </c>
      <c r="D5478" t="s">
        <v>1368</v>
      </c>
      <c r="E5478" t="s">
        <v>187</v>
      </c>
      <c r="F5478">
        <v>2005</v>
      </c>
      <c r="G5478">
        <v>8.5104000000000006</v>
      </c>
    </row>
    <row r="5479" spans="1:7">
      <c r="A5479" t="s">
        <v>1297</v>
      </c>
      <c r="B5479" t="s">
        <v>1298</v>
      </c>
      <c r="C5479" t="s">
        <v>1302</v>
      </c>
      <c r="D5479" t="s">
        <v>1368</v>
      </c>
      <c r="E5479" t="s">
        <v>187</v>
      </c>
      <c r="F5479">
        <v>2010</v>
      </c>
      <c r="G5479">
        <v>8.0711999999999993</v>
      </c>
    </row>
    <row r="5480" spans="1:7">
      <c r="A5480" t="s">
        <v>1297</v>
      </c>
      <c r="B5480" t="s">
        <v>1298</v>
      </c>
      <c r="C5480" t="s">
        <v>1302</v>
      </c>
      <c r="D5480" t="s">
        <v>1368</v>
      </c>
      <c r="E5480" t="s">
        <v>187</v>
      </c>
      <c r="F5480">
        <v>2012</v>
      </c>
      <c r="G5480">
        <v>8.7984000000000009</v>
      </c>
    </row>
    <row r="5481" spans="1:7">
      <c r="A5481" t="s">
        <v>1297</v>
      </c>
      <c r="B5481" t="s">
        <v>1298</v>
      </c>
      <c r="C5481" t="s">
        <v>1302</v>
      </c>
      <c r="D5481" t="s">
        <v>1368</v>
      </c>
      <c r="E5481" t="s">
        <v>187</v>
      </c>
      <c r="F5481">
        <v>2016</v>
      </c>
      <c r="G5481">
        <v>7.6139999999999999</v>
      </c>
    </row>
    <row r="5482" spans="1:7">
      <c r="A5482" t="s">
        <v>1297</v>
      </c>
      <c r="B5482" t="s">
        <v>1298</v>
      </c>
      <c r="C5482" t="s">
        <v>1302</v>
      </c>
      <c r="D5482" t="s">
        <v>1368</v>
      </c>
      <c r="E5482" t="s">
        <v>187</v>
      </c>
      <c r="F5482">
        <v>2020</v>
      </c>
      <c r="G5482">
        <v>9.1006669999999996</v>
      </c>
    </row>
    <row r="5483" spans="1:7">
      <c r="A5483" t="s">
        <v>1297</v>
      </c>
      <c r="B5483" t="s">
        <v>1298</v>
      </c>
      <c r="C5483" t="s">
        <v>684</v>
      </c>
      <c r="D5483" t="s">
        <v>1368</v>
      </c>
      <c r="E5483" t="s">
        <v>187</v>
      </c>
      <c r="F5483">
        <v>2016</v>
      </c>
      <c r="G5483">
        <v>4.5035999999999996</v>
      </c>
    </row>
    <row r="5484" spans="1:7">
      <c r="A5484" t="s">
        <v>1297</v>
      </c>
      <c r="B5484" t="s">
        <v>1298</v>
      </c>
      <c r="C5484" t="s">
        <v>684</v>
      </c>
      <c r="D5484" t="s">
        <v>1368</v>
      </c>
      <c r="E5484" t="s">
        <v>187</v>
      </c>
      <c r="F5484">
        <v>2020</v>
      </c>
      <c r="G5484">
        <v>4.6454399999999998</v>
      </c>
    </row>
    <row r="5485" spans="1:7">
      <c r="A5485" t="s">
        <v>1297</v>
      </c>
      <c r="B5485" t="s">
        <v>1298</v>
      </c>
      <c r="C5485" t="s">
        <v>670</v>
      </c>
      <c r="D5485" t="s">
        <v>1368</v>
      </c>
      <c r="E5485" t="s">
        <v>187</v>
      </c>
      <c r="F5485">
        <v>2005</v>
      </c>
      <c r="G5485">
        <v>78.465599999999995</v>
      </c>
    </row>
    <row r="5486" spans="1:7">
      <c r="A5486" t="s">
        <v>1297</v>
      </c>
      <c r="B5486" t="s">
        <v>1298</v>
      </c>
      <c r="C5486" t="s">
        <v>670</v>
      </c>
      <c r="D5486" t="s">
        <v>1368</v>
      </c>
      <c r="E5486" t="s">
        <v>187</v>
      </c>
      <c r="F5486">
        <v>2010</v>
      </c>
      <c r="G5486">
        <v>82.778400000000005</v>
      </c>
    </row>
    <row r="5487" spans="1:7">
      <c r="A5487" t="s">
        <v>1297</v>
      </c>
      <c r="B5487" t="s">
        <v>1298</v>
      </c>
      <c r="C5487" t="s">
        <v>670</v>
      </c>
      <c r="D5487" t="s">
        <v>1368</v>
      </c>
      <c r="E5487" t="s">
        <v>187</v>
      </c>
      <c r="F5487">
        <v>2012</v>
      </c>
      <c r="G5487">
        <v>84.107984000000002</v>
      </c>
    </row>
    <row r="5488" spans="1:7">
      <c r="A5488" t="s">
        <v>1297</v>
      </c>
      <c r="B5488" t="s">
        <v>1298</v>
      </c>
      <c r="C5488" t="s">
        <v>670</v>
      </c>
      <c r="D5488" t="s">
        <v>1368</v>
      </c>
      <c r="E5488" t="s">
        <v>187</v>
      </c>
      <c r="F5488">
        <v>2016</v>
      </c>
      <c r="G5488">
        <v>81.304484000000002</v>
      </c>
    </row>
    <row r="5489" spans="1:7">
      <c r="A5489" t="s">
        <v>1297</v>
      </c>
      <c r="B5489" t="s">
        <v>1298</v>
      </c>
      <c r="C5489" t="s">
        <v>670</v>
      </c>
      <c r="D5489" t="s">
        <v>1368</v>
      </c>
      <c r="E5489" t="s">
        <v>187</v>
      </c>
      <c r="F5489">
        <v>2020</v>
      </c>
      <c r="G5489">
        <v>84.094037999999998</v>
      </c>
    </row>
    <row r="5490" spans="1:7">
      <c r="A5490" t="s">
        <v>1297</v>
      </c>
      <c r="B5490" t="s">
        <v>1298</v>
      </c>
      <c r="C5490" t="s">
        <v>1303</v>
      </c>
      <c r="D5490" t="s">
        <v>1368</v>
      </c>
      <c r="E5490" t="s">
        <v>187</v>
      </c>
      <c r="F5490">
        <v>2016</v>
      </c>
      <c r="G5490">
        <v>8.7227999999999994</v>
      </c>
    </row>
    <row r="5491" spans="1:7">
      <c r="A5491" t="s">
        <v>1297</v>
      </c>
      <c r="B5491" t="s">
        <v>1298</v>
      </c>
      <c r="C5491" t="s">
        <v>1303</v>
      </c>
      <c r="D5491" t="s">
        <v>1368</v>
      </c>
      <c r="E5491" t="s">
        <v>187</v>
      </c>
      <c r="F5491">
        <v>2020</v>
      </c>
      <c r="G5491">
        <v>8.8596000000000004</v>
      </c>
    </row>
    <row r="5492" spans="1:7">
      <c r="A5492" t="s">
        <v>1297</v>
      </c>
      <c r="B5492" t="s">
        <v>1298</v>
      </c>
      <c r="C5492" t="s">
        <v>675</v>
      </c>
      <c r="D5492" t="s">
        <v>1368</v>
      </c>
      <c r="E5492" t="s">
        <v>187</v>
      </c>
      <c r="F5492">
        <v>2005</v>
      </c>
      <c r="G5492">
        <v>10.6236</v>
      </c>
    </row>
    <row r="5493" spans="1:7">
      <c r="A5493" t="s">
        <v>1297</v>
      </c>
      <c r="B5493" t="s">
        <v>1298</v>
      </c>
      <c r="C5493" t="s">
        <v>675</v>
      </c>
      <c r="D5493" t="s">
        <v>1368</v>
      </c>
      <c r="E5493" t="s">
        <v>187</v>
      </c>
      <c r="F5493">
        <v>2010</v>
      </c>
      <c r="G5493">
        <v>11.5884</v>
      </c>
    </row>
    <row r="5494" spans="1:7">
      <c r="A5494" t="s">
        <v>1297</v>
      </c>
      <c r="B5494" t="s">
        <v>1298</v>
      </c>
      <c r="C5494" t="s">
        <v>675</v>
      </c>
      <c r="D5494" t="s">
        <v>1368</v>
      </c>
      <c r="E5494" t="s">
        <v>187</v>
      </c>
      <c r="F5494">
        <v>2012</v>
      </c>
      <c r="G5494">
        <v>11.4444</v>
      </c>
    </row>
    <row r="5495" spans="1:7">
      <c r="A5495" t="s">
        <v>1297</v>
      </c>
      <c r="B5495" t="s">
        <v>1298</v>
      </c>
      <c r="C5495" t="s">
        <v>675</v>
      </c>
      <c r="D5495" t="s">
        <v>1368</v>
      </c>
      <c r="E5495" t="s">
        <v>187</v>
      </c>
      <c r="F5495">
        <v>2016</v>
      </c>
      <c r="G5495">
        <v>11.736000000000001</v>
      </c>
    </row>
    <row r="5496" spans="1:7">
      <c r="A5496" t="s">
        <v>1297</v>
      </c>
      <c r="B5496" t="s">
        <v>1298</v>
      </c>
      <c r="C5496" t="s">
        <v>675</v>
      </c>
      <c r="D5496" t="s">
        <v>1368</v>
      </c>
      <c r="E5496" t="s">
        <v>187</v>
      </c>
      <c r="F5496">
        <v>2020</v>
      </c>
      <c r="G5496">
        <v>12.3079</v>
      </c>
    </row>
    <row r="5497" spans="1:7">
      <c r="A5497" t="s">
        <v>1297</v>
      </c>
      <c r="B5497" t="s">
        <v>1298</v>
      </c>
      <c r="C5497" t="s">
        <v>669</v>
      </c>
      <c r="D5497" t="s">
        <v>1368</v>
      </c>
      <c r="E5497" t="s">
        <v>187</v>
      </c>
      <c r="F5497">
        <v>2012</v>
      </c>
      <c r="G5497">
        <v>2.2103999999999999</v>
      </c>
    </row>
    <row r="5498" spans="1:7">
      <c r="A5498" t="s">
        <v>1297</v>
      </c>
      <c r="B5498" t="s">
        <v>1298</v>
      </c>
      <c r="C5498" t="s">
        <v>669</v>
      </c>
      <c r="D5498" t="s">
        <v>1368</v>
      </c>
      <c r="E5498" t="s">
        <v>187</v>
      </c>
      <c r="F5498">
        <v>2016</v>
      </c>
      <c r="G5498">
        <v>2.3973979999999999</v>
      </c>
    </row>
    <row r="5499" spans="1:7">
      <c r="A5499" t="s">
        <v>1297</v>
      </c>
      <c r="B5499" t="s">
        <v>1298</v>
      </c>
      <c r="C5499" t="s">
        <v>669</v>
      </c>
      <c r="D5499" t="s">
        <v>1368</v>
      </c>
      <c r="E5499" t="s">
        <v>187</v>
      </c>
      <c r="F5499">
        <v>2020</v>
      </c>
      <c r="G5499">
        <v>2.990246</v>
      </c>
    </row>
    <row r="5500" spans="1:7">
      <c r="A5500" t="s">
        <v>1297</v>
      </c>
      <c r="B5500" t="s">
        <v>1298</v>
      </c>
      <c r="C5500" t="s">
        <v>672</v>
      </c>
      <c r="D5500" t="s">
        <v>1368</v>
      </c>
      <c r="E5500" t="s">
        <v>187</v>
      </c>
      <c r="F5500">
        <v>2005</v>
      </c>
      <c r="G5500">
        <v>47.671199999999999</v>
      </c>
    </row>
    <row r="5501" spans="1:7">
      <c r="A5501" t="s">
        <v>1297</v>
      </c>
      <c r="B5501" t="s">
        <v>1298</v>
      </c>
      <c r="C5501" t="s">
        <v>672</v>
      </c>
      <c r="D5501" t="s">
        <v>1368</v>
      </c>
      <c r="E5501" t="s">
        <v>187</v>
      </c>
      <c r="F5501">
        <v>2010</v>
      </c>
      <c r="G5501">
        <v>52.279200000000003</v>
      </c>
    </row>
    <row r="5502" spans="1:7">
      <c r="A5502" t="s">
        <v>1297</v>
      </c>
      <c r="B5502" t="s">
        <v>1298</v>
      </c>
      <c r="C5502" t="s">
        <v>672</v>
      </c>
      <c r="D5502" t="s">
        <v>1368</v>
      </c>
      <c r="E5502" t="s">
        <v>187</v>
      </c>
      <c r="F5502">
        <v>2012</v>
      </c>
      <c r="G5502">
        <v>46.4328</v>
      </c>
    </row>
    <row r="5503" spans="1:7">
      <c r="A5503" t="s">
        <v>1297</v>
      </c>
      <c r="B5503" t="s">
        <v>1298</v>
      </c>
      <c r="C5503" t="s">
        <v>672</v>
      </c>
      <c r="D5503" t="s">
        <v>1368</v>
      </c>
      <c r="E5503" t="s">
        <v>187</v>
      </c>
      <c r="F5503">
        <v>2016</v>
      </c>
      <c r="G5503">
        <v>46.701666000000003</v>
      </c>
    </row>
    <row r="5504" spans="1:7">
      <c r="A5504" t="s">
        <v>1297</v>
      </c>
      <c r="B5504" t="s">
        <v>1298</v>
      </c>
      <c r="C5504" t="s">
        <v>672</v>
      </c>
      <c r="D5504" t="s">
        <v>1368</v>
      </c>
      <c r="E5504" t="s">
        <v>187</v>
      </c>
      <c r="F5504">
        <v>2020</v>
      </c>
      <c r="G5504">
        <v>47.604081999999998</v>
      </c>
    </row>
    <row r="5505" spans="1:7">
      <c r="A5505" t="s">
        <v>1297</v>
      </c>
      <c r="B5505" t="s">
        <v>1298</v>
      </c>
      <c r="C5505" t="s">
        <v>686</v>
      </c>
      <c r="D5505" t="s">
        <v>1368</v>
      </c>
      <c r="E5505" t="s">
        <v>187</v>
      </c>
      <c r="F5505">
        <v>2005</v>
      </c>
      <c r="G5505">
        <v>51.087600000000002</v>
      </c>
    </row>
    <row r="5506" spans="1:7">
      <c r="A5506" t="s">
        <v>1297</v>
      </c>
      <c r="B5506" t="s">
        <v>1298</v>
      </c>
      <c r="C5506" t="s">
        <v>686</v>
      </c>
      <c r="D5506" t="s">
        <v>1368</v>
      </c>
      <c r="E5506" t="s">
        <v>187</v>
      </c>
      <c r="F5506">
        <v>2010</v>
      </c>
      <c r="G5506">
        <v>52.722000000000001</v>
      </c>
    </row>
    <row r="5507" spans="1:7">
      <c r="A5507" t="s">
        <v>1297</v>
      </c>
      <c r="B5507" t="s">
        <v>1298</v>
      </c>
      <c r="C5507" t="s">
        <v>686</v>
      </c>
      <c r="D5507" t="s">
        <v>1368</v>
      </c>
      <c r="E5507" t="s">
        <v>187</v>
      </c>
      <c r="F5507">
        <v>2012</v>
      </c>
      <c r="G5507">
        <v>52.261200000000002</v>
      </c>
    </row>
    <row r="5508" spans="1:7">
      <c r="A5508" t="s">
        <v>1297</v>
      </c>
      <c r="B5508" t="s">
        <v>1298</v>
      </c>
      <c r="C5508" t="s">
        <v>686</v>
      </c>
      <c r="D5508" t="s">
        <v>1368</v>
      </c>
      <c r="E5508" t="s">
        <v>187</v>
      </c>
      <c r="F5508">
        <v>2016</v>
      </c>
      <c r="G5508">
        <v>50.151600000000002</v>
      </c>
    </row>
    <row r="5509" spans="1:7">
      <c r="A5509" t="s">
        <v>1297</v>
      </c>
      <c r="B5509" t="s">
        <v>1298</v>
      </c>
      <c r="C5509" t="s">
        <v>686</v>
      </c>
      <c r="D5509" t="s">
        <v>1368</v>
      </c>
      <c r="E5509" t="s">
        <v>187</v>
      </c>
      <c r="F5509">
        <v>2020</v>
      </c>
      <c r="G5509">
        <v>48.024594</v>
      </c>
    </row>
    <row r="5510" spans="1:7">
      <c r="A5510" t="s">
        <v>1297</v>
      </c>
      <c r="B5510" t="s">
        <v>1298</v>
      </c>
      <c r="C5510" t="s">
        <v>681</v>
      </c>
      <c r="D5510" t="s">
        <v>1368</v>
      </c>
      <c r="E5510" t="s">
        <v>187</v>
      </c>
      <c r="F5510">
        <v>2005</v>
      </c>
      <c r="G5510">
        <v>9.8388000000000009</v>
      </c>
    </row>
    <row r="5511" spans="1:7">
      <c r="A5511" t="s">
        <v>1297</v>
      </c>
      <c r="B5511" t="s">
        <v>1298</v>
      </c>
      <c r="C5511" t="s">
        <v>681</v>
      </c>
      <c r="D5511" t="s">
        <v>1368</v>
      </c>
      <c r="E5511" t="s">
        <v>187</v>
      </c>
      <c r="F5511">
        <v>2010</v>
      </c>
      <c r="G5511">
        <v>9.3168000000000006</v>
      </c>
    </row>
    <row r="5512" spans="1:7">
      <c r="A5512" t="s">
        <v>1297</v>
      </c>
      <c r="B5512" t="s">
        <v>1298</v>
      </c>
      <c r="C5512" t="s">
        <v>681</v>
      </c>
      <c r="D5512" t="s">
        <v>1368</v>
      </c>
      <c r="E5512" t="s">
        <v>187</v>
      </c>
      <c r="F5512">
        <v>2012</v>
      </c>
      <c r="G5512">
        <v>10.98</v>
      </c>
    </row>
    <row r="5513" spans="1:7">
      <c r="A5513" t="s">
        <v>1297</v>
      </c>
      <c r="B5513" t="s">
        <v>1298</v>
      </c>
      <c r="C5513" t="s">
        <v>681</v>
      </c>
      <c r="D5513" t="s">
        <v>1368</v>
      </c>
      <c r="E5513" t="s">
        <v>187</v>
      </c>
      <c r="F5513">
        <v>2016</v>
      </c>
      <c r="G5513">
        <v>10.7676</v>
      </c>
    </row>
    <row r="5514" spans="1:7">
      <c r="A5514" t="s">
        <v>1297</v>
      </c>
      <c r="B5514" t="s">
        <v>1298</v>
      </c>
      <c r="C5514" t="s">
        <v>681</v>
      </c>
      <c r="D5514" t="s">
        <v>1368</v>
      </c>
      <c r="E5514" t="s">
        <v>187</v>
      </c>
      <c r="F5514">
        <v>2020</v>
      </c>
      <c r="G5514">
        <v>11.232870999999999</v>
      </c>
    </row>
    <row r="5515" spans="1:7">
      <c r="A5515" t="s">
        <v>1297</v>
      </c>
      <c r="B5515" t="s">
        <v>1298</v>
      </c>
      <c r="C5515" t="s">
        <v>665</v>
      </c>
      <c r="D5515" t="s">
        <v>1368</v>
      </c>
      <c r="E5515" t="s">
        <v>187</v>
      </c>
      <c r="F5515">
        <v>2005</v>
      </c>
      <c r="G5515">
        <v>241.05600000000001</v>
      </c>
    </row>
    <row r="5516" spans="1:7">
      <c r="A5516" t="s">
        <v>1297</v>
      </c>
      <c r="B5516" t="s">
        <v>1298</v>
      </c>
      <c r="C5516" t="s">
        <v>665</v>
      </c>
      <c r="D5516" t="s">
        <v>1368</v>
      </c>
      <c r="E5516" t="s">
        <v>187</v>
      </c>
      <c r="F5516">
        <v>2010</v>
      </c>
      <c r="G5516">
        <v>250.38</v>
      </c>
    </row>
    <row r="5517" spans="1:7">
      <c r="A5517" t="s">
        <v>1297</v>
      </c>
      <c r="B5517" t="s">
        <v>1298</v>
      </c>
      <c r="C5517" t="s">
        <v>665</v>
      </c>
      <c r="D5517" t="s">
        <v>1368</v>
      </c>
      <c r="E5517" t="s">
        <v>187</v>
      </c>
      <c r="F5517">
        <v>2012</v>
      </c>
      <c r="G5517">
        <v>250.04519999999999</v>
      </c>
    </row>
    <row r="5518" spans="1:7">
      <c r="A5518" t="s">
        <v>1297</v>
      </c>
      <c r="B5518" t="s">
        <v>1298</v>
      </c>
      <c r="C5518" t="s">
        <v>665</v>
      </c>
      <c r="D5518" t="s">
        <v>1368</v>
      </c>
      <c r="E5518" t="s">
        <v>187</v>
      </c>
      <c r="F5518">
        <v>2016</v>
      </c>
      <c r="G5518">
        <v>231.49440000000001</v>
      </c>
    </row>
    <row r="5519" spans="1:7">
      <c r="A5519" t="s">
        <v>1297</v>
      </c>
      <c r="B5519" t="s">
        <v>1298</v>
      </c>
      <c r="C5519" t="s">
        <v>665</v>
      </c>
      <c r="D5519" t="s">
        <v>1368</v>
      </c>
      <c r="E5519" t="s">
        <v>187</v>
      </c>
      <c r="F5519">
        <v>2020</v>
      </c>
      <c r="G5519">
        <v>236.11681100000001</v>
      </c>
    </row>
    <row r="5520" spans="1:7">
      <c r="A5520" t="s">
        <v>1297</v>
      </c>
      <c r="B5520" t="s">
        <v>1298</v>
      </c>
      <c r="C5520" t="s">
        <v>682</v>
      </c>
      <c r="D5520" t="s">
        <v>1368</v>
      </c>
      <c r="E5520" t="s">
        <v>187</v>
      </c>
      <c r="F5520">
        <v>2016</v>
      </c>
      <c r="G5520">
        <v>17.038799999999998</v>
      </c>
    </row>
    <row r="5521" spans="1:7">
      <c r="A5521" t="s">
        <v>1297</v>
      </c>
      <c r="B5521" t="s">
        <v>1298</v>
      </c>
      <c r="C5521" t="s">
        <v>682</v>
      </c>
      <c r="D5521" t="s">
        <v>1368</v>
      </c>
      <c r="E5521" t="s">
        <v>187</v>
      </c>
      <c r="F5521">
        <v>2020</v>
      </c>
      <c r="G5521">
        <v>17.0136</v>
      </c>
    </row>
    <row r="5522" spans="1:7">
      <c r="A5522" t="s">
        <v>1297</v>
      </c>
      <c r="B5522" t="s">
        <v>1298</v>
      </c>
      <c r="C5522" t="s">
        <v>659</v>
      </c>
      <c r="D5522" t="s">
        <v>1368</v>
      </c>
      <c r="E5522" t="s">
        <v>187</v>
      </c>
      <c r="F5522">
        <v>2005</v>
      </c>
      <c r="G5522">
        <v>225.30240000000001</v>
      </c>
    </row>
    <row r="5523" spans="1:7">
      <c r="A5523" t="s">
        <v>1297</v>
      </c>
      <c r="B5523" t="s">
        <v>1298</v>
      </c>
      <c r="C5523" t="s">
        <v>659</v>
      </c>
      <c r="D5523" t="s">
        <v>1368</v>
      </c>
      <c r="E5523" t="s">
        <v>187</v>
      </c>
      <c r="F5523">
        <v>2010</v>
      </c>
      <c r="G5523">
        <v>272.44439999999997</v>
      </c>
    </row>
    <row r="5524" spans="1:7">
      <c r="A5524" t="s">
        <v>1297</v>
      </c>
      <c r="B5524" t="s">
        <v>1298</v>
      </c>
      <c r="C5524" t="s">
        <v>659</v>
      </c>
      <c r="D5524" t="s">
        <v>1368</v>
      </c>
      <c r="E5524" t="s">
        <v>187</v>
      </c>
      <c r="F5524">
        <v>2012</v>
      </c>
      <c r="G5524">
        <v>270.3168</v>
      </c>
    </row>
    <row r="5525" spans="1:7">
      <c r="A5525" t="s">
        <v>1297</v>
      </c>
      <c r="B5525" t="s">
        <v>1298</v>
      </c>
      <c r="C5525" t="s">
        <v>659</v>
      </c>
      <c r="D5525" t="s">
        <v>1368</v>
      </c>
      <c r="E5525" t="s">
        <v>187</v>
      </c>
      <c r="F5525">
        <v>2016</v>
      </c>
      <c r="G5525">
        <v>250.7328</v>
      </c>
    </row>
    <row r="5526" spans="1:7">
      <c r="A5526" t="s">
        <v>1297</v>
      </c>
      <c r="B5526" t="s">
        <v>1298</v>
      </c>
      <c r="C5526" t="s">
        <v>659</v>
      </c>
      <c r="D5526" t="s">
        <v>1368</v>
      </c>
      <c r="E5526" t="s">
        <v>187</v>
      </c>
      <c r="F5526">
        <v>2020</v>
      </c>
      <c r="G5526">
        <v>262.73160000000001</v>
      </c>
    </row>
    <row r="5527" spans="1:7">
      <c r="A5527" t="s">
        <v>1297</v>
      </c>
      <c r="B5527" t="s">
        <v>1298</v>
      </c>
      <c r="C5527" t="s">
        <v>652</v>
      </c>
      <c r="D5527" t="s">
        <v>1368</v>
      </c>
      <c r="E5527" t="s">
        <v>187</v>
      </c>
      <c r="F5527">
        <v>2005</v>
      </c>
      <c r="G5527">
        <v>93.625200000000007</v>
      </c>
    </row>
    <row r="5528" spans="1:7">
      <c r="A5528" t="s">
        <v>1297</v>
      </c>
      <c r="B5528" t="s">
        <v>1298</v>
      </c>
      <c r="C5528" t="s">
        <v>652</v>
      </c>
      <c r="D5528" t="s">
        <v>1368</v>
      </c>
      <c r="E5528" t="s">
        <v>187</v>
      </c>
      <c r="F5528">
        <v>2010</v>
      </c>
      <c r="G5528">
        <v>71.730360000000005</v>
      </c>
    </row>
    <row r="5529" spans="1:7">
      <c r="A5529" t="s">
        <v>1297</v>
      </c>
      <c r="B5529" t="s">
        <v>1298</v>
      </c>
      <c r="C5529" t="s">
        <v>652</v>
      </c>
      <c r="D5529" t="s">
        <v>1368</v>
      </c>
      <c r="E5529" t="s">
        <v>187</v>
      </c>
      <c r="F5529">
        <v>2012</v>
      </c>
      <c r="G5529">
        <v>70.9542</v>
      </c>
    </row>
    <row r="5530" spans="1:7">
      <c r="A5530" t="s">
        <v>1297</v>
      </c>
      <c r="B5530" t="s">
        <v>1298</v>
      </c>
      <c r="C5530" t="s">
        <v>652</v>
      </c>
      <c r="D5530" t="s">
        <v>1368</v>
      </c>
      <c r="E5530" t="s">
        <v>187</v>
      </c>
      <c r="F5530">
        <v>2016</v>
      </c>
      <c r="G5530">
        <v>67.986720000000005</v>
      </c>
    </row>
    <row r="5531" spans="1:7">
      <c r="A5531" t="s">
        <v>1297</v>
      </c>
      <c r="B5531" t="s">
        <v>1298</v>
      </c>
      <c r="C5531" t="s">
        <v>652</v>
      </c>
      <c r="D5531" t="s">
        <v>1368</v>
      </c>
      <c r="E5531" t="s">
        <v>187</v>
      </c>
      <c r="F5531">
        <v>2020</v>
      </c>
      <c r="G5531">
        <v>66.353759999999994</v>
      </c>
    </row>
    <row r="5532" spans="1:7">
      <c r="A5532" t="s">
        <v>1297</v>
      </c>
      <c r="B5532" t="s">
        <v>1298</v>
      </c>
      <c r="C5532" t="s">
        <v>658</v>
      </c>
      <c r="D5532" t="s">
        <v>1368</v>
      </c>
      <c r="E5532" t="s">
        <v>187</v>
      </c>
      <c r="F5532">
        <v>2005</v>
      </c>
      <c r="G5532">
        <v>5.8319999999999999</v>
      </c>
    </row>
    <row r="5533" spans="1:7">
      <c r="A5533" t="s">
        <v>1297</v>
      </c>
      <c r="B5533" t="s">
        <v>1298</v>
      </c>
      <c r="C5533" t="s">
        <v>658</v>
      </c>
      <c r="D5533" t="s">
        <v>1368</v>
      </c>
      <c r="E5533" t="s">
        <v>187</v>
      </c>
      <c r="F5533">
        <v>2010</v>
      </c>
      <c r="G5533">
        <v>7.2827999999999999</v>
      </c>
    </row>
    <row r="5534" spans="1:7">
      <c r="A5534" t="s">
        <v>1297</v>
      </c>
      <c r="B5534" t="s">
        <v>1298</v>
      </c>
      <c r="C5534" t="s">
        <v>658</v>
      </c>
      <c r="D5534" t="s">
        <v>1368</v>
      </c>
      <c r="E5534" t="s">
        <v>187</v>
      </c>
      <c r="F5534">
        <v>2012</v>
      </c>
      <c r="G5534">
        <v>7.0415999999999999</v>
      </c>
    </row>
    <row r="5535" spans="1:7">
      <c r="A5535" t="s">
        <v>1297</v>
      </c>
      <c r="B5535" t="s">
        <v>1298</v>
      </c>
      <c r="C5535" t="s">
        <v>658</v>
      </c>
      <c r="D5535" t="s">
        <v>1368</v>
      </c>
      <c r="E5535" t="s">
        <v>187</v>
      </c>
      <c r="F5535">
        <v>2016</v>
      </c>
      <c r="G5535">
        <v>6.8868</v>
      </c>
    </row>
    <row r="5536" spans="1:7">
      <c r="A5536" t="s">
        <v>1297</v>
      </c>
      <c r="B5536" t="s">
        <v>1298</v>
      </c>
      <c r="C5536" t="s">
        <v>658</v>
      </c>
      <c r="D5536" t="s">
        <v>1368</v>
      </c>
      <c r="E5536" t="s">
        <v>187</v>
      </c>
      <c r="F5536">
        <v>2020</v>
      </c>
      <c r="G5536">
        <v>7.452</v>
      </c>
    </row>
    <row r="5537" spans="1:7">
      <c r="A5537" t="s">
        <v>1297</v>
      </c>
      <c r="B5537" t="s">
        <v>1298</v>
      </c>
      <c r="C5537" t="s">
        <v>1299</v>
      </c>
      <c r="D5537" t="s">
        <v>1368</v>
      </c>
      <c r="E5537" t="s">
        <v>187</v>
      </c>
      <c r="F5537">
        <v>2005</v>
      </c>
      <c r="G5537">
        <v>93.830399999999997</v>
      </c>
    </row>
    <row r="5538" spans="1:7">
      <c r="A5538" t="s">
        <v>1297</v>
      </c>
      <c r="B5538" t="s">
        <v>1298</v>
      </c>
      <c r="C5538" t="s">
        <v>1299</v>
      </c>
      <c r="D5538" t="s">
        <v>1368</v>
      </c>
      <c r="E5538" t="s">
        <v>187</v>
      </c>
      <c r="F5538">
        <v>2010</v>
      </c>
      <c r="G5538">
        <v>132.26400000000001</v>
      </c>
    </row>
    <row r="5539" spans="1:7">
      <c r="A5539" t="s">
        <v>1297</v>
      </c>
      <c r="B5539" t="s">
        <v>1298</v>
      </c>
      <c r="C5539" t="s">
        <v>1299</v>
      </c>
      <c r="D5539" t="s">
        <v>1368</v>
      </c>
      <c r="E5539" t="s">
        <v>187</v>
      </c>
      <c r="F5539">
        <v>2012</v>
      </c>
      <c r="G5539">
        <v>138.25800000000001</v>
      </c>
    </row>
    <row r="5540" spans="1:7">
      <c r="A5540" t="s">
        <v>1297</v>
      </c>
      <c r="B5540" t="s">
        <v>1298</v>
      </c>
      <c r="C5540" t="s">
        <v>1299</v>
      </c>
      <c r="D5540" t="s">
        <v>1368</v>
      </c>
      <c r="E5540" t="s">
        <v>187</v>
      </c>
      <c r="F5540">
        <v>2016</v>
      </c>
      <c r="G5540">
        <v>129.30119999999999</v>
      </c>
    </row>
    <row r="5541" spans="1:7">
      <c r="A5541" t="s">
        <v>1297</v>
      </c>
      <c r="B5541" t="s">
        <v>1298</v>
      </c>
      <c r="C5541" t="s">
        <v>1299</v>
      </c>
      <c r="D5541" t="s">
        <v>1368</v>
      </c>
      <c r="E5541" t="s">
        <v>187</v>
      </c>
      <c r="F5541">
        <v>2020</v>
      </c>
      <c r="G5541">
        <v>126.8496</v>
      </c>
    </row>
    <row r="5542" spans="1:7">
      <c r="A5542" t="s">
        <v>1297</v>
      </c>
      <c r="B5542" t="s">
        <v>1298</v>
      </c>
      <c r="C5542" t="s">
        <v>651</v>
      </c>
      <c r="D5542" t="s">
        <v>1368</v>
      </c>
      <c r="E5542" t="s">
        <v>187</v>
      </c>
      <c r="F5542">
        <v>2005</v>
      </c>
      <c r="G5542">
        <v>59.103651999999997</v>
      </c>
    </row>
    <row r="5543" spans="1:7">
      <c r="A5543" t="s">
        <v>1297</v>
      </c>
      <c r="B5543" t="s">
        <v>1298</v>
      </c>
      <c r="C5543" t="s">
        <v>651</v>
      </c>
      <c r="D5543" t="s">
        <v>1368</v>
      </c>
      <c r="E5543" t="s">
        <v>187</v>
      </c>
      <c r="F5543">
        <v>2010</v>
      </c>
      <c r="G5543">
        <v>63.566974999999999</v>
      </c>
    </row>
    <row r="5544" spans="1:7">
      <c r="A5544" t="s">
        <v>1297</v>
      </c>
      <c r="B5544" t="s">
        <v>1298</v>
      </c>
      <c r="C5544" t="s">
        <v>651</v>
      </c>
      <c r="D5544" t="s">
        <v>1368</v>
      </c>
      <c r="E5544" t="s">
        <v>187</v>
      </c>
      <c r="F5544">
        <v>2012</v>
      </c>
      <c r="G5544">
        <v>63.148733999999997</v>
      </c>
    </row>
    <row r="5545" spans="1:7">
      <c r="A5545" t="s">
        <v>1297</v>
      </c>
      <c r="B5545" t="s">
        <v>1298</v>
      </c>
      <c r="C5545" t="s">
        <v>651</v>
      </c>
      <c r="D5545" t="s">
        <v>1368</v>
      </c>
      <c r="E5545" t="s">
        <v>187</v>
      </c>
      <c r="F5545">
        <v>2016</v>
      </c>
      <c r="G5545">
        <v>64.219813000000002</v>
      </c>
    </row>
    <row r="5546" spans="1:7">
      <c r="A5546" t="s">
        <v>1297</v>
      </c>
      <c r="B5546" t="s">
        <v>1298</v>
      </c>
      <c r="C5546" t="s">
        <v>651</v>
      </c>
      <c r="D5546" t="s">
        <v>1368</v>
      </c>
      <c r="E5546" t="s">
        <v>187</v>
      </c>
      <c r="F5546">
        <v>2020</v>
      </c>
      <c r="G5546">
        <v>66.174706999999998</v>
      </c>
    </row>
    <row r="5547" spans="1:7">
      <c r="A5547" t="s">
        <v>1297</v>
      </c>
      <c r="B5547" t="s">
        <v>1298</v>
      </c>
      <c r="C5547" t="s">
        <v>1301</v>
      </c>
      <c r="D5547" t="s">
        <v>1368</v>
      </c>
      <c r="E5547" t="s">
        <v>187</v>
      </c>
      <c r="F5547">
        <v>2005</v>
      </c>
      <c r="G5547">
        <v>111.366</v>
      </c>
    </row>
    <row r="5548" spans="1:7">
      <c r="A5548" t="s">
        <v>1297</v>
      </c>
      <c r="B5548" t="s">
        <v>1298</v>
      </c>
      <c r="C5548" t="s">
        <v>1301</v>
      </c>
      <c r="D5548" t="s">
        <v>1368</v>
      </c>
      <c r="E5548" t="s">
        <v>187</v>
      </c>
      <c r="F5548">
        <v>2010</v>
      </c>
      <c r="G5548">
        <v>149.07599999999999</v>
      </c>
    </row>
    <row r="5549" spans="1:7">
      <c r="A5549" t="s">
        <v>1297</v>
      </c>
      <c r="B5549" t="s">
        <v>1298</v>
      </c>
      <c r="C5549" t="s">
        <v>1301</v>
      </c>
      <c r="D5549" t="s">
        <v>1368</v>
      </c>
      <c r="E5549" t="s">
        <v>187</v>
      </c>
      <c r="F5549">
        <v>2012</v>
      </c>
      <c r="G5549">
        <v>163.35</v>
      </c>
    </row>
    <row r="5550" spans="1:7">
      <c r="A5550" t="s">
        <v>1297</v>
      </c>
      <c r="B5550" t="s">
        <v>1298</v>
      </c>
      <c r="C5550" t="s">
        <v>1301</v>
      </c>
      <c r="D5550" t="s">
        <v>1368</v>
      </c>
      <c r="E5550" t="s">
        <v>187</v>
      </c>
      <c r="F5550">
        <v>2016</v>
      </c>
      <c r="G5550">
        <v>184.33439999999999</v>
      </c>
    </row>
    <row r="5551" spans="1:7">
      <c r="A5551" t="s">
        <v>1297</v>
      </c>
      <c r="B5551" t="s">
        <v>1298</v>
      </c>
      <c r="C5551" t="s">
        <v>1301</v>
      </c>
      <c r="D5551" t="s">
        <v>1368</v>
      </c>
      <c r="E5551" t="s">
        <v>187</v>
      </c>
      <c r="F5551">
        <v>2020</v>
      </c>
      <c r="G5551">
        <v>202.298789</v>
      </c>
    </row>
    <row r="5552" spans="1:7">
      <c r="A5552" t="s">
        <v>1297</v>
      </c>
      <c r="B5552" t="s">
        <v>1298</v>
      </c>
      <c r="C5552" t="s">
        <v>1300</v>
      </c>
      <c r="D5552" t="s">
        <v>1368</v>
      </c>
      <c r="E5552" t="s">
        <v>187</v>
      </c>
      <c r="F5552">
        <v>2010</v>
      </c>
      <c r="G5552">
        <v>5.4504000000000001</v>
      </c>
    </row>
    <row r="5553" spans="1:7">
      <c r="A5553" t="s">
        <v>1297</v>
      </c>
      <c r="B5553" t="s">
        <v>1298</v>
      </c>
      <c r="C5553" t="s">
        <v>1300</v>
      </c>
      <c r="D5553" t="s">
        <v>1368</v>
      </c>
      <c r="E5553" t="s">
        <v>187</v>
      </c>
      <c r="F5553">
        <v>2012</v>
      </c>
      <c r="G5553">
        <v>5.6736000000000004</v>
      </c>
    </row>
    <row r="5554" spans="1:7">
      <c r="A5554" t="s">
        <v>1297</v>
      </c>
      <c r="B5554" t="s">
        <v>1298</v>
      </c>
      <c r="C5554" t="s">
        <v>1300</v>
      </c>
      <c r="D5554" t="s">
        <v>1368</v>
      </c>
      <c r="E5554" t="s">
        <v>187</v>
      </c>
      <c r="F5554">
        <v>2016</v>
      </c>
      <c r="G5554">
        <v>5.8823999999999996</v>
      </c>
    </row>
    <row r="5555" spans="1:7">
      <c r="A5555" t="s">
        <v>1297</v>
      </c>
      <c r="B5555" t="s">
        <v>1298</v>
      </c>
      <c r="C5555" t="s">
        <v>1300</v>
      </c>
      <c r="D5555" t="s">
        <v>1368</v>
      </c>
      <c r="E5555" t="s">
        <v>187</v>
      </c>
      <c r="F5555">
        <v>2020</v>
      </c>
      <c r="G5555">
        <v>6.0156000000000001</v>
      </c>
    </row>
    <row r="5556" spans="1:7">
      <c r="A5556" t="s">
        <v>1297</v>
      </c>
      <c r="B5556" t="s">
        <v>1298</v>
      </c>
      <c r="C5556" t="s">
        <v>662</v>
      </c>
      <c r="D5556" t="s">
        <v>1368</v>
      </c>
      <c r="E5556" t="s">
        <v>187</v>
      </c>
      <c r="F5556">
        <v>2005</v>
      </c>
      <c r="G5556">
        <v>60.75</v>
      </c>
    </row>
    <row r="5557" spans="1:7">
      <c r="A5557" t="s">
        <v>1297</v>
      </c>
      <c r="B5557" t="s">
        <v>1298</v>
      </c>
      <c r="C5557" t="s">
        <v>662</v>
      </c>
      <c r="D5557" t="s">
        <v>1368</v>
      </c>
      <c r="E5557" t="s">
        <v>187</v>
      </c>
      <c r="F5557">
        <v>2010</v>
      </c>
      <c r="G5557">
        <v>65.268000000000001</v>
      </c>
    </row>
    <row r="5558" spans="1:7">
      <c r="A5558" t="s">
        <v>1297</v>
      </c>
      <c r="B5558" t="s">
        <v>1298</v>
      </c>
      <c r="C5558" t="s">
        <v>662</v>
      </c>
      <c r="D5558" t="s">
        <v>1368</v>
      </c>
      <c r="E5558" t="s">
        <v>187</v>
      </c>
      <c r="F5558">
        <v>2012</v>
      </c>
      <c r="G5558">
        <v>68.608800000000002</v>
      </c>
    </row>
    <row r="5559" spans="1:7">
      <c r="A5559" t="s">
        <v>1297</v>
      </c>
      <c r="B5559" t="s">
        <v>1298</v>
      </c>
      <c r="C5559" t="s">
        <v>662</v>
      </c>
      <c r="D5559" t="s">
        <v>1368</v>
      </c>
      <c r="E5559" t="s">
        <v>187</v>
      </c>
      <c r="F5559">
        <v>2016</v>
      </c>
      <c r="G5559">
        <v>71.989199999999997</v>
      </c>
    </row>
    <row r="5560" spans="1:7">
      <c r="A5560" t="s">
        <v>1297</v>
      </c>
      <c r="B5560" t="s">
        <v>1298</v>
      </c>
      <c r="C5560" t="s">
        <v>662</v>
      </c>
      <c r="D5560" t="s">
        <v>1368</v>
      </c>
      <c r="E5560" t="s">
        <v>187</v>
      </c>
      <c r="F5560">
        <v>2020</v>
      </c>
      <c r="G5560">
        <v>62.559144000000003</v>
      </c>
    </row>
    <row r="5561" spans="1:7">
      <c r="A5561" t="s">
        <v>1297</v>
      </c>
      <c r="B5561" t="s">
        <v>1298</v>
      </c>
      <c r="C5561" t="s">
        <v>660</v>
      </c>
      <c r="D5561" t="s">
        <v>1368</v>
      </c>
      <c r="E5561" t="s">
        <v>187</v>
      </c>
      <c r="F5561">
        <v>2005</v>
      </c>
      <c r="G5561">
        <v>72.9756</v>
      </c>
    </row>
    <row r="5562" spans="1:7">
      <c r="A5562" t="s">
        <v>1297</v>
      </c>
      <c r="B5562" t="s">
        <v>1298</v>
      </c>
      <c r="C5562" t="s">
        <v>660</v>
      </c>
      <c r="D5562" t="s">
        <v>1368</v>
      </c>
      <c r="E5562" t="s">
        <v>187</v>
      </c>
      <c r="F5562">
        <v>2010</v>
      </c>
      <c r="G5562">
        <v>82.454400000000007</v>
      </c>
    </row>
    <row r="5563" spans="1:7">
      <c r="A5563" t="s">
        <v>1297</v>
      </c>
      <c r="B5563" t="s">
        <v>1298</v>
      </c>
      <c r="C5563" t="s">
        <v>660</v>
      </c>
      <c r="D5563" t="s">
        <v>1368</v>
      </c>
      <c r="E5563" t="s">
        <v>187</v>
      </c>
      <c r="F5563">
        <v>2012</v>
      </c>
      <c r="G5563">
        <v>80.575199999999995</v>
      </c>
    </row>
    <row r="5564" spans="1:7">
      <c r="A5564" t="s">
        <v>1297</v>
      </c>
      <c r="B5564" t="s">
        <v>1298</v>
      </c>
      <c r="C5564" t="s">
        <v>660</v>
      </c>
      <c r="D5564" t="s">
        <v>1368</v>
      </c>
      <c r="E5564" t="s">
        <v>187</v>
      </c>
      <c r="F5564">
        <v>2016</v>
      </c>
      <c r="G5564">
        <v>81.064800000000005</v>
      </c>
    </row>
    <row r="5565" spans="1:7">
      <c r="A5565" t="s">
        <v>1297</v>
      </c>
      <c r="B5565" t="s">
        <v>1298</v>
      </c>
      <c r="C5565" t="s">
        <v>660</v>
      </c>
      <c r="D5565" t="s">
        <v>1368</v>
      </c>
      <c r="E5565" t="s">
        <v>187</v>
      </c>
      <c r="F5565">
        <v>2020</v>
      </c>
      <c r="G5565">
        <v>81.165599999999998</v>
      </c>
    </row>
    <row r="5566" spans="1:7">
      <c r="A5566" t="s">
        <v>1297</v>
      </c>
      <c r="B5566" t="s">
        <v>1298</v>
      </c>
      <c r="C5566" t="s">
        <v>684</v>
      </c>
      <c r="D5566" t="s">
        <v>1368</v>
      </c>
      <c r="E5566" t="s">
        <v>187</v>
      </c>
      <c r="F5566">
        <v>2005</v>
      </c>
      <c r="G5566">
        <v>3.9923999999999999</v>
      </c>
    </row>
    <row r="5567" spans="1:7">
      <c r="A5567" t="s">
        <v>1297</v>
      </c>
      <c r="B5567" t="s">
        <v>1298</v>
      </c>
      <c r="C5567" t="s">
        <v>684</v>
      </c>
      <c r="D5567" t="s">
        <v>1368</v>
      </c>
      <c r="E5567" t="s">
        <v>187</v>
      </c>
      <c r="F5567">
        <v>2010</v>
      </c>
      <c r="G5567">
        <v>4.6079999999999997</v>
      </c>
    </row>
    <row r="5568" spans="1:7">
      <c r="A5568" t="s">
        <v>1297</v>
      </c>
      <c r="B5568" t="s">
        <v>1298</v>
      </c>
      <c r="C5568" t="s">
        <v>684</v>
      </c>
      <c r="D5568" t="s">
        <v>1368</v>
      </c>
      <c r="E5568" t="s">
        <v>187</v>
      </c>
      <c r="F5568">
        <v>2012</v>
      </c>
      <c r="G5568">
        <v>4.7160000000000002</v>
      </c>
    </row>
    <row r="5569" spans="1:7">
      <c r="A5569" t="s">
        <v>1297</v>
      </c>
      <c r="B5569" t="s">
        <v>1298</v>
      </c>
      <c r="C5569" t="s">
        <v>663</v>
      </c>
      <c r="D5569" t="s">
        <v>1369</v>
      </c>
      <c r="E5569" t="s">
        <v>187</v>
      </c>
      <c r="F5569">
        <v>2016</v>
      </c>
      <c r="G5569">
        <v>0.26640000000000003</v>
      </c>
    </row>
    <row r="5570" spans="1:7">
      <c r="A5570" t="s">
        <v>1297</v>
      </c>
      <c r="B5570" t="s">
        <v>1298</v>
      </c>
      <c r="C5570" t="s">
        <v>663</v>
      </c>
      <c r="D5570" t="s">
        <v>1369</v>
      </c>
      <c r="E5570" t="s">
        <v>187</v>
      </c>
      <c r="F5570">
        <v>2020</v>
      </c>
      <c r="G5570">
        <v>0.26640000000000003</v>
      </c>
    </row>
    <row r="5571" spans="1:7">
      <c r="A5571" t="s">
        <v>1297</v>
      </c>
      <c r="B5571" t="s">
        <v>1298</v>
      </c>
      <c r="C5571" t="s">
        <v>680</v>
      </c>
      <c r="D5571" t="s">
        <v>1369</v>
      </c>
      <c r="E5571" t="s">
        <v>187</v>
      </c>
      <c r="F5571">
        <v>2005</v>
      </c>
      <c r="G5571">
        <v>0.23039999999999999</v>
      </c>
    </row>
    <row r="5572" spans="1:7">
      <c r="A5572" t="s">
        <v>1297</v>
      </c>
      <c r="B5572" t="s">
        <v>1298</v>
      </c>
      <c r="C5572" t="s">
        <v>680</v>
      </c>
      <c r="D5572" t="s">
        <v>1369</v>
      </c>
      <c r="E5572" t="s">
        <v>187</v>
      </c>
      <c r="F5572">
        <v>2020</v>
      </c>
      <c r="G5572">
        <v>7.3277999999999996E-2</v>
      </c>
    </row>
    <row r="5573" spans="1:7">
      <c r="A5573" t="s">
        <v>1297</v>
      </c>
      <c r="B5573" t="s">
        <v>1298</v>
      </c>
      <c r="C5573" t="s">
        <v>662</v>
      </c>
      <c r="D5573" t="s">
        <v>1369</v>
      </c>
      <c r="E5573" t="s">
        <v>187</v>
      </c>
      <c r="F5573">
        <v>2016</v>
      </c>
      <c r="G5573">
        <v>0.15479999999999999</v>
      </c>
    </row>
    <row r="5574" spans="1:7">
      <c r="A5574" t="s">
        <v>1297</v>
      </c>
      <c r="B5574" t="s">
        <v>1298</v>
      </c>
      <c r="C5574" t="s">
        <v>670</v>
      </c>
      <c r="D5574" t="s">
        <v>1369</v>
      </c>
      <c r="E5574" t="s">
        <v>187</v>
      </c>
      <c r="F5574">
        <v>2010</v>
      </c>
      <c r="G5574">
        <v>0.34920000000000001</v>
      </c>
    </row>
    <row r="5575" spans="1:7">
      <c r="A5575" t="s">
        <v>1297</v>
      </c>
      <c r="B5575" t="s">
        <v>1298</v>
      </c>
      <c r="C5575" t="s">
        <v>670</v>
      </c>
      <c r="D5575" t="s">
        <v>1369</v>
      </c>
      <c r="E5575" t="s">
        <v>187</v>
      </c>
      <c r="F5575">
        <v>2012</v>
      </c>
      <c r="G5575">
        <v>1.984648</v>
      </c>
    </row>
    <row r="5576" spans="1:7">
      <c r="A5576" t="s">
        <v>1297</v>
      </c>
      <c r="B5576" t="s">
        <v>1298</v>
      </c>
      <c r="C5576" t="s">
        <v>669</v>
      </c>
      <c r="D5576" t="s">
        <v>1369</v>
      </c>
      <c r="E5576" t="s">
        <v>187</v>
      </c>
      <c r="F5576">
        <v>2005</v>
      </c>
      <c r="G5576">
        <v>0.6804</v>
      </c>
    </row>
    <row r="5577" spans="1:7">
      <c r="A5577" t="s">
        <v>1297</v>
      </c>
      <c r="B5577" t="s">
        <v>1298</v>
      </c>
      <c r="C5577" t="s">
        <v>669</v>
      </c>
      <c r="D5577" t="s">
        <v>1369</v>
      </c>
      <c r="E5577" t="s">
        <v>187</v>
      </c>
      <c r="F5577">
        <v>2010</v>
      </c>
      <c r="G5577">
        <v>0.108</v>
      </c>
    </row>
    <row r="5578" spans="1:7">
      <c r="A5578" t="s">
        <v>1297</v>
      </c>
      <c r="B5578" t="s">
        <v>1298</v>
      </c>
      <c r="C5578" t="s">
        <v>669</v>
      </c>
      <c r="D5578" t="s">
        <v>1369</v>
      </c>
      <c r="E5578" t="s">
        <v>187</v>
      </c>
      <c r="F5578">
        <v>2012</v>
      </c>
      <c r="G5578">
        <v>0.108</v>
      </c>
    </row>
    <row r="5579" spans="1:7">
      <c r="A5579" t="s">
        <v>1297</v>
      </c>
      <c r="B5579" t="s">
        <v>1298</v>
      </c>
      <c r="C5579" t="s">
        <v>669</v>
      </c>
      <c r="D5579" t="s">
        <v>1369</v>
      </c>
      <c r="E5579" t="s">
        <v>187</v>
      </c>
      <c r="F5579">
        <v>2016</v>
      </c>
      <c r="G5579">
        <v>0.129107</v>
      </c>
    </row>
    <row r="5580" spans="1:7">
      <c r="A5580" t="s">
        <v>1297</v>
      </c>
      <c r="B5580" t="s">
        <v>1298</v>
      </c>
      <c r="C5580" t="s">
        <v>669</v>
      </c>
      <c r="D5580" t="s">
        <v>1369</v>
      </c>
      <c r="E5580" t="s">
        <v>187</v>
      </c>
      <c r="F5580">
        <v>2020</v>
      </c>
      <c r="G5580">
        <v>7.4383000000000005E-2</v>
      </c>
    </row>
    <row r="5581" spans="1:7">
      <c r="A5581" t="s">
        <v>1297</v>
      </c>
      <c r="B5581" t="s">
        <v>1298</v>
      </c>
      <c r="C5581" t="s">
        <v>668</v>
      </c>
      <c r="D5581" t="s">
        <v>1369</v>
      </c>
      <c r="E5581" t="s">
        <v>187</v>
      </c>
      <c r="F5581">
        <v>2005</v>
      </c>
      <c r="G5581">
        <v>3.9600000000000003E-2</v>
      </c>
    </row>
    <row r="5582" spans="1:7">
      <c r="A5582" t="s">
        <v>1297</v>
      </c>
      <c r="B5582" t="s">
        <v>1298</v>
      </c>
      <c r="C5582" t="s">
        <v>668</v>
      </c>
      <c r="D5582" t="s">
        <v>1369</v>
      </c>
      <c r="E5582" t="s">
        <v>187</v>
      </c>
      <c r="F5582">
        <v>2010</v>
      </c>
      <c r="G5582">
        <v>7.1999999999999998E-3</v>
      </c>
    </row>
    <row r="5583" spans="1:7">
      <c r="A5583" t="s">
        <v>1297</v>
      </c>
      <c r="B5583" t="s">
        <v>1298</v>
      </c>
      <c r="C5583" t="s">
        <v>668</v>
      </c>
      <c r="D5583" t="s">
        <v>1369</v>
      </c>
      <c r="E5583" t="s">
        <v>187</v>
      </c>
      <c r="F5583">
        <v>2012</v>
      </c>
      <c r="G5583">
        <v>1.44E-2</v>
      </c>
    </row>
    <row r="5584" spans="1:7">
      <c r="A5584" t="s">
        <v>1297</v>
      </c>
      <c r="B5584" t="s">
        <v>1298</v>
      </c>
      <c r="C5584" t="s">
        <v>668</v>
      </c>
      <c r="D5584" t="s">
        <v>1369</v>
      </c>
      <c r="E5584" t="s">
        <v>187</v>
      </c>
      <c r="F5584">
        <v>2016</v>
      </c>
      <c r="G5584">
        <v>7.1999999999999998E-3</v>
      </c>
    </row>
    <row r="5585" spans="1:7">
      <c r="A5585" t="s">
        <v>1297</v>
      </c>
      <c r="B5585" t="s">
        <v>1298</v>
      </c>
      <c r="C5585" t="s">
        <v>668</v>
      </c>
      <c r="D5585" t="s">
        <v>1369</v>
      </c>
      <c r="E5585" t="s">
        <v>187</v>
      </c>
      <c r="F5585">
        <v>2020</v>
      </c>
      <c r="G5585">
        <v>8.4199999999999998E-4</v>
      </c>
    </row>
    <row r="5586" spans="1:7">
      <c r="A5586" t="s">
        <v>1297</v>
      </c>
      <c r="B5586" t="s">
        <v>1298</v>
      </c>
      <c r="C5586" t="s">
        <v>681</v>
      </c>
      <c r="D5586" t="s">
        <v>1369</v>
      </c>
      <c r="E5586" t="s">
        <v>187</v>
      </c>
      <c r="F5586">
        <v>2005</v>
      </c>
      <c r="G5586">
        <v>0.18</v>
      </c>
    </row>
    <row r="5587" spans="1:7">
      <c r="A5587" t="s">
        <v>1297</v>
      </c>
      <c r="B5587" t="s">
        <v>1298</v>
      </c>
      <c r="C5587" t="s">
        <v>681</v>
      </c>
      <c r="D5587" t="s">
        <v>1369</v>
      </c>
      <c r="E5587" t="s">
        <v>187</v>
      </c>
      <c r="F5587">
        <v>2010</v>
      </c>
      <c r="G5587">
        <v>2.6783999999999999</v>
      </c>
    </row>
    <row r="5588" spans="1:7">
      <c r="A5588" t="s">
        <v>1297</v>
      </c>
      <c r="B5588" t="s">
        <v>1298</v>
      </c>
      <c r="C5588" t="s">
        <v>681</v>
      </c>
      <c r="D5588" t="s">
        <v>1369</v>
      </c>
      <c r="E5588" t="s">
        <v>187</v>
      </c>
      <c r="F5588">
        <v>2012</v>
      </c>
      <c r="G5588">
        <v>0.20880000000000001</v>
      </c>
    </row>
    <row r="5589" spans="1:7">
      <c r="A5589" t="s">
        <v>1297</v>
      </c>
      <c r="B5589" t="s">
        <v>1298</v>
      </c>
      <c r="C5589" t="s">
        <v>661</v>
      </c>
      <c r="D5589" t="s">
        <v>1369</v>
      </c>
      <c r="E5589" t="s">
        <v>187</v>
      </c>
      <c r="F5589">
        <v>2005</v>
      </c>
      <c r="G5589">
        <v>8.1251999999999995</v>
      </c>
    </row>
    <row r="5590" spans="1:7">
      <c r="A5590" t="s">
        <v>1297</v>
      </c>
      <c r="B5590" t="s">
        <v>1298</v>
      </c>
      <c r="C5590" t="s">
        <v>661</v>
      </c>
      <c r="D5590" t="s">
        <v>1369</v>
      </c>
      <c r="E5590" t="s">
        <v>187</v>
      </c>
      <c r="F5590">
        <v>2010</v>
      </c>
      <c r="G5590">
        <v>9.6660000000000004</v>
      </c>
    </row>
    <row r="5591" spans="1:7">
      <c r="A5591" t="s">
        <v>1297</v>
      </c>
      <c r="B5591" t="s">
        <v>1298</v>
      </c>
      <c r="C5591" t="s">
        <v>661</v>
      </c>
      <c r="D5591" t="s">
        <v>1369</v>
      </c>
      <c r="E5591" t="s">
        <v>187</v>
      </c>
      <c r="F5591">
        <v>2012</v>
      </c>
      <c r="G5591">
        <v>2.7810679999999999</v>
      </c>
    </row>
    <row r="5592" spans="1:7">
      <c r="A5592" t="s">
        <v>1297</v>
      </c>
      <c r="B5592" t="s">
        <v>1298</v>
      </c>
      <c r="C5592" t="s">
        <v>661</v>
      </c>
      <c r="D5592" t="s">
        <v>1369</v>
      </c>
      <c r="E5592" t="s">
        <v>187</v>
      </c>
      <c r="F5592">
        <v>2016</v>
      </c>
      <c r="G5592">
        <v>2.2445750000000002</v>
      </c>
    </row>
    <row r="5593" spans="1:7">
      <c r="A5593" t="s">
        <v>1297</v>
      </c>
      <c r="B5593" t="s">
        <v>1298</v>
      </c>
      <c r="C5593" t="s">
        <v>661</v>
      </c>
      <c r="D5593" t="s">
        <v>1369</v>
      </c>
      <c r="E5593" t="s">
        <v>187</v>
      </c>
      <c r="F5593">
        <v>2020</v>
      </c>
      <c r="G5593">
        <v>4.1652430000000003</v>
      </c>
    </row>
    <row r="5594" spans="1:7">
      <c r="A5594" t="s">
        <v>1297</v>
      </c>
      <c r="B5594" t="s">
        <v>1298</v>
      </c>
      <c r="C5594" t="s">
        <v>654</v>
      </c>
      <c r="D5594" t="s">
        <v>1369</v>
      </c>
      <c r="E5594" t="s">
        <v>187</v>
      </c>
      <c r="F5594">
        <v>2005</v>
      </c>
      <c r="G5594">
        <v>0.26640000000000003</v>
      </c>
    </row>
    <row r="5595" spans="1:7">
      <c r="A5595" t="s">
        <v>1297</v>
      </c>
      <c r="B5595" t="s">
        <v>1298</v>
      </c>
      <c r="C5595" t="s">
        <v>654</v>
      </c>
      <c r="D5595" t="s">
        <v>1369</v>
      </c>
      <c r="E5595" t="s">
        <v>187</v>
      </c>
      <c r="F5595">
        <v>2010</v>
      </c>
      <c r="G5595">
        <v>0.56159999999999999</v>
      </c>
    </row>
    <row r="5596" spans="1:7">
      <c r="A5596" t="s">
        <v>1297</v>
      </c>
      <c r="B5596" t="s">
        <v>1298</v>
      </c>
      <c r="C5596" t="s">
        <v>654</v>
      </c>
      <c r="D5596" t="s">
        <v>1369</v>
      </c>
      <c r="E5596" t="s">
        <v>187</v>
      </c>
      <c r="F5596">
        <v>2012</v>
      </c>
      <c r="G5596">
        <v>0.43919999999999998</v>
      </c>
    </row>
    <row r="5597" spans="1:7">
      <c r="A5597" t="s">
        <v>1297</v>
      </c>
      <c r="B5597" t="s">
        <v>1298</v>
      </c>
      <c r="C5597" t="s">
        <v>654</v>
      </c>
      <c r="D5597" t="s">
        <v>1369</v>
      </c>
      <c r="E5597" t="s">
        <v>187</v>
      </c>
      <c r="F5597">
        <v>2016</v>
      </c>
      <c r="G5597">
        <v>0.3276</v>
      </c>
    </row>
    <row r="5598" spans="1:7">
      <c r="A5598" t="s">
        <v>1297</v>
      </c>
      <c r="B5598" t="s">
        <v>1298</v>
      </c>
      <c r="C5598" t="s">
        <v>654</v>
      </c>
      <c r="D5598" t="s">
        <v>1369</v>
      </c>
      <c r="E5598" t="s">
        <v>187</v>
      </c>
      <c r="F5598">
        <v>2020</v>
      </c>
      <c r="G5598">
        <v>0.32494699999999999</v>
      </c>
    </row>
    <row r="5599" spans="1:7">
      <c r="A5599" t="s">
        <v>1297</v>
      </c>
      <c r="B5599" t="s">
        <v>1298</v>
      </c>
      <c r="C5599" t="s">
        <v>1303</v>
      </c>
      <c r="D5599" t="s">
        <v>1369</v>
      </c>
      <c r="E5599" t="s">
        <v>187</v>
      </c>
      <c r="F5599">
        <v>2016</v>
      </c>
      <c r="G5599">
        <v>6.9371999999999998</v>
      </c>
    </row>
    <row r="5600" spans="1:7">
      <c r="A5600" t="s">
        <v>1297</v>
      </c>
      <c r="B5600" t="s">
        <v>1298</v>
      </c>
      <c r="C5600" t="s">
        <v>1303</v>
      </c>
      <c r="D5600" t="s">
        <v>1369</v>
      </c>
      <c r="E5600" t="s">
        <v>187</v>
      </c>
      <c r="F5600">
        <v>2020</v>
      </c>
      <c r="G5600">
        <v>7.4156399999999998</v>
      </c>
    </row>
    <row r="5601" spans="1:7">
      <c r="A5601" t="s">
        <v>1297</v>
      </c>
      <c r="B5601" t="s">
        <v>1298</v>
      </c>
      <c r="C5601" t="s">
        <v>659</v>
      </c>
      <c r="D5601" t="s">
        <v>1369</v>
      </c>
      <c r="E5601" t="s">
        <v>187</v>
      </c>
      <c r="F5601">
        <v>2005</v>
      </c>
      <c r="G5601">
        <v>0.43919999999999998</v>
      </c>
    </row>
    <row r="5602" spans="1:7">
      <c r="A5602" t="s">
        <v>1297</v>
      </c>
      <c r="B5602" t="s">
        <v>1298</v>
      </c>
      <c r="C5602" t="s">
        <v>659</v>
      </c>
      <c r="D5602" t="s">
        <v>1369</v>
      </c>
      <c r="E5602" t="s">
        <v>187</v>
      </c>
      <c r="F5602">
        <v>2010</v>
      </c>
      <c r="G5602">
        <v>15.731999999999999</v>
      </c>
    </row>
    <row r="5603" spans="1:7">
      <c r="A5603" t="s">
        <v>1297</v>
      </c>
      <c r="B5603" t="s">
        <v>1298</v>
      </c>
      <c r="C5603" t="s">
        <v>659</v>
      </c>
      <c r="D5603" t="s">
        <v>1369</v>
      </c>
      <c r="E5603" t="s">
        <v>187</v>
      </c>
      <c r="F5603">
        <v>2012</v>
      </c>
      <c r="G5603">
        <v>14.482799999999999</v>
      </c>
    </row>
    <row r="5604" spans="1:7">
      <c r="A5604" t="s">
        <v>1297</v>
      </c>
      <c r="B5604" t="s">
        <v>1298</v>
      </c>
      <c r="C5604" t="s">
        <v>659</v>
      </c>
      <c r="D5604" t="s">
        <v>1369</v>
      </c>
      <c r="E5604" t="s">
        <v>187</v>
      </c>
      <c r="F5604">
        <v>2016</v>
      </c>
      <c r="G5604">
        <v>6.0983999999999998</v>
      </c>
    </row>
    <row r="5605" spans="1:7">
      <c r="A5605" t="s">
        <v>1297</v>
      </c>
      <c r="B5605" t="s">
        <v>1298</v>
      </c>
      <c r="C5605" t="s">
        <v>659</v>
      </c>
      <c r="D5605" t="s">
        <v>1369</v>
      </c>
      <c r="E5605" t="s">
        <v>187</v>
      </c>
      <c r="F5605">
        <v>2020</v>
      </c>
      <c r="G5605">
        <v>5.6736000000000004</v>
      </c>
    </row>
    <row r="5606" spans="1:7">
      <c r="A5606" t="s">
        <v>1297</v>
      </c>
      <c r="B5606" t="s">
        <v>1298</v>
      </c>
      <c r="C5606" t="s">
        <v>651</v>
      </c>
      <c r="D5606" t="s">
        <v>1370</v>
      </c>
      <c r="E5606" t="s">
        <v>187</v>
      </c>
      <c r="F5606">
        <v>2005</v>
      </c>
      <c r="G5606">
        <v>12.320824</v>
      </c>
    </row>
    <row r="5607" spans="1:7">
      <c r="A5607" t="s">
        <v>1297</v>
      </c>
      <c r="B5607" t="s">
        <v>1298</v>
      </c>
      <c r="C5607" t="s">
        <v>651</v>
      </c>
      <c r="D5607" t="s">
        <v>1370</v>
      </c>
      <c r="E5607" t="s">
        <v>187</v>
      </c>
      <c r="F5607">
        <v>2010</v>
      </c>
      <c r="G5607">
        <v>11.565878</v>
      </c>
    </row>
    <row r="5608" spans="1:7">
      <c r="A5608" t="s">
        <v>1297</v>
      </c>
      <c r="B5608" t="s">
        <v>1298</v>
      </c>
      <c r="C5608" t="s">
        <v>651</v>
      </c>
      <c r="D5608" t="s">
        <v>1370</v>
      </c>
      <c r="E5608" t="s">
        <v>187</v>
      </c>
      <c r="F5608">
        <v>2012</v>
      </c>
      <c r="G5608">
        <v>11.031817999999999</v>
      </c>
    </row>
    <row r="5609" spans="1:7">
      <c r="A5609" t="s">
        <v>1297</v>
      </c>
      <c r="B5609" t="s">
        <v>1298</v>
      </c>
      <c r="C5609" t="s">
        <v>651</v>
      </c>
      <c r="D5609" t="s">
        <v>1370</v>
      </c>
      <c r="E5609" t="s">
        <v>187</v>
      </c>
      <c r="F5609">
        <v>2016</v>
      </c>
      <c r="G5609">
        <v>11.543778</v>
      </c>
    </row>
    <row r="5610" spans="1:7">
      <c r="A5610" t="s">
        <v>1297</v>
      </c>
      <c r="B5610" t="s">
        <v>1298</v>
      </c>
      <c r="C5610" t="s">
        <v>651</v>
      </c>
      <c r="D5610" t="s">
        <v>1370</v>
      </c>
      <c r="E5610" t="s">
        <v>187</v>
      </c>
      <c r="F5610">
        <v>2020</v>
      </c>
      <c r="G5610">
        <v>11.804432</v>
      </c>
    </row>
    <row r="5611" spans="1:7">
      <c r="A5611" t="s">
        <v>1297</v>
      </c>
      <c r="B5611" t="s">
        <v>1298</v>
      </c>
      <c r="C5611" t="s">
        <v>669</v>
      </c>
      <c r="D5611" t="s">
        <v>1370</v>
      </c>
      <c r="E5611" t="s">
        <v>187</v>
      </c>
      <c r="F5611">
        <v>2020</v>
      </c>
      <c r="G5611">
        <v>5.8180000000000003E-3</v>
      </c>
    </row>
    <row r="5612" spans="1:7">
      <c r="A5612" t="s">
        <v>1297</v>
      </c>
      <c r="B5612" t="s">
        <v>1298</v>
      </c>
      <c r="C5612" t="s">
        <v>670</v>
      </c>
      <c r="D5612" t="s">
        <v>1370</v>
      </c>
      <c r="E5612" t="s">
        <v>187</v>
      </c>
      <c r="F5612">
        <v>2005</v>
      </c>
      <c r="G5612">
        <v>5.8247999999999998</v>
      </c>
    </row>
    <row r="5613" spans="1:7">
      <c r="A5613" t="s">
        <v>1297</v>
      </c>
      <c r="B5613" t="s">
        <v>1298</v>
      </c>
      <c r="C5613" t="s">
        <v>670</v>
      </c>
      <c r="D5613" t="s">
        <v>1370</v>
      </c>
      <c r="E5613" t="s">
        <v>187</v>
      </c>
      <c r="F5613">
        <v>2010</v>
      </c>
      <c r="G5613">
        <v>6.3216000000000001</v>
      </c>
    </row>
    <row r="5614" spans="1:7">
      <c r="A5614" t="s">
        <v>1297</v>
      </c>
      <c r="B5614" t="s">
        <v>1298</v>
      </c>
      <c r="C5614" t="s">
        <v>670</v>
      </c>
      <c r="D5614" t="s">
        <v>1370</v>
      </c>
      <c r="E5614" t="s">
        <v>187</v>
      </c>
      <c r="F5614">
        <v>2012</v>
      </c>
      <c r="G5614">
        <v>6.3468</v>
      </c>
    </row>
    <row r="5615" spans="1:7">
      <c r="A5615" t="s">
        <v>1297</v>
      </c>
      <c r="B5615" t="s">
        <v>1298</v>
      </c>
      <c r="C5615" t="s">
        <v>670</v>
      </c>
      <c r="D5615" t="s">
        <v>1370</v>
      </c>
      <c r="E5615" t="s">
        <v>187</v>
      </c>
      <c r="F5615">
        <v>2016</v>
      </c>
      <c r="G5615">
        <v>7.0902219999999998</v>
      </c>
    </row>
    <row r="5616" spans="1:7">
      <c r="A5616" t="s">
        <v>1297</v>
      </c>
      <c r="B5616" t="s">
        <v>1298</v>
      </c>
      <c r="C5616" t="s">
        <v>670</v>
      </c>
      <c r="D5616" t="s">
        <v>1370</v>
      </c>
      <c r="E5616" t="s">
        <v>187</v>
      </c>
      <c r="F5616">
        <v>2020</v>
      </c>
      <c r="G5616">
        <v>8.5089170000000003</v>
      </c>
    </row>
    <row r="5617" spans="1:7">
      <c r="A5617" t="s">
        <v>1297</v>
      </c>
      <c r="B5617" t="s">
        <v>1298</v>
      </c>
      <c r="C5617" t="s">
        <v>664</v>
      </c>
      <c r="D5617" t="s">
        <v>1370</v>
      </c>
      <c r="E5617" t="s">
        <v>187</v>
      </c>
      <c r="F5617">
        <v>2005</v>
      </c>
      <c r="G5617">
        <v>0.21204000000000001</v>
      </c>
    </row>
    <row r="5618" spans="1:7">
      <c r="A5618" t="s">
        <v>1297</v>
      </c>
      <c r="B5618" t="s">
        <v>1298</v>
      </c>
      <c r="C5618" t="s">
        <v>664</v>
      </c>
      <c r="D5618" t="s">
        <v>1370</v>
      </c>
      <c r="E5618" t="s">
        <v>187</v>
      </c>
      <c r="F5618">
        <v>2010</v>
      </c>
      <c r="G5618">
        <v>0.164023</v>
      </c>
    </row>
    <row r="5619" spans="1:7">
      <c r="A5619" t="s">
        <v>1297</v>
      </c>
      <c r="B5619" t="s">
        <v>1298</v>
      </c>
      <c r="C5619" t="s">
        <v>664</v>
      </c>
      <c r="D5619" t="s">
        <v>1370</v>
      </c>
      <c r="E5619" t="s">
        <v>187</v>
      </c>
      <c r="F5619">
        <v>2012</v>
      </c>
      <c r="G5619">
        <v>0.16372400000000001</v>
      </c>
    </row>
    <row r="5620" spans="1:7">
      <c r="A5620" t="s">
        <v>1297</v>
      </c>
      <c r="B5620" t="s">
        <v>1298</v>
      </c>
      <c r="C5620" t="s">
        <v>664</v>
      </c>
      <c r="D5620" t="s">
        <v>1370</v>
      </c>
      <c r="E5620" t="s">
        <v>187</v>
      </c>
      <c r="F5620">
        <v>2016</v>
      </c>
      <c r="G5620">
        <v>0.17636399999999999</v>
      </c>
    </row>
    <row r="5621" spans="1:7">
      <c r="A5621" t="s">
        <v>1297</v>
      </c>
      <c r="B5621" t="s">
        <v>1298</v>
      </c>
      <c r="C5621" t="s">
        <v>664</v>
      </c>
      <c r="D5621" t="s">
        <v>1370</v>
      </c>
      <c r="E5621" t="s">
        <v>187</v>
      </c>
      <c r="F5621">
        <v>2020</v>
      </c>
      <c r="G5621">
        <v>0.283111</v>
      </c>
    </row>
    <row r="5622" spans="1:7">
      <c r="A5622" t="s">
        <v>1297</v>
      </c>
      <c r="B5622" t="s">
        <v>1298</v>
      </c>
      <c r="C5622" t="s">
        <v>1299</v>
      </c>
      <c r="D5622" t="s">
        <v>1370</v>
      </c>
      <c r="E5622" t="s">
        <v>187</v>
      </c>
      <c r="F5622">
        <v>2005</v>
      </c>
      <c r="G5622">
        <v>34.138800000000003</v>
      </c>
    </row>
    <row r="5623" spans="1:7">
      <c r="A5623" t="s">
        <v>1297</v>
      </c>
      <c r="B5623" t="s">
        <v>1298</v>
      </c>
      <c r="C5623" t="s">
        <v>1299</v>
      </c>
      <c r="D5623" t="s">
        <v>1370</v>
      </c>
      <c r="E5623" t="s">
        <v>187</v>
      </c>
      <c r="F5623">
        <v>2010</v>
      </c>
      <c r="G5623">
        <v>32.299199999999999</v>
      </c>
    </row>
    <row r="5624" spans="1:7">
      <c r="A5624" t="s">
        <v>1297</v>
      </c>
      <c r="B5624" t="s">
        <v>1298</v>
      </c>
      <c r="C5624" t="s">
        <v>1299</v>
      </c>
      <c r="D5624" t="s">
        <v>1370</v>
      </c>
      <c r="E5624" t="s">
        <v>187</v>
      </c>
      <c r="F5624">
        <v>2012</v>
      </c>
      <c r="G5624">
        <v>33.404400000000003</v>
      </c>
    </row>
    <row r="5625" spans="1:7">
      <c r="A5625" t="s">
        <v>1297</v>
      </c>
      <c r="B5625" t="s">
        <v>1298</v>
      </c>
      <c r="C5625" t="s">
        <v>1299</v>
      </c>
      <c r="D5625" t="s">
        <v>1370</v>
      </c>
      <c r="E5625" t="s">
        <v>187</v>
      </c>
      <c r="F5625">
        <v>2016</v>
      </c>
      <c r="G5625">
        <v>24.465599999999998</v>
      </c>
    </row>
    <row r="5626" spans="1:7">
      <c r="A5626" t="s">
        <v>1297</v>
      </c>
      <c r="B5626" t="s">
        <v>1298</v>
      </c>
      <c r="C5626" t="s">
        <v>1299</v>
      </c>
      <c r="D5626" t="s">
        <v>1370</v>
      </c>
      <c r="E5626" t="s">
        <v>187</v>
      </c>
      <c r="F5626">
        <v>2020</v>
      </c>
      <c r="G5626">
        <v>23.771879999999999</v>
      </c>
    </row>
    <row r="5627" spans="1:7">
      <c r="A5627" t="s">
        <v>1297</v>
      </c>
      <c r="B5627" t="s">
        <v>1298</v>
      </c>
      <c r="C5627" t="s">
        <v>660</v>
      </c>
      <c r="D5627" t="s">
        <v>1370</v>
      </c>
      <c r="E5627" t="s">
        <v>187</v>
      </c>
      <c r="F5627">
        <v>2005</v>
      </c>
      <c r="G5627">
        <v>2.3328000000000002</v>
      </c>
    </row>
    <row r="5628" spans="1:7">
      <c r="A5628" t="s">
        <v>1297</v>
      </c>
      <c r="B5628" t="s">
        <v>1298</v>
      </c>
      <c r="C5628" t="s">
        <v>660</v>
      </c>
      <c r="D5628" t="s">
        <v>1370</v>
      </c>
      <c r="E5628" t="s">
        <v>187</v>
      </c>
      <c r="F5628">
        <v>2010</v>
      </c>
      <c r="G5628">
        <v>2.6640000000000001</v>
      </c>
    </row>
    <row r="5629" spans="1:7">
      <c r="A5629" t="s">
        <v>1297</v>
      </c>
      <c r="B5629" t="s">
        <v>1298</v>
      </c>
      <c r="C5629" t="s">
        <v>660</v>
      </c>
      <c r="D5629" t="s">
        <v>1370</v>
      </c>
      <c r="E5629" t="s">
        <v>187</v>
      </c>
      <c r="F5629">
        <v>2012</v>
      </c>
      <c r="G5629">
        <v>2.6532</v>
      </c>
    </row>
    <row r="5630" spans="1:7">
      <c r="A5630" t="s">
        <v>1297</v>
      </c>
      <c r="B5630" t="s">
        <v>1298</v>
      </c>
      <c r="C5630" t="s">
        <v>660</v>
      </c>
      <c r="D5630" t="s">
        <v>1370</v>
      </c>
      <c r="E5630" t="s">
        <v>187</v>
      </c>
      <c r="F5630">
        <v>2016</v>
      </c>
      <c r="G5630">
        <v>2.5488</v>
      </c>
    </row>
    <row r="5631" spans="1:7">
      <c r="A5631" t="s">
        <v>1297</v>
      </c>
      <c r="B5631" t="s">
        <v>1298</v>
      </c>
      <c r="C5631" t="s">
        <v>660</v>
      </c>
      <c r="D5631" t="s">
        <v>1370</v>
      </c>
      <c r="E5631" t="s">
        <v>187</v>
      </c>
      <c r="F5631">
        <v>2020</v>
      </c>
      <c r="G5631">
        <v>3.0924</v>
      </c>
    </row>
    <row r="5632" spans="1:7">
      <c r="A5632" t="s">
        <v>1297</v>
      </c>
      <c r="B5632" t="s">
        <v>1298</v>
      </c>
      <c r="C5632" t="s">
        <v>685</v>
      </c>
      <c r="D5632" t="s">
        <v>1370</v>
      </c>
      <c r="E5632" t="s">
        <v>187</v>
      </c>
      <c r="F5632">
        <v>2005</v>
      </c>
      <c r="G5632">
        <v>8.6400000000000005E-2</v>
      </c>
    </row>
    <row r="5633" spans="1:7">
      <c r="A5633" t="s">
        <v>1297</v>
      </c>
      <c r="B5633" t="s">
        <v>1298</v>
      </c>
      <c r="C5633" t="s">
        <v>685</v>
      </c>
      <c r="D5633" t="s">
        <v>1370</v>
      </c>
      <c r="E5633" t="s">
        <v>187</v>
      </c>
      <c r="F5633">
        <v>2010</v>
      </c>
      <c r="G5633">
        <v>7.1999999999999995E-2</v>
      </c>
    </row>
    <row r="5634" spans="1:7">
      <c r="A5634" t="s">
        <v>1297</v>
      </c>
      <c r="B5634" t="s">
        <v>1298</v>
      </c>
      <c r="C5634" t="s">
        <v>685</v>
      </c>
      <c r="D5634" t="s">
        <v>1370</v>
      </c>
      <c r="E5634" t="s">
        <v>187</v>
      </c>
      <c r="F5634">
        <v>2012</v>
      </c>
      <c r="G5634">
        <v>6.1199999999999997E-2</v>
      </c>
    </row>
    <row r="5635" spans="1:7">
      <c r="A5635" t="s">
        <v>1297</v>
      </c>
      <c r="B5635" t="s">
        <v>1298</v>
      </c>
      <c r="C5635" t="s">
        <v>685</v>
      </c>
      <c r="D5635" t="s">
        <v>1370</v>
      </c>
      <c r="E5635" t="s">
        <v>187</v>
      </c>
      <c r="F5635">
        <v>2016</v>
      </c>
      <c r="G5635">
        <v>5.0602000000000001E-2</v>
      </c>
    </row>
    <row r="5636" spans="1:7">
      <c r="A5636" t="s">
        <v>1297</v>
      </c>
      <c r="B5636" t="s">
        <v>1298</v>
      </c>
      <c r="C5636" t="s">
        <v>685</v>
      </c>
      <c r="D5636" t="s">
        <v>1370</v>
      </c>
      <c r="E5636" t="s">
        <v>187</v>
      </c>
      <c r="F5636">
        <v>2020</v>
      </c>
      <c r="G5636">
        <v>5.0745999999999999E-2</v>
      </c>
    </row>
    <row r="5637" spans="1:7">
      <c r="A5637" t="s">
        <v>1297</v>
      </c>
      <c r="B5637" t="s">
        <v>1298</v>
      </c>
      <c r="C5637" t="s">
        <v>657</v>
      </c>
      <c r="D5637" t="s">
        <v>1370</v>
      </c>
      <c r="E5637" t="s">
        <v>187</v>
      </c>
      <c r="F5637">
        <v>2005</v>
      </c>
      <c r="G5637">
        <v>1.35</v>
      </c>
    </row>
    <row r="5638" spans="1:7">
      <c r="A5638" t="s">
        <v>1297</v>
      </c>
      <c r="B5638" t="s">
        <v>1298</v>
      </c>
      <c r="C5638" t="s">
        <v>657</v>
      </c>
      <c r="D5638" t="s">
        <v>1370</v>
      </c>
      <c r="E5638" t="s">
        <v>187</v>
      </c>
      <c r="F5638">
        <v>2010</v>
      </c>
      <c r="G5638">
        <v>1.4543999999999999</v>
      </c>
    </row>
    <row r="5639" spans="1:7">
      <c r="A5639" t="s">
        <v>1297</v>
      </c>
      <c r="B5639" t="s">
        <v>1298</v>
      </c>
      <c r="C5639" t="s">
        <v>657</v>
      </c>
      <c r="D5639" t="s">
        <v>1370</v>
      </c>
      <c r="E5639" t="s">
        <v>187</v>
      </c>
      <c r="F5639">
        <v>2012</v>
      </c>
      <c r="G5639">
        <v>1.3859999999999999</v>
      </c>
    </row>
    <row r="5640" spans="1:7">
      <c r="A5640" t="s">
        <v>1297</v>
      </c>
      <c r="B5640" t="s">
        <v>1298</v>
      </c>
      <c r="C5640" t="s">
        <v>657</v>
      </c>
      <c r="D5640" t="s">
        <v>1370</v>
      </c>
      <c r="E5640" t="s">
        <v>187</v>
      </c>
      <c r="F5640">
        <v>2016</v>
      </c>
      <c r="G5640">
        <v>1.6101719999999999</v>
      </c>
    </row>
    <row r="5641" spans="1:7">
      <c r="A5641" t="s">
        <v>1297</v>
      </c>
      <c r="B5641" t="s">
        <v>1298</v>
      </c>
      <c r="C5641" t="s">
        <v>657</v>
      </c>
      <c r="D5641" t="s">
        <v>1370</v>
      </c>
      <c r="E5641" t="s">
        <v>187</v>
      </c>
      <c r="F5641">
        <v>2020</v>
      </c>
      <c r="G5641">
        <v>1.6783090000000001</v>
      </c>
    </row>
    <row r="5642" spans="1:7">
      <c r="A5642" t="s">
        <v>1297</v>
      </c>
      <c r="B5642" t="s">
        <v>1298</v>
      </c>
      <c r="C5642" t="s">
        <v>653</v>
      </c>
      <c r="D5642" t="s">
        <v>1370</v>
      </c>
      <c r="E5642" t="s">
        <v>187</v>
      </c>
      <c r="F5642">
        <v>2005</v>
      </c>
      <c r="G5642">
        <v>1.8</v>
      </c>
    </row>
    <row r="5643" spans="1:7">
      <c r="A5643" t="s">
        <v>1297</v>
      </c>
      <c r="B5643" t="s">
        <v>1298</v>
      </c>
      <c r="C5643" t="s">
        <v>653</v>
      </c>
      <c r="D5643" t="s">
        <v>1370</v>
      </c>
      <c r="E5643" t="s">
        <v>187</v>
      </c>
      <c r="F5643">
        <v>2010</v>
      </c>
      <c r="G5643">
        <v>1.4363999999999999</v>
      </c>
    </row>
    <row r="5644" spans="1:7">
      <c r="A5644" t="s">
        <v>1297</v>
      </c>
      <c r="B5644" t="s">
        <v>1298</v>
      </c>
      <c r="C5644" t="s">
        <v>653</v>
      </c>
      <c r="D5644" t="s">
        <v>1370</v>
      </c>
      <c r="E5644" t="s">
        <v>187</v>
      </c>
      <c r="F5644">
        <v>2012</v>
      </c>
      <c r="G5644">
        <v>1.0871999999999999</v>
      </c>
    </row>
    <row r="5645" spans="1:7">
      <c r="A5645" t="s">
        <v>1297</v>
      </c>
      <c r="B5645" t="s">
        <v>1298</v>
      </c>
      <c r="C5645" t="s">
        <v>653</v>
      </c>
      <c r="D5645" t="s">
        <v>1370</v>
      </c>
      <c r="E5645" t="s">
        <v>187</v>
      </c>
      <c r="F5645">
        <v>2016</v>
      </c>
      <c r="G5645">
        <v>1.2744</v>
      </c>
    </row>
    <row r="5646" spans="1:7">
      <c r="A5646" t="s">
        <v>1297</v>
      </c>
      <c r="B5646" t="s">
        <v>1298</v>
      </c>
      <c r="C5646" t="s">
        <v>653</v>
      </c>
      <c r="D5646" t="s">
        <v>1370</v>
      </c>
      <c r="E5646" t="s">
        <v>187</v>
      </c>
      <c r="F5646">
        <v>2020</v>
      </c>
      <c r="G5646">
        <v>1.293941</v>
      </c>
    </row>
    <row r="5647" spans="1:7">
      <c r="A5647" t="s">
        <v>1297</v>
      </c>
      <c r="B5647" t="s">
        <v>1298</v>
      </c>
      <c r="C5647" t="s">
        <v>1303</v>
      </c>
      <c r="D5647" t="s">
        <v>1370</v>
      </c>
      <c r="E5647" t="s">
        <v>187</v>
      </c>
      <c r="F5647">
        <v>2016</v>
      </c>
      <c r="G5647">
        <v>1.08</v>
      </c>
    </row>
    <row r="5648" spans="1:7">
      <c r="A5648" t="s">
        <v>1297</v>
      </c>
      <c r="B5648" t="s">
        <v>1298</v>
      </c>
      <c r="C5648" t="s">
        <v>1303</v>
      </c>
      <c r="D5648" t="s">
        <v>1370</v>
      </c>
      <c r="E5648" t="s">
        <v>187</v>
      </c>
      <c r="F5648">
        <v>2020</v>
      </c>
      <c r="G5648">
        <v>1.50804</v>
      </c>
    </row>
    <row r="5649" spans="1:7">
      <c r="A5649" t="s">
        <v>1297</v>
      </c>
      <c r="B5649" t="s">
        <v>1298</v>
      </c>
      <c r="C5649" t="s">
        <v>655</v>
      </c>
      <c r="D5649" t="s">
        <v>1370</v>
      </c>
      <c r="E5649" t="s">
        <v>187</v>
      </c>
      <c r="F5649">
        <v>2005</v>
      </c>
      <c r="G5649">
        <v>6.48</v>
      </c>
    </row>
    <row r="5650" spans="1:7">
      <c r="A5650" t="s">
        <v>1297</v>
      </c>
      <c r="B5650" t="s">
        <v>1298</v>
      </c>
      <c r="C5650" t="s">
        <v>655</v>
      </c>
      <c r="D5650" t="s">
        <v>1370</v>
      </c>
      <c r="E5650" t="s">
        <v>187</v>
      </c>
      <c r="F5650">
        <v>2010</v>
      </c>
      <c r="G5650">
        <v>5.8643999999999998</v>
      </c>
    </row>
    <row r="5651" spans="1:7">
      <c r="A5651" t="s">
        <v>1297</v>
      </c>
      <c r="B5651" t="s">
        <v>1298</v>
      </c>
      <c r="C5651" t="s">
        <v>655</v>
      </c>
      <c r="D5651" t="s">
        <v>1370</v>
      </c>
      <c r="E5651" t="s">
        <v>187</v>
      </c>
      <c r="F5651">
        <v>2012</v>
      </c>
      <c r="G5651">
        <v>5.8103999999999996</v>
      </c>
    </row>
    <row r="5652" spans="1:7">
      <c r="A5652" t="s">
        <v>1297</v>
      </c>
      <c r="B5652" t="s">
        <v>1298</v>
      </c>
      <c r="C5652" t="s">
        <v>655</v>
      </c>
      <c r="D5652" t="s">
        <v>1370</v>
      </c>
      <c r="E5652" t="s">
        <v>187</v>
      </c>
      <c r="F5652">
        <v>2016</v>
      </c>
      <c r="G5652">
        <v>5.8895999999999997</v>
      </c>
    </row>
    <row r="5653" spans="1:7">
      <c r="A5653" t="s">
        <v>1297</v>
      </c>
      <c r="B5653" t="s">
        <v>1298</v>
      </c>
      <c r="C5653" t="s">
        <v>655</v>
      </c>
      <c r="D5653" t="s">
        <v>1370</v>
      </c>
      <c r="E5653" t="s">
        <v>187</v>
      </c>
      <c r="F5653">
        <v>2020</v>
      </c>
      <c r="G5653">
        <v>6.3149509999999998</v>
      </c>
    </row>
    <row r="5654" spans="1:7">
      <c r="A5654" t="s">
        <v>1297</v>
      </c>
      <c r="B5654" t="s">
        <v>1298</v>
      </c>
      <c r="C5654" t="s">
        <v>665</v>
      </c>
      <c r="D5654" t="s">
        <v>1370</v>
      </c>
      <c r="E5654" t="s">
        <v>187</v>
      </c>
      <c r="F5654">
        <v>2005</v>
      </c>
      <c r="G5654">
        <v>35.704799999999999</v>
      </c>
    </row>
    <row r="5655" spans="1:7">
      <c r="A5655" t="s">
        <v>1297</v>
      </c>
      <c r="B5655" t="s">
        <v>1298</v>
      </c>
      <c r="C5655" t="s">
        <v>665</v>
      </c>
      <c r="D5655" t="s">
        <v>1370</v>
      </c>
      <c r="E5655" t="s">
        <v>187</v>
      </c>
      <c r="F5655">
        <v>2010</v>
      </c>
      <c r="G5655">
        <v>38.397599999999997</v>
      </c>
    </row>
    <row r="5656" spans="1:7">
      <c r="A5656" t="s">
        <v>1297</v>
      </c>
      <c r="B5656" t="s">
        <v>1298</v>
      </c>
      <c r="C5656" t="s">
        <v>665</v>
      </c>
      <c r="D5656" t="s">
        <v>1370</v>
      </c>
      <c r="E5656" t="s">
        <v>187</v>
      </c>
      <c r="F5656">
        <v>2012</v>
      </c>
      <c r="G5656">
        <v>38.732399999999998</v>
      </c>
    </row>
    <row r="5657" spans="1:7">
      <c r="A5657" t="s">
        <v>1297</v>
      </c>
      <c r="B5657" t="s">
        <v>1298</v>
      </c>
      <c r="C5657" t="s">
        <v>665</v>
      </c>
      <c r="D5657" t="s">
        <v>1370</v>
      </c>
      <c r="E5657" t="s">
        <v>187</v>
      </c>
      <c r="F5657">
        <v>2016</v>
      </c>
      <c r="G5657">
        <v>40.183199999999999</v>
      </c>
    </row>
    <row r="5658" spans="1:7">
      <c r="A5658" t="s">
        <v>1297</v>
      </c>
      <c r="B5658" t="s">
        <v>1298</v>
      </c>
      <c r="C5658" t="s">
        <v>665</v>
      </c>
      <c r="D5658" t="s">
        <v>1370</v>
      </c>
      <c r="E5658" t="s">
        <v>187</v>
      </c>
      <c r="F5658">
        <v>2020</v>
      </c>
      <c r="G5658">
        <v>41.549745999999999</v>
      </c>
    </row>
    <row r="5659" spans="1:7">
      <c r="A5659" t="s">
        <v>1297</v>
      </c>
      <c r="B5659" t="s">
        <v>1298</v>
      </c>
      <c r="C5659" t="s">
        <v>680</v>
      </c>
      <c r="D5659" t="s">
        <v>1370</v>
      </c>
      <c r="E5659" t="s">
        <v>187</v>
      </c>
      <c r="F5659">
        <v>2012</v>
      </c>
      <c r="G5659">
        <v>3.5999999999999999E-3</v>
      </c>
    </row>
    <row r="5660" spans="1:7">
      <c r="A5660" t="s">
        <v>1297</v>
      </c>
      <c r="B5660" t="s">
        <v>1298</v>
      </c>
      <c r="C5660" t="s">
        <v>680</v>
      </c>
      <c r="D5660" t="s">
        <v>1370</v>
      </c>
      <c r="E5660" t="s">
        <v>187</v>
      </c>
      <c r="F5660">
        <v>2016</v>
      </c>
      <c r="G5660">
        <v>0.239368</v>
      </c>
    </row>
    <row r="5661" spans="1:7">
      <c r="A5661" t="s">
        <v>1297</v>
      </c>
      <c r="B5661" t="s">
        <v>1298</v>
      </c>
      <c r="C5661" t="s">
        <v>680</v>
      </c>
      <c r="D5661" t="s">
        <v>1370</v>
      </c>
      <c r="E5661" t="s">
        <v>187</v>
      </c>
      <c r="F5661">
        <v>2020</v>
      </c>
      <c r="G5661">
        <v>8.1198000000000006E-2</v>
      </c>
    </row>
    <row r="5662" spans="1:7">
      <c r="A5662" t="s">
        <v>1297</v>
      </c>
      <c r="B5662" t="s">
        <v>1298</v>
      </c>
      <c r="C5662" t="s">
        <v>686</v>
      </c>
      <c r="D5662" t="s">
        <v>1370</v>
      </c>
      <c r="E5662" t="s">
        <v>187</v>
      </c>
      <c r="F5662">
        <v>2005</v>
      </c>
      <c r="G5662">
        <v>0.88560000000000005</v>
      </c>
    </row>
    <row r="5663" spans="1:7">
      <c r="A5663" t="s">
        <v>1297</v>
      </c>
      <c r="B5663" t="s">
        <v>1298</v>
      </c>
      <c r="C5663" t="s">
        <v>686</v>
      </c>
      <c r="D5663" t="s">
        <v>1370</v>
      </c>
      <c r="E5663" t="s">
        <v>187</v>
      </c>
      <c r="F5663">
        <v>2010</v>
      </c>
      <c r="G5663">
        <v>0.80640000000000001</v>
      </c>
    </row>
    <row r="5664" spans="1:7">
      <c r="A5664" t="s">
        <v>1297</v>
      </c>
      <c r="B5664" t="s">
        <v>1298</v>
      </c>
      <c r="C5664" t="s">
        <v>686</v>
      </c>
      <c r="D5664" t="s">
        <v>1370</v>
      </c>
      <c r="E5664" t="s">
        <v>187</v>
      </c>
      <c r="F5664">
        <v>2012</v>
      </c>
      <c r="G5664">
        <v>1.7712000000000001</v>
      </c>
    </row>
    <row r="5665" spans="1:7">
      <c r="A5665" t="s">
        <v>1297</v>
      </c>
      <c r="B5665" t="s">
        <v>1298</v>
      </c>
      <c r="C5665" t="s">
        <v>686</v>
      </c>
      <c r="D5665" t="s">
        <v>1370</v>
      </c>
      <c r="E5665" t="s">
        <v>187</v>
      </c>
      <c r="F5665">
        <v>2016</v>
      </c>
      <c r="G5665">
        <v>1.2672000000000001</v>
      </c>
    </row>
    <row r="5666" spans="1:7">
      <c r="A5666" t="s">
        <v>1297</v>
      </c>
      <c r="B5666" t="s">
        <v>1298</v>
      </c>
      <c r="C5666" t="s">
        <v>686</v>
      </c>
      <c r="D5666" t="s">
        <v>1370</v>
      </c>
      <c r="E5666" t="s">
        <v>187</v>
      </c>
      <c r="F5666">
        <v>2020</v>
      </c>
      <c r="G5666">
        <v>1.349194</v>
      </c>
    </row>
    <row r="5667" spans="1:7">
      <c r="A5667" t="s">
        <v>1297</v>
      </c>
      <c r="B5667" t="s">
        <v>1298</v>
      </c>
      <c r="C5667" t="s">
        <v>676</v>
      </c>
      <c r="D5667" t="s">
        <v>1370</v>
      </c>
      <c r="E5667" t="s">
        <v>187</v>
      </c>
      <c r="F5667">
        <v>2005</v>
      </c>
      <c r="G5667">
        <v>2.0592000000000001</v>
      </c>
    </row>
    <row r="5668" spans="1:7">
      <c r="A5668" t="s">
        <v>1297</v>
      </c>
      <c r="B5668" t="s">
        <v>1298</v>
      </c>
      <c r="C5668" t="s">
        <v>676</v>
      </c>
      <c r="D5668" t="s">
        <v>1370</v>
      </c>
      <c r="E5668" t="s">
        <v>187</v>
      </c>
      <c r="F5668">
        <v>2010</v>
      </c>
      <c r="G5668">
        <v>1.9368000000000001</v>
      </c>
    </row>
    <row r="5669" spans="1:7">
      <c r="A5669" t="s">
        <v>1297</v>
      </c>
      <c r="B5669" t="s">
        <v>1298</v>
      </c>
      <c r="C5669" t="s">
        <v>676</v>
      </c>
      <c r="D5669" t="s">
        <v>1370</v>
      </c>
      <c r="E5669" t="s">
        <v>187</v>
      </c>
      <c r="F5669">
        <v>2012</v>
      </c>
      <c r="G5669">
        <v>2.016</v>
      </c>
    </row>
    <row r="5670" spans="1:7">
      <c r="A5670" t="s">
        <v>1297</v>
      </c>
      <c r="B5670" t="s">
        <v>1298</v>
      </c>
      <c r="C5670" t="s">
        <v>676</v>
      </c>
      <c r="D5670" t="s">
        <v>1370</v>
      </c>
      <c r="E5670" t="s">
        <v>187</v>
      </c>
      <c r="F5670">
        <v>2016</v>
      </c>
      <c r="G5670">
        <v>2.1852</v>
      </c>
    </row>
    <row r="5671" spans="1:7">
      <c r="A5671" t="s">
        <v>1297</v>
      </c>
      <c r="B5671" t="s">
        <v>1298</v>
      </c>
      <c r="C5671" t="s">
        <v>676</v>
      </c>
      <c r="D5671" t="s">
        <v>1370</v>
      </c>
      <c r="E5671" t="s">
        <v>187</v>
      </c>
      <c r="F5671">
        <v>2020</v>
      </c>
      <c r="G5671">
        <v>1.9079999999999999</v>
      </c>
    </row>
    <row r="5672" spans="1:7">
      <c r="A5672" t="s">
        <v>1297</v>
      </c>
      <c r="B5672" t="s">
        <v>1298</v>
      </c>
      <c r="C5672" t="s">
        <v>1301</v>
      </c>
      <c r="D5672" t="s">
        <v>1370</v>
      </c>
      <c r="E5672" t="s">
        <v>187</v>
      </c>
      <c r="F5672">
        <v>2005</v>
      </c>
      <c r="G5672">
        <v>2.7</v>
      </c>
    </row>
    <row r="5673" spans="1:7">
      <c r="A5673" t="s">
        <v>1297</v>
      </c>
      <c r="B5673" t="s">
        <v>1298</v>
      </c>
      <c r="C5673" t="s">
        <v>1301</v>
      </c>
      <c r="D5673" t="s">
        <v>1370</v>
      </c>
      <c r="E5673" t="s">
        <v>187</v>
      </c>
      <c r="F5673">
        <v>2010</v>
      </c>
      <c r="G5673">
        <v>2.1276000000000002</v>
      </c>
    </row>
    <row r="5674" spans="1:7">
      <c r="A5674" t="s">
        <v>1297</v>
      </c>
      <c r="B5674" t="s">
        <v>1298</v>
      </c>
      <c r="C5674" t="s">
        <v>1301</v>
      </c>
      <c r="D5674" t="s">
        <v>1370</v>
      </c>
      <c r="E5674" t="s">
        <v>187</v>
      </c>
      <c r="F5674">
        <v>2012</v>
      </c>
      <c r="G5674">
        <v>2.8763999999999998</v>
      </c>
    </row>
    <row r="5675" spans="1:7">
      <c r="A5675" t="s">
        <v>1297</v>
      </c>
      <c r="B5675" t="s">
        <v>1298</v>
      </c>
      <c r="C5675" t="s">
        <v>1301</v>
      </c>
      <c r="D5675" t="s">
        <v>1370</v>
      </c>
      <c r="E5675" t="s">
        <v>187</v>
      </c>
      <c r="F5675">
        <v>2016</v>
      </c>
      <c r="G5675">
        <v>4.1616</v>
      </c>
    </row>
    <row r="5676" spans="1:7">
      <c r="A5676" t="s">
        <v>1297</v>
      </c>
      <c r="B5676" t="s">
        <v>1298</v>
      </c>
      <c r="C5676" t="s">
        <v>1301</v>
      </c>
      <c r="D5676" t="s">
        <v>1370</v>
      </c>
      <c r="E5676" t="s">
        <v>187</v>
      </c>
      <c r="F5676">
        <v>2020</v>
      </c>
      <c r="G5676">
        <v>5.6792090000000002</v>
      </c>
    </row>
    <row r="5677" spans="1:7">
      <c r="A5677" t="s">
        <v>1297</v>
      </c>
      <c r="B5677" t="s">
        <v>1298</v>
      </c>
      <c r="C5677" t="s">
        <v>682</v>
      </c>
      <c r="D5677" t="s">
        <v>1370</v>
      </c>
      <c r="E5677" t="s">
        <v>187</v>
      </c>
      <c r="F5677">
        <v>2016</v>
      </c>
      <c r="G5677">
        <v>0.26279999999999998</v>
      </c>
    </row>
    <row r="5678" spans="1:7">
      <c r="A5678" t="s">
        <v>1297</v>
      </c>
      <c r="B5678" t="s">
        <v>1298</v>
      </c>
      <c r="C5678" t="s">
        <v>682</v>
      </c>
      <c r="D5678" t="s">
        <v>1370</v>
      </c>
      <c r="E5678" t="s">
        <v>187</v>
      </c>
      <c r="F5678">
        <v>2020</v>
      </c>
      <c r="G5678">
        <v>0.21240000000000001</v>
      </c>
    </row>
    <row r="5679" spans="1:7">
      <c r="A5679" t="s">
        <v>1297</v>
      </c>
      <c r="B5679" t="s">
        <v>1298</v>
      </c>
      <c r="C5679" t="s">
        <v>666</v>
      </c>
      <c r="D5679" t="s">
        <v>1370</v>
      </c>
      <c r="E5679" t="s">
        <v>187</v>
      </c>
      <c r="F5679">
        <v>2005</v>
      </c>
      <c r="G5679">
        <v>0.37080000000000002</v>
      </c>
    </row>
    <row r="5680" spans="1:7">
      <c r="A5680" t="s">
        <v>1297</v>
      </c>
      <c r="B5680" t="s">
        <v>1298</v>
      </c>
      <c r="C5680" t="s">
        <v>666</v>
      </c>
      <c r="D5680" t="s">
        <v>1370</v>
      </c>
      <c r="E5680" t="s">
        <v>187</v>
      </c>
      <c r="F5680">
        <v>2010</v>
      </c>
      <c r="G5680">
        <v>0.27360000000000001</v>
      </c>
    </row>
    <row r="5681" spans="1:7">
      <c r="A5681" t="s">
        <v>1297</v>
      </c>
      <c r="B5681" t="s">
        <v>1298</v>
      </c>
      <c r="C5681" t="s">
        <v>666</v>
      </c>
      <c r="D5681" t="s">
        <v>1370</v>
      </c>
      <c r="E5681" t="s">
        <v>187</v>
      </c>
      <c r="F5681">
        <v>2012</v>
      </c>
      <c r="G5681">
        <v>0.27</v>
      </c>
    </row>
    <row r="5682" spans="1:7">
      <c r="A5682" t="s">
        <v>1297</v>
      </c>
      <c r="B5682" t="s">
        <v>1298</v>
      </c>
      <c r="C5682" t="s">
        <v>666</v>
      </c>
      <c r="D5682" t="s">
        <v>1370</v>
      </c>
      <c r="E5682" t="s">
        <v>187</v>
      </c>
      <c r="F5682">
        <v>2016</v>
      </c>
      <c r="G5682">
        <v>0.25919999999999999</v>
      </c>
    </row>
    <row r="5683" spans="1:7">
      <c r="A5683" t="s">
        <v>1297</v>
      </c>
      <c r="B5683" t="s">
        <v>1298</v>
      </c>
      <c r="C5683" t="s">
        <v>666</v>
      </c>
      <c r="D5683" t="s">
        <v>1370</v>
      </c>
      <c r="E5683" t="s">
        <v>187</v>
      </c>
      <c r="F5683">
        <v>2020</v>
      </c>
      <c r="G5683">
        <v>0.27900000000000003</v>
      </c>
    </row>
    <row r="5684" spans="1:7">
      <c r="A5684" t="s">
        <v>1297</v>
      </c>
      <c r="B5684" t="s">
        <v>1298</v>
      </c>
      <c r="C5684" t="s">
        <v>672</v>
      </c>
      <c r="D5684" t="s">
        <v>1370</v>
      </c>
      <c r="E5684" t="s">
        <v>187</v>
      </c>
      <c r="F5684">
        <v>2005</v>
      </c>
      <c r="G5684">
        <v>1.6992</v>
      </c>
    </row>
    <row r="5685" spans="1:7">
      <c r="A5685" t="s">
        <v>1297</v>
      </c>
      <c r="B5685" t="s">
        <v>1298</v>
      </c>
      <c r="C5685" t="s">
        <v>672</v>
      </c>
      <c r="D5685" t="s">
        <v>1370</v>
      </c>
      <c r="E5685" t="s">
        <v>187</v>
      </c>
      <c r="F5685">
        <v>2010</v>
      </c>
      <c r="G5685">
        <v>1.71</v>
      </c>
    </row>
    <row r="5686" spans="1:7">
      <c r="A5686" t="s">
        <v>1297</v>
      </c>
      <c r="B5686" t="s">
        <v>1298</v>
      </c>
      <c r="C5686" t="s">
        <v>672</v>
      </c>
      <c r="D5686" t="s">
        <v>1370</v>
      </c>
      <c r="E5686" t="s">
        <v>187</v>
      </c>
      <c r="F5686">
        <v>2012</v>
      </c>
      <c r="G5686">
        <v>1.4436</v>
      </c>
    </row>
    <row r="5687" spans="1:7">
      <c r="A5687" t="s">
        <v>1297</v>
      </c>
      <c r="B5687" t="s">
        <v>1298</v>
      </c>
      <c r="C5687" t="s">
        <v>672</v>
      </c>
      <c r="D5687" t="s">
        <v>1370</v>
      </c>
      <c r="E5687" t="s">
        <v>187</v>
      </c>
      <c r="F5687">
        <v>2016</v>
      </c>
      <c r="G5687">
        <v>1.553933</v>
      </c>
    </row>
    <row r="5688" spans="1:7">
      <c r="A5688" t="s">
        <v>1297</v>
      </c>
      <c r="B5688" t="s">
        <v>1298</v>
      </c>
      <c r="C5688" t="s">
        <v>672</v>
      </c>
      <c r="D5688" t="s">
        <v>1370</v>
      </c>
      <c r="E5688" t="s">
        <v>187</v>
      </c>
      <c r="F5688">
        <v>2020</v>
      </c>
      <c r="G5688">
        <v>1.7800240000000001</v>
      </c>
    </row>
    <row r="5689" spans="1:7">
      <c r="A5689" t="s">
        <v>1297</v>
      </c>
      <c r="B5689" t="s">
        <v>1298</v>
      </c>
      <c r="C5689" t="s">
        <v>658</v>
      </c>
      <c r="D5689" t="s">
        <v>1370</v>
      </c>
      <c r="E5689" t="s">
        <v>187</v>
      </c>
      <c r="F5689">
        <v>2005</v>
      </c>
      <c r="G5689">
        <v>0.37080000000000002</v>
      </c>
    </row>
    <row r="5690" spans="1:7">
      <c r="A5690" t="s">
        <v>1297</v>
      </c>
      <c r="B5690" t="s">
        <v>1298</v>
      </c>
      <c r="C5690" t="s">
        <v>658</v>
      </c>
      <c r="D5690" t="s">
        <v>1370</v>
      </c>
      <c r="E5690" t="s">
        <v>187</v>
      </c>
      <c r="F5690">
        <v>2010</v>
      </c>
      <c r="G5690">
        <v>0.32040000000000002</v>
      </c>
    </row>
    <row r="5691" spans="1:7">
      <c r="A5691" t="s">
        <v>1297</v>
      </c>
      <c r="B5691" t="s">
        <v>1298</v>
      </c>
      <c r="C5691" t="s">
        <v>658</v>
      </c>
      <c r="D5691" t="s">
        <v>1370</v>
      </c>
      <c r="E5691" t="s">
        <v>187</v>
      </c>
      <c r="F5691">
        <v>2012</v>
      </c>
      <c r="G5691">
        <v>0.28439999999999999</v>
      </c>
    </row>
    <row r="5692" spans="1:7">
      <c r="A5692" t="s">
        <v>1297</v>
      </c>
      <c r="B5692" t="s">
        <v>1298</v>
      </c>
      <c r="C5692" t="s">
        <v>658</v>
      </c>
      <c r="D5692" t="s">
        <v>1370</v>
      </c>
      <c r="E5692" t="s">
        <v>187</v>
      </c>
      <c r="F5692">
        <v>2016</v>
      </c>
      <c r="G5692">
        <v>0.17280000000000001</v>
      </c>
    </row>
    <row r="5693" spans="1:7">
      <c r="A5693" t="s">
        <v>1297</v>
      </c>
      <c r="B5693" t="s">
        <v>1298</v>
      </c>
      <c r="C5693" t="s">
        <v>658</v>
      </c>
      <c r="D5693" t="s">
        <v>1370</v>
      </c>
      <c r="E5693" t="s">
        <v>187</v>
      </c>
      <c r="F5693">
        <v>2020</v>
      </c>
      <c r="G5693">
        <v>0.2016</v>
      </c>
    </row>
    <row r="5694" spans="1:7">
      <c r="A5694" t="s">
        <v>1297</v>
      </c>
      <c r="B5694" t="s">
        <v>1298</v>
      </c>
      <c r="C5694" t="s">
        <v>673</v>
      </c>
      <c r="D5694" t="s">
        <v>1370</v>
      </c>
      <c r="E5694" t="s">
        <v>187</v>
      </c>
      <c r="F5694">
        <v>2005</v>
      </c>
      <c r="G5694">
        <v>5.7960000000000003</v>
      </c>
    </row>
    <row r="5695" spans="1:7">
      <c r="A5695" t="s">
        <v>1297</v>
      </c>
      <c r="B5695" t="s">
        <v>1298</v>
      </c>
      <c r="C5695" t="s">
        <v>673</v>
      </c>
      <c r="D5695" t="s">
        <v>1370</v>
      </c>
      <c r="E5695" t="s">
        <v>187</v>
      </c>
      <c r="F5695">
        <v>2010</v>
      </c>
      <c r="G5695">
        <v>4.8780000000000001</v>
      </c>
    </row>
    <row r="5696" spans="1:7">
      <c r="A5696" t="s">
        <v>1297</v>
      </c>
      <c r="B5696" t="s">
        <v>1298</v>
      </c>
      <c r="C5696" t="s">
        <v>673</v>
      </c>
      <c r="D5696" t="s">
        <v>1370</v>
      </c>
      <c r="E5696" t="s">
        <v>187</v>
      </c>
      <c r="F5696">
        <v>2012</v>
      </c>
      <c r="G5696">
        <v>4.4207999999999998</v>
      </c>
    </row>
    <row r="5697" spans="1:7">
      <c r="A5697" t="s">
        <v>1297</v>
      </c>
      <c r="B5697" t="s">
        <v>1298</v>
      </c>
      <c r="C5697" t="s">
        <v>673</v>
      </c>
      <c r="D5697" t="s">
        <v>1370</v>
      </c>
      <c r="E5697" t="s">
        <v>187</v>
      </c>
      <c r="F5697">
        <v>2016</v>
      </c>
      <c r="G5697">
        <v>3.7728000000000002</v>
      </c>
    </row>
    <row r="5698" spans="1:7">
      <c r="A5698" t="s">
        <v>1297</v>
      </c>
      <c r="B5698" t="s">
        <v>1298</v>
      </c>
      <c r="C5698" t="s">
        <v>673</v>
      </c>
      <c r="D5698" t="s">
        <v>1370</v>
      </c>
      <c r="E5698" t="s">
        <v>187</v>
      </c>
      <c r="F5698">
        <v>2020</v>
      </c>
      <c r="G5698">
        <v>3.8165</v>
      </c>
    </row>
    <row r="5699" spans="1:7">
      <c r="A5699" t="s">
        <v>1297</v>
      </c>
      <c r="B5699" t="s">
        <v>1298</v>
      </c>
      <c r="C5699" t="s">
        <v>677</v>
      </c>
      <c r="D5699" t="s">
        <v>1370</v>
      </c>
      <c r="E5699" t="s">
        <v>187</v>
      </c>
      <c r="F5699">
        <v>2005</v>
      </c>
      <c r="G5699">
        <v>14.612399999999999</v>
      </c>
    </row>
    <row r="5700" spans="1:7">
      <c r="A5700" t="s">
        <v>1297</v>
      </c>
      <c r="B5700" t="s">
        <v>1298</v>
      </c>
      <c r="C5700" t="s">
        <v>677</v>
      </c>
      <c r="D5700" t="s">
        <v>1370</v>
      </c>
      <c r="E5700" t="s">
        <v>187</v>
      </c>
      <c r="F5700">
        <v>2010</v>
      </c>
      <c r="G5700">
        <v>14.6412</v>
      </c>
    </row>
    <row r="5701" spans="1:7">
      <c r="A5701" t="s">
        <v>1297</v>
      </c>
      <c r="B5701" t="s">
        <v>1298</v>
      </c>
      <c r="C5701" t="s">
        <v>677</v>
      </c>
      <c r="D5701" t="s">
        <v>1370</v>
      </c>
      <c r="E5701" t="s">
        <v>187</v>
      </c>
      <c r="F5701">
        <v>2012</v>
      </c>
      <c r="G5701">
        <v>16.128</v>
      </c>
    </row>
    <row r="5702" spans="1:7">
      <c r="A5702" t="s">
        <v>1297</v>
      </c>
      <c r="B5702" t="s">
        <v>1298</v>
      </c>
      <c r="C5702" t="s">
        <v>677</v>
      </c>
      <c r="D5702" t="s">
        <v>1370</v>
      </c>
      <c r="E5702" t="s">
        <v>187</v>
      </c>
      <c r="F5702">
        <v>2016</v>
      </c>
      <c r="G5702">
        <v>16.884323999999999</v>
      </c>
    </row>
    <row r="5703" spans="1:7">
      <c r="A5703" t="s">
        <v>1297</v>
      </c>
      <c r="B5703" t="s">
        <v>1298</v>
      </c>
      <c r="C5703" t="s">
        <v>677</v>
      </c>
      <c r="D5703" t="s">
        <v>1370</v>
      </c>
      <c r="E5703" t="s">
        <v>187</v>
      </c>
      <c r="F5703">
        <v>2020</v>
      </c>
      <c r="G5703">
        <v>19.64106</v>
      </c>
    </row>
    <row r="5704" spans="1:7">
      <c r="A5704" t="s">
        <v>1297</v>
      </c>
      <c r="B5704" t="s">
        <v>1298</v>
      </c>
      <c r="C5704" t="s">
        <v>289</v>
      </c>
      <c r="D5704" t="s">
        <v>1370</v>
      </c>
      <c r="E5704" t="s">
        <v>187</v>
      </c>
      <c r="F5704">
        <v>2005</v>
      </c>
      <c r="G5704">
        <v>0.93959999999999999</v>
      </c>
    </row>
    <row r="5705" spans="1:7">
      <c r="A5705" t="s">
        <v>1297</v>
      </c>
      <c r="B5705" t="s">
        <v>1298</v>
      </c>
      <c r="C5705" t="s">
        <v>289</v>
      </c>
      <c r="D5705" t="s">
        <v>1370</v>
      </c>
      <c r="E5705" t="s">
        <v>187</v>
      </c>
      <c r="F5705">
        <v>2010</v>
      </c>
      <c r="G5705">
        <v>0.96120000000000005</v>
      </c>
    </row>
    <row r="5706" spans="1:7">
      <c r="A5706" t="s">
        <v>1297</v>
      </c>
      <c r="B5706" t="s">
        <v>1298</v>
      </c>
      <c r="C5706" t="s">
        <v>289</v>
      </c>
      <c r="D5706" t="s">
        <v>1370</v>
      </c>
      <c r="E5706" t="s">
        <v>187</v>
      </c>
      <c r="F5706">
        <v>2012</v>
      </c>
      <c r="G5706">
        <v>0.89639999999999997</v>
      </c>
    </row>
    <row r="5707" spans="1:7">
      <c r="A5707" t="s">
        <v>1297</v>
      </c>
      <c r="B5707" t="s">
        <v>1298</v>
      </c>
      <c r="C5707" t="s">
        <v>289</v>
      </c>
      <c r="D5707" t="s">
        <v>1370</v>
      </c>
      <c r="E5707" t="s">
        <v>187</v>
      </c>
      <c r="F5707">
        <v>2016</v>
      </c>
      <c r="G5707">
        <v>0.90359999999999996</v>
      </c>
    </row>
    <row r="5708" spans="1:7">
      <c r="A5708" t="s">
        <v>1297</v>
      </c>
      <c r="B5708" t="s">
        <v>1298</v>
      </c>
      <c r="C5708" t="s">
        <v>289</v>
      </c>
      <c r="D5708" t="s">
        <v>1370</v>
      </c>
      <c r="E5708" t="s">
        <v>187</v>
      </c>
      <c r="F5708">
        <v>2020</v>
      </c>
      <c r="G5708">
        <v>0.98243999999999998</v>
      </c>
    </row>
    <row r="5709" spans="1:7">
      <c r="A5709" t="s">
        <v>1297</v>
      </c>
      <c r="B5709" t="s">
        <v>1298</v>
      </c>
      <c r="C5709" t="s">
        <v>662</v>
      </c>
      <c r="D5709" t="s">
        <v>1370</v>
      </c>
      <c r="E5709" t="s">
        <v>187</v>
      </c>
      <c r="F5709">
        <v>2005</v>
      </c>
      <c r="G5709">
        <v>0.71640000000000004</v>
      </c>
    </row>
    <row r="5710" spans="1:7">
      <c r="A5710" t="s">
        <v>1297</v>
      </c>
      <c r="B5710" t="s">
        <v>1298</v>
      </c>
      <c r="C5710" t="s">
        <v>662</v>
      </c>
      <c r="D5710" t="s">
        <v>1370</v>
      </c>
      <c r="E5710" t="s">
        <v>187</v>
      </c>
      <c r="F5710">
        <v>2010</v>
      </c>
      <c r="G5710">
        <v>0.65880000000000005</v>
      </c>
    </row>
    <row r="5711" spans="1:7">
      <c r="A5711" t="s">
        <v>1297</v>
      </c>
      <c r="B5711" t="s">
        <v>1298</v>
      </c>
      <c r="C5711" t="s">
        <v>662</v>
      </c>
      <c r="D5711" t="s">
        <v>1370</v>
      </c>
      <c r="E5711" t="s">
        <v>187</v>
      </c>
      <c r="F5711">
        <v>2012</v>
      </c>
      <c r="G5711">
        <v>0.6804</v>
      </c>
    </row>
    <row r="5712" spans="1:7">
      <c r="A5712" t="s">
        <v>1297</v>
      </c>
      <c r="B5712" t="s">
        <v>1298</v>
      </c>
      <c r="C5712" t="s">
        <v>662</v>
      </c>
      <c r="D5712" t="s">
        <v>1370</v>
      </c>
      <c r="E5712" t="s">
        <v>187</v>
      </c>
      <c r="F5712">
        <v>2016</v>
      </c>
      <c r="G5712">
        <v>0.66959999999999997</v>
      </c>
    </row>
    <row r="5713" spans="1:7">
      <c r="A5713" t="s">
        <v>1297</v>
      </c>
      <c r="B5713" t="s">
        <v>1298</v>
      </c>
      <c r="C5713" t="s">
        <v>662</v>
      </c>
      <c r="D5713" t="s">
        <v>1370</v>
      </c>
      <c r="E5713" t="s">
        <v>187</v>
      </c>
      <c r="F5713">
        <v>2020</v>
      </c>
      <c r="G5713">
        <v>0.73002199999999995</v>
      </c>
    </row>
    <row r="5714" spans="1:7">
      <c r="A5714" t="s">
        <v>1297</v>
      </c>
      <c r="B5714" t="s">
        <v>1298</v>
      </c>
      <c r="C5714" t="s">
        <v>684</v>
      </c>
      <c r="D5714" t="s">
        <v>1370</v>
      </c>
      <c r="E5714" t="s">
        <v>187</v>
      </c>
      <c r="F5714">
        <v>2005</v>
      </c>
      <c r="G5714">
        <v>8.2799999999999999E-2</v>
      </c>
    </row>
    <row r="5715" spans="1:7">
      <c r="A5715" t="s">
        <v>1297</v>
      </c>
      <c r="B5715" t="s">
        <v>1298</v>
      </c>
      <c r="C5715" t="s">
        <v>684</v>
      </c>
      <c r="D5715" t="s">
        <v>1370</v>
      </c>
      <c r="E5715" t="s">
        <v>187</v>
      </c>
      <c r="F5715">
        <v>2010</v>
      </c>
      <c r="G5715">
        <v>7.9200000000000007E-2</v>
      </c>
    </row>
    <row r="5716" spans="1:7">
      <c r="A5716" t="s">
        <v>1297</v>
      </c>
      <c r="B5716" t="s">
        <v>1298</v>
      </c>
      <c r="C5716" t="s">
        <v>684</v>
      </c>
      <c r="D5716" t="s">
        <v>1370</v>
      </c>
      <c r="E5716" t="s">
        <v>187</v>
      </c>
      <c r="F5716">
        <v>2012</v>
      </c>
      <c r="G5716">
        <v>5.3999999999999999E-2</v>
      </c>
    </row>
    <row r="5717" spans="1:7">
      <c r="A5717" t="s">
        <v>1297</v>
      </c>
      <c r="B5717" t="s">
        <v>1298</v>
      </c>
      <c r="C5717" t="s">
        <v>684</v>
      </c>
      <c r="D5717" t="s">
        <v>1370</v>
      </c>
      <c r="E5717" t="s">
        <v>187</v>
      </c>
      <c r="F5717">
        <v>2016</v>
      </c>
      <c r="G5717">
        <v>7.5600000000000001E-2</v>
      </c>
    </row>
    <row r="5718" spans="1:7">
      <c r="A5718" t="s">
        <v>1297</v>
      </c>
      <c r="B5718" t="s">
        <v>1298</v>
      </c>
      <c r="C5718" t="s">
        <v>684</v>
      </c>
      <c r="D5718" t="s">
        <v>1370</v>
      </c>
      <c r="E5718" t="s">
        <v>187</v>
      </c>
      <c r="F5718">
        <v>2020</v>
      </c>
      <c r="G5718">
        <v>7.4520000000000003E-2</v>
      </c>
    </row>
    <row r="5719" spans="1:7">
      <c r="A5719" t="s">
        <v>1297</v>
      </c>
      <c r="B5719" t="s">
        <v>1298</v>
      </c>
      <c r="C5719" t="s">
        <v>671</v>
      </c>
      <c r="D5719" t="s">
        <v>1370</v>
      </c>
      <c r="E5719" t="s">
        <v>187</v>
      </c>
      <c r="F5719">
        <v>2005</v>
      </c>
      <c r="G5719">
        <v>14.3604</v>
      </c>
    </row>
    <row r="5720" spans="1:7">
      <c r="A5720" t="s">
        <v>1297</v>
      </c>
      <c r="B5720" t="s">
        <v>1298</v>
      </c>
      <c r="C5720" t="s">
        <v>671</v>
      </c>
      <c r="D5720" t="s">
        <v>1370</v>
      </c>
      <c r="E5720" t="s">
        <v>187</v>
      </c>
      <c r="F5720">
        <v>2010</v>
      </c>
      <c r="G5720">
        <v>12.0168</v>
      </c>
    </row>
    <row r="5721" spans="1:7">
      <c r="A5721" t="s">
        <v>1297</v>
      </c>
      <c r="B5721" t="s">
        <v>1298</v>
      </c>
      <c r="C5721" t="s">
        <v>671</v>
      </c>
      <c r="D5721" t="s">
        <v>1370</v>
      </c>
      <c r="E5721" t="s">
        <v>187</v>
      </c>
      <c r="F5721">
        <v>2012</v>
      </c>
      <c r="G5721">
        <v>11.52</v>
      </c>
    </row>
    <row r="5722" spans="1:7">
      <c r="A5722" t="s">
        <v>1297</v>
      </c>
      <c r="B5722" t="s">
        <v>1298</v>
      </c>
      <c r="C5722" t="s">
        <v>671</v>
      </c>
      <c r="D5722" t="s">
        <v>1370</v>
      </c>
      <c r="E5722" t="s">
        <v>187</v>
      </c>
      <c r="F5722">
        <v>2016</v>
      </c>
      <c r="G5722">
        <v>11.8332</v>
      </c>
    </row>
    <row r="5723" spans="1:7">
      <c r="A5723" t="s">
        <v>1297</v>
      </c>
      <c r="B5723" t="s">
        <v>1298</v>
      </c>
      <c r="C5723" t="s">
        <v>671</v>
      </c>
      <c r="D5723" t="s">
        <v>1370</v>
      </c>
      <c r="E5723" t="s">
        <v>187</v>
      </c>
      <c r="F5723">
        <v>2020</v>
      </c>
      <c r="G5723">
        <v>12.287452</v>
      </c>
    </row>
    <row r="5724" spans="1:7">
      <c r="A5724" t="s">
        <v>1297</v>
      </c>
      <c r="B5724" t="s">
        <v>1298</v>
      </c>
      <c r="C5724" t="s">
        <v>656</v>
      </c>
      <c r="D5724" t="s">
        <v>1370</v>
      </c>
      <c r="E5724" t="s">
        <v>187</v>
      </c>
      <c r="F5724">
        <v>2005</v>
      </c>
      <c r="G5724">
        <v>47.2896</v>
      </c>
    </row>
    <row r="5725" spans="1:7">
      <c r="A5725" t="s">
        <v>1297</v>
      </c>
      <c r="B5725" t="s">
        <v>1298</v>
      </c>
      <c r="C5725" t="s">
        <v>656</v>
      </c>
      <c r="D5725" t="s">
        <v>1370</v>
      </c>
      <c r="E5725" t="s">
        <v>187</v>
      </c>
      <c r="F5725">
        <v>2010</v>
      </c>
      <c r="G5725">
        <v>43.488</v>
      </c>
    </row>
    <row r="5726" spans="1:7">
      <c r="A5726" t="s">
        <v>1297</v>
      </c>
      <c r="B5726" t="s">
        <v>1298</v>
      </c>
      <c r="C5726" t="s">
        <v>656</v>
      </c>
      <c r="D5726" t="s">
        <v>1370</v>
      </c>
      <c r="E5726" t="s">
        <v>187</v>
      </c>
      <c r="F5726">
        <v>2012</v>
      </c>
      <c r="G5726">
        <v>43.29</v>
      </c>
    </row>
    <row r="5727" spans="1:7">
      <c r="A5727" t="s">
        <v>1297</v>
      </c>
      <c r="B5727" t="s">
        <v>1298</v>
      </c>
      <c r="C5727" t="s">
        <v>656</v>
      </c>
      <c r="D5727" t="s">
        <v>1370</v>
      </c>
      <c r="E5727" t="s">
        <v>187</v>
      </c>
      <c r="F5727">
        <v>2016</v>
      </c>
      <c r="G5727">
        <v>42.256799999999998</v>
      </c>
    </row>
    <row r="5728" spans="1:7">
      <c r="A5728" t="s">
        <v>1297</v>
      </c>
      <c r="B5728" t="s">
        <v>1298</v>
      </c>
      <c r="C5728" t="s">
        <v>656</v>
      </c>
      <c r="D5728" t="s">
        <v>1370</v>
      </c>
      <c r="E5728" t="s">
        <v>187</v>
      </c>
      <c r="F5728">
        <v>2020</v>
      </c>
      <c r="G5728">
        <v>41.777999999999999</v>
      </c>
    </row>
    <row r="5729" spans="1:7">
      <c r="A5729" t="s">
        <v>1297</v>
      </c>
      <c r="B5729" t="s">
        <v>1298</v>
      </c>
      <c r="C5729" t="s">
        <v>674</v>
      </c>
      <c r="D5729" t="s">
        <v>1370</v>
      </c>
      <c r="E5729" t="s">
        <v>187</v>
      </c>
      <c r="F5729">
        <v>2005</v>
      </c>
      <c r="G5729">
        <v>10.1448</v>
      </c>
    </row>
    <row r="5730" spans="1:7">
      <c r="A5730" t="s">
        <v>1297</v>
      </c>
      <c r="B5730" t="s">
        <v>1298</v>
      </c>
      <c r="C5730" t="s">
        <v>674</v>
      </c>
      <c r="D5730" t="s">
        <v>1370</v>
      </c>
      <c r="E5730" t="s">
        <v>187</v>
      </c>
      <c r="F5730">
        <v>2010</v>
      </c>
      <c r="G5730">
        <v>8.6544000000000008</v>
      </c>
    </row>
    <row r="5731" spans="1:7">
      <c r="A5731" t="s">
        <v>1297</v>
      </c>
      <c r="B5731" t="s">
        <v>1298</v>
      </c>
      <c r="C5731" t="s">
        <v>674</v>
      </c>
      <c r="D5731" t="s">
        <v>1370</v>
      </c>
      <c r="E5731" t="s">
        <v>187</v>
      </c>
      <c r="F5731">
        <v>2012</v>
      </c>
      <c r="G5731">
        <v>9.6660000000000004</v>
      </c>
    </row>
    <row r="5732" spans="1:7">
      <c r="A5732" t="s">
        <v>1297</v>
      </c>
      <c r="B5732" t="s">
        <v>1298</v>
      </c>
      <c r="C5732" t="s">
        <v>674</v>
      </c>
      <c r="D5732" t="s">
        <v>1370</v>
      </c>
      <c r="E5732" t="s">
        <v>187</v>
      </c>
      <c r="F5732">
        <v>2016</v>
      </c>
      <c r="G5732">
        <v>9.5904000000000007</v>
      </c>
    </row>
    <row r="5733" spans="1:7">
      <c r="A5733" t="s">
        <v>1297</v>
      </c>
      <c r="B5733" t="s">
        <v>1298</v>
      </c>
      <c r="C5733" t="s">
        <v>674</v>
      </c>
      <c r="D5733" t="s">
        <v>1370</v>
      </c>
      <c r="E5733" t="s">
        <v>187</v>
      </c>
      <c r="F5733">
        <v>2020</v>
      </c>
      <c r="G5733">
        <v>9.8567999999999998</v>
      </c>
    </row>
    <row r="5734" spans="1:7">
      <c r="A5734" t="s">
        <v>1297</v>
      </c>
      <c r="B5734" t="s">
        <v>1298</v>
      </c>
      <c r="C5734" t="s">
        <v>652</v>
      </c>
      <c r="D5734" t="s">
        <v>1370</v>
      </c>
      <c r="E5734" t="s">
        <v>187</v>
      </c>
      <c r="F5734">
        <v>2005</v>
      </c>
      <c r="G5734">
        <v>6.1020000000000003</v>
      </c>
    </row>
    <row r="5735" spans="1:7">
      <c r="A5735" t="s">
        <v>1297</v>
      </c>
      <c r="B5735" t="s">
        <v>1298</v>
      </c>
      <c r="C5735" t="s">
        <v>652</v>
      </c>
      <c r="D5735" t="s">
        <v>1370</v>
      </c>
      <c r="E5735" t="s">
        <v>187</v>
      </c>
      <c r="F5735">
        <v>2010</v>
      </c>
      <c r="G5735">
        <v>6.3064799999999996</v>
      </c>
    </row>
    <row r="5736" spans="1:7">
      <c r="A5736" t="s">
        <v>1297</v>
      </c>
      <c r="B5736" t="s">
        <v>1298</v>
      </c>
      <c r="C5736" t="s">
        <v>652</v>
      </c>
      <c r="D5736" t="s">
        <v>1370</v>
      </c>
      <c r="E5736" t="s">
        <v>187</v>
      </c>
      <c r="F5736">
        <v>2012</v>
      </c>
      <c r="G5736">
        <v>5.90076</v>
      </c>
    </row>
    <row r="5737" spans="1:7">
      <c r="A5737" t="s">
        <v>1297</v>
      </c>
      <c r="B5737" t="s">
        <v>1298</v>
      </c>
      <c r="C5737" t="s">
        <v>652</v>
      </c>
      <c r="D5737" t="s">
        <v>1370</v>
      </c>
      <c r="E5737" t="s">
        <v>187</v>
      </c>
      <c r="F5737">
        <v>2016</v>
      </c>
      <c r="G5737">
        <v>5.9860800000000003</v>
      </c>
    </row>
    <row r="5738" spans="1:7">
      <c r="A5738" t="s">
        <v>1297</v>
      </c>
      <c r="B5738" t="s">
        <v>1298</v>
      </c>
      <c r="C5738" t="s">
        <v>652</v>
      </c>
      <c r="D5738" t="s">
        <v>1370</v>
      </c>
      <c r="E5738" t="s">
        <v>187</v>
      </c>
      <c r="F5738">
        <v>2020</v>
      </c>
      <c r="G5738">
        <v>6.4573200000000002</v>
      </c>
    </row>
    <row r="5739" spans="1:7">
      <c r="A5739" t="s">
        <v>1297</v>
      </c>
      <c r="B5739" t="s">
        <v>1298</v>
      </c>
      <c r="C5739" t="s">
        <v>668</v>
      </c>
      <c r="D5739" t="s">
        <v>1370</v>
      </c>
      <c r="E5739" t="s">
        <v>187</v>
      </c>
      <c r="F5739">
        <v>2005</v>
      </c>
      <c r="G5739">
        <v>0.53280000000000005</v>
      </c>
    </row>
    <row r="5740" spans="1:7">
      <c r="A5740" t="s">
        <v>1297</v>
      </c>
      <c r="B5740" t="s">
        <v>1298</v>
      </c>
      <c r="C5740" t="s">
        <v>668</v>
      </c>
      <c r="D5740" t="s">
        <v>1370</v>
      </c>
      <c r="E5740" t="s">
        <v>187</v>
      </c>
      <c r="F5740">
        <v>2010</v>
      </c>
      <c r="G5740">
        <v>0.4536</v>
      </c>
    </row>
    <row r="5741" spans="1:7">
      <c r="A5741" t="s">
        <v>1297</v>
      </c>
      <c r="B5741" t="s">
        <v>1298</v>
      </c>
      <c r="C5741" t="s">
        <v>668</v>
      </c>
      <c r="D5741" t="s">
        <v>1370</v>
      </c>
      <c r="E5741" t="s">
        <v>187</v>
      </c>
      <c r="F5741">
        <v>2012</v>
      </c>
      <c r="G5741">
        <v>0.46439999999999998</v>
      </c>
    </row>
    <row r="5742" spans="1:7">
      <c r="A5742" t="s">
        <v>1297</v>
      </c>
      <c r="B5742" t="s">
        <v>1298</v>
      </c>
      <c r="C5742" t="s">
        <v>668</v>
      </c>
      <c r="D5742" t="s">
        <v>1370</v>
      </c>
      <c r="E5742" t="s">
        <v>187</v>
      </c>
      <c r="F5742">
        <v>2016</v>
      </c>
      <c r="G5742">
        <v>0.378</v>
      </c>
    </row>
    <row r="5743" spans="1:7">
      <c r="A5743" t="s">
        <v>1297</v>
      </c>
      <c r="B5743" t="s">
        <v>1298</v>
      </c>
      <c r="C5743" t="s">
        <v>668</v>
      </c>
      <c r="D5743" t="s">
        <v>1370</v>
      </c>
      <c r="E5743" t="s">
        <v>187</v>
      </c>
      <c r="F5743">
        <v>2020</v>
      </c>
      <c r="G5743">
        <v>0.41791299999999998</v>
      </c>
    </row>
    <row r="5744" spans="1:7">
      <c r="A5744" t="s">
        <v>1297</v>
      </c>
      <c r="B5744" t="s">
        <v>1298</v>
      </c>
      <c r="C5744" t="s">
        <v>675</v>
      </c>
      <c r="D5744" t="s">
        <v>1370</v>
      </c>
      <c r="E5744" t="s">
        <v>187</v>
      </c>
      <c r="F5744">
        <v>2005</v>
      </c>
      <c r="G5744">
        <v>0.71279999999999999</v>
      </c>
    </row>
    <row r="5745" spans="1:7">
      <c r="A5745" t="s">
        <v>1297</v>
      </c>
      <c r="B5745" t="s">
        <v>1298</v>
      </c>
      <c r="C5745" t="s">
        <v>675</v>
      </c>
      <c r="D5745" t="s">
        <v>1370</v>
      </c>
      <c r="E5745" t="s">
        <v>187</v>
      </c>
      <c r="F5745">
        <v>2010</v>
      </c>
      <c r="G5745">
        <v>0.62280000000000002</v>
      </c>
    </row>
    <row r="5746" spans="1:7">
      <c r="A5746" t="s">
        <v>1297</v>
      </c>
      <c r="B5746" t="s">
        <v>1298</v>
      </c>
      <c r="C5746" t="s">
        <v>675</v>
      </c>
      <c r="D5746" t="s">
        <v>1370</v>
      </c>
      <c r="E5746" t="s">
        <v>187</v>
      </c>
      <c r="F5746">
        <v>2012</v>
      </c>
      <c r="G5746">
        <v>0.57240000000000002</v>
      </c>
    </row>
    <row r="5747" spans="1:7">
      <c r="A5747" t="s">
        <v>1297</v>
      </c>
      <c r="B5747" t="s">
        <v>1298</v>
      </c>
      <c r="C5747" t="s">
        <v>675</v>
      </c>
      <c r="D5747" t="s">
        <v>1370</v>
      </c>
      <c r="E5747" t="s">
        <v>187</v>
      </c>
      <c r="F5747">
        <v>2016</v>
      </c>
      <c r="G5747">
        <v>0.59760000000000002</v>
      </c>
    </row>
    <row r="5748" spans="1:7">
      <c r="A5748" t="s">
        <v>1297</v>
      </c>
      <c r="B5748" t="s">
        <v>1298</v>
      </c>
      <c r="C5748" t="s">
        <v>675</v>
      </c>
      <c r="D5748" t="s">
        <v>1370</v>
      </c>
      <c r="E5748" t="s">
        <v>187</v>
      </c>
      <c r="F5748">
        <v>2020</v>
      </c>
      <c r="G5748">
        <v>0.83165800000000001</v>
      </c>
    </row>
    <row r="5749" spans="1:7">
      <c r="A5749" t="s">
        <v>1297</v>
      </c>
      <c r="B5749" t="s">
        <v>1298</v>
      </c>
      <c r="C5749" t="s">
        <v>1300</v>
      </c>
      <c r="D5749" t="s">
        <v>1370</v>
      </c>
      <c r="E5749" t="s">
        <v>187</v>
      </c>
      <c r="F5749">
        <v>2010</v>
      </c>
      <c r="G5749">
        <v>0.1656</v>
      </c>
    </row>
    <row r="5750" spans="1:7">
      <c r="A5750" t="s">
        <v>1297</v>
      </c>
      <c r="B5750" t="s">
        <v>1298</v>
      </c>
      <c r="C5750" t="s">
        <v>1300</v>
      </c>
      <c r="D5750" t="s">
        <v>1370</v>
      </c>
      <c r="E5750" t="s">
        <v>187</v>
      </c>
      <c r="F5750">
        <v>2012</v>
      </c>
      <c r="G5750">
        <v>0.19439999999999999</v>
      </c>
    </row>
    <row r="5751" spans="1:7">
      <c r="A5751" t="s">
        <v>1297</v>
      </c>
      <c r="B5751" t="s">
        <v>1298</v>
      </c>
      <c r="C5751" t="s">
        <v>1300</v>
      </c>
      <c r="D5751" t="s">
        <v>1370</v>
      </c>
      <c r="E5751" t="s">
        <v>187</v>
      </c>
      <c r="F5751">
        <v>2016</v>
      </c>
      <c r="G5751">
        <v>0.22320000000000001</v>
      </c>
    </row>
    <row r="5752" spans="1:7">
      <c r="A5752" t="s">
        <v>1297</v>
      </c>
      <c r="B5752" t="s">
        <v>1298</v>
      </c>
      <c r="C5752" t="s">
        <v>1300</v>
      </c>
      <c r="D5752" t="s">
        <v>1370</v>
      </c>
      <c r="E5752" t="s">
        <v>187</v>
      </c>
      <c r="F5752">
        <v>2020</v>
      </c>
      <c r="G5752">
        <v>0.16200000000000001</v>
      </c>
    </row>
    <row r="5753" spans="1:7">
      <c r="A5753" t="s">
        <v>1297</v>
      </c>
      <c r="B5753" t="s">
        <v>1298</v>
      </c>
      <c r="C5753" t="s">
        <v>681</v>
      </c>
      <c r="D5753" t="s">
        <v>1370</v>
      </c>
      <c r="E5753" t="s">
        <v>187</v>
      </c>
      <c r="F5753">
        <v>2005</v>
      </c>
      <c r="G5753">
        <v>4.3200000000000002E-2</v>
      </c>
    </row>
    <row r="5754" spans="1:7">
      <c r="A5754" t="s">
        <v>1297</v>
      </c>
      <c r="B5754" t="s">
        <v>1298</v>
      </c>
      <c r="C5754" t="s">
        <v>681</v>
      </c>
      <c r="D5754" t="s">
        <v>1370</v>
      </c>
      <c r="E5754" t="s">
        <v>187</v>
      </c>
      <c r="F5754">
        <v>2020</v>
      </c>
      <c r="G5754">
        <v>1.3140000000000001E-2</v>
      </c>
    </row>
    <row r="5755" spans="1:7">
      <c r="A5755" t="s">
        <v>1297</v>
      </c>
      <c r="B5755" t="s">
        <v>1298</v>
      </c>
      <c r="C5755" t="s">
        <v>663</v>
      </c>
      <c r="D5755" t="s">
        <v>1370</v>
      </c>
      <c r="E5755" t="s">
        <v>187</v>
      </c>
      <c r="F5755">
        <v>2005</v>
      </c>
      <c r="G5755">
        <v>3.9456000000000002</v>
      </c>
    </row>
    <row r="5756" spans="1:7">
      <c r="A5756" t="s">
        <v>1297</v>
      </c>
      <c r="B5756" t="s">
        <v>1298</v>
      </c>
      <c r="C5756" t="s">
        <v>663</v>
      </c>
      <c r="D5756" t="s">
        <v>1370</v>
      </c>
      <c r="E5756" t="s">
        <v>187</v>
      </c>
      <c r="F5756">
        <v>2010</v>
      </c>
      <c r="G5756">
        <v>3.9815999999999998</v>
      </c>
    </row>
    <row r="5757" spans="1:7">
      <c r="A5757" t="s">
        <v>1297</v>
      </c>
      <c r="B5757" t="s">
        <v>1298</v>
      </c>
      <c r="C5757" t="s">
        <v>663</v>
      </c>
      <c r="D5757" t="s">
        <v>1370</v>
      </c>
      <c r="E5757" t="s">
        <v>187</v>
      </c>
      <c r="F5757">
        <v>2012</v>
      </c>
      <c r="G5757">
        <v>3.5388000000000002</v>
      </c>
    </row>
    <row r="5758" spans="1:7">
      <c r="A5758" t="s">
        <v>1297</v>
      </c>
      <c r="B5758" t="s">
        <v>1298</v>
      </c>
      <c r="C5758" t="s">
        <v>663</v>
      </c>
      <c r="D5758" t="s">
        <v>1370</v>
      </c>
      <c r="E5758" t="s">
        <v>187</v>
      </c>
      <c r="F5758">
        <v>2016</v>
      </c>
      <c r="G5758">
        <v>4.2371999999999996</v>
      </c>
    </row>
    <row r="5759" spans="1:7">
      <c r="A5759" t="s">
        <v>1297</v>
      </c>
      <c r="B5759" t="s">
        <v>1298</v>
      </c>
      <c r="C5759" t="s">
        <v>663</v>
      </c>
      <c r="D5759" t="s">
        <v>1370</v>
      </c>
      <c r="E5759" t="s">
        <v>187</v>
      </c>
      <c r="F5759">
        <v>2020</v>
      </c>
      <c r="G5759">
        <v>4.2804000000000002</v>
      </c>
    </row>
    <row r="5760" spans="1:7">
      <c r="A5760" t="s">
        <v>1297</v>
      </c>
      <c r="B5760" t="s">
        <v>1298</v>
      </c>
      <c r="C5760" t="s">
        <v>679</v>
      </c>
      <c r="D5760" t="s">
        <v>1370</v>
      </c>
      <c r="E5760" t="s">
        <v>187</v>
      </c>
      <c r="F5760">
        <v>2005</v>
      </c>
      <c r="G5760">
        <v>2.1636000000000002</v>
      </c>
    </row>
    <row r="5761" spans="1:7">
      <c r="A5761" t="s">
        <v>1297</v>
      </c>
      <c r="B5761" t="s">
        <v>1298</v>
      </c>
      <c r="C5761" t="s">
        <v>679</v>
      </c>
      <c r="D5761" t="s">
        <v>1370</v>
      </c>
      <c r="E5761" t="s">
        <v>187</v>
      </c>
      <c r="F5761">
        <v>2010</v>
      </c>
      <c r="G5761">
        <v>2.052</v>
      </c>
    </row>
    <row r="5762" spans="1:7">
      <c r="A5762" t="s">
        <v>1297</v>
      </c>
      <c r="B5762" t="s">
        <v>1298</v>
      </c>
      <c r="C5762" t="s">
        <v>679</v>
      </c>
      <c r="D5762" t="s">
        <v>1370</v>
      </c>
      <c r="E5762" t="s">
        <v>187</v>
      </c>
      <c r="F5762">
        <v>2012</v>
      </c>
      <c r="G5762">
        <v>2.2391999999999999</v>
      </c>
    </row>
    <row r="5763" spans="1:7">
      <c r="A5763" t="s">
        <v>1297</v>
      </c>
      <c r="B5763" t="s">
        <v>1298</v>
      </c>
      <c r="C5763" t="s">
        <v>679</v>
      </c>
      <c r="D5763" t="s">
        <v>1370</v>
      </c>
      <c r="E5763" t="s">
        <v>187</v>
      </c>
      <c r="F5763">
        <v>2016</v>
      </c>
      <c r="G5763">
        <v>3.2435999999999998</v>
      </c>
    </row>
    <row r="5764" spans="1:7">
      <c r="A5764" t="s">
        <v>1297</v>
      </c>
      <c r="B5764" t="s">
        <v>1298</v>
      </c>
      <c r="C5764" t="s">
        <v>679</v>
      </c>
      <c r="D5764" t="s">
        <v>1370</v>
      </c>
      <c r="E5764" t="s">
        <v>187</v>
      </c>
      <c r="F5764">
        <v>2020</v>
      </c>
      <c r="G5764">
        <v>5.2055999999999996</v>
      </c>
    </row>
    <row r="5765" spans="1:7">
      <c r="A5765" t="s">
        <v>1297</v>
      </c>
      <c r="B5765" t="s">
        <v>1298</v>
      </c>
      <c r="C5765" t="s">
        <v>661</v>
      </c>
      <c r="D5765" t="s">
        <v>1370</v>
      </c>
      <c r="E5765" t="s">
        <v>187</v>
      </c>
      <c r="F5765">
        <v>2005</v>
      </c>
      <c r="G5765">
        <v>35.499600000000001</v>
      </c>
    </row>
    <row r="5766" spans="1:7">
      <c r="A5766" t="s">
        <v>1297</v>
      </c>
      <c r="B5766" t="s">
        <v>1298</v>
      </c>
      <c r="C5766" t="s">
        <v>661</v>
      </c>
      <c r="D5766" t="s">
        <v>1370</v>
      </c>
      <c r="E5766" t="s">
        <v>187</v>
      </c>
      <c r="F5766">
        <v>2010</v>
      </c>
      <c r="G5766">
        <v>36.133200000000002</v>
      </c>
    </row>
    <row r="5767" spans="1:7">
      <c r="A5767" t="s">
        <v>1297</v>
      </c>
      <c r="B5767" t="s">
        <v>1298</v>
      </c>
      <c r="C5767" t="s">
        <v>661</v>
      </c>
      <c r="D5767" t="s">
        <v>1370</v>
      </c>
      <c r="E5767" t="s">
        <v>187</v>
      </c>
      <c r="F5767">
        <v>2012</v>
      </c>
      <c r="G5767">
        <v>38.569643999999997</v>
      </c>
    </row>
    <row r="5768" spans="1:7">
      <c r="A5768" t="s">
        <v>1297</v>
      </c>
      <c r="B5768" t="s">
        <v>1298</v>
      </c>
      <c r="C5768" t="s">
        <v>661</v>
      </c>
      <c r="D5768" t="s">
        <v>1370</v>
      </c>
      <c r="E5768" t="s">
        <v>187</v>
      </c>
      <c r="F5768">
        <v>2016</v>
      </c>
      <c r="G5768">
        <v>37.873469</v>
      </c>
    </row>
    <row r="5769" spans="1:7">
      <c r="A5769" t="s">
        <v>1297</v>
      </c>
      <c r="B5769" t="s">
        <v>1298</v>
      </c>
      <c r="C5769" t="s">
        <v>661</v>
      </c>
      <c r="D5769" t="s">
        <v>1370</v>
      </c>
      <c r="E5769" t="s">
        <v>187</v>
      </c>
      <c r="F5769">
        <v>2020</v>
      </c>
      <c r="G5769">
        <v>36.292060999999997</v>
      </c>
    </row>
    <row r="5770" spans="1:7">
      <c r="A5770" t="s">
        <v>1297</v>
      </c>
      <c r="B5770" t="s">
        <v>1298</v>
      </c>
      <c r="C5770" t="s">
        <v>667</v>
      </c>
      <c r="D5770" t="s">
        <v>1370</v>
      </c>
      <c r="E5770" t="s">
        <v>187</v>
      </c>
      <c r="F5770">
        <v>2005</v>
      </c>
      <c r="G5770">
        <v>0.340088</v>
      </c>
    </row>
    <row r="5771" spans="1:7">
      <c r="A5771" t="s">
        <v>1297</v>
      </c>
      <c r="B5771" t="s">
        <v>1298</v>
      </c>
      <c r="C5771" t="s">
        <v>667</v>
      </c>
      <c r="D5771" t="s">
        <v>1370</v>
      </c>
      <c r="E5771" t="s">
        <v>187</v>
      </c>
      <c r="F5771">
        <v>2010</v>
      </c>
      <c r="G5771">
        <v>0.43057800000000002</v>
      </c>
    </row>
    <row r="5772" spans="1:7">
      <c r="A5772" t="s">
        <v>1297</v>
      </c>
      <c r="B5772" t="s">
        <v>1298</v>
      </c>
      <c r="C5772" t="s">
        <v>667</v>
      </c>
      <c r="D5772" t="s">
        <v>1370</v>
      </c>
      <c r="E5772" t="s">
        <v>187</v>
      </c>
      <c r="F5772">
        <v>2012</v>
      </c>
      <c r="G5772">
        <v>0.46329500000000001</v>
      </c>
    </row>
    <row r="5773" spans="1:7">
      <c r="A5773" t="s">
        <v>1297</v>
      </c>
      <c r="B5773" t="s">
        <v>1298</v>
      </c>
      <c r="C5773" t="s">
        <v>667</v>
      </c>
      <c r="D5773" t="s">
        <v>1370</v>
      </c>
      <c r="E5773" t="s">
        <v>187</v>
      </c>
      <c r="F5773">
        <v>2016</v>
      </c>
      <c r="G5773">
        <v>0.49585699999999999</v>
      </c>
    </row>
    <row r="5774" spans="1:7">
      <c r="A5774" t="s">
        <v>1297</v>
      </c>
      <c r="B5774" t="s">
        <v>1298</v>
      </c>
      <c r="C5774" t="s">
        <v>667</v>
      </c>
      <c r="D5774" t="s">
        <v>1370</v>
      </c>
      <c r="E5774" t="s">
        <v>187</v>
      </c>
      <c r="F5774">
        <v>2020</v>
      </c>
      <c r="G5774">
        <v>0.52615100000000004</v>
      </c>
    </row>
    <row r="5775" spans="1:7">
      <c r="A5775" t="s">
        <v>1297</v>
      </c>
      <c r="B5775" t="s">
        <v>1298</v>
      </c>
      <c r="C5775" t="s">
        <v>659</v>
      </c>
      <c r="D5775" t="s">
        <v>1370</v>
      </c>
      <c r="E5775" t="s">
        <v>187</v>
      </c>
      <c r="F5775">
        <v>2005</v>
      </c>
      <c r="G5775">
        <v>19.306799999999999</v>
      </c>
    </row>
    <row r="5776" spans="1:7">
      <c r="A5776" t="s">
        <v>1297</v>
      </c>
      <c r="B5776" t="s">
        <v>1298</v>
      </c>
      <c r="C5776" t="s">
        <v>659</v>
      </c>
      <c r="D5776" t="s">
        <v>1370</v>
      </c>
      <c r="E5776" t="s">
        <v>187</v>
      </c>
      <c r="F5776">
        <v>2010</v>
      </c>
      <c r="G5776">
        <v>11.5992</v>
      </c>
    </row>
    <row r="5777" spans="1:7">
      <c r="A5777" t="s">
        <v>1297</v>
      </c>
      <c r="B5777" t="s">
        <v>1298</v>
      </c>
      <c r="C5777" t="s">
        <v>659</v>
      </c>
      <c r="D5777" t="s">
        <v>1370</v>
      </c>
      <c r="E5777" t="s">
        <v>187</v>
      </c>
      <c r="F5777">
        <v>2012</v>
      </c>
      <c r="G5777">
        <v>14.093999999999999</v>
      </c>
    </row>
    <row r="5778" spans="1:7">
      <c r="A5778" t="s">
        <v>1297</v>
      </c>
      <c r="B5778" t="s">
        <v>1298</v>
      </c>
      <c r="C5778" t="s">
        <v>659</v>
      </c>
      <c r="D5778" t="s">
        <v>1370</v>
      </c>
      <c r="E5778" t="s">
        <v>187</v>
      </c>
      <c r="F5778">
        <v>2016</v>
      </c>
      <c r="G5778">
        <v>14.0472</v>
      </c>
    </row>
    <row r="5779" spans="1:7">
      <c r="A5779" t="s">
        <v>1297</v>
      </c>
      <c r="B5779" t="s">
        <v>1298</v>
      </c>
      <c r="C5779" t="s">
        <v>659</v>
      </c>
      <c r="D5779" t="s">
        <v>1370</v>
      </c>
      <c r="E5779" t="s">
        <v>187</v>
      </c>
      <c r="F5779">
        <v>2020</v>
      </c>
      <c r="G5779">
        <v>14.1732</v>
      </c>
    </row>
    <row r="5780" spans="1:7">
      <c r="A5780" t="s">
        <v>1297</v>
      </c>
      <c r="B5780" t="s">
        <v>1298</v>
      </c>
      <c r="C5780" t="s">
        <v>661</v>
      </c>
      <c r="D5780" t="s">
        <v>1371</v>
      </c>
      <c r="E5780" t="s">
        <v>187</v>
      </c>
      <c r="F5780">
        <v>2010</v>
      </c>
      <c r="G5780">
        <v>9.0999999999999998E-2</v>
      </c>
    </row>
    <row r="5781" spans="1:7">
      <c r="A5781" t="s">
        <v>1297</v>
      </c>
      <c r="B5781" t="s">
        <v>1298</v>
      </c>
      <c r="C5781" t="s">
        <v>661</v>
      </c>
      <c r="D5781" t="s">
        <v>1371</v>
      </c>
      <c r="E5781" t="s">
        <v>187</v>
      </c>
      <c r="F5781">
        <v>2012</v>
      </c>
      <c r="G5781">
        <v>8.3000000000000004E-2</v>
      </c>
    </row>
    <row r="5782" spans="1:7">
      <c r="A5782" t="s">
        <v>1297</v>
      </c>
      <c r="B5782" t="s">
        <v>1298</v>
      </c>
      <c r="C5782" t="s">
        <v>661</v>
      </c>
      <c r="D5782" t="s">
        <v>1371</v>
      </c>
      <c r="E5782" t="s">
        <v>187</v>
      </c>
      <c r="F5782">
        <v>2016</v>
      </c>
      <c r="G5782">
        <v>1.0999999999999999E-2</v>
      </c>
    </row>
    <row r="5783" spans="1:7">
      <c r="A5783" t="s">
        <v>1297</v>
      </c>
      <c r="B5783" t="s">
        <v>1298</v>
      </c>
      <c r="C5783" t="s">
        <v>661</v>
      </c>
      <c r="D5783" t="s">
        <v>1371</v>
      </c>
      <c r="E5783" t="s">
        <v>187</v>
      </c>
      <c r="F5783">
        <v>2020</v>
      </c>
      <c r="G5783">
        <v>5.1201999999999998E-2</v>
      </c>
    </row>
    <row r="5784" spans="1:7">
      <c r="A5784" t="s">
        <v>1297</v>
      </c>
      <c r="B5784" t="s">
        <v>1298</v>
      </c>
      <c r="C5784" t="s">
        <v>1299</v>
      </c>
      <c r="D5784" t="s">
        <v>1371</v>
      </c>
      <c r="E5784" t="s">
        <v>187</v>
      </c>
      <c r="F5784">
        <v>2016</v>
      </c>
      <c r="G5784">
        <v>1.7689999999999999</v>
      </c>
    </row>
    <row r="5785" spans="1:7">
      <c r="A5785" t="s">
        <v>1297</v>
      </c>
      <c r="B5785" t="s">
        <v>1298</v>
      </c>
      <c r="C5785" t="s">
        <v>1299</v>
      </c>
      <c r="D5785" t="s">
        <v>1371</v>
      </c>
      <c r="E5785" t="s">
        <v>187</v>
      </c>
      <c r="F5785">
        <v>2020</v>
      </c>
      <c r="G5785">
        <v>1.133</v>
      </c>
    </row>
    <row r="5786" spans="1:7">
      <c r="A5786" t="s">
        <v>1297</v>
      </c>
      <c r="B5786" t="s">
        <v>1298</v>
      </c>
      <c r="C5786" t="s">
        <v>668</v>
      </c>
      <c r="D5786" t="s">
        <v>1371</v>
      </c>
      <c r="E5786" t="s">
        <v>187</v>
      </c>
      <c r="F5786">
        <v>2010</v>
      </c>
      <c r="G5786">
        <v>5.0000000000000001E-3</v>
      </c>
    </row>
    <row r="5787" spans="1:7">
      <c r="A5787" t="s">
        <v>1297</v>
      </c>
      <c r="B5787" t="s">
        <v>1298</v>
      </c>
      <c r="C5787" t="s">
        <v>668</v>
      </c>
      <c r="D5787" t="s">
        <v>1371</v>
      </c>
      <c r="E5787" t="s">
        <v>187</v>
      </c>
      <c r="F5787">
        <v>2012</v>
      </c>
      <c r="G5787">
        <v>0.01</v>
      </c>
    </row>
    <row r="5788" spans="1:7">
      <c r="A5788" t="s">
        <v>1297</v>
      </c>
      <c r="B5788" t="s">
        <v>1298</v>
      </c>
      <c r="C5788" t="s">
        <v>668</v>
      </c>
      <c r="D5788" t="s">
        <v>1371</v>
      </c>
      <c r="E5788" t="s">
        <v>187</v>
      </c>
      <c r="F5788">
        <v>2016</v>
      </c>
      <c r="G5788">
        <v>8.0000000000000002E-3</v>
      </c>
    </row>
    <row r="5789" spans="1:7">
      <c r="A5789" t="s">
        <v>1297</v>
      </c>
      <c r="B5789" t="s">
        <v>1298</v>
      </c>
      <c r="C5789" t="s">
        <v>668</v>
      </c>
      <c r="D5789" t="s">
        <v>1371</v>
      </c>
      <c r="E5789" t="s">
        <v>187</v>
      </c>
      <c r="F5789">
        <v>2020</v>
      </c>
      <c r="G5789">
        <v>5.0740000000000004E-3</v>
      </c>
    </row>
    <row r="5790" spans="1:7">
      <c r="A5790" t="s">
        <v>1297</v>
      </c>
      <c r="B5790" t="s">
        <v>1298</v>
      </c>
      <c r="C5790" t="s">
        <v>663</v>
      </c>
      <c r="D5790" t="s">
        <v>1371</v>
      </c>
      <c r="E5790" t="s">
        <v>187</v>
      </c>
      <c r="F5790">
        <v>2020</v>
      </c>
      <c r="G5790">
        <v>8.1000000000000003E-2</v>
      </c>
    </row>
    <row r="5791" spans="1:7">
      <c r="A5791" t="s">
        <v>1297</v>
      </c>
      <c r="B5791" t="s">
        <v>1298</v>
      </c>
      <c r="C5791" t="s">
        <v>1302</v>
      </c>
      <c r="D5791" t="s">
        <v>1371</v>
      </c>
      <c r="E5791" t="s">
        <v>187</v>
      </c>
      <c r="F5791">
        <v>2016</v>
      </c>
      <c r="G5791">
        <v>0.749</v>
      </c>
    </row>
    <row r="5792" spans="1:7">
      <c r="A5792" t="s">
        <v>1297</v>
      </c>
      <c r="B5792" t="s">
        <v>1298</v>
      </c>
      <c r="C5792" t="s">
        <v>1302</v>
      </c>
      <c r="D5792" t="s">
        <v>1371</v>
      </c>
      <c r="E5792" t="s">
        <v>187</v>
      </c>
      <c r="F5792">
        <v>2020</v>
      </c>
      <c r="G5792">
        <v>0.83004800000000001</v>
      </c>
    </row>
    <row r="5793" spans="1:7">
      <c r="A5793" t="s">
        <v>1297</v>
      </c>
      <c r="B5793" t="s">
        <v>1298</v>
      </c>
      <c r="C5793" t="s">
        <v>655</v>
      </c>
      <c r="D5793" t="s">
        <v>1371</v>
      </c>
      <c r="E5793" t="s">
        <v>187</v>
      </c>
      <c r="F5793">
        <v>2010</v>
      </c>
      <c r="G5793">
        <v>6.0000000000000001E-3</v>
      </c>
    </row>
    <row r="5794" spans="1:7">
      <c r="A5794" t="s">
        <v>1297</v>
      </c>
      <c r="B5794" t="s">
        <v>1298</v>
      </c>
      <c r="C5794" t="s">
        <v>655</v>
      </c>
      <c r="D5794" t="s">
        <v>1371</v>
      </c>
      <c r="E5794" t="s">
        <v>187</v>
      </c>
      <c r="F5794">
        <v>2012</v>
      </c>
      <c r="G5794">
        <v>8.0000000000000002E-3</v>
      </c>
    </row>
    <row r="5795" spans="1:7">
      <c r="A5795" t="s">
        <v>1297</v>
      </c>
      <c r="B5795" t="s">
        <v>1298</v>
      </c>
      <c r="C5795" t="s">
        <v>655</v>
      </c>
      <c r="D5795" t="s">
        <v>1371</v>
      </c>
      <c r="E5795" t="s">
        <v>187</v>
      </c>
      <c r="F5795">
        <v>2016</v>
      </c>
      <c r="G5795">
        <v>7.0000000000000001E-3</v>
      </c>
    </row>
    <row r="5796" spans="1:7">
      <c r="A5796" t="s">
        <v>1297</v>
      </c>
      <c r="B5796" t="s">
        <v>1298</v>
      </c>
      <c r="C5796" t="s">
        <v>655</v>
      </c>
      <c r="D5796" t="s">
        <v>1371</v>
      </c>
      <c r="E5796" t="s">
        <v>187</v>
      </c>
      <c r="F5796">
        <v>2020</v>
      </c>
      <c r="G5796">
        <v>1.5337999999999999E-2</v>
      </c>
    </row>
    <row r="5797" spans="1:7">
      <c r="A5797" t="s">
        <v>1297</v>
      </c>
      <c r="B5797" t="s">
        <v>1298</v>
      </c>
      <c r="C5797" t="s">
        <v>666</v>
      </c>
      <c r="D5797" t="s">
        <v>1371</v>
      </c>
      <c r="E5797" t="s">
        <v>187</v>
      </c>
      <c r="F5797">
        <v>2005</v>
      </c>
      <c r="G5797">
        <v>4.1000000000000002E-2</v>
      </c>
    </row>
    <row r="5798" spans="1:7">
      <c r="A5798" t="s">
        <v>1297</v>
      </c>
      <c r="B5798" t="s">
        <v>1298</v>
      </c>
      <c r="C5798" t="s">
        <v>666</v>
      </c>
      <c r="D5798" t="s">
        <v>1371</v>
      </c>
      <c r="E5798" t="s">
        <v>187</v>
      </c>
      <c r="F5798">
        <v>2010</v>
      </c>
      <c r="G5798">
        <v>1.2999999999999999E-2</v>
      </c>
    </row>
    <row r="5799" spans="1:7">
      <c r="A5799" t="s">
        <v>1297</v>
      </c>
      <c r="B5799" t="s">
        <v>1298</v>
      </c>
      <c r="C5799" t="s">
        <v>666</v>
      </c>
      <c r="D5799" t="s">
        <v>1371</v>
      </c>
      <c r="E5799" t="s">
        <v>187</v>
      </c>
      <c r="F5799">
        <v>2012</v>
      </c>
      <c r="G5799">
        <v>0.01</v>
      </c>
    </row>
    <row r="5800" spans="1:7">
      <c r="A5800" t="s">
        <v>1297</v>
      </c>
      <c r="B5800" t="s">
        <v>1298</v>
      </c>
      <c r="C5800" t="s">
        <v>666</v>
      </c>
      <c r="D5800" t="s">
        <v>1371</v>
      </c>
      <c r="E5800" t="s">
        <v>187</v>
      </c>
      <c r="F5800">
        <v>2016</v>
      </c>
      <c r="G5800">
        <v>8.9999999999999993E-3</v>
      </c>
    </row>
    <row r="5801" spans="1:7">
      <c r="A5801" t="s">
        <v>1297</v>
      </c>
      <c r="B5801" t="s">
        <v>1298</v>
      </c>
      <c r="C5801" t="s">
        <v>666</v>
      </c>
      <c r="D5801" t="s">
        <v>1371</v>
      </c>
      <c r="E5801" t="s">
        <v>187</v>
      </c>
      <c r="F5801">
        <v>2020</v>
      </c>
      <c r="G5801">
        <v>8.9999999999999993E-3</v>
      </c>
    </row>
    <row r="5802" spans="1:7">
      <c r="A5802" t="s">
        <v>1297</v>
      </c>
      <c r="B5802" t="s">
        <v>1298</v>
      </c>
      <c r="C5802" t="s">
        <v>651</v>
      </c>
      <c r="D5802" t="s">
        <v>1371</v>
      </c>
      <c r="E5802" t="s">
        <v>187</v>
      </c>
      <c r="F5802">
        <v>2020</v>
      </c>
      <c r="G5802">
        <v>3.3461999999999999E-2</v>
      </c>
    </row>
    <row r="5803" spans="1:7">
      <c r="A5803" t="s">
        <v>1297</v>
      </c>
      <c r="B5803" t="s">
        <v>1298</v>
      </c>
      <c r="C5803" t="s">
        <v>674</v>
      </c>
      <c r="D5803" t="s">
        <v>1371</v>
      </c>
      <c r="E5803" t="s">
        <v>187</v>
      </c>
      <c r="F5803">
        <v>2005</v>
      </c>
      <c r="G5803">
        <v>1.1619999999999999</v>
      </c>
    </row>
    <row r="5804" spans="1:7">
      <c r="A5804" t="s">
        <v>1297</v>
      </c>
      <c r="B5804" t="s">
        <v>1298</v>
      </c>
      <c r="C5804" t="s">
        <v>674</v>
      </c>
      <c r="D5804" t="s">
        <v>1371</v>
      </c>
      <c r="E5804" t="s">
        <v>187</v>
      </c>
      <c r="F5804">
        <v>2010</v>
      </c>
      <c r="G5804">
        <v>0.46800000000000003</v>
      </c>
    </row>
    <row r="5805" spans="1:7">
      <c r="A5805" t="s">
        <v>1297</v>
      </c>
      <c r="B5805" t="s">
        <v>1298</v>
      </c>
      <c r="C5805" t="s">
        <v>674</v>
      </c>
      <c r="D5805" t="s">
        <v>1371</v>
      </c>
      <c r="E5805" t="s">
        <v>187</v>
      </c>
      <c r="F5805">
        <v>2012</v>
      </c>
      <c r="G5805">
        <v>0.81</v>
      </c>
    </row>
    <row r="5806" spans="1:7">
      <c r="A5806" t="s">
        <v>1297</v>
      </c>
      <c r="B5806" t="s">
        <v>1298</v>
      </c>
      <c r="C5806" t="s">
        <v>674</v>
      </c>
      <c r="D5806" t="s">
        <v>1371</v>
      </c>
      <c r="E5806" t="s">
        <v>187</v>
      </c>
      <c r="F5806">
        <v>2016</v>
      </c>
      <c r="G5806">
        <v>0.85699999999999998</v>
      </c>
    </row>
    <row r="5807" spans="1:7">
      <c r="A5807" t="s">
        <v>1297</v>
      </c>
      <c r="B5807" t="s">
        <v>1298</v>
      </c>
      <c r="C5807" t="s">
        <v>674</v>
      </c>
      <c r="D5807" t="s">
        <v>1371</v>
      </c>
      <c r="E5807" t="s">
        <v>187</v>
      </c>
      <c r="F5807">
        <v>2020</v>
      </c>
      <c r="G5807">
        <v>0.71699999999999997</v>
      </c>
    </row>
    <row r="5808" spans="1:7">
      <c r="A5808" t="s">
        <v>1297</v>
      </c>
      <c r="B5808" t="s">
        <v>1298</v>
      </c>
      <c r="C5808" t="s">
        <v>679</v>
      </c>
      <c r="D5808" t="s">
        <v>1371</v>
      </c>
      <c r="E5808" t="s">
        <v>187</v>
      </c>
      <c r="F5808">
        <v>2005</v>
      </c>
      <c r="G5808">
        <v>2.2629999999999999</v>
      </c>
    </row>
    <row r="5809" spans="1:7">
      <c r="A5809" t="s">
        <v>1297</v>
      </c>
      <c r="B5809" t="s">
        <v>1298</v>
      </c>
      <c r="C5809" t="s">
        <v>679</v>
      </c>
      <c r="D5809" t="s">
        <v>1371</v>
      </c>
      <c r="E5809" t="s">
        <v>187</v>
      </c>
      <c r="F5809">
        <v>2010</v>
      </c>
      <c r="G5809">
        <v>2.383</v>
      </c>
    </row>
    <row r="5810" spans="1:7">
      <c r="A5810" t="s">
        <v>1297</v>
      </c>
      <c r="B5810" t="s">
        <v>1298</v>
      </c>
      <c r="C5810" t="s">
        <v>679</v>
      </c>
      <c r="D5810" t="s">
        <v>1371</v>
      </c>
      <c r="E5810" t="s">
        <v>187</v>
      </c>
      <c r="F5810">
        <v>2012</v>
      </c>
      <c r="G5810">
        <v>2.77</v>
      </c>
    </row>
    <row r="5811" spans="1:7">
      <c r="A5811" t="s">
        <v>1297</v>
      </c>
      <c r="B5811" t="s">
        <v>1298</v>
      </c>
      <c r="C5811" t="s">
        <v>679</v>
      </c>
      <c r="D5811" t="s">
        <v>1371</v>
      </c>
      <c r="E5811" t="s">
        <v>187</v>
      </c>
      <c r="F5811">
        <v>2016</v>
      </c>
      <c r="G5811">
        <v>2.8239999999999998</v>
      </c>
    </row>
    <row r="5812" spans="1:7">
      <c r="A5812" t="s">
        <v>1297</v>
      </c>
      <c r="B5812" t="s">
        <v>1298</v>
      </c>
      <c r="C5812" t="s">
        <v>679</v>
      </c>
      <c r="D5812" t="s">
        <v>1371</v>
      </c>
      <c r="E5812" t="s">
        <v>187</v>
      </c>
      <c r="F5812">
        <v>2020</v>
      </c>
      <c r="G5812">
        <v>2.3239999999999998</v>
      </c>
    </row>
    <row r="5813" spans="1:7">
      <c r="A5813" t="s">
        <v>1297</v>
      </c>
      <c r="B5813" t="s">
        <v>1298</v>
      </c>
      <c r="C5813" t="s">
        <v>660</v>
      </c>
      <c r="D5813" t="s">
        <v>1371</v>
      </c>
      <c r="E5813" t="s">
        <v>187</v>
      </c>
      <c r="F5813">
        <v>2005</v>
      </c>
      <c r="G5813">
        <v>6.4000000000000001E-2</v>
      </c>
    </row>
    <row r="5814" spans="1:7">
      <c r="A5814" t="s">
        <v>1297</v>
      </c>
      <c r="B5814" t="s">
        <v>1298</v>
      </c>
      <c r="C5814" t="s">
        <v>660</v>
      </c>
      <c r="D5814" t="s">
        <v>1371</v>
      </c>
      <c r="E5814" t="s">
        <v>187</v>
      </c>
      <c r="F5814">
        <v>2010</v>
      </c>
      <c r="G5814">
        <v>0.16300000000000001</v>
      </c>
    </row>
    <row r="5815" spans="1:7">
      <c r="A5815" t="s">
        <v>1297</v>
      </c>
      <c r="B5815" t="s">
        <v>1298</v>
      </c>
      <c r="C5815" t="s">
        <v>660</v>
      </c>
      <c r="D5815" t="s">
        <v>1371</v>
      </c>
      <c r="E5815" t="s">
        <v>187</v>
      </c>
      <c r="F5815">
        <v>2012</v>
      </c>
      <c r="G5815">
        <v>9.7000000000000003E-2</v>
      </c>
    </row>
    <row r="5816" spans="1:7">
      <c r="A5816" t="s">
        <v>1297</v>
      </c>
      <c r="B5816" t="s">
        <v>1298</v>
      </c>
      <c r="C5816" t="s">
        <v>660</v>
      </c>
      <c r="D5816" t="s">
        <v>1371</v>
      </c>
      <c r="E5816" t="s">
        <v>187</v>
      </c>
      <c r="F5816">
        <v>2016</v>
      </c>
      <c r="G5816">
        <v>7.6999999999999999E-2</v>
      </c>
    </row>
    <row r="5817" spans="1:7">
      <c r="A5817" t="s">
        <v>1297</v>
      </c>
      <c r="B5817" t="s">
        <v>1298</v>
      </c>
      <c r="C5817" t="s">
        <v>676</v>
      </c>
      <c r="D5817" t="s">
        <v>1371</v>
      </c>
      <c r="E5817" t="s">
        <v>187</v>
      </c>
      <c r="F5817">
        <v>2005</v>
      </c>
      <c r="G5817">
        <v>2E-3</v>
      </c>
    </row>
    <row r="5818" spans="1:7">
      <c r="A5818" t="s">
        <v>1297</v>
      </c>
      <c r="B5818" t="s">
        <v>1298</v>
      </c>
      <c r="C5818" t="s">
        <v>676</v>
      </c>
      <c r="D5818" t="s">
        <v>1371</v>
      </c>
      <c r="E5818" t="s">
        <v>187</v>
      </c>
      <c r="F5818">
        <v>2010</v>
      </c>
      <c r="G5818">
        <v>1E-3</v>
      </c>
    </row>
    <row r="5819" spans="1:7">
      <c r="A5819" t="s">
        <v>1297</v>
      </c>
      <c r="B5819" t="s">
        <v>1298</v>
      </c>
      <c r="C5819" t="s">
        <v>676</v>
      </c>
      <c r="D5819" t="s">
        <v>1371</v>
      </c>
      <c r="E5819" t="s">
        <v>187</v>
      </c>
      <c r="F5819">
        <v>2012</v>
      </c>
      <c r="G5819">
        <v>3.5999999999999997E-2</v>
      </c>
    </row>
    <row r="5820" spans="1:7">
      <c r="A5820" t="s">
        <v>1297</v>
      </c>
      <c r="B5820" t="s">
        <v>1298</v>
      </c>
      <c r="C5820" t="s">
        <v>676</v>
      </c>
      <c r="D5820" t="s">
        <v>1371</v>
      </c>
      <c r="E5820" t="s">
        <v>187</v>
      </c>
      <c r="F5820">
        <v>2016</v>
      </c>
      <c r="G5820">
        <v>5.7000000000000002E-2</v>
      </c>
    </row>
    <row r="5821" spans="1:7">
      <c r="A5821" t="s">
        <v>1297</v>
      </c>
      <c r="B5821" t="s">
        <v>1298</v>
      </c>
      <c r="C5821" t="s">
        <v>676</v>
      </c>
      <c r="D5821" t="s">
        <v>1371</v>
      </c>
      <c r="E5821" t="s">
        <v>187</v>
      </c>
      <c r="F5821">
        <v>2020</v>
      </c>
      <c r="G5821">
        <v>6.0999999999999999E-2</v>
      </c>
    </row>
    <row r="5822" spans="1:7">
      <c r="A5822" t="s">
        <v>1297</v>
      </c>
      <c r="B5822" t="s">
        <v>1298</v>
      </c>
      <c r="C5822" t="s">
        <v>680</v>
      </c>
      <c r="D5822" t="s">
        <v>1371</v>
      </c>
      <c r="E5822" t="s">
        <v>187</v>
      </c>
      <c r="F5822">
        <v>2005</v>
      </c>
      <c r="G5822">
        <v>0.56699999999999995</v>
      </c>
    </row>
    <row r="5823" spans="1:7">
      <c r="A5823" t="s">
        <v>1297</v>
      </c>
      <c r="B5823" t="s">
        <v>1298</v>
      </c>
      <c r="C5823" t="s">
        <v>680</v>
      </c>
      <c r="D5823" t="s">
        <v>1371</v>
      </c>
      <c r="E5823" t="s">
        <v>187</v>
      </c>
      <c r="F5823">
        <v>2010</v>
      </c>
      <c r="G5823">
        <v>0.64600000000000002</v>
      </c>
    </row>
    <row r="5824" spans="1:7">
      <c r="A5824" t="s">
        <v>1297</v>
      </c>
      <c r="B5824" t="s">
        <v>1298</v>
      </c>
      <c r="C5824" t="s">
        <v>680</v>
      </c>
      <c r="D5824" t="s">
        <v>1371</v>
      </c>
      <c r="E5824" t="s">
        <v>187</v>
      </c>
      <c r="F5824">
        <v>2012</v>
      </c>
      <c r="G5824">
        <v>0.65200000000000002</v>
      </c>
    </row>
    <row r="5825" spans="1:7">
      <c r="A5825" t="s">
        <v>1297</v>
      </c>
      <c r="B5825" t="s">
        <v>1298</v>
      </c>
      <c r="C5825" t="s">
        <v>680</v>
      </c>
      <c r="D5825" t="s">
        <v>1371</v>
      </c>
      <c r="E5825" t="s">
        <v>187</v>
      </c>
      <c r="F5825">
        <v>2016</v>
      </c>
      <c r="G5825">
        <v>0.71099999999999997</v>
      </c>
    </row>
    <row r="5826" spans="1:7">
      <c r="A5826" t="s">
        <v>1297</v>
      </c>
      <c r="B5826" t="s">
        <v>1298</v>
      </c>
      <c r="C5826" t="s">
        <v>680</v>
      </c>
      <c r="D5826" t="s">
        <v>1371</v>
      </c>
      <c r="E5826" t="s">
        <v>187</v>
      </c>
      <c r="F5826">
        <v>2020</v>
      </c>
      <c r="G5826">
        <v>0.94697799999999999</v>
      </c>
    </row>
    <row r="5827" spans="1:7">
      <c r="A5827" t="s">
        <v>1297</v>
      </c>
      <c r="B5827" t="s">
        <v>1298</v>
      </c>
      <c r="C5827" t="s">
        <v>657</v>
      </c>
      <c r="D5827" t="s">
        <v>1371</v>
      </c>
      <c r="E5827" t="s">
        <v>187</v>
      </c>
      <c r="F5827">
        <v>2010</v>
      </c>
      <c r="G5827">
        <v>0.11</v>
      </c>
    </row>
    <row r="5828" spans="1:7">
      <c r="A5828" t="s">
        <v>1297</v>
      </c>
      <c r="B5828" t="s">
        <v>1298</v>
      </c>
      <c r="C5828" t="s">
        <v>657</v>
      </c>
      <c r="D5828" t="s">
        <v>1371</v>
      </c>
      <c r="E5828" t="s">
        <v>187</v>
      </c>
      <c r="F5828">
        <v>2012</v>
      </c>
      <c r="G5828">
        <v>0.627</v>
      </c>
    </row>
    <row r="5829" spans="1:7">
      <c r="A5829" t="s">
        <v>1297</v>
      </c>
      <c r="B5829" t="s">
        <v>1298</v>
      </c>
      <c r="C5829" t="s">
        <v>657</v>
      </c>
      <c r="D5829" t="s">
        <v>1371</v>
      </c>
      <c r="E5829" t="s">
        <v>187</v>
      </c>
      <c r="F5829">
        <v>2016</v>
      </c>
      <c r="G5829">
        <v>0.692828</v>
      </c>
    </row>
    <row r="5830" spans="1:7">
      <c r="A5830" t="s">
        <v>1297</v>
      </c>
      <c r="B5830" t="s">
        <v>1298</v>
      </c>
      <c r="C5830" t="s">
        <v>657</v>
      </c>
      <c r="D5830" t="s">
        <v>1371</v>
      </c>
      <c r="E5830" t="s">
        <v>187</v>
      </c>
      <c r="F5830">
        <v>2020</v>
      </c>
      <c r="G5830">
        <v>1.3918090000000001</v>
      </c>
    </row>
    <row r="5831" spans="1:7">
      <c r="A5831" t="s">
        <v>1297</v>
      </c>
      <c r="B5831" t="s">
        <v>1298</v>
      </c>
      <c r="C5831" t="s">
        <v>660</v>
      </c>
      <c r="D5831" t="s">
        <v>1371</v>
      </c>
      <c r="E5831" t="s">
        <v>187</v>
      </c>
      <c r="F5831">
        <v>2020</v>
      </c>
      <c r="G5831">
        <v>7.9000000000000001E-2</v>
      </c>
    </row>
    <row r="5832" spans="1:7">
      <c r="A5832" t="s">
        <v>1297</v>
      </c>
      <c r="B5832" t="s">
        <v>1298</v>
      </c>
      <c r="C5832" t="s">
        <v>664</v>
      </c>
      <c r="D5832" t="s">
        <v>1372</v>
      </c>
      <c r="E5832" t="s">
        <v>187</v>
      </c>
      <c r="F5832">
        <v>2005</v>
      </c>
      <c r="G5832">
        <v>7.3634760000000004</v>
      </c>
    </row>
    <row r="5833" spans="1:7">
      <c r="A5833" t="s">
        <v>1297</v>
      </c>
      <c r="B5833" t="s">
        <v>1298</v>
      </c>
      <c r="C5833" t="s">
        <v>664</v>
      </c>
      <c r="D5833" t="s">
        <v>1372</v>
      </c>
      <c r="E5833" t="s">
        <v>187</v>
      </c>
      <c r="F5833">
        <v>2010</v>
      </c>
      <c r="G5833">
        <v>2.7355930000000002</v>
      </c>
    </row>
    <row r="5834" spans="1:7">
      <c r="A5834" t="s">
        <v>1297</v>
      </c>
      <c r="B5834" t="s">
        <v>1298</v>
      </c>
      <c r="C5834" t="s">
        <v>664</v>
      </c>
      <c r="D5834" t="s">
        <v>1372</v>
      </c>
      <c r="E5834" t="s">
        <v>187</v>
      </c>
      <c r="F5834">
        <v>2012</v>
      </c>
      <c r="G5834">
        <v>2.8209780000000002</v>
      </c>
    </row>
    <row r="5835" spans="1:7">
      <c r="A5835" t="s">
        <v>1297</v>
      </c>
      <c r="B5835" t="s">
        <v>1298</v>
      </c>
      <c r="C5835" t="s">
        <v>664</v>
      </c>
      <c r="D5835" t="s">
        <v>1372</v>
      </c>
      <c r="E5835" t="s">
        <v>187</v>
      </c>
      <c r="F5835">
        <v>2016</v>
      </c>
      <c r="G5835">
        <v>3.1365470000000002</v>
      </c>
    </row>
    <row r="5836" spans="1:7">
      <c r="A5836" t="s">
        <v>1297</v>
      </c>
      <c r="B5836" t="s">
        <v>1298</v>
      </c>
      <c r="C5836" t="s">
        <v>664</v>
      </c>
      <c r="D5836" t="s">
        <v>1372</v>
      </c>
      <c r="E5836" t="s">
        <v>187</v>
      </c>
      <c r="F5836">
        <v>2020</v>
      </c>
      <c r="G5836">
        <v>7.8464840000000002</v>
      </c>
    </row>
    <row r="5837" spans="1:7">
      <c r="A5837" t="s">
        <v>1297</v>
      </c>
      <c r="B5837" t="s">
        <v>1298</v>
      </c>
      <c r="C5837" t="s">
        <v>671</v>
      </c>
      <c r="D5837" t="s">
        <v>1372</v>
      </c>
      <c r="E5837" t="s">
        <v>187</v>
      </c>
      <c r="F5837">
        <v>2005</v>
      </c>
      <c r="G5837">
        <v>18.007200000000001</v>
      </c>
    </row>
    <row r="5838" spans="1:7">
      <c r="A5838" t="s">
        <v>1297</v>
      </c>
      <c r="B5838" t="s">
        <v>1298</v>
      </c>
      <c r="C5838" t="s">
        <v>671</v>
      </c>
      <c r="D5838" t="s">
        <v>1372</v>
      </c>
      <c r="E5838" t="s">
        <v>187</v>
      </c>
      <c r="F5838">
        <v>2010</v>
      </c>
      <c r="G5838">
        <v>22.716000000000001</v>
      </c>
    </row>
    <row r="5839" spans="1:7">
      <c r="A5839" t="s">
        <v>1297</v>
      </c>
      <c r="B5839" t="s">
        <v>1298</v>
      </c>
      <c r="C5839" t="s">
        <v>671</v>
      </c>
      <c r="D5839" t="s">
        <v>1372</v>
      </c>
      <c r="E5839" t="s">
        <v>187</v>
      </c>
      <c r="F5839">
        <v>2012</v>
      </c>
      <c r="G5839">
        <v>35.290799999999997</v>
      </c>
    </row>
    <row r="5840" spans="1:7">
      <c r="A5840" t="s">
        <v>1297</v>
      </c>
      <c r="B5840" t="s">
        <v>1298</v>
      </c>
      <c r="C5840" t="s">
        <v>661</v>
      </c>
      <c r="D5840" t="s">
        <v>1372</v>
      </c>
      <c r="E5840" t="s">
        <v>187</v>
      </c>
      <c r="F5840">
        <v>2005</v>
      </c>
      <c r="G5840">
        <v>29.023199999999999</v>
      </c>
    </row>
    <row r="5841" spans="1:7">
      <c r="A5841" t="s">
        <v>1297</v>
      </c>
      <c r="B5841" t="s">
        <v>1298</v>
      </c>
      <c r="C5841" t="s">
        <v>661</v>
      </c>
      <c r="D5841" t="s">
        <v>1372</v>
      </c>
      <c r="E5841" t="s">
        <v>187</v>
      </c>
      <c r="F5841">
        <v>2010</v>
      </c>
      <c r="G5841">
        <v>70.11</v>
      </c>
    </row>
    <row r="5842" spans="1:7">
      <c r="A5842" t="s">
        <v>1297</v>
      </c>
      <c r="B5842" t="s">
        <v>1298</v>
      </c>
      <c r="C5842" t="s">
        <v>661</v>
      </c>
      <c r="D5842" t="s">
        <v>1372</v>
      </c>
      <c r="E5842" t="s">
        <v>187</v>
      </c>
      <c r="F5842">
        <v>2012</v>
      </c>
      <c r="G5842">
        <v>43.966799999999999</v>
      </c>
    </row>
    <row r="5843" spans="1:7">
      <c r="A5843" t="s">
        <v>1297</v>
      </c>
      <c r="B5843" t="s">
        <v>1298</v>
      </c>
      <c r="C5843" t="s">
        <v>661</v>
      </c>
      <c r="D5843" t="s">
        <v>1372</v>
      </c>
      <c r="E5843" t="s">
        <v>187</v>
      </c>
      <c r="F5843">
        <v>2016</v>
      </c>
      <c r="G5843">
        <v>71.650800000000004</v>
      </c>
    </row>
    <row r="5844" spans="1:7">
      <c r="A5844" t="s">
        <v>1297</v>
      </c>
      <c r="B5844" t="s">
        <v>1298</v>
      </c>
      <c r="C5844" t="s">
        <v>661</v>
      </c>
      <c r="D5844" t="s">
        <v>1372</v>
      </c>
      <c r="E5844" t="s">
        <v>187</v>
      </c>
      <c r="F5844">
        <v>2020</v>
      </c>
      <c r="G5844">
        <v>56.274299999999997</v>
      </c>
    </row>
    <row r="5845" spans="1:7">
      <c r="A5845" t="s">
        <v>1297</v>
      </c>
      <c r="B5845" t="s">
        <v>1298</v>
      </c>
      <c r="C5845" t="s">
        <v>671</v>
      </c>
      <c r="D5845" t="s">
        <v>1372</v>
      </c>
      <c r="E5845" t="s">
        <v>187</v>
      </c>
      <c r="F5845">
        <v>2016</v>
      </c>
      <c r="G5845">
        <v>50.461199999999998</v>
      </c>
    </row>
    <row r="5846" spans="1:7">
      <c r="A5846" t="s">
        <v>1297</v>
      </c>
      <c r="B5846" t="s">
        <v>1298</v>
      </c>
      <c r="C5846" t="s">
        <v>671</v>
      </c>
      <c r="D5846" t="s">
        <v>1372</v>
      </c>
      <c r="E5846" t="s">
        <v>187</v>
      </c>
      <c r="F5846">
        <v>2020</v>
      </c>
      <c r="G5846">
        <v>64.325976999999995</v>
      </c>
    </row>
    <row r="5847" spans="1:7">
      <c r="A5847" t="s">
        <v>1297</v>
      </c>
      <c r="B5847" t="s">
        <v>1298</v>
      </c>
      <c r="C5847" t="s">
        <v>663</v>
      </c>
      <c r="D5847" t="s">
        <v>1372</v>
      </c>
      <c r="E5847" t="s">
        <v>187</v>
      </c>
      <c r="F5847">
        <v>2005</v>
      </c>
      <c r="G5847">
        <v>56.293199999999999</v>
      </c>
    </row>
    <row r="5848" spans="1:7">
      <c r="A5848" t="s">
        <v>1297</v>
      </c>
      <c r="B5848" t="s">
        <v>1298</v>
      </c>
      <c r="C5848" t="s">
        <v>663</v>
      </c>
      <c r="D5848" t="s">
        <v>1372</v>
      </c>
      <c r="E5848" t="s">
        <v>187</v>
      </c>
      <c r="F5848">
        <v>2010</v>
      </c>
      <c r="G5848">
        <v>35.629199999999997</v>
      </c>
    </row>
    <row r="5849" spans="1:7">
      <c r="A5849" t="s">
        <v>1297</v>
      </c>
      <c r="B5849" t="s">
        <v>1298</v>
      </c>
      <c r="C5849" t="s">
        <v>663</v>
      </c>
      <c r="D5849" t="s">
        <v>1372</v>
      </c>
      <c r="E5849" t="s">
        <v>187</v>
      </c>
      <c r="F5849">
        <v>2012</v>
      </c>
      <c r="G5849">
        <v>61.091999999999999</v>
      </c>
    </row>
    <row r="5850" spans="1:7">
      <c r="A5850" t="s">
        <v>1297</v>
      </c>
      <c r="B5850" t="s">
        <v>1298</v>
      </c>
      <c r="C5850" t="s">
        <v>663</v>
      </c>
      <c r="D5850" t="s">
        <v>1372</v>
      </c>
      <c r="E5850" t="s">
        <v>187</v>
      </c>
      <c r="F5850">
        <v>2016</v>
      </c>
      <c r="G5850">
        <v>64.623599999999996</v>
      </c>
    </row>
    <row r="5851" spans="1:7">
      <c r="A5851" t="s">
        <v>1297</v>
      </c>
      <c r="B5851" t="s">
        <v>1298</v>
      </c>
      <c r="C5851" t="s">
        <v>663</v>
      </c>
      <c r="D5851" t="s">
        <v>1372</v>
      </c>
      <c r="E5851" t="s">
        <v>187</v>
      </c>
      <c r="F5851">
        <v>2020</v>
      </c>
      <c r="G5851">
        <v>71.470799999999997</v>
      </c>
    </row>
    <row r="5852" spans="1:7">
      <c r="A5852" t="s">
        <v>1297</v>
      </c>
      <c r="B5852" t="s">
        <v>1298</v>
      </c>
      <c r="C5852" t="s">
        <v>659</v>
      </c>
      <c r="D5852" t="s">
        <v>1372</v>
      </c>
      <c r="E5852" t="s">
        <v>187</v>
      </c>
      <c r="F5852">
        <v>2005</v>
      </c>
      <c r="G5852">
        <v>36.763199999999998</v>
      </c>
    </row>
    <row r="5853" spans="1:7">
      <c r="A5853" t="s">
        <v>1297</v>
      </c>
      <c r="B5853" t="s">
        <v>1298</v>
      </c>
      <c r="C5853" t="s">
        <v>659</v>
      </c>
      <c r="D5853" t="s">
        <v>1372</v>
      </c>
      <c r="E5853" t="s">
        <v>187</v>
      </c>
      <c r="F5853">
        <v>2010</v>
      </c>
      <c r="G5853">
        <v>18.741599999999998</v>
      </c>
    </row>
    <row r="5854" spans="1:7">
      <c r="A5854" t="s">
        <v>1297</v>
      </c>
      <c r="B5854" t="s">
        <v>1298</v>
      </c>
      <c r="C5854" t="s">
        <v>659</v>
      </c>
      <c r="D5854" t="s">
        <v>1372</v>
      </c>
      <c r="E5854" t="s">
        <v>187</v>
      </c>
      <c r="F5854">
        <v>2012</v>
      </c>
      <c r="G5854">
        <v>28.033200000000001</v>
      </c>
    </row>
    <row r="5855" spans="1:7">
      <c r="A5855" t="s">
        <v>1297</v>
      </c>
      <c r="B5855" t="s">
        <v>1298</v>
      </c>
      <c r="C5855" t="s">
        <v>659</v>
      </c>
      <c r="D5855" t="s">
        <v>1372</v>
      </c>
      <c r="E5855" t="s">
        <v>187</v>
      </c>
      <c r="F5855">
        <v>2016</v>
      </c>
      <c r="G5855">
        <v>78.641999999999996</v>
      </c>
    </row>
    <row r="5856" spans="1:7">
      <c r="A5856" t="s">
        <v>1297</v>
      </c>
      <c r="B5856" t="s">
        <v>1298</v>
      </c>
      <c r="C5856" t="s">
        <v>659</v>
      </c>
      <c r="D5856" t="s">
        <v>1372</v>
      </c>
      <c r="E5856" t="s">
        <v>187</v>
      </c>
      <c r="F5856">
        <v>2020</v>
      </c>
      <c r="G5856">
        <v>67.395024000000006</v>
      </c>
    </row>
    <row r="5857" spans="1:7">
      <c r="A5857" t="s">
        <v>1297</v>
      </c>
      <c r="B5857" t="s">
        <v>1298</v>
      </c>
      <c r="C5857" t="s">
        <v>682</v>
      </c>
      <c r="D5857" t="s">
        <v>1372</v>
      </c>
      <c r="E5857" t="s">
        <v>187</v>
      </c>
      <c r="F5857">
        <v>2016</v>
      </c>
      <c r="G5857">
        <v>11.102399999999999</v>
      </c>
    </row>
    <row r="5858" spans="1:7">
      <c r="A5858" t="s">
        <v>1297</v>
      </c>
      <c r="B5858" t="s">
        <v>1298</v>
      </c>
      <c r="C5858" t="s">
        <v>682</v>
      </c>
      <c r="D5858" t="s">
        <v>1372</v>
      </c>
      <c r="E5858" t="s">
        <v>187</v>
      </c>
      <c r="F5858">
        <v>2020</v>
      </c>
      <c r="G5858">
        <v>10.17</v>
      </c>
    </row>
    <row r="5859" spans="1:7">
      <c r="A5859" t="s">
        <v>1297</v>
      </c>
      <c r="B5859" t="s">
        <v>1298</v>
      </c>
      <c r="C5859" t="s">
        <v>1300</v>
      </c>
      <c r="D5859" t="s">
        <v>1372</v>
      </c>
      <c r="E5859" t="s">
        <v>187</v>
      </c>
      <c r="F5859">
        <v>2010</v>
      </c>
      <c r="G5859">
        <v>10.918799999999999</v>
      </c>
    </row>
    <row r="5860" spans="1:7">
      <c r="A5860" t="s">
        <v>1297</v>
      </c>
      <c r="B5860" t="s">
        <v>1298</v>
      </c>
      <c r="C5860" t="s">
        <v>1300</v>
      </c>
      <c r="D5860" t="s">
        <v>1372</v>
      </c>
      <c r="E5860" t="s">
        <v>187</v>
      </c>
      <c r="F5860">
        <v>2012</v>
      </c>
      <c r="G5860">
        <v>11.804399999999999</v>
      </c>
    </row>
    <row r="5861" spans="1:7">
      <c r="A5861" t="s">
        <v>1297</v>
      </c>
      <c r="B5861" t="s">
        <v>1298</v>
      </c>
      <c r="C5861" t="s">
        <v>1300</v>
      </c>
      <c r="D5861" t="s">
        <v>1372</v>
      </c>
      <c r="E5861" t="s">
        <v>187</v>
      </c>
      <c r="F5861">
        <v>2016</v>
      </c>
      <c r="G5861">
        <v>11.97</v>
      </c>
    </row>
    <row r="5862" spans="1:7">
      <c r="A5862" t="s">
        <v>1297</v>
      </c>
      <c r="B5862" t="s">
        <v>1298</v>
      </c>
      <c r="C5862" t="s">
        <v>1300</v>
      </c>
      <c r="D5862" t="s">
        <v>1372</v>
      </c>
      <c r="E5862" t="s">
        <v>187</v>
      </c>
      <c r="F5862">
        <v>2020</v>
      </c>
      <c r="G5862">
        <v>12.6036</v>
      </c>
    </row>
    <row r="5863" spans="1:7">
      <c r="A5863" t="s">
        <v>1297</v>
      </c>
      <c r="B5863" t="s">
        <v>1298</v>
      </c>
      <c r="C5863" t="s">
        <v>1303</v>
      </c>
      <c r="D5863" t="s">
        <v>1372</v>
      </c>
      <c r="E5863" t="s">
        <v>187</v>
      </c>
      <c r="F5863">
        <v>2016</v>
      </c>
      <c r="G5863">
        <v>4.7843999999999998</v>
      </c>
    </row>
    <row r="5864" spans="1:7">
      <c r="A5864" t="s">
        <v>1297</v>
      </c>
      <c r="B5864" t="s">
        <v>1298</v>
      </c>
      <c r="C5864" t="s">
        <v>1303</v>
      </c>
      <c r="D5864" t="s">
        <v>1372</v>
      </c>
      <c r="E5864" t="s">
        <v>187</v>
      </c>
      <c r="F5864">
        <v>2020</v>
      </c>
      <c r="G5864">
        <v>6.34572</v>
      </c>
    </row>
    <row r="5865" spans="1:7">
      <c r="A5865" t="s">
        <v>1297</v>
      </c>
      <c r="B5865" t="s">
        <v>1298</v>
      </c>
      <c r="C5865" t="s">
        <v>666</v>
      </c>
      <c r="D5865" t="s">
        <v>1372</v>
      </c>
      <c r="E5865" t="s">
        <v>187</v>
      </c>
      <c r="F5865">
        <v>2005</v>
      </c>
      <c r="G5865">
        <v>20.307600000000001</v>
      </c>
    </row>
    <row r="5866" spans="1:7">
      <c r="A5866" t="s">
        <v>1297</v>
      </c>
      <c r="B5866" t="s">
        <v>1298</v>
      </c>
      <c r="C5866" t="s">
        <v>666</v>
      </c>
      <c r="D5866" t="s">
        <v>1372</v>
      </c>
      <c r="E5866" t="s">
        <v>187</v>
      </c>
      <c r="F5866">
        <v>2010</v>
      </c>
      <c r="G5866">
        <v>29.426400000000001</v>
      </c>
    </row>
    <row r="5867" spans="1:7">
      <c r="A5867" t="s">
        <v>1297</v>
      </c>
      <c r="B5867" t="s">
        <v>1298</v>
      </c>
      <c r="C5867" t="s">
        <v>666</v>
      </c>
      <c r="D5867" t="s">
        <v>1372</v>
      </c>
      <c r="E5867" t="s">
        <v>187</v>
      </c>
      <c r="F5867">
        <v>2012</v>
      </c>
      <c r="G5867">
        <v>29.015999999999998</v>
      </c>
    </row>
    <row r="5868" spans="1:7">
      <c r="A5868" t="s">
        <v>1297</v>
      </c>
      <c r="B5868" t="s">
        <v>1298</v>
      </c>
      <c r="C5868" t="s">
        <v>666</v>
      </c>
      <c r="D5868" t="s">
        <v>1372</v>
      </c>
      <c r="E5868" t="s">
        <v>187</v>
      </c>
      <c r="F5868">
        <v>2016</v>
      </c>
      <c r="G5868">
        <v>39.9816</v>
      </c>
    </row>
    <row r="5869" spans="1:7">
      <c r="A5869" t="s">
        <v>1297</v>
      </c>
      <c r="B5869" t="s">
        <v>1298</v>
      </c>
      <c r="C5869" t="s">
        <v>666</v>
      </c>
      <c r="D5869" t="s">
        <v>1372</v>
      </c>
      <c r="E5869" t="s">
        <v>187</v>
      </c>
      <c r="F5869">
        <v>2020</v>
      </c>
      <c r="G5869">
        <v>47.76444</v>
      </c>
    </row>
    <row r="5870" spans="1:7">
      <c r="A5870" t="s">
        <v>1297</v>
      </c>
      <c r="B5870" t="s">
        <v>1298</v>
      </c>
      <c r="C5870" t="s">
        <v>686</v>
      </c>
      <c r="D5870" t="s">
        <v>1372</v>
      </c>
      <c r="E5870" t="s">
        <v>187</v>
      </c>
      <c r="F5870">
        <v>2005</v>
      </c>
      <c r="G5870">
        <v>24.303599999999999</v>
      </c>
    </row>
    <row r="5871" spans="1:7">
      <c r="A5871" t="s">
        <v>1297</v>
      </c>
      <c r="B5871" t="s">
        <v>1298</v>
      </c>
      <c r="C5871" t="s">
        <v>686</v>
      </c>
      <c r="D5871" t="s">
        <v>1372</v>
      </c>
      <c r="E5871" t="s">
        <v>187</v>
      </c>
      <c r="F5871">
        <v>2010</v>
      </c>
      <c r="G5871">
        <v>20.231999999999999</v>
      </c>
    </row>
    <row r="5872" spans="1:7">
      <c r="A5872" t="s">
        <v>1297</v>
      </c>
      <c r="B5872" t="s">
        <v>1298</v>
      </c>
      <c r="C5872" t="s">
        <v>686</v>
      </c>
      <c r="D5872" t="s">
        <v>1372</v>
      </c>
      <c r="E5872" t="s">
        <v>187</v>
      </c>
      <c r="F5872">
        <v>2012</v>
      </c>
      <c r="G5872">
        <v>20.811599999999999</v>
      </c>
    </row>
    <row r="5873" spans="1:7">
      <c r="A5873" t="s">
        <v>1297</v>
      </c>
      <c r="B5873" t="s">
        <v>1298</v>
      </c>
      <c r="C5873" t="s">
        <v>686</v>
      </c>
      <c r="D5873" t="s">
        <v>1372</v>
      </c>
      <c r="E5873" t="s">
        <v>187</v>
      </c>
      <c r="F5873">
        <v>2016</v>
      </c>
      <c r="G5873">
        <v>18.244800000000001</v>
      </c>
    </row>
    <row r="5874" spans="1:7">
      <c r="A5874" t="s">
        <v>1297</v>
      </c>
      <c r="B5874" t="s">
        <v>1298</v>
      </c>
      <c r="C5874" t="s">
        <v>686</v>
      </c>
      <c r="D5874" t="s">
        <v>1372</v>
      </c>
      <c r="E5874" t="s">
        <v>187</v>
      </c>
      <c r="F5874">
        <v>2020</v>
      </c>
      <c r="G5874">
        <v>19.499791999999999</v>
      </c>
    </row>
    <row r="5875" spans="1:7">
      <c r="A5875" t="s">
        <v>1297</v>
      </c>
      <c r="B5875" t="s">
        <v>1298</v>
      </c>
      <c r="C5875" t="s">
        <v>656</v>
      </c>
      <c r="D5875" t="s">
        <v>1372</v>
      </c>
      <c r="E5875" t="s">
        <v>187</v>
      </c>
      <c r="F5875">
        <v>2005</v>
      </c>
      <c r="G5875">
        <v>204.6996</v>
      </c>
    </row>
    <row r="5876" spans="1:7">
      <c r="A5876" t="s">
        <v>1297</v>
      </c>
      <c r="B5876" t="s">
        <v>1298</v>
      </c>
      <c r="C5876" t="s">
        <v>656</v>
      </c>
      <c r="D5876" t="s">
        <v>1372</v>
      </c>
      <c r="E5876" t="s">
        <v>187</v>
      </c>
      <c r="F5876">
        <v>2010</v>
      </c>
      <c r="G5876">
        <v>154.66319999999999</v>
      </c>
    </row>
    <row r="5877" spans="1:7">
      <c r="A5877" t="s">
        <v>1297</v>
      </c>
      <c r="B5877" t="s">
        <v>1298</v>
      </c>
      <c r="C5877" t="s">
        <v>656</v>
      </c>
      <c r="D5877" t="s">
        <v>1372</v>
      </c>
      <c r="E5877" t="s">
        <v>187</v>
      </c>
      <c r="F5877">
        <v>2012</v>
      </c>
      <c r="G5877">
        <v>166.56479999999999</v>
      </c>
    </row>
    <row r="5878" spans="1:7">
      <c r="A5878" t="s">
        <v>1297</v>
      </c>
      <c r="B5878" t="s">
        <v>1298</v>
      </c>
      <c r="C5878" t="s">
        <v>656</v>
      </c>
      <c r="D5878" t="s">
        <v>1372</v>
      </c>
      <c r="E5878" t="s">
        <v>187</v>
      </c>
      <c r="F5878">
        <v>2016</v>
      </c>
      <c r="G5878">
        <v>102.0168</v>
      </c>
    </row>
    <row r="5879" spans="1:7">
      <c r="A5879" t="s">
        <v>1297</v>
      </c>
      <c r="B5879" t="s">
        <v>1298</v>
      </c>
      <c r="C5879" t="s">
        <v>656</v>
      </c>
      <c r="D5879" t="s">
        <v>1372</v>
      </c>
      <c r="E5879" t="s">
        <v>187</v>
      </c>
      <c r="F5879">
        <v>2020</v>
      </c>
      <c r="G5879">
        <v>144.45359999999999</v>
      </c>
    </row>
    <row r="5880" spans="1:7">
      <c r="A5880" t="s">
        <v>1297</v>
      </c>
      <c r="B5880" t="s">
        <v>1298</v>
      </c>
      <c r="C5880" t="s">
        <v>670</v>
      </c>
      <c r="D5880" t="s">
        <v>1372</v>
      </c>
      <c r="E5880" t="s">
        <v>187</v>
      </c>
      <c r="F5880">
        <v>2005</v>
      </c>
      <c r="G5880">
        <v>85.287599999999998</v>
      </c>
    </row>
    <row r="5881" spans="1:7">
      <c r="A5881" t="s">
        <v>1297</v>
      </c>
      <c r="B5881" t="s">
        <v>1298</v>
      </c>
      <c r="C5881" t="s">
        <v>670</v>
      </c>
      <c r="D5881" t="s">
        <v>1372</v>
      </c>
      <c r="E5881" t="s">
        <v>187</v>
      </c>
      <c r="F5881">
        <v>2010</v>
      </c>
      <c r="G5881">
        <v>56.098799999999997</v>
      </c>
    </row>
    <row r="5882" spans="1:7">
      <c r="A5882" t="s">
        <v>1297</v>
      </c>
      <c r="B5882" t="s">
        <v>1298</v>
      </c>
      <c r="C5882" t="s">
        <v>670</v>
      </c>
      <c r="D5882" t="s">
        <v>1372</v>
      </c>
      <c r="E5882" t="s">
        <v>187</v>
      </c>
      <c r="F5882">
        <v>2012</v>
      </c>
      <c r="G5882">
        <v>115.760603</v>
      </c>
    </row>
    <row r="5883" spans="1:7">
      <c r="A5883" t="s">
        <v>1297</v>
      </c>
      <c r="B5883" t="s">
        <v>1298</v>
      </c>
      <c r="C5883" t="s">
        <v>670</v>
      </c>
      <c r="D5883" t="s">
        <v>1372</v>
      </c>
      <c r="E5883" t="s">
        <v>187</v>
      </c>
      <c r="F5883">
        <v>2016</v>
      </c>
      <c r="G5883">
        <v>87.327454000000003</v>
      </c>
    </row>
    <row r="5884" spans="1:7">
      <c r="A5884" t="s">
        <v>1297</v>
      </c>
      <c r="B5884" t="s">
        <v>1298</v>
      </c>
      <c r="C5884" t="s">
        <v>670</v>
      </c>
      <c r="D5884" t="s">
        <v>1372</v>
      </c>
      <c r="E5884" t="s">
        <v>187</v>
      </c>
      <c r="F5884">
        <v>2020</v>
      </c>
      <c r="G5884">
        <v>73.450277999999997</v>
      </c>
    </row>
    <row r="5885" spans="1:7">
      <c r="A5885" t="s">
        <v>1297</v>
      </c>
      <c r="B5885" t="s">
        <v>1298</v>
      </c>
      <c r="C5885" t="s">
        <v>289</v>
      </c>
      <c r="D5885" t="s">
        <v>1372</v>
      </c>
      <c r="E5885" t="s">
        <v>187</v>
      </c>
      <c r="F5885">
        <v>2005</v>
      </c>
      <c r="G5885">
        <v>31.485600000000002</v>
      </c>
    </row>
    <row r="5886" spans="1:7">
      <c r="A5886" t="s">
        <v>1297</v>
      </c>
      <c r="B5886" t="s">
        <v>1298</v>
      </c>
      <c r="C5886" t="s">
        <v>289</v>
      </c>
      <c r="D5886" t="s">
        <v>1372</v>
      </c>
      <c r="E5886" t="s">
        <v>187</v>
      </c>
      <c r="F5886">
        <v>2010</v>
      </c>
      <c r="G5886">
        <v>44.694000000000003</v>
      </c>
    </row>
    <row r="5887" spans="1:7">
      <c r="A5887" t="s">
        <v>1297</v>
      </c>
      <c r="B5887" t="s">
        <v>1298</v>
      </c>
      <c r="C5887" t="s">
        <v>289</v>
      </c>
      <c r="D5887" t="s">
        <v>1372</v>
      </c>
      <c r="E5887" t="s">
        <v>187</v>
      </c>
      <c r="F5887">
        <v>2012</v>
      </c>
      <c r="G5887">
        <v>47.426400000000001</v>
      </c>
    </row>
    <row r="5888" spans="1:7">
      <c r="A5888" t="s">
        <v>1297</v>
      </c>
      <c r="B5888" t="s">
        <v>1298</v>
      </c>
      <c r="C5888" t="s">
        <v>289</v>
      </c>
      <c r="D5888" t="s">
        <v>1372</v>
      </c>
      <c r="E5888" t="s">
        <v>187</v>
      </c>
      <c r="F5888">
        <v>2016</v>
      </c>
      <c r="G5888">
        <v>44.632800000000003</v>
      </c>
    </row>
    <row r="5889" spans="1:7">
      <c r="A5889" t="s">
        <v>1297</v>
      </c>
      <c r="B5889" t="s">
        <v>1298</v>
      </c>
      <c r="C5889" t="s">
        <v>289</v>
      </c>
      <c r="D5889" t="s">
        <v>1372</v>
      </c>
      <c r="E5889" t="s">
        <v>187</v>
      </c>
      <c r="F5889">
        <v>2020</v>
      </c>
      <c r="G5889">
        <v>41.042879999999997</v>
      </c>
    </row>
    <row r="5890" spans="1:7">
      <c r="A5890" t="s">
        <v>1297</v>
      </c>
      <c r="B5890" t="s">
        <v>1298</v>
      </c>
      <c r="C5890" t="s">
        <v>675</v>
      </c>
      <c r="D5890" t="s">
        <v>1372</v>
      </c>
      <c r="E5890" t="s">
        <v>187</v>
      </c>
      <c r="F5890">
        <v>2005</v>
      </c>
      <c r="G5890">
        <v>33.6312</v>
      </c>
    </row>
    <row r="5891" spans="1:7">
      <c r="A5891" t="s">
        <v>1297</v>
      </c>
      <c r="B5891" t="s">
        <v>1298</v>
      </c>
      <c r="C5891" t="s">
        <v>675</v>
      </c>
      <c r="D5891" t="s">
        <v>1372</v>
      </c>
      <c r="E5891" t="s">
        <v>187</v>
      </c>
      <c r="F5891">
        <v>2010</v>
      </c>
      <c r="G5891">
        <v>31.05</v>
      </c>
    </row>
    <row r="5892" spans="1:7">
      <c r="A5892" t="s">
        <v>1297</v>
      </c>
      <c r="B5892" t="s">
        <v>1298</v>
      </c>
      <c r="C5892" t="s">
        <v>675</v>
      </c>
      <c r="D5892" t="s">
        <v>1372</v>
      </c>
      <c r="E5892" t="s">
        <v>187</v>
      </c>
      <c r="F5892">
        <v>2012</v>
      </c>
      <c r="G5892">
        <v>26.827200000000001</v>
      </c>
    </row>
    <row r="5893" spans="1:7">
      <c r="A5893" t="s">
        <v>1297</v>
      </c>
      <c r="B5893" t="s">
        <v>1298</v>
      </c>
      <c r="C5893" t="s">
        <v>675</v>
      </c>
      <c r="D5893" t="s">
        <v>1372</v>
      </c>
      <c r="E5893" t="s">
        <v>187</v>
      </c>
      <c r="F5893">
        <v>2016</v>
      </c>
      <c r="G5893">
        <v>30.092400000000001</v>
      </c>
    </row>
    <row r="5894" spans="1:7">
      <c r="A5894" t="s">
        <v>1297</v>
      </c>
      <c r="B5894" t="s">
        <v>1298</v>
      </c>
      <c r="C5894" t="s">
        <v>675</v>
      </c>
      <c r="D5894" t="s">
        <v>1372</v>
      </c>
      <c r="E5894" t="s">
        <v>187</v>
      </c>
      <c r="F5894">
        <v>2020</v>
      </c>
      <c r="G5894">
        <v>32.476582999999998</v>
      </c>
    </row>
    <row r="5895" spans="1:7">
      <c r="A5895" t="s">
        <v>1297</v>
      </c>
      <c r="B5895" t="s">
        <v>1298</v>
      </c>
      <c r="C5895" t="s">
        <v>685</v>
      </c>
      <c r="D5895" t="s">
        <v>1372</v>
      </c>
      <c r="E5895" t="s">
        <v>187</v>
      </c>
      <c r="F5895">
        <v>2005</v>
      </c>
      <c r="G5895">
        <v>5.7564000000000002</v>
      </c>
    </row>
    <row r="5896" spans="1:7">
      <c r="A5896" t="s">
        <v>1297</v>
      </c>
      <c r="B5896" t="s">
        <v>1298</v>
      </c>
      <c r="C5896" t="s">
        <v>685</v>
      </c>
      <c r="D5896" t="s">
        <v>1372</v>
      </c>
      <c r="E5896" t="s">
        <v>187</v>
      </c>
      <c r="F5896">
        <v>2010</v>
      </c>
      <c r="G5896">
        <v>5.1120000000000001</v>
      </c>
    </row>
    <row r="5897" spans="1:7">
      <c r="A5897" t="s">
        <v>1297</v>
      </c>
      <c r="B5897" t="s">
        <v>1298</v>
      </c>
      <c r="C5897" t="s">
        <v>685</v>
      </c>
      <c r="D5897" t="s">
        <v>1372</v>
      </c>
      <c r="E5897" t="s">
        <v>187</v>
      </c>
      <c r="F5897">
        <v>2012</v>
      </c>
      <c r="G5897">
        <v>9.8675999999999995</v>
      </c>
    </row>
    <row r="5898" spans="1:7">
      <c r="A5898" t="s">
        <v>1297</v>
      </c>
      <c r="B5898" t="s">
        <v>1298</v>
      </c>
      <c r="C5898" t="s">
        <v>685</v>
      </c>
      <c r="D5898" t="s">
        <v>1372</v>
      </c>
      <c r="E5898" t="s">
        <v>187</v>
      </c>
      <c r="F5898">
        <v>2016</v>
      </c>
      <c r="G5898">
        <v>7.8861819999999998</v>
      </c>
    </row>
    <row r="5899" spans="1:7">
      <c r="A5899" t="s">
        <v>1297</v>
      </c>
      <c r="B5899" t="s">
        <v>1298</v>
      </c>
      <c r="C5899" t="s">
        <v>685</v>
      </c>
      <c r="D5899" t="s">
        <v>1372</v>
      </c>
      <c r="E5899" t="s">
        <v>187</v>
      </c>
      <c r="F5899">
        <v>2020</v>
      </c>
      <c r="G5899">
        <v>8.6792440000000006</v>
      </c>
    </row>
    <row r="5900" spans="1:7">
      <c r="A5900" t="s">
        <v>1297</v>
      </c>
      <c r="B5900" t="s">
        <v>1298</v>
      </c>
      <c r="C5900" t="s">
        <v>673</v>
      </c>
      <c r="D5900" t="s">
        <v>1372</v>
      </c>
      <c r="E5900" t="s">
        <v>187</v>
      </c>
      <c r="F5900">
        <v>2005</v>
      </c>
      <c r="G5900">
        <v>8.3556000000000008</v>
      </c>
    </row>
    <row r="5901" spans="1:7">
      <c r="A5901" t="s">
        <v>1297</v>
      </c>
      <c r="B5901" t="s">
        <v>1298</v>
      </c>
      <c r="C5901" t="s">
        <v>673</v>
      </c>
      <c r="D5901" t="s">
        <v>1372</v>
      </c>
      <c r="E5901" t="s">
        <v>187</v>
      </c>
      <c r="F5901">
        <v>2010</v>
      </c>
      <c r="G5901">
        <v>2.7612000000000001</v>
      </c>
    </row>
    <row r="5902" spans="1:7">
      <c r="A5902" t="s">
        <v>1297</v>
      </c>
      <c r="B5902" t="s">
        <v>1298</v>
      </c>
      <c r="C5902" t="s">
        <v>673</v>
      </c>
      <c r="D5902" t="s">
        <v>1372</v>
      </c>
      <c r="E5902" t="s">
        <v>187</v>
      </c>
      <c r="F5902">
        <v>2012</v>
      </c>
      <c r="G5902">
        <v>14.050800000000001</v>
      </c>
    </row>
    <row r="5903" spans="1:7">
      <c r="A5903" t="s">
        <v>1297</v>
      </c>
      <c r="B5903" t="s">
        <v>1298</v>
      </c>
      <c r="C5903" t="s">
        <v>673</v>
      </c>
      <c r="D5903" t="s">
        <v>1372</v>
      </c>
      <c r="E5903" t="s">
        <v>187</v>
      </c>
      <c r="F5903">
        <v>2016</v>
      </c>
      <c r="G5903">
        <v>15.0372</v>
      </c>
    </row>
    <row r="5904" spans="1:7">
      <c r="A5904" t="s">
        <v>1297</v>
      </c>
      <c r="B5904" t="s">
        <v>1298</v>
      </c>
      <c r="C5904" t="s">
        <v>673</v>
      </c>
      <c r="D5904" t="s">
        <v>1372</v>
      </c>
      <c r="E5904" t="s">
        <v>187</v>
      </c>
      <c r="F5904">
        <v>2020</v>
      </c>
      <c r="G5904">
        <v>19.773478999999998</v>
      </c>
    </row>
    <row r="5905" spans="1:7">
      <c r="A5905" t="s">
        <v>1297</v>
      </c>
      <c r="B5905" t="s">
        <v>1298</v>
      </c>
      <c r="C5905" t="s">
        <v>676</v>
      </c>
      <c r="D5905" t="s">
        <v>1372</v>
      </c>
      <c r="E5905" t="s">
        <v>187</v>
      </c>
      <c r="F5905">
        <v>2005</v>
      </c>
      <c r="G5905">
        <v>28.818000000000001</v>
      </c>
    </row>
    <row r="5906" spans="1:7">
      <c r="A5906" t="s">
        <v>1297</v>
      </c>
      <c r="B5906" t="s">
        <v>1298</v>
      </c>
      <c r="C5906" t="s">
        <v>676</v>
      </c>
      <c r="D5906" t="s">
        <v>1372</v>
      </c>
      <c r="E5906" t="s">
        <v>187</v>
      </c>
      <c r="F5906">
        <v>2010</v>
      </c>
      <c r="G5906">
        <v>26.4024</v>
      </c>
    </row>
    <row r="5907" spans="1:7">
      <c r="A5907" t="s">
        <v>1297</v>
      </c>
      <c r="B5907" t="s">
        <v>1298</v>
      </c>
      <c r="C5907" t="s">
        <v>676</v>
      </c>
      <c r="D5907" t="s">
        <v>1372</v>
      </c>
      <c r="E5907" t="s">
        <v>187</v>
      </c>
      <c r="F5907">
        <v>2012</v>
      </c>
      <c r="G5907">
        <v>48.499200000000002</v>
      </c>
    </row>
    <row r="5908" spans="1:7">
      <c r="A5908" t="s">
        <v>1297</v>
      </c>
      <c r="B5908" t="s">
        <v>1298</v>
      </c>
      <c r="C5908" t="s">
        <v>676</v>
      </c>
      <c r="D5908" t="s">
        <v>1372</v>
      </c>
      <c r="E5908" t="s">
        <v>187</v>
      </c>
      <c r="F5908">
        <v>2016</v>
      </c>
      <c r="G5908">
        <v>47.696399999999997</v>
      </c>
    </row>
    <row r="5909" spans="1:7">
      <c r="A5909" t="s">
        <v>1297</v>
      </c>
      <c r="B5909" t="s">
        <v>1298</v>
      </c>
      <c r="C5909" t="s">
        <v>676</v>
      </c>
      <c r="D5909" t="s">
        <v>1372</v>
      </c>
      <c r="E5909" t="s">
        <v>187</v>
      </c>
      <c r="F5909">
        <v>2020</v>
      </c>
      <c r="G5909">
        <v>48.736800000000002</v>
      </c>
    </row>
    <row r="5910" spans="1:7">
      <c r="A5910" t="s">
        <v>1297</v>
      </c>
      <c r="B5910" t="s">
        <v>1298</v>
      </c>
      <c r="C5910" t="s">
        <v>657</v>
      </c>
      <c r="D5910" t="s">
        <v>1372</v>
      </c>
      <c r="E5910" t="s">
        <v>187</v>
      </c>
      <c r="F5910">
        <v>2005</v>
      </c>
      <c r="G5910">
        <v>46.594799999999999</v>
      </c>
    </row>
    <row r="5911" spans="1:7">
      <c r="A5911" t="s">
        <v>1297</v>
      </c>
      <c r="B5911" t="s">
        <v>1298</v>
      </c>
      <c r="C5911" t="s">
        <v>657</v>
      </c>
      <c r="D5911" t="s">
        <v>1372</v>
      </c>
      <c r="E5911" t="s">
        <v>187</v>
      </c>
      <c r="F5911">
        <v>2010</v>
      </c>
      <c r="G5911">
        <v>38.156399999999998</v>
      </c>
    </row>
    <row r="5912" spans="1:7">
      <c r="A5912" t="s">
        <v>1297</v>
      </c>
      <c r="B5912" t="s">
        <v>1298</v>
      </c>
      <c r="C5912" t="s">
        <v>657</v>
      </c>
      <c r="D5912" t="s">
        <v>1372</v>
      </c>
      <c r="E5912" t="s">
        <v>187</v>
      </c>
      <c r="F5912">
        <v>2012</v>
      </c>
      <c r="G5912">
        <v>57.311999999999998</v>
      </c>
    </row>
    <row r="5913" spans="1:7">
      <c r="A5913" t="s">
        <v>1297</v>
      </c>
      <c r="B5913" t="s">
        <v>1298</v>
      </c>
      <c r="C5913" t="s">
        <v>657</v>
      </c>
      <c r="D5913" t="s">
        <v>1372</v>
      </c>
      <c r="E5913" t="s">
        <v>187</v>
      </c>
      <c r="F5913">
        <v>2016</v>
      </c>
      <c r="G5913">
        <v>53.915249000000003</v>
      </c>
    </row>
    <row r="5914" spans="1:7">
      <c r="A5914" t="s">
        <v>1297</v>
      </c>
      <c r="B5914" t="s">
        <v>1298</v>
      </c>
      <c r="C5914" t="s">
        <v>657</v>
      </c>
      <c r="D5914" t="s">
        <v>1372</v>
      </c>
      <c r="E5914" t="s">
        <v>187</v>
      </c>
      <c r="F5914">
        <v>2020</v>
      </c>
      <c r="G5914">
        <v>57.534835999999999</v>
      </c>
    </row>
    <row r="5915" spans="1:7">
      <c r="A5915" t="s">
        <v>1297</v>
      </c>
      <c r="B5915" t="s">
        <v>1298</v>
      </c>
      <c r="C5915" t="s">
        <v>681</v>
      </c>
      <c r="D5915" t="s">
        <v>1372</v>
      </c>
      <c r="E5915" t="s">
        <v>187</v>
      </c>
      <c r="F5915">
        <v>2005</v>
      </c>
      <c r="G5915">
        <v>1.3355999999999999</v>
      </c>
    </row>
    <row r="5916" spans="1:7">
      <c r="A5916" t="s">
        <v>1297</v>
      </c>
      <c r="B5916" t="s">
        <v>1298</v>
      </c>
      <c r="C5916" t="s">
        <v>681</v>
      </c>
      <c r="D5916" t="s">
        <v>1372</v>
      </c>
      <c r="E5916" t="s">
        <v>187</v>
      </c>
      <c r="F5916">
        <v>2010</v>
      </c>
      <c r="G5916">
        <v>7.1496000000000004</v>
      </c>
    </row>
    <row r="5917" spans="1:7">
      <c r="A5917" t="s">
        <v>1297</v>
      </c>
      <c r="B5917" t="s">
        <v>1298</v>
      </c>
      <c r="C5917" t="s">
        <v>681</v>
      </c>
      <c r="D5917" t="s">
        <v>1372</v>
      </c>
      <c r="E5917" t="s">
        <v>187</v>
      </c>
      <c r="F5917">
        <v>2012</v>
      </c>
      <c r="G5917">
        <v>9.1367999999999991</v>
      </c>
    </row>
    <row r="5918" spans="1:7">
      <c r="A5918" t="s">
        <v>1297</v>
      </c>
      <c r="B5918" t="s">
        <v>1298</v>
      </c>
      <c r="C5918" t="s">
        <v>681</v>
      </c>
      <c r="D5918" t="s">
        <v>1372</v>
      </c>
      <c r="E5918" t="s">
        <v>187</v>
      </c>
      <c r="F5918">
        <v>2020</v>
      </c>
      <c r="G5918">
        <v>11.435454</v>
      </c>
    </row>
    <row r="5919" spans="1:7">
      <c r="A5919" t="s">
        <v>1297</v>
      </c>
      <c r="B5919" t="s">
        <v>1298</v>
      </c>
      <c r="C5919" t="s">
        <v>667</v>
      </c>
      <c r="D5919" t="s">
        <v>1372</v>
      </c>
      <c r="E5919" t="s">
        <v>187</v>
      </c>
      <c r="F5919">
        <v>2005</v>
      </c>
      <c r="G5919">
        <v>23.009785000000001</v>
      </c>
    </row>
    <row r="5920" spans="1:7">
      <c r="A5920" t="s">
        <v>1297</v>
      </c>
      <c r="B5920" t="s">
        <v>1298</v>
      </c>
      <c r="C5920" t="s">
        <v>667</v>
      </c>
      <c r="D5920" t="s">
        <v>1372</v>
      </c>
      <c r="E5920" t="s">
        <v>187</v>
      </c>
      <c r="F5920">
        <v>2010</v>
      </c>
      <c r="G5920">
        <v>26.206236000000001</v>
      </c>
    </row>
    <row r="5921" spans="1:7">
      <c r="A5921" t="s">
        <v>1297</v>
      </c>
      <c r="B5921" t="s">
        <v>1298</v>
      </c>
      <c r="C5921" t="s">
        <v>667</v>
      </c>
      <c r="D5921" t="s">
        <v>1372</v>
      </c>
      <c r="E5921" t="s">
        <v>187</v>
      </c>
      <c r="F5921">
        <v>2012</v>
      </c>
      <c r="G5921">
        <v>24.235552999999999</v>
      </c>
    </row>
    <row r="5922" spans="1:7">
      <c r="A5922" t="s">
        <v>1297</v>
      </c>
      <c r="B5922" t="s">
        <v>1298</v>
      </c>
      <c r="C5922" t="s">
        <v>667</v>
      </c>
      <c r="D5922" t="s">
        <v>1372</v>
      </c>
      <c r="E5922" t="s">
        <v>187</v>
      </c>
      <c r="F5922">
        <v>2016</v>
      </c>
      <c r="G5922">
        <v>27.786214999999999</v>
      </c>
    </row>
    <row r="5923" spans="1:7">
      <c r="A5923" t="s">
        <v>1297</v>
      </c>
      <c r="B5923" t="s">
        <v>1298</v>
      </c>
      <c r="C5923" t="s">
        <v>667</v>
      </c>
      <c r="D5923" t="s">
        <v>1372</v>
      </c>
      <c r="E5923" t="s">
        <v>187</v>
      </c>
      <c r="F5923">
        <v>2020</v>
      </c>
      <c r="G5923">
        <v>24.543071999999999</v>
      </c>
    </row>
    <row r="5924" spans="1:7">
      <c r="A5924" t="s">
        <v>1297</v>
      </c>
      <c r="B5924" t="s">
        <v>1298</v>
      </c>
      <c r="C5924" t="s">
        <v>669</v>
      </c>
      <c r="D5924" t="s">
        <v>1372</v>
      </c>
      <c r="E5924" t="s">
        <v>187</v>
      </c>
      <c r="F5924">
        <v>2016</v>
      </c>
      <c r="G5924">
        <v>5.4960769999999997</v>
      </c>
    </row>
    <row r="5925" spans="1:7">
      <c r="A5925" t="s">
        <v>1297</v>
      </c>
      <c r="B5925" t="s">
        <v>1298</v>
      </c>
      <c r="C5925" t="s">
        <v>669</v>
      </c>
      <c r="D5925" t="s">
        <v>1372</v>
      </c>
      <c r="E5925" t="s">
        <v>187</v>
      </c>
      <c r="F5925">
        <v>2020</v>
      </c>
      <c r="G5925">
        <v>2.364322</v>
      </c>
    </row>
    <row r="5926" spans="1:7">
      <c r="A5926" t="s">
        <v>1297</v>
      </c>
      <c r="B5926" t="s">
        <v>1298</v>
      </c>
      <c r="C5926" t="s">
        <v>651</v>
      </c>
      <c r="D5926" t="s">
        <v>1372</v>
      </c>
      <c r="E5926" t="s">
        <v>187</v>
      </c>
      <c r="F5926">
        <v>2005</v>
      </c>
      <c r="G5926">
        <v>73.279551999999995</v>
      </c>
    </row>
    <row r="5927" spans="1:7">
      <c r="A5927" t="s">
        <v>1297</v>
      </c>
      <c r="B5927" t="s">
        <v>1298</v>
      </c>
      <c r="C5927" t="s">
        <v>651</v>
      </c>
      <c r="D5927" t="s">
        <v>1372</v>
      </c>
      <c r="E5927" t="s">
        <v>187</v>
      </c>
      <c r="F5927">
        <v>2010</v>
      </c>
      <c r="G5927">
        <v>71.671308999999994</v>
      </c>
    </row>
    <row r="5928" spans="1:7">
      <c r="A5928" t="s">
        <v>1297</v>
      </c>
      <c r="B5928" t="s">
        <v>1298</v>
      </c>
      <c r="C5928" t="s">
        <v>651</v>
      </c>
      <c r="D5928" t="s">
        <v>1372</v>
      </c>
      <c r="E5928" t="s">
        <v>187</v>
      </c>
      <c r="F5928">
        <v>2012</v>
      </c>
      <c r="G5928">
        <v>84.346974000000003</v>
      </c>
    </row>
    <row r="5929" spans="1:7">
      <c r="A5929" t="s">
        <v>1297</v>
      </c>
      <c r="B5929" t="s">
        <v>1298</v>
      </c>
      <c r="C5929" t="s">
        <v>651</v>
      </c>
      <c r="D5929" t="s">
        <v>1372</v>
      </c>
      <c r="E5929" t="s">
        <v>187</v>
      </c>
      <c r="F5929">
        <v>2016</v>
      </c>
      <c r="G5929">
        <v>94.918176000000003</v>
      </c>
    </row>
    <row r="5930" spans="1:7">
      <c r="A5930" t="s">
        <v>1297</v>
      </c>
      <c r="B5930" t="s">
        <v>1298</v>
      </c>
      <c r="C5930" t="s">
        <v>651</v>
      </c>
      <c r="D5930" t="s">
        <v>1372</v>
      </c>
      <c r="E5930" t="s">
        <v>187</v>
      </c>
      <c r="F5930">
        <v>2020</v>
      </c>
      <c r="G5930">
        <v>93.768648999999996</v>
      </c>
    </row>
    <row r="5931" spans="1:7">
      <c r="A5931" t="s">
        <v>1297</v>
      </c>
      <c r="B5931" t="s">
        <v>1298</v>
      </c>
      <c r="C5931" t="s">
        <v>1301</v>
      </c>
      <c r="D5931" t="s">
        <v>1372</v>
      </c>
      <c r="E5931" t="s">
        <v>187</v>
      </c>
      <c r="F5931">
        <v>2005</v>
      </c>
      <c r="G5931">
        <v>2.2896000000000001</v>
      </c>
    </row>
    <row r="5932" spans="1:7">
      <c r="A5932" t="s">
        <v>1297</v>
      </c>
      <c r="B5932" t="s">
        <v>1298</v>
      </c>
      <c r="C5932" t="s">
        <v>1301</v>
      </c>
      <c r="D5932" t="s">
        <v>1372</v>
      </c>
      <c r="E5932" t="s">
        <v>187</v>
      </c>
      <c r="F5932">
        <v>2010</v>
      </c>
      <c r="G5932">
        <v>4.1184000000000003</v>
      </c>
    </row>
    <row r="5933" spans="1:7">
      <c r="A5933" t="s">
        <v>1297</v>
      </c>
      <c r="B5933" t="s">
        <v>1298</v>
      </c>
      <c r="C5933" t="s">
        <v>1301</v>
      </c>
      <c r="D5933" t="s">
        <v>1372</v>
      </c>
      <c r="E5933" t="s">
        <v>187</v>
      </c>
      <c r="F5933">
        <v>2012</v>
      </c>
      <c r="G5933">
        <v>20.9772</v>
      </c>
    </row>
    <row r="5934" spans="1:7">
      <c r="A5934" t="s">
        <v>1297</v>
      </c>
      <c r="B5934" t="s">
        <v>1298</v>
      </c>
      <c r="C5934" t="s">
        <v>1301</v>
      </c>
      <c r="D5934" t="s">
        <v>1372</v>
      </c>
      <c r="E5934" t="s">
        <v>187</v>
      </c>
      <c r="F5934">
        <v>2016</v>
      </c>
      <c r="G5934">
        <v>22.788</v>
      </c>
    </row>
    <row r="5935" spans="1:7">
      <c r="A5935" t="s">
        <v>1297</v>
      </c>
      <c r="B5935" t="s">
        <v>1298</v>
      </c>
      <c r="C5935" t="s">
        <v>1301</v>
      </c>
      <c r="D5935" t="s">
        <v>1372</v>
      </c>
      <c r="E5935" t="s">
        <v>187</v>
      </c>
      <c r="F5935">
        <v>2020</v>
      </c>
      <c r="G5935">
        <v>7.9614219999999998</v>
      </c>
    </row>
    <row r="5936" spans="1:7">
      <c r="A5936" t="s">
        <v>1297</v>
      </c>
      <c r="B5936" t="s">
        <v>1298</v>
      </c>
      <c r="C5936" t="s">
        <v>679</v>
      </c>
      <c r="D5936" t="s">
        <v>1372</v>
      </c>
      <c r="E5936" t="s">
        <v>187</v>
      </c>
      <c r="F5936">
        <v>2005</v>
      </c>
      <c r="G5936">
        <v>13.1508</v>
      </c>
    </row>
    <row r="5937" spans="1:7">
      <c r="A5937" t="s">
        <v>1297</v>
      </c>
      <c r="B5937" t="s">
        <v>1298</v>
      </c>
      <c r="C5937" t="s">
        <v>679</v>
      </c>
      <c r="D5937" t="s">
        <v>1372</v>
      </c>
      <c r="E5937" t="s">
        <v>187</v>
      </c>
      <c r="F5937">
        <v>2010</v>
      </c>
      <c r="G5937">
        <v>52.822800000000001</v>
      </c>
    </row>
    <row r="5938" spans="1:7">
      <c r="A5938" t="s">
        <v>1297</v>
      </c>
      <c r="B5938" t="s">
        <v>1298</v>
      </c>
      <c r="C5938" t="s">
        <v>679</v>
      </c>
      <c r="D5938" t="s">
        <v>1372</v>
      </c>
      <c r="E5938" t="s">
        <v>187</v>
      </c>
      <c r="F5938">
        <v>2012</v>
      </c>
      <c r="G5938">
        <v>15.0876</v>
      </c>
    </row>
    <row r="5939" spans="1:7">
      <c r="A5939" t="s">
        <v>1297</v>
      </c>
      <c r="B5939" t="s">
        <v>1298</v>
      </c>
      <c r="C5939" t="s">
        <v>679</v>
      </c>
      <c r="D5939" t="s">
        <v>1372</v>
      </c>
      <c r="E5939" t="s">
        <v>187</v>
      </c>
      <c r="F5939">
        <v>2016</v>
      </c>
      <c r="G5939">
        <v>20.664000000000001</v>
      </c>
    </row>
    <row r="5940" spans="1:7">
      <c r="A5940" t="s">
        <v>1297</v>
      </c>
      <c r="B5940" t="s">
        <v>1298</v>
      </c>
      <c r="C5940" t="s">
        <v>679</v>
      </c>
      <c r="D5940" t="s">
        <v>1372</v>
      </c>
      <c r="E5940" t="s">
        <v>187</v>
      </c>
      <c r="F5940">
        <v>2020</v>
      </c>
      <c r="G5940">
        <v>44.470799999999997</v>
      </c>
    </row>
    <row r="5941" spans="1:7">
      <c r="A5941" t="s">
        <v>1297</v>
      </c>
      <c r="B5941" t="s">
        <v>1298</v>
      </c>
      <c r="C5941" t="s">
        <v>660</v>
      </c>
      <c r="D5941" t="s">
        <v>1372</v>
      </c>
      <c r="E5941" t="s">
        <v>187</v>
      </c>
      <c r="F5941">
        <v>2012</v>
      </c>
      <c r="G5941">
        <v>68.720399999999998</v>
      </c>
    </row>
    <row r="5942" spans="1:7">
      <c r="A5942" t="s">
        <v>1297</v>
      </c>
      <c r="B5942" t="s">
        <v>1298</v>
      </c>
      <c r="C5942" t="s">
        <v>660</v>
      </c>
      <c r="D5942" t="s">
        <v>1372</v>
      </c>
      <c r="E5942" t="s">
        <v>187</v>
      </c>
      <c r="F5942">
        <v>2016</v>
      </c>
      <c r="G5942">
        <v>79.596000000000004</v>
      </c>
    </row>
    <row r="5943" spans="1:7">
      <c r="A5943" t="s">
        <v>1297</v>
      </c>
      <c r="B5943" t="s">
        <v>1298</v>
      </c>
      <c r="C5943" t="s">
        <v>660</v>
      </c>
      <c r="D5943" t="s">
        <v>1372</v>
      </c>
      <c r="E5943" t="s">
        <v>187</v>
      </c>
      <c r="F5943">
        <v>2020</v>
      </c>
      <c r="G5943">
        <v>86.1768</v>
      </c>
    </row>
    <row r="5944" spans="1:7">
      <c r="A5944" t="s">
        <v>1297</v>
      </c>
      <c r="B5944" t="s">
        <v>1298</v>
      </c>
      <c r="C5944" t="s">
        <v>653</v>
      </c>
      <c r="D5944" t="s">
        <v>1372</v>
      </c>
      <c r="E5944" t="s">
        <v>187</v>
      </c>
      <c r="F5944">
        <v>2005</v>
      </c>
      <c r="G5944">
        <v>2.8763999999999998</v>
      </c>
    </row>
    <row r="5945" spans="1:7">
      <c r="A5945" t="s">
        <v>1297</v>
      </c>
      <c r="B5945" t="s">
        <v>1298</v>
      </c>
      <c r="C5945" t="s">
        <v>653</v>
      </c>
      <c r="D5945" t="s">
        <v>1372</v>
      </c>
      <c r="E5945" t="s">
        <v>187</v>
      </c>
      <c r="F5945">
        <v>2010</v>
      </c>
      <c r="G5945">
        <v>4.2012</v>
      </c>
    </row>
    <row r="5946" spans="1:7">
      <c r="A5946" t="s">
        <v>1297</v>
      </c>
      <c r="B5946" t="s">
        <v>1298</v>
      </c>
      <c r="C5946" t="s">
        <v>653</v>
      </c>
      <c r="D5946" t="s">
        <v>1372</v>
      </c>
      <c r="E5946" t="s">
        <v>187</v>
      </c>
      <c r="F5946">
        <v>2012</v>
      </c>
      <c r="G5946">
        <v>8.4708000000000006</v>
      </c>
    </row>
    <row r="5947" spans="1:7">
      <c r="A5947" t="s">
        <v>1297</v>
      </c>
      <c r="B5947" t="s">
        <v>1298</v>
      </c>
      <c r="C5947" t="s">
        <v>653</v>
      </c>
      <c r="D5947" t="s">
        <v>1372</v>
      </c>
      <c r="E5947" t="s">
        <v>187</v>
      </c>
      <c r="F5947">
        <v>2016</v>
      </c>
      <c r="G5947">
        <v>16.444800000000001</v>
      </c>
    </row>
    <row r="5948" spans="1:7">
      <c r="A5948" t="s">
        <v>1297</v>
      </c>
      <c r="B5948" t="s">
        <v>1298</v>
      </c>
      <c r="C5948" t="s">
        <v>653</v>
      </c>
      <c r="D5948" t="s">
        <v>1372</v>
      </c>
      <c r="E5948" t="s">
        <v>187</v>
      </c>
      <c r="F5948">
        <v>2020</v>
      </c>
      <c r="G5948">
        <v>10.961809000000001</v>
      </c>
    </row>
    <row r="5949" spans="1:7">
      <c r="A5949" t="s">
        <v>1297</v>
      </c>
      <c r="B5949" t="s">
        <v>1298</v>
      </c>
      <c r="C5949" t="s">
        <v>662</v>
      </c>
      <c r="D5949" t="s">
        <v>1372</v>
      </c>
      <c r="E5949" t="s">
        <v>187</v>
      </c>
      <c r="F5949">
        <v>2005</v>
      </c>
      <c r="G5949">
        <v>20.217600000000001</v>
      </c>
    </row>
    <row r="5950" spans="1:7">
      <c r="A5950" t="s">
        <v>1297</v>
      </c>
      <c r="B5950" t="s">
        <v>1298</v>
      </c>
      <c r="C5950" t="s">
        <v>662</v>
      </c>
      <c r="D5950" t="s">
        <v>1372</v>
      </c>
      <c r="E5950" t="s">
        <v>187</v>
      </c>
      <c r="F5950">
        <v>2010</v>
      </c>
      <c r="G5950">
        <v>30.661200000000001</v>
      </c>
    </row>
    <row r="5951" spans="1:7">
      <c r="A5951" t="s">
        <v>1297</v>
      </c>
      <c r="B5951" t="s">
        <v>1298</v>
      </c>
      <c r="C5951" t="s">
        <v>662</v>
      </c>
      <c r="D5951" t="s">
        <v>1372</v>
      </c>
      <c r="E5951" t="s">
        <v>187</v>
      </c>
      <c r="F5951">
        <v>2012</v>
      </c>
      <c r="G5951">
        <v>21.4344</v>
      </c>
    </row>
    <row r="5952" spans="1:7">
      <c r="A5952" t="s">
        <v>1297</v>
      </c>
      <c r="B5952" t="s">
        <v>1298</v>
      </c>
      <c r="C5952" t="s">
        <v>662</v>
      </c>
      <c r="D5952" t="s">
        <v>1372</v>
      </c>
      <c r="E5952" t="s">
        <v>187</v>
      </c>
      <c r="F5952">
        <v>2016</v>
      </c>
      <c r="G5952">
        <v>35.398800000000001</v>
      </c>
    </row>
    <row r="5953" spans="1:7">
      <c r="A5953" t="s">
        <v>1297</v>
      </c>
      <c r="B5953" t="s">
        <v>1298</v>
      </c>
      <c r="C5953" t="s">
        <v>662</v>
      </c>
      <c r="D5953" t="s">
        <v>1372</v>
      </c>
      <c r="E5953" t="s">
        <v>187</v>
      </c>
      <c r="F5953">
        <v>2020</v>
      </c>
      <c r="G5953">
        <v>39.841200000000001</v>
      </c>
    </row>
    <row r="5954" spans="1:7">
      <c r="A5954" t="s">
        <v>1297</v>
      </c>
      <c r="B5954" t="s">
        <v>1298</v>
      </c>
      <c r="C5954" t="s">
        <v>677</v>
      </c>
      <c r="D5954" t="s">
        <v>1372</v>
      </c>
      <c r="E5954" t="s">
        <v>187</v>
      </c>
      <c r="F5954">
        <v>2005</v>
      </c>
      <c r="G5954">
        <v>40.176000000000002</v>
      </c>
    </row>
    <row r="5955" spans="1:7">
      <c r="A5955" t="s">
        <v>1297</v>
      </c>
      <c r="B5955" t="s">
        <v>1298</v>
      </c>
      <c r="C5955" t="s">
        <v>677</v>
      </c>
      <c r="D5955" t="s">
        <v>1372</v>
      </c>
      <c r="E5955" t="s">
        <v>187</v>
      </c>
      <c r="F5955">
        <v>2010</v>
      </c>
      <c r="G5955">
        <v>25.7148</v>
      </c>
    </row>
    <row r="5956" spans="1:7">
      <c r="A5956" t="s">
        <v>1297</v>
      </c>
      <c r="B5956" t="s">
        <v>1298</v>
      </c>
      <c r="C5956" t="s">
        <v>677</v>
      </c>
      <c r="D5956" t="s">
        <v>1372</v>
      </c>
      <c r="E5956" t="s">
        <v>187</v>
      </c>
      <c r="F5956">
        <v>2012</v>
      </c>
      <c r="G5956">
        <v>49.59</v>
      </c>
    </row>
    <row r="5957" spans="1:7">
      <c r="A5957" t="s">
        <v>1297</v>
      </c>
      <c r="B5957" t="s">
        <v>1298</v>
      </c>
      <c r="C5957" t="s">
        <v>677</v>
      </c>
      <c r="D5957" t="s">
        <v>1372</v>
      </c>
      <c r="E5957" t="s">
        <v>187</v>
      </c>
      <c r="F5957">
        <v>2016</v>
      </c>
      <c r="G5957">
        <v>72.064522999999994</v>
      </c>
    </row>
    <row r="5958" spans="1:7">
      <c r="A5958" t="s">
        <v>1297</v>
      </c>
      <c r="B5958" t="s">
        <v>1298</v>
      </c>
      <c r="C5958" t="s">
        <v>677</v>
      </c>
      <c r="D5958" t="s">
        <v>1372</v>
      </c>
      <c r="E5958" t="s">
        <v>187</v>
      </c>
      <c r="F5958">
        <v>2020</v>
      </c>
      <c r="G5958">
        <v>88.400113000000005</v>
      </c>
    </row>
    <row r="5959" spans="1:7">
      <c r="A5959" t="s">
        <v>1297</v>
      </c>
      <c r="B5959" t="s">
        <v>1298</v>
      </c>
      <c r="C5959" t="s">
        <v>1302</v>
      </c>
      <c r="D5959" t="s">
        <v>1372</v>
      </c>
      <c r="E5959" t="s">
        <v>187</v>
      </c>
      <c r="F5959">
        <v>2005</v>
      </c>
      <c r="G5959">
        <v>1.7676000000000001</v>
      </c>
    </row>
    <row r="5960" spans="1:7">
      <c r="A5960" t="s">
        <v>1297</v>
      </c>
      <c r="B5960" t="s">
        <v>1298</v>
      </c>
      <c r="C5960" t="s">
        <v>1302</v>
      </c>
      <c r="D5960" t="s">
        <v>1372</v>
      </c>
      <c r="E5960" t="s">
        <v>187</v>
      </c>
      <c r="F5960">
        <v>2010</v>
      </c>
      <c r="G5960">
        <v>2.9483999999999999</v>
      </c>
    </row>
    <row r="5961" spans="1:7">
      <c r="A5961" t="s">
        <v>1297</v>
      </c>
      <c r="B5961" t="s">
        <v>1298</v>
      </c>
      <c r="C5961" t="s">
        <v>1302</v>
      </c>
      <c r="D5961" t="s">
        <v>1372</v>
      </c>
      <c r="E5961" t="s">
        <v>187</v>
      </c>
      <c r="F5961">
        <v>2012</v>
      </c>
      <c r="G5961">
        <v>9.9827999999999992</v>
      </c>
    </row>
    <row r="5962" spans="1:7">
      <c r="A5962" t="s">
        <v>1297</v>
      </c>
      <c r="B5962" t="s">
        <v>1298</v>
      </c>
      <c r="C5962" t="s">
        <v>1302</v>
      </c>
      <c r="D5962" t="s">
        <v>1372</v>
      </c>
      <c r="E5962" t="s">
        <v>187</v>
      </c>
      <c r="F5962">
        <v>2016</v>
      </c>
      <c r="G5962">
        <v>2.0051999999999999</v>
      </c>
    </row>
    <row r="5963" spans="1:7">
      <c r="A5963" t="s">
        <v>1297</v>
      </c>
      <c r="B5963" t="s">
        <v>1298</v>
      </c>
      <c r="C5963" t="s">
        <v>1302</v>
      </c>
      <c r="D5963" t="s">
        <v>1372</v>
      </c>
      <c r="E5963" t="s">
        <v>187</v>
      </c>
      <c r="F5963">
        <v>2020</v>
      </c>
      <c r="G5963">
        <v>3.342571</v>
      </c>
    </row>
    <row r="5964" spans="1:7">
      <c r="A5964" t="s">
        <v>1297</v>
      </c>
      <c r="B5964" t="s">
        <v>1298</v>
      </c>
      <c r="C5964" t="s">
        <v>1299</v>
      </c>
      <c r="D5964" t="s">
        <v>1372</v>
      </c>
      <c r="E5964" t="s">
        <v>187</v>
      </c>
      <c r="F5964">
        <v>2005</v>
      </c>
      <c r="G5964">
        <v>6.1740000000000004</v>
      </c>
    </row>
    <row r="5965" spans="1:7">
      <c r="A5965" t="s">
        <v>1297</v>
      </c>
      <c r="B5965" t="s">
        <v>1298</v>
      </c>
      <c r="C5965" t="s">
        <v>1299</v>
      </c>
      <c r="D5965" t="s">
        <v>1372</v>
      </c>
      <c r="E5965" t="s">
        <v>187</v>
      </c>
      <c r="F5965">
        <v>2010</v>
      </c>
      <c r="G5965">
        <v>8.2799999999999999E-2</v>
      </c>
    </row>
    <row r="5966" spans="1:7">
      <c r="A5966" t="s">
        <v>1297</v>
      </c>
      <c r="B5966" t="s">
        <v>1298</v>
      </c>
      <c r="C5966" t="s">
        <v>1299</v>
      </c>
      <c r="D5966" t="s">
        <v>1372</v>
      </c>
      <c r="E5966" t="s">
        <v>187</v>
      </c>
      <c r="F5966">
        <v>2012</v>
      </c>
      <c r="G5966">
        <v>0.32040000000000002</v>
      </c>
    </row>
    <row r="5967" spans="1:7">
      <c r="A5967" t="s">
        <v>1297</v>
      </c>
      <c r="B5967" t="s">
        <v>1298</v>
      </c>
      <c r="C5967" t="s">
        <v>1299</v>
      </c>
      <c r="D5967" t="s">
        <v>1372</v>
      </c>
      <c r="E5967" t="s">
        <v>187</v>
      </c>
      <c r="F5967">
        <v>2016</v>
      </c>
      <c r="G5967">
        <v>0.2772</v>
      </c>
    </row>
    <row r="5968" spans="1:7">
      <c r="A5968" t="s">
        <v>1297</v>
      </c>
      <c r="B5968" t="s">
        <v>1298</v>
      </c>
      <c r="C5968" t="s">
        <v>1299</v>
      </c>
      <c r="D5968" t="s">
        <v>1372</v>
      </c>
      <c r="E5968" t="s">
        <v>187</v>
      </c>
      <c r="F5968">
        <v>2020</v>
      </c>
      <c r="G5968">
        <v>8.0568000000000008</v>
      </c>
    </row>
    <row r="5969" spans="1:7">
      <c r="A5969" t="s">
        <v>1297</v>
      </c>
      <c r="B5969" t="s">
        <v>1298</v>
      </c>
      <c r="C5969" t="s">
        <v>660</v>
      </c>
      <c r="D5969" t="s">
        <v>1372</v>
      </c>
      <c r="E5969" t="s">
        <v>187</v>
      </c>
      <c r="F5969">
        <v>2005</v>
      </c>
      <c r="G5969">
        <v>64.612799999999993</v>
      </c>
    </row>
    <row r="5970" spans="1:7">
      <c r="A5970" t="s">
        <v>1297</v>
      </c>
      <c r="B5970" t="s">
        <v>1298</v>
      </c>
      <c r="C5970" t="s">
        <v>660</v>
      </c>
      <c r="D5970" t="s">
        <v>1372</v>
      </c>
      <c r="E5970" t="s">
        <v>187</v>
      </c>
      <c r="F5970">
        <v>2010</v>
      </c>
      <c r="G5970">
        <v>56.5884</v>
      </c>
    </row>
    <row r="5971" spans="1:7">
      <c r="A5971" t="s">
        <v>1297</v>
      </c>
      <c r="B5971" t="s">
        <v>1298</v>
      </c>
      <c r="C5971" t="s">
        <v>668</v>
      </c>
      <c r="D5971" t="s">
        <v>1372</v>
      </c>
      <c r="E5971" t="s">
        <v>187</v>
      </c>
      <c r="F5971">
        <v>2005</v>
      </c>
      <c r="G5971">
        <v>10.278</v>
      </c>
    </row>
    <row r="5972" spans="1:7">
      <c r="A5972" t="s">
        <v>1297</v>
      </c>
      <c r="B5972" t="s">
        <v>1298</v>
      </c>
      <c r="C5972" t="s">
        <v>668</v>
      </c>
      <c r="D5972" t="s">
        <v>1372</v>
      </c>
      <c r="E5972" t="s">
        <v>187</v>
      </c>
      <c r="F5972">
        <v>2010</v>
      </c>
      <c r="G5972">
        <v>14.3028</v>
      </c>
    </row>
    <row r="5973" spans="1:7">
      <c r="A5973" t="s">
        <v>1297</v>
      </c>
      <c r="B5973" t="s">
        <v>1298</v>
      </c>
      <c r="C5973" t="s">
        <v>668</v>
      </c>
      <c r="D5973" t="s">
        <v>1372</v>
      </c>
      <c r="E5973" t="s">
        <v>187</v>
      </c>
      <c r="F5973">
        <v>2012</v>
      </c>
      <c r="G5973">
        <v>17.765999999999998</v>
      </c>
    </row>
    <row r="5974" spans="1:7">
      <c r="A5974" t="s">
        <v>1297</v>
      </c>
      <c r="B5974" t="s">
        <v>1298</v>
      </c>
      <c r="C5974" t="s">
        <v>668</v>
      </c>
      <c r="D5974" t="s">
        <v>1372</v>
      </c>
      <c r="E5974" t="s">
        <v>187</v>
      </c>
      <c r="F5974">
        <v>2016</v>
      </c>
      <c r="G5974">
        <v>17.380800000000001</v>
      </c>
    </row>
    <row r="5975" spans="1:7">
      <c r="A5975" t="s">
        <v>1297</v>
      </c>
      <c r="B5975" t="s">
        <v>1298</v>
      </c>
      <c r="C5975" t="s">
        <v>668</v>
      </c>
      <c r="D5975" t="s">
        <v>1372</v>
      </c>
      <c r="E5975" t="s">
        <v>187</v>
      </c>
      <c r="F5975">
        <v>2020</v>
      </c>
      <c r="G5975">
        <v>16.598739999999999</v>
      </c>
    </row>
    <row r="5976" spans="1:7">
      <c r="A5976" t="s">
        <v>1297</v>
      </c>
      <c r="B5976" t="s">
        <v>1298</v>
      </c>
      <c r="C5976" t="s">
        <v>652</v>
      </c>
      <c r="D5976" t="s">
        <v>1372</v>
      </c>
      <c r="E5976" t="s">
        <v>187</v>
      </c>
      <c r="F5976">
        <v>2020</v>
      </c>
      <c r="G5976">
        <v>45.84384</v>
      </c>
    </row>
    <row r="5977" spans="1:7">
      <c r="A5977" t="s">
        <v>1297</v>
      </c>
      <c r="B5977" t="s">
        <v>1298</v>
      </c>
      <c r="C5977" t="s">
        <v>674</v>
      </c>
      <c r="D5977" t="s">
        <v>1372</v>
      </c>
      <c r="E5977" t="s">
        <v>187</v>
      </c>
      <c r="F5977">
        <v>2005</v>
      </c>
      <c r="G5977">
        <v>52.473599999999998</v>
      </c>
    </row>
    <row r="5978" spans="1:7">
      <c r="A5978" t="s">
        <v>1297</v>
      </c>
      <c r="B5978" t="s">
        <v>1298</v>
      </c>
      <c r="C5978" t="s">
        <v>674</v>
      </c>
      <c r="D5978" t="s">
        <v>1372</v>
      </c>
      <c r="E5978" t="s">
        <v>187</v>
      </c>
      <c r="F5978">
        <v>2010</v>
      </c>
      <c r="G5978">
        <v>53.751600000000003</v>
      </c>
    </row>
    <row r="5979" spans="1:7">
      <c r="A5979" t="s">
        <v>1297</v>
      </c>
      <c r="B5979" t="s">
        <v>1298</v>
      </c>
      <c r="C5979" t="s">
        <v>674</v>
      </c>
      <c r="D5979" t="s">
        <v>1372</v>
      </c>
      <c r="E5979" t="s">
        <v>187</v>
      </c>
      <c r="F5979">
        <v>2012</v>
      </c>
      <c r="G5979">
        <v>42.055199999999999</v>
      </c>
    </row>
    <row r="5980" spans="1:7">
      <c r="A5980" t="s">
        <v>1297</v>
      </c>
      <c r="B5980" t="s">
        <v>1298</v>
      </c>
      <c r="C5980" t="s">
        <v>674</v>
      </c>
      <c r="D5980" t="s">
        <v>1372</v>
      </c>
      <c r="E5980" t="s">
        <v>187</v>
      </c>
      <c r="F5980">
        <v>2016</v>
      </c>
      <c r="G5980">
        <v>51.433199999999999</v>
      </c>
    </row>
    <row r="5981" spans="1:7">
      <c r="A5981" t="s">
        <v>1297</v>
      </c>
      <c r="B5981" t="s">
        <v>1298</v>
      </c>
      <c r="C5981" t="s">
        <v>674</v>
      </c>
      <c r="D5981" t="s">
        <v>1372</v>
      </c>
      <c r="E5981" t="s">
        <v>187</v>
      </c>
      <c r="F5981">
        <v>2020</v>
      </c>
      <c r="G5981">
        <v>32.652000000000001</v>
      </c>
    </row>
    <row r="5982" spans="1:7">
      <c r="A5982" t="s">
        <v>1297</v>
      </c>
      <c r="B5982" t="s">
        <v>1298</v>
      </c>
      <c r="C5982" t="s">
        <v>658</v>
      </c>
      <c r="D5982" t="s">
        <v>1372</v>
      </c>
      <c r="E5982" t="s">
        <v>187</v>
      </c>
      <c r="F5982">
        <v>2005</v>
      </c>
      <c r="G5982">
        <v>1.242</v>
      </c>
    </row>
    <row r="5983" spans="1:7">
      <c r="A5983" t="s">
        <v>1297</v>
      </c>
      <c r="B5983" t="s">
        <v>1298</v>
      </c>
      <c r="C5983" t="s">
        <v>658</v>
      </c>
      <c r="D5983" t="s">
        <v>1372</v>
      </c>
      <c r="E5983" t="s">
        <v>187</v>
      </c>
      <c r="F5983">
        <v>2010</v>
      </c>
      <c r="G5983">
        <v>3.96</v>
      </c>
    </row>
    <row r="5984" spans="1:7">
      <c r="A5984" t="s">
        <v>1297</v>
      </c>
      <c r="B5984" t="s">
        <v>1298</v>
      </c>
      <c r="C5984" t="s">
        <v>658</v>
      </c>
      <c r="D5984" t="s">
        <v>1372</v>
      </c>
      <c r="E5984" t="s">
        <v>187</v>
      </c>
      <c r="F5984">
        <v>2012</v>
      </c>
      <c r="G5984">
        <v>9.7560000000000002</v>
      </c>
    </row>
    <row r="5985" spans="1:7">
      <c r="A5985" t="s">
        <v>1297</v>
      </c>
      <c r="B5985" t="s">
        <v>1298</v>
      </c>
      <c r="C5985" t="s">
        <v>658</v>
      </c>
      <c r="D5985" t="s">
        <v>1372</v>
      </c>
      <c r="E5985" t="s">
        <v>187</v>
      </c>
      <c r="F5985">
        <v>2016</v>
      </c>
      <c r="G5985">
        <v>12.8772</v>
      </c>
    </row>
    <row r="5986" spans="1:7">
      <c r="A5986" t="s">
        <v>1297</v>
      </c>
      <c r="B5986" t="s">
        <v>1298</v>
      </c>
      <c r="C5986" t="s">
        <v>658</v>
      </c>
      <c r="D5986" t="s">
        <v>1372</v>
      </c>
      <c r="E5986" t="s">
        <v>187</v>
      </c>
      <c r="F5986">
        <v>2020</v>
      </c>
      <c r="G5986">
        <v>17.499600000000001</v>
      </c>
    </row>
    <row r="5987" spans="1:7">
      <c r="A5987" t="s">
        <v>1297</v>
      </c>
      <c r="B5987" t="s">
        <v>1298</v>
      </c>
      <c r="C5987" t="s">
        <v>655</v>
      </c>
      <c r="D5987" t="s">
        <v>1372</v>
      </c>
      <c r="E5987" t="s">
        <v>187</v>
      </c>
      <c r="F5987">
        <v>2005</v>
      </c>
      <c r="G5987">
        <v>44.4636</v>
      </c>
    </row>
    <row r="5988" spans="1:7">
      <c r="A5988" t="s">
        <v>1297</v>
      </c>
      <c r="B5988" t="s">
        <v>1298</v>
      </c>
      <c r="C5988" t="s">
        <v>655</v>
      </c>
      <c r="D5988" t="s">
        <v>1372</v>
      </c>
      <c r="E5988" t="s">
        <v>187</v>
      </c>
      <c r="F5988">
        <v>2010</v>
      </c>
      <c r="G5988">
        <v>23.911200000000001</v>
      </c>
    </row>
    <row r="5989" spans="1:7">
      <c r="A5989" t="s">
        <v>1297</v>
      </c>
      <c r="B5989" t="s">
        <v>1298</v>
      </c>
      <c r="C5989" t="s">
        <v>655</v>
      </c>
      <c r="D5989" t="s">
        <v>1372</v>
      </c>
      <c r="E5989" t="s">
        <v>187</v>
      </c>
      <c r="F5989">
        <v>2012</v>
      </c>
      <c r="G5989">
        <v>41.713200000000001</v>
      </c>
    </row>
    <row r="5990" spans="1:7">
      <c r="A5990" t="s">
        <v>1297</v>
      </c>
      <c r="B5990" t="s">
        <v>1298</v>
      </c>
      <c r="C5990" t="s">
        <v>655</v>
      </c>
      <c r="D5990" t="s">
        <v>1372</v>
      </c>
      <c r="E5990" t="s">
        <v>187</v>
      </c>
      <c r="F5990">
        <v>2016</v>
      </c>
      <c r="G5990">
        <v>49.741199999999999</v>
      </c>
    </row>
    <row r="5991" spans="1:7">
      <c r="A5991" t="s">
        <v>1297</v>
      </c>
      <c r="B5991" t="s">
        <v>1298</v>
      </c>
      <c r="C5991" t="s">
        <v>655</v>
      </c>
      <c r="D5991" t="s">
        <v>1372</v>
      </c>
      <c r="E5991" t="s">
        <v>187</v>
      </c>
      <c r="F5991">
        <v>2020</v>
      </c>
      <c r="G5991">
        <v>39.694367</v>
      </c>
    </row>
    <row r="5992" spans="1:7">
      <c r="A5992" t="s">
        <v>1297</v>
      </c>
      <c r="B5992" t="s">
        <v>1298</v>
      </c>
      <c r="C5992" t="s">
        <v>672</v>
      </c>
      <c r="D5992" t="s">
        <v>1372</v>
      </c>
      <c r="E5992" t="s">
        <v>187</v>
      </c>
      <c r="F5992">
        <v>2005</v>
      </c>
      <c r="G5992">
        <v>34.653599999999997</v>
      </c>
    </row>
    <row r="5993" spans="1:7">
      <c r="A5993" t="s">
        <v>1297</v>
      </c>
      <c r="B5993" t="s">
        <v>1298</v>
      </c>
      <c r="C5993" t="s">
        <v>672</v>
      </c>
      <c r="D5993" t="s">
        <v>1372</v>
      </c>
      <c r="E5993" t="s">
        <v>187</v>
      </c>
      <c r="F5993">
        <v>2010</v>
      </c>
      <c r="G5993">
        <v>20.930399999999999</v>
      </c>
    </row>
    <row r="5994" spans="1:7">
      <c r="A5994" t="s">
        <v>1297</v>
      </c>
      <c r="B5994" t="s">
        <v>1298</v>
      </c>
      <c r="C5994" t="s">
        <v>672</v>
      </c>
      <c r="D5994" t="s">
        <v>1372</v>
      </c>
      <c r="E5994" t="s">
        <v>187</v>
      </c>
      <c r="F5994">
        <v>2012</v>
      </c>
      <c r="G5994">
        <v>38.757599999999996</v>
      </c>
    </row>
    <row r="5995" spans="1:7">
      <c r="A5995" t="s">
        <v>1297</v>
      </c>
      <c r="B5995" t="s">
        <v>1298</v>
      </c>
      <c r="C5995" t="s">
        <v>672</v>
      </c>
      <c r="D5995" t="s">
        <v>1372</v>
      </c>
      <c r="E5995" t="s">
        <v>187</v>
      </c>
      <c r="F5995">
        <v>2016</v>
      </c>
      <c r="G5995">
        <v>16.617599999999999</v>
      </c>
    </row>
    <row r="5996" spans="1:7">
      <c r="A5996" t="s">
        <v>1297</v>
      </c>
      <c r="B5996" t="s">
        <v>1298</v>
      </c>
      <c r="C5996" t="s">
        <v>672</v>
      </c>
      <c r="D5996" t="s">
        <v>1372</v>
      </c>
      <c r="E5996" t="s">
        <v>187</v>
      </c>
      <c r="F5996">
        <v>2020</v>
      </c>
      <c r="G5996">
        <v>29.157149</v>
      </c>
    </row>
    <row r="5997" spans="1:7">
      <c r="A5997" t="s">
        <v>1297</v>
      </c>
      <c r="B5997" t="s">
        <v>1298</v>
      </c>
      <c r="C5997" t="s">
        <v>684</v>
      </c>
      <c r="D5997" t="s">
        <v>1372</v>
      </c>
      <c r="E5997" t="s">
        <v>187</v>
      </c>
      <c r="F5997">
        <v>2005</v>
      </c>
      <c r="G5997">
        <v>6.6024000000000003</v>
      </c>
    </row>
    <row r="5998" spans="1:7">
      <c r="A5998" t="s">
        <v>1297</v>
      </c>
      <c r="B5998" t="s">
        <v>1298</v>
      </c>
      <c r="C5998" t="s">
        <v>684</v>
      </c>
      <c r="D5998" t="s">
        <v>1372</v>
      </c>
      <c r="E5998" t="s">
        <v>187</v>
      </c>
      <c r="F5998">
        <v>2010</v>
      </c>
      <c r="G5998">
        <v>2.6352000000000002</v>
      </c>
    </row>
    <row r="5999" spans="1:7">
      <c r="A5999" t="s">
        <v>1297</v>
      </c>
      <c r="B5999" t="s">
        <v>1298</v>
      </c>
      <c r="C5999" t="s">
        <v>684</v>
      </c>
      <c r="D5999" t="s">
        <v>1372</v>
      </c>
      <c r="E5999" t="s">
        <v>187</v>
      </c>
      <c r="F5999">
        <v>2012</v>
      </c>
      <c r="G5999">
        <v>5.1840000000000002</v>
      </c>
    </row>
    <row r="6000" spans="1:7">
      <c r="A6000" t="s">
        <v>1297</v>
      </c>
      <c r="B6000" t="s">
        <v>1298</v>
      </c>
      <c r="C6000" t="s">
        <v>684</v>
      </c>
      <c r="D6000" t="s">
        <v>1372</v>
      </c>
      <c r="E6000" t="s">
        <v>187</v>
      </c>
      <c r="F6000">
        <v>2016</v>
      </c>
      <c r="G6000">
        <v>4.3559999999999999</v>
      </c>
    </row>
    <row r="6001" spans="1:7">
      <c r="A6001" t="s">
        <v>1297</v>
      </c>
      <c r="B6001" t="s">
        <v>1298</v>
      </c>
      <c r="C6001" t="s">
        <v>684</v>
      </c>
      <c r="D6001" t="s">
        <v>1372</v>
      </c>
      <c r="E6001" t="s">
        <v>187</v>
      </c>
      <c r="F6001">
        <v>2020</v>
      </c>
      <c r="G6001">
        <v>4.3037999999999998</v>
      </c>
    </row>
    <row r="6002" spans="1:7">
      <c r="A6002" t="s">
        <v>1297</v>
      </c>
      <c r="B6002" t="s">
        <v>1298</v>
      </c>
      <c r="C6002" t="s">
        <v>665</v>
      </c>
      <c r="D6002" t="s">
        <v>1372</v>
      </c>
      <c r="E6002" t="s">
        <v>187</v>
      </c>
      <c r="F6002">
        <v>2005</v>
      </c>
      <c r="G6002">
        <v>180.9504</v>
      </c>
    </row>
    <row r="6003" spans="1:7">
      <c r="A6003" t="s">
        <v>1297</v>
      </c>
      <c r="B6003" t="s">
        <v>1298</v>
      </c>
      <c r="C6003" t="s">
        <v>665</v>
      </c>
      <c r="D6003" t="s">
        <v>1372</v>
      </c>
      <c r="E6003" t="s">
        <v>187</v>
      </c>
      <c r="F6003">
        <v>2010</v>
      </c>
      <c r="G6003">
        <v>165.5532</v>
      </c>
    </row>
    <row r="6004" spans="1:7">
      <c r="A6004" t="s">
        <v>1297</v>
      </c>
      <c r="B6004" t="s">
        <v>1298</v>
      </c>
      <c r="C6004" t="s">
        <v>665</v>
      </c>
      <c r="D6004" t="s">
        <v>1372</v>
      </c>
      <c r="E6004" t="s">
        <v>187</v>
      </c>
      <c r="F6004">
        <v>2012</v>
      </c>
      <c r="G6004">
        <v>163.46520000000001</v>
      </c>
    </row>
    <row r="6005" spans="1:7">
      <c r="A6005" t="s">
        <v>1297</v>
      </c>
      <c r="B6005" t="s">
        <v>1298</v>
      </c>
      <c r="C6005" t="s">
        <v>665</v>
      </c>
      <c r="D6005" t="s">
        <v>1372</v>
      </c>
      <c r="E6005" t="s">
        <v>187</v>
      </c>
      <c r="F6005">
        <v>2016</v>
      </c>
      <c r="G6005">
        <v>155.45160000000001</v>
      </c>
    </row>
    <row r="6006" spans="1:7">
      <c r="A6006" t="s">
        <v>1297</v>
      </c>
      <c r="B6006" t="s">
        <v>1298</v>
      </c>
      <c r="C6006" t="s">
        <v>665</v>
      </c>
      <c r="D6006" t="s">
        <v>1372</v>
      </c>
      <c r="E6006" t="s">
        <v>187</v>
      </c>
      <c r="F6006">
        <v>2020</v>
      </c>
      <c r="G6006">
        <v>158.30978400000001</v>
      </c>
    </row>
    <row r="6007" spans="1:7">
      <c r="A6007" t="s">
        <v>1297</v>
      </c>
      <c r="B6007" t="s">
        <v>1298</v>
      </c>
      <c r="C6007" t="s">
        <v>652</v>
      </c>
      <c r="D6007" t="s">
        <v>1372</v>
      </c>
      <c r="E6007" t="s">
        <v>187</v>
      </c>
      <c r="F6007">
        <v>2005</v>
      </c>
      <c r="G6007">
        <v>51.580800000000004</v>
      </c>
    </row>
    <row r="6008" spans="1:7">
      <c r="A6008" t="s">
        <v>1297</v>
      </c>
      <c r="B6008" t="s">
        <v>1298</v>
      </c>
      <c r="C6008" t="s">
        <v>652</v>
      </c>
      <c r="D6008" t="s">
        <v>1372</v>
      </c>
      <c r="E6008" t="s">
        <v>187</v>
      </c>
      <c r="F6008">
        <v>2010</v>
      </c>
      <c r="G6008">
        <v>44.622</v>
      </c>
    </row>
    <row r="6009" spans="1:7">
      <c r="A6009" t="s">
        <v>1297</v>
      </c>
      <c r="B6009" t="s">
        <v>1298</v>
      </c>
      <c r="C6009" t="s">
        <v>652</v>
      </c>
      <c r="D6009" t="s">
        <v>1372</v>
      </c>
      <c r="E6009" t="s">
        <v>187</v>
      </c>
      <c r="F6009">
        <v>2012</v>
      </c>
      <c r="G6009">
        <v>60.652799999999999</v>
      </c>
    </row>
    <row r="6010" spans="1:7">
      <c r="A6010" t="s">
        <v>1297</v>
      </c>
      <c r="B6010" t="s">
        <v>1298</v>
      </c>
      <c r="C6010" t="s">
        <v>652</v>
      </c>
      <c r="D6010" t="s">
        <v>1372</v>
      </c>
      <c r="E6010" t="s">
        <v>187</v>
      </c>
      <c r="F6010">
        <v>2016</v>
      </c>
      <c r="G6010">
        <v>52.732799999999997</v>
      </c>
    </row>
    <row r="6011" spans="1:7">
      <c r="A6011" t="s">
        <v>1297</v>
      </c>
      <c r="B6011" t="s">
        <v>1298</v>
      </c>
      <c r="C6011" t="s">
        <v>671</v>
      </c>
      <c r="D6011" t="s">
        <v>1373</v>
      </c>
      <c r="E6011" t="s">
        <v>187</v>
      </c>
      <c r="F6011">
        <v>2010</v>
      </c>
      <c r="G6011">
        <v>89.7624</v>
      </c>
    </row>
    <row r="6012" spans="1:7">
      <c r="A6012" t="s">
        <v>1297</v>
      </c>
      <c r="B6012" t="s">
        <v>1298</v>
      </c>
      <c r="C6012" t="s">
        <v>671</v>
      </c>
      <c r="D6012" t="s">
        <v>1373</v>
      </c>
      <c r="E6012" t="s">
        <v>187</v>
      </c>
      <c r="F6012">
        <v>2012</v>
      </c>
      <c r="G6012">
        <v>92.156400000000005</v>
      </c>
    </row>
    <row r="6013" spans="1:7">
      <c r="A6013" t="s">
        <v>1297</v>
      </c>
      <c r="B6013" t="s">
        <v>1298</v>
      </c>
      <c r="C6013" t="s">
        <v>671</v>
      </c>
      <c r="D6013" t="s">
        <v>1373</v>
      </c>
      <c r="E6013" t="s">
        <v>187</v>
      </c>
      <c r="F6013">
        <v>2016</v>
      </c>
      <c r="G6013">
        <v>92.001599999999996</v>
      </c>
    </row>
    <row r="6014" spans="1:7">
      <c r="A6014" t="s">
        <v>1297</v>
      </c>
      <c r="B6014" t="s">
        <v>1298</v>
      </c>
      <c r="C6014" t="s">
        <v>671</v>
      </c>
      <c r="D6014" t="s">
        <v>1373</v>
      </c>
      <c r="E6014" t="s">
        <v>187</v>
      </c>
      <c r="F6014">
        <v>2020</v>
      </c>
      <c r="G6014">
        <v>87.177426999999994</v>
      </c>
    </row>
    <row r="6015" spans="1:7">
      <c r="A6015" t="s">
        <v>1297</v>
      </c>
      <c r="B6015" t="s">
        <v>1298</v>
      </c>
      <c r="C6015" t="s">
        <v>660</v>
      </c>
      <c r="D6015" t="s">
        <v>1373</v>
      </c>
      <c r="E6015" t="s">
        <v>187</v>
      </c>
      <c r="F6015">
        <v>2005</v>
      </c>
      <c r="G6015">
        <v>13.0032</v>
      </c>
    </row>
    <row r="6016" spans="1:7">
      <c r="A6016" t="s">
        <v>1297</v>
      </c>
      <c r="B6016" t="s">
        <v>1298</v>
      </c>
      <c r="C6016" t="s">
        <v>660</v>
      </c>
      <c r="D6016" t="s">
        <v>1373</v>
      </c>
      <c r="E6016" t="s">
        <v>187</v>
      </c>
      <c r="F6016">
        <v>2010</v>
      </c>
      <c r="G6016">
        <v>17.082000000000001</v>
      </c>
    </row>
    <row r="6017" spans="1:7">
      <c r="A6017" t="s">
        <v>1297</v>
      </c>
      <c r="B6017" t="s">
        <v>1298</v>
      </c>
      <c r="C6017" t="s">
        <v>660</v>
      </c>
      <c r="D6017" t="s">
        <v>1373</v>
      </c>
      <c r="E6017" t="s">
        <v>187</v>
      </c>
      <c r="F6017">
        <v>2012</v>
      </c>
      <c r="G6017">
        <v>14.4504</v>
      </c>
    </row>
    <row r="6018" spans="1:7">
      <c r="A6018" t="s">
        <v>1297</v>
      </c>
      <c r="B6018" t="s">
        <v>1298</v>
      </c>
      <c r="C6018" t="s">
        <v>660</v>
      </c>
      <c r="D6018" t="s">
        <v>1373</v>
      </c>
      <c r="E6018" t="s">
        <v>187</v>
      </c>
      <c r="F6018">
        <v>2016</v>
      </c>
      <c r="G6018">
        <v>13.611599999999999</v>
      </c>
    </row>
    <row r="6019" spans="1:7">
      <c r="A6019" t="s">
        <v>1297</v>
      </c>
      <c r="B6019" t="s">
        <v>1298</v>
      </c>
      <c r="C6019" t="s">
        <v>660</v>
      </c>
      <c r="D6019" t="s">
        <v>1373</v>
      </c>
      <c r="E6019" t="s">
        <v>187</v>
      </c>
      <c r="F6019">
        <v>2020</v>
      </c>
      <c r="G6019">
        <v>14.1372</v>
      </c>
    </row>
    <row r="6020" spans="1:7">
      <c r="A6020" t="s">
        <v>1297</v>
      </c>
      <c r="B6020" t="s">
        <v>1298</v>
      </c>
      <c r="C6020" t="s">
        <v>661</v>
      </c>
      <c r="D6020" t="s">
        <v>1373</v>
      </c>
      <c r="E6020" t="s">
        <v>187</v>
      </c>
      <c r="F6020">
        <v>2005</v>
      </c>
      <c r="G6020">
        <v>195.717456</v>
      </c>
    </row>
    <row r="6021" spans="1:7">
      <c r="A6021" t="s">
        <v>1297</v>
      </c>
      <c r="B6021" t="s">
        <v>1298</v>
      </c>
      <c r="C6021" t="s">
        <v>661</v>
      </c>
      <c r="D6021" t="s">
        <v>1373</v>
      </c>
      <c r="E6021" t="s">
        <v>187</v>
      </c>
      <c r="F6021">
        <v>2010</v>
      </c>
      <c r="G6021">
        <v>189.58276799999999</v>
      </c>
    </row>
    <row r="6022" spans="1:7">
      <c r="A6022" t="s">
        <v>1297</v>
      </c>
      <c r="B6022" t="s">
        <v>1298</v>
      </c>
      <c r="C6022" t="s">
        <v>661</v>
      </c>
      <c r="D6022" t="s">
        <v>1373</v>
      </c>
      <c r="E6022" t="s">
        <v>187</v>
      </c>
      <c r="F6022">
        <v>2012</v>
      </c>
      <c r="G6022">
        <v>125.748616</v>
      </c>
    </row>
    <row r="6023" spans="1:7">
      <c r="A6023" t="s">
        <v>1297</v>
      </c>
      <c r="B6023" t="s">
        <v>1298</v>
      </c>
      <c r="C6023" t="s">
        <v>661</v>
      </c>
      <c r="D6023" t="s">
        <v>1373</v>
      </c>
      <c r="E6023" t="s">
        <v>187</v>
      </c>
      <c r="F6023">
        <v>2016</v>
      </c>
      <c r="G6023">
        <v>115.837412</v>
      </c>
    </row>
    <row r="6024" spans="1:7">
      <c r="A6024" t="s">
        <v>1297</v>
      </c>
      <c r="B6024" t="s">
        <v>1298</v>
      </c>
      <c r="C6024" t="s">
        <v>661</v>
      </c>
      <c r="D6024" t="s">
        <v>1373</v>
      </c>
      <c r="E6024" t="s">
        <v>187</v>
      </c>
      <c r="F6024">
        <v>2020</v>
      </c>
      <c r="G6024">
        <v>117.39550300000001</v>
      </c>
    </row>
    <row r="6025" spans="1:7">
      <c r="A6025" t="s">
        <v>1297</v>
      </c>
      <c r="B6025" t="s">
        <v>1298</v>
      </c>
      <c r="C6025" t="s">
        <v>665</v>
      </c>
      <c r="D6025" t="s">
        <v>1373</v>
      </c>
      <c r="E6025" t="s">
        <v>187</v>
      </c>
      <c r="F6025">
        <v>2005</v>
      </c>
      <c r="G6025">
        <v>79.307878000000002</v>
      </c>
    </row>
    <row r="6026" spans="1:7">
      <c r="A6026" t="s">
        <v>1297</v>
      </c>
      <c r="B6026" t="s">
        <v>1298</v>
      </c>
      <c r="C6026" t="s">
        <v>665</v>
      </c>
      <c r="D6026" t="s">
        <v>1373</v>
      </c>
      <c r="E6026" t="s">
        <v>187</v>
      </c>
      <c r="F6026">
        <v>2010</v>
      </c>
      <c r="G6026">
        <v>78.794719000000001</v>
      </c>
    </row>
    <row r="6027" spans="1:7">
      <c r="A6027" t="s">
        <v>1297</v>
      </c>
      <c r="B6027" t="s">
        <v>1298</v>
      </c>
      <c r="C6027" t="s">
        <v>665</v>
      </c>
      <c r="D6027" t="s">
        <v>1373</v>
      </c>
      <c r="E6027" t="s">
        <v>187</v>
      </c>
      <c r="F6027">
        <v>2012</v>
      </c>
      <c r="G6027">
        <v>79.033024999999995</v>
      </c>
    </row>
    <row r="6028" spans="1:7">
      <c r="A6028" t="s">
        <v>1297</v>
      </c>
      <c r="B6028" t="s">
        <v>1298</v>
      </c>
      <c r="C6028" t="s">
        <v>665</v>
      </c>
      <c r="D6028" t="s">
        <v>1373</v>
      </c>
      <c r="E6028" t="s">
        <v>187</v>
      </c>
      <c r="F6028">
        <v>2016</v>
      </c>
      <c r="G6028">
        <v>70.370417000000003</v>
      </c>
    </row>
    <row r="6029" spans="1:7">
      <c r="A6029" t="s">
        <v>1297</v>
      </c>
      <c r="B6029" t="s">
        <v>1298</v>
      </c>
      <c r="C6029" t="s">
        <v>665</v>
      </c>
      <c r="D6029" t="s">
        <v>1373</v>
      </c>
      <c r="E6029" t="s">
        <v>187</v>
      </c>
      <c r="F6029">
        <v>2020</v>
      </c>
      <c r="G6029">
        <v>71.186482999999996</v>
      </c>
    </row>
    <row r="6030" spans="1:7">
      <c r="A6030" t="s">
        <v>1297</v>
      </c>
      <c r="B6030" t="s">
        <v>1298</v>
      </c>
      <c r="C6030" t="s">
        <v>685</v>
      </c>
      <c r="D6030" t="s">
        <v>1373</v>
      </c>
      <c r="E6030" t="s">
        <v>187</v>
      </c>
      <c r="F6030">
        <v>2005</v>
      </c>
      <c r="G6030">
        <v>2.5992000000000002</v>
      </c>
    </row>
    <row r="6031" spans="1:7">
      <c r="A6031" t="s">
        <v>1297</v>
      </c>
      <c r="B6031" t="s">
        <v>1298</v>
      </c>
      <c r="C6031" t="s">
        <v>685</v>
      </c>
      <c r="D6031" t="s">
        <v>1373</v>
      </c>
      <c r="E6031" t="s">
        <v>187</v>
      </c>
      <c r="F6031">
        <v>2010</v>
      </c>
      <c r="G6031">
        <v>2.2212000000000001</v>
      </c>
    </row>
    <row r="6032" spans="1:7">
      <c r="A6032" t="s">
        <v>1297</v>
      </c>
      <c r="B6032" t="s">
        <v>1298</v>
      </c>
      <c r="C6032" t="s">
        <v>685</v>
      </c>
      <c r="D6032" t="s">
        <v>1373</v>
      </c>
      <c r="E6032" t="s">
        <v>187</v>
      </c>
      <c r="F6032">
        <v>2012</v>
      </c>
      <c r="G6032">
        <v>2.2679999999999998</v>
      </c>
    </row>
    <row r="6033" spans="1:7">
      <c r="A6033" t="s">
        <v>1297</v>
      </c>
      <c r="B6033" t="s">
        <v>1298</v>
      </c>
      <c r="C6033" t="s">
        <v>685</v>
      </c>
      <c r="D6033" t="s">
        <v>1373</v>
      </c>
      <c r="E6033" t="s">
        <v>187</v>
      </c>
      <c r="F6033">
        <v>2016</v>
      </c>
      <c r="G6033">
        <v>1.656317</v>
      </c>
    </row>
    <row r="6034" spans="1:7">
      <c r="A6034" t="s">
        <v>1297</v>
      </c>
      <c r="B6034" t="s">
        <v>1298</v>
      </c>
      <c r="C6034" t="s">
        <v>685</v>
      </c>
      <c r="D6034" t="s">
        <v>1373</v>
      </c>
      <c r="E6034" t="s">
        <v>187</v>
      </c>
      <c r="F6034">
        <v>2020</v>
      </c>
      <c r="G6034">
        <v>1.7205729999999999</v>
      </c>
    </row>
    <row r="6035" spans="1:7">
      <c r="A6035" t="s">
        <v>1297</v>
      </c>
      <c r="B6035" t="s">
        <v>1298</v>
      </c>
      <c r="C6035" t="s">
        <v>681</v>
      </c>
      <c r="D6035" t="s">
        <v>1373</v>
      </c>
      <c r="E6035" t="s">
        <v>187</v>
      </c>
      <c r="F6035">
        <v>2005</v>
      </c>
      <c r="G6035">
        <v>0.29520000000000002</v>
      </c>
    </row>
    <row r="6036" spans="1:7">
      <c r="A6036" t="s">
        <v>1297</v>
      </c>
      <c r="B6036" t="s">
        <v>1298</v>
      </c>
      <c r="C6036" t="s">
        <v>681</v>
      </c>
      <c r="D6036" t="s">
        <v>1373</v>
      </c>
      <c r="E6036" t="s">
        <v>187</v>
      </c>
      <c r="F6036">
        <v>2010</v>
      </c>
      <c r="G6036">
        <v>1.7999999999999999E-2</v>
      </c>
    </row>
    <row r="6037" spans="1:7">
      <c r="A6037" t="s">
        <v>1297</v>
      </c>
      <c r="B6037" t="s">
        <v>1298</v>
      </c>
      <c r="C6037" t="s">
        <v>681</v>
      </c>
      <c r="D6037" t="s">
        <v>1373</v>
      </c>
      <c r="E6037" t="s">
        <v>187</v>
      </c>
      <c r="F6037">
        <v>2012</v>
      </c>
      <c r="G6037">
        <v>2.3687999999999998</v>
      </c>
    </row>
    <row r="6038" spans="1:7">
      <c r="A6038" t="s">
        <v>1297</v>
      </c>
      <c r="B6038" t="s">
        <v>1298</v>
      </c>
      <c r="C6038" t="s">
        <v>681</v>
      </c>
      <c r="D6038" t="s">
        <v>1373</v>
      </c>
      <c r="E6038" t="s">
        <v>187</v>
      </c>
      <c r="F6038">
        <v>2016</v>
      </c>
      <c r="G6038">
        <v>0.85319999999999996</v>
      </c>
    </row>
    <row r="6039" spans="1:7">
      <c r="A6039" t="s">
        <v>1297</v>
      </c>
      <c r="B6039" t="s">
        <v>1298</v>
      </c>
      <c r="C6039" t="s">
        <v>681</v>
      </c>
      <c r="D6039" t="s">
        <v>1373</v>
      </c>
      <c r="E6039" t="s">
        <v>187</v>
      </c>
      <c r="F6039">
        <v>2020</v>
      </c>
      <c r="G6039">
        <v>1.3494740000000001</v>
      </c>
    </row>
    <row r="6040" spans="1:7">
      <c r="A6040" t="s">
        <v>1297</v>
      </c>
      <c r="B6040" t="s">
        <v>1298</v>
      </c>
      <c r="C6040" t="s">
        <v>1303</v>
      </c>
      <c r="D6040" t="s">
        <v>1373</v>
      </c>
      <c r="E6040" t="s">
        <v>187</v>
      </c>
      <c r="F6040">
        <v>2016</v>
      </c>
      <c r="G6040">
        <v>0.80279999999999996</v>
      </c>
    </row>
    <row r="6041" spans="1:7">
      <c r="A6041" t="s">
        <v>1297</v>
      </c>
      <c r="B6041" t="s">
        <v>1298</v>
      </c>
      <c r="C6041" t="s">
        <v>1303</v>
      </c>
      <c r="D6041" t="s">
        <v>1373</v>
      </c>
      <c r="E6041" t="s">
        <v>187</v>
      </c>
      <c r="F6041">
        <v>2020</v>
      </c>
      <c r="G6041">
        <v>0.94463299999999994</v>
      </c>
    </row>
    <row r="6042" spans="1:7">
      <c r="A6042" t="s">
        <v>1297</v>
      </c>
      <c r="B6042" t="s">
        <v>1298</v>
      </c>
      <c r="C6042" t="s">
        <v>289</v>
      </c>
      <c r="D6042" t="s">
        <v>1373</v>
      </c>
      <c r="E6042" t="s">
        <v>187</v>
      </c>
      <c r="F6042">
        <v>2005</v>
      </c>
      <c r="G6042">
        <v>3.1463999999999999</v>
      </c>
    </row>
    <row r="6043" spans="1:7">
      <c r="A6043" t="s">
        <v>1297</v>
      </c>
      <c r="B6043" t="s">
        <v>1298</v>
      </c>
      <c r="C6043" t="s">
        <v>289</v>
      </c>
      <c r="D6043" t="s">
        <v>1373</v>
      </c>
      <c r="E6043" t="s">
        <v>187</v>
      </c>
      <c r="F6043">
        <v>2010</v>
      </c>
      <c r="G6043">
        <v>3.0024000000000002</v>
      </c>
    </row>
    <row r="6044" spans="1:7">
      <c r="A6044" t="s">
        <v>1297</v>
      </c>
      <c r="B6044" t="s">
        <v>1298</v>
      </c>
      <c r="C6044" t="s">
        <v>289</v>
      </c>
      <c r="D6044" t="s">
        <v>1373</v>
      </c>
      <c r="E6044" t="s">
        <v>187</v>
      </c>
      <c r="F6044">
        <v>2012</v>
      </c>
      <c r="G6044">
        <v>2.5848</v>
      </c>
    </row>
    <row r="6045" spans="1:7">
      <c r="A6045" t="s">
        <v>1297</v>
      </c>
      <c r="B6045" t="s">
        <v>1298</v>
      </c>
      <c r="C6045" t="s">
        <v>289</v>
      </c>
      <c r="D6045" t="s">
        <v>1373</v>
      </c>
      <c r="E6045" t="s">
        <v>187</v>
      </c>
      <c r="F6045">
        <v>2016</v>
      </c>
      <c r="G6045">
        <v>3.4236</v>
      </c>
    </row>
    <row r="6046" spans="1:7">
      <c r="A6046" t="s">
        <v>1297</v>
      </c>
      <c r="B6046" t="s">
        <v>1298</v>
      </c>
      <c r="C6046" t="s">
        <v>289</v>
      </c>
      <c r="D6046" t="s">
        <v>1373</v>
      </c>
      <c r="E6046" t="s">
        <v>187</v>
      </c>
      <c r="F6046">
        <v>2020</v>
      </c>
      <c r="G6046">
        <v>3.3364799999999999</v>
      </c>
    </row>
    <row r="6047" spans="1:7">
      <c r="A6047" t="s">
        <v>1297</v>
      </c>
      <c r="B6047" t="s">
        <v>1298</v>
      </c>
      <c r="C6047" t="s">
        <v>672</v>
      </c>
      <c r="D6047" t="s">
        <v>1373</v>
      </c>
      <c r="E6047" t="s">
        <v>187</v>
      </c>
      <c r="F6047">
        <v>2005</v>
      </c>
      <c r="G6047">
        <v>8.2686820000000001</v>
      </c>
    </row>
    <row r="6048" spans="1:7">
      <c r="A6048" t="s">
        <v>1297</v>
      </c>
      <c r="B6048" t="s">
        <v>1298</v>
      </c>
      <c r="C6048" t="s">
        <v>672</v>
      </c>
      <c r="D6048" t="s">
        <v>1373</v>
      </c>
      <c r="E6048" t="s">
        <v>187</v>
      </c>
      <c r="F6048">
        <v>2010</v>
      </c>
      <c r="G6048">
        <v>7.3170070000000003</v>
      </c>
    </row>
    <row r="6049" spans="1:7">
      <c r="A6049" t="s">
        <v>1297</v>
      </c>
      <c r="B6049" t="s">
        <v>1298</v>
      </c>
      <c r="C6049" t="s">
        <v>672</v>
      </c>
      <c r="D6049" t="s">
        <v>1373</v>
      </c>
      <c r="E6049" t="s">
        <v>187</v>
      </c>
      <c r="F6049">
        <v>2012</v>
      </c>
      <c r="G6049">
        <v>8.0259520000000002</v>
      </c>
    </row>
    <row r="6050" spans="1:7">
      <c r="A6050" t="s">
        <v>1297</v>
      </c>
      <c r="B6050" t="s">
        <v>1298</v>
      </c>
      <c r="C6050" t="s">
        <v>672</v>
      </c>
      <c r="D6050" t="s">
        <v>1373</v>
      </c>
      <c r="E6050" t="s">
        <v>187</v>
      </c>
      <c r="F6050">
        <v>2016</v>
      </c>
      <c r="G6050">
        <v>8.7586960000000005</v>
      </c>
    </row>
    <row r="6051" spans="1:7">
      <c r="A6051" t="s">
        <v>1297</v>
      </c>
      <c r="B6051" t="s">
        <v>1298</v>
      </c>
      <c r="C6051" t="s">
        <v>672</v>
      </c>
      <c r="D6051" t="s">
        <v>1373</v>
      </c>
      <c r="E6051" t="s">
        <v>187</v>
      </c>
      <c r="F6051">
        <v>2020</v>
      </c>
      <c r="G6051">
        <v>6.8394959999999996</v>
      </c>
    </row>
    <row r="6052" spans="1:7">
      <c r="A6052" t="s">
        <v>1297</v>
      </c>
      <c r="B6052" t="s">
        <v>1298</v>
      </c>
      <c r="C6052" t="s">
        <v>652</v>
      </c>
      <c r="D6052" t="s">
        <v>1373</v>
      </c>
      <c r="E6052" t="s">
        <v>187</v>
      </c>
      <c r="F6052">
        <v>2005</v>
      </c>
      <c r="G6052">
        <v>25.4268</v>
      </c>
    </row>
    <row r="6053" spans="1:7">
      <c r="A6053" t="s">
        <v>1297</v>
      </c>
      <c r="B6053" t="s">
        <v>1298</v>
      </c>
      <c r="C6053" t="s">
        <v>652</v>
      </c>
      <c r="D6053" t="s">
        <v>1373</v>
      </c>
      <c r="E6053" t="s">
        <v>187</v>
      </c>
      <c r="F6053">
        <v>2010</v>
      </c>
      <c r="G6053">
        <v>19.780200000000001</v>
      </c>
    </row>
    <row r="6054" spans="1:7">
      <c r="A6054" t="s">
        <v>1297</v>
      </c>
      <c r="B6054" t="s">
        <v>1298</v>
      </c>
      <c r="C6054" t="s">
        <v>652</v>
      </c>
      <c r="D6054" t="s">
        <v>1373</v>
      </c>
      <c r="E6054" t="s">
        <v>187</v>
      </c>
      <c r="F6054">
        <v>2012</v>
      </c>
      <c r="G6054">
        <v>16.695</v>
      </c>
    </row>
    <row r="6055" spans="1:7">
      <c r="A6055" t="s">
        <v>1297</v>
      </c>
      <c r="B6055" t="s">
        <v>1298</v>
      </c>
      <c r="C6055" t="s">
        <v>652</v>
      </c>
      <c r="D6055" t="s">
        <v>1373</v>
      </c>
      <c r="E6055" t="s">
        <v>187</v>
      </c>
      <c r="F6055">
        <v>2016</v>
      </c>
      <c r="G6055">
        <v>17.275320000000001</v>
      </c>
    </row>
    <row r="6056" spans="1:7">
      <c r="A6056" t="s">
        <v>1297</v>
      </c>
      <c r="B6056" t="s">
        <v>1298</v>
      </c>
      <c r="C6056" t="s">
        <v>652</v>
      </c>
      <c r="D6056" t="s">
        <v>1373</v>
      </c>
      <c r="E6056" t="s">
        <v>187</v>
      </c>
      <c r="F6056">
        <v>2020</v>
      </c>
      <c r="G6056">
        <v>20.150279999999999</v>
      </c>
    </row>
    <row r="6057" spans="1:7">
      <c r="A6057" t="s">
        <v>1297</v>
      </c>
      <c r="B6057" t="s">
        <v>1298</v>
      </c>
      <c r="C6057" t="s">
        <v>658</v>
      </c>
      <c r="D6057" t="s">
        <v>1373</v>
      </c>
      <c r="E6057" t="s">
        <v>187</v>
      </c>
      <c r="F6057">
        <v>2005</v>
      </c>
      <c r="G6057">
        <v>5.2343999999999999</v>
      </c>
    </row>
    <row r="6058" spans="1:7">
      <c r="A6058" t="s">
        <v>1297</v>
      </c>
      <c r="B6058" t="s">
        <v>1298</v>
      </c>
      <c r="C6058" t="s">
        <v>658</v>
      </c>
      <c r="D6058" t="s">
        <v>1373</v>
      </c>
      <c r="E6058" t="s">
        <v>187</v>
      </c>
      <c r="F6058">
        <v>2010</v>
      </c>
      <c r="G6058">
        <v>6.3179999999999996</v>
      </c>
    </row>
    <row r="6059" spans="1:7">
      <c r="A6059" t="s">
        <v>1297</v>
      </c>
      <c r="B6059" t="s">
        <v>1298</v>
      </c>
      <c r="C6059" t="s">
        <v>658</v>
      </c>
      <c r="D6059" t="s">
        <v>1373</v>
      </c>
      <c r="E6059" t="s">
        <v>187</v>
      </c>
      <c r="F6059">
        <v>2012</v>
      </c>
      <c r="G6059">
        <v>6.7320000000000002</v>
      </c>
    </row>
    <row r="6060" spans="1:7">
      <c r="A6060" t="s">
        <v>1297</v>
      </c>
      <c r="B6060" t="s">
        <v>1298</v>
      </c>
      <c r="C6060" t="s">
        <v>658</v>
      </c>
      <c r="D6060" t="s">
        <v>1373</v>
      </c>
      <c r="E6060" t="s">
        <v>187</v>
      </c>
      <c r="F6060">
        <v>2016</v>
      </c>
      <c r="G6060">
        <v>8.1404890000000005</v>
      </c>
    </row>
    <row r="6061" spans="1:7">
      <c r="A6061" t="s">
        <v>1297</v>
      </c>
      <c r="B6061" t="s">
        <v>1298</v>
      </c>
      <c r="C6061" t="s">
        <v>658</v>
      </c>
      <c r="D6061" t="s">
        <v>1373</v>
      </c>
      <c r="E6061" t="s">
        <v>187</v>
      </c>
      <c r="F6061">
        <v>2020</v>
      </c>
      <c r="G6061">
        <v>5.3477459999999999</v>
      </c>
    </row>
    <row r="6062" spans="1:7">
      <c r="A6062" t="s">
        <v>1297</v>
      </c>
      <c r="B6062" t="s">
        <v>1298</v>
      </c>
      <c r="C6062" t="s">
        <v>653</v>
      </c>
      <c r="D6062" t="s">
        <v>1373</v>
      </c>
      <c r="E6062" t="s">
        <v>187</v>
      </c>
      <c r="F6062">
        <v>2005</v>
      </c>
      <c r="G6062">
        <v>20.296800000000001</v>
      </c>
    </row>
    <row r="6063" spans="1:7">
      <c r="A6063" t="s">
        <v>1297</v>
      </c>
      <c r="B6063" t="s">
        <v>1298</v>
      </c>
      <c r="C6063" t="s">
        <v>673</v>
      </c>
      <c r="D6063" t="s">
        <v>1373</v>
      </c>
      <c r="E6063" t="s">
        <v>187</v>
      </c>
      <c r="F6063">
        <v>2005</v>
      </c>
      <c r="G6063">
        <v>41.6556</v>
      </c>
    </row>
    <row r="6064" spans="1:7">
      <c r="A6064" t="s">
        <v>1297</v>
      </c>
      <c r="B6064" t="s">
        <v>1298</v>
      </c>
      <c r="C6064" t="s">
        <v>673</v>
      </c>
      <c r="D6064" t="s">
        <v>1373</v>
      </c>
      <c r="E6064" t="s">
        <v>187</v>
      </c>
      <c r="F6064">
        <v>2010</v>
      </c>
      <c r="G6064">
        <v>34.959600000000002</v>
      </c>
    </row>
    <row r="6065" spans="1:7">
      <c r="A6065" t="s">
        <v>1297</v>
      </c>
      <c r="B6065" t="s">
        <v>1298</v>
      </c>
      <c r="C6065" t="s">
        <v>673</v>
      </c>
      <c r="D6065" t="s">
        <v>1373</v>
      </c>
      <c r="E6065" t="s">
        <v>187</v>
      </c>
      <c r="F6065">
        <v>2012</v>
      </c>
      <c r="G6065">
        <v>35.373600000000003</v>
      </c>
    </row>
    <row r="6066" spans="1:7">
      <c r="A6066" t="s">
        <v>1297</v>
      </c>
      <c r="B6066" t="s">
        <v>1298</v>
      </c>
      <c r="C6066" t="s">
        <v>673</v>
      </c>
      <c r="D6066" t="s">
        <v>1373</v>
      </c>
      <c r="E6066" t="s">
        <v>187</v>
      </c>
      <c r="F6066">
        <v>2016</v>
      </c>
      <c r="G6066">
        <v>31.435199999999998</v>
      </c>
    </row>
    <row r="6067" spans="1:7">
      <c r="A6067" t="s">
        <v>1297</v>
      </c>
      <c r="B6067" t="s">
        <v>1298</v>
      </c>
      <c r="C6067" t="s">
        <v>673</v>
      </c>
      <c r="D6067" t="s">
        <v>1373</v>
      </c>
      <c r="E6067" t="s">
        <v>187</v>
      </c>
      <c r="F6067">
        <v>2020</v>
      </c>
      <c r="G6067">
        <v>30.569089999999999</v>
      </c>
    </row>
    <row r="6068" spans="1:7">
      <c r="A6068" t="s">
        <v>1297</v>
      </c>
      <c r="B6068" t="s">
        <v>1298</v>
      </c>
      <c r="C6068" t="s">
        <v>677</v>
      </c>
      <c r="D6068" t="s">
        <v>1373</v>
      </c>
      <c r="E6068" t="s">
        <v>187</v>
      </c>
      <c r="F6068">
        <v>2005</v>
      </c>
      <c r="G6068">
        <v>95.014799999999994</v>
      </c>
    </row>
    <row r="6069" spans="1:7">
      <c r="A6069" t="s">
        <v>1297</v>
      </c>
      <c r="B6069" t="s">
        <v>1298</v>
      </c>
      <c r="C6069" t="s">
        <v>677</v>
      </c>
      <c r="D6069" t="s">
        <v>1373</v>
      </c>
      <c r="E6069" t="s">
        <v>187</v>
      </c>
      <c r="F6069">
        <v>2010</v>
      </c>
      <c r="G6069">
        <v>88.801199999999994</v>
      </c>
    </row>
    <row r="6070" spans="1:7">
      <c r="A6070" t="s">
        <v>1297</v>
      </c>
      <c r="B6070" t="s">
        <v>1298</v>
      </c>
      <c r="C6070" t="s">
        <v>677</v>
      </c>
      <c r="D6070" t="s">
        <v>1373</v>
      </c>
      <c r="E6070" t="s">
        <v>187</v>
      </c>
      <c r="F6070">
        <v>2012</v>
      </c>
      <c r="G6070">
        <v>90.280799999999999</v>
      </c>
    </row>
    <row r="6071" spans="1:7">
      <c r="A6071" t="s">
        <v>1297</v>
      </c>
      <c r="B6071" t="s">
        <v>1298</v>
      </c>
      <c r="C6071" t="s">
        <v>677</v>
      </c>
      <c r="D6071" t="s">
        <v>1373</v>
      </c>
      <c r="E6071" t="s">
        <v>187</v>
      </c>
      <c r="F6071">
        <v>2016</v>
      </c>
      <c r="G6071">
        <v>80.916070000000005</v>
      </c>
    </row>
    <row r="6072" spans="1:7">
      <c r="A6072" t="s">
        <v>1297</v>
      </c>
      <c r="B6072" t="s">
        <v>1298</v>
      </c>
      <c r="C6072" t="s">
        <v>677</v>
      </c>
      <c r="D6072" t="s">
        <v>1373</v>
      </c>
      <c r="E6072" t="s">
        <v>187</v>
      </c>
      <c r="F6072">
        <v>2020</v>
      </c>
      <c r="G6072">
        <v>68.888632000000001</v>
      </c>
    </row>
    <row r="6073" spans="1:7">
      <c r="A6073" t="s">
        <v>1297</v>
      </c>
      <c r="B6073" t="s">
        <v>1298</v>
      </c>
      <c r="C6073" t="s">
        <v>656</v>
      </c>
      <c r="D6073" t="s">
        <v>1373</v>
      </c>
      <c r="E6073" t="s">
        <v>187</v>
      </c>
      <c r="F6073">
        <v>2005</v>
      </c>
      <c r="G6073">
        <v>206.2944</v>
      </c>
    </row>
    <row r="6074" spans="1:7">
      <c r="A6074" t="s">
        <v>1297</v>
      </c>
      <c r="B6074" t="s">
        <v>1298</v>
      </c>
      <c r="C6074" t="s">
        <v>656</v>
      </c>
      <c r="D6074" t="s">
        <v>1373</v>
      </c>
      <c r="E6074" t="s">
        <v>187</v>
      </c>
      <c r="F6074">
        <v>2010</v>
      </c>
      <c r="G6074">
        <v>192.83760000000001</v>
      </c>
    </row>
    <row r="6075" spans="1:7">
      <c r="A6075" t="s">
        <v>1297</v>
      </c>
      <c r="B6075" t="s">
        <v>1298</v>
      </c>
      <c r="C6075" t="s">
        <v>656</v>
      </c>
      <c r="D6075" t="s">
        <v>1373</v>
      </c>
      <c r="E6075" t="s">
        <v>187</v>
      </c>
      <c r="F6075">
        <v>2012</v>
      </c>
      <c r="G6075">
        <v>182.03399999999999</v>
      </c>
    </row>
    <row r="6076" spans="1:7">
      <c r="A6076" t="s">
        <v>1297</v>
      </c>
      <c r="B6076" t="s">
        <v>1298</v>
      </c>
      <c r="C6076" t="s">
        <v>656</v>
      </c>
      <c r="D6076" t="s">
        <v>1373</v>
      </c>
      <c r="E6076" t="s">
        <v>187</v>
      </c>
      <c r="F6076">
        <v>2016</v>
      </c>
      <c r="G6076">
        <v>176.81039999999999</v>
      </c>
    </row>
    <row r="6077" spans="1:7">
      <c r="A6077" t="s">
        <v>1297</v>
      </c>
      <c r="B6077" t="s">
        <v>1298</v>
      </c>
      <c r="C6077" t="s">
        <v>656</v>
      </c>
      <c r="D6077" t="s">
        <v>1373</v>
      </c>
      <c r="E6077" t="s">
        <v>187</v>
      </c>
      <c r="F6077">
        <v>2020</v>
      </c>
      <c r="G6077">
        <v>148.428</v>
      </c>
    </row>
    <row r="6078" spans="1:7">
      <c r="A6078" t="s">
        <v>1297</v>
      </c>
      <c r="B6078" t="s">
        <v>1298</v>
      </c>
      <c r="C6078" t="s">
        <v>666</v>
      </c>
      <c r="D6078" t="s">
        <v>1373</v>
      </c>
      <c r="E6078" t="s">
        <v>187</v>
      </c>
      <c r="F6078">
        <v>2005</v>
      </c>
      <c r="G6078">
        <v>7.5167999999999999</v>
      </c>
    </row>
    <row r="6079" spans="1:7">
      <c r="A6079" t="s">
        <v>1297</v>
      </c>
      <c r="B6079" t="s">
        <v>1298</v>
      </c>
      <c r="C6079" t="s">
        <v>666</v>
      </c>
      <c r="D6079" t="s">
        <v>1373</v>
      </c>
      <c r="E6079" t="s">
        <v>187</v>
      </c>
      <c r="F6079">
        <v>2010</v>
      </c>
      <c r="G6079">
        <v>5.0148000000000001</v>
      </c>
    </row>
    <row r="6080" spans="1:7">
      <c r="A6080" t="s">
        <v>1297</v>
      </c>
      <c r="B6080" t="s">
        <v>1298</v>
      </c>
      <c r="C6080" t="s">
        <v>666</v>
      </c>
      <c r="D6080" t="s">
        <v>1373</v>
      </c>
      <c r="E6080" t="s">
        <v>187</v>
      </c>
      <c r="F6080">
        <v>2012</v>
      </c>
      <c r="G6080">
        <v>4.1651999999999996</v>
      </c>
    </row>
    <row r="6081" spans="1:7">
      <c r="A6081" t="s">
        <v>1297</v>
      </c>
      <c r="B6081" t="s">
        <v>1298</v>
      </c>
      <c r="C6081" t="s">
        <v>666</v>
      </c>
      <c r="D6081" t="s">
        <v>1373</v>
      </c>
      <c r="E6081" t="s">
        <v>187</v>
      </c>
      <c r="F6081">
        <v>2016</v>
      </c>
      <c r="G6081">
        <v>3.9276</v>
      </c>
    </row>
    <row r="6082" spans="1:7">
      <c r="A6082" t="s">
        <v>1297</v>
      </c>
      <c r="B6082" t="s">
        <v>1298</v>
      </c>
      <c r="C6082" t="s">
        <v>666</v>
      </c>
      <c r="D6082" t="s">
        <v>1373</v>
      </c>
      <c r="E6082" t="s">
        <v>187</v>
      </c>
      <c r="F6082">
        <v>2020</v>
      </c>
      <c r="G6082">
        <v>3.8707199999999999</v>
      </c>
    </row>
    <row r="6083" spans="1:7">
      <c r="A6083" t="s">
        <v>1297</v>
      </c>
      <c r="B6083" t="s">
        <v>1298</v>
      </c>
      <c r="C6083" t="s">
        <v>655</v>
      </c>
      <c r="D6083" t="s">
        <v>1373</v>
      </c>
      <c r="E6083" t="s">
        <v>187</v>
      </c>
      <c r="F6083">
        <v>2005</v>
      </c>
      <c r="G6083">
        <v>31.532399999999999</v>
      </c>
    </row>
    <row r="6084" spans="1:7">
      <c r="A6084" t="s">
        <v>1297</v>
      </c>
      <c r="B6084" t="s">
        <v>1298</v>
      </c>
      <c r="C6084" t="s">
        <v>655</v>
      </c>
      <c r="D6084" t="s">
        <v>1373</v>
      </c>
      <c r="E6084" t="s">
        <v>187</v>
      </c>
      <c r="F6084">
        <v>2010</v>
      </c>
      <c r="G6084">
        <v>34.326000000000001</v>
      </c>
    </row>
    <row r="6085" spans="1:7">
      <c r="A6085" t="s">
        <v>1297</v>
      </c>
      <c r="B6085" t="s">
        <v>1298</v>
      </c>
      <c r="C6085" t="s">
        <v>655</v>
      </c>
      <c r="D6085" t="s">
        <v>1373</v>
      </c>
      <c r="E6085" t="s">
        <v>187</v>
      </c>
      <c r="F6085">
        <v>2012</v>
      </c>
      <c r="G6085">
        <v>33.098399999999998</v>
      </c>
    </row>
    <row r="6086" spans="1:7">
      <c r="A6086" t="s">
        <v>1297</v>
      </c>
      <c r="B6086" t="s">
        <v>1298</v>
      </c>
      <c r="C6086" t="s">
        <v>655</v>
      </c>
      <c r="D6086" t="s">
        <v>1373</v>
      </c>
      <c r="E6086" t="s">
        <v>187</v>
      </c>
      <c r="F6086">
        <v>2016</v>
      </c>
      <c r="G6086">
        <v>31.281365000000001</v>
      </c>
    </row>
    <row r="6087" spans="1:7">
      <c r="A6087" t="s">
        <v>1297</v>
      </c>
      <c r="B6087" t="s">
        <v>1298</v>
      </c>
      <c r="C6087" t="s">
        <v>655</v>
      </c>
      <c r="D6087" t="s">
        <v>1373</v>
      </c>
      <c r="E6087" t="s">
        <v>187</v>
      </c>
      <c r="F6087">
        <v>2020</v>
      </c>
      <c r="G6087">
        <v>30.715060000000001</v>
      </c>
    </row>
    <row r="6088" spans="1:7">
      <c r="A6088" t="s">
        <v>1297</v>
      </c>
      <c r="B6088" t="s">
        <v>1298</v>
      </c>
      <c r="C6088" t="s">
        <v>671</v>
      </c>
      <c r="D6088" t="s">
        <v>1373</v>
      </c>
      <c r="E6088" t="s">
        <v>187</v>
      </c>
      <c r="F6088">
        <v>2005</v>
      </c>
      <c r="G6088">
        <v>86.31</v>
      </c>
    </row>
    <row r="6089" spans="1:7">
      <c r="A6089" t="s">
        <v>1297</v>
      </c>
      <c r="B6089" t="s">
        <v>1298</v>
      </c>
      <c r="C6089" t="s">
        <v>669</v>
      </c>
      <c r="D6089" t="s">
        <v>1373</v>
      </c>
      <c r="E6089" t="s">
        <v>187</v>
      </c>
      <c r="F6089">
        <v>2010</v>
      </c>
      <c r="G6089">
        <v>0.43559999999999999</v>
      </c>
    </row>
    <row r="6090" spans="1:7">
      <c r="A6090" t="s">
        <v>1297</v>
      </c>
      <c r="B6090" t="s">
        <v>1298</v>
      </c>
      <c r="C6090" t="s">
        <v>669</v>
      </c>
      <c r="D6090" t="s">
        <v>1373</v>
      </c>
      <c r="E6090" t="s">
        <v>187</v>
      </c>
      <c r="F6090">
        <v>2012</v>
      </c>
      <c r="G6090">
        <v>0.43919999999999998</v>
      </c>
    </row>
    <row r="6091" spans="1:7">
      <c r="A6091" t="s">
        <v>1297</v>
      </c>
      <c r="B6091" t="s">
        <v>1298</v>
      </c>
      <c r="C6091" t="s">
        <v>669</v>
      </c>
      <c r="D6091" t="s">
        <v>1373</v>
      </c>
      <c r="E6091" t="s">
        <v>187</v>
      </c>
      <c r="F6091">
        <v>2016</v>
      </c>
      <c r="G6091">
        <v>0.181951</v>
      </c>
    </row>
    <row r="6092" spans="1:7">
      <c r="A6092" t="s">
        <v>1297</v>
      </c>
      <c r="B6092" t="s">
        <v>1298</v>
      </c>
      <c r="C6092" t="s">
        <v>669</v>
      </c>
      <c r="D6092" t="s">
        <v>1373</v>
      </c>
      <c r="E6092" t="s">
        <v>187</v>
      </c>
      <c r="F6092">
        <v>2020</v>
      </c>
      <c r="G6092">
        <v>0.219697</v>
      </c>
    </row>
    <row r="6093" spans="1:7">
      <c r="A6093" t="s">
        <v>1297</v>
      </c>
      <c r="B6093" t="s">
        <v>1298</v>
      </c>
      <c r="C6093" t="s">
        <v>1301</v>
      </c>
      <c r="D6093" t="s">
        <v>1373</v>
      </c>
      <c r="E6093" t="s">
        <v>187</v>
      </c>
      <c r="F6093">
        <v>2005</v>
      </c>
      <c r="G6093">
        <v>29.192399999999999</v>
      </c>
    </row>
    <row r="6094" spans="1:7">
      <c r="A6094" t="s">
        <v>1297</v>
      </c>
      <c r="B6094" t="s">
        <v>1298</v>
      </c>
      <c r="C6094" t="s">
        <v>1301</v>
      </c>
      <c r="D6094" t="s">
        <v>1373</v>
      </c>
      <c r="E6094" t="s">
        <v>187</v>
      </c>
      <c r="F6094">
        <v>2010</v>
      </c>
      <c r="G6094">
        <v>36.712800000000001</v>
      </c>
    </row>
    <row r="6095" spans="1:7">
      <c r="A6095" t="s">
        <v>1297</v>
      </c>
      <c r="B6095" t="s">
        <v>1298</v>
      </c>
      <c r="C6095" t="s">
        <v>1301</v>
      </c>
      <c r="D6095" t="s">
        <v>1373</v>
      </c>
      <c r="E6095" t="s">
        <v>187</v>
      </c>
      <c r="F6095">
        <v>2012</v>
      </c>
      <c r="G6095">
        <v>49.7376</v>
      </c>
    </row>
    <row r="6096" spans="1:7">
      <c r="A6096" t="s">
        <v>1297</v>
      </c>
      <c r="B6096" t="s">
        <v>1298</v>
      </c>
      <c r="C6096" t="s">
        <v>1301</v>
      </c>
      <c r="D6096" t="s">
        <v>1373</v>
      </c>
      <c r="E6096" t="s">
        <v>187</v>
      </c>
      <c r="F6096">
        <v>2016</v>
      </c>
      <c r="G6096">
        <v>55.817999999999998</v>
      </c>
    </row>
    <row r="6097" spans="1:7">
      <c r="A6097" t="s">
        <v>1297</v>
      </c>
      <c r="B6097" t="s">
        <v>1298</v>
      </c>
      <c r="C6097" t="s">
        <v>1301</v>
      </c>
      <c r="D6097" t="s">
        <v>1373</v>
      </c>
      <c r="E6097" t="s">
        <v>187</v>
      </c>
      <c r="F6097">
        <v>2020</v>
      </c>
      <c r="G6097">
        <v>67.779252</v>
      </c>
    </row>
    <row r="6098" spans="1:7">
      <c r="A6098" t="s">
        <v>1297</v>
      </c>
      <c r="B6098" t="s">
        <v>1298</v>
      </c>
      <c r="C6098" t="s">
        <v>675</v>
      </c>
      <c r="D6098" t="s">
        <v>1373</v>
      </c>
      <c r="E6098" t="s">
        <v>187</v>
      </c>
      <c r="F6098">
        <v>2005</v>
      </c>
      <c r="G6098">
        <v>3.9491999999999998</v>
      </c>
    </row>
    <row r="6099" spans="1:7">
      <c r="A6099" t="s">
        <v>1297</v>
      </c>
      <c r="B6099" t="s">
        <v>1298</v>
      </c>
      <c r="C6099" t="s">
        <v>675</v>
      </c>
      <c r="D6099" t="s">
        <v>1373</v>
      </c>
      <c r="E6099" t="s">
        <v>187</v>
      </c>
      <c r="F6099">
        <v>2010</v>
      </c>
      <c r="G6099">
        <v>4.1327999999999996</v>
      </c>
    </row>
    <row r="6100" spans="1:7">
      <c r="A6100" t="s">
        <v>1297</v>
      </c>
      <c r="B6100" t="s">
        <v>1298</v>
      </c>
      <c r="C6100" t="s">
        <v>675</v>
      </c>
      <c r="D6100" t="s">
        <v>1373</v>
      </c>
      <c r="E6100" t="s">
        <v>187</v>
      </c>
      <c r="F6100">
        <v>2012</v>
      </c>
      <c r="G6100">
        <v>4.1147999999999998</v>
      </c>
    </row>
    <row r="6101" spans="1:7">
      <c r="A6101" t="s">
        <v>1297</v>
      </c>
      <c r="B6101" t="s">
        <v>1298</v>
      </c>
      <c r="C6101" t="s">
        <v>675</v>
      </c>
      <c r="D6101" t="s">
        <v>1373</v>
      </c>
      <c r="E6101" t="s">
        <v>187</v>
      </c>
      <c r="F6101">
        <v>2016</v>
      </c>
      <c r="G6101">
        <v>3.7764000000000002</v>
      </c>
    </row>
    <row r="6102" spans="1:7">
      <c r="A6102" t="s">
        <v>1297</v>
      </c>
      <c r="B6102" t="s">
        <v>1298</v>
      </c>
      <c r="C6102" t="s">
        <v>675</v>
      </c>
      <c r="D6102" t="s">
        <v>1373</v>
      </c>
      <c r="E6102" t="s">
        <v>187</v>
      </c>
      <c r="F6102">
        <v>2020</v>
      </c>
      <c r="G6102">
        <v>3.4977279999999999</v>
      </c>
    </row>
    <row r="6103" spans="1:7">
      <c r="A6103" t="s">
        <v>1297</v>
      </c>
      <c r="B6103" t="s">
        <v>1298</v>
      </c>
      <c r="C6103" t="s">
        <v>670</v>
      </c>
      <c r="D6103" t="s">
        <v>1373</v>
      </c>
      <c r="E6103" t="s">
        <v>187</v>
      </c>
      <c r="F6103">
        <v>2005</v>
      </c>
      <c r="G6103">
        <v>30.2364</v>
      </c>
    </row>
    <row r="6104" spans="1:7">
      <c r="A6104" t="s">
        <v>1297</v>
      </c>
      <c r="B6104" t="s">
        <v>1298</v>
      </c>
      <c r="C6104" t="s">
        <v>670</v>
      </c>
      <c r="D6104" t="s">
        <v>1373</v>
      </c>
      <c r="E6104" t="s">
        <v>187</v>
      </c>
      <c r="F6104">
        <v>2010</v>
      </c>
      <c r="G6104">
        <v>32.378399999999999</v>
      </c>
    </row>
    <row r="6105" spans="1:7">
      <c r="A6105" t="s">
        <v>1297</v>
      </c>
      <c r="B6105" t="s">
        <v>1298</v>
      </c>
      <c r="C6105" t="s">
        <v>670</v>
      </c>
      <c r="D6105" t="s">
        <v>1373</v>
      </c>
      <c r="E6105" t="s">
        <v>187</v>
      </c>
      <c r="F6105">
        <v>2012</v>
      </c>
      <c r="G6105">
        <v>31.064454000000001</v>
      </c>
    </row>
    <row r="6106" spans="1:7">
      <c r="A6106" t="s">
        <v>1297</v>
      </c>
      <c r="B6106" t="s">
        <v>1298</v>
      </c>
      <c r="C6106" t="s">
        <v>670</v>
      </c>
      <c r="D6106" t="s">
        <v>1373</v>
      </c>
      <c r="E6106" t="s">
        <v>187</v>
      </c>
      <c r="F6106">
        <v>2016</v>
      </c>
      <c r="G6106">
        <v>35.976070999999997</v>
      </c>
    </row>
    <row r="6107" spans="1:7">
      <c r="A6107" t="s">
        <v>1297</v>
      </c>
      <c r="B6107" t="s">
        <v>1298</v>
      </c>
      <c r="C6107" t="s">
        <v>670</v>
      </c>
      <c r="D6107" t="s">
        <v>1373</v>
      </c>
      <c r="E6107" t="s">
        <v>187</v>
      </c>
      <c r="F6107">
        <v>2020</v>
      </c>
      <c r="G6107">
        <v>32.720241999999999</v>
      </c>
    </row>
    <row r="6108" spans="1:7">
      <c r="A6108" t="s">
        <v>1297</v>
      </c>
      <c r="B6108" t="s">
        <v>1298</v>
      </c>
      <c r="C6108" t="s">
        <v>682</v>
      </c>
      <c r="D6108" t="s">
        <v>1373</v>
      </c>
      <c r="E6108" t="s">
        <v>187</v>
      </c>
      <c r="F6108">
        <v>2020</v>
      </c>
      <c r="G6108">
        <v>5.0651999999999999</v>
      </c>
    </row>
    <row r="6109" spans="1:7">
      <c r="A6109" t="s">
        <v>1297</v>
      </c>
      <c r="B6109" t="s">
        <v>1298</v>
      </c>
      <c r="C6109" t="s">
        <v>659</v>
      </c>
      <c r="D6109" t="s">
        <v>1373</v>
      </c>
      <c r="E6109" t="s">
        <v>187</v>
      </c>
      <c r="F6109">
        <v>2005</v>
      </c>
      <c r="G6109">
        <v>65.492316000000002</v>
      </c>
    </row>
    <row r="6110" spans="1:7">
      <c r="A6110" t="s">
        <v>1297</v>
      </c>
      <c r="B6110" t="s">
        <v>1298</v>
      </c>
      <c r="C6110" t="s">
        <v>659</v>
      </c>
      <c r="D6110" t="s">
        <v>1373</v>
      </c>
      <c r="E6110" t="s">
        <v>187</v>
      </c>
      <c r="F6110">
        <v>2010</v>
      </c>
      <c r="G6110">
        <v>57.395519999999998</v>
      </c>
    </row>
    <row r="6111" spans="1:7">
      <c r="A6111" t="s">
        <v>1297</v>
      </c>
      <c r="B6111" t="s">
        <v>1298</v>
      </c>
      <c r="C6111" t="s">
        <v>659</v>
      </c>
      <c r="D6111" t="s">
        <v>1373</v>
      </c>
      <c r="E6111" t="s">
        <v>187</v>
      </c>
      <c r="F6111">
        <v>2012</v>
      </c>
      <c r="G6111">
        <v>58.462645999999999</v>
      </c>
    </row>
    <row r="6112" spans="1:7">
      <c r="A6112" t="s">
        <v>1297</v>
      </c>
      <c r="B6112" t="s">
        <v>1298</v>
      </c>
      <c r="C6112" t="s">
        <v>659</v>
      </c>
      <c r="D6112" t="s">
        <v>1373</v>
      </c>
      <c r="E6112" t="s">
        <v>187</v>
      </c>
      <c r="F6112">
        <v>2016</v>
      </c>
      <c r="G6112">
        <v>63.841560999999999</v>
      </c>
    </row>
    <row r="6113" spans="1:7">
      <c r="A6113" t="s">
        <v>1297</v>
      </c>
      <c r="B6113" t="s">
        <v>1298</v>
      </c>
      <c r="C6113" t="s">
        <v>659</v>
      </c>
      <c r="D6113" t="s">
        <v>1373</v>
      </c>
      <c r="E6113" t="s">
        <v>187</v>
      </c>
      <c r="F6113">
        <v>2020</v>
      </c>
      <c r="G6113">
        <v>61.549199999999999</v>
      </c>
    </row>
    <row r="6114" spans="1:7">
      <c r="A6114" t="s">
        <v>1297</v>
      </c>
      <c r="B6114" t="s">
        <v>1298</v>
      </c>
      <c r="C6114" t="s">
        <v>684</v>
      </c>
      <c r="D6114" t="s">
        <v>1373</v>
      </c>
      <c r="E6114" t="s">
        <v>187</v>
      </c>
      <c r="F6114">
        <v>2005</v>
      </c>
      <c r="G6114">
        <v>0.41039999999999999</v>
      </c>
    </row>
    <row r="6115" spans="1:7">
      <c r="A6115" t="s">
        <v>1297</v>
      </c>
      <c r="B6115" t="s">
        <v>1298</v>
      </c>
      <c r="C6115" t="s">
        <v>684</v>
      </c>
      <c r="D6115" t="s">
        <v>1373</v>
      </c>
      <c r="E6115" t="s">
        <v>187</v>
      </c>
      <c r="F6115">
        <v>2010</v>
      </c>
      <c r="G6115">
        <v>0.52559999999999996</v>
      </c>
    </row>
    <row r="6116" spans="1:7">
      <c r="A6116" t="s">
        <v>1297</v>
      </c>
      <c r="B6116" t="s">
        <v>1298</v>
      </c>
      <c r="C6116" t="s">
        <v>684</v>
      </c>
      <c r="D6116" t="s">
        <v>1373</v>
      </c>
      <c r="E6116" t="s">
        <v>187</v>
      </c>
      <c r="F6116">
        <v>2012</v>
      </c>
      <c r="G6116">
        <v>0.50760000000000005</v>
      </c>
    </row>
    <row r="6117" spans="1:7">
      <c r="A6117" t="s">
        <v>1297</v>
      </c>
      <c r="B6117" t="s">
        <v>1298</v>
      </c>
      <c r="C6117" t="s">
        <v>684</v>
      </c>
      <c r="D6117" t="s">
        <v>1373</v>
      </c>
      <c r="E6117" t="s">
        <v>187</v>
      </c>
      <c r="F6117">
        <v>2016</v>
      </c>
      <c r="G6117">
        <v>0.42480000000000001</v>
      </c>
    </row>
    <row r="6118" spans="1:7">
      <c r="A6118" t="s">
        <v>1297</v>
      </c>
      <c r="B6118" t="s">
        <v>1298</v>
      </c>
      <c r="C6118" t="s">
        <v>684</v>
      </c>
      <c r="D6118" t="s">
        <v>1373</v>
      </c>
      <c r="E6118" t="s">
        <v>187</v>
      </c>
      <c r="F6118">
        <v>2020</v>
      </c>
      <c r="G6118">
        <v>0.46332000000000001</v>
      </c>
    </row>
    <row r="6119" spans="1:7">
      <c r="A6119" t="s">
        <v>1297</v>
      </c>
      <c r="B6119" t="s">
        <v>1298</v>
      </c>
      <c r="C6119" t="s">
        <v>662</v>
      </c>
      <c r="D6119" t="s">
        <v>1373</v>
      </c>
      <c r="E6119" t="s">
        <v>187</v>
      </c>
      <c r="F6119">
        <v>2005</v>
      </c>
      <c r="G6119">
        <v>23.245200000000001</v>
      </c>
    </row>
    <row r="6120" spans="1:7">
      <c r="A6120" t="s">
        <v>1297</v>
      </c>
      <c r="B6120" t="s">
        <v>1298</v>
      </c>
      <c r="C6120" t="s">
        <v>662</v>
      </c>
      <c r="D6120" t="s">
        <v>1373</v>
      </c>
      <c r="E6120" t="s">
        <v>187</v>
      </c>
      <c r="F6120">
        <v>2010</v>
      </c>
      <c r="G6120">
        <v>22.220034999999999</v>
      </c>
    </row>
    <row r="6121" spans="1:7">
      <c r="A6121" t="s">
        <v>1297</v>
      </c>
      <c r="B6121" t="s">
        <v>1298</v>
      </c>
      <c r="C6121" t="s">
        <v>662</v>
      </c>
      <c r="D6121" t="s">
        <v>1373</v>
      </c>
      <c r="E6121" t="s">
        <v>187</v>
      </c>
      <c r="F6121">
        <v>2012</v>
      </c>
      <c r="G6121">
        <v>31.8492</v>
      </c>
    </row>
    <row r="6122" spans="1:7">
      <c r="A6122" t="s">
        <v>1297</v>
      </c>
      <c r="B6122" t="s">
        <v>1298</v>
      </c>
      <c r="C6122" t="s">
        <v>662</v>
      </c>
      <c r="D6122" t="s">
        <v>1373</v>
      </c>
      <c r="E6122" t="s">
        <v>187</v>
      </c>
      <c r="F6122">
        <v>2016</v>
      </c>
      <c r="G6122">
        <v>21.177302000000001</v>
      </c>
    </row>
    <row r="6123" spans="1:7">
      <c r="A6123" t="s">
        <v>1297</v>
      </c>
      <c r="B6123" t="s">
        <v>1298</v>
      </c>
      <c r="C6123" t="s">
        <v>662</v>
      </c>
      <c r="D6123" t="s">
        <v>1373</v>
      </c>
      <c r="E6123" t="s">
        <v>187</v>
      </c>
      <c r="F6123">
        <v>2020</v>
      </c>
      <c r="G6123">
        <v>16.585816000000001</v>
      </c>
    </row>
    <row r="6124" spans="1:7">
      <c r="A6124" t="s">
        <v>1297</v>
      </c>
      <c r="B6124" t="s">
        <v>1298</v>
      </c>
      <c r="C6124" t="s">
        <v>667</v>
      </c>
      <c r="D6124" t="s">
        <v>1373</v>
      </c>
      <c r="E6124" t="s">
        <v>187</v>
      </c>
      <c r="F6124">
        <v>2005</v>
      </c>
      <c r="G6124">
        <v>8.7209999999999996E-2</v>
      </c>
    </row>
    <row r="6125" spans="1:7">
      <c r="A6125" t="s">
        <v>1297</v>
      </c>
      <c r="B6125" t="s">
        <v>1298</v>
      </c>
      <c r="C6125" t="s">
        <v>667</v>
      </c>
      <c r="D6125" t="s">
        <v>1373</v>
      </c>
      <c r="E6125" t="s">
        <v>187</v>
      </c>
      <c r="F6125">
        <v>2010</v>
      </c>
      <c r="G6125">
        <v>0.10953</v>
      </c>
    </row>
    <row r="6126" spans="1:7">
      <c r="A6126" t="s">
        <v>1297</v>
      </c>
      <c r="B6126" t="s">
        <v>1298</v>
      </c>
      <c r="C6126" t="s">
        <v>667</v>
      </c>
      <c r="D6126" t="s">
        <v>1373</v>
      </c>
      <c r="E6126" t="s">
        <v>187</v>
      </c>
      <c r="F6126">
        <v>2012</v>
      </c>
      <c r="G6126">
        <v>0.10832</v>
      </c>
    </row>
    <row r="6127" spans="1:7">
      <c r="A6127" t="s">
        <v>1297</v>
      </c>
      <c r="B6127" t="s">
        <v>1298</v>
      </c>
      <c r="C6127" t="s">
        <v>667</v>
      </c>
      <c r="D6127" t="s">
        <v>1373</v>
      </c>
      <c r="E6127" t="s">
        <v>187</v>
      </c>
      <c r="F6127">
        <v>2016</v>
      </c>
      <c r="G6127">
        <v>0.10760400000000001</v>
      </c>
    </row>
    <row r="6128" spans="1:7">
      <c r="A6128" t="s">
        <v>1297</v>
      </c>
      <c r="B6128" t="s">
        <v>1298</v>
      </c>
      <c r="C6128" t="s">
        <v>667</v>
      </c>
      <c r="D6128" t="s">
        <v>1373</v>
      </c>
      <c r="E6128" t="s">
        <v>187</v>
      </c>
      <c r="F6128">
        <v>2020</v>
      </c>
      <c r="G6128">
        <v>0.11175499999999999</v>
      </c>
    </row>
    <row r="6129" spans="1:7">
      <c r="A6129" t="s">
        <v>1297</v>
      </c>
      <c r="B6129" t="s">
        <v>1298</v>
      </c>
      <c r="C6129" t="s">
        <v>1299</v>
      </c>
      <c r="D6129" t="s">
        <v>1373</v>
      </c>
      <c r="E6129" t="s">
        <v>187</v>
      </c>
      <c r="F6129">
        <v>2005</v>
      </c>
      <c r="G6129">
        <v>106.5672</v>
      </c>
    </row>
    <row r="6130" spans="1:7">
      <c r="A6130" t="s">
        <v>1297</v>
      </c>
      <c r="B6130" t="s">
        <v>1298</v>
      </c>
      <c r="C6130" t="s">
        <v>1299</v>
      </c>
      <c r="D6130" t="s">
        <v>1373</v>
      </c>
      <c r="E6130" t="s">
        <v>187</v>
      </c>
      <c r="F6130">
        <v>2010</v>
      </c>
      <c r="G6130">
        <v>104.1948</v>
      </c>
    </row>
    <row r="6131" spans="1:7">
      <c r="A6131" t="s">
        <v>1297</v>
      </c>
      <c r="B6131" t="s">
        <v>1298</v>
      </c>
      <c r="C6131" t="s">
        <v>1299</v>
      </c>
      <c r="D6131" t="s">
        <v>1373</v>
      </c>
      <c r="E6131" t="s">
        <v>187</v>
      </c>
      <c r="F6131">
        <v>2012</v>
      </c>
      <c r="G6131">
        <v>99.468000000000004</v>
      </c>
    </row>
    <row r="6132" spans="1:7">
      <c r="A6132" t="s">
        <v>1297</v>
      </c>
      <c r="B6132" t="s">
        <v>1298</v>
      </c>
      <c r="C6132" t="s">
        <v>1299</v>
      </c>
      <c r="D6132" t="s">
        <v>1373</v>
      </c>
      <c r="E6132" t="s">
        <v>187</v>
      </c>
      <c r="F6132">
        <v>2016</v>
      </c>
      <c r="G6132">
        <v>67.924800000000005</v>
      </c>
    </row>
    <row r="6133" spans="1:7">
      <c r="A6133" t="s">
        <v>1297</v>
      </c>
      <c r="B6133" t="s">
        <v>1298</v>
      </c>
      <c r="C6133" t="s">
        <v>1299</v>
      </c>
      <c r="D6133" t="s">
        <v>1373</v>
      </c>
      <c r="E6133" t="s">
        <v>187</v>
      </c>
      <c r="F6133">
        <v>2020</v>
      </c>
      <c r="G6133">
        <v>54.497512999999998</v>
      </c>
    </row>
    <row r="6134" spans="1:7">
      <c r="A6134" t="s">
        <v>1297</v>
      </c>
      <c r="B6134" t="s">
        <v>1298</v>
      </c>
      <c r="C6134" t="s">
        <v>657</v>
      </c>
      <c r="D6134" t="s">
        <v>1373</v>
      </c>
      <c r="E6134" t="s">
        <v>187</v>
      </c>
      <c r="F6134">
        <v>2005</v>
      </c>
      <c r="G6134">
        <v>9.36</v>
      </c>
    </row>
    <row r="6135" spans="1:7">
      <c r="A6135" t="s">
        <v>1297</v>
      </c>
      <c r="B6135" t="s">
        <v>1298</v>
      </c>
      <c r="C6135" t="s">
        <v>657</v>
      </c>
      <c r="D6135" t="s">
        <v>1373</v>
      </c>
      <c r="E6135" t="s">
        <v>187</v>
      </c>
      <c r="F6135">
        <v>2010</v>
      </c>
      <c r="G6135">
        <v>10.620115</v>
      </c>
    </row>
    <row r="6136" spans="1:7">
      <c r="A6136" t="s">
        <v>1297</v>
      </c>
      <c r="B6136" t="s">
        <v>1298</v>
      </c>
      <c r="C6136" t="s">
        <v>657</v>
      </c>
      <c r="D6136" t="s">
        <v>1373</v>
      </c>
      <c r="E6136" t="s">
        <v>187</v>
      </c>
      <c r="F6136">
        <v>2012</v>
      </c>
      <c r="G6136">
        <v>8.6123270000000005</v>
      </c>
    </row>
    <row r="6137" spans="1:7">
      <c r="A6137" t="s">
        <v>1297</v>
      </c>
      <c r="B6137" t="s">
        <v>1298</v>
      </c>
      <c r="C6137" t="s">
        <v>657</v>
      </c>
      <c r="D6137" t="s">
        <v>1373</v>
      </c>
      <c r="E6137" t="s">
        <v>187</v>
      </c>
      <c r="F6137">
        <v>2016</v>
      </c>
      <c r="G6137">
        <v>8.6647569999999998</v>
      </c>
    </row>
    <row r="6138" spans="1:7">
      <c r="A6138" t="s">
        <v>1297</v>
      </c>
      <c r="B6138" t="s">
        <v>1298</v>
      </c>
      <c r="C6138" t="s">
        <v>657</v>
      </c>
      <c r="D6138" t="s">
        <v>1373</v>
      </c>
      <c r="E6138" t="s">
        <v>187</v>
      </c>
      <c r="F6138">
        <v>2020</v>
      </c>
      <c r="G6138">
        <v>7.4999479999999998</v>
      </c>
    </row>
    <row r="6139" spans="1:7">
      <c r="A6139" t="s">
        <v>1297</v>
      </c>
      <c r="B6139" t="s">
        <v>1298</v>
      </c>
      <c r="C6139" t="s">
        <v>676</v>
      </c>
      <c r="D6139" t="s">
        <v>1373</v>
      </c>
      <c r="E6139" t="s">
        <v>187</v>
      </c>
      <c r="F6139">
        <v>2005</v>
      </c>
      <c r="G6139">
        <v>12.582000000000001</v>
      </c>
    </row>
    <row r="6140" spans="1:7">
      <c r="A6140" t="s">
        <v>1297</v>
      </c>
      <c r="B6140" t="s">
        <v>1298</v>
      </c>
      <c r="C6140" t="s">
        <v>676</v>
      </c>
      <c r="D6140" t="s">
        <v>1373</v>
      </c>
      <c r="E6140" t="s">
        <v>187</v>
      </c>
      <c r="F6140">
        <v>2010</v>
      </c>
      <c r="G6140">
        <v>12.128399999999999</v>
      </c>
    </row>
    <row r="6141" spans="1:7">
      <c r="A6141" t="s">
        <v>1297</v>
      </c>
      <c r="B6141" t="s">
        <v>1298</v>
      </c>
      <c r="C6141" t="s">
        <v>676</v>
      </c>
      <c r="D6141" t="s">
        <v>1373</v>
      </c>
      <c r="E6141" t="s">
        <v>187</v>
      </c>
      <c r="F6141">
        <v>2012</v>
      </c>
      <c r="G6141">
        <v>12.492000000000001</v>
      </c>
    </row>
    <row r="6142" spans="1:7">
      <c r="A6142" t="s">
        <v>1297</v>
      </c>
      <c r="B6142" t="s">
        <v>1298</v>
      </c>
      <c r="C6142" t="s">
        <v>676</v>
      </c>
      <c r="D6142" t="s">
        <v>1373</v>
      </c>
      <c r="E6142" t="s">
        <v>187</v>
      </c>
      <c r="F6142">
        <v>2016</v>
      </c>
      <c r="G6142">
        <v>10.9656</v>
      </c>
    </row>
    <row r="6143" spans="1:7">
      <c r="A6143" t="s">
        <v>1297</v>
      </c>
      <c r="B6143" t="s">
        <v>1298</v>
      </c>
      <c r="C6143" t="s">
        <v>676</v>
      </c>
      <c r="D6143" t="s">
        <v>1373</v>
      </c>
      <c r="E6143" t="s">
        <v>187</v>
      </c>
      <c r="F6143">
        <v>2020</v>
      </c>
      <c r="G6143">
        <v>10.411199999999999</v>
      </c>
    </row>
    <row r="6144" spans="1:7">
      <c r="A6144" t="s">
        <v>1297</v>
      </c>
      <c r="B6144" t="s">
        <v>1298</v>
      </c>
      <c r="C6144" t="s">
        <v>680</v>
      </c>
      <c r="D6144" t="s">
        <v>1373</v>
      </c>
      <c r="E6144" t="s">
        <v>187</v>
      </c>
      <c r="F6144">
        <v>2005</v>
      </c>
      <c r="G6144">
        <v>1.2096</v>
      </c>
    </row>
    <row r="6145" spans="1:7">
      <c r="A6145" t="s">
        <v>1297</v>
      </c>
      <c r="B6145" t="s">
        <v>1298</v>
      </c>
      <c r="C6145" t="s">
        <v>680</v>
      </c>
      <c r="D6145" t="s">
        <v>1373</v>
      </c>
      <c r="E6145" t="s">
        <v>187</v>
      </c>
      <c r="F6145">
        <v>2010</v>
      </c>
      <c r="G6145">
        <v>1.6812</v>
      </c>
    </row>
    <row r="6146" spans="1:7">
      <c r="A6146" t="s">
        <v>1297</v>
      </c>
      <c r="B6146" t="s">
        <v>1298</v>
      </c>
      <c r="C6146" t="s">
        <v>680</v>
      </c>
      <c r="D6146" t="s">
        <v>1373</v>
      </c>
      <c r="E6146" t="s">
        <v>187</v>
      </c>
      <c r="F6146">
        <v>2012</v>
      </c>
      <c r="G6146">
        <v>1.5084</v>
      </c>
    </row>
    <row r="6147" spans="1:7">
      <c r="A6147" t="s">
        <v>1297</v>
      </c>
      <c r="B6147" t="s">
        <v>1298</v>
      </c>
      <c r="C6147" t="s">
        <v>680</v>
      </c>
      <c r="D6147" t="s">
        <v>1373</v>
      </c>
      <c r="E6147" t="s">
        <v>187</v>
      </c>
      <c r="F6147">
        <v>2016</v>
      </c>
      <c r="G6147">
        <v>1.9944</v>
      </c>
    </row>
    <row r="6148" spans="1:7">
      <c r="A6148" t="s">
        <v>1297</v>
      </c>
      <c r="B6148" t="s">
        <v>1298</v>
      </c>
      <c r="C6148" t="s">
        <v>680</v>
      </c>
      <c r="D6148" t="s">
        <v>1373</v>
      </c>
      <c r="E6148" t="s">
        <v>187</v>
      </c>
      <c r="F6148">
        <v>2020</v>
      </c>
      <c r="G6148">
        <v>1.9576800000000001</v>
      </c>
    </row>
    <row r="6149" spans="1:7">
      <c r="A6149" t="s">
        <v>1297</v>
      </c>
      <c r="B6149" t="s">
        <v>1298</v>
      </c>
      <c r="C6149" t="s">
        <v>679</v>
      </c>
      <c r="D6149" t="s">
        <v>1373</v>
      </c>
      <c r="E6149" t="s">
        <v>187</v>
      </c>
      <c r="F6149">
        <v>2005</v>
      </c>
      <c r="G6149">
        <v>12.412800000000001</v>
      </c>
    </row>
    <row r="6150" spans="1:7">
      <c r="A6150" t="s">
        <v>1297</v>
      </c>
      <c r="B6150" t="s">
        <v>1298</v>
      </c>
      <c r="C6150" t="s">
        <v>679</v>
      </c>
      <c r="D6150" t="s">
        <v>1373</v>
      </c>
      <c r="E6150" t="s">
        <v>187</v>
      </c>
      <c r="F6150">
        <v>2010</v>
      </c>
      <c r="G6150">
        <v>23.8536</v>
      </c>
    </row>
    <row r="6151" spans="1:7">
      <c r="A6151" t="s">
        <v>1297</v>
      </c>
      <c r="B6151" t="s">
        <v>1298</v>
      </c>
      <c r="C6151" t="s">
        <v>679</v>
      </c>
      <c r="D6151" t="s">
        <v>1373</v>
      </c>
      <c r="E6151" t="s">
        <v>187</v>
      </c>
      <c r="F6151">
        <v>2012</v>
      </c>
      <c r="G6151">
        <v>27.363600000000002</v>
      </c>
    </row>
    <row r="6152" spans="1:7">
      <c r="A6152" t="s">
        <v>1297</v>
      </c>
      <c r="B6152" t="s">
        <v>1298</v>
      </c>
      <c r="C6152" t="s">
        <v>679</v>
      </c>
      <c r="D6152" t="s">
        <v>1373</v>
      </c>
      <c r="E6152" t="s">
        <v>187</v>
      </c>
      <c r="F6152">
        <v>2016</v>
      </c>
      <c r="G6152">
        <v>29.386800000000001</v>
      </c>
    </row>
    <row r="6153" spans="1:7">
      <c r="A6153" t="s">
        <v>1297</v>
      </c>
      <c r="B6153" t="s">
        <v>1298</v>
      </c>
      <c r="C6153" t="s">
        <v>679</v>
      </c>
      <c r="D6153" t="s">
        <v>1373</v>
      </c>
      <c r="E6153" t="s">
        <v>187</v>
      </c>
      <c r="F6153">
        <v>2020</v>
      </c>
      <c r="G6153">
        <v>33.117134</v>
      </c>
    </row>
    <row r="6154" spans="1:7">
      <c r="A6154" t="s">
        <v>1297</v>
      </c>
      <c r="B6154" t="s">
        <v>1298</v>
      </c>
      <c r="C6154" t="s">
        <v>686</v>
      </c>
      <c r="D6154" t="s">
        <v>1373</v>
      </c>
      <c r="E6154" t="s">
        <v>187</v>
      </c>
      <c r="F6154">
        <v>2005</v>
      </c>
      <c r="G6154">
        <v>9.2051999999999996</v>
      </c>
    </row>
    <row r="6155" spans="1:7">
      <c r="A6155" t="s">
        <v>1297</v>
      </c>
      <c r="B6155" t="s">
        <v>1298</v>
      </c>
      <c r="C6155" t="s">
        <v>686</v>
      </c>
      <c r="D6155" t="s">
        <v>1373</v>
      </c>
      <c r="E6155" t="s">
        <v>187</v>
      </c>
      <c r="F6155">
        <v>2010</v>
      </c>
      <c r="G6155">
        <v>10.6632</v>
      </c>
    </row>
    <row r="6156" spans="1:7">
      <c r="A6156" t="s">
        <v>1297</v>
      </c>
      <c r="B6156" t="s">
        <v>1298</v>
      </c>
      <c r="C6156" t="s">
        <v>686</v>
      </c>
      <c r="D6156" t="s">
        <v>1373</v>
      </c>
      <c r="E6156" t="s">
        <v>187</v>
      </c>
      <c r="F6156">
        <v>2012</v>
      </c>
      <c r="G6156">
        <v>12.114000000000001</v>
      </c>
    </row>
    <row r="6157" spans="1:7">
      <c r="A6157" t="s">
        <v>1297</v>
      </c>
      <c r="B6157" t="s">
        <v>1298</v>
      </c>
      <c r="C6157" t="s">
        <v>686</v>
      </c>
      <c r="D6157" t="s">
        <v>1373</v>
      </c>
      <c r="E6157" t="s">
        <v>187</v>
      </c>
      <c r="F6157">
        <v>2016</v>
      </c>
      <c r="G6157">
        <v>14.331604</v>
      </c>
    </row>
    <row r="6158" spans="1:7">
      <c r="A6158" t="s">
        <v>1297</v>
      </c>
      <c r="B6158" t="s">
        <v>1298</v>
      </c>
      <c r="C6158" t="s">
        <v>686</v>
      </c>
      <c r="D6158" t="s">
        <v>1373</v>
      </c>
      <c r="E6158" t="s">
        <v>187</v>
      </c>
      <c r="F6158">
        <v>2020</v>
      </c>
      <c r="G6158">
        <v>15.3085</v>
      </c>
    </row>
    <row r="6159" spans="1:7">
      <c r="A6159" t="s">
        <v>1297</v>
      </c>
      <c r="B6159" t="s">
        <v>1298</v>
      </c>
      <c r="C6159" t="s">
        <v>669</v>
      </c>
      <c r="D6159" t="s">
        <v>1373</v>
      </c>
      <c r="E6159" t="s">
        <v>187</v>
      </c>
      <c r="F6159">
        <v>2005</v>
      </c>
      <c r="G6159">
        <v>0.4536</v>
      </c>
    </row>
    <row r="6160" spans="1:7">
      <c r="A6160" t="s">
        <v>1297</v>
      </c>
      <c r="B6160" t="s">
        <v>1298</v>
      </c>
      <c r="C6160" t="s">
        <v>663</v>
      </c>
      <c r="D6160" t="s">
        <v>1373</v>
      </c>
      <c r="E6160" t="s">
        <v>187</v>
      </c>
      <c r="F6160">
        <v>2005</v>
      </c>
      <c r="G6160">
        <v>20.534400000000002</v>
      </c>
    </row>
    <row r="6161" spans="1:7">
      <c r="A6161" t="s">
        <v>1297</v>
      </c>
      <c r="B6161" t="s">
        <v>1298</v>
      </c>
      <c r="C6161" t="s">
        <v>663</v>
      </c>
      <c r="D6161" t="s">
        <v>1373</v>
      </c>
      <c r="E6161" t="s">
        <v>187</v>
      </c>
      <c r="F6161">
        <v>2010</v>
      </c>
      <c r="G6161">
        <v>16.408799999999999</v>
      </c>
    </row>
    <row r="6162" spans="1:7">
      <c r="A6162" t="s">
        <v>1297</v>
      </c>
      <c r="B6162" t="s">
        <v>1298</v>
      </c>
      <c r="C6162" t="s">
        <v>663</v>
      </c>
      <c r="D6162" t="s">
        <v>1373</v>
      </c>
      <c r="E6162" t="s">
        <v>187</v>
      </c>
      <c r="F6162">
        <v>2012</v>
      </c>
      <c r="G6162">
        <v>13.247999999999999</v>
      </c>
    </row>
    <row r="6163" spans="1:7">
      <c r="A6163" t="s">
        <v>1297</v>
      </c>
      <c r="B6163" t="s">
        <v>1298</v>
      </c>
      <c r="C6163" t="s">
        <v>663</v>
      </c>
      <c r="D6163" t="s">
        <v>1373</v>
      </c>
      <c r="E6163" t="s">
        <v>187</v>
      </c>
      <c r="F6163">
        <v>2016</v>
      </c>
      <c r="G6163">
        <v>12.4704</v>
      </c>
    </row>
    <row r="6164" spans="1:7">
      <c r="A6164" t="s">
        <v>1297</v>
      </c>
      <c r="B6164" t="s">
        <v>1298</v>
      </c>
      <c r="C6164" t="s">
        <v>663</v>
      </c>
      <c r="D6164" t="s">
        <v>1373</v>
      </c>
      <c r="E6164" t="s">
        <v>187</v>
      </c>
      <c r="F6164">
        <v>2020</v>
      </c>
      <c r="G6164">
        <v>11.8872</v>
      </c>
    </row>
    <row r="6165" spans="1:7">
      <c r="A6165" t="s">
        <v>1297</v>
      </c>
      <c r="B6165" t="s">
        <v>1298</v>
      </c>
      <c r="C6165" t="s">
        <v>651</v>
      </c>
      <c r="D6165" t="s">
        <v>1373</v>
      </c>
      <c r="E6165" t="s">
        <v>187</v>
      </c>
      <c r="F6165">
        <v>2005</v>
      </c>
      <c r="G6165">
        <v>18.634115000000001</v>
      </c>
    </row>
    <row r="6166" spans="1:7">
      <c r="A6166" t="s">
        <v>1297</v>
      </c>
      <c r="B6166" t="s">
        <v>1298</v>
      </c>
      <c r="C6166" t="s">
        <v>651</v>
      </c>
      <c r="D6166" t="s">
        <v>1373</v>
      </c>
      <c r="E6166" t="s">
        <v>187</v>
      </c>
      <c r="F6166">
        <v>2010</v>
      </c>
      <c r="G6166">
        <v>20.362442000000001</v>
      </c>
    </row>
    <row r="6167" spans="1:7">
      <c r="A6167" t="s">
        <v>1297</v>
      </c>
      <c r="B6167" t="s">
        <v>1298</v>
      </c>
      <c r="C6167" t="s">
        <v>651</v>
      </c>
      <c r="D6167" t="s">
        <v>1373</v>
      </c>
      <c r="E6167" t="s">
        <v>187</v>
      </c>
      <c r="F6167">
        <v>2012</v>
      </c>
      <c r="G6167">
        <v>19.507121999999999</v>
      </c>
    </row>
    <row r="6168" spans="1:7">
      <c r="A6168" t="s">
        <v>1297</v>
      </c>
      <c r="B6168" t="s">
        <v>1298</v>
      </c>
      <c r="C6168" t="s">
        <v>651</v>
      </c>
      <c r="D6168" t="s">
        <v>1373</v>
      </c>
      <c r="E6168" t="s">
        <v>187</v>
      </c>
      <c r="F6168">
        <v>2016</v>
      </c>
      <c r="G6168">
        <v>20.652358</v>
      </c>
    </row>
    <row r="6169" spans="1:7">
      <c r="A6169" t="s">
        <v>1297</v>
      </c>
      <c r="B6169" t="s">
        <v>1298</v>
      </c>
      <c r="C6169" t="s">
        <v>651</v>
      </c>
      <c r="D6169" t="s">
        <v>1373</v>
      </c>
      <c r="E6169" t="s">
        <v>187</v>
      </c>
      <c r="F6169">
        <v>2020</v>
      </c>
      <c r="G6169">
        <v>20.335495999999999</v>
      </c>
    </row>
    <row r="6170" spans="1:7">
      <c r="A6170" t="s">
        <v>1297</v>
      </c>
      <c r="B6170" t="s">
        <v>1298</v>
      </c>
      <c r="C6170" t="s">
        <v>682</v>
      </c>
      <c r="D6170" t="s">
        <v>1373</v>
      </c>
      <c r="E6170" t="s">
        <v>187</v>
      </c>
      <c r="F6170">
        <v>2016</v>
      </c>
      <c r="G6170">
        <v>5.6303999999999998</v>
      </c>
    </row>
    <row r="6171" spans="1:7">
      <c r="A6171" t="s">
        <v>1297</v>
      </c>
      <c r="B6171" t="s">
        <v>1298</v>
      </c>
      <c r="C6171" t="s">
        <v>653</v>
      </c>
      <c r="D6171" t="s">
        <v>1373</v>
      </c>
      <c r="E6171" t="s">
        <v>187</v>
      </c>
      <c r="F6171">
        <v>2010</v>
      </c>
      <c r="G6171">
        <v>20.1492</v>
      </c>
    </row>
    <row r="6172" spans="1:7">
      <c r="A6172" t="s">
        <v>1297</v>
      </c>
      <c r="B6172" t="s">
        <v>1298</v>
      </c>
      <c r="C6172" t="s">
        <v>653</v>
      </c>
      <c r="D6172" t="s">
        <v>1373</v>
      </c>
      <c r="E6172" t="s">
        <v>187</v>
      </c>
      <c r="F6172">
        <v>2012</v>
      </c>
      <c r="G6172">
        <v>20.923200000000001</v>
      </c>
    </row>
    <row r="6173" spans="1:7">
      <c r="A6173" t="s">
        <v>1297</v>
      </c>
      <c r="B6173" t="s">
        <v>1298</v>
      </c>
      <c r="C6173" t="s">
        <v>653</v>
      </c>
      <c r="D6173" t="s">
        <v>1373</v>
      </c>
      <c r="E6173" t="s">
        <v>187</v>
      </c>
      <c r="F6173">
        <v>2016</v>
      </c>
      <c r="G6173">
        <v>19.695599999999999</v>
      </c>
    </row>
    <row r="6174" spans="1:7">
      <c r="A6174" t="s">
        <v>1297</v>
      </c>
      <c r="B6174" t="s">
        <v>1298</v>
      </c>
      <c r="C6174" t="s">
        <v>653</v>
      </c>
      <c r="D6174" t="s">
        <v>1373</v>
      </c>
      <c r="E6174" t="s">
        <v>187</v>
      </c>
      <c r="F6174">
        <v>2020</v>
      </c>
      <c r="G6174">
        <v>19.572925999999999</v>
      </c>
    </row>
    <row r="6175" spans="1:7">
      <c r="A6175" t="s">
        <v>1297</v>
      </c>
      <c r="B6175" t="s">
        <v>1298</v>
      </c>
      <c r="C6175" t="s">
        <v>1300</v>
      </c>
      <c r="D6175" t="s">
        <v>1373</v>
      </c>
      <c r="E6175" t="s">
        <v>187</v>
      </c>
      <c r="F6175">
        <v>2010</v>
      </c>
      <c r="G6175">
        <v>1.2347999999999999</v>
      </c>
    </row>
    <row r="6176" spans="1:7">
      <c r="A6176" t="s">
        <v>1297</v>
      </c>
      <c r="B6176" t="s">
        <v>1298</v>
      </c>
      <c r="C6176" t="s">
        <v>1300</v>
      </c>
      <c r="D6176" t="s">
        <v>1373</v>
      </c>
      <c r="E6176" t="s">
        <v>187</v>
      </c>
      <c r="F6176">
        <v>2012</v>
      </c>
      <c r="G6176">
        <v>1.0620000000000001</v>
      </c>
    </row>
    <row r="6177" spans="1:7">
      <c r="A6177" t="s">
        <v>1297</v>
      </c>
      <c r="B6177" t="s">
        <v>1298</v>
      </c>
      <c r="C6177" t="s">
        <v>1300</v>
      </c>
      <c r="D6177" t="s">
        <v>1373</v>
      </c>
      <c r="E6177" t="s">
        <v>187</v>
      </c>
      <c r="F6177">
        <v>2016</v>
      </c>
      <c r="G6177">
        <v>0.65159999999999996</v>
      </c>
    </row>
    <row r="6178" spans="1:7">
      <c r="A6178" t="s">
        <v>1297</v>
      </c>
      <c r="B6178" t="s">
        <v>1298</v>
      </c>
      <c r="C6178" t="s">
        <v>1300</v>
      </c>
      <c r="D6178" t="s">
        <v>1373</v>
      </c>
      <c r="E6178" t="s">
        <v>187</v>
      </c>
      <c r="F6178">
        <v>2020</v>
      </c>
      <c r="G6178">
        <v>0.73440000000000005</v>
      </c>
    </row>
    <row r="6179" spans="1:7">
      <c r="A6179" t="s">
        <v>1297</v>
      </c>
      <c r="B6179" t="s">
        <v>1298</v>
      </c>
      <c r="C6179" t="s">
        <v>1302</v>
      </c>
      <c r="D6179" t="s">
        <v>1373</v>
      </c>
      <c r="E6179" t="s">
        <v>187</v>
      </c>
      <c r="F6179">
        <v>2005</v>
      </c>
      <c r="G6179">
        <v>1.6596</v>
      </c>
    </row>
    <row r="6180" spans="1:7">
      <c r="A6180" t="s">
        <v>1297</v>
      </c>
      <c r="B6180" t="s">
        <v>1298</v>
      </c>
      <c r="C6180" t="s">
        <v>1302</v>
      </c>
      <c r="D6180" t="s">
        <v>1373</v>
      </c>
      <c r="E6180" t="s">
        <v>187</v>
      </c>
      <c r="F6180">
        <v>2010</v>
      </c>
      <c r="G6180">
        <v>2.1636000000000002</v>
      </c>
    </row>
    <row r="6181" spans="1:7">
      <c r="A6181" t="s">
        <v>1297</v>
      </c>
      <c r="B6181" t="s">
        <v>1298</v>
      </c>
      <c r="C6181" t="s">
        <v>1302</v>
      </c>
      <c r="D6181" t="s">
        <v>1373</v>
      </c>
      <c r="E6181" t="s">
        <v>187</v>
      </c>
      <c r="F6181">
        <v>2012</v>
      </c>
      <c r="G6181">
        <v>2.5019999999999998</v>
      </c>
    </row>
    <row r="6182" spans="1:7">
      <c r="A6182" t="s">
        <v>1297</v>
      </c>
      <c r="B6182" t="s">
        <v>1298</v>
      </c>
      <c r="C6182" t="s">
        <v>1302</v>
      </c>
      <c r="D6182" t="s">
        <v>1373</v>
      </c>
      <c r="E6182" t="s">
        <v>187</v>
      </c>
      <c r="F6182">
        <v>2016</v>
      </c>
      <c r="G6182">
        <v>1.548</v>
      </c>
    </row>
    <row r="6183" spans="1:7">
      <c r="A6183" t="s">
        <v>1297</v>
      </c>
      <c r="B6183" t="s">
        <v>1298</v>
      </c>
      <c r="C6183" t="s">
        <v>1302</v>
      </c>
      <c r="D6183" t="s">
        <v>1373</v>
      </c>
      <c r="E6183" t="s">
        <v>187</v>
      </c>
      <c r="F6183">
        <v>2020</v>
      </c>
      <c r="G6183">
        <v>1.7906690000000001</v>
      </c>
    </row>
    <row r="6184" spans="1:7">
      <c r="A6184" t="s">
        <v>1297</v>
      </c>
      <c r="B6184" t="s">
        <v>1298</v>
      </c>
      <c r="C6184" t="s">
        <v>674</v>
      </c>
      <c r="D6184" t="s">
        <v>1373</v>
      </c>
      <c r="E6184" t="s">
        <v>187</v>
      </c>
      <c r="F6184">
        <v>2005</v>
      </c>
      <c r="G6184">
        <v>22.863600000000002</v>
      </c>
    </row>
    <row r="6185" spans="1:7">
      <c r="A6185" t="s">
        <v>1297</v>
      </c>
      <c r="B6185" t="s">
        <v>1298</v>
      </c>
      <c r="C6185" t="s">
        <v>674</v>
      </c>
      <c r="D6185" t="s">
        <v>1373</v>
      </c>
      <c r="E6185" t="s">
        <v>187</v>
      </c>
      <c r="F6185">
        <v>2010</v>
      </c>
      <c r="G6185">
        <v>25.5168</v>
      </c>
    </row>
    <row r="6186" spans="1:7">
      <c r="A6186" t="s">
        <v>1297</v>
      </c>
      <c r="B6186" t="s">
        <v>1298</v>
      </c>
      <c r="C6186" t="s">
        <v>674</v>
      </c>
      <c r="D6186" t="s">
        <v>1373</v>
      </c>
      <c r="E6186" t="s">
        <v>187</v>
      </c>
      <c r="F6186">
        <v>2012</v>
      </c>
      <c r="G6186">
        <v>24.368400000000001</v>
      </c>
    </row>
    <row r="6187" spans="1:7">
      <c r="A6187" t="s">
        <v>1297</v>
      </c>
      <c r="B6187" t="s">
        <v>1298</v>
      </c>
      <c r="C6187" t="s">
        <v>674</v>
      </c>
      <c r="D6187" t="s">
        <v>1373</v>
      </c>
      <c r="E6187" t="s">
        <v>187</v>
      </c>
      <c r="F6187">
        <v>2016</v>
      </c>
      <c r="G6187">
        <v>23.749199999999998</v>
      </c>
    </row>
    <row r="6188" spans="1:7">
      <c r="A6188" t="s">
        <v>1297</v>
      </c>
      <c r="B6188" t="s">
        <v>1298</v>
      </c>
      <c r="C6188" t="s">
        <v>674</v>
      </c>
      <c r="D6188" t="s">
        <v>1373</v>
      </c>
      <c r="E6188" t="s">
        <v>187</v>
      </c>
      <c r="F6188">
        <v>2020</v>
      </c>
      <c r="G6188">
        <v>20.188800000000001</v>
      </c>
    </row>
    <row r="6189" spans="1:7">
      <c r="A6189" t="s">
        <v>1297</v>
      </c>
      <c r="B6189" t="s">
        <v>1298</v>
      </c>
      <c r="C6189" t="s">
        <v>664</v>
      </c>
      <c r="D6189" t="s">
        <v>1373</v>
      </c>
      <c r="E6189" t="s">
        <v>187</v>
      </c>
      <c r="F6189">
        <v>2005</v>
      </c>
      <c r="G6189">
        <v>4.8316319999999999</v>
      </c>
    </row>
    <row r="6190" spans="1:7">
      <c r="A6190" t="s">
        <v>1297</v>
      </c>
      <c r="B6190" t="s">
        <v>1298</v>
      </c>
      <c r="C6190" t="s">
        <v>664</v>
      </c>
      <c r="D6190" t="s">
        <v>1373</v>
      </c>
      <c r="E6190" t="s">
        <v>187</v>
      </c>
      <c r="F6190">
        <v>2010</v>
      </c>
      <c r="G6190">
        <v>4.0513789999999998</v>
      </c>
    </row>
    <row r="6191" spans="1:7">
      <c r="A6191" t="s">
        <v>1297</v>
      </c>
      <c r="B6191" t="s">
        <v>1298</v>
      </c>
      <c r="C6191" t="s">
        <v>664</v>
      </c>
      <c r="D6191" t="s">
        <v>1373</v>
      </c>
      <c r="E6191" t="s">
        <v>187</v>
      </c>
      <c r="F6191">
        <v>2012</v>
      </c>
      <c r="G6191">
        <v>3.9578720000000001</v>
      </c>
    </row>
    <row r="6192" spans="1:7">
      <c r="A6192" t="s">
        <v>1297</v>
      </c>
      <c r="B6192" t="s">
        <v>1298</v>
      </c>
      <c r="C6192" t="s">
        <v>664</v>
      </c>
      <c r="D6192" t="s">
        <v>1373</v>
      </c>
      <c r="E6192" t="s">
        <v>187</v>
      </c>
      <c r="F6192">
        <v>2016</v>
      </c>
      <c r="G6192">
        <v>3.3739089999999998</v>
      </c>
    </row>
    <row r="6193" spans="1:7">
      <c r="A6193" t="s">
        <v>1297</v>
      </c>
      <c r="B6193" t="s">
        <v>1298</v>
      </c>
      <c r="C6193" t="s">
        <v>664</v>
      </c>
      <c r="D6193" t="s">
        <v>1373</v>
      </c>
      <c r="E6193" t="s">
        <v>187</v>
      </c>
      <c r="F6193">
        <v>2020</v>
      </c>
      <c r="G6193">
        <v>3.1215419999999998</v>
      </c>
    </row>
    <row r="6194" spans="1:7">
      <c r="A6194" t="s">
        <v>1297</v>
      </c>
      <c r="B6194" t="s">
        <v>1298</v>
      </c>
      <c r="C6194" t="s">
        <v>668</v>
      </c>
      <c r="D6194" t="s">
        <v>1373</v>
      </c>
      <c r="E6194" t="s">
        <v>187</v>
      </c>
      <c r="F6194">
        <v>2005</v>
      </c>
      <c r="G6194">
        <v>1.7604</v>
      </c>
    </row>
    <row r="6195" spans="1:7">
      <c r="A6195" t="s">
        <v>1297</v>
      </c>
      <c r="B6195" t="s">
        <v>1298</v>
      </c>
      <c r="C6195" t="s">
        <v>668</v>
      </c>
      <c r="D6195" t="s">
        <v>1373</v>
      </c>
      <c r="E6195" t="s">
        <v>187</v>
      </c>
      <c r="F6195">
        <v>2010</v>
      </c>
      <c r="G6195">
        <v>2.0119069999999999</v>
      </c>
    </row>
    <row r="6196" spans="1:7">
      <c r="A6196" t="s">
        <v>1297</v>
      </c>
      <c r="B6196" t="s">
        <v>1298</v>
      </c>
      <c r="C6196" t="s">
        <v>668</v>
      </c>
      <c r="D6196" t="s">
        <v>1373</v>
      </c>
      <c r="E6196" t="s">
        <v>187</v>
      </c>
      <c r="F6196">
        <v>2012</v>
      </c>
      <c r="G6196">
        <v>1.6132610000000001</v>
      </c>
    </row>
    <row r="6197" spans="1:7">
      <c r="A6197" t="s">
        <v>1297</v>
      </c>
      <c r="B6197" t="s">
        <v>1298</v>
      </c>
      <c r="C6197" t="s">
        <v>668</v>
      </c>
      <c r="D6197" t="s">
        <v>1373</v>
      </c>
      <c r="E6197" t="s">
        <v>187</v>
      </c>
      <c r="F6197">
        <v>2016</v>
      </c>
      <c r="G6197">
        <v>1.792181</v>
      </c>
    </row>
    <row r="6198" spans="1:7">
      <c r="A6198" t="s">
        <v>1297</v>
      </c>
      <c r="B6198" t="s">
        <v>1298</v>
      </c>
      <c r="C6198" t="s">
        <v>668</v>
      </c>
      <c r="D6198" t="s">
        <v>1373</v>
      </c>
      <c r="E6198" t="s">
        <v>187</v>
      </c>
      <c r="F6198">
        <v>2020</v>
      </c>
      <c r="G6198">
        <v>1.7126239999999999</v>
      </c>
    </row>
    <row r="6199" spans="1:7">
      <c r="A6199" t="s">
        <v>1297</v>
      </c>
      <c r="B6199" t="s">
        <v>1298</v>
      </c>
      <c r="C6199" t="s">
        <v>654</v>
      </c>
      <c r="D6199" t="s">
        <v>1373</v>
      </c>
      <c r="E6199" t="s">
        <v>187</v>
      </c>
      <c r="F6199">
        <v>2005</v>
      </c>
      <c r="G6199">
        <v>0.91080000000000005</v>
      </c>
    </row>
    <row r="6200" spans="1:7">
      <c r="A6200" t="s">
        <v>1297</v>
      </c>
      <c r="B6200" t="s">
        <v>1298</v>
      </c>
      <c r="C6200" t="s">
        <v>654</v>
      </c>
      <c r="D6200" t="s">
        <v>1373</v>
      </c>
      <c r="E6200" t="s">
        <v>187</v>
      </c>
      <c r="F6200">
        <v>2010</v>
      </c>
      <c r="G6200">
        <v>0.82079999999999997</v>
      </c>
    </row>
    <row r="6201" spans="1:7">
      <c r="A6201" t="s">
        <v>1297</v>
      </c>
      <c r="B6201" t="s">
        <v>1298</v>
      </c>
      <c r="C6201" t="s">
        <v>654</v>
      </c>
      <c r="D6201" t="s">
        <v>1373</v>
      </c>
      <c r="E6201" t="s">
        <v>187</v>
      </c>
      <c r="F6201">
        <v>2012</v>
      </c>
      <c r="G6201">
        <v>0.6552</v>
      </c>
    </row>
    <row r="6202" spans="1:7">
      <c r="A6202" t="s">
        <v>1297</v>
      </c>
      <c r="B6202" t="s">
        <v>1298</v>
      </c>
      <c r="C6202" t="s">
        <v>654</v>
      </c>
      <c r="D6202" t="s">
        <v>1373</v>
      </c>
      <c r="E6202" t="s">
        <v>187</v>
      </c>
      <c r="F6202">
        <v>2016</v>
      </c>
      <c r="G6202">
        <v>0.81</v>
      </c>
    </row>
    <row r="6203" spans="1:7">
      <c r="A6203" t="s">
        <v>1297</v>
      </c>
      <c r="B6203" t="s">
        <v>1298</v>
      </c>
      <c r="C6203" t="s">
        <v>654</v>
      </c>
      <c r="D6203" t="s">
        <v>1373</v>
      </c>
      <c r="E6203" t="s">
        <v>187</v>
      </c>
      <c r="F6203">
        <v>2020</v>
      </c>
      <c r="G6203">
        <v>0.84479000000000004</v>
      </c>
    </row>
    <row r="6204" spans="1:7">
      <c r="A6204" t="s">
        <v>1297</v>
      </c>
      <c r="B6204" t="s">
        <v>1298</v>
      </c>
      <c r="C6204" t="s">
        <v>653</v>
      </c>
      <c r="D6204" t="s">
        <v>1374</v>
      </c>
      <c r="E6204" t="s">
        <v>187</v>
      </c>
      <c r="F6204">
        <v>2005</v>
      </c>
      <c r="G6204">
        <v>2.1743999999999999</v>
      </c>
    </row>
    <row r="6205" spans="1:7">
      <c r="A6205" t="s">
        <v>1297</v>
      </c>
      <c r="B6205" t="s">
        <v>1298</v>
      </c>
      <c r="C6205" t="s">
        <v>653</v>
      </c>
      <c r="D6205" t="s">
        <v>1374</v>
      </c>
      <c r="E6205" t="s">
        <v>187</v>
      </c>
      <c r="F6205">
        <v>2010</v>
      </c>
      <c r="G6205">
        <v>3.5316000000000001</v>
      </c>
    </row>
    <row r="6206" spans="1:7">
      <c r="A6206" t="s">
        <v>1297</v>
      </c>
      <c r="B6206" t="s">
        <v>1298</v>
      </c>
      <c r="C6206" t="s">
        <v>653</v>
      </c>
      <c r="D6206" t="s">
        <v>1374</v>
      </c>
      <c r="E6206" t="s">
        <v>187</v>
      </c>
      <c r="F6206">
        <v>2012</v>
      </c>
      <c r="G6206">
        <v>4.2191999999999998</v>
      </c>
    </row>
    <row r="6207" spans="1:7">
      <c r="A6207" t="s">
        <v>1297</v>
      </c>
      <c r="B6207" t="s">
        <v>1298</v>
      </c>
      <c r="C6207" t="s">
        <v>653</v>
      </c>
      <c r="D6207" t="s">
        <v>1374</v>
      </c>
      <c r="E6207" t="s">
        <v>187</v>
      </c>
      <c r="F6207">
        <v>2016</v>
      </c>
      <c r="G6207">
        <v>3.6539999999999999</v>
      </c>
    </row>
    <row r="6208" spans="1:7">
      <c r="A6208" t="s">
        <v>1297</v>
      </c>
      <c r="B6208" t="s">
        <v>1298</v>
      </c>
      <c r="C6208" t="s">
        <v>653</v>
      </c>
      <c r="D6208" t="s">
        <v>1374</v>
      </c>
      <c r="E6208" t="s">
        <v>187</v>
      </c>
      <c r="F6208">
        <v>2020</v>
      </c>
      <c r="G6208">
        <v>2.3389700000000002</v>
      </c>
    </row>
    <row r="6209" spans="1:7">
      <c r="A6209" t="s">
        <v>1297</v>
      </c>
      <c r="B6209" t="s">
        <v>1298</v>
      </c>
      <c r="C6209" t="s">
        <v>674</v>
      </c>
      <c r="D6209" t="s">
        <v>1374</v>
      </c>
      <c r="E6209" t="s">
        <v>187</v>
      </c>
      <c r="F6209">
        <v>2005</v>
      </c>
      <c r="G6209">
        <v>8.2295999999999996</v>
      </c>
    </row>
    <row r="6210" spans="1:7">
      <c r="A6210" t="s">
        <v>1297</v>
      </c>
      <c r="B6210" t="s">
        <v>1298</v>
      </c>
      <c r="C6210" t="s">
        <v>674</v>
      </c>
      <c r="D6210" t="s">
        <v>1374</v>
      </c>
      <c r="E6210" t="s">
        <v>187</v>
      </c>
      <c r="F6210">
        <v>2010</v>
      </c>
      <c r="G6210">
        <v>6.3360000000000003</v>
      </c>
    </row>
    <row r="6211" spans="1:7">
      <c r="A6211" t="s">
        <v>1297</v>
      </c>
      <c r="B6211" t="s">
        <v>1298</v>
      </c>
      <c r="C6211" t="s">
        <v>674</v>
      </c>
      <c r="D6211" t="s">
        <v>1374</v>
      </c>
      <c r="E6211" t="s">
        <v>187</v>
      </c>
      <c r="F6211">
        <v>2012</v>
      </c>
      <c r="G6211">
        <v>7.1028000000000002</v>
      </c>
    </row>
    <row r="6212" spans="1:7">
      <c r="A6212" t="s">
        <v>1297</v>
      </c>
      <c r="B6212" t="s">
        <v>1298</v>
      </c>
      <c r="C6212" t="s">
        <v>674</v>
      </c>
      <c r="D6212" t="s">
        <v>1374</v>
      </c>
      <c r="E6212" t="s">
        <v>187</v>
      </c>
      <c r="F6212">
        <v>2016</v>
      </c>
      <c r="G6212">
        <v>5.8068</v>
      </c>
    </row>
    <row r="6213" spans="1:7">
      <c r="A6213" t="s">
        <v>1297</v>
      </c>
      <c r="B6213" t="s">
        <v>1298</v>
      </c>
      <c r="C6213" t="s">
        <v>674</v>
      </c>
      <c r="D6213" t="s">
        <v>1374</v>
      </c>
      <c r="E6213" t="s">
        <v>187</v>
      </c>
      <c r="F6213">
        <v>2020</v>
      </c>
      <c r="G6213">
        <v>4.5720000000000001</v>
      </c>
    </row>
    <row r="6214" spans="1:7">
      <c r="A6214" t="s">
        <v>1297</v>
      </c>
      <c r="B6214" t="s">
        <v>1298</v>
      </c>
      <c r="C6214" t="s">
        <v>664</v>
      </c>
      <c r="D6214" t="s">
        <v>1374</v>
      </c>
      <c r="E6214" t="s">
        <v>187</v>
      </c>
      <c r="F6214">
        <v>2005</v>
      </c>
      <c r="G6214">
        <v>1.9083600000000001</v>
      </c>
    </row>
    <row r="6215" spans="1:7">
      <c r="A6215" t="s">
        <v>1297</v>
      </c>
      <c r="B6215" t="s">
        <v>1298</v>
      </c>
      <c r="C6215" t="s">
        <v>664</v>
      </c>
      <c r="D6215" t="s">
        <v>1374</v>
      </c>
      <c r="E6215" t="s">
        <v>187</v>
      </c>
      <c r="F6215">
        <v>2010</v>
      </c>
      <c r="G6215">
        <v>1.04162</v>
      </c>
    </row>
    <row r="6216" spans="1:7">
      <c r="A6216" t="s">
        <v>1297</v>
      </c>
      <c r="B6216" t="s">
        <v>1298</v>
      </c>
      <c r="C6216" t="s">
        <v>664</v>
      </c>
      <c r="D6216" t="s">
        <v>1374</v>
      </c>
      <c r="E6216" t="s">
        <v>187</v>
      </c>
      <c r="F6216">
        <v>2012</v>
      </c>
      <c r="G6216">
        <v>1.2474829999999999</v>
      </c>
    </row>
    <row r="6217" spans="1:7">
      <c r="A6217" t="s">
        <v>1297</v>
      </c>
      <c r="B6217" t="s">
        <v>1298</v>
      </c>
      <c r="C6217" t="s">
        <v>664</v>
      </c>
      <c r="D6217" t="s">
        <v>1374</v>
      </c>
      <c r="E6217" t="s">
        <v>187</v>
      </c>
      <c r="F6217">
        <v>2016</v>
      </c>
      <c r="G6217">
        <v>1.9166540000000001</v>
      </c>
    </row>
    <row r="6218" spans="1:7">
      <c r="A6218" t="s">
        <v>1297</v>
      </c>
      <c r="B6218" t="s">
        <v>1298</v>
      </c>
      <c r="C6218" t="s">
        <v>664</v>
      </c>
      <c r="D6218" t="s">
        <v>1374</v>
      </c>
      <c r="E6218" t="s">
        <v>187</v>
      </c>
      <c r="F6218">
        <v>2020</v>
      </c>
      <c r="G6218">
        <v>1.721938</v>
      </c>
    </row>
    <row r="6219" spans="1:7">
      <c r="A6219" t="s">
        <v>1297</v>
      </c>
      <c r="B6219" t="s">
        <v>1298</v>
      </c>
      <c r="C6219" t="s">
        <v>1299</v>
      </c>
      <c r="D6219" t="s">
        <v>1374</v>
      </c>
      <c r="E6219" t="s">
        <v>187</v>
      </c>
      <c r="F6219">
        <v>2005</v>
      </c>
      <c r="G6219">
        <v>0.71640000000000004</v>
      </c>
    </row>
    <row r="6220" spans="1:7">
      <c r="A6220" t="s">
        <v>1297</v>
      </c>
      <c r="B6220" t="s">
        <v>1298</v>
      </c>
      <c r="C6220" t="s">
        <v>1299</v>
      </c>
      <c r="D6220" t="s">
        <v>1374</v>
      </c>
      <c r="E6220" t="s">
        <v>187</v>
      </c>
      <c r="F6220">
        <v>2012</v>
      </c>
      <c r="G6220">
        <v>2.4731999999999998</v>
      </c>
    </row>
    <row r="6221" spans="1:7">
      <c r="A6221" t="s">
        <v>1297</v>
      </c>
      <c r="B6221" t="s">
        <v>1298</v>
      </c>
      <c r="C6221" t="s">
        <v>1299</v>
      </c>
      <c r="D6221" t="s">
        <v>1374</v>
      </c>
      <c r="E6221" t="s">
        <v>187</v>
      </c>
      <c r="F6221">
        <v>2016</v>
      </c>
      <c r="G6221">
        <v>5.8788</v>
      </c>
    </row>
    <row r="6222" spans="1:7">
      <c r="A6222" t="s">
        <v>1297</v>
      </c>
      <c r="B6222" t="s">
        <v>1298</v>
      </c>
      <c r="C6222" t="s">
        <v>1299</v>
      </c>
      <c r="D6222" t="s">
        <v>1374</v>
      </c>
      <c r="E6222" t="s">
        <v>187</v>
      </c>
      <c r="F6222">
        <v>2020</v>
      </c>
      <c r="G6222">
        <v>6.6056400000000002</v>
      </c>
    </row>
    <row r="6223" spans="1:7">
      <c r="A6223" t="s">
        <v>1297</v>
      </c>
      <c r="B6223" t="s">
        <v>1298</v>
      </c>
      <c r="C6223" t="s">
        <v>289</v>
      </c>
      <c r="D6223" t="s">
        <v>1374</v>
      </c>
      <c r="E6223" t="s">
        <v>187</v>
      </c>
      <c r="F6223">
        <v>2005</v>
      </c>
      <c r="G6223">
        <v>0.53639999999999999</v>
      </c>
    </row>
    <row r="6224" spans="1:7">
      <c r="A6224" t="s">
        <v>1297</v>
      </c>
      <c r="B6224" t="s">
        <v>1298</v>
      </c>
      <c r="C6224" t="s">
        <v>289</v>
      </c>
      <c r="D6224" t="s">
        <v>1374</v>
      </c>
      <c r="E6224" t="s">
        <v>187</v>
      </c>
      <c r="F6224">
        <v>2010</v>
      </c>
      <c r="G6224">
        <v>0.54720000000000002</v>
      </c>
    </row>
    <row r="6225" spans="1:7">
      <c r="A6225" t="s">
        <v>1297</v>
      </c>
      <c r="B6225" t="s">
        <v>1298</v>
      </c>
      <c r="C6225" t="s">
        <v>289</v>
      </c>
      <c r="D6225" t="s">
        <v>1374</v>
      </c>
      <c r="E6225" t="s">
        <v>187</v>
      </c>
      <c r="F6225">
        <v>2012</v>
      </c>
      <c r="G6225">
        <v>0.83160000000000001</v>
      </c>
    </row>
    <row r="6226" spans="1:7">
      <c r="A6226" t="s">
        <v>1297</v>
      </c>
      <c r="B6226" t="s">
        <v>1298</v>
      </c>
      <c r="C6226" t="s">
        <v>289</v>
      </c>
      <c r="D6226" t="s">
        <v>1374</v>
      </c>
      <c r="E6226" t="s">
        <v>187</v>
      </c>
      <c r="F6226">
        <v>2016</v>
      </c>
      <c r="G6226">
        <v>1.0584</v>
      </c>
    </row>
    <row r="6227" spans="1:7">
      <c r="A6227" t="s">
        <v>1297</v>
      </c>
      <c r="B6227" t="s">
        <v>1298</v>
      </c>
      <c r="C6227" t="s">
        <v>289</v>
      </c>
      <c r="D6227" t="s">
        <v>1374</v>
      </c>
      <c r="E6227" t="s">
        <v>187</v>
      </c>
      <c r="F6227">
        <v>2020</v>
      </c>
      <c r="G6227">
        <v>0.54756000000000005</v>
      </c>
    </row>
    <row r="6228" spans="1:7">
      <c r="A6228" t="s">
        <v>1297</v>
      </c>
      <c r="B6228" t="s">
        <v>1298</v>
      </c>
      <c r="C6228" t="s">
        <v>656</v>
      </c>
      <c r="D6228" t="s">
        <v>1374</v>
      </c>
      <c r="E6228" t="s">
        <v>187</v>
      </c>
      <c r="F6228">
        <v>2005</v>
      </c>
      <c r="G6228">
        <v>34.250399999999999</v>
      </c>
    </row>
    <row r="6229" spans="1:7">
      <c r="A6229" t="s">
        <v>1297</v>
      </c>
      <c r="B6229" t="s">
        <v>1298</v>
      </c>
      <c r="C6229" t="s">
        <v>656</v>
      </c>
      <c r="D6229" t="s">
        <v>1374</v>
      </c>
      <c r="E6229" t="s">
        <v>187</v>
      </c>
      <c r="F6229">
        <v>2010</v>
      </c>
      <c r="G6229">
        <v>31.028400000000001</v>
      </c>
    </row>
    <row r="6230" spans="1:7">
      <c r="A6230" t="s">
        <v>1297</v>
      </c>
      <c r="B6230" t="s">
        <v>1298</v>
      </c>
      <c r="C6230" t="s">
        <v>656</v>
      </c>
      <c r="D6230" t="s">
        <v>1374</v>
      </c>
      <c r="E6230" t="s">
        <v>187</v>
      </c>
      <c r="F6230">
        <v>2012</v>
      </c>
      <c r="G6230">
        <v>29.235600000000002</v>
      </c>
    </row>
    <row r="6231" spans="1:7">
      <c r="A6231" t="s">
        <v>1297</v>
      </c>
      <c r="B6231" t="s">
        <v>1298</v>
      </c>
      <c r="C6231" t="s">
        <v>665</v>
      </c>
      <c r="D6231" t="s">
        <v>1374</v>
      </c>
      <c r="E6231" t="s">
        <v>187</v>
      </c>
      <c r="F6231">
        <v>2005</v>
      </c>
      <c r="G6231">
        <v>33.548400000000001</v>
      </c>
    </row>
    <row r="6232" spans="1:7">
      <c r="A6232" t="s">
        <v>1297</v>
      </c>
      <c r="B6232" t="s">
        <v>1298</v>
      </c>
      <c r="C6232" t="s">
        <v>665</v>
      </c>
      <c r="D6232" t="s">
        <v>1374</v>
      </c>
      <c r="E6232" t="s">
        <v>187</v>
      </c>
      <c r="F6232">
        <v>2010</v>
      </c>
      <c r="G6232">
        <v>16.030799999999999</v>
      </c>
    </row>
    <row r="6233" spans="1:7">
      <c r="A6233" t="s">
        <v>1297</v>
      </c>
      <c r="B6233" t="s">
        <v>1298</v>
      </c>
      <c r="C6233" t="s">
        <v>665</v>
      </c>
      <c r="D6233" t="s">
        <v>1374</v>
      </c>
      <c r="E6233" t="s">
        <v>187</v>
      </c>
      <c r="F6233">
        <v>2012</v>
      </c>
      <c r="G6233">
        <v>9.6804000000000006</v>
      </c>
    </row>
    <row r="6234" spans="1:7">
      <c r="A6234" t="s">
        <v>1297</v>
      </c>
      <c r="B6234" t="s">
        <v>1298</v>
      </c>
      <c r="C6234" t="s">
        <v>665</v>
      </c>
      <c r="D6234" t="s">
        <v>1374</v>
      </c>
      <c r="E6234" t="s">
        <v>187</v>
      </c>
      <c r="F6234">
        <v>2016</v>
      </c>
      <c r="G6234">
        <v>8.8848000000000003</v>
      </c>
    </row>
    <row r="6235" spans="1:7">
      <c r="A6235" t="s">
        <v>1297</v>
      </c>
      <c r="B6235" t="s">
        <v>1298</v>
      </c>
      <c r="C6235" t="s">
        <v>665</v>
      </c>
      <c r="D6235" t="s">
        <v>1374</v>
      </c>
      <c r="E6235" t="s">
        <v>187</v>
      </c>
      <c r="F6235">
        <v>2020</v>
      </c>
      <c r="G6235">
        <v>8.8891779999999994</v>
      </c>
    </row>
    <row r="6236" spans="1:7">
      <c r="A6236" t="s">
        <v>1297</v>
      </c>
      <c r="B6236" t="s">
        <v>1298</v>
      </c>
      <c r="C6236" t="s">
        <v>651</v>
      </c>
      <c r="D6236" t="s">
        <v>1374</v>
      </c>
      <c r="E6236" t="s">
        <v>187</v>
      </c>
      <c r="F6236">
        <v>2005</v>
      </c>
      <c r="G6236">
        <v>12.048901000000001</v>
      </c>
    </row>
    <row r="6237" spans="1:7">
      <c r="A6237" t="s">
        <v>1297</v>
      </c>
      <c r="B6237" t="s">
        <v>1298</v>
      </c>
      <c r="C6237" t="s">
        <v>651</v>
      </c>
      <c r="D6237" t="s">
        <v>1374</v>
      </c>
      <c r="E6237" t="s">
        <v>187</v>
      </c>
      <c r="F6237">
        <v>2010</v>
      </c>
      <c r="G6237">
        <v>16.643981</v>
      </c>
    </row>
    <row r="6238" spans="1:7">
      <c r="A6238" t="s">
        <v>1297</v>
      </c>
      <c r="B6238" t="s">
        <v>1298</v>
      </c>
      <c r="C6238" t="s">
        <v>651</v>
      </c>
      <c r="D6238" t="s">
        <v>1374</v>
      </c>
      <c r="E6238" t="s">
        <v>187</v>
      </c>
      <c r="F6238">
        <v>2012</v>
      </c>
      <c r="G6238">
        <v>20.296234999999999</v>
      </c>
    </row>
    <row r="6239" spans="1:7">
      <c r="A6239" t="s">
        <v>1297</v>
      </c>
      <c r="B6239" t="s">
        <v>1298</v>
      </c>
      <c r="C6239" t="s">
        <v>651</v>
      </c>
      <c r="D6239" t="s">
        <v>1374</v>
      </c>
      <c r="E6239" t="s">
        <v>187</v>
      </c>
      <c r="F6239">
        <v>2016</v>
      </c>
      <c r="G6239">
        <v>15.312593</v>
      </c>
    </row>
    <row r="6240" spans="1:7">
      <c r="A6240" t="s">
        <v>1297</v>
      </c>
      <c r="B6240" t="s">
        <v>1298</v>
      </c>
      <c r="C6240" t="s">
        <v>651</v>
      </c>
      <c r="D6240" t="s">
        <v>1374</v>
      </c>
      <c r="E6240" t="s">
        <v>187</v>
      </c>
      <c r="F6240">
        <v>2020</v>
      </c>
      <c r="G6240">
        <v>17.630071000000001</v>
      </c>
    </row>
    <row r="6241" spans="1:7">
      <c r="A6241" t="s">
        <v>1297</v>
      </c>
      <c r="B6241" t="s">
        <v>1298</v>
      </c>
      <c r="C6241" t="s">
        <v>686</v>
      </c>
      <c r="D6241" t="s">
        <v>1374</v>
      </c>
      <c r="E6241" t="s">
        <v>187</v>
      </c>
      <c r="F6241">
        <v>2005</v>
      </c>
      <c r="G6241">
        <v>3.4632000000000001</v>
      </c>
    </row>
    <row r="6242" spans="1:7">
      <c r="A6242" t="s">
        <v>1297</v>
      </c>
      <c r="B6242" t="s">
        <v>1298</v>
      </c>
      <c r="C6242" t="s">
        <v>686</v>
      </c>
      <c r="D6242" t="s">
        <v>1374</v>
      </c>
      <c r="E6242" t="s">
        <v>187</v>
      </c>
      <c r="F6242">
        <v>2010</v>
      </c>
      <c r="G6242">
        <v>3.7764000000000002</v>
      </c>
    </row>
    <row r="6243" spans="1:7">
      <c r="A6243" t="s">
        <v>1297</v>
      </c>
      <c r="B6243" t="s">
        <v>1298</v>
      </c>
      <c r="C6243" t="s">
        <v>686</v>
      </c>
      <c r="D6243" t="s">
        <v>1374</v>
      </c>
      <c r="E6243" t="s">
        <v>187</v>
      </c>
      <c r="F6243">
        <v>2012</v>
      </c>
      <c r="G6243">
        <v>3.1463999999999999</v>
      </c>
    </row>
    <row r="6244" spans="1:7">
      <c r="A6244" t="s">
        <v>1297</v>
      </c>
      <c r="B6244" t="s">
        <v>1298</v>
      </c>
      <c r="C6244" t="s">
        <v>686</v>
      </c>
      <c r="D6244" t="s">
        <v>1374</v>
      </c>
      <c r="E6244" t="s">
        <v>187</v>
      </c>
      <c r="F6244">
        <v>2016</v>
      </c>
      <c r="G6244">
        <v>3.7044000000000001</v>
      </c>
    </row>
    <row r="6245" spans="1:7">
      <c r="A6245" t="s">
        <v>1297</v>
      </c>
      <c r="B6245" t="s">
        <v>1298</v>
      </c>
      <c r="C6245" t="s">
        <v>686</v>
      </c>
      <c r="D6245" t="s">
        <v>1374</v>
      </c>
      <c r="E6245" t="s">
        <v>187</v>
      </c>
      <c r="F6245">
        <v>2020</v>
      </c>
      <c r="G6245">
        <v>3.9481449999999998</v>
      </c>
    </row>
    <row r="6246" spans="1:7">
      <c r="A6246" t="s">
        <v>1297</v>
      </c>
      <c r="B6246" t="s">
        <v>1298</v>
      </c>
      <c r="C6246" t="s">
        <v>659</v>
      </c>
      <c r="D6246" t="s">
        <v>1374</v>
      </c>
      <c r="E6246" t="s">
        <v>187</v>
      </c>
      <c r="F6246">
        <v>2005</v>
      </c>
      <c r="G6246">
        <v>22.896000000000001</v>
      </c>
    </row>
    <row r="6247" spans="1:7">
      <c r="A6247" t="s">
        <v>1297</v>
      </c>
      <c r="B6247" t="s">
        <v>1298</v>
      </c>
      <c r="C6247" t="s">
        <v>659</v>
      </c>
      <c r="D6247" t="s">
        <v>1374</v>
      </c>
      <c r="E6247" t="s">
        <v>187</v>
      </c>
      <c r="F6247">
        <v>2010</v>
      </c>
      <c r="G6247">
        <v>16.0488</v>
      </c>
    </row>
    <row r="6248" spans="1:7">
      <c r="A6248" t="s">
        <v>1297</v>
      </c>
      <c r="B6248" t="s">
        <v>1298</v>
      </c>
      <c r="C6248" t="s">
        <v>659</v>
      </c>
      <c r="D6248" t="s">
        <v>1374</v>
      </c>
      <c r="E6248" t="s">
        <v>187</v>
      </c>
      <c r="F6248">
        <v>2012</v>
      </c>
      <c r="G6248">
        <v>18.082799999999999</v>
      </c>
    </row>
    <row r="6249" spans="1:7">
      <c r="A6249" t="s">
        <v>1297</v>
      </c>
      <c r="B6249" t="s">
        <v>1298</v>
      </c>
      <c r="C6249" t="s">
        <v>659</v>
      </c>
      <c r="D6249" t="s">
        <v>1374</v>
      </c>
      <c r="E6249" t="s">
        <v>187</v>
      </c>
      <c r="F6249">
        <v>2016</v>
      </c>
      <c r="G6249">
        <v>17.348400000000002</v>
      </c>
    </row>
    <row r="6250" spans="1:7">
      <c r="A6250" t="s">
        <v>1297</v>
      </c>
      <c r="B6250" t="s">
        <v>1298</v>
      </c>
      <c r="C6250" t="s">
        <v>659</v>
      </c>
      <c r="D6250" t="s">
        <v>1374</v>
      </c>
      <c r="E6250" t="s">
        <v>187</v>
      </c>
      <c r="F6250">
        <v>2020</v>
      </c>
      <c r="G6250">
        <v>10.89</v>
      </c>
    </row>
    <row r="6251" spans="1:7">
      <c r="A6251" t="s">
        <v>1297</v>
      </c>
      <c r="B6251" t="s">
        <v>1298</v>
      </c>
      <c r="C6251" t="s">
        <v>652</v>
      </c>
      <c r="D6251" t="s">
        <v>1374</v>
      </c>
      <c r="E6251" t="s">
        <v>187</v>
      </c>
      <c r="F6251">
        <v>2005</v>
      </c>
      <c r="G6251">
        <v>6.39</v>
      </c>
    </row>
    <row r="6252" spans="1:7">
      <c r="A6252" t="s">
        <v>1297</v>
      </c>
      <c r="B6252" t="s">
        <v>1298</v>
      </c>
      <c r="C6252" t="s">
        <v>652</v>
      </c>
      <c r="D6252" t="s">
        <v>1374</v>
      </c>
      <c r="E6252" t="s">
        <v>187</v>
      </c>
      <c r="F6252">
        <v>2010</v>
      </c>
      <c r="G6252">
        <v>6.4295999999999998</v>
      </c>
    </row>
    <row r="6253" spans="1:7">
      <c r="A6253" t="s">
        <v>1297</v>
      </c>
      <c r="B6253" t="s">
        <v>1298</v>
      </c>
      <c r="C6253" t="s">
        <v>652</v>
      </c>
      <c r="D6253" t="s">
        <v>1374</v>
      </c>
      <c r="E6253" t="s">
        <v>187</v>
      </c>
      <c r="F6253">
        <v>2012</v>
      </c>
      <c r="G6253">
        <v>6.1955999999999998</v>
      </c>
    </row>
    <row r="6254" spans="1:7">
      <c r="A6254" t="s">
        <v>1297</v>
      </c>
      <c r="B6254" t="s">
        <v>1298</v>
      </c>
      <c r="C6254" t="s">
        <v>652</v>
      </c>
      <c r="D6254" t="s">
        <v>1374</v>
      </c>
      <c r="E6254" t="s">
        <v>187</v>
      </c>
      <c r="F6254">
        <v>2016</v>
      </c>
      <c r="G6254">
        <v>5.31</v>
      </c>
    </row>
    <row r="6255" spans="1:7">
      <c r="A6255" t="s">
        <v>1297</v>
      </c>
      <c r="B6255" t="s">
        <v>1298</v>
      </c>
      <c r="C6255" t="s">
        <v>652</v>
      </c>
      <c r="D6255" t="s">
        <v>1374</v>
      </c>
      <c r="E6255" t="s">
        <v>187</v>
      </c>
      <c r="F6255">
        <v>2020</v>
      </c>
      <c r="G6255">
        <v>4.1839199999999996</v>
      </c>
    </row>
    <row r="6256" spans="1:7">
      <c r="A6256" t="s">
        <v>1297</v>
      </c>
      <c r="B6256" t="s">
        <v>1298</v>
      </c>
      <c r="C6256" t="s">
        <v>655</v>
      </c>
      <c r="D6256" t="s">
        <v>1374</v>
      </c>
      <c r="E6256" t="s">
        <v>187</v>
      </c>
      <c r="F6256">
        <v>2005</v>
      </c>
      <c r="G6256">
        <v>3.1212</v>
      </c>
    </row>
    <row r="6257" spans="1:7">
      <c r="A6257" t="s">
        <v>1297</v>
      </c>
      <c r="B6257" t="s">
        <v>1298</v>
      </c>
      <c r="C6257" t="s">
        <v>655</v>
      </c>
      <c r="D6257" t="s">
        <v>1374</v>
      </c>
      <c r="E6257" t="s">
        <v>187</v>
      </c>
      <c r="F6257">
        <v>2010</v>
      </c>
      <c r="G6257">
        <v>2.9186860000000001</v>
      </c>
    </row>
    <row r="6258" spans="1:7">
      <c r="A6258" t="s">
        <v>1297</v>
      </c>
      <c r="B6258" t="s">
        <v>1298</v>
      </c>
      <c r="C6258" t="s">
        <v>655</v>
      </c>
      <c r="D6258" t="s">
        <v>1374</v>
      </c>
      <c r="E6258" t="s">
        <v>187</v>
      </c>
      <c r="F6258">
        <v>2012</v>
      </c>
      <c r="G6258">
        <v>3.5881599999999998</v>
      </c>
    </row>
    <row r="6259" spans="1:7">
      <c r="A6259" t="s">
        <v>1297</v>
      </c>
      <c r="B6259" t="s">
        <v>1298</v>
      </c>
      <c r="C6259" t="s">
        <v>655</v>
      </c>
      <c r="D6259" t="s">
        <v>1374</v>
      </c>
      <c r="E6259" t="s">
        <v>187</v>
      </c>
      <c r="F6259">
        <v>2016</v>
      </c>
      <c r="G6259">
        <v>5.6947359999999998</v>
      </c>
    </row>
    <row r="6260" spans="1:7">
      <c r="A6260" t="s">
        <v>1297</v>
      </c>
      <c r="B6260" t="s">
        <v>1298</v>
      </c>
      <c r="C6260" t="s">
        <v>655</v>
      </c>
      <c r="D6260" t="s">
        <v>1374</v>
      </c>
      <c r="E6260" t="s">
        <v>187</v>
      </c>
      <c r="F6260">
        <v>2020</v>
      </c>
      <c r="G6260">
        <v>5.5115930000000004</v>
      </c>
    </row>
    <row r="6261" spans="1:7">
      <c r="A6261" t="s">
        <v>1297</v>
      </c>
      <c r="B6261" t="s">
        <v>1298</v>
      </c>
      <c r="C6261" t="s">
        <v>667</v>
      </c>
      <c r="D6261" t="s">
        <v>1374</v>
      </c>
      <c r="E6261" t="s">
        <v>187</v>
      </c>
      <c r="F6261">
        <v>2005</v>
      </c>
      <c r="G6261">
        <v>3.9768910000000002</v>
      </c>
    </row>
    <row r="6262" spans="1:7">
      <c r="A6262" t="s">
        <v>1297</v>
      </c>
      <c r="B6262" t="s">
        <v>1298</v>
      </c>
      <c r="C6262" t="s">
        <v>667</v>
      </c>
      <c r="D6262" t="s">
        <v>1374</v>
      </c>
      <c r="E6262" t="s">
        <v>187</v>
      </c>
      <c r="F6262">
        <v>2010</v>
      </c>
      <c r="G6262">
        <v>6.8324939999999996</v>
      </c>
    </row>
    <row r="6263" spans="1:7">
      <c r="A6263" t="s">
        <v>1297</v>
      </c>
      <c r="B6263" t="s">
        <v>1298</v>
      </c>
      <c r="C6263" t="s">
        <v>667</v>
      </c>
      <c r="D6263" t="s">
        <v>1374</v>
      </c>
      <c r="E6263" t="s">
        <v>187</v>
      </c>
      <c r="F6263">
        <v>2012</v>
      </c>
      <c r="G6263">
        <v>5.4835339999999997</v>
      </c>
    </row>
    <row r="6264" spans="1:7">
      <c r="A6264" t="s">
        <v>1297</v>
      </c>
      <c r="B6264" t="s">
        <v>1298</v>
      </c>
      <c r="C6264" t="s">
        <v>667</v>
      </c>
      <c r="D6264" t="s">
        <v>1374</v>
      </c>
      <c r="E6264" t="s">
        <v>187</v>
      </c>
      <c r="F6264">
        <v>2016</v>
      </c>
      <c r="G6264">
        <v>6.9930500000000002</v>
      </c>
    </row>
    <row r="6265" spans="1:7">
      <c r="A6265" t="s">
        <v>1297</v>
      </c>
      <c r="B6265" t="s">
        <v>1298</v>
      </c>
      <c r="C6265" t="s">
        <v>667</v>
      </c>
      <c r="D6265" t="s">
        <v>1374</v>
      </c>
      <c r="E6265" t="s">
        <v>187</v>
      </c>
      <c r="F6265">
        <v>2020</v>
      </c>
      <c r="G6265">
        <v>4.3319840000000003</v>
      </c>
    </row>
    <row r="6266" spans="1:7">
      <c r="A6266" t="s">
        <v>1297</v>
      </c>
      <c r="B6266" t="s">
        <v>1298</v>
      </c>
      <c r="C6266" t="s">
        <v>677</v>
      </c>
      <c r="D6266" t="s">
        <v>1374</v>
      </c>
      <c r="E6266" t="s">
        <v>187</v>
      </c>
      <c r="F6266">
        <v>2005</v>
      </c>
      <c r="G6266">
        <v>13.3452</v>
      </c>
    </row>
    <row r="6267" spans="1:7">
      <c r="A6267" t="s">
        <v>1297</v>
      </c>
      <c r="B6267" t="s">
        <v>1298</v>
      </c>
      <c r="C6267" t="s">
        <v>677</v>
      </c>
      <c r="D6267" t="s">
        <v>1374</v>
      </c>
      <c r="E6267" t="s">
        <v>187</v>
      </c>
      <c r="F6267">
        <v>2010</v>
      </c>
      <c r="G6267">
        <v>15.163301000000001</v>
      </c>
    </row>
    <row r="6268" spans="1:7">
      <c r="A6268" t="s">
        <v>1297</v>
      </c>
      <c r="B6268" t="s">
        <v>1298</v>
      </c>
      <c r="C6268" t="s">
        <v>677</v>
      </c>
      <c r="D6268" t="s">
        <v>1374</v>
      </c>
      <c r="E6268" t="s">
        <v>187</v>
      </c>
      <c r="F6268">
        <v>2012</v>
      </c>
      <c r="G6268">
        <v>14.319896</v>
      </c>
    </row>
    <row r="6269" spans="1:7">
      <c r="A6269" t="s">
        <v>1297</v>
      </c>
      <c r="B6269" t="s">
        <v>1298</v>
      </c>
      <c r="C6269" t="s">
        <v>677</v>
      </c>
      <c r="D6269" t="s">
        <v>1374</v>
      </c>
      <c r="E6269" t="s">
        <v>187</v>
      </c>
      <c r="F6269">
        <v>2016</v>
      </c>
      <c r="G6269">
        <v>14.451624000000001</v>
      </c>
    </row>
    <row r="6270" spans="1:7">
      <c r="A6270" t="s">
        <v>1297</v>
      </c>
      <c r="B6270" t="s">
        <v>1298</v>
      </c>
      <c r="C6270" t="s">
        <v>677</v>
      </c>
      <c r="D6270" t="s">
        <v>1374</v>
      </c>
      <c r="E6270" t="s">
        <v>187</v>
      </c>
      <c r="F6270">
        <v>2020</v>
      </c>
      <c r="G6270">
        <v>7.6149319999999996</v>
      </c>
    </row>
    <row r="6271" spans="1:7">
      <c r="A6271" t="s">
        <v>1297</v>
      </c>
      <c r="B6271" t="s">
        <v>1298</v>
      </c>
      <c r="C6271" t="s">
        <v>661</v>
      </c>
      <c r="D6271" t="s">
        <v>1374</v>
      </c>
      <c r="E6271" t="s">
        <v>187</v>
      </c>
      <c r="F6271">
        <v>2005</v>
      </c>
      <c r="G6271">
        <v>23.904</v>
      </c>
    </row>
    <row r="6272" spans="1:7">
      <c r="A6272" t="s">
        <v>1297</v>
      </c>
      <c r="B6272" t="s">
        <v>1298</v>
      </c>
      <c r="C6272" t="s">
        <v>661</v>
      </c>
      <c r="D6272" t="s">
        <v>1374</v>
      </c>
      <c r="E6272" t="s">
        <v>187</v>
      </c>
      <c r="F6272">
        <v>2010</v>
      </c>
      <c r="G6272">
        <v>23.8536</v>
      </c>
    </row>
    <row r="6273" spans="1:7">
      <c r="A6273" t="s">
        <v>1297</v>
      </c>
      <c r="B6273" t="s">
        <v>1298</v>
      </c>
      <c r="C6273" t="s">
        <v>661</v>
      </c>
      <c r="D6273" t="s">
        <v>1374</v>
      </c>
      <c r="E6273" t="s">
        <v>187</v>
      </c>
      <c r="F6273">
        <v>2012</v>
      </c>
      <c r="G6273">
        <v>24.446653000000001</v>
      </c>
    </row>
    <row r="6274" spans="1:7">
      <c r="A6274" t="s">
        <v>1297</v>
      </c>
      <c r="B6274" t="s">
        <v>1298</v>
      </c>
      <c r="C6274" t="s">
        <v>661</v>
      </c>
      <c r="D6274" t="s">
        <v>1374</v>
      </c>
      <c r="E6274" t="s">
        <v>187</v>
      </c>
      <c r="F6274">
        <v>2016</v>
      </c>
      <c r="G6274">
        <v>24.313801999999999</v>
      </c>
    </row>
    <row r="6275" spans="1:7">
      <c r="A6275" t="s">
        <v>1297</v>
      </c>
      <c r="B6275" t="s">
        <v>1298</v>
      </c>
      <c r="C6275" t="s">
        <v>661</v>
      </c>
      <c r="D6275" t="s">
        <v>1374</v>
      </c>
      <c r="E6275" t="s">
        <v>187</v>
      </c>
      <c r="F6275">
        <v>2020</v>
      </c>
      <c r="G6275">
        <v>23.456786000000001</v>
      </c>
    </row>
    <row r="6276" spans="1:7">
      <c r="A6276" t="s">
        <v>1297</v>
      </c>
      <c r="B6276" t="s">
        <v>1298</v>
      </c>
      <c r="C6276" t="s">
        <v>680</v>
      </c>
      <c r="D6276" t="s">
        <v>1374</v>
      </c>
      <c r="E6276" t="s">
        <v>187</v>
      </c>
      <c r="F6276">
        <v>2005</v>
      </c>
      <c r="G6276">
        <v>0.61199999999999999</v>
      </c>
    </row>
    <row r="6277" spans="1:7">
      <c r="A6277" t="s">
        <v>1297</v>
      </c>
      <c r="B6277" t="s">
        <v>1298</v>
      </c>
      <c r="C6277" t="s">
        <v>680</v>
      </c>
      <c r="D6277" t="s">
        <v>1374</v>
      </c>
      <c r="E6277" t="s">
        <v>187</v>
      </c>
      <c r="F6277">
        <v>2010</v>
      </c>
      <c r="G6277">
        <v>0.66959999999999997</v>
      </c>
    </row>
    <row r="6278" spans="1:7">
      <c r="A6278" t="s">
        <v>1297</v>
      </c>
      <c r="B6278" t="s">
        <v>1298</v>
      </c>
      <c r="C6278" t="s">
        <v>680</v>
      </c>
      <c r="D6278" t="s">
        <v>1374</v>
      </c>
      <c r="E6278" t="s">
        <v>187</v>
      </c>
      <c r="F6278">
        <v>2012</v>
      </c>
      <c r="G6278">
        <v>0.69840000000000002</v>
      </c>
    </row>
    <row r="6279" spans="1:7">
      <c r="A6279" t="s">
        <v>1297</v>
      </c>
      <c r="B6279" t="s">
        <v>1298</v>
      </c>
      <c r="C6279" t="s">
        <v>680</v>
      </c>
      <c r="D6279" t="s">
        <v>1374</v>
      </c>
      <c r="E6279" t="s">
        <v>187</v>
      </c>
      <c r="F6279">
        <v>2016</v>
      </c>
      <c r="G6279">
        <v>0.73440000000000005</v>
      </c>
    </row>
    <row r="6280" spans="1:7">
      <c r="A6280" t="s">
        <v>1297</v>
      </c>
      <c r="B6280" t="s">
        <v>1298</v>
      </c>
      <c r="C6280" t="s">
        <v>680</v>
      </c>
      <c r="D6280" t="s">
        <v>1374</v>
      </c>
      <c r="E6280" t="s">
        <v>187</v>
      </c>
      <c r="F6280">
        <v>2020</v>
      </c>
      <c r="G6280">
        <v>0.67303100000000005</v>
      </c>
    </row>
    <row r="6281" spans="1:7">
      <c r="A6281" t="s">
        <v>1297</v>
      </c>
      <c r="B6281" t="s">
        <v>1298</v>
      </c>
      <c r="C6281" t="s">
        <v>663</v>
      </c>
      <c r="D6281" t="s">
        <v>1374</v>
      </c>
      <c r="E6281" t="s">
        <v>187</v>
      </c>
      <c r="F6281">
        <v>2020</v>
      </c>
      <c r="G6281">
        <v>8.2799999999999999E-2</v>
      </c>
    </row>
    <row r="6282" spans="1:7">
      <c r="A6282" t="s">
        <v>1297</v>
      </c>
      <c r="B6282" t="s">
        <v>1298</v>
      </c>
      <c r="C6282" t="s">
        <v>672</v>
      </c>
      <c r="D6282" t="s">
        <v>1374</v>
      </c>
      <c r="E6282" t="s">
        <v>187</v>
      </c>
      <c r="F6282">
        <v>2005</v>
      </c>
      <c r="G6282">
        <v>2.0448</v>
      </c>
    </row>
    <row r="6283" spans="1:7">
      <c r="A6283" t="s">
        <v>1297</v>
      </c>
      <c r="B6283" t="s">
        <v>1298</v>
      </c>
      <c r="C6283" t="s">
        <v>672</v>
      </c>
      <c r="D6283" t="s">
        <v>1374</v>
      </c>
      <c r="E6283" t="s">
        <v>187</v>
      </c>
      <c r="F6283">
        <v>2010</v>
      </c>
      <c r="G6283">
        <v>1.8431999999999999</v>
      </c>
    </row>
    <row r="6284" spans="1:7">
      <c r="A6284" t="s">
        <v>1297</v>
      </c>
      <c r="B6284" t="s">
        <v>1298</v>
      </c>
      <c r="C6284" t="s">
        <v>672</v>
      </c>
      <c r="D6284" t="s">
        <v>1374</v>
      </c>
      <c r="E6284" t="s">
        <v>187</v>
      </c>
      <c r="F6284">
        <v>2012</v>
      </c>
      <c r="G6284">
        <v>4.7915999999999999</v>
      </c>
    </row>
    <row r="6285" spans="1:7">
      <c r="A6285" t="s">
        <v>1297</v>
      </c>
      <c r="B6285" t="s">
        <v>1298</v>
      </c>
      <c r="C6285" t="s">
        <v>672</v>
      </c>
      <c r="D6285" t="s">
        <v>1374</v>
      </c>
      <c r="E6285" t="s">
        <v>187</v>
      </c>
      <c r="F6285">
        <v>2016</v>
      </c>
      <c r="G6285">
        <v>5.4720000000000004</v>
      </c>
    </row>
    <row r="6286" spans="1:7">
      <c r="A6286" t="s">
        <v>1297</v>
      </c>
      <c r="B6286" t="s">
        <v>1298</v>
      </c>
      <c r="C6286" t="s">
        <v>672</v>
      </c>
      <c r="D6286" t="s">
        <v>1374</v>
      </c>
      <c r="E6286" t="s">
        <v>187</v>
      </c>
      <c r="F6286">
        <v>2020</v>
      </c>
      <c r="G6286">
        <v>6.5761560000000001</v>
      </c>
    </row>
    <row r="6287" spans="1:7">
      <c r="A6287" t="s">
        <v>1297</v>
      </c>
      <c r="B6287" t="s">
        <v>1298</v>
      </c>
      <c r="C6287" t="s">
        <v>676</v>
      </c>
      <c r="D6287" t="s">
        <v>1374</v>
      </c>
      <c r="E6287" t="s">
        <v>187</v>
      </c>
      <c r="F6287">
        <v>2005</v>
      </c>
      <c r="G6287">
        <v>0.56879999999999997</v>
      </c>
    </row>
    <row r="6288" spans="1:7">
      <c r="A6288" t="s">
        <v>1297</v>
      </c>
      <c r="B6288" t="s">
        <v>1298</v>
      </c>
      <c r="C6288" t="s">
        <v>676</v>
      </c>
      <c r="D6288" t="s">
        <v>1374</v>
      </c>
      <c r="E6288" t="s">
        <v>187</v>
      </c>
      <c r="F6288">
        <v>2010</v>
      </c>
      <c r="G6288">
        <v>1.9403999999999999</v>
      </c>
    </row>
    <row r="6289" spans="1:7">
      <c r="A6289" t="s">
        <v>1297</v>
      </c>
      <c r="B6289" t="s">
        <v>1298</v>
      </c>
      <c r="C6289" t="s">
        <v>676</v>
      </c>
      <c r="D6289" t="s">
        <v>1374</v>
      </c>
      <c r="E6289" t="s">
        <v>187</v>
      </c>
      <c r="F6289">
        <v>2012</v>
      </c>
      <c r="G6289">
        <v>1.3535999999999999</v>
      </c>
    </row>
    <row r="6290" spans="1:7">
      <c r="A6290" t="s">
        <v>1297</v>
      </c>
      <c r="B6290" t="s">
        <v>1298</v>
      </c>
      <c r="C6290" t="s">
        <v>676</v>
      </c>
      <c r="D6290" t="s">
        <v>1374</v>
      </c>
      <c r="E6290" t="s">
        <v>187</v>
      </c>
      <c r="F6290">
        <v>2016</v>
      </c>
      <c r="G6290">
        <v>1.26</v>
      </c>
    </row>
    <row r="6291" spans="1:7">
      <c r="A6291" t="s">
        <v>1297</v>
      </c>
      <c r="B6291" t="s">
        <v>1298</v>
      </c>
      <c r="C6291" t="s">
        <v>676</v>
      </c>
      <c r="D6291" t="s">
        <v>1374</v>
      </c>
      <c r="E6291" t="s">
        <v>187</v>
      </c>
      <c r="F6291">
        <v>2020</v>
      </c>
      <c r="G6291">
        <v>1.2636000000000001</v>
      </c>
    </row>
    <row r="6292" spans="1:7">
      <c r="A6292" t="s">
        <v>1297</v>
      </c>
      <c r="B6292" t="s">
        <v>1298</v>
      </c>
      <c r="C6292" t="s">
        <v>666</v>
      </c>
      <c r="D6292" t="s">
        <v>1374</v>
      </c>
      <c r="E6292" t="s">
        <v>187</v>
      </c>
      <c r="F6292">
        <v>2005</v>
      </c>
      <c r="G6292">
        <v>1.8864000000000001</v>
      </c>
    </row>
    <row r="6293" spans="1:7">
      <c r="A6293" t="s">
        <v>1297</v>
      </c>
      <c r="B6293" t="s">
        <v>1298</v>
      </c>
      <c r="C6293" t="s">
        <v>666</v>
      </c>
      <c r="D6293" t="s">
        <v>1374</v>
      </c>
      <c r="E6293" t="s">
        <v>187</v>
      </c>
      <c r="F6293">
        <v>2010</v>
      </c>
      <c r="G6293">
        <v>3.69</v>
      </c>
    </row>
    <row r="6294" spans="1:7">
      <c r="A6294" t="s">
        <v>1297</v>
      </c>
      <c r="B6294" t="s">
        <v>1298</v>
      </c>
      <c r="C6294" t="s">
        <v>666</v>
      </c>
      <c r="D6294" t="s">
        <v>1374</v>
      </c>
      <c r="E6294" t="s">
        <v>187</v>
      </c>
      <c r="F6294">
        <v>2012</v>
      </c>
      <c r="G6294">
        <v>2.5236000000000001</v>
      </c>
    </row>
    <row r="6295" spans="1:7">
      <c r="A6295" t="s">
        <v>1297</v>
      </c>
      <c r="B6295" t="s">
        <v>1298</v>
      </c>
      <c r="C6295" t="s">
        <v>666</v>
      </c>
      <c r="D6295" t="s">
        <v>1374</v>
      </c>
      <c r="E6295" t="s">
        <v>187</v>
      </c>
      <c r="F6295">
        <v>2016</v>
      </c>
      <c r="G6295">
        <v>2.8548</v>
      </c>
    </row>
    <row r="6296" spans="1:7">
      <c r="A6296" t="s">
        <v>1297</v>
      </c>
      <c r="B6296" t="s">
        <v>1298</v>
      </c>
      <c r="C6296" t="s">
        <v>666</v>
      </c>
      <c r="D6296" t="s">
        <v>1374</v>
      </c>
      <c r="E6296" t="s">
        <v>187</v>
      </c>
      <c r="F6296">
        <v>2020</v>
      </c>
      <c r="G6296">
        <v>2.9260799999999998</v>
      </c>
    </row>
    <row r="6297" spans="1:7">
      <c r="A6297" t="s">
        <v>1297</v>
      </c>
      <c r="B6297" t="s">
        <v>1298</v>
      </c>
      <c r="C6297" t="s">
        <v>660</v>
      </c>
      <c r="D6297" t="s">
        <v>1374</v>
      </c>
      <c r="E6297" t="s">
        <v>187</v>
      </c>
      <c r="F6297">
        <v>2005</v>
      </c>
      <c r="G6297">
        <v>7.5600000000000001E-2</v>
      </c>
    </row>
    <row r="6298" spans="1:7">
      <c r="A6298" t="s">
        <v>1297</v>
      </c>
      <c r="B6298" t="s">
        <v>1298</v>
      </c>
      <c r="C6298" t="s">
        <v>660</v>
      </c>
      <c r="D6298" t="s">
        <v>1374</v>
      </c>
      <c r="E6298" t="s">
        <v>187</v>
      </c>
      <c r="F6298">
        <v>2010</v>
      </c>
      <c r="G6298">
        <v>0.60840000000000005</v>
      </c>
    </row>
    <row r="6299" spans="1:7">
      <c r="A6299" t="s">
        <v>1297</v>
      </c>
      <c r="B6299" t="s">
        <v>1298</v>
      </c>
      <c r="C6299" t="s">
        <v>660</v>
      </c>
      <c r="D6299" t="s">
        <v>1374</v>
      </c>
      <c r="E6299" t="s">
        <v>187</v>
      </c>
      <c r="F6299">
        <v>2012</v>
      </c>
      <c r="G6299">
        <v>0.74160000000000004</v>
      </c>
    </row>
    <row r="6300" spans="1:7">
      <c r="A6300" t="s">
        <v>1297</v>
      </c>
      <c r="B6300" t="s">
        <v>1298</v>
      </c>
      <c r="C6300" t="s">
        <v>660</v>
      </c>
      <c r="D6300" t="s">
        <v>1374</v>
      </c>
      <c r="E6300" t="s">
        <v>187</v>
      </c>
      <c r="F6300">
        <v>2016</v>
      </c>
      <c r="G6300">
        <v>1.4004000000000001</v>
      </c>
    </row>
    <row r="6301" spans="1:7">
      <c r="A6301" t="s">
        <v>1297</v>
      </c>
      <c r="B6301" t="s">
        <v>1298</v>
      </c>
      <c r="C6301" t="s">
        <v>660</v>
      </c>
      <c r="D6301" t="s">
        <v>1374</v>
      </c>
      <c r="E6301" t="s">
        <v>187</v>
      </c>
      <c r="F6301">
        <v>2020</v>
      </c>
      <c r="G6301">
        <v>1.4039999999999999</v>
      </c>
    </row>
    <row r="6302" spans="1:7">
      <c r="A6302" t="s">
        <v>1297</v>
      </c>
      <c r="B6302" t="s">
        <v>1298</v>
      </c>
      <c r="C6302" t="s">
        <v>682</v>
      </c>
      <c r="D6302" t="s">
        <v>1374</v>
      </c>
      <c r="E6302" t="s">
        <v>187</v>
      </c>
      <c r="F6302">
        <v>2020</v>
      </c>
      <c r="G6302">
        <v>0.34560000000000002</v>
      </c>
    </row>
    <row r="6303" spans="1:7">
      <c r="A6303" t="s">
        <v>1297</v>
      </c>
      <c r="B6303" t="s">
        <v>1298</v>
      </c>
      <c r="C6303" t="s">
        <v>671</v>
      </c>
      <c r="D6303" t="s">
        <v>1374</v>
      </c>
      <c r="E6303" t="s">
        <v>187</v>
      </c>
      <c r="F6303">
        <v>2005</v>
      </c>
      <c r="G6303">
        <v>7.9451999999999998</v>
      </c>
    </row>
    <row r="6304" spans="1:7">
      <c r="A6304" t="s">
        <v>1297</v>
      </c>
      <c r="B6304" t="s">
        <v>1298</v>
      </c>
      <c r="C6304" t="s">
        <v>671</v>
      </c>
      <c r="D6304" t="s">
        <v>1374</v>
      </c>
      <c r="E6304" t="s">
        <v>187</v>
      </c>
      <c r="F6304">
        <v>2010</v>
      </c>
      <c r="G6304">
        <v>2.9807999999999999</v>
      </c>
    </row>
    <row r="6305" spans="1:7">
      <c r="A6305" t="s">
        <v>1297</v>
      </c>
      <c r="B6305" t="s">
        <v>1298</v>
      </c>
      <c r="C6305" t="s">
        <v>671</v>
      </c>
      <c r="D6305" t="s">
        <v>1374</v>
      </c>
      <c r="E6305" t="s">
        <v>187</v>
      </c>
      <c r="F6305">
        <v>2012</v>
      </c>
      <c r="G6305">
        <v>2.3292000000000002</v>
      </c>
    </row>
    <row r="6306" spans="1:7">
      <c r="A6306" t="s">
        <v>1297</v>
      </c>
      <c r="B6306" t="s">
        <v>1298</v>
      </c>
      <c r="C6306" t="s">
        <v>671</v>
      </c>
      <c r="D6306" t="s">
        <v>1374</v>
      </c>
      <c r="E6306" t="s">
        <v>187</v>
      </c>
      <c r="F6306">
        <v>2016</v>
      </c>
      <c r="G6306">
        <v>2.6802000000000001</v>
      </c>
    </row>
    <row r="6307" spans="1:7">
      <c r="A6307" t="s">
        <v>1297</v>
      </c>
      <c r="B6307" t="s">
        <v>1298</v>
      </c>
      <c r="C6307" t="s">
        <v>671</v>
      </c>
      <c r="D6307" t="s">
        <v>1374</v>
      </c>
      <c r="E6307" t="s">
        <v>187</v>
      </c>
      <c r="F6307">
        <v>2020</v>
      </c>
      <c r="G6307">
        <v>3.7186599999999999</v>
      </c>
    </row>
    <row r="6308" spans="1:7">
      <c r="A6308" t="s">
        <v>1297</v>
      </c>
      <c r="B6308" t="s">
        <v>1298</v>
      </c>
      <c r="C6308" t="s">
        <v>679</v>
      </c>
      <c r="D6308" t="s">
        <v>1374</v>
      </c>
      <c r="E6308" t="s">
        <v>187</v>
      </c>
      <c r="F6308">
        <v>2005</v>
      </c>
      <c r="G6308">
        <v>6.4512</v>
      </c>
    </row>
    <row r="6309" spans="1:7">
      <c r="A6309" t="s">
        <v>1297</v>
      </c>
      <c r="B6309" t="s">
        <v>1298</v>
      </c>
      <c r="C6309" t="s">
        <v>679</v>
      </c>
      <c r="D6309" t="s">
        <v>1374</v>
      </c>
      <c r="E6309" t="s">
        <v>187</v>
      </c>
      <c r="F6309">
        <v>2010</v>
      </c>
      <c r="G6309">
        <v>5.2092000000000001</v>
      </c>
    </row>
    <row r="6310" spans="1:7">
      <c r="A6310" t="s">
        <v>1297</v>
      </c>
      <c r="B6310" t="s">
        <v>1298</v>
      </c>
      <c r="C6310" t="s">
        <v>679</v>
      </c>
      <c r="D6310" t="s">
        <v>1374</v>
      </c>
      <c r="E6310" t="s">
        <v>187</v>
      </c>
      <c r="F6310">
        <v>2012</v>
      </c>
      <c r="G6310">
        <v>9.09</v>
      </c>
    </row>
    <row r="6311" spans="1:7">
      <c r="A6311" t="s">
        <v>1297</v>
      </c>
      <c r="B6311" t="s">
        <v>1298</v>
      </c>
      <c r="C6311" t="s">
        <v>679</v>
      </c>
      <c r="D6311" t="s">
        <v>1374</v>
      </c>
      <c r="E6311" t="s">
        <v>187</v>
      </c>
      <c r="F6311">
        <v>2016</v>
      </c>
      <c r="G6311">
        <v>6.8040000000000003</v>
      </c>
    </row>
    <row r="6312" spans="1:7">
      <c r="A6312" t="s">
        <v>1297</v>
      </c>
      <c r="B6312" t="s">
        <v>1298</v>
      </c>
      <c r="C6312" t="s">
        <v>679</v>
      </c>
      <c r="D6312" t="s">
        <v>1374</v>
      </c>
      <c r="E6312" t="s">
        <v>187</v>
      </c>
      <c r="F6312">
        <v>2020</v>
      </c>
      <c r="G6312">
        <v>7.8803999999999998</v>
      </c>
    </row>
    <row r="6313" spans="1:7">
      <c r="A6313" t="s">
        <v>1297</v>
      </c>
      <c r="B6313" t="s">
        <v>1298</v>
      </c>
      <c r="C6313" t="s">
        <v>673</v>
      </c>
      <c r="D6313" t="s">
        <v>1374</v>
      </c>
      <c r="E6313" t="s">
        <v>187</v>
      </c>
      <c r="F6313">
        <v>2010</v>
      </c>
      <c r="G6313">
        <v>1.6848000000000001</v>
      </c>
    </row>
    <row r="6314" spans="1:7">
      <c r="A6314" t="s">
        <v>1297</v>
      </c>
      <c r="B6314" t="s">
        <v>1298</v>
      </c>
      <c r="C6314" t="s">
        <v>673</v>
      </c>
      <c r="D6314" t="s">
        <v>1374</v>
      </c>
      <c r="E6314" t="s">
        <v>187</v>
      </c>
      <c r="F6314">
        <v>2012</v>
      </c>
      <c r="G6314">
        <v>1.2672000000000001</v>
      </c>
    </row>
    <row r="6315" spans="1:7">
      <c r="A6315" t="s">
        <v>1297</v>
      </c>
      <c r="B6315" t="s">
        <v>1298</v>
      </c>
      <c r="C6315" t="s">
        <v>673</v>
      </c>
      <c r="D6315" t="s">
        <v>1374</v>
      </c>
      <c r="E6315" t="s">
        <v>187</v>
      </c>
      <c r="F6315">
        <v>2016</v>
      </c>
      <c r="G6315">
        <v>2.3759999999999999</v>
      </c>
    </row>
    <row r="6316" spans="1:7">
      <c r="A6316" t="s">
        <v>1297</v>
      </c>
      <c r="B6316" t="s">
        <v>1298</v>
      </c>
      <c r="C6316" t="s">
        <v>673</v>
      </c>
      <c r="D6316" t="s">
        <v>1374</v>
      </c>
      <c r="E6316" t="s">
        <v>187</v>
      </c>
      <c r="F6316">
        <v>2020</v>
      </c>
      <c r="G6316">
        <v>1.989479</v>
      </c>
    </row>
    <row r="6317" spans="1:7">
      <c r="A6317" t="s">
        <v>1297</v>
      </c>
      <c r="B6317" t="s">
        <v>1298</v>
      </c>
      <c r="C6317" t="s">
        <v>657</v>
      </c>
      <c r="D6317" t="s">
        <v>1374</v>
      </c>
      <c r="E6317" t="s">
        <v>187</v>
      </c>
      <c r="F6317">
        <v>2005</v>
      </c>
      <c r="G6317">
        <v>3.5999999999999999E-3</v>
      </c>
    </row>
    <row r="6318" spans="1:7">
      <c r="A6318" t="s">
        <v>1297</v>
      </c>
      <c r="B6318" t="s">
        <v>1298</v>
      </c>
      <c r="C6318" t="s">
        <v>657</v>
      </c>
      <c r="D6318" t="s">
        <v>1374</v>
      </c>
      <c r="E6318" t="s">
        <v>187</v>
      </c>
      <c r="F6318">
        <v>2010</v>
      </c>
      <c r="G6318">
        <v>0.10989</v>
      </c>
    </row>
    <row r="6319" spans="1:7">
      <c r="A6319" t="s">
        <v>1297</v>
      </c>
      <c r="B6319" t="s">
        <v>1298</v>
      </c>
      <c r="C6319" t="s">
        <v>657</v>
      </c>
      <c r="D6319" t="s">
        <v>1374</v>
      </c>
      <c r="E6319" t="s">
        <v>187</v>
      </c>
      <c r="F6319">
        <v>2012</v>
      </c>
      <c r="G6319">
        <v>0.65323399999999998</v>
      </c>
    </row>
    <row r="6320" spans="1:7">
      <c r="A6320" t="s">
        <v>1297</v>
      </c>
      <c r="B6320" t="s">
        <v>1298</v>
      </c>
      <c r="C6320" t="s">
        <v>657</v>
      </c>
      <c r="D6320" t="s">
        <v>1374</v>
      </c>
      <c r="E6320" t="s">
        <v>187</v>
      </c>
      <c r="F6320">
        <v>2016</v>
      </c>
      <c r="G6320">
        <v>0.73548000000000002</v>
      </c>
    </row>
    <row r="6321" spans="1:7">
      <c r="A6321" t="s">
        <v>1297</v>
      </c>
      <c r="B6321" t="s">
        <v>1298</v>
      </c>
      <c r="C6321" t="s">
        <v>657</v>
      </c>
      <c r="D6321" t="s">
        <v>1374</v>
      </c>
      <c r="E6321" t="s">
        <v>187</v>
      </c>
      <c r="F6321">
        <v>2020</v>
      </c>
      <c r="G6321">
        <v>1.5556540000000001</v>
      </c>
    </row>
    <row r="6322" spans="1:7">
      <c r="A6322" t="s">
        <v>1297</v>
      </c>
      <c r="B6322" t="s">
        <v>1298</v>
      </c>
      <c r="C6322" t="s">
        <v>668</v>
      </c>
      <c r="D6322" t="s">
        <v>1374</v>
      </c>
      <c r="E6322" t="s">
        <v>187</v>
      </c>
      <c r="F6322">
        <v>2010</v>
      </c>
      <c r="G6322">
        <v>7.1999999999999998E-3</v>
      </c>
    </row>
    <row r="6323" spans="1:7">
      <c r="A6323" t="s">
        <v>1297</v>
      </c>
      <c r="B6323" t="s">
        <v>1298</v>
      </c>
      <c r="C6323" t="s">
        <v>668</v>
      </c>
      <c r="D6323" t="s">
        <v>1374</v>
      </c>
      <c r="E6323" t="s">
        <v>187</v>
      </c>
      <c r="F6323">
        <v>2012</v>
      </c>
      <c r="G6323">
        <v>1.0800000000000001E-2</v>
      </c>
    </row>
    <row r="6324" spans="1:7">
      <c r="A6324" t="s">
        <v>1297</v>
      </c>
      <c r="B6324" t="s">
        <v>1298</v>
      </c>
      <c r="C6324" t="s">
        <v>668</v>
      </c>
      <c r="D6324" t="s">
        <v>1374</v>
      </c>
      <c r="E6324" t="s">
        <v>187</v>
      </c>
      <c r="F6324">
        <v>2016</v>
      </c>
      <c r="G6324">
        <v>7.1999999999999998E-3</v>
      </c>
    </row>
    <row r="6325" spans="1:7">
      <c r="A6325" t="s">
        <v>1297</v>
      </c>
      <c r="B6325" t="s">
        <v>1298</v>
      </c>
      <c r="C6325" t="s">
        <v>668</v>
      </c>
      <c r="D6325" t="s">
        <v>1374</v>
      </c>
      <c r="E6325" t="s">
        <v>187</v>
      </c>
      <c r="F6325">
        <v>2020</v>
      </c>
      <c r="G6325">
        <v>5.274E-3</v>
      </c>
    </row>
    <row r="6326" spans="1:7">
      <c r="A6326" t="s">
        <v>1297</v>
      </c>
      <c r="B6326" t="s">
        <v>1298</v>
      </c>
      <c r="C6326" t="s">
        <v>675</v>
      </c>
      <c r="D6326" t="s">
        <v>1374</v>
      </c>
      <c r="E6326" t="s">
        <v>187</v>
      </c>
      <c r="F6326">
        <v>2010</v>
      </c>
      <c r="G6326">
        <v>0.88200000000000001</v>
      </c>
    </row>
    <row r="6327" spans="1:7">
      <c r="A6327" t="s">
        <v>1297</v>
      </c>
      <c r="B6327" t="s">
        <v>1298</v>
      </c>
      <c r="C6327" t="s">
        <v>675</v>
      </c>
      <c r="D6327" t="s">
        <v>1374</v>
      </c>
      <c r="E6327" t="s">
        <v>187</v>
      </c>
      <c r="F6327">
        <v>2012</v>
      </c>
      <c r="G6327">
        <v>0.90359999999999996</v>
      </c>
    </row>
    <row r="6328" spans="1:7">
      <c r="A6328" t="s">
        <v>1297</v>
      </c>
      <c r="B6328" t="s">
        <v>1298</v>
      </c>
      <c r="C6328" t="s">
        <v>675</v>
      </c>
      <c r="D6328" t="s">
        <v>1374</v>
      </c>
      <c r="E6328" t="s">
        <v>187</v>
      </c>
      <c r="F6328">
        <v>2016</v>
      </c>
      <c r="G6328">
        <v>1.3428</v>
      </c>
    </row>
    <row r="6329" spans="1:7">
      <c r="A6329" t="s">
        <v>1297</v>
      </c>
      <c r="B6329" t="s">
        <v>1298</v>
      </c>
      <c r="C6329" t="s">
        <v>675</v>
      </c>
      <c r="D6329" t="s">
        <v>1374</v>
      </c>
      <c r="E6329" t="s">
        <v>187</v>
      </c>
      <c r="F6329">
        <v>2020</v>
      </c>
      <c r="G6329">
        <v>0.97837200000000002</v>
      </c>
    </row>
    <row r="6330" spans="1:7">
      <c r="A6330" t="s">
        <v>1297</v>
      </c>
      <c r="B6330" t="s">
        <v>1298</v>
      </c>
      <c r="C6330" t="s">
        <v>662</v>
      </c>
      <c r="D6330" t="s">
        <v>1374</v>
      </c>
      <c r="E6330" t="s">
        <v>187</v>
      </c>
      <c r="F6330">
        <v>2005</v>
      </c>
      <c r="G6330">
        <v>3.0276000000000001</v>
      </c>
    </row>
    <row r="6331" spans="1:7">
      <c r="A6331" t="s">
        <v>1297</v>
      </c>
      <c r="B6331" t="s">
        <v>1298</v>
      </c>
      <c r="C6331" t="s">
        <v>662</v>
      </c>
      <c r="D6331" t="s">
        <v>1374</v>
      </c>
      <c r="E6331" t="s">
        <v>187</v>
      </c>
      <c r="F6331">
        <v>2010</v>
      </c>
      <c r="G6331">
        <v>0.12959999999999999</v>
      </c>
    </row>
    <row r="6332" spans="1:7">
      <c r="A6332" t="s">
        <v>1297</v>
      </c>
      <c r="B6332" t="s">
        <v>1298</v>
      </c>
      <c r="C6332" t="s">
        <v>662</v>
      </c>
      <c r="D6332" t="s">
        <v>1374</v>
      </c>
      <c r="E6332" t="s">
        <v>187</v>
      </c>
      <c r="F6332">
        <v>2012</v>
      </c>
      <c r="G6332">
        <v>0.96840000000000004</v>
      </c>
    </row>
    <row r="6333" spans="1:7">
      <c r="A6333" t="s">
        <v>1297</v>
      </c>
      <c r="B6333" t="s">
        <v>1298</v>
      </c>
      <c r="C6333" t="s">
        <v>662</v>
      </c>
      <c r="D6333" t="s">
        <v>1374</v>
      </c>
      <c r="E6333" t="s">
        <v>187</v>
      </c>
      <c r="F6333">
        <v>2016</v>
      </c>
      <c r="G6333">
        <v>0.1152</v>
      </c>
    </row>
    <row r="6334" spans="1:7">
      <c r="A6334" t="s">
        <v>1297</v>
      </c>
      <c r="B6334" t="s">
        <v>1298</v>
      </c>
      <c r="C6334" t="s">
        <v>662</v>
      </c>
      <c r="D6334" t="s">
        <v>1374</v>
      </c>
      <c r="E6334" t="s">
        <v>187</v>
      </c>
      <c r="F6334">
        <v>2020</v>
      </c>
      <c r="G6334">
        <v>0.26380799999999999</v>
      </c>
    </row>
    <row r="6335" spans="1:7">
      <c r="A6335" t="s">
        <v>1297</v>
      </c>
      <c r="B6335" t="s">
        <v>1298</v>
      </c>
      <c r="C6335" t="s">
        <v>656</v>
      </c>
      <c r="D6335" t="s">
        <v>1374</v>
      </c>
      <c r="E6335" t="s">
        <v>187</v>
      </c>
      <c r="F6335">
        <v>2016</v>
      </c>
      <c r="G6335">
        <v>26.9892</v>
      </c>
    </row>
    <row r="6336" spans="1:7">
      <c r="A6336" t="s">
        <v>1297</v>
      </c>
      <c r="B6336" t="s">
        <v>1298</v>
      </c>
      <c r="C6336" t="s">
        <v>656</v>
      </c>
      <c r="D6336" t="s">
        <v>1374</v>
      </c>
      <c r="E6336" t="s">
        <v>187</v>
      </c>
      <c r="F6336">
        <v>2020</v>
      </c>
      <c r="G6336">
        <v>29.448</v>
      </c>
    </row>
    <row r="6337" spans="1:7">
      <c r="A6337" t="s">
        <v>1297</v>
      </c>
      <c r="B6337" t="s">
        <v>1298</v>
      </c>
      <c r="C6337" t="s">
        <v>652</v>
      </c>
      <c r="D6337" t="s">
        <v>1375</v>
      </c>
      <c r="E6337" t="s">
        <v>187</v>
      </c>
      <c r="F6337">
        <v>2005</v>
      </c>
      <c r="G6337">
        <v>313.29239000000001</v>
      </c>
    </row>
    <row r="6338" spans="1:7">
      <c r="A6338" t="s">
        <v>1297</v>
      </c>
      <c r="B6338" t="s">
        <v>1298</v>
      </c>
      <c r="C6338" t="s">
        <v>652</v>
      </c>
      <c r="D6338" t="s">
        <v>1375</v>
      </c>
      <c r="E6338" t="s">
        <v>187</v>
      </c>
      <c r="F6338">
        <v>2010</v>
      </c>
      <c r="G6338">
        <v>345.23027999999999</v>
      </c>
    </row>
    <row r="6339" spans="1:7">
      <c r="A6339" t="s">
        <v>1297</v>
      </c>
      <c r="B6339" t="s">
        <v>1298</v>
      </c>
      <c r="C6339" t="s">
        <v>652</v>
      </c>
      <c r="D6339" t="s">
        <v>1375</v>
      </c>
      <c r="E6339" t="s">
        <v>187</v>
      </c>
      <c r="F6339">
        <v>2012</v>
      </c>
      <c r="G6339">
        <v>298.92311999999998</v>
      </c>
    </row>
    <row r="6340" spans="1:7">
      <c r="A6340" t="s">
        <v>1297</v>
      </c>
      <c r="B6340" t="s">
        <v>1298</v>
      </c>
      <c r="C6340" t="s">
        <v>652</v>
      </c>
      <c r="D6340" t="s">
        <v>1375</v>
      </c>
      <c r="E6340" t="s">
        <v>187</v>
      </c>
      <c r="F6340">
        <v>2016</v>
      </c>
      <c r="G6340">
        <v>308.92644000000001</v>
      </c>
    </row>
    <row r="6341" spans="1:7">
      <c r="A6341" t="s">
        <v>1297</v>
      </c>
      <c r="B6341" t="s">
        <v>1298</v>
      </c>
      <c r="C6341" t="s">
        <v>652</v>
      </c>
      <c r="D6341" t="s">
        <v>1375</v>
      </c>
      <c r="E6341" t="s">
        <v>187</v>
      </c>
      <c r="F6341">
        <v>2020</v>
      </c>
      <c r="G6341">
        <v>337.48559999999998</v>
      </c>
    </row>
    <row r="6342" spans="1:7">
      <c r="A6342" t="s">
        <v>1297</v>
      </c>
      <c r="B6342" t="s">
        <v>1298</v>
      </c>
      <c r="C6342" t="s">
        <v>659</v>
      </c>
      <c r="D6342" t="s">
        <v>1375</v>
      </c>
      <c r="E6342" t="s">
        <v>187</v>
      </c>
      <c r="F6342">
        <v>2005</v>
      </c>
      <c r="G6342">
        <v>1058.701716</v>
      </c>
    </row>
    <row r="6343" spans="1:7">
      <c r="A6343" t="s">
        <v>1297</v>
      </c>
      <c r="B6343" t="s">
        <v>1298</v>
      </c>
      <c r="C6343" t="s">
        <v>659</v>
      </c>
      <c r="D6343" t="s">
        <v>1375</v>
      </c>
      <c r="E6343" t="s">
        <v>187</v>
      </c>
      <c r="F6343">
        <v>2010</v>
      </c>
      <c r="G6343">
        <v>1085.49792</v>
      </c>
    </row>
    <row r="6344" spans="1:7">
      <c r="A6344" t="s">
        <v>1297</v>
      </c>
      <c r="B6344" t="s">
        <v>1298</v>
      </c>
      <c r="C6344" t="s">
        <v>659</v>
      </c>
      <c r="D6344" t="s">
        <v>1375</v>
      </c>
      <c r="E6344" t="s">
        <v>187</v>
      </c>
      <c r="F6344">
        <v>2012</v>
      </c>
      <c r="G6344">
        <v>1071.2110459999999</v>
      </c>
    </row>
    <row r="6345" spans="1:7">
      <c r="A6345" t="s">
        <v>1297</v>
      </c>
      <c r="B6345" t="s">
        <v>1298</v>
      </c>
      <c r="C6345" t="s">
        <v>659</v>
      </c>
      <c r="D6345" t="s">
        <v>1375</v>
      </c>
      <c r="E6345" t="s">
        <v>187</v>
      </c>
      <c r="F6345">
        <v>2016</v>
      </c>
      <c r="G6345">
        <v>989.178361</v>
      </c>
    </row>
    <row r="6346" spans="1:7">
      <c r="A6346" t="s">
        <v>1297</v>
      </c>
      <c r="B6346" t="s">
        <v>1298</v>
      </c>
      <c r="C6346" t="s">
        <v>659</v>
      </c>
      <c r="D6346" t="s">
        <v>1375</v>
      </c>
      <c r="E6346" t="s">
        <v>187</v>
      </c>
      <c r="F6346">
        <v>2020</v>
      </c>
      <c r="G6346">
        <v>983.72519999999997</v>
      </c>
    </row>
    <row r="6347" spans="1:7">
      <c r="A6347" t="s">
        <v>1297</v>
      </c>
      <c r="B6347" t="s">
        <v>1298</v>
      </c>
      <c r="C6347" t="s">
        <v>674</v>
      </c>
      <c r="D6347" t="s">
        <v>1375</v>
      </c>
      <c r="E6347" t="s">
        <v>187</v>
      </c>
      <c r="F6347">
        <v>2005</v>
      </c>
      <c r="G6347">
        <v>570.36381100000006</v>
      </c>
    </row>
    <row r="6348" spans="1:7">
      <c r="A6348" t="s">
        <v>1297</v>
      </c>
      <c r="B6348" t="s">
        <v>1298</v>
      </c>
      <c r="C6348" t="s">
        <v>674</v>
      </c>
      <c r="D6348" t="s">
        <v>1375</v>
      </c>
      <c r="E6348" t="s">
        <v>187</v>
      </c>
      <c r="F6348">
        <v>2010</v>
      </c>
      <c r="G6348">
        <v>534.76743599999998</v>
      </c>
    </row>
    <row r="6349" spans="1:7">
      <c r="A6349" t="s">
        <v>1297</v>
      </c>
      <c r="B6349" t="s">
        <v>1298</v>
      </c>
      <c r="C6349" t="s">
        <v>674</v>
      </c>
      <c r="D6349" t="s">
        <v>1375</v>
      </c>
      <c r="E6349" t="s">
        <v>187</v>
      </c>
      <c r="F6349">
        <v>2012</v>
      </c>
      <c r="G6349">
        <v>599.61959999999999</v>
      </c>
    </row>
    <row r="6350" spans="1:7">
      <c r="A6350" t="s">
        <v>1297</v>
      </c>
      <c r="B6350" t="s">
        <v>1298</v>
      </c>
      <c r="C6350" t="s">
        <v>674</v>
      </c>
      <c r="D6350" t="s">
        <v>1375</v>
      </c>
      <c r="E6350" t="s">
        <v>187</v>
      </c>
      <c r="F6350">
        <v>2016</v>
      </c>
      <c r="G6350">
        <v>561.63469699999996</v>
      </c>
    </row>
    <row r="6351" spans="1:7">
      <c r="A6351" t="s">
        <v>1297</v>
      </c>
      <c r="B6351" t="s">
        <v>1298</v>
      </c>
      <c r="C6351" t="s">
        <v>674</v>
      </c>
      <c r="D6351" t="s">
        <v>1375</v>
      </c>
      <c r="E6351" t="s">
        <v>187</v>
      </c>
      <c r="F6351">
        <v>2020</v>
      </c>
      <c r="G6351">
        <v>606.38040000000001</v>
      </c>
    </row>
    <row r="6352" spans="1:7">
      <c r="A6352" t="s">
        <v>1297</v>
      </c>
      <c r="B6352" t="s">
        <v>1298</v>
      </c>
      <c r="C6352" t="s">
        <v>681</v>
      </c>
      <c r="D6352" t="s">
        <v>1375</v>
      </c>
      <c r="E6352" t="s">
        <v>187</v>
      </c>
      <c r="F6352">
        <v>2005</v>
      </c>
      <c r="G6352">
        <v>19.594799999999999</v>
      </c>
    </row>
    <row r="6353" spans="1:7">
      <c r="A6353" t="s">
        <v>1297</v>
      </c>
      <c r="B6353" t="s">
        <v>1298</v>
      </c>
      <c r="C6353" t="s">
        <v>681</v>
      </c>
      <c r="D6353" t="s">
        <v>1375</v>
      </c>
      <c r="E6353" t="s">
        <v>187</v>
      </c>
      <c r="F6353">
        <v>2010</v>
      </c>
      <c r="G6353">
        <v>27.244800000000001</v>
      </c>
    </row>
    <row r="6354" spans="1:7">
      <c r="A6354" t="s">
        <v>1297</v>
      </c>
      <c r="B6354" t="s">
        <v>1298</v>
      </c>
      <c r="C6354" t="s">
        <v>681</v>
      </c>
      <c r="D6354" t="s">
        <v>1375</v>
      </c>
      <c r="E6354" t="s">
        <v>187</v>
      </c>
      <c r="F6354">
        <v>2012</v>
      </c>
      <c r="G6354">
        <v>17.010000000000002</v>
      </c>
    </row>
    <row r="6355" spans="1:7">
      <c r="A6355" t="s">
        <v>1297</v>
      </c>
      <c r="B6355" t="s">
        <v>1298</v>
      </c>
      <c r="C6355" t="s">
        <v>681</v>
      </c>
      <c r="D6355" t="s">
        <v>1375</v>
      </c>
      <c r="E6355" t="s">
        <v>187</v>
      </c>
      <c r="F6355">
        <v>2016</v>
      </c>
      <c r="G6355">
        <v>28.014126999999998</v>
      </c>
    </row>
    <row r="6356" spans="1:7">
      <c r="A6356" t="s">
        <v>1297</v>
      </c>
      <c r="B6356" t="s">
        <v>1298</v>
      </c>
      <c r="C6356" t="s">
        <v>681</v>
      </c>
      <c r="D6356" t="s">
        <v>1375</v>
      </c>
      <c r="E6356" t="s">
        <v>187</v>
      </c>
      <c r="F6356">
        <v>2020</v>
      </c>
      <c r="G6356">
        <v>18.741755000000001</v>
      </c>
    </row>
    <row r="6357" spans="1:7">
      <c r="A6357" t="s">
        <v>1297</v>
      </c>
      <c r="B6357" t="s">
        <v>1298</v>
      </c>
      <c r="C6357" t="s">
        <v>654</v>
      </c>
      <c r="D6357" t="s">
        <v>1375</v>
      </c>
      <c r="E6357" t="s">
        <v>187</v>
      </c>
      <c r="F6357">
        <v>2010</v>
      </c>
      <c r="G6357">
        <v>19.160070999999999</v>
      </c>
    </row>
    <row r="6358" spans="1:7">
      <c r="A6358" t="s">
        <v>1297</v>
      </c>
      <c r="B6358" t="s">
        <v>1298</v>
      </c>
      <c r="C6358" t="s">
        <v>654</v>
      </c>
      <c r="D6358" t="s">
        <v>1375</v>
      </c>
      <c r="E6358" t="s">
        <v>187</v>
      </c>
      <c r="F6358">
        <v>2012</v>
      </c>
      <c r="G6358">
        <v>16.980630999999999</v>
      </c>
    </row>
    <row r="6359" spans="1:7">
      <c r="A6359" t="s">
        <v>1297</v>
      </c>
      <c r="B6359" t="s">
        <v>1298</v>
      </c>
      <c r="C6359" t="s">
        <v>654</v>
      </c>
      <c r="D6359" t="s">
        <v>1375</v>
      </c>
      <c r="E6359" t="s">
        <v>187</v>
      </c>
      <c r="F6359">
        <v>2016</v>
      </c>
      <c r="G6359">
        <v>17.595572000000001</v>
      </c>
    </row>
    <row r="6360" spans="1:7">
      <c r="A6360" t="s">
        <v>1297</v>
      </c>
      <c r="B6360" t="s">
        <v>1298</v>
      </c>
      <c r="C6360" t="s">
        <v>654</v>
      </c>
      <c r="D6360" t="s">
        <v>1375</v>
      </c>
      <c r="E6360" t="s">
        <v>187</v>
      </c>
      <c r="F6360">
        <v>2020</v>
      </c>
      <c r="G6360">
        <v>18.509367999999998</v>
      </c>
    </row>
    <row r="6361" spans="1:7">
      <c r="A6361" t="s">
        <v>1297</v>
      </c>
      <c r="B6361" t="s">
        <v>1298</v>
      </c>
      <c r="C6361" t="s">
        <v>662</v>
      </c>
      <c r="D6361" t="s">
        <v>1375</v>
      </c>
      <c r="E6361" t="s">
        <v>187</v>
      </c>
      <c r="F6361">
        <v>2005</v>
      </c>
      <c r="G6361">
        <v>216.072497</v>
      </c>
    </row>
    <row r="6362" spans="1:7">
      <c r="A6362" t="s">
        <v>1297</v>
      </c>
      <c r="B6362" t="s">
        <v>1298</v>
      </c>
      <c r="C6362" t="s">
        <v>662</v>
      </c>
      <c r="D6362" t="s">
        <v>1375</v>
      </c>
      <c r="E6362" t="s">
        <v>187</v>
      </c>
      <c r="F6362">
        <v>2010</v>
      </c>
      <c r="G6362">
        <v>206.657701</v>
      </c>
    </row>
    <row r="6363" spans="1:7">
      <c r="A6363" t="s">
        <v>1297</v>
      </c>
      <c r="B6363" t="s">
        <v>1298</v>
      </c>
      <c r="C6363" t="s">
        <v>662</v>
      </c>
      <c r="D6363" t="s">
        <v>1375</v>
      </c>
      <c r="E6363" t="s">
        <v>187</v>
      </c>
      <c r="F6363">
        <v>2012</v>
      </c>
      <c r="G6363">
        <v>219.45271</v>
      </c>
    </row>
    <row r="6364" spans="1:7">
      <c r="A6364" t="s">
        <v>1297</v>
      </c>
      <c r="B6364" t="s">
        <v>1298</v>
      </c>
      <c r="C6364" t="s">
        <v>662</v>
      </c>
      <c r="D6364" t="s">
        <v>1375</v>
      </c>
      <c r="E6364" t="s">
        <v>187</v>
      </c>
      <c r="F6364">
        <v>2016</v>
      </c>
      <c r="G6364">
        <v>195.97656599999999</v>
      </c>
    </row>
    <row r="6365" spans="1:7">
      <c r="A6365" t="s">
        <v>1297</v>
      </c>
      <c r="B6365" t="s">
        <v>1298</v>
      </c>
      <c r="C6365" t="s">
        <v>662</v>
      </c>
      <c r="D6365" t="s">
        <v>1375</v>
      </c>
      <c r="E6365" t="s">
        <v>187</v>
      </c>
      <c r="F6365">
        <v>2020</v>
      </c>
      <c r="G6365">
        <v>175.05356800000001</v>
      </c>
    </row>
    <row r="6366" spans="1:7">
      <c r="A6366" t="s">
        <v>1297</v>
      </c>
      <c r="B6366" t="s">
        <v>1298</v>
      </c>
      <c r="C6366" t="s">
        <v>654</v>
      </c>
      <c r="D6366" t="s">
        <v>1375</v>
      </c>
      <c r="E6366" t="s">
        <v>187</v>
      </c>
      <c r="F6366">
        <v>2005</v>
      </c>
      <c r="G6366">
        <v>15.756916</v>
      </c>
    </row>
    <row r="6367" spans="1:7">
      <c r="A6367" t="s">
        <v>1297</v>
      </c>
      <c r="B6367" t="s">
        <v>1298</v>
      </c>
      <c r="C6367" t="s">
        <v>657</v>
      </c>
      <c r="D6367" t="s">
        <v>1375</v>
      </c>
      <c r="E6367" t="s">
        <v>187</v>
      </c>
      <c r="F6367">
        <v>2005</v>
      </c>
      <c r="G6367">
        <v>130.48560000000001</v>
      </c>
    </row>
    <row r="6368" spans="1:7">
      <c r="A6368" t="s">
        <v>1297</v>
      </c>
      <c r="B6368" t="s">
        <v>1298</v>
      </c>
      <c r="C6368" t="s">
        <v>657</v>
      </c>
      <c r="D6368" t="s">
        <v>1375</v>
      </c>
      <c r="E6368" t="s">
        <v>187</v>
      </c>
      <c r="F6368">
        <v>2010</v>
      </c>
      <c r="G6368">
        <v>139.90354600000001</v>
      </c>
    </row>
    <row r="6369" spans="1:7">
      <c r="A6369" t="s">
        <v>1297</v>
      </c>
      <c r="B6369" t="s">
        <v>1298</v>
      </c>
      <c r="C6369" t="s">
        <v>657</v>
      </c>
      <c r="D6369" t="s">
        <v>1375</v>
      </c>
      <c r="E6369" t="s">
        <v>187</v>
      </c>
      <c r="F6369">
        <v>2012</v>
      </c>
      <c r="G6369">
        <v>110.52402499999999</v>
      </c>
    </row>
    <row r="6370" spans="1:7">
      <c r="A6370" t="s">
        <v>1297</v>
      </c>
      <c r="B6370" t="s">
        <v>1298</v>
      </c>
      <c r="C6370" t="s">
        <v>657</v>
      </c>
      <c r="D6370" t="s">
        <v>1375</v>
      </c>
      <c r="E6370" t="s">
        <v>187</v>
      </c>
      <c r="F6370">
        <v>2016</v>
      </c>
      <c r="G6370">
        <v>109.93826199999999</v>
      </c>
    </row>
    <row r="6371" spans="1:7">
      <c r="A6371" t="s">
        <v>1297</v>
      </c>
      <c r="B6371" t="s">
        <v>1298</v>
      </c>
      <c r="C6371" t="s">
        <v>657</v>
      </c>
      <c r="D6371" t="s">
        <v>1375</v>
      </c>
      <c r="E6371" t="s">
        <v>187</v>
      </c>
      <c r="F6371">
        <v>2020</v>
      </c>
      <c r="G6371">
        <v>106.292754</v>
      </c>
    </row>
    <row r="6372" spans="1:7">
      <c r="A6372" t="s">
        <v>1297</v>
      </c>
      <c r="B6372" t="s">
        <v>1298</v>
      </c>
      <c r="C6372" t="s">
        <v>665</v>
      </c>
      <c r="D6372" t="s">
        <v>1375</v>
      </c>
      <c r="E6372" t="s">
        <v>187</v>
      </c>
      <c r="F6372">
        <v>2005</v>
      </c>
      <c r="G6372">
        <v>1093.3257349999999</v>
      </c>
    </row>
    <row r="6373" spans="1:7">
      <c r="A6373" t="s">
        <v>1297</v>
      </c>
      <c r="B6373" t="s">
        <v>1298</v>
      </c>
      <c r="C6373" t="s">
        <v>665</v>
      </c>
      <c r="D6373" t="s">
        <v>1375</v>
      </c>
      <c r="E6373" t="s">
        <v>187</v>
      </c>
      <c r="F6373">
        <v>2010</v>
      </c>
      <c r="G6373">
        <v>1087.422822</v>
      </c>
    </row>
    <row r="6374" spans="1:7">
      <c r="A6374" t="s">
        <v>1297</v>
      </c>
      <c r="B6374" t="s">
        <v>1298</v>
      </c>
      <c r="C6374" t="s">
        <v>665</v>
      </c>
      <c r="D6374" t="s">
        <v>1375</v>
      </c>
      <c r="E6374" t="s">
        <v>187</v>
      </c>
      <c r="F6374">
        <v>2012</v>
      </c>
      <c r="G6374">
        <v>1077.3951950000001</v>
      </c>
    </row>
    <row r="6375" spans="1:7">
      <c r="A6375" t="s">
        <v>1297</v>
      </c>
      <c r="B6375" t="s">
        <v>1298</v>
      </c>
      <c r="C6375" t="s">
        <v>665</v>
      </c>
      <c r="D6375" t="s">
        <v>1375</v>
      </c>
      <c r="E6375" t="s">
        <v>187</v>
      </c>
      <c r="F6375">
        <v>2016</v>
      </c>
      <c r="G6375">
        <v>1043.1660919999999</v>
      </c>
    </row>
    <row r="6376" spans="1:7">
      <c r="A6376" t="s">
        <v>1297</v>
      </c>
      <c r="B6376" t="s">
        <v>1298</v>
      </c>
      <c r="C6376" t="s">
        <v>665</v>
      </c>
      <c r="D6376" t="s">
        <v>1375</v>
      </c>
      <c r="E6376" t="s">
        <v>187</v>
      </c>
      <c r="F6376">
        <v>2020</v>
      </c>
      <c r="G6376">
        <v>1057.8707750000001</v>
      </c>
    </row>
    <row r="6377" spans="1:7">
      <c r="A6377" t="s">
        <v>1297</v>
      </c>
      <c r="B6377" t="s">
        <v>1298</v>
      </c>
      <c r="C6377" t="s">
        <v>673</v>
      </c>
      <c r="D6377" t="s">
        <v>1375</v>
      </c>
      <c r="E6377" t="s">
        <v>187</v>
      </c>
      <c r="F6377">
        <v>2005</v>
      </c>
      <c r="G6377">
        <v>213.88708800000001</v>
      </c>
    </row>
    <row r="6378" spans="1:7">
      <c r="A6378" t="s">
        <v>1297</v>
      </c>
      <c r="B6378" t="s">
        <v>1298</v>
      </c>
      <c r="C6378" t="s">
        <v>673</v>
      </c>
      <c r="D6378" t="s">
        <v>1375</v>
      </c>
      <c r="E6378" t="s">
        <v>187</v>
      </c>
      <c r="F6378">
        <v>2010</v>
      </c>
      <c r="G6378">
        <v>219.52388199999999</v>
      </c>
    </row>
    <row r="6379" spans="1:7">
      <c r="A6379" t="s">
        <v>1297</v>
      </c>
      <c r="B6379" t="s">
        <v>1298</v>
      </c>
      <c r="C6379" t="s">
        <v>673</v>
      </c>
      <c r="D6379" t="s">
        <v>1375</v>
      </c>
      <c r="E6379" t="s">
        <v>187</v>
      </c>
      <c r="F6379">
        <v>2012</v>
      </c>
      <c r="G6379">
        <v>212.56148200000001</v>
      </c>
    </row>
    <row r="6380" spans="1:7">
      <c r="A6380" t="s">
        <v>1297</v>
      </c>
      <c r="B6380" t="s">
        <v>1298</v>
      </c>
      <c r="C6380" t="s">
        <v>673</v>
      </c>
      <c r="D6380" t="s">
        <v>1375</v>
      </c>
      <c r="E6380" t="s">
        <v>187</v>
      </c>
      <c r="F6380">
        <v>2016</v>
      </c>
      <c r="G6380">
        <v>234.37095500000001</v>
      </c>
    </row>
    <row r="6381" spans="1:7">
      <c r="A6381" t="s">
        <v>1297</v>
      </c>
      <c r="B6381" t="s">
        <v>1298</v>
      </c>
      <c r="C6381" t="s">
        <v>673</v>
      </c>
      <c r="D6381" t="s">
        <v>1375</v>
      </c>
      <c r="E6381" t="s">
        <v>187</v>
      </c>
      <c r="F6381">
        <v>2020</v>
      </c>
      <c r="G6381">
        <v>214.642098</v>
      </c>
    </row>
    <row r="6382" spans="1:7">
      <c r="A6382" t="s">
        <v>1297</v>
      </c>
      <c r="B6382" t="s">
        <v>1298</v>
      </c>
      <c r="C6382" t="s">
        <v>667</v>
      </c>
      <c r="D6382" t="s">
        <v>1375</v>
      </c>
      <c r="E6382" t="s">
        <v>187</v>
      </c>
      <c r="F6382">
        <v>2005</v>
      </c>
      <c r="G6382">
        <v>14.864843</v>
      </c>
    </row>
    <row r="6383" spans="1:7">
      <c r="A6383" t="s">
        <v>1297</v>
      </c>
      <c r="B6383" t="s">
        <v>1298</v>
      </c>
      <c r="C6383" t="s">
        <v>667</v>
      </c>
      <c r="D6383" t="s">
        <v>1375</v>
      </c>
      <c r="E6383" t="s">
        <v>187</v>
      </c>
      <c r="F6383">
        <v>2010</v>
      </c>
      <c r="G6383">
        <v>16.528593999999998</v>
      </c>
    </row>
    <row r="6384" spans="1:7">
      <c r="A6384" t="s">
        <v>1297</v>
      </c>
      <c r="B6384" t="s">
        <v>1298</v>
      </c>
      <c r="C6384" t="s">
        <v>667</v>
      </c>
      <c r="D6384" t="s">
        <v>1375</v>
      </c>
      <c r="E6384" t="s">
        <v>187</v>
      </c>
      <c r="F6384">
        <v>2012</v>
      </c>
      <c r="G6384">
        <v>13.741103000000001</v>
      </c>
    </row>
    <row r="6385" spans="1:7">
      <c r="A6385" t="s">
        <v>1297</v>
      </c>
      <c r="B6385" t="s">
        <v>1298</v>
      </c>
      <c r="C6385" t="s">
        <v>667</v>
      </c>
      <c r="D6385" t="s">
        <v>1375</v>
      </c>
      <c r="E6385" t="s">
        <v>187</v>
      </c>
      <c r="F6385">
        <v>2016</v>
      </c>
      <c r="G6385">
        <v>7.9112879999999999</v>
      </c>
    </row>
    <row r="6386" spans="1:7">
      <c r="A6386" t="s">
        <v>1297</v>
      </c>
      <c r="B6386" t="s">
        <v>1298</v>
      </c>
      <c r="C6386" t="s">
        <v>667</v>
      </c>
      <c r="D6386" t="s">
        <v>1375</v>
      </c>
      <c r="E6386" t="s">
        <v>187</v>
      </c>
      <c r="F6386">
        <v>2020</v>
      </c>
      <c r="G6386">
        <v>6.8686959999999999</v>
      </c>
    </row>
    <row r="6387" spans="1:7">
      <c r="A6387" t="s">
        <v>1297</v>
      </c>
      <c r="B6387" t="s">
        <v>1298</v>
      </c>
      <c r="C6387" t="s">
        <v>668</v>
      </c>
      <c r="D6387" t="s">
        <v>1375</v>
      </c>
      <c r="E6387" t="s">
        <v>187</v>
      </c>
      <c r="F6387">
        <v>2005</v>
      </c>
      <c r="G6387">
        <v>17.661434</v>
      </c>
    </row>
    <row r="6388" spans="1:7">
      <c r="A6388" t="s">
        <v>1297</v>
      </c>
      <c r="B6388" t="s">
        <v>1298</v>
      </c>
      <c r="C6388" t="s">
        <v>668</v>
      </c>
      <c r="D6388" t="s">
        <v>1375</v>
      </c>
      <c r="E6388" t="s">
        <v>187</v>
      </c>
      <c r="F6388">
        <v>2010</v>
      </c>
      <c r="G6388">
        <v>23.856959</v>
      </c>
    </row>
    <row r="6389" spans="1:7">
      <c r="A6389" t="s">
        <v>1297</v>
      </c>
      <c r="B6389" t="s">
        <v>1298</v>
      </c>
      <c r="C6389" t="s">
        <v>668</v>
      </c>
      <c r="D6389" t="s">
        <v>1375</v>
      </c>
      <c r="E6389" t="s">
        <v>187</v>
      </c>
      <c r="F6389">
        <v>2012</v>
      </c>
      <c r="G6389">
        <v>22.203968</v>
      </c>
    </row>
    <row r="6390" spans="1:7">
      <c r="A6390" t="s">
        <v>1297</v>
      </c>
      <c r="B6390" t="s">
        <v>1298</v>
      </c>
      <c r="C6390" t="s">
        <v>668</v>
      </c>
      <c r="D6390" t="s">
        <v>1375</v>
      </c>
      <c r="E6390" t="s">
        <v>187</v>
      </c>
      <c r="F6390">
        <v>2016</v>
      </c>
      <c r="G6390">
        <v>23.132110000000001</v>
      </c>
    </row>
    <row r="6391" spans="1:7">
      <c r="A6391" t="s">
        <v>1297</v>
      </c>
      <c r="B6391" t="s">
        <v>1298</v>
      </c>
      <c r="C6391" t="s">
        <v>668</v>
      </c>
      <c r="D6391" t="s">
        <v>1375</v>
      </c>
      <c r="E6391" t="s">
        <v>187</v>
      </c>
      <c r="F6391">
        <v>2020</v>
      </c>
      <c r="G6391">
        <v>23.178186</v>
      </c>
    </row>
    <row r="6392" spans="1:7">
      <c r="A6392" t="s">
        <v>1297</v>
      </c>
      <c r="B6392" t="s">
        <v>1298</v>
      </c>
      <c r="C6392" t="s">
        <v>675</v>
      </c>
      <c r="D6392" t="s">
        <v>1375</v>
      </c>
      <c r="E6392" t="s">
        <v>187</v>
      </c>
      <c r="F6392">
        <v>2005</v>
      </c>
      <c r="G6392">
        <v>54.418841999999998</v>
      </c>
    </row>
    <row r="6393" spans="1:7">
      <c r="A6393" t="s">
        <v>1297</v>
      </c>
      <c r="B6393" t="s">
        <v>1298</v>
      </c>
      <c r="C6393" t="s">
        <v>675</v>
      </c>
      <c r="D6393" t="s">
        <v>1375</v>
      </c>
      <c r="E6393" t="s">
        <v>187</v>
      </c>
      <c r="F6393">
        <v>2010</v>
      </c>
      <c r="G6393">
        <v>59.177700000000002</v>
      </c>
    </row>
    <row r="6394" spans="1:7">
      <c r="A6394" t="s">
        <v>1297</v>
      </c>
      <c r="B6394" t="s">
        <v>1298</v>
      </c>
      <c r="C6394" t="s">
        <v>675</v>
      </c>
      <c r="D6394" t="s">
        <v>1375</v>
      </c>
      <c r="E6394" t="s">
        <v>187</v>
      </c>
      <c r="F6394">
        <v>2012</v>
      </c>
      <c r="G6394">
        <v>56.649715</v>
      </c>
    </row>
    <row r="6395" spans="1:7">
      <c r="A6395" t="s">
        <v>1297</v>
      </c>
      <c r="B6395" t="s">
        <v>1298</v>
      </c>
      <c r="C6395" t="s">
        <v>675</v>
      </c>
      <c r="D6395" t="s">
        <v>1375</v>
      </c>
      <c r="E6395" t="s">
        <v>187</v>
      </c>
      <c r="F6395">
        <v>2016</v>
      </c>
      <c r="G6395">
        <v>59.406725000000002</v>
      </c>
    </row>
    <row r="6396" spans="1:7">
      <c r="A6396" t="s">
        <v>1297</v>
      </c>
      <c r="B6396" t="s">
        <v>1298</v>
      </c>
      <c r="C6396" t="s">
        <v>675</v>
      </c>
      <c r="D6396" t="s">
        <v>1375</v>
      </c>
      <c r="E6396" t="s">
        <v>187</v>
      </c>
      <c r="F6396">
        <v>2020</v>
      </c>
      <c r="G6396">
        <v>57.95843</v>
      </c>
    </row>
    <row r="6397" spans="1:7">
      <c r="A6397" t="s">
        <v>1297</v>
      </c>
      <c r="B6397" t="s">
        <v>1298</v>
      </c>
      <c r="C6397" t="s">
        <v>686</v>
      </c>
      <c r="D6397" t="s">
        <v>1375</v>
      </c>
      <c r="E6397" t="s">
        <v>187</v>
      </c>
      <c r="F6397">
        <v>2005</v>
      </c>
      <c r="G6397">
        <v>131.3064</v>
      </c>
    </row>
    <row r="6398" spans="1:7">
      <c r="A6398" t="s">
        <v>1297</v>
      </c>
      <c r="B6398" t="s">
        <v>1298</v>
      </c>
      <c r="C6398" t="s">
        <v>686</v>
      </c>
      <c r="D6398" t="s">
        <v>1375</v>
      </c>
      <c r="E6398" t="s">
        <v>187</v>
      </c>
      <c r="F6398">
        <v>2010</v>
      </c>
      <c r="G6398">
        <v>137.17080000000001</v>
      </c>
    </row>
    <row r="6399" spans="1:7">
      <c r="A6399" t="s">
        <v>1297</v>
      </c>
      <c r="B6399" t="s">
        <v>1298</v>
      </c>
      <c r="C6399" t="s">
        <v>686</v>
      </c>
      <c r="D6399" t="s">
        <v>1375</v>
      </c>
      <c r="E6399" t="s">
        <v>187</v>
      </c>
      <c r="F6399">
        <v>2012</v>
      </c>
      <c r="G6399">
        <v>132.47640000000001</v>
      </c>
    </row>
    <row r="6400" spans="1:7">
      <c r="A6400" t="s">
        <v>1297</v>
      </c>
      <c r="B6400" t="s">
        <v>1298</v>
      </c>
      <c r="C6400" t="s">
        <v>686</v>
      </c>
      <c r="D6400" t="s">
        <v>1375</v>
      </c>
      <c r="E6400" t="s">
        <v>187</v>
      </c>
      <c r="F6400">
        <v>2016</v>
      </c>
      <c r="G6400">
        <v>141.631204</v>
      </c>
    </row>
    <row r="6401" spans="1:7">
      <c r="A6401" t="s">
        <v>1297</v>
      </c>
      <c r="B6401" t="s">
        <v>1298</v>
      </c>
      <c r="C6401" t="s">
        <v>686</v>
      </c>
      <c r="D6401" t="s">
        <v>1375</v>
      </c>
      <c r="E6401" t="s">
        <v>187</v>
      </c>
      <c r="F6401">
        <v>2020</v>
      </c>
      <c r="G6401">
        <v>135.36009000000001</v>
      </c>
    </row>
    <row r="6402" spans="1:7">
      <c r="A6402" t="s">
        <v>1297</v>
      </c>
      <c r="B6402" t="s">
        <v>1298</v>
      </c>
      <c r="C6402" t="s">
        <v>676</v>
      </c>
      <c r="D6402" t="s">
        <v>1375</v>
      </c>
      <c r="E6402" t="s">
        <v>187</v>
      </c>
      <c r="F6402">
        <v>2005</v>
      </c>
      <c r="G6402">
        <v>113.238</v>
      </c>
    </row>
    <row r="6403" spans="1:7">
      <c r="A6403" t="s">
        <v>1297</v>
      </c>
      <c r="B6403" t="s">
        <v>1298</v>
      </c>
      <c r="C6403" t="s">
        <v>676</v>
      </c>
      <c r="D6403" t="s">
        <v>1375</v>
      </c>
      <c r="E6403" t="s">
        <v>187</v>
      </c>
      <c r="F6403">
        <v>2010</v>
      </c>
      <c r="G6403">
        <v>100.288591</v>
      </c>
    </row>
    <row r="6404" spans="1:7">
      <c r="A6404" t="s">
        <v>1297</v>
      </c>
      <c r="B6404" t="s">
        <v>1298</v>
      </c>
      <c r="C6404" t="s">
        <v>676</v>
      </c>
      <c r="D6404" t="s">
        <v>1375</v>
      </c>
      <c r="E6404" t="s">
        <v>187</v>
      </c>
      <c r="F6404">
        <v>2012</v>
      </c>
      <c r="G6404">
        <v>103.1904</v>
      </c>
    </row>
    <row r="6405" spans="1:7">
      <c r="A6405" t="s">
        <v>1297</v>
      </c>
      <c r="B6405" t="s">
        <v>1298</v>
      </c>
      <c r="C6405" t="s">
        <v>676</v>
      </c>
      <c r="D6405" t="s">
        <v>1375</v>
      </c>
      <c r="E6405" t="s">
        <v>187</v>
      </c>
      <c r="F6405">
        <v>2016</v>
      </c>
      <c r="G6405">
        <v>97.430400000000006</v>
      </c>
    </row>
    <row r="6406" spans="1:7">
      <c r="A6406" t="s">
        <v>1297</v>
      </c>
      <c r="B6406" t="s">
        <v>1298</v>
      </c>
      <c r="C6406" t="s">
        <v>676</v>
      </c>
      <c r="D6406" t="s">
        <v>1375</v>
      </c>
      <c r="E6406" t="s">
        <v>187</v>
      </c>
      <c r="F6406">
        <v>2020</v>
      </c>
      <c r="G6406">
        <v>102.36239999999999</v>
      </c>
    </row>
    <row r="6407" spans="1:7">
      <c r="A6407" t="s">
        <v>1297</v>
      </c>
      <c r="B6407" t="s">
        <v>1298</v>
      </c>
      <c r="C6407" t="s">
        <v>684</v>
      </c>
      <c r="D6407" t="s">
        <v>1375</v>
      </c>
      <c r="E6407" t="s">
        <v>187</v>
      </c>
      <c r="F6407">
        <v>2010</v>
      </c>
      <c r="G6407">
        <v>14.479200000000001</v>
      </c>
    </row>
    <row r="6408" spans="1:7">
      <c r="A6408" t="s">
        <v>1297</v>
      </c>
      <c r="B6408" t="s">
        <v>1298</v>
      </c>
      <c r="C6408" t="s">
        <v>684</v>
      </c>
      <c r="D6408" t="s">
        <v>1375</v>
      </c>
      <c r="E6408" t="s">
        <v>187</v>
      </c>
      <c r="F6408">
        <v>2012</v>
      </c>
      <c r="G6408">
        <v>10.238713000000001</v>
      </c>
    </row>
    <row r="6409" spans="1:7">
      <c r="A6409" t="s">
        <v>1297</v>
      </c>
      <c r="B6409" t="s">
        <v>1298</v>
      </c>
      <c r="C6409" t="s">
        <v>684</v>
      </c>
      <c r="D6409" t="s">
        <v>1375</v>
      </c>
      <c r="E6409" t="s">
        <v>187</v>
      </c>
      <c r="F6409">
        <v>2016</v>
      </c>
      <c r="G6409">
        <v>11.308287999999999</v>
      </c>
    </row>
    <row r="6410" spans="1:7">
      <c r="A6410" t="s">
        <v>1297</v>
      </c>
      <c r="B6410" t="s">
        <v>1298</v>
      </c>
      <c r="C6410" t="s">
        <v>684</v>
      </c>
      <c r="D6410" t="s">
        <v>1375</v>
      </c>
      <c r="E6410" t="s">
        <v>187</v>
      </c>
      <c r="F6410">
        <v>2020</v>
      </c>
      <c r="G6410">
        <v>12.352679999999999</v>
      </c>
    </row>
    <row r="6411" spans="1:7">
      <c r="A6411" t="s">
        <v>1297</v>
      </c>
      <c r="B6411" t="s">
        <v>1298</v>
      </c>
      <c r="C6411" t="s">
        <v>1302</v>
      </c>
      <c r="D6411" t="s">
        <v>1375</v>
      </c>
      <c r="E6411" t="s">
        <v>187</v>
      </c>
      <c r="F6411">
        <v>2005</v>
      </c>
      <c r="G6411">
        <v>16.0488</v>
      </c>
    </row>
    <row r="6412" spans="1:7">
      <c r="A6412" t="s">
        <v>1297</v>
      </c>
      <c r="B6412" t="s">
        <v>1298</v>
      </c>
      <c r="C6412" t="s">
        <v>1302</v>
      </c>
      <c r="D6412" t="s">
        <v>1375</v>
      </c>
      <c r="E6412" t="s">
        <v>187</v>
      </c>
      <c r="F6412">
        <v>2010</v>
      </c>
      <c r="G6412">
        <v>18.604800000000001</v>
      </c>
    </row>
    <row r="6413" spans="1:7">
      <c r="A6413" t="s">
        <v>1297</v>
      </c>
      <c r="B6413" t="s">
        <v>1298</v>
      </c>
      <c r="C6413" t="s">
        <v>1302</v>
      </c>
      <c r="D6413" t="s">
        <v>1375</v>
      </c>
      <c r="E6413" t="s">
        <v>187</v>
      </c>
      <c r="F6413">
        <v>2012</v>
      </c>
      <c r="G6413">
        <v>21.393284000000001</v>
      </c>
    </row>
    <row r="6414" spans="1:7">
      <c r="A6414" t="s">
        <v>1297</v>
      </c>
      <c r="B6414" t="s">
        <v>1298</v>
      </c>
      <c r="C6414" t="s">
        <v>1302</v>
      </c>
      <c r="D6414" t="s">
        <v>1375</v>
      </c>
      <c r="E6414" t="s">
        <v>187</v>
      </c>
      <c r="F6414">
        <v>2016</v>
      </c>
      <c r="G6414">
        <v>21.533425000000001</v>
      </c>
    </row>
    <row r="6415" spans="1:7">
      <c r="A6415" t="s">
        <v>1297</v>
      </c>
      <c r="B6415" t="s">
        <v>1298</v>
      </c>
      <c r="C6415" t="s">
        <v>1302</v>
      </c>
      <c r="D6415" t="s">
        <v>1375</v>
      </c>
      <c r="E6415" t="s">
        <v>187</v>
      </c>
      <c r="F6415">
        <v>2020</v>
      </c>
      <c r="G6415">
        <v>22.862497999999999</v>
      </c>
    </row>
    <row r="6416" spans="1:7">
      <c r="A6416" t="s">
        <v>1297</v>
      </c>
      <c r="B6416" t="s">
        <v>1298</v>
      </c>
      <c r="C6416" t="s">
        <v>660</v>
      </c>
      <c r="D6416" t="s">
        <v>1375</v>
      </c>
      <c r="E6416" t="s">
        <v>187</v>
      </c>
      <c r="F6416">
        <v>2005</v>
      </c>
      <c r="G6416">
        <v>254.10086999999999</v>
      </c>
    </row>
    <row r="6417" spans="1:7">
      <c r="A6417" t="s">
        <v>1297</v>
      </c>
      <c r="B6417" t="s">
        <v>1298</v>
      </c>
      <c r="C6417" t="s">
        <v>660</v>
      </c>
      <c r="D6417" t="s">
        <v>1375</v>
      </c>
      <c r="E6417" t="s">
        <v>187</v>
      </c>
      <c r="F6417">
        <v>2010</v>
      </c>
      <c r="G6417">
        <v>290.42194000000001</v>
      </c>
    </row>
    <row r="6418" spans="1:7">
      <c r="A6418" t="s">
        <v>1297</v>
      </c>
      <c r="B6418" t="s">
        <v>1298</v>
      </c>
      <c r="C6418" t="s">
        <v>660</v>
      </c>
      <c r="D6418" t="s">
        <v>1375</v>
      </c>
      <c r="E6418" t="s">
        <v>187</v>
      </c>
      <c r="F6418">
        <v>2012</v>
      </c>
      <c r="G6418">
        <v>253.47515799999999</v>
      </c>
    </row>
    <row r="6419" spans="1:7">
      <c r="A6419" t="s">
        <v>1297</v>
      </c>
      <c r="B6419" t="s">
        <v>1298</v>
      </c>
      <c r="C6419" t="s">
        <v>679</v>
      </c>
      <c r="D6419" t="s">
        <v>1375</v>
      </c>
      <c r="E6419" t="s">
        <v>187</v>
      </c>
      <c r="F6419">
        <v>2005</v>
      </c>
      <c r="G6419">
        <v>496.83240000000001</v>
      </c>
    </row>
    <row r="6420" spans="1:7">
      <c r="A6420" t="s">
        <v>1297</v>
      </c>
      <c r="B6420" t="s">
        <v>1298</v>
      </c>
      <c r="C6420" t="s">
        <v>679</v>
      </c>
      <c r="D6420" t="s">
        <v>1375</v>
      </c>
      <c r="E6420" t="s">
        <v>187</v>
      </c>
      <c r="F6420">
        <v>2010</v>
      </c>
      <c r="G6420">
        <v>445.10399999999998</v>
      </c>
    </row>
    <row r="6421" spans="1:7">
      <c r="A6421" t="s">
        <v>1297</v>
      </c>
      <c r="B6421" t="s">
        <v>1298</v>
      </c>
      <c r="C6421" t="s">
        <v>679</v>
      </c>
      <c r="D6421" t="s">
        <v>1375</v>
      </c>
      <c r="E6421" t="s">
        <v>187</v>
      </c>
      <c r="F6421">
        <v>2012</v>
      </c>
      <c r="G6421">
        <v>531.58680000000004</v>
      </c>
    </row>
    <row r="6422" spans="1:7">
      <c r="A6422" t="s">
        <v>1297</v>
      </c>
      <c r="B6422" t="s">
        <v>1298</v>
      </c>
      <c r="C6422" t="s">
        <v>679</v>
      </c>
      <c r="D6422" t="s">
        <v>1375</v>
      </c>
      <c r="E6422" t="s">
        <v>187</v>
      </c>
      <c r="F6422">
        <v>2016</v>
      </c>
      <c r="G6422">
        <v>536.55119999999999</v>
      </c>
    </row>
    <row r="6423" spans="1:7">
      <c r="A6423" t="s">
        <v>1297</v>
      </c>
      <c r="B6423" t="s">
        <v>1298</v>
      </c>
      <c r="C6423" t="s">
        <v>679</v>
      </c>
      <c r="D6423" t="s">
        <v>1375</v>
      </c>
      <c r="E6423" t="s">
        <v>187</v>
      </c>
      <c r="F6423">
        <v>2020</v>
      </c>
      <c r="G6423">
        <v>487.05077899999998</v>
      </c>
    </row>
    <row r="6424" spans="1:7">
      <c r="A6424" t="s">
        <v>1297</v>
      </c>
      <c r="B6424" t="s">
        <v>1298</v>
      </c>
      <c r="C6424" t="s">
        <v>671</v>
      </c>
      <c r="D6424" t="s">
        <v>1375</v>
      </c>
      <c r="E6424" t="s">
        <v>187</v>
      </c>
      <c r="F6424">
        <v>2005</v>
      </c>
      <c r="G6424">
        <v>564.96953499999995</v>
      </c>
    </row>
    <row r="6425" spans="1:7">
      <c r="A6425" t="s">
        <v>1297</v>
      </c>
      <c r="B6425" t="s">
        <v>1298</v>
      </c>
      <c r="C6425" t="s">
        <v>671</v>
      </c>
      <c r="D6425" t="s">
        <v>1375</v>
      </c>
      <c r="E6425" t="s">
        <v>187</v>
      </c>
      <c r="F6425">
        <v>2010</v>
      </c>
      <c r="G6425">
        <v>567.56955200000004</v>
      </c>
    </row>
    <row r="6426" spans="1:7">
      <c r="A6426" t="s">
        <v>1297</v>
      </c>
      <c r="B6426" t="s">
        <v>1298</v>
      </c>
      <c r="C6426" t="s">
        <v>671</v>
      </c>
      <c r="D6426" t="s">
        <v>1375</v>
      </c>
      <c r="E6426" t="s">
        <v>187</v>
      </c>
      <c r="F6426">
        <v>2012</v>
      </c>
      <c r="G6426">
        <v>583.70135400000004</v>
      </c>
    </row>
    <row r="6427" spans="1:7">
      <c r="A6427" t="s">
        <v>1297</v>
      </c>
      <c r="B6427" t="s">
        <v>1298</v>
      </c>
      <c r="C6427" t="s">
        <v>671</v>
      </c>
      <c r="D6427" t="s">
        <v>1375</v>
      </c>
      <c r="E6427" t="s">
        <v>187</v>
      </c>
      <c r="F6427">
        <v>2016</v>
      </c>
      <c r="G6427">
        <v>599.89108699999997</v>
      </c>
    </row>
    <row r="6428" spans="1:7">
      <c r="A6428" t="s">
        <v>1297</v>
      </c>
      <c r="B6428" t="s">
        <v>1298</v>
      </c>
      <c r="C6428" t="s">
        <v>671</v>
      </c>
      <c r="D6428" t="s">
        <v>1375</v>
      </c>
      <c r="E6428" t="s">
        <v>187</v>
      </c>
      <c r="F6428">
        <v>2020</v>
      </c>
      <c r="G6428">
        <v>590.35860400000001</v>
      </c>
    </row>
    <row r="6429" spans="1:7">
      <c r="A6429" t="s">
        <v>1297</v>
      </c>
      <c r="B6429" t="s">
        <v>1298</v>
      </c>
      <c r="C6429" t="s">
        <v>1299</v>
      </c>
      <c r="D6429" t="s">
        <v>1375</v>
      </c>
      <c r="E6429" t="s">
        <v>187</v>
      </c>
      <c r="F6429">
        <v>2005</v>
      </c>
      <c r="G6429">
        <v>669.79404</v>
      </c>
    </row>
    <row r="6430" spans="1:7">
      <c r="A6430" t="s">
        <v>1297</v>
      </c>
      <c r="B6430" t="s">
        <v>1298</v>
      </c>
      <c r="C6430" t="s">
        <v>1299</v>
      </c>
      <c r="D6430" t="s">
        <v>1375</v>
      </c>
      <c r="E6430" t="s">
        <v>187</v>
      </c>
      <c r="F6430">
        <v>2010</v>
      </c>
      <c r="G6430">
        <v>679.7808</v>
      </c>
    </row>
    <row r="6431" spans="1:7">
      <c r="A6431" t="s">
        <v>1297</v>
      </c>
      <c r="B6431" t="s">
        <v>1298</v>
      </c>
      <c r="C6431" t="s">
        <v>1299</v>
      </c>
      <c r="D6431" t="s">
        <v>1375</v>
      </c>
      <c r="E6431" t="s">
        <v>187</v>
      </c>
      <c r="F6431">
        <v>2012</v>
      </c>
      <c r="G6431">
        <v>715.96151999999995</v>
      </c>
    </row>
    <row r="6432" spans="1:7">
      <c r="A6432" t="s">
        <v>1297</v>
      </c>
      <c r="B6432" t="s">
        <v>1298</v>
      </c>
      <c r="C6432" t="s">
        <v>1299</v>
      </c>
      <c r="D6432" t="s">
        <v>1375</v>
      </c>
      <c r="E6432" t="s">
        <v>187</v>
      </c>
      <c r="F6432">
        <v>2016</v>
      </c>
      <c r="G6432">
        <v>592.45776000000001</v>
      </c>
    </row>
    <row r="6433" spans="1:7">
      <c r="A6433" t="s">
        <v>1297</v>
      </c>
      <c r="B6433" t="s">
        <v>1298</v>
      </c>
      <c r="C6433" t="s">
        <v>1299</v>
      </c>
      <c r="D6433" t="s">
        <v>1375</v>
      </c>
      <c r="E6433" t="s">
        <v>187</v>
      </c>
      <c r="F6433">
        <v>2020</v>
      </c>
      <c r="G6433">
        <v>554.9076</v>
      </c>
    </row>
    <row r="6434" spans="1:7">
      <c r="A6434" t="s">
        <v>1297</v>
      </c>
      <c r="B6434" t="s">
        <v>1298</v>
      </c>
      <c r="C6434" t="s">
        <v>1300</v>
      </c>
      <c r="D6434" t="s">
        <v>1375</v>
      </c>
      <c r="E6434" t="s">
        <v>187</v>
      </c>
      <c r="F6434">
        <v>2010</v>
      </c>
      <c r="G6434">
        <v>3.8304</v>
      </c>
    </row>
    <row r="6435" spans="1:7">
      <c r="A6435" t="s">
        <v>1297</v>
      </c>
      <c r="B6435" t="s">
        <v>1298</v>
      </c>
      <c r="C6435" t="s">
        <v>1300</v>
      </c>
      <c r="D6435" t="s">
        <v>1375</v>
      </c>
      <c r="E6435" t="s">
        <v>187</v>
      </c>
      <c r="F6435">
        <v>2012</v>
      </c>
      <c r="G6435">
        <v>3.3548110000000002</v>
      </c>
    </row>
    <row r="6436" spans="1:7">
      <c r="A6436" t="s">
        <v>1297</v>
      </c>
      <c r="B6436" t="s">
        <v>1298</v>
      </c>
      <c r="C6436" t="s">
        <v>1300</v>
      </c>
      <c r="D6436" t="s">
        <v>1375</v>
      </c>
      <c r="E6436" t="s">
        <v>187</v>
      </c>
      <c r="F6436">
        <v>2016</v>
      </c>
      <c r="G6436">
        <v>3.260945</v>
      </c>
    </row>
    <row r="6437" spans="1:7">
      <c r="A6437" t="s">
        <v>1297</v>
      </c>
      <c r="B6437" t="s">
        <v>1298</v>
      </c>
      <c r="C6437" t="s">
        <v>1300</v>
      </c>
      <c r="D6437" t="s">
        <v>1375</v>
      </c>
      <c r="E6437" t="s">
        <v>187</v>
      </c>
      <c r="F6437">
        <v>2020</v>
      </c>
      <c r="G6437">
        <v>3.3875999999999999</v>
      </c>
    </row>
    <row r="6438" spans="1:7">
      <c r="A6438" t="s">
        <v>1297</v>
      </c>
      <c r="B6438" t="s">
        <v>1298</v>
      </c>
      <c r="C6438" t="s">
        <v>684</v>
      </c>
      <c r="D6438" t="s">
        <v>1375</v>
      </c>
      <c r="E6438" t="s">
        <v>187</v>
      </c>
      <c r="F6438">
        <v>2005</v>
      </c>
      <c r="G6438">
        <v>10.3104</v>
      </c>
    </row>
    <row r="6439" spans="1:7">
      <c r="A6439" t="s">
        <v>1297</v>
      </c>
      <c r="B6439" t="s">
        <v>1298</v>
      </c>
      <c r="C6439" t="s">
        <v>666</v>
      </c>
      <c r="D6439" t="s">
        <v>1375</v>
      </c>
      <c r="E6439" t="s">
        <v>187</v>
      </c>
      <c r="F6439">
        <v>2005</v>
      </c>
      <c r="G6439">
        <v>53.2224</v>
      </c>
    </row>
    <row r="6440" spans="1:7">
      <c r="A6440" t="s">
        <v>1297</v>
      </c>
      <c r="B6440" t="s">
        <v>1298</v>
      </c>
      <c r="C6440" t="s">
        <v>666</v>
      </c>
      <c r="D6440" t="s">
        <v>1375</v>
      </c>
      <c r="E6440" t="s">
        <v>187</v>
      </c>
      <c r="F6440">
        <v>2010</v>
      </c>
      <c r="G6440">
        <v>20.696400000000001</v>
      </c>
    </row>
    <row r="6441" spans="1:7">
      <c r="A6441" t="s">
        <v>1297</v>
      </c>
      <c r="B6441" t="s">
        <v>1298</v>
      </c>
      <c r="C6441" t="s">
        <v>666</v>
      </c>
      <c r="D6441" t="s">
        <v>1375</v>
      </c>
      <c r="E6441" t="s">
        <v>187</v>
      </c>
      <c r="F6441">
        <v>2012</v>
      </c>
      <c r="G6441">
        <v>18.154800000000002</v>
      </c>
    </row>
    <row r="6442" spans="1:7">
      <c r="A6442" t="s">
        <v>1297</v>
      </c>
      <c r="B6442" t="s">
        <v>1298</v>
      </c>
      <c r="C6442" t="s">
        <v>666</v>
      </c>
      <c r="D6442" t="s">
        <v>1375</v>
      </c>
      <c r="E6442" t="s">
        <v>187</v>
      </c>
      <c r="F6442">
        <v>2016</v>
      </c>
      <c r="G6442">
        <v>15.3576</v>
      </c>
    </row>
    <row r="6443" spans="1:7">
      <c r="A6443" t="s">
        <v>1297</v>
      </c>
      <c r="B6443" t="s">
        <v>1298</v>
      </c>
      <c r="C6443" t="s">
        <v>666</v>
      </c>
      <c r="D6443" t="s">
        <v>1375</v>
      </c>
      <c r="E6443" t="s">
        <v>187</v>
      </c>
      <c r="F6443">
        <v>2020</v>
      </c>
      <c r="G6443">
        <v>14.29776</v>
      </c>
    </row>
    <row r="6444" spans="1:7">
      <c r="A6444" t="s">
        <v>1297</v>
      </c>
      <c r="B6444" t="s">
        <v>1298</v>
      </c>
      <c r="C6444" t="s">
        <v>655</v>
      </c>
      <c r="D6444" t="s">
        <v>1375</v>
      </c>
      <c r="E6444" t="s">
        <v>187</v>
      </c>
      <c r="F6444">
        <v>2005</v>
      </c>
      <c r="G6444">
        <v>297.28645599999999</v>
      </c>
    </row>
    <row r="6445" spans="1:7">
      <c r="A6445" t="s">
        <v>1297</v>
      </c>
      <c r="B6445" t="s">
        <v>1298</v>
      </c>
      <c r="C6445" t="s">
        <v>655</v>
      </c>
      <c r="D6445" t="s">
        <v>1375</v>
      </c>
      <c r="E6445" t="s">
        <v>187</v>
      </c>
      <c r="F6445">
        <v>2010</v>
      </c>
      <c r="G6445">
        <v>309.255696</v>
      </c>
    </row>
    <row r="6446" spans="1:7">
      <c r="A6446" t="s">
        <v>1297</v>
      </c>
      <c r="B6446" t="s">
        <v>1298</v>
      </c>
      <c r="C6446" t="s">
        <v>655</v>
      </c>
      <c r="D6446" t="s">
        <v>1375</v>
      </c>
      <c r="E6446" t="s">
        <v>187</v>
      </c>
      <c r="F6446">
        <v>2012</v>
      </c>
      <c r="G6446">
        <v>314.705333</v>
      </c>
    </row>
    <row r="6447" spans="1:7">
      <c r="A6447" t="s">
        <v>1297</v>
      </c>
      <c r="B6447" t="s">
        <v>1298</v>
      </c>
      <c r="C6447" t="s">
        <v>655</v>
      </c>
      <c r="D6447" t="s">
        <v>1375</v>
      </c>
      <c r="E6447" t="s">
        <v>187</v>
      </c>
      <c r="F6447">
        <v>2016</v>
      </c>
      <c r="G6447">
        <v>299.91627399999999</v>
      </c>
    </row>
    <row r="6448" spans="1:7">
      <c r="A6448" t="s">
        <v>1297</v>
      </c>
      <c r="B6448" t="s">
        <v>1298</v>
      </c>
      <c r="C6448" t="s">
        <v>655</v>
      </c>
      <c r="D6448" t="s">
        <v>1375</v>
      </c>
      <c r="E6448" t="s">
        <v>187</v>
      </c>
      <c r="F6448">
        <v>2020</v>
      </c>
      <c r="G6448">
        <v>313.31016699999998</v>
      </c>
    </row>
    <row r="6449" spans="1:7">
      <c r="A6449" t="s">
        <v>1297</v>
      </c>
      <c r="B6449" t="s">
        <v>1298</v>
      </c>
      <c r="C6449" t="s">
        <v>651</v>
      </c>
      <c r="D6449" t="s">
        <v>1375</v>
      </c>
      <c r="E6449" t="s">
        <v>187</v>
      </c>
      <c r="F6449">
        <v>2005</v>
      </c>
      <c r="G6449">
        <v>240.597871</v>
      </c>
    </row>
    <row r="6450" spans="1:7">
      <c r="A6450" t="s">
        <v>1297</v>
      </c>
      <c r="B6450" t="s">
        <v>1298</v>
      </c>
      <c r="C6450" t="s">
        <v>651</v>
      </c>
      <c r="D6450" t="s">
        <v>1375</v>
      </c>
      <c r="E6450" t="s">
        <v>187</v>
      </c>
      <c r="F6450">
        <v>2010</v>
      </c>
      <c r="G6450">
        <v>256.06092200000001</v>
      </c>
    </row>
    <row r="6451" spans="1:7">
      <c r="A6451" t="s">
        <v>1297</v>
      </c>
      <c r="B6451" t="s">
        <v>1298</v>
      </c>
      <c r="C6451" t="s">
        <v>651</v>
      </c>
      <c r="D6451" t="s">
        <v>1375</v>
      </c>
      <c r="E6451" t="s">
        <v>187</v>
      </c>
      <c r="F6451">
        <v>2012</v>
      </c>
      <c r="G6451">
        <v>261.37244199999998</v>
      </c>
    </row>
    <row r="6452" spans="1:7">
      <c r="A6452" t="s">
        <v>1297</v>
      </c>
      <c r="B6452" t="s">
        <v>1298</v>
      </c>
      <c r="C6452" t="s">
        <v>651</v>
      </c>
      <c r="D6452" t="s">
        <v>1375</v>
      </c>
      <c r="E6452" t="s">
        <v>187</v>
      </c>
      <c r="F6452">
        <v>2016</v>
      </c>
      <c r="G6452">
        <v>245.90947</v>
      </c>
    </row>
    <row r="6453" spans="1:7">
      <c r="A6453" t="s">
        <v>1297</v>
      </c>
      <c r="B6453" t="s">
        <v>1298</v>
      </c>
      <c r="C6453" t="s">
        <v>651</v>
      </c>
      <c r="D6453" t="s">
        <v>1375</v>
      </c>
      <c r="E6453" t="s">
        <v>187</v>
      </c>
      <c r="F6453">
        <v>2020</v>
      </c>
      <c r="G6453">
        <v>267.24349100000001</v>
      </c>
    </row>
    <row r="6454" spans="1:7">
      <c r="A6454" t="s">
        <v>1297</v>
      </c>
      <c r="B6454" t="s">
        <v>1298</v>
      </c>
      <c r="C6454" t="s">
        <v>680</v>
      </c>
      <c r="D6454" t="s">
        <v>1375</v>
      </c>
      <c r="E6454" t="s">
        <v>187</v>
      </c>
      <c r="F6454">
        <v>2005</v>
      </c>
      <c r="G6454">
        <v>31.271393</v>
      </c>
    </row>
    <row r="6455" spans="1:7">
      <c r="A6455" t="s">
        <v>1297</v>
      </c>
      <c r="B6455" t="s">
        <v>1298</v>
      </c>
      <c r="C6455" t="s">
        <v>680</v>
      </c>
      <c r="D6455" t="s">
        <v>1375</v>
      </c>
      <c r="E6455" t="s">
        <v>187</v>
      </c>
      <c r="F6455">
        <v>2010</v>
      </c>
      <c r="G6455">
        <v>61.413851000000001</v>
      </c>
    </row>
    <row r="6456" spans="1:7">
      <c r="A6456" t="s">
        <v>1297</v>
      </c>
      <c r="B6456" t="s">
        <v>1298</v>
      </c>
      <c r="C6456" t="s">
        <v>680</v>
      </c>
      <c r="D6456" t="s">
        <v>1375</v>
      </c>
      <c r="E6456" t="s">
        <v>187</v>
      </c>
      <c r="F6456">
        <v>2012</v>
      </c>
      <c r="G6456">
        <v>63.176659000000001</v>
      </c>
    </row>
    <row r="6457" spans="1:7">
      <c r="A6457" t="s">
        <v>1297</v>
      </c>
      <c r="B6457" t="s">
        <v>1298</v>
      </c>
      <c r="C6457" t="s">
        <v>680</v>
      </c>
      <c r="D6457" t="s">
        <v>1375</v>
      </c>
      <c r="E6457" t="s">
        <v>187</v>
      </c>
      <c r="F6457">
        <v>2016</v>
      </c>
      <c r="G6457">
        <v>66.776709999999994</v>
      </c>
    </row>
    <row r="6458" spans="1:7">
      <c r="A6458" t="s">
        <v>1297</v>
      </c>
      <c r="B6458" t="s">
        <v>1298</v>
      </c>
      <c r="C6458" t="s">
        <v>680</v>
      </c>
      <c r="D6458" t="s">
        <v>1375</v>
      </c>
      <c r="E6458" t="s">
        <v>187</v>
      </c>
      <c r="F6458">
        <v>2020</v>
      </c>
      <c r="G6458">
        <v>70.159806000000003</v>
      </c>
    </row>
    <row r="6459" spans="1:7">
      <c r="A6459" t="s">
        <v>1297</v>
      </c>
      <c r="B6459" t="s">
        <v>1298</v>
      </c>
      <c r="C6459" t="s">
        <v>672</v>
      </c>
      <c r="D6459" t="s">
        <v>1375</v>
      </c>
      <c r="E6459" t="s">
        <v>187</v>
      </c>
      <c r="F6459">
        <v>2005</v>
      </c>
      <c r="G6459">
        <v>167.664838</v>
      </c>
    </row>
    <row r="6460" spans="1:7">
      <c r="A6460" t="s">
        <v>1297</v>
      </c>
      <c r="B6460" t="s">
        <v>1298</v>
      </c>
      <c r="C6460" t="s">
        <v>672</v>
      </c>
      <c r="D6460" t="s">
        <v>1375</v>
      </c>
      <c r="E6460" t="s">
        <v>187</v>
      </c>
      <c r="F6460">
        <v>2010</v>
      </c>
      <c r="G6460">
        <v>194.719482</v>
      </c>
    </row>
    <row r="6461" spans="1:7">
      <c r="A6461" t="s">
        <v>1297</v>
      </c>
      <c r="B6461" t="s">
        <v>1298</v>
      </c>
      <c r="C6461" t="s">
        <v>672</v>
      </c>
      <c r="D6461" t="s">
        <v>1375</v>
      </c>
      <c r="E6461" t="s">
        <v>187</v>
      </c>
      <c r="F6461">
        <v>2012</v>
      </c>
      <c r="G6461">
        <v>167.819526</v>
      </c>
    </row>
    <row r="6462" spans="1:7">
      <c r="A6462" t="s">
        <v>1297</v>
      </c>
      <c r="B6462" t="s">
        <v>1298</v>
      </c>
      <c r="C6462" t="s">
        <v>672</v>
      </c>
      <c r="D6462" t="s">
        <v>1375</v>
      </c>
      <c r="E6462" t="s">
        <v>187</v>
      </c>
      <c r="F6462">
        <v>2016</v>
      </c>
      <c r="G6462">
        <v>217.18134000000001</v>
      </c>
    </row>
    <row r="6463" spans="1:7">
      <c r="A6463" t="s">
        <v>1297</v>
      </c>
      <c r="B6463" t="s">
        <v>1298</v>
      </c>
      <c r="C6463" t="s">
        <v>672</v>
      </c>
      <c r="D6463" t="s">
        <v>1375</v>
      </c>
      <c r="E6463" t="s">
        <v>187</v>
      </c>
      <c r="F6463">
        <v>2020</v>
      </c>
      <c r="G6463">
        <v>191.35501199999999</v>
      </c>
    </row>
    <row r="6464" spans="1:7">
      <c r="A6464" t="s">
        <v>1297</v>
      </c>
      <c r="B6464" t="s">
        <v>1298</v>
      </c>
      <c r="C6464" t="s">
        <v>656</v>
      </c>
      <c r="D6464" t="s">
        <v>1375</v>
      </c>
      <c r="E6464" t="s">
        <v>187</v>
      </c>
      <c r="F6464">
        <v>2005</v>
      </c>
      <c r="G6464">
        <v>2243.2103999999999</v>
      </c>
    </row>
    <row r="6465" spans="1:7">
      <c r="A6465" t="s">
        <v>1297</v>
      </c>
      <c r="B6465" t="s">
        <v>1298</v>
      </c>
      <c r="C6465" t="s">
        <v>656</v>
      </c>
      <c r="D6465" t="s">
        <v>1375</v>
      </c>
      <c r="E6465" t="s">
        <v>187</v>
      </c>
      <c r="F6465">
        <v>2010</v>
      </c>
      <c r="G6465">
        <v>2279.232</v>
      </c>
    </row>
    <row r="6466" spans="1:7">
      <c r="A6466" t="s">
        <v>1297</v>
      </c>
      <c r="B6466" t="s">
        <v>1298</v>
      </c>
      <c r="C6466" t="s">
        <v>656</v>
      </c>
      <c r="D6466" t="s">
        <v>1375</v>
      </c>
      <c r="E6466" t="s">
        <v>187</v>
      </c>
      <c r="F6466">
        <v>2012</v>
      </c>
      <c r="G6466">
        <v>2261.9268000000002</v>
      </c>
    </row>
    <row r="6467" spans="1:7">
      <c r="A6467" t="s">
        <v>1297</v>
      </c>
      <c r="B6467" t="s">
        <v>1298</v>
      </c>
      <c r="C6467" t="s">
        <v>656</v>
      </c>
      <c r="D6467" t="s">
        <v>1375</v>
      </c>
      <c r="E6467" t="s">
        <v>187</v>
      </c>
      <c r="F6467">
        <v>2016</v>
      </c>
      <c r="G6467">
        <v>2341.6163999999999</v>
      </c>
    </row>
    <row r="6468" spans="1:7">
      <c r="A6468" t="s">
        <v>1297</v>
      </c>
      <c r="B6468" t="s">
        <v>1298</v>
      </c>
      <c r="C6468" t="s">
        <v>656</v>
      </c>
      <c r="D6468" t="s">
        <v>1375</v>
      </c>
      <c r="E6468" t="s">
        <v>187</v>
      </c>
      <c r="F6468">
        <v>2020</v>
      </c>
      <c r="G6468">
        <v>2192.634</v>
      </c>
    </row>
    <row r="6469" spans="1:7">
      <c r="A6469" t="s">
        <v>1297</v>
      </c>
      <c r="B6469" t="s">
        <v>1298</v>
      </c>
      <c r="C6469" t="s">
        <v>677</v>
      </c>
      <c r="D6469" t="s">
        <v>1375</v>
      </c>
      <c r="E6469" t="s">
        <v>187</v>
      </c>
      <c r="F6469">
        <v>2005</v>
      </c>
      <c r="G6469">
        <v>1434.0770749999999</v>
      </c>
    </row>
    <row r="6470" spans="1:7">
      <c r="A6470" t="s">
        <v>1297</v>
      </c>
      <c r="B6470" t="s">
        <v>1298</v>
      </c>
      <c r="C6470" t="s">
        <v>677</v>
      </c>
      <c r="D6470" t="s">
        <v>1375</v>
      </c>
      <c r="E6470" t="s">
        <v>187</v>
      </c>
      <c r="F6470">
        <v>2010</v>
      </c>
      <c r="G6470">
        <v>1375.4515429999999</v>
      </c>
    </row>
    <row r="6471" spans="1:7">
      <c r="A6471" t="s">
        <v>1297</v>
      </c>
      <c r="B6471" t="s">
        <v>1298</v>
      </c>
      <c r="C6471" t="s">
        <v>677</v>
      </c>
      <c r="D6471" t="s">
        <v>1375</v>
      </c>
      <c r="E6471" t="s">
        <v>187</v>
      </c>
      <c r="F6471">
        <v>2012</v>
      </c>
      <c r="G6471">
        <v>1309.963802</v>
      </c>
    </row>
    <row r="6472" spans="1:7">
      <c r="A6472" t="s">
        <v>1297</v>
      </c>
      <c r="B6472" t="s">
        <v>1298</v>
      </c>
      <c r="C6472" t="s">
        <v>677</v>
      </c>
      <c r="D6472" t="s">
        <v>1375</v>
      </c>
      <c r="E6472" t="s">
        <v>187</v>
      </c>
      <c r="F6472">
        <v>2016</v>
      </c>
      <c r="G6472">
        <v>1221.1816429999999</v>
      </c>
    </row>
    <row r="6473" spans="1:7">
      <c r="A6473" t="s">
        <v>1297</v>
      </c>
      <c r="B6473" t="s">
        <v>1298</v>
      </c>
      <c r="C6473" t="s">
        <v>677</v>
      </c>
      <c r="D6473" t="s">
        <v>1375</v>
      </c>
      <c r="E6473" t="s">
        <v>187</v>
      </c>
      <c r="F6473">
        <v>2020</v>
      </c>
      <c r="G6473">
        <v>1164.354368</v>
      </c>
    </row>
    <row r="6474" spans="1:7">
      <c r="A6474" t="s">
        <v>1297</v>
      </c>
      <c r="B6474" t="s">
        <v>1298</v>
      </c>
      <c r="C6474" t="s">
        <v>660</v>
      </c>
      <c r="D6474" t="s">
        <v>1375</v>
      </c>
      <c r="E6474" t="s">
        <v>187</v>
      </c>
      <c r="F6474">
        <v>2016</v>
      </c>
      <c r="G6474">
        <v>247.525834</v>
      </c>
    </row>
    <row r="6475" spans="1:7">
      <c r="A6475" t="s">
        <v>1297</v>
      </c>
      <c r="B6475" t="s">
        <v>1298</v>
      </c>
      <c r="C6475" t="s">
        <v>660</v>
      </c>
      <c r="D6475" t="s">
        <v>1375</v>
      </c>
      <c r="E6475" t="s">
        <v>187</v>
      </c>
      <c r="F6475">
        <v>2020</v>
      </c>
      <c r="G6475">
        <v>247.11534700000001</v>
      </c>
    </row>
    <row r="6476" spans="1:7">
      <c r="A6476" t="s">
        <v>1297</v>
      </c>
      <c r="B6476" t="s">
        <v>1298</v>
      </c>
      <c r="C6476" t="s">
        <v>682</v>
      </c>
      <c r="D6476" t="s">
        <v>1375</v>
      </c>
      <c r="E6476" t="s">
        <v>187</v>
      </c>
      <c r="F6476">
        <v>2016</v>
      </c>
      <c r="G6476">
        <v>63.959784999999997</v>
      </c>
    </row>
    <row r="6477" spans="1:7">
      <c r="A6477" t="s">
        <v>1297</v>
      </c>
      <c r="B6477" t="s">
        <v>1298</v>
      </c>
      <c r="C6477" t="s">
        <v>682</v>
      </c>
      <c r="D6477" t="s">
        <v>1375</v>
      </c>
      <c r="E6477" t="s">
        <v>187</v>
      </c>
      <c r="F6477">
        <v>2020</v>
      </c>
      <c r="G6477">
        <v>62.974800000000002</v>
      </c>
    </row>
    <row r="6478" spans="1:7">
      <c r="A6478" t="s">
        <v>1297</v>
      </c>
      <c r="B6478" t="s">
        <v>1298</v>
      </c>
      <c r="C6478" t="s">
        <v>670</v>
      </c>
      <c r="D6478" t="s">
        <v>1375</v>
      </c>
      <c r="E6478" t="s">
        <v>187</v>
      </c>
      <c r="F6478">
        <v>2005</v>
      </c>
      <c r="G6478">
        <v>359.72113999999999</v>
      </c>
    </row>
    <row r="6479" spans="1:7">
      <c r="A6479" t="s">
        <v>1297</v>
      </c>
      <c r="B6479" t="s">
        <v>1298</v>
      </c>
      <c r="C6479" t="s">
        <v>670</v>
      </c>
      <c r="D6479" t="s">
        <v>1375</v>
      </c>
      <c r="E6479" t="s">
        <v>187</v>
      </c>
      <c r="F6479">
        <v>2010</v>
      </c>
      <c r="G6479">
        <v>429.36943000000002</v>
      </c>
    </row>
    <row r="6480" spans="1:7">
      <c r="A6480" t="s">
        <v>1297</v>
      </c>
      <c r="B6480" t="s">
        <v>1298</v>
      </c>
      <c r="C6480" t="s">
        <v>670</v>
      </c>
      <c r="D6480" t="s">
        <v>1375</v>
      </c>
      <c r="E6480" t="s">
        <v>187</v>
      </c>
      <c r="F6480">
        <v>2012</v>
      </c>
      <c r="G6480">
        <v>371.64603199999999</v>
      </c>
    </row>
    <row r="6481" spans="1:7">
      <c r="A6481" t="s">
        <v>1297</v>
      </c>
      <c r="B6481" t="s">
        <v>1298</v>
      </c>
      <c r="C6481" t="s">
        <v>670</v>
      </c>
      <c r="D6481" t="s">
        <v>1375</v>
      </c>
      <c r="E6481" t="s">
        <v>187</v>
      </c>
      <c r="F6481">
        <v>2016</v>
      </c>
      <c r="G6481">
        <v>414.60433899999998</v>
      </c>
    </row>
    <row r="6482" spans="1:7">
      <c r="A6482" t="s">
        <v>1297</v>
      </c>
      <c r="B6482" t="s">
        <v>1298</v>
      </c>
      <c r="C6482" t="s">
        <v>670</v>
      </c>
      <c r="D6482" t="s">
        <v>1375</v>
      </c>
      <c r="E6482" t="s">
        <v>187</v>
      </c>
      <c r="F6482">
        <v>2020</v>
      </c>
      <c r="G6482">
        <v>435.82158700000002</v>
      </c>
    </row>
    <row r="6483" spans="1:7">
      <c r="A6483" t="s">
        <v>1297</v>
      </c>
      <c r="B6483" t="s">
        <v>1298</v>
      </c>
      <c r="C6483" t="s">
        <v>289</v>
      </c>
      <c r="D6483" t="s">
        <v>1375</v>
      </c>
      <c r="E6483" t="s">
        <v>187</v>
      </c>
      <c r="F6483">
        <v>2005</v>
      </c>
      <c r="G6483">
        <v>47.381399999999999</v>
      </c>
    </row>
    <row r="6484" spans="1:7">
      <c r="A6484" t="s">
        <v>1297</v>
      </c>
      <c r="B6484" t="s">
        <v>1298</v>
      </c>
      <c r="C6484" t="s">
        <v>289</v>
      </c>
      <c r="D6484" t="s">
        <v>1375</v>
      </c>
      <c r="E6484" t="s">
        <v>187</v>
      </c>
      <c r="F6484">
        <v>2010</v>
      </c>
      <c r="G6484">
        <v>53.649216000000003</v>
      </c>
    </row>
    <row r="6485" spans="1:7">
      <c r="A6485" t="s">
        <v>1297</v>
      </c>
      <c r="B6485" t="s">
        <v>1298</v>
      </c>
      <c r="C6485" t="s">
        <v>289</v>
      </c>
      <c r="D6485" t="s">
        <v>1375</v>
      </c>
      <c r="E6485" t="s">
        <v>187</v>
      </c>
      <c r="F6485">
        <v>2012</v>
      </c>
      <c r="G6485">
        <v>38.717841999999997</v>
      </c>
    </row>
    <row r="6486" spans="1:7">
      <c r="A6486" t="s">
        <v>1297</v>
      </c>
      <c r="B6486" t="s">
        <v>1298</v>
      </c>
      <c r="C6486" t="s">
        <v>289</v>
      </c>
      <c r="D6486" t="s">
        <v>1375</v>
      </c>
      <c r="E6486" t="s">
        <v>187</v>
      </c>
      <c r="F6486">
        <v>2016</v>
      </c>
      <c r="G6486">
        <v>46.151322999999998</v>
      </c>
    </row>
    <row r="6487" spans="1:7">
      <c r="A6487" t="s">
        <v>1297</v>
      </c>
      <c r="B6487" t="s">
        <v>1298</v>
      </c>
      <c r="C6487" t="s">
        <v>289</v>
      </c>
      <c r="D6487" t="s">
        <v>1375</v>
      </c>
      <c r="E6487" t="s">
        <v>187</v>
      </c>
      <c r="F6487">
        <v>2020</v>
      </c>
      <c r="G6487">
        <v>45.937080000000002</v>
      </c>
    </row>
    <row r="6488" spans="1:7">
      <c r="A6488" t="s">
        <v>1297</v>
      </c>
      <c r="B6488" t="s">
        <v>1298</v>
      </c>
      <c r="C6488" t="s">
        <v>1303</v>
      </c>
      <c r="D6488" t="s">
        <v>1375</v>
      </c>
      <c r="E6488" t="s">
        <v>187</v>
      </c>
      <c r="F6488">
        <v>2016</v>
      </c>
      <c r="G6488">
        <v>41.667268</v>
      </c>
    </row>
    <row r="6489" spans="1:7">
      <c r="A6489" t="s">
        <v>1297</v>
      </c>
      <c r="B6489" t="s">
        <v>1298</v>
      </c>
      <c r="C6489" t="s">
        <v>1303</v>
      </c>
      <c r="D6489" t="s">
        <v>1375</v>
      </c>
      <c r="E6489" t="s">
        <v>187</v>
      </c>
      <c r="F6489">
        <v>2020</v>
      </c>
      <c r="G6489">
        <v>42.684480000000001</v>
      </c>
    </row>
    <row r="6490" spans="1:7">
      <c r="A6490" t="s">
        <v>1297</v>
      </c>
      <c r="B6490" t="s">
        <v>1298</v>
      </c>
      <c r="C6490" t="s">
        <v>663</v>
      </c>
      <c r="D6490" t="s">
        <v>1375</v>
      </c>
      <c r="E6490" t="s">
        <v>187</v>
      </c>
      <c r="F6490">
        <v>2005</v>
      </c>
      <c r="G6490">
        <v>128.71898999999999</v>
      </c>
    </row>
    <row r="6491" spans="1:7">
      <c r="A6491" t="s">
        <v>1297</v>
      </c>
      <c r="B6491" t="s">
        <v>1298</v>
      </c>
      <c r="C6491" t="s">
        <v>663</v>
      </c>
      <c r="D6491" t="s">
        <v>1375</v>
      </c>
      <c r="E6491" t="s">
        <v>187</v>
      </c>
      <c r="F6491">
        <v>2010</v>
      </c>
      <c r="G6491">
        <v>134.532522</v>
      </c>
    </row>
    <row r="6492" spans="1:7">
      <c r="A6492" t="s">
        <v>1297</v>
      </c>
      <c r="B6492" t="s">
        <v>1298</v>
      </c>
      <c r="C6492" t="s">
        <v>663</v>
      </c>
      <c r="D6492" t="s">
        <v>1375</v>
      </c>
      <c r="E6492" t="s">
        <v>187</v>
      </c>
      <c r="F6492">
        <v>2012</v>
      </c>
      <c r="G6492">
        <v>124.6828</v>
      </c>
    </row>
    <row r="6493" spans="1:7">
      <c r="A6493" t="s">
        <v>1297</v>
      </c>
      <c r="B6493" t="s">
        <v>1298</v>
      </c>
      <c r="C6493" t="s">
        <v>663</v>
      </c>
      <c r="D6493" t="s">
        <v>1375</v>
      </c>
      <c r="E6493" t="s">
        <v>187</v>
      </c>
      <c r="F6493">
        <v>2016</v>
      </c>
      <c r="G6493">
        <v>114.84548599999999</v>
      </c>
    </row>
    <row r="6494" spans="1:7">
      <c r="A6494" t="s">
        <v>1297</v>
      </c>
      <c r="B6494" t="s">
        <v>1298</v>
      </c>
      <c r="C6494" t="s">
        <v>663</v>
      </c>
      <c r="D6494" t="s">
        <v>1375</v>
      </c>
      <c r="E6494" t="s">
        <v>187</v>
      </c>
      <c r="F6494">
        <v>2020</v>
      </c>
      <c r="G6494">
        <v>122.95440000000001</v>
      </c>
    </row>
    <row r="6495" spans="1:7">
      <c r="A6495" t="s">
        <v>1297</v>
      </c>
      <c r="B6495" t="s">
        <v>1298</v>
      </c>
      <c r="C6495" t="s">
        <v>1301</v>
      </c>
      <c r="D6495" t="s">
        <v>1375</v>
      </c>
      <c r="E6495" t="s">
        <v>187</v>
      </c>
      <c r="F6495">
        <v>2005</v>
      </c>
      <c r="G6495">
        <v>583.04160400000001</v>
      </c>
    </row>
    <row r="6496" spans="1:7">
      <c r="A6496" t="s">
        <v>1297</v>
      </c>
      <c r="B6496" t="s">
        <v>1298</v>
      </c>
      <c r="C6496" t="s">
        <v>1301</v>
      </c>
      <c r="D6496" t="s">
        <v>1375</v>
      </c>
      <c r="E6496" t="s">
        <v>187</v>
      </c>
      <c r="F6496">
        <v>2010</v>
      </c>
      <c r="G6496">
        <v>760.35013900000001</v>
      </c>
    </row>
    <row r="6497" spans="1:7">
      <c r="A6497" t="s">
        <v>1297</v>
      </c>
      <c r="B6497" t="s">
        <v>1298</v>
      </c>
      <c r="C6497" t="s">
        <v>1301</v>
      </c>
      <c r="D6497" t="s">
        <v>1375</v>
      </c>
      <c r="E6497" t="s">
        <v>187</v>
      </c>
      <c r="F6497">
        <v>2012</v>
      </c>
      <c r="G6497">
        <v>862.18806199999995</v>
      </c>
    </row>
    <row r="6498" spans="1:7">
      <c r="A6498" t="s">
        <v>1297</v>
      </c>
      <c r="B6498" t="s">
        <v>1298</v>
      </c>
      <c r="C6498" t="s">
        <v>1301</v>
      </c>
      <c r="D6498" t="s">
        <v>1375</v>
      </c>
      <c r="E6498" t="s">
        <v>187</v>
      </c>
      <c r="F6498">
        <v>2016</v>
      </c>
      <c r="G6498">
        <v>987.86577999999997</v>
      </c>
    </row>
    <row r="6499" spans="1:7">
      <c r="A6499" t="s">
        <v>1297</v>
      </c>
      <c r="B6499" t="s">
        <v>1298</v>
      </c>
      <c r="C6499" t="s">
        <v>1301</v>
      </c>
      <c r="D6499" t="s">
        <v>1375</v>
      </c>
      <c r="E6499" t="s">
        <v>187</v>
      </c>
      <c r="F6499">
        <v>2020</v>
      </c>
      <c r="G6499">
        <v>617.83124399999997</v>
      </c>
    </row>
    <row r="6500" spans="1:7">
      <c r="A6500" t="s">
        <v>1297</v>
      </c>
      <c r="B6500" t="s">
        <v>1298</v>
      </c>
      <c r="C6500" t="s">
        <v>669</v>
      </c>
      <c r="D6500" t="s">
        <v>1375</v>
      </c>
      <c r="E6500" t="s">
        <v>187</v>
      </c>
      <c r="F6500">
        <v>2005</v>
      </c>
      <c r="G6500">
        <v>8.0640000000000001</v>
      </c>
    </row>
    <row r="6501" spans="1:7">
      <c r="A6501" t="s">
        <v>1297</v>
      </c>
      <c r="B6501" t="s">
        <v>1298</v>
      </c>
      <c r="C6501" t="s">
        <v>669</v>
      </c>
      <c r="D6501" t="s">
        <v>1375</v>
      </c>
      <c r="E6501" t="s">
        <v>187</v>
      </c>
      <c r="F6501">
        <v>2010</v>
      </c>
      <c r="G6501">
        <v>7.609248</v>
      </c>
    </row>
    <row r="6502" spans="1:7">
      <c r="A6502" t="s">
        <v>1297</v>
      </c>
      <c r="B6502" t="s">
        <v>1298</v>
      </c>
      <c r="C6502" t="s">
        <v>669</v>
      </c>
      <c r="D6502" t="s">
        <v>1375</v>
      </c>
      <c r="E6502" t="s">
        <v>187</v>
      </c>
      <c r="F6502">
        <v>2012</v>
      </c>
      <c r="G6502">
        <v>8.25718</v>
      </c>
    </row>
    <row r="6503" spans="1:7">
      <c r="A6503" t="s">
        <v>1297</v>
      </c>
      <c r="B6503" t="s">
        <v>1298</v>
      </c>
      <c r="C6503" t="s">
        <v>669</v>
      </c>
      <c r="D6503" t="s">
        <v>1375</v>
      </c>
      <c r="E6503" t="s">
        <v>187</v>
      </c>
      <c r="F6503">
        <v>2016</v>
      </c>
      <c r="G6503">
        <v>3.085502</v>
      </c>
    </row>
    <row r="6504" spans="1:7">
      <c r="A6504" t="s">
        <v>1297</v>
      </c>
      <c r="B6504" t="s">
        <v>1298</v>
      </c>
      <c r="C6504" t="s">
        <v>669</v>
      </c>
      <c r="D6504" t="s">
        <v>1375</v>
      </c>
      <c r="E6504" t="s">
        <v>187</v>
      </c>
      <c r="F6504">
        <v>2020</v>
      </c>
      <c r="G6504">
        <v>7.4737549999999997</v>
      </c>
    </row>
    <row r="6505" spans="1:7">
      <c r="A6505" t="s">
        <v>1297</v>
      </c>
      <c r="B6505" t="s">
        <v>1298</v>
      </c>
      <c r="C6505" t="s">
        <v>664</v>
      </c>
      <c r="D6505" t="s">
        <v>1375</v>
      </c>
      <c r="E6505" t="s">
        <v>187</v>
      </c>
      <c r="F6505">
        <v>2005</v>
      </c>
      <c r="G6505">
        <v>93.493230999999994</v>
      </c>
    </row>
    <row r="6506" spans="1:7">
      <c r="A6506" t="s">
        <v>1297</v>
      </c>
      <c r="B6506" t="s">
        <v>1298</v>
      </c>
      <c r="C6506" t="s">
        <v>664</v>
      </c>
      <c r="D6506" t="s">
        <v>1375</v>
      </c>
      <c r="E6506" t="s">
        <v>187</v>
      </c>
      <c r="F6506">
        <v>2010</v>
      </c>
      <c r="G6506">
        <v>102.07172199999999</v>
      </c>
    </row>
    <row r="6507" spans="1:7">
      <c r="A6507" t="s">
        <v>1297</v>
      </c>
      <c r="B6507" t="s">
        <v>1298</v>
      </c>
      <c r="C6507" t="s">
        <v>664</v>
      </c>
      <c r="D6507" t="s">
        <v>1375</v>
      </c>
      <c r="E6507" t="s">
        <v>187</v>
      </c>
      <c r="F6507">
        <v>2012</v>
      </c>
      <c r="G6507">
        <v>98.478126000000003</v>
      </c>
    </row>
    <row r="6508" spans="1:7">
      <c r="A6508" t="s">
        <v>1297</v>
      </c>
      <c r="B6508" t="s">
        <v>1298</v>
      </c>
      <c r="C6508" t="s">
        <v>664</v>
      </c>
      <c r="D6508" t="s">
        <v>1375</v>
      </c>
      <c r="E6508" t="s">
        <v>187</v>
      </c>
      <c r="F6508">
        <v>2016</v>
      </c>
      <c r="G6508">
        <v>109.846638</v>
      </c>
    </row>
    <row r="6509" spans="1:7">
      <c r="A6509" t="s">
        <v>1297</v>
      </c>
      <c r="B6509" t="s">
        <v>1298</v>
      </c>
      <c r="C6509" t="s">
        <v>664</v>
      </c>
      <c r="D6509" t="s">
        <v>1375</v>
      </c>
      <c r="E6509" t="s">
        <v>187</v>
      </c>
      <c r="F6509">
        <v>2020</v>
      </c>
      <c r="G6509">
        <v>111.38737</v>
      </c>
    </row>
    <row r="6510" spans="1:7">
      <c r="A6510" t="s">
        <v>1297</v>
      </c>
      <c r="B6510" t="s">
        <v>1298</v>
      </c>
      <c r="C6510" t="s">
        <v>661</v>
      </c>
      <c r="D6510" t="s">
        <v>1375</v>
      </c>
      <c r="E6510" t="s">
        <v>187</v>
      </c>
      <c r="F6510">
        <v>2005</v>
      </c>
      <c r="G6510">
        <v>2073.822635</v>
      </c>
    </row>
    <row r="6511" spans="1:7">
      <c r="A6511" t="s">
        <v>1297</v>
      </c>
      <c r="B6511" t="s">
        <v>1298</v>
      </c>
      <c r="C6511" t="s">
        <v>661</v>
      </c>
      <c r="D6511" t="s">
        <v>1375</v>
      </c>
      <c r="E6511" t="s">
        <v>187</v>
      </c>
      <c r="F6511">
        <v>2010</v>
      </c>
      <c r="G6511">
        <v>2049.4372210000001</v>
      </c>
    </row>
    <row r="6512" spans="1:7">
      <c r="A6512" t="s">
        <v>1297</v>
      </c>
      <c r="B6512" t="s">
        <v>1298</v>
      </c>
      <c r="C6512" t="s">
        <v>661</v>
      </c>
      <c r="D6512" t="s">
        <v>1375</v>
      </c>
      <c r="E6512" t="s">
        <v>187</v>
      </c>
      <c r="F6512">
        <v>2012</v>
      </c>
      <c r="G6512">
        <v>2061.929052</v>
      </c>
    </row>
    <row r="6513" spans="1:7">
      <c r="A6513" t="s">
        <v>1297</v>
      </c>
      <c r="B6513" t="s">
        <v>1298</v>
      </c>
      <c r="C6513" t="s">
        <v>661</v>
      </c>
      <c r="D6513" t="s">
        <v>1375</v>
      </c>
      <c r="E6513" t="s">
        <v>187</v>
      </c>
      <c r="F6513">
        <v>2016</v>
      </c>
      <c r="G6513">
        <v>2030.592578</v>
      </c>
    </row>
    <row r="6514" spans="1:7">
      <c r="A6514" t="s">
        <v>1297</v>
      </c>
      <c r="B6514" t="s">
        <v>1298</v>
      </c>
      <c r="C6514" t="s">
        <v>661</v>
      </c>
      <c r="D6514" t="s">
        <v>1375</v>
      </c>
      <c r="E6514" t="s">
        <v>187</v>
      </c>
      <c r="F6514">
        <v>2020</v>
      </c>
      <c r="G6514">
        <v>2055.0404520000002</v>
      </c>
    </row>
    <row r="6515" spans="1:7">
      <c r="A6515" t="s">
        <v>1297</v>
      </c>
      <c r="B6515" t="s">
        <v>1298</v>
      </c>
      <c r="C6515" t="s">
        <v>685</v>
      </c>
      <c r="D6515" t="s">
        <v>1375</v>
      </c>
      <c r="E6515" t="s">
        <v>187</v>
      </c>
      <c r="F6515">
        <v>2005</v>
      </c>
      <c r="G6515">
        <v>24.990407999999999</v>
      </c>
    </row>
    <row r="6516" spans="1:7">
      <c r="A6516" t="s">
        <v>1297</v>
      </c>
      <c r="B6516" t="s">
        <v>1298</v>
      </c>
      <c r="C6516" t="s">
        <v>685</v>
      </c>
      <c r="D6516" t="s">
        <v>1375</v>
      </c>
      <c r="E6516" t="s">
        <v>187</v>
      </c>
      <c r="F6516">
        <v>2010</v>
      </c>
      <c r="G6516">
        <v>26.137789000000001</v>
      </c>
    </row>
    <row r="6517" spans="1:7">
      <c r="A6517" t="s">
        <v>1297</v>
      </c>
      <c r="B6517" t="s">
        <v>1298</v>
      </c>
      <c r="C6517" t="s">
        <v>685</v>
      </c>
      <c r="D6517" t="s">
        <v>1375</v>
      </c>
      <c r="E6517" t="s">
        <v>187</v>
      </c>
      <c r="F6517">
        <v>2012</v>
      </c>
      <c r="G6517">
        <v>22.541771000000001</v>
      </c>
    </row>
    <row r="6518" spans="1:7">
      <c r="A6518" t="s">
        <v>1297</v>
      </c>
      <c r="B6518" t="s">
        <v>1298</v>
      </c>
      <c r="C6518" t="s">
        <v>685</v>
      </c>
      <c r="D6518" t="s">
        <v>1375</v>
      </c>
      <c r="E6518" t="s">
        <v>187</v>
      </c>
      <c r="F6518">
        <v>2016</v>
      </c>
      <c r="G6518">
        <v>20.266214000000002</v>
      </c>
    </row>
    <row r="6519" spans="1:7">
      <c r="A6519" t="s">
        <v>1297</v>
      </c>
      <c r="B6519" t="s">
        <v>1298</v>
      </c>
      <c r="C6519" t="s">
        <v>685</v>
      </c>
      <c r="D6519" t="s">
        <v>1375</v>
      </c>
      <c r="E6519" t="s">
        <v>187</v>
      </c>
      <c r="F6519">
        <v>2020</v>
      </c>
      <c r="G6519">
        <v>21.131167999999999</v>
      </c>
    </row>
    <row r="6520" spans="1:7">
      <c r="A6520" t="s">
        <v>1297</v>
      </c>
      <c r="B6520" t="s">
        <v>1298</v>
      </c>
      <c r="C6520" t="s">
        <v>653</v>
      </c>
      <c r="D6520" t="s">
        <v>1375</v>
      </c>
      <c r="E6520" t="s">
        <v>187</v>
      </c>
      <c r="F6520">
        <v>2005</v>
      </c>
      <c r="G6520">
        <v>159.71213900000001</v>
      </c>
    </row>
    <row r="6521" spans="1:7">
      <c r="A6521" t="s">
        <v>1297</v>
      </c>
      <c r="B6521" t="s">
        <v>1298</v>
      </c>
      <c r="C6521" t="s">
        <v>653</v>
      </c>
      <c r="D6521" t="s">
        <v>1375</v>
      </c>
      <c r="E6521" t="s">
        <v>187</v>
      </c>
      <c r="F6521">
        <v>2010</v>
      </c>
      <c r="G6521">
        <v>167.94920500000001</v>
      </c>
    </row>
    <row r="6522" spans="1:7">
      <c r="A6522" t="s">
        <v>1297</v>
      </c>
      <c r="B6522" t="s">
        <v>1298</v>
      </c>
      <c r="C6522" t="s">
        <v>653</v>
      </c>
      <c r="D6522" t="s">
        <v>1375</v>
      </c>
      <c r="E6522" t="s">
        <v>187</v>
      </c>
      <c r="F6522">
        <v>2012</v>
      </c>
      <c r="G6522">
        <v>170.38187300000001</v>
      </c>
    </row>
    <row r="6523" spans="1:7">
      <c r="A6523" t="s">
        <v>1297</v>
      </c>
      <c r="B6523" t="s">
        <v>1298</v>
      </c>
      <c r="C6523" t="s">
        <v>653</v>
      </c>
      <c r="D6523" t="s">
        <v>1375</v>
      </c>
      <c r="E6523" t="s">
        <v>187</v>
      </c>
      <c r="F6523">
        <v>2016</v>
      </c>
      <c r="G6523">
        <v>162.999796</v>
      </c>
    </row>
    <row r="6524" spans="1:7">
      <c r="A6524" t="s">
        <v>1297</v>
      </c>
      <c r="B6524" t="s">
        <v>1298</v>
      </c>
      <c r="C6524" t="s">
        <v>653</v>
      </c>
      <c r="D6524" t="s">
        <v>1375</v>
      </c>
      <c r="E6524" t="s">
        <v>187</v>
      </c>
      <c r="F6524">
        <v>2020</v>
      </c>
      <c r="G6524">
        <v>159.48638299999999</v>
      </c>
    </row>
    <row r="6525" spans="1:7">
      <c r="A6525" t="s">
        <v>1297</v>
      </c>
      <c r="B6525" t="s">
        <v>1298</v>
      </c>
      <c r="C6525" t="s">
        <v>658</v>
      </c>
      <c r="D6525" t="s">
        <v>1375</v>
      </c>
      <c r="E6525" t="s">
        <v>187</v>
      </c>
      <c r="F6525">
        <v>2005</v>
      </c>
      <c r="G6525">
        <v>36.739192000000003</v>
      </c>
    </row>
    <row r="6526" spans="1:7">
      <c r="A6526" t="s">
        <v>1297</v>
      </c>
      <c r="B6526" t="s">
        <v>1298</v>
      </c>
      <c r="C6526" t="s">
        <v>658</v>
      </c>
      <c r="D6526" t="s">
        <v>1375</v>
      </c>
      <c r="E6526" t="s">
        <v>187</v>
      </c>
      <c r="F6526">
        <v>2010</v>
      </c>
      <c r="G6526">
        <v>46.669978999999998</v>
      </c>
    </row>
    <row r="6527" spans="1:7">
      <c r="A6527" t="s">
        <v>1297</v>
      </c>
      <c r="B6527" t="s">
        <v>1298</v>
      </c>
      <c r="C6527" t="s">
        <v>658</v>
      </c>
      <c r="D6527" t="s">
        <v>1375</v>
      </c>
      <c r="E6527" t="s">
        <v>187</v>
      </c>
      <c r="F6527">
        <v>2012</v>
      </c>
      <c r="G6527">
        <v>43.079321</v>
      </c>
    </row>
    <row r="6528" spans="1:7">
      <c r="A6528" t="s">
        <v>1297</v>
      </c>
      <c r="B6528" t="s">
        <v>1298</v>
      </c>
      <c r="C6528" t="s">
        <v>658</v>
      </c>
      <c r="D6528" t="s">
        <v>1375</v>
      </c>
      <c r="E6528" t="s">
        <v>187</v>
      </c>
      <c r="F6528">
        <v>2016</v>
      </c>
      <c r="G6528">
        <v>43.811726</v>
      </c>
    </row>
    <row r="6529" spans="1:7">
      <c r="A6529" t="s">
        <v>1297</v>
      </c>
      <c r="B6529" t="s">
        <v>1298</v>
      </c>
      <c r="C6529" t="s">
        <v>658</v>
      </c>
      <c r="D6529" t="s">
        <v>1375</v>
      </c>
      <c r="E6529" t="s">
        <v>187</v>
      </c>
      <c r="F6529">
        <v>2020</v>
      </c>
      <c r="G6529">
        <v>27.414954000000002</v>
      </c>
    </row>
    <row r="6530" spans="1:7">
      <c r="A6530" t="s">
        <v>1297</v>
      </c>
      <c r="B6530" t="s">
        <v>1298</v>
      </c>
      <c r="C6530" t="s">
        <v>651</v>
      </c>
      <c r="D6530" t="s">
        <v>1376</v>
      </c>
      <c r="E6530" t="s">
        <v>187</v>
      </c>
      <c r="F6530">
        <v>2005</v>
      </c>
      <c r="G6530">
        <v>8.3145999999999998E-2</v>
      </c>
    </row>
    <row r="6531" spans="1:7">
      <c r="A6531" t="s">
        <v>1297</v>
      </c>
      <c r="B6531" t="s">
        <v>1298</v>
      </c>
      <c r="C6531" t="s">
        <v>651</v>
      </c>
      <c r="D6531" t="s">
        <v>1376</v>
      </c>
      <c r="E6531" t="s">
        <v>187</v>
      </c>
      <c r="F6531">
        <v>2010</v>
      </c>
      <c r="G6531">
        <v>8.4503999999999996E-2</v>
      </c>
    </row>
    <row r="6532" spans="1:7">
      <c r="A6532" t="s">
        <v>1297</v>
      </c>
      <c r="B6532" t="s">
        <v>1298</v>
      </c>
      <c r="C6532" t="s">
        <v>651</v>
      </c>
      <c r="D6532" t="s">
        <v>1376</v>
      </c>
      <c r="E6532" t="s">
        <v>187</v>
      </c>
      <c r="F6532">
        <v>2012</v>
      </c>
      <c r="G6532">
        <v>9.1536999999999993E-2</v>
      </c>
    </row>
    <row r="6533" spans="1:7">
      <c r="A6533" t="s">
        <v>1297</v>
      </c>
      <c r="B6533" t="s">
        <v>1298</v>
      </c>
      <c r="C6533" t="s">
        <v>651</v>
      </c>
      <c r="D6533" t="s">
        <v>1376</v>
      </c>
      <c r="E6533" t="s">
        <v>187</v>
      </c>
      <c r="F6533">
        <v>2016</v>
      </c>
      <c r="G6533">
        <v>0.10111100000000001</v>
      </c>
    </row>
    <row r="6534" spans="1:7">
      <c r="A6534" t="s">
        <v>1297</v>
      </c>
      <c r="B6534" t="s">
        <v>1298</v>
      </c>
      <c r="C6534" t="s">
        <v>651</v>
      </c>
      <c r="D6534" t="s">
        <v>1376</v>
      </c>
      <c r="E6534" t="s">
        <v>187</v>
      </c>
      <c r="F6534">
        <v>2020</v>
      </c>
      <c r="G6534">
        <v>0.111027</v>
      </c>
    </row>
    <row r="6535" spans="1:7">
      <c r="A6535" t="s">
        <v>1297</v>
      </c>
      <c r="B6535" t="s">
        <v>1298</v>
      </c>
      <c r="C6535" t="s">
        <v>685</v>
      </c>
      <c r="D6535" t="s">
        <v>1376</v>
      </c>
      <c r="E6535" t="s">
        <v>187</v>
      </c>
      <c r="F6535">
        <v>2010</v>
      </c>
      <c r="G6535">
        <v>3.0599999999999999E-2</v>
      </c>
    </row>
    <row r="6536" spans="1:7">
      <c r="A6536" t="s">
        <v>1297</v>
      </c>
      <c r="B6536" t="s">
        <v>1298</v>
      </c>
      <c r="C6536" t="s">
        <v>685</v>
      </c>
      <c r="D6536" t="s">
        <v>1376</v>
      </c>
      <c r="E6536" t="s">
        <v>187</v>
      </c>
      <c r="F6536">
        <v>2012</v>
      </c>
      <c r="G6536">
        <v>1.6199999999999999E-2</v>
      </c>
    </row>
    <row r="6537" spans="1:7">
      <c r="A6537" t="s">
        <v>1297</v>
      </c>
      <c r="B6537" t="s">
        <v>1298</v>
      </c>
      <c r="C6537" t="s">
        <v>685</v>
      </c>
      <c r="D6537" t="s">
        <v>1376</v>
      </c>
      <c r="E6537" t="s">
        <v>187</v>
      </c>
      <c r="F6537">
        <v>2016</v>
      </c>
      <c r="G6537">
        <v>1.7999999999999999E-2</v>
      </c>
    </row>
    <row r="6538" spans="1:7">
      <c r="A6538" t="s">
        <v>1297</v>
      </c>
      <c r="B6538" t="s">
        <v>1298</v>
      </c>
      <c r="C6538" t="s">
        <v>685</v>
      </c>
      <c r="D6538" t="s">
        <v>1376</v>
      </c>
      <c r="E6538" t="s">
        <v>187</v>
      </c>
      <c r="F6538">
        <v>2020</v>
      </c>
      <c r="G6538">
        <v>5.1282000000000001E-2</v>
      </c>
    </row>
    <row r="6539" spans="1:7">
      <c r="A6539" t="s">
        <v>1297</v>
      </c>
      <c r="B6539" t="s">
        <v>1298</v>
      </c>
      <c r="C6539" t="s">
        <v>657</v>
      </c>
      <c r="D6539" t="s">
        <v>1376</v>
      </c>
      <c r="E6539" t="s">
        <v>187</v>
      </c>
      <c r="F6539">
        <v>2005</v>
      </c>
      <c r="G6539">
        <v>0.14130200000000001</v>
      </c>
    </row>
    <row r="6540" spans="1:7">
      <c r="A6540" t="s">
        <v>1297</v>
      </c>
      <c r="B6540" t="s">
        <v>1298</v>
      </c>
      <c r="C6540" t="s">
        <v>657</v>
      </c>
      <c r="D6540" t="s">
        <v>1376</v>
      </c>
      <c r="E6540" t="s">
        <v>187</v>
      </c>
      <c r="F6540">
        <v>2010</v>
      </c>
      <c r="G6540">
        <v>0.140401</v>
      </c>
    </row>
    <row r="6541" spans="1:7">
      <c r="A6541" t="s">
        <v>1297</v>
      </c>
      <c r="B6541" t="s">
        <v>1298</v>
      </c>
      <c r="C6541" t="s">
        <v>657</v>
      </c>
      <c r="D6541" t="s">
        <v>1376</v>
      </c>
      <c r="E6541" t="s">
        <v>187</v>
      </c>
      <c r="F6541">
        <v>2012</v>
      </c>
      <c r="G6541">
        <v>0.14130200000000001</v>
      </c>
    </row>
    <row r="6542" spans="1:7">
      <c r="A6542" t="s">
        <v>1297</v>
      </c>
      <c r="B6542" t="s">
        <v>1298</v>
      </c>
      <c r="C6542" t="s">
        <v>657</v>
      </c>
      <c r="D6542" t="s">
        <v>1376</v>
      </c>
      <c r="E6542" t="s">
        <v>187</v>
      </c>
      <c r="F6542">
        <v>2016</v>
      </c>
      <c r="G6542">
        <v>0.144706</v>
      </c>
    </row>
    <row r="6543" spans="1:7">
      <c r="A6543" t="s">
        <v>1297</v>
      </c>
      <c r="B6543" t="s">
        <v>1298</v>
      </c>
      <c r="C6543" t="s">
        <v>657</v>
      </c>
      <c r="D6543" t="s">
        <v>1376</v>
      </c>
      <c r="E6543" t="s">
        <v>187</v>
      </c>
      <c r="F6543">
        <v>2020</v>
      </c>
      <c r="G6543">
        <v>0.129167</v>
      </c>
    </row>
    <row r="6544" spans="1:7">
      <c r="A6544" t="s">
        <v>1297</v>
      </c>
      <c r="B6544" t="s">
        <v>1298</v>
      </c>
      <c r="C6544" t="s">
        <v>652</v>
      </c>
      <c r="D6544" t="s">
        <v>1376</v>
      </c>
      <c r="E6544" t="s">
        <v>187</v>
      </c>
      <c r="F6544">
        <v>2010</v>
      </c>
      <c r="G6544">
        <v>0.779312</v>
      </c>
    </row>
    <row r="6545" spans="1:7">
      <c r="A6545" t="s">
        <v>1297</v>
      </c>
      <c r="B6545" t="s">
        <v>1298</v>
      </c>
      <c r="C6545" t="s">
        <v>652</v>
      </c>
      <c r="D6545" t="s">
        <v>1376</v>
      </c>
      <c r="E6545" t="s">
        <v>187</v>
      </c>
      <c r="F6545">
        <v>2012</v>
      </c>
      <c r="G6545">
        <v>1.049326</v>
      </c>
    </row>
    <row r="6546" spans="1:7">
      <c r="A6546" t="s">
        <v>1297</v>
      </c>
      <c r="B6546" t="s">
        <v>1298</v>
      </c>
      <c r="C6546" t="s">
        <v>652</v>
      </c>
      <c r="D6546" t="s">
        <v>1376</v>
      </c>
      <c r="E6546" t="s">
        <v>187</v>
      </c>
      <c r="F6546">
        <v>2016</v>
      </c>
      <c r="G6546">
        <v>1.26288</v>
      </c>
    </row>
    <row r="6547" spans="1:7">
      <c r="A6547" t="s">
        <v>1297</v>
      </c>
      <c r="B6547" t="s">
        <v>1298</v>
      </c>
      <c r="C6547" t="s">
        <v>652</v>
      </c>
      <c r="D6547" t="s">
        <v>1376</v>
      </c>
      <c r="E6547" t="s">
        <v>187</v>
      </c>
      <c r="F6547">
        <v>2020</v>
      </c>
      <c r="G6547">
        <v>1.1938500000000001</v>
      </c>
    </row>
    <row r="6548" spans="1:7">
      <c r="A6548" t="s">
        <v>1297</v>
      </c>
      <c r="B6548" t="s">
        <v>1298</v>
      </c>
      <c r="C6548" t="s">
        <v>655</v>
      </c>
      <c r="D6548" t="s">
        <v>1376</v>
      </c>
      <c r="E6548" t="s">
        <v>187</v>
      </c>
      <c r="F6548">
        <v>2005</v>
      </c>
      <c r="G6548">
        <v>3.9329999999999998</v>
      </c>
    </row>
    <row r="6549" spans="1:7">
      <c r="A6549" t="s">
        <v>1297</v>
      </c>
      <c r="B6549" t="s">
        <v>1298</v>
      </c>
      <c r="C6549" t="s">
        <v>655</v>
      </c>
      <c r="D6549" t="s">
        <v>1376</v>
      </c>
      <c r="E6549" t="s">
        <v>187</v>
      </c>
      <c r="F6549">
        <v>2010</v>
      </c>
      <c r="G6549">
        <v>5.6060999999999996</v>
      </c>
    </row>
    <row r="6550" spans="1:7">
      <c r="A6550" t="s">
        <v>1297</v>
      </c>
      <c r="B6550" t="s">
        <v>1298</v>
      </c>
      <c r="C6550" t="s">
        <v>655</v>
      </c>
      <c r="D6550" t="s">
        <v>1376</v>
      </c>
      <c r="E6550" t="s">
        <v>187</v>
      </c>
      <c r="F6550">
        <v>2012</v>
      </c>
      <c r="G6550">
        <v>5.1795</v>
      </c>
    </row>
    <row r="6551" spans="1:7">
      <c r="A6551" t="s">
        <v>1297</v>
      </c>
      <c r="B6551" t="s">
        <v>1298</v>
      </c>
      <c r="C6551" t="s">
        <v>655</v>
      </c>
      <c r="D6551" t="s">
        <v>1376</v>
      </c>
      <c r="E6551" t="s">
        <v>187</v>
      </c>
      <c r="F6551">
        <v>2016</v>
      </c>
      <c r="G6551">
        <v>4.6152129999999998</v>
      </c>
    </row>
    <row r="6552" spans="1:7">
      <c r="A6552" t="s">
        <v>1297</v>
      </c>
      <c r="B6552" t="s">
        <v>1298</v>
      </c>
      <c r="C6552" t="s">
        <v>655</v>
      </c>
      <c r="D6552" t="s">
        <v>1376</v>
      </c>
      <c r="E6552" t="s">
        <v>187</v>
      </c>
      <c r="F6552">
        <v>2020</v>
      </c>
      <c r="G6552">
        <v>3.6336040000000001</v>
      </c>
    </row>
    <row r="6553" spans="1:7">
      <c r="A6553" t="s">
        <v>1297</v>
      </c>
      <c r="B6553" t="s">
        <v>1298</v>
      </c>
      <c r="C6553" t="s">
        <v>677</v>
      </c>
      <c r="D6553" t="s">
        <v>1376</v>
      </c>
      <c r="E6553" t="s">
        <v>187</v>
      </c>
      <c r="F6553">
        <v>2005</v>
      </c>
      <c r="G6553">
        <v>35.523899999999998</v>
      </c>
    </row>
    <row r="6554" spans="1:7">
      <c r="A6554" t="s">
        <v>1297</v>
      </c>
      <c r="B6554" t="s">
        <v>1298</v>
      </c>
      <c r="C6554" t="s">
        <v>677</v>
      </c>
      <c r="D6554" t="s">
        <v>1376</v>
      </c>
      <c r="E6554" t="s">
        <v>187</v>
      </c>
      <c r="F6554">
        <v>2010</v>
      </c>
      <c r="G6554">
        <v>41.456699999999998</v>
      </c>
    </row>
    <row r="6555" spans="1:7">
      <c r="A6555" t="s">
        <v>1297</v>
      </c>
      <c r="B6555" t="s">
        <v>1298</v>
      </c>
      <c r="C6555" t="s">
        <v>677</v>
      </c>
      <c r="D6555" t="s">
        <v>1376</v>
      </c>
      <c r="E6555" t="s">
        <v>187</v>
      </c>
      <c r="F6555">
        <v>2012</v>
      </c>
      <c r="G6555">
        <v>25.5654</v>
      </c>
    </row>
    <row r="6556" spans="1:7">
      <c r="A6556" t="s">
        <v>1297</v>
      </c>
      <c r="B6556" t="s">
        <v>1298</v>
      </c>
      <c r="C6556" t="s">
        <v>677</v>
      </c>
      <c r="D6556" t="s">
        <v>1376</v>
      </c>
      <c r="E6556" t="s">
        <v>187</v>
      </c>
      <c r="F6556">
        <v>2016</v>
      </c>
      <c r="G6556">
        <v>17.483941999999999</v>
      </c>
    </row>
    <row r="6557" spans="1:7">
      <c r="A6557" t="s">
        <v>1297</v>
      </c>
      <c r="B6557" t="s">
        <v>1298</v>
      </c>
      <c r="C6557" t="s">
        <v>677</v>
      </c>
      <c r="D6557" t="s">
        <v>1376</v>
      </c>
      <c r="E6557" t="s">
        <v>187</v>
      </c>
      <c r="F6557">
        <v>2020</v>
      </c>
      <c r="G6557">
        <v>16.642800999999999</v>
      </c>
    </row>
    <row r="6558" spans="1:7">
      <c r="A6558" t="s">
        <v>1297</v>
      </c>
      <c r="B6558" t="s">
        <v>1298</v>
      </c>
      <c r="C6558" t="s">
        <v>660</v>
      </c>
      <c r="D6558" t="s">
        <v>1376</v>
      </c>
      <c r="E6558" t="s">
        <v>187</v>
      </c>
      <c r="F6558">
        <v>2016</v>
      </c>
      <c r="G6558">
        <v>7.0201E-2</v>
      </c>
    </row>
    <row r="6559" spans="1:7">
      <c r="A6559" t="s">
        <v>1297</v>
      </c>
      <c r="B6559" t="s">
        <v>1298</v>
      </c>
      <c r="C6559" t="s">
        <v>660</v>
      </c>
      <c r="D6559" t="s">
        <v>1376</v>
      </c>
      <c r="E6559" t="s">
        <v>187</v>
      </c>
      <c r="F6559">
        <v>2020</v>
      </c>
      <c r="G6559">
        <v>0.19262000000000001</v>
      </c>
    </row>
    <row r="6560" spans="1:7">
      <c r="A6560" t="s">
        <v>1297</v>
      </c>
      <c r="B6560" t="s">
        <v>1298</v>
      </c>
      <c r="C6560" t="s">
        <v>669</v>
      </c>
      <c r="D6560" t="s">
        <v>1376</v>
      </c>
      <c r="E6560" t="s">
        <v>187</v>
      </c>
      <c r="F6560">
        <v>2020</v>
      </c>
      <c r="G6560">
        <v>1.2678E-2</v>
      </c>
    </row>
    <row r="6561" spans="1:7">
      <c r="A6561" t="s">
        <v>1297</v>
      </c>
      <c r="B6561" t="s">
        <v>1298</v>
      </c>
      <c r="C6561" t="s">
        <v>672</v>
      </c>
      <c r="D6561" t="s">
        <v>1376</v>
      </c>
      <c r="E6561" t="s">
        <v>187</v>
      </c>
      <c r="F6561">
        <v>2005</v>
      </c>
      <c r="G6561">
        <v>0.73799999999999999</v>
      </c>
    </row>
    <row r="6562" spans="1:7">
      <c r="A6562" t="s">
        <v>1297</v>
      </c>
      <c r="B6562" t="s">
        <v>1298</v>
      </c>
      <c r="C6562" t="s">
        <v>672</v>
      </c>
      <c r="D6562" t="s">
        <v>1376</v>
      </c>
      <c r="E6562" t="s">
        <v>187</v>
      </c>
      <c r="F6562">
        <v>2010</v>
      </c>
      <c r="G6562">
        <v>1.1924999999999999</v>
      </c>
    </row>
    <row r="6563" spans="1:7">
      <c r="A6563" t="s">
        <v>1297</v>
      </c>
      <c r="B6563" t="s">
        <v>1298</v>
      </c>
      <c r="C6563" t="s">
        <v>672</v>
      </c>
      <c r="D6563" t="s">
        <v>1376</v>
      </c>
      <c r="E6563" t="s">
        <v>187</v>
      </c>
      <c r="F6563">
        <v>2012</v>
      </c>
      <c r="G6563">
        <v>0.77490000000000003</v>
      </c>
    </row>
    <row r="6564" spans="1:7">
      <c r="A6564" t="s">
        <v>1297</v>
      </c>
      <c r="B6564" t="s">
        <v>1298</v>
      </c>
      <c r="C6564" t="s">
        <v>672</v>
      </c>
      <c r="D6564" t="s">
        <v>1376</v>
      </c>
      <c r="E6564" t="s">
        <v>187</v>
      </c>
      <c r="F6564">
        <v>2016</v>
      </c>
      <c r="G6564">
        <v>0.2097</v>
      </c>
    </row>
    <row r="6565" spans="1:7">
      <c r="A6565" t="s">
        <v>1297</v>
      </c>
      <c r="B6565" t="s">
        <v>1298</v>
      </c>
      <c r="C6565" t="s">
        <v>672</v>
      </c>
      <c r="D6565" t="s">
        <v>1376</v>
      </c>
      <c r="E6565" t="s">
        <v>187</v>
      </c>
      <c r="F6565">
        <v>2020</v>
      </c>
      <c r="G6565">
        <v>0.26545200000000002</v>
      </c>
    </row>
    <row r="6566" spans="1:7">
      <c r="A6566" t="s">
        <v>1297</v>
      </c>
      <c r="B6566" t="s">
        <v>1298</v>
      </c>
      <c r="C6566" t="s">
        <v>673</v>
      </c>
      <c r="D6566" t="s">
        <v>1376</v>
      </c>
      <c r="E6566" t="s">
        <v>187</v>
      </c>
      <c r="F6566">
        <v>2010</v>
      </c>
      <c r="G6566">
        <v>14.2425</v>
      </c>
    </row>
    <row r="6567" spans="1:7">
      <c r="A6567" t="s">
        <v>1297</v>
      </c>
      <c r="B6567" t="s">
        <v>1298</v>
      </c>
      <c r="C6567" t="s">
        <v>673</v>
      </c>
      <c r="D6567" t="s">
        <v>1376</v>
      </c>
      <c r="E6567" t="s">
        <v>187</v>
      </c>
      <c r="F6567">
        <v>2012</v>
      </c>
      <c r="G6567">
        <v>13.8123</v>
      </c>
    </row>
    <row r="6568" spans="1:7">
      <c r="A6568" t="s">
        <v>1297</v>
      </c>
      <c r="B6568" t="s">
        <v>1298</v>
      </c>
      <c r="C6568" t="s">
        <v>673</v>
      </c>
      <c r="D6568" t="s">
        <v>1376</v>
      </c>
      <c r="E6568" t="s">
        <v>187</v>
      </c>
      <c r="F6568">
        <v>2016</v>
      </c>
      <c r="G6568">
        <v>3.7898999999999998</v>
      </c>
    </row>
    <row r="6569" spans="1:7">
      <c r="A6569" t="s">
        <v>1297</v>
      </c>
      <c r="B6569" t="s">
        <v>1298</v>
      </c>
      <c r="C6569" t="s">
        <v>673</v>
      </c>
      <c r="D6569" t="s">
        <v>1376</v>
      </c>
      <c r="E6569" t="s">
        <v>187</v>
      </c>
      <c r="F6569">
        <v>2020</v>
      </c>
      <c r="G6569">
        <v>2.5036559999999999</v>
      </c>
    </row>
    <row r="6570" spans="1:7">
      <c r="A6570" t="s">
        <v>1297</v>
      </c>
      <c r="B6570" t="s">
        <v>1298</v>
      </c>
      <c r="C6570" t="s">
        <v>661</v>
      </c>
      <c r="D6570" t="s">
        <v>1376</v>
      </c>
      <c r="E6570" t="s">
        <v>187</v>
      </c>
      <c r="F6570">
        <v>2005</v>
      </c>
      <c r="G6570">
        <v>28.796982</v>
      </c>
    </row>
    <row r="6571" spans="1:7">
      <c r="A6571" t="s">
        <v>1297</v>
      </c>
      <c r="B6571" t="s">
        <v>1298</v>
      </c>
      <c r="C6571" t="s">
        <v>661</v>
      </c>
      <c r="D6571" t="s">
        <v>1376</v>
      </c>
      <c r="E6571" t="s">
        <v>187</v>
      </c>
      <c r="F6571">
        <v>2010</v>
      </c>
      <c r="G6571">
        <v>15.025708</v>
      </c>
    </row>
    <row r="6572" spans="1:7">
      <c r="A6572" t="s">
        <v>1297</v>
      </c>
      <c r="B6572" t="s">
        <v>1298</v>
      </c>
      <c r="C6572" t="s">
        <v>661</v>
      </c>
      <c r="D6572" t="s">
        <v>1376</v>
      </c>
      <c r="E6572" t="s">
        <v>187</v>
      </c>
      <c r="F6572">
        <v>2012</v>
      </c>
      <c r="G6572">
        <v>16.312104000000001</v>
      </c>
    </row>
    <row r="6573" spans="1:7">
      <c r="A6573" t="s">
        <v>1297</v>
      </c>
      <c r="B6573" t="s">
        <v>1298</v>
      </c>
      <c r="C6573" t="s">
        <v>661</v>
      </c>
      <c r="D6573" t="s">
        <v>1376</v>
      </c>
      <c r="E6573" t="s">
        <v>187</v>
      </c>
      <c r="F6573">
        <v>2016</v>
      </c>
      <c r="G6573">
        <v>18.517199000000002</v>
      </c>
    </row>
    <row r="6574" spans="1:7">
      <c r="A6574" t="s">
        <v>1297</v>
      </c>
      <c r="B6574" t="s">
        <v>1298</v>
      </c>
      <c r="C6574" t="s">
        <v>661</v>
      </c>
      <c r="D6574" t="s">
        <v>1376</v>
      </c>
      <c r="E6574" t="s">
        <v>187</v>
      </c>
      <c r="F6574">
        <v>2020</v>
      </c>
      <c r="G6574">
        <v>17.917418000000001</v>
      </c>
    </row>
    <row r="6575" spans="1:7">
      <c r="A6575" t="s">
        <v>1297</v>
      </c>
      <c r="B6575" t="s">
        <v>1298</v>
      </c>
      <c r="C6575" t="s">
        <v>289</v>
      </c>
      <c r="D6575" t="s">
        <v>1376</v>
      </c>
      <c r="E6575" t="s">
        <v>187</v>
      </c>
      <c r="F6575">
        <v>2005</v>
      </c>
      <c r="G6575">
        <v>2.0960999999999999</v>
      </c>
    </row>
    <row r="6576" spans="1:7">
      <c r="A6576" t="s">
        <v>1297</v>
      </c>
      <c r="B6576" t="s">
        <v>1298</v>
      </c>
      <c r="C6576" t="s">
        <v>289</v>
      </c>
      <c r="D6576" t="s">
        <v>1376</v>
      </c>
      <c r="E6576" t="s">
        <v>187</v>
      </c>
      <c r="F6576">
        <v>2010</v>
      </c>
      <c r="G6576">
        <v>2.0672999999999999</v>
      </c>
    </row>
    <row r="6577" spans="1:7">
      <c r="A6577" t="s">
        <v>1297</v>
      </c>
      <c r="B6577" t="s">
        <v>1298</v>
      </c>
      <c r="C6577" t="s">
        <v>668</v>
      </c>
      <c r="D6577" t="s">
        <v>1376</v>
      </c>
      <c r="E6577" t="s">
        <v>187</v>
      </c>
      <c r="F6577">
        <v>2005</v>
      </c>
      <c r="G6577">
        <v>0.16739999999999999</v>
      </c>
    </row>
    <row r="6578" spans="1:7">
      <c r="A6578" t="s">
        <v>1297</v>
      </c>
      <c r="B6578" t="s">
        <v>1298</v>
      </c>
      <c r="C6578" t="s">
        <v>668</v>
      </c>
      <c r="D6578" t="s">
        <v>1376</v>
      </c>
      <c r="E6578" t="s">
        <v>187</v>
      </c>
      <c r="F6578">
        <v>2010</v>
      </c>
      <c r="G6578">
        <v>0.26910000000000001</v>
      </c>
    </row>
    <row r="6579" spans="1:7">
      <c r="A6579" t="s">
        <v>1297</v>
      </c>
      <c r="B6579" t="s">
        <v>1298</v>
      </c>
      <c r="C6579" t="s">
        <v>668</v>
      </c>
      <c r="D6579" t="s">
        <v>1376</v>
      </c>
      <c r="E6579" t="s">
        <v>187</v>
      </c>
      <c r="F6579">
        <v>2012</v>
      </c>
      <c r="G6579">
        <v>0.504</v>
      </c>
    </row>
    <row r="6580" spans="1:7">
      <c r="A6580" t="s">
        <v>1297</v>
      </c>
      <c r="B6580" t="s">
        <v>1298</v>
      </c>
      <c r="C6580" t="s">
        <v>668</v>
      </c>
      <c r="D6580" t="s">
        <v>1376</v>
      </c>
      <c r="E6580" t="s">
        <v>187</v>
      </c>
      <c r="F6580">
        <v>2016</v>
      </c>
      <c r="G6580">
        <v>0.45539600000000002</v>
      </c>
    </row>
    <row r="6581" spans="1:7">
      <c r="A6581" t="s">
        <v>1297</v>
      </c>
      <c r="B6581" t="s">
        <v>1298</v>
      </c>
      <c r="C6581" t="s">
        <v>668</v>
      </c>
      <c r="D6581" t="s">
        <v>1376</v>
      </c>
      <c r="E6581" t="s">
        <v>187</v>
      </c>
      <c r="F6581">
        <v>2020</v>
      </c>
      <c r="G6581">
        <v>0.62230700000000005</v>
      </c>
    </row>
    <row r="6582" spans="1:7">
      <c r="A6582" t="s">
        <v>1297</v>
      </c>
      <c r="B6582" t="s">
        <v>1298</v>
      </c>
      <c r="C6582" t="s">
        <v>1300</v>
      </c>
      <c r="D6582" t="s">
        <v>1376</v>
      </c>
      <c r="E6582" t="s">
        <v>187</v>
      </c>
      <c r="F6582">
        <v>2010</v>
      </c>
      <c r="G6582">
        <v>1.8476999999999999</v>
      </c>
    </row>
    <row r="6583" spans="1:7">
      <c r="A6583" t="s">
        <v>1297</v>
      </c>
      <c r="B6583" t="s">
        <v>1298</v>
      </c>
      <c r="C6583" t="s">
        <v>1300</v>
      </c>
      <c r="D6583" t="s">
        <v>1376</v>
      </c>
      <c r="E6583" t="s">
        <v>187</v>
      </c>
      <c r="F6583">
        <v>2012</v>
      </c>
      <c r="G6583">
        <v>1.7063999999999999</v>
      </c>
    </row>
    <row r="6584" spans="1:7">
      <c r="A6584" t="s">
        <v>1297</v>
      </c>
      <c r="B6584" t="s">
        <v>1298</v>
      </c>
      <c r="C6584" t="s">
        <v>1300</v>
      </c>
      <c r="D6584" t="s">
        <v>1376</v>
      </c>
      <c r="E6584" t="s">
        <v>187</v>
      </c>
      <c r="F6584">
        <v>2016</v>
      </c>
      <c r="G6584">
        <v>1.9035</v>
      </c>
    </row>
    <row r="6585" spans="1:7">
      <c r="A6585" t="s">
        <v>1297</v>
      </c>
      <c r="B6585" t="s">
        <v>1298</v>
      </c>
      <c r="C6585" t="s">
        <v>1300</v>
      </c>
      <c r="D6585" t="s">
        <v>1376</v>
      </c>
      <c r="E6585" t="s">
        <v>187</v>
      </c>
      <c r="F6585">
        <v>2020</v>
      </c>
      <c r="G6585">
        <v>1.085394</v>
      </c>
    </row>
    <row r="6586" spans="1:7">
      <c r="A6586" t="s">
        <v>1297</v>
      </c>
      <c r="B6586" t="s">
        <v>1298</v>
      </c>
      <c r="C6586" t="s">
        <v>1299</v>
      </c>
      <c r="D6586" t="s">
        <v>1376</v>
      </c>
      <c r="E6586" t="s">
        <v>187</v>
      </c>
      <c r="F6586">
        <v>2005</v>
      </c>
      <c r="G6586">
        <v>68.706000000000003</v>
      </c>
    </row>
    <row r="6587" spans="1:7">
      <c r="A6587" t="s">
        <v>1297</v>
      </c>
      <c r="B6587" t="s">
        <v>1298</v>
      </c>
      <c r="C6587" t="s">
        <v>1299</v>
      </c>
      <c r="D6587" t="s">
        <v>1376</v>
      </c>
      <c r="E6587" t="s">
        <v>187</v>
      </c>
      <c r="F6587">
        <v>2010</v>
      </c>
      <c r="G6587">
        <v>28.561499999999999</v>
      </c>
    </row>
    <row r="6588" spans="1:7">
      <c r="A6588" t="s">
        <v>1297</v>
      </c>
      <c r="B6588" t="s">
        <v>1298</v>
      </c>
      <c r="C6588" t="s">
        <v>1299</v>
      </c>
      <c r="D6588" t="s">
        <v>1376</v>
      </c>
      <c r="E6588" t="s">
        <v>187</v>
      </c>
      <c r="F6588">
        <v>2012</v>
      </c>
      <c r="G6588">
        <v>20.227499999999999</v>
      </c>
    </row>
    <row r="6589" spans="1:7">
      <c r="A6589" t="s">
        <v>1297</v>
      </c>
      <c r="B6589" t="s">
        <v>1298</v>
      </c>
      <c r="C6589" t="s">
        <v>1299</v>
      </c>
      <c r="D6589" t="s">
        <v>1376</v>
      </c>
      <c r="E6589" t="s">
        <v>187</v>
      </c>
      <c r="F6589">
        <v>2016</v>
      </c>
      <c r="G6589">
        <v>19.739699999999999</v>
      </c>
    </row>
    <row r="6590" spans="1:7">
      <c r="A6590" t="s">
        <v>1297</v>
      </c>
      <c r="B6590" t="s">
        <v>1298</v>
      </c>
      <c r="C6590" t="s">
        <v>1299</v>
      </c>
      <c r="D6590" t="s">
        <v>1376</v>
      </c>
      <c r="E6590" t="s">
        <v>187</v>
      </c>
      <c r="F6590">
        <v>2020</v>
      </c>
      <c r="G6590">
        <v>29.185822000000002</v>
      </c>
    </row>
    <row r="6591" spans="1:7">
      <c r="A6591" t="s">
        <v>1297</v>
      </c>
      <c r="B6591" t="s">
        <v>1298</v>
      </c>
      <c r="C6591" t="s">
        <v>676</v>
      </c>
      <c r="D6591" t="s">
        <v>1376</v>
      </c>
      <c r="E6591" t="s">
        <v>187</v>
      </c>
      <c r="F6591">
        <v>2005</v>
      </c>
      <c r="G6591">
        <v>7.1999999999999995E-2</v>
      </c>
    </row>
    <row r="6592" spans="1:7">
      <c r="A6592" t="s">
        <v>1297</v>
      </c>
      <c r="B6592" t="s">
        <v>1298</v>
      </c>
      <c r="C6592" t="s">
        <v>676</v>
      </c>
      <c r="D6592" t="s">
        <v>1376</v>
      </c>
      <c r="E6592" t="s">
        <v>187</v>
      </c>
      <c r="F6592">
        <v>2016</v>
      </c>
      <c r="G6592">
        <v>3.3056999999999999</v>
      </c>
    </row>
    <row r="6593" spans="1:7">
      <c r="A6593" t="s">
        <v>1297</v>
      </c>
      <c r="B6593" t="s">
        <v>1298</v>
      </c>
      <c r="C6593" t="s">
        <v>676</v>
      </c>
      <c r="D6593" t="s">
        <v>1376</v>
      </c>
      <c r="E6593" t="s">
        <v>187</v>
      </c>
      <c r="F6593">
        <v>2020</v>
      </c>
      <c r="G6593">
        <v>3.4380299999999999</v>
      </c>
    </row>
    <row r="6594" spans="1:7">
      <c r="A6594" t="s">
        <v>1297</v>
      </c>
      <c r="B6594" t="s">
        <v>1298</v>
      </c>
      <c r="C6594" t="s">
        <v>662</v>
      </c>
      <c r="D6594" t="s">
        <v>1376</v>
      </c>
      <c r="E6594" t="s">
        <v>187</v>
      </c>
      <c r="F6594">
        <v>2005</v>
      </c>
      <c r="G6594">
        <v>0.29790299999999997</v>
      </c>
    </row>
    <row r="6595" spans="1:7">
      <c r="A6595" t="s">
        <v>1297</v>
      </c>
      <c r="B6595" t="s">
        <v>1298</v>
      </c>
      <c r="C6595" t="s">
        <v>662</v>
      </c>
      <c r="D6595" t="s">
        <v>1376</v>
      </c>
      <c r="E6595" t="s">
        <v>187</v>
      </c>
      <c r="F6595">
        <v>2010</v>
      </c>
      <c r="G6595">
        <v>0.730792</v>
      </c>
    </row>
    <row r="6596" spans="1:7">
      <c r="A6596" t="s">
        <v>1297</v>
      </c>
      <c r="B6596" t="s">
        <v>1298</v>
      </c>
      <c r="C6596" t="s">
        <v>662</v>
      </c>
      <c r="D6596" t="s">
        <v>1376</v>
      </c>
      <c r="E6596" t="s">
        <v>187</v>
      </c>
      <c r="F6596">
        <v>2012</v>
      </c>
      <c r="G6596">
        <v>0.804593</v>
      </c>
    </row>
    <row r="6597" spans="1:7">
      <c r="A6597" t="s">
        <v>1297</v>
      </c>
      <c r="B6597" t="s">
        <v>1298</v>
      </c>
      <c r="C6597" t="s">
        <v>662</v>
      </c>
      <c r="D6597" t="s">
        <v>1376</v>
      </c>
      <c r="E6597" t="s">
        <v>187</v>
      </c>
      <c r="F6597">
        <v>2016</v>
      </c>
      <c r="G6597">
        <v>0.38879999999999998</v>
      </c>
    </row>
    <row r="6598" spans="1:7">
      <c r="A6598" t="s">
        <v>1297</v>
      </c>
      <c r="B6598" t="s">
        <v>1298</v>
      </c>
      <c r="C6598" t="s">
        <v>662</v>
      </c>
      <c r="D6598" t="s">
        <v>1376</v>
      </c>
      <c r="E6598" t="s">
        <v>187</v>
      </c>
      <c r="F6598">
        <v>2020</v>
      </c>
      <c r="G6598">
        <v>0.77626099999999998</v>
      </c>
    </row>
    <row r="6599" spans="1:7">
      <c r="A6599" t="s">
        <v>1297</v>
      </c>
      <c r="B6599" t="s">
        <v>1298</v>
      </c>
      <c r="C6599" t="s">
        <v>1301</v>
      </c>
      <c r="D6599" t="s">
        <v>1376</v>
      </c>
      <c r="E6599" t="s">
        <v>187</v>
      </c>
      <c r="F6599">
        <v>2005</v>
      </c>
      <c r="G6599">
        <v>0.79649999999999999</v>
      </c>
    </row>
    <row r="6600" spans="1:7">
      <c r="A6600" t="s">
        <v>1297</v>
      </c>
      <c r="B6600" t="s">
        <v>1298</v>
      </c>
      <c r="C6600" t="s">
        <v>1301</v>
      </c>
      <c r="D6600" t="s">
        <v>1376</v>
      </c>
      <c r="E6600" t="s">
        <v>187</v>
      </c>
      <c r="F6600">
        <v>2010</v>
      </c>
      <c r="G6600">
        <v>0.13500000000000001</v>
      </c>
    </row>
    <row r="6601" spans="1:7">
      <c r="A6601" t="s">
        <v>1297</v>
      </c>
      <c r="B6601" t="s">
        <v>1298</v>
      </c>
      <c r="C6601" t="s">
        <v>1301</v>
      </c>
      <c r="D6601" t="s">
        <v>1376</v>
      </c>
      <c r="E6601" t="s">
        <v>187</v>
      </c>
      <c r="F6601">
        <v>2012</v>
      </c>
      <c r="G6601">
        <v>0.16830000000000001</v>
      </c>
    </row>
    <row r="6602" spans="1:7">
      <c r="A6602" t="s">
        <v>1297</v>
      </c>
      <c r="B6602" t="s">
        <v>1298</v>
      </c>
      <c r="C6602" t="s">
        <v>1301</v>
      </c>
      <c r="D6602" t="s">
        <v>1376</v>
      </c>
      <c r="E6602" t="s">
        <v>187</v>
      </c>
      <c r="F6602">
        <v>2016</v>
      </c>
      <c r="G6602">
        <v>0.14130000000000001</v>
      </c>
    </row>
    <row r="6603" spans="1:7">
      <c r="A6603" t="s">
        <v>1297</v>
      </c>
      <c r="B6603" t="s">
        <v>1298</v>
      </c>
      <c r="C6603" t="s">
        <v>1301</v>
      </c>
      <c r="D6603" t="s">
        <v>1376</v>
      </c>
      <c r="E6603" t="s">
        <v>187</v>
      </c>
      <c r="F6603">
        <v>2020</v>
      </c>
      <c r="G6603">
        <v>0.116469</v>
      </c>
    </row>
    <row r="6604" spans="1:7">
      <c r="A6604" t="s">
        <v>1297</v>
      </c>
      <c r="B6604" t="s">
        <v>1298</v>
      </c>
      <c r="C6604" t="s">
        <v>653</v>
      </c>
      <c r="D6604" t="s">
        <v>1376</v>
      </c>
      <c r="E6604" t="s">
        <v>187</v>
      </c>
      <c r="F6604">
        <v>2005</v>
      </c>
      <c r="G6604">
        <v>2.1086999999999998</v>
      </c>
    </row>
    <row r="6605" spans="1:7">
      <c r="A6605" t="s">
        <v>1297</v>
      </c>
      <c r="B6605" t="s">
        <v>1298</v>
      </c>
      <c r="C6605" t="s">
        <v>653</v>
      </c>
      <c r="D6605" t="s">
        <v>1376</v>
      </c>
      <c r="E6605" t="s">
        <v>187</v>
      </c>
      <c r="F6605">
        <v>2010</v>
      </c>
      <c r="G6605">
        <v>0.54360600000000003</v>
      </c>
    </row>
    <row r="6606" spans="1:7">
      <c r="A6606" t="s">
        <v>1297</v>
      </c>
      <c r="B6606" t="s">
        <v>1298</v>
      </c>
      <c r="C6606" t="s">
        <v>653</v>
      </c>
      <c r="D6606" t="s">
        <v>1376</v>
      </c>
      <c r="E6606" t="s">
        <v>187</v>
      </c>
      <c r="F6606">
        <v>2012</v>
      </c>
      <c r="G6606">
        <v>0.43380099999999999</v>
      </c>
    </row>
    <row r="6607" spans="1:7">
      <c r="A6607" t="s">
        <v>1297</v>
      </c>
      <c r="B6607" t="s">
        <v>1298</v>
      </c>
      <c r="C6607" t="s">
        <v>653</v>
      </c>
      <c r="D6607" t="s">
        <v>1376</v>
      </c>
      <c r="E6607" t="s">
        <v>187</v>
      </c>
      <c r="F6607">
        <v>2016</v>
      </c>
      <c r="G6607">
        <v>0.37709900000000002</v>
      </c>
    </row>
    <row r="6608" spans="1:7">
      <c r="A6608" t="s">
        <v>1297</v>
      </c>
      <c r="B6608" t="s">
        <v>1298</v>
      </c>
      <c r="C6608" t="s">
        <v>653</v>
      </c>
      <c r="D6608" t="s">
        <v>1376</v>
      </c>
      <c r="E6608" t="s">
        <v>187</v>
      </c>
      <c r="F6608">
        <v>2020</v>
      </c>
      <c r="G6608">
        <v>0.31709900000000002</v>
      </c>
    </row>
    <row r="6609" spans="1:7">
      <c r="A6609" t="s">
        <v>1297</v>
      </c>
      <c r="B6609" t="s">
        <v>1298</v>
      </c>
      <c r="C6609" t="s">
        <v>663</v>
      </c>
      <c r="D6609" t="s">
        <v>1376</v>
      </c>
      <c r="E6609" t="s">
        <v>187</v>
      </c>
      <c r="F6609">
        <v>2005</v>
      </c>
      <c r="G6609">
        <v>14.6511</v>
      </c>
    </row>
    <row r="6610" spans="1:7">
      <c r="A6610" t="s">
        <v>1297</v>
      </c>
      <c r="B6610" t="s">
        <v>1298</v>
      </c>
      <c r="C6610" t="s">
        <v>663</v>
      </c>
      <c r="D6610" t="s">
        <v>1376</v>
      </c>
      <c r="E6610" t="s">
        <v>187</v>
      </c>
      <c r="F6610">
        <v>2010</v>
      </c>
      <c r="G6610">
        <v>7.0929000000000002</v>
      </c>
    </row>
    <row r="6611" spans="1:7">
      <c r="A6611" t="s">
        <v>1297</v>
      </c>
      <c r="B6611" t="s">
        <v>1298</v>
      </c>
      <c r="C6611" t="s">
        <v>663</v>
      </c>
      <c r="D6611" t="s">
        <v>1376</v>
      </c>
      <c r="E6611" t="s">
        <v>187</v>
      </c>
      <c r="F6611">
        <v>2012</v>
      </c>
      <c r="G6611">
        <v>5.4630000000000001</v>
      </c>
    </row>
    <row r="6612" spans="1:7">
      <c r="A6612" t="s">
        <v>1297</v>
      </c>
      <c r="B6612" t="s">
        <v>1298</v>
      </c>
      <c r="C6612" t="s">
        <v>663</v>
      </c>
      <c r="D6612" t="s">
        <v>1376</v>
      </c>
      <c r="E6612" t="s">
        <v>187</v>
      </c>
      <c r="F6612">
        <v>2016</v>
      </c>
      <c r="G6612">
        <v>3.9846509999999999</v>
      </c>
    </row>
    <row r="6613" spans="1:7">
      <c r="A6613" t="s">
        <v>1297</v>
      </c>
      <c r="B6613" t="s">
        <v>1298</v>
      </c>
      <c r="C6613" t="s">
        <v>663</v>
      </c>
      <c r="D6613" t="s">
        <v>1376</v>
      </c>
      <c r="E6613" t="s">
        <v>187</v>
      </c>
      <c r="F6613">
        <v>2020</v>
      </c>
      <c r="G6613">
        <v>4.0922999999999998</v>
      </c>
    </row>
    <row r="6614" spans="1:7">
      <c r="A6614" t="s">
        <v>1297</v>
      </c>
      <c r="B6614" t="s">
        <v>1298</v>
      </c>
      <c r="C6614" t="s">
        <v>665</v>
      </c>
      <c r="D6614" t="s">
        <v>1376</v>
      </c>
      <c r="E6614" t="s">
        <v>187</v>
      </c>
      <c r="F6614">
        <v>2005</v>
      </c>
      <c r="G6614">
        <v>20.5488</v>
      </c>
    </row>
    <row r="6615" spans="1:7">
      <c r="A6615" t="s">
        <v>1297</v>
      </c>
      <c r="B6615" t="s">
        <v>1298</v>
      </c>
      <c r="C6615" t="s">
        <v>665</v>
      </c>
      <c r="D6615" t="s">
        <v>1376</v>
      </c>
      <c r="E6615" t="s">
        <v>187</v>
      </c>
      <c r="F6615">
        <v>2010</v>
      </c>
      <c r="G6615">
        <v>20.376000000000001</v>
      </c>
    </row>
    <row r="6616" spans="1:7">
      <c r="A6616" t="s">
        <v>1297</v>
      </c>
      <c r="B6616" t="s">
        <v>1298</v>
      </c>
      <c r="C6616" t="s">
        <v>665</v>
      </c>
      <c r="D6616" t="s">
        <v>1376</v>
      </c>
      <c r="E6616" t="s">
        <v>187</v>
      </c>
      <c r="F6616">
        <v>2012</v>
      </c>
      <c r="G6616">
        <v>18.316800000000001</v>
      </c>
    </row>
    <row r="6617" spans="1:7">
      <c r="A6617" t="s">
        <v>1297</v>
      </c>
      <c r="B6617" t="s">
        <v>1298</v>
      </c>
      <c r="C6617" t="s">
        <v>665</v>
      </c>
      <c r="D6617" t="s">
        <v>1376</v>
      </c>
      <c r="E6617" t="s">
        <v>187</v>
      </c>
      <c r="F6617">
        <v>2016</v>
      </c>
      <c r="G6617">
        <v>11.5749</v>
      </c>
    </row>
    <row r="6618" spans="1:7">
      <c r="A6618" t="s">
        <v>1297</v>
      </c>
      <c r="B6618" t="s">
        <v>1298</v>
      </c>
      <c r="C6618" t="s">
        <v>665</v>
      </c>
      <c r="D6618" t="s">
        <v>1376</v>
      </c>
      <c r="E6618" t="s">
        <v>187</v>
      </c>
      <c r="F6618">
        <v>2020</v>
      </c>
      <c r="G6618">
        <v>13.96269</v>
      </c>
    </row>
    <row r="6619" spans="1:7">
      <c r="A6619" t="s">
        <v>1297</v>
      </c>
      <c r="B6619" t="s">
        <v>1298</v>
      </c>
      <c r="C6619" t="s">
        <v>659</v>
      </c>
      <c r="D6619" t="s">
        <v>1376</v>
      </c>
      <c r="E6619" t="s">
        <v>187</v>
      </c>
      <c r="F6619">
        <v>2005</v>
      </c>
      <c r="G6619">
        <v>7.9181340000000002</v>
      </c>
    </row>
    <row r="6620" spans="1:7">
      <c r="A6620" t="s">
        <v>1297</v>
      </c>
      <c r="B6620" t="s">
        <v>1298</v>
      </c>
      <c r="C6620" t="s">
        <v>659</v>
      </c>
      <c r="D6620" t="s">
        <v>1376</v>
      </c>
      <c r="E6620" t="s">
        <v>187</v>
      </c>
      <c r="F6620">
        <v>2010</v>
      </c>
      <c r="G6620">
        <v>6.533982</v>
      </c>
    </row>
    <row r="6621" spans="1:7">
      <c r="A6621" t="s">
        <v>1297</v>
      </c>
      <c r="B6621" t="s">
        <v>1298</v>
      </c>
      <c r="C6621" t="s">
        <v>659</v>
      </c>
      <c r="D6621" t="s">
        <v>1376</v>
      </c>
      <c r="E6621" t="s">
        <v>187</v>
      </c>
      <c r="F6621">
        <v>2012</v>
      </c>
      <c r="G6621">
        <v>6.6051729999999997</v>
      </c>
    </row>
    <row r="6622" spans="1:7">
      <c r="A6622" t="s">
        <v>1297</v>
      </c>
      <c r="B6622" t="s">
        <v>1298</v>
      </c>
      <c r="C6622" t="s">
        <v>659</v>
      </c>
      <c r="D6622" t="s">
        <v>1376</v>
      </c>
      <c r="E6622" t="s">
        <v>187</v>
      </c>
      <c r="F6622">
        <v>2016</v>
      </c>
      <c r="G6622">
        <v>4.1580339999999998</v>
      </c>
    </row>
    <row r="6623" spans="1:7">
      <c r="A6623" t="s">
        <v>1297</v>
      </c>
      <c r="B6623" t="s">
        <v>1298</v>
      </c>
      <c r="C6623" t="s">
        <v>659</v>
      </c>
      <c r="D6623" t="s">
        <v>1376</v>
      </c>
      <c r="E6623" t="s">
        <v>187</v>
      </c>
      <c r="F6623">
        <v>2020</v>
      </c>
      <c r="G6623">
        <v>4.8338999999999999</v>
      </c>
    </row>
    <row r="6624" spans="1:7">
      <c r="A6624" t="s">
        <v>1297</v>
      </c>
      <c r="B6624" t="s">
        <v>1298</v>
      </c>
      <c r="C6624" t="s">
        <v>686</v>
      </c>
      <c r="D6624" t="s">
        <v>1376</v>
      </c>
      <c r="E6624" t="s">
        <v>187</v>
      </c>
      <c r="F6624">
        <v>2010</v>
      </c>
      <c r="G6624">
        <v>0.69840000000000002</v>
      </c>
    </row>
    <row r="6625" spans="1:7">
      <c r="A6625" t="s">
        <v>1297</v>
      </c>
      <c r="B6625" t="s">
        <v>1298</v>
      </c>
      <c r="C6625" t="s">
        <v>686</v>
      </c>
      <c r="D6625" t="s">
        <v>1376</v>
      </c>
      <c r="E6625" t="s">
        <v>187</v>
      </c>
      <c r="F6625">
        <v>2012</v>
      </c>
      <c r="G6625">
        <v>0.39510000000000001</v>
      </c>
    </row>
    <row r="6626" spans="1:7">
      <c r="A6626" t="s">
        <v>1297</v>
      </c>
      <c r="B6626" t="s">
        <v>1298</v>
      </c>
      <c r="C6626" t="s">
        <v>686</v>
      </c>
      <c r="D6626" t="s">
        <v>1376</v>
      </c>
      <c r="E6626" t="s">
        <v>187</v>
      </c>
      <c r="F6626">
        <v>2016</v>
      </c>
      <c r="G6626">
        <v>0.75149999999999995</v>
      </c>
    </row>
    <row r="6627" spans="1:7">
      <c r="A6627" t="s">
        <v>1297</v>
      </c>
      <c r="B6627" t="s">
        <v>1298</v>
      </c>
      <c r="C6627" t="s">
        <v>686</v>
      </c>
      <c r="D6627" t="s">
        <v>1376</v>
      </c>
      <c r="E6627" t="s">
        <v>187</v>
      </c>
      <c r="F6627">
        <v>2020</v>
      </c>
      <c r="G6627">
        <v>0.68576300000000001</v>
      </c>
    </row>
    <row r="6628" spans="1:7">
      <c r="A6628" t="s">
        <v>1297</v>
      </c>
      <c r="B6628" t="s">
        <v>1298</v>
      </c>
      <c r="C6628" t="s">
        <v>682</v>
      </c>
      <c r="D6628" t="s">
        <v>1376</v>
      </c>
      <c r="E6628" t="s">
        <v>187</v>
      </c>
      <c r="F6628">
        <v>2016</v>
      </c>
      <c r="G6628">
        <v>2.1600000000000001E-2</v>
      </c>
    </row>
    <row r="6629" spans="1:7">
      <c r="A6629" t="s">
        <v>1297</v>
      </c>
      <c r="B6629" t="s">
        <v>1298</v>
      </c>
      <c r="C6629" t="s">
        <v>682</v>
      </c>
      <c r="D6629" t="s">
        <v>1376</v>
      </c>
      <c r="E6629" t="s">
        <v>187</v>
      </c>
      <c r="F6629">
        <v>2020</v>
      </c>
      <c r="G6629">
        <v>2.6100000000000002E-2</v>
      </c>
    </row>
    <row r="6630" spans="1:7">
      <c r="A6630" t="s">
        <v>1297</v>
      </c>
      <c r="B6630" t="s">
        <v>1298</v>
      </c>
      <c r="C6630" t="s">
        <v>666</v>
      </c>
      <c r="D6630" t="s">
        <v>1376</v>
      </c>
      <c r="E6630" t="s">
        <v>187</v>
      </c>
      <c r="F6630">
        <v>2005</v>
      </c>
      <c r="G6630">
        <v>0.42030000000000001</v>
      </c>
    </row>
    <row r="6631" spans="1:7">
      <c r="A6631" t="s">
        <v>1297</v>
      </c>
      <c r="B6631" t="s">
        <v>1298</v>
      </c>
      <c r="C6631" t="s">
        <v>666</v>
      </c>
      <c r="D6631" t="s">
        <v>1376</v>
      </c>
      <c r="E6631" t="s">
        <v>187</v>
      </c>
      <c r="F6631">
        <v>2010</v>
      </c>
      <c r="G6631">
        <v>3.5999999999999999E-3</v>
      </c>
    </row>
    <row r="6632" spans="1:7">
      <c r="A6632" t="s">
        <v>1297</v>
      </c>
      <c r="B6632" t="s">
        <v>1298</v>
      </c>
      <c r="C6632" t="s">
        <v>666</v>
      </c>
      <c r="D6632" t="s">
        <v>1376</v>
      </c>
      <c r="E6632" t="s">
        <v>187</v>
      </c>
      <c r="F6632">
        <v>2012</v>
      </c>
      <c r="G6632">
        <v>3.5999999999999999E-3</v>
      </c>
    </row>
    <row r="6633" spans="1:7">
      <c r="A6633" t="s">
        <v>1297</v>
      </c>
      <c r="B6633" t="s">
        <v>1298</v>
      </c>
      <c r="C6633" t="s">
        <v>671</v>
      </c>
      <c r="D6633" t="s">
        <v>1376</v>
      </c>
      <c r="E6633" t="s">
        <v>187</v>
      </c>
      <c r="F6633">
        <v>2005</v>
      </c>
      <c r="G6633">
        <v>6.4080000000000004</v>
      </c>
    </row>
    <row r="6634" spans="1:7">
      <c r="A6634" t="s">
        <v>1297</v>
      </c>
      <c r="B6634" t="s">
        <v>1298</v>
      </c>
      <c r="C6634" t="s">
        <v>671</v>
      </c>
      <c r="D6634" t="s">
        <v>1376</v>
      </c>
      <c r="E6634" t="s">
        <v>187</v>
      </c>
      <c r="F6634">
        <v>2010</v>
      </c>
      <c r="G6634">
        <v>6.4701000000000004</v>
      </c>
    </row>
    <row r="6635" spans="1:7">
      <c r="A6635" t="s">
        <v>1297</v>
      </c>
      <c r="B6635" t="s">
        <v>1298</v>
      </c>
      <c r="C6635" t="s">
        <v>671</v>
      </c>
      <c r="D6635" t="s">
        <v>1376</v>
      </c>
      <c r="E6635" t="s">
        <v>187</v>
      </c>
      <c r="F6635">
        <v>2012</v>
      </c>
      <c r="G6635">
        <v>4.7771999999999997</v>
      </c>
    </row>
    <row r="6636" spans="1:7">
      <c r="A6636" t="s">
        <v>1297</v>
      </c>
      <c r="B6636" t="s">
        <v>1298</v>
      </c>
      <c r="C6636" t="s">
        <v>671</v>
      </c>
      <c r="D6636" t="s">
        <v>1376</v>
      </c>
      <c r="E6636" t="s">
        <v>187</v>
      </c>
      <c r="F6636">
        <v>2016</v>
      </c>
      <c r="G6636">
        <v>1.1096999999999999</v>
      </c>
    </row>
    <row r="6637" spans="1:7">
      <c r="A6637" t="s">
        <v>1297</v>
      </c>
      <c r="B6637" t="s">
        <v>1298</v>
      </c>
      <c r="C6637" t="s">
        <v>671</v>
      </c>
      <c r="D6637" t="s">
        <v>1376</v>
      </c>
      <c r="E6637" t="s">
        <v>187</v>
      </c>
      <c r="F6637">
        <v>2020</v>
      </c>
      <c r="G6637">
        <v>0.43104599999999998</v>
      </c>
    </row>
    <row r="6638" spans="1:7">
      <c r="A6638" t="s">
        <v>1297</v>
      </c>
      <c r="B6638" t="s">
        <v>1298</v>
      </c>
      <c r="C6638" t="s">
        <v>289</v>
      </c>
      <c r="D6638" t="s">
        <v>1376</v>
      </c>
      <c r="E6638" t="s">
        <v>187</v>
      </c>
      <c r="F6638">
        <v>2012</v>
      </c>
      <c r="G6638">
        <v>1.7982</v>
      </c>
    </row>
    <row r="6639" spans="1:7">
      <c r="A6639" t="s">
        <v>1297</v>
      </c>
      <c r="B6639" t="s">
        <v>1298</v>
      </c>
      <c r="C6639" t="s">
        <v>289</v>
      </c>
      <c r="D6639" t="s">
        <v>1376</v>
      </c>
      <c r="E6639" t="s">
        <v>187</v>
      </c>
      <c r="F6639">
        <v>2016</v>
      </c>
      <c r="G6639">
        <v>1.1628000000000001</v>
      </c>
    </row>
    <row r="6640" spans="1:7">
      <c r="A6640" t="s">
        <v>1297</v>
      </c>
      <c r="B6640" t="s">
        <v>1298</v>
      </c>
      <c r="C6640" t="s">
        <v>289</v>
      </c>
      <c r="D6640" t="s">
        <v>1376</v>
      </c>
      <c r="E6640" t="s">
        <v>187</v>
      </c>
      <c r="F6640">
        <v>2020</v>
      </c>
      <c r="G6640">
        <v>1.0911599999999999</v>
      </c>
    </row>
    <row r="6641" spans="1:7">
      <c r="A6641" t="s">
        <v>1297</v>
      </c>
      <c r="B6641" t="s">
        <v>1298</v>
      </c>
      <c r="C6641" t="s">
        <v>1303</v>
      </c>
      <c r="D6641" t="s">
        <v>1376</v>
      </c>
      <c r="E6641" t="s">
        <v>187</v>
      </c>
      <c r="F6641">
        <v>2016</v>
      </c>
      <c r="G6641">
        <v>4.7189129999999997</v>
      </c>
    </row>
    <row r="6642" spans="1:7">
      <c r="A6642" t="s">
        <v>1297</v>
      </c>
      <c r="B6642" t="s">
        <v>1298</v>
      </c>
      <c r="C6642" t="s">
        <v>1303</v>
      </c>
      <c r="D6642" t="s">
        <v>1376</v>
      </c>
      <c r="E6642" t="s">
        <v>187</v>
      </c>
      <c r="F6642">
        <v>2020</v>
      </c>
      <c r="G6642">
        <v>3.1311450000000001</v>
      </c>
    </row>
    <row r="6643" spans="1:7">
      <c r="A6643" t="s">
        <v>1297</v>
      </c>
      <c r="B6643" t="s">
        <v>1298</v>
      </c>
      <c r="C6643" t="s">
        <v>673</v>
      </c>
      <c r="D6643" t="s">
        <v>1376</v>
      </c>
      <c r="E6643" t="s">
        <v>187</v>
      </c>
      <c r="F6643">
        <v>2005</v>
      </c>
      <c r="G6643">
        <v>23.830200000000001</v>
      </c>
    </row>
    <row r="6644" spans="1:7">
      <c r="A6644" t="s">
        <v>1297</v>
      </c>
      <c r="B6644" t="s">
        <v>1298</v>
      </c>
      <c r="C6644" t="s">
        <v>664</v>
      </c>
      <c r="D6644" t="s">
        <v>1376</v>
      </c>
      <c r="E6644" t="s">
        <v>187</v>
      </c>
      <c r="F6644">
        <v>2005</v>
      </c>
      <c r="G6644">
        <v>3.776214</v>
      </c>
    </row>
    <row r="6645" spans="1:7">
      <c r="A6645" t="s">
        <v>1297</v>
      </c>
      <c r="B6645" t="s">
        <v>1298</v>
      </c>
      <c r="C6645" t="s">
        <v>664</v>
      </c>
      <c r="D6645" t="s">
        <v>1376</v>
      </c>
      <c r="E6645" t="s">
        <v>187</v>
      </c>
      <c r="F6645">
        <v>2010</v>
      </c>
      <c r="G6645">
        <v>3.645988</v>
      </c>
    </row>
    <row r="6646" spans="1:7">
      <c r="A6646" t="s">
        <v>1297</v>
      </c>
      <c r="B6646" t="s">
        <v>1298</v>
      </c>
      <c r="C6646" t="s">
        <v>664</v>
      </c>
      <c r="D6646" t="s">
        <v>1376</v>
      </c>
      <c r="E6646" t="s">
        <v>187</v>
      </c>
      <c r="F6646">
        <v>2012</v>
      </c>
      <c r="G6646">
        <v>3.0651139999999999</v>
      </c>
    </row>
    <row r="6647" spans="1:7">
      <c r="A6647" t="s">
        <v>1297</v>
      </c>
      <c r="B6647" t="s">
        <v>1298</v>
      </c>
      <c r="C6647" t="s">
        <v>664</v>
      </c>
      <c r="D6647" t="s">
        <v>1376</v>
      </c>
      <c r="E6647" t="s">
        <v>187</v>
      </c>
      <c r="F6647">
        <v>2016</v>
      </c>
      <c r="G6647">
        <v>2.1434530000000001</v>
      </c>
    </row>
    <row r="6648" spans="1:7">
      <c r="A6648" t="s">
        <v>1297</v>
      </c>
      <c r="B6648" t="s">
        <v>1298</v>
      </c>
      <c r="C6648" t="s">
        <v>664</v>
      </c>
      <c r="D6648" t="s">
        <v>1376</v>
      </c>
      <c r="E6648" t="s">
        <v>187</v>
      </c>
      <c r="F6648">
        <v>2020</v>
      </c>
      <c r="G6648">
        <v>2.751881</v>
      </c>
    </row>
    <row r="6649" spans="1:7">
      <c r="A6649" t="s">
        <v>1297</v>
      </c>
      <c r="B6649" t="s">
        <v>1298</v>
      </c>
      <c r="C6649" t="s">
        <v>676</v>
      </c>
      <c r="D6649" t="s">
        <v>1377</v>
      </c>
      <c r="E6649" t="s">
        <v>187</v>
      </c>
      <c r="F6649">
        <v>2005</v>
      </c>
      <c r="G6649">
        <v>13.014900000000001</v>
      </c>
    </row>
    <row r="6650" spans="1:7">
      <c r="A6650" t="s">
        <v>1297</v>
      </c>
      <c r="B6650" t="s">
        <v>1298</v>
      </c>
      <c r="C6650" t="s">
        <v>676</v>
      </c>
      <c r="D6650" t="s">
        <v>1377</v>
      </c>
      <c r="E6650" t="s">
        <v>187</v>
      </c>
      <c r="F6650">
        <v>2012</v>
      </c>
      <c r="G6650">
        <v>1.6227</v>
      </c>
    </row>
    <row r="6651" spans="1:7">
      <c r="A6651" t="s">
        <v>1297</v>
      </c>
      <c r="B6651" t="s">
        <v>1298</v>
      </c>
      <c r="C6651" t="s">
        <v>666</v>
      </c>
      <c r="D6651" t="s">
        <v>1377</v>
      </c>
      <c r="E6651" t="s">
        <v>187</v>
      </c>
      <c r="F6651">
        <v>2016</v>
      </c>
      <c r="G6651">
        <v>1.5363</v>
      </c>
    </row>
    <row r="6652" spans="1:7">
      <c r="A6652" t="s">
        <v>1297</v>
      </c>
      <c r="B6652" t="s">
        <v>1298</v>
      </c>
      <c r="C6652" t="s">
        <v>666</v>
      </c>
      <c r="D6652" t="s">
        <v>1377</v>
      </c>
      <c r="E6652" t="s">
        <v>187</v>
      </c>
      <c r="F6652">
        <v>2020</v>
      </c>
      <c r="G6652">
        <v>18.157344999999999</v>
      </c>
    </row>
    <row r="6653" spans="1:7">
      <c r="A6653" t="s">
        <v>1297</v>
      </c>
      <c r="B6653" t="s">
        <v>1298</v>
      </c>
      <c r="C6653" t="s">
        <v>662</v>
      </c>
      <c r="D6653" t="s">
        <v>1377</v>
      </c>
      <c r="E6653" t="s">
        <v>187</v>
      </c>
      <c r="F6653">
        <v>2020</v>
      </c>
      <c r="G6653">
        <v>0.57073799999999997</v>
      </c>
    </row>
    <row r="6654" spans="1:7">
      <c r="A6654" t="s">
        <v>1297</v>
      </c>
      <c r="B6654" t="s">
        <v>1298</v>
      </c>
      <c r="C6654" t="s">
        <v>651</v>
      </c>
      <c r="D6654" t="s">
        <v>1377</v>
      </c>
      <c r="E6654" t="s">
        <v>187</v>
      </c>
      <c r="F6654">
        <v>2012</v>
      </c>
      <c r="G6654">
        <v>219.233036</v>
      </c>
    </row>
    <row r="6655" spans="1:7">
      <c r="A6655" t="s">
        <v>1297</v>
      </c>
      <c r="B6655" t="s">
        <v>1298</v>
      </c>
      <c r="C6655" t="s">
        <v>651</v>
      </c>
      <c r="D6655" t="s">
        <v>1377</v>
      </c>
      <c r="E6655" t="s">
        <v>187</v>
      </c>
      <c r="F6655">
        <v>2016</v>
      </c>
      <c r="G6655">
        <v>240.88561899999999</v>
      </c>
    </row>
    <row r="6656" spans="1:7">
      <c r="A6656" t="s">
        <v>1297</v>
      </c>
      <c r="B6656" t="s">
        <v>1298</v>
      </c>
      <c r="C6656" t="s">
        <v>651</v>
      </c>
      <c r="D6656" t="s">
        <v>1377</v>
      </c>
      <c r="E6656" t="s">
        <v>187</v>
      </c>
      <c r="F6656">
        <v>2020</v>
      </c>
      <c r="G6656">
        <v>97.642013000000006</v>
      </c>
    </row>
    <row r="6657" spans="1:7">
      <c r="A6657" t="s">
        <v>1297</v>
      </c>
      <c r="B6657" t="s">
        <v>1298</v>
      </c>
      <c r="C6657" t="s">
        <v>670</v>
      </c>
      <c r="D6657" t="s">
        <v>1377</v>
      </c>
      <c r="E6657" t="s">
        <v>187</v>
      </c>
      <c r="F6657">
        <v>2005</v>
      </c>
      <c r="G6657">
        <v>1564.8949849999999</v>
      </c>
    </row>
    <row r="6658" spans="1:7">
      <c r="A6658" t="s">
        <v>1297</v>
      </c>
      <c r="B6658" t="s">
        <v>1298</v>
      </c>
      <c r="C6658" t="s">
        <v>670</v>
      </c>
      <c r="D6658" t="s">
        <v>1377</v>
      </c>
      <c r="E6658" t="s">
        <v>187</v>
      </c>
      <c r="F6658">
        <v>2010</v>
      </c>
      <c r="G6658">
        <v>1786.0944469999999</v>
      </c>
    </row>
    <row r="6659" spans="1:7">
      <c r="A6659" t="s">
        <v>1297</v>
      </c>
      <c r="B6659" t="s">
        <v>1298</v>
      </c>
      <c r="C6659" t="s">
        <v>670</v>
      </c>
      <c r="D6659" t="s">
        <v>1377</v>
      </c>
      <c r="E6659" t="s">
        <v>187</v>
      </c>
      <c r="F6659">
        <v>2012</v>
      </c>
      <c r="G6659">
        <v>1906.493346</v>
      </c>
    </row>
    <row r="6660" spans="1:7">
      <c r="A6660" t="s">
        <v>1297</v>
      </c>
      <c r="B6660" t="s">
        <v>1298</v>
      </c>
      <c r="C6660" t="s">
        <v>670</v>
      </c>
      <c r="D6660" t="s">
        <v>1377</v>
      </c>
      <c r="E6660" t="s">
        <v>187</v>
      </c>
      <c r="F6660">
        <v>2016</v>
      </c>
      <c r="G6660">
        <v>1796.682294</v>
      </c>
    </row>
    <row r="6661" spans="1:7">
      <c r="A6661" t="s">
        <v>1297</v>
      </c>
      <c r="B6661" t="s">
        <v>1298</v>
      </c>
      <c r="C6661" t="s">
        <v>670</v>
      </c>
      <c r="D6661" t="s">
        <v>1377</v>
      </c>
      <c r="E6661" t="s">
        <v>187</v>
      </c>
      <c r="F6661">
        <v>2020</v>
      </c>
      <c r="G6661">
        <v>1430.1470099999999</v>
      </c>
    </row>
    <row r="6662" spans="1:7">
      <c r="A6662" t="s">
        <v>1297</v>
      </c>
      <c r="B6662" t="s">
        <v>1298</v>
      </c>
      <c r="C6662" t="s">
        <v>679</v>
      </c>
      <c r="D6662" t="s">
        <v>1377</v>
      </c>
      <c r="E6662" t="s">
        <v>187</v>
      </c>
      <c r="F6662">
        <v>2005</v>
      </c>
      <c r="G6662">
        <v>2971.3732530000002</v>
      </c>
    </row>
    <row r="6663" spans="1:7">
      <c r="A6663" t="s">
        <v>1297</v>
      </c>
      <c r="B6663" t="s">
        <v>1298</v>
      </c>
      <c r="C6663" t="s">
        <v>679</v>
      </c>
      <c r="D6663" t="s">
        <v>1377</v>
      </c>
      <c r="E6663" t="s">
        <v>187</v>
      </c>
      <c r="F6663">
        <v>2010</v>
      </c>
      <c r="G6663">
        <v>3704.5088999999998</v>
      </c>
    </row>
    <row r="6664" spans="1:7">
      <c r="A6664" t="s">
        <v>1297</v>
      </c>
      <c r="B6664" t="s">
        <v>1298</v>
      </c>
      <c r="C6664" t="s">
        <v>679</v>
      </c>
      <c r="D6664" t="s">
        <v>1377</v>
      </c>
      <c r="E6664" t="s">
        <v>187</v>
      </c>
      <c r="F6664">
        <v>2012</v>
      </c>
      <c r="G6664">
        <v>4020.6104999999998</v>
      </c>
    </row>
    <row r="6665" spans="1:7">
      <c r="A6665" t="s">
        <v>1297</v>
      </c>
      <c r="B6665" t="s">
        <v>1298</v>
      </c>
      <c r="C6665" t="s">
        <v>679</v>
      </c>
      <c r="D6665" t="s">
        <v>1377</v>
      </c>
      <c r="E6665" t="s">
        <v>187</v>
      </c>
      <c r="F6665">
        <v>2016</v>
      </c>
      <c r="G6665">
        <v>4051.376143</v>
      </c>
    </row>
    <row r="6666" spans="1:7">
      <c r="A6666" t="s">
        <v>1297</v>
      </c>
      <c r="B6666" t="s">
        <v>1298</v>
      </c>
      <c r="C6666" t="s">
        <v>679</v>
      </c>
      <c r="D6666" t="s">
        <v>1377</v>
      </c>
      <c r="E6666" t="s">
        <v>187</v>
      </c>
      <c r="F6666">
        <v>2020</v>
      </c>
      <c r="G6666">
        <v>4001.5663129999998</v>
      </c>
    </row>
    <row r="6667" spans="1:7">
      <c r="A6667" t="s">
        <v>1297</v>
      </c>
      <c r="B6667" t="s">
        <v>1298</v>
      </c>
      <c r="C6667" t="s">
        <v>674</v>
      </c>
      <c r="D6667" t="s">
        <v>1377</v>
      </c>
      <c r="E6667" t="s">
        <v>187</v>
      </c>
      <c r="F6667">
        <v>2020</v>
      </c>
      <c r="G6667">
        <v>0.935087</v>
      </c>
    </row>
    <row r="6668" spans="1:7">
      <c r="A6668" t="s">
        <v>1297</v>
      </c>
      <c r="B6668" t="s">
        <v>1298</v>
      </c>
      <c r="C6668" t="s">
        <v>1301</v>
      </c>
      <c r="D6668" t="s">
        <v>1377</v>
      </c>
      <c r="E6668" t="s">
        <v>187</v>
      </c>
      <c r="F6668">
        <v>2010</v>
      </c>
      <c r="G6668">
        <v>22.3614</v>
      </c>
    </row>
    <row r="6669" spans="1:7">
      <c r="A6669" t="s">
        <v>1297</v>
      </c>
      <c r="B6669" t="s">
        <v>1298</v>
      </c>
      <c r="C6669" t="s">
        <v>1301</v>
      </c>
      <c r="D6669" t="s">
        <v>1377</v>
      </c>
      <c r="E6669" t="s">
        <v>187</v>
      </c>
      <c r="F6669">
        <v>2012</v>
      </c>
      <c r="G6669">
        <v>21.2319</v>
      </c>
    </row>
    <row r="6670" spans="1:7">
      <c r="A6670" t="s">
        <v>1297</v>
      </c>
      <c r="B6670" t="s">
        <v>1298</v>
      </c>
      <c r="C6670" t="s">
        <v>1301</v>
      </c>
      <c r="D6670" t="s">
        <v>1377</v>
      </c>
      <c r="E6670" t="s">
        <v>187</v>
      </c>
      <c r="F6670">
        <v>2016</v>
      </c>
      <c r="G6670">
        <v>23.330835</v>
      </c>
    </row>
    <row r="6671" spans="1:7">
      <c r="A6671" t="s">
        <v>1297</v>
      </c>
      <c r="B6671" t="s">
        <v>1298</v>
      </c>
      <c r="C6671" t="s">
        <v>1301</v>
      </c>
      <c r="D6671" t="s">
        <v>1377</v>
      </c>
      <c r="E6671" t="s">
        <v>187</v>
      </c>
      <c r="F6671">
        <v>2020</v>
      </c>
      <c r="G6671">
        <v>26.2944</v>
      </c>
    </row>
    <row r="6672" spans="1:7">
      <c r="A6672" t="s">
        <v>1297</v>
      </c>
      <c r="B6672" t="s">
        <v>1298</v>
      </c>
      <c r="C6672" t="s">
        <v>663</v>
      </c>
      <c r="D6672" t="s">
        <v>1377</v>
      </c>
      <c r="E6672" t="s">
        <v>187</v>
      </c>
      <c r="F6672">
        <v>2010</v>
      </c>
      <c r="G6672">
        <v>7.8011999999999997</v>
      </c>
    </row>
    <row r="6673" spans="1:7">
      <c r="A6673" t="s">
        <v>1297</v>
      </c>
      <c r="B6673" t="s">
        <v>1298</v>
      </c>
      <c r="C6673" t="s">
        <v>663</v>
      </c>
      <c r="D6673" t="s">
        <v>1377</v>
      </c>
      <c r="E6673" t="s">
        <v>187</v>
      </c>
      <c r="F6673">
        <v>2012</v>
      </c>
      <c r="G6673">
        <v>28.915199999999999</v>
      </c>
    </row>
    <row r="6674" spans="1:7">
      <c r="A6674" t="s">
        <v>1297</v>
      </c>
      <c r="B6674" t="s">
        <v>1298</v>
      </c>
      <c r="C6674" t="s">
        <v>663</v>
      </c>
      <c r="D6674" t="s">
        <v>1377</v>
      </c>
      <c r="E6674" t="s">
        <v>187</v>
      </c>
      <c r="F6674">
        <v>2016</v>
      </c>
      <c r="G6674">
        <v>37.380234000000002</v>
      </c>
    </row>
    <row r="6675" spans="1:7">
      <c r="A6675" t="s">
        <v>1297</v>
      </c>
      <c r="B6675" t="s">
        <v>1298</v>
      </c>
      <c r="C6675" t="s">
        <v>663</v>
      </c>
      <c r="D6675" t="s">
        <v>1377</v>
      </c>
      <c r="E6675" t="s">
        <v>187</v>
      </c>
      <c r="F6675">
        <v>2020</v>
      </c>
      <c r="G6675">
        <v>244.03320099999999</v>
      </c>
    </row>
    <row r="6676" spans="1:7">
      <c r="A6676" t="s">
        <v>1297</v>
      </c>
      <c r="B6676" t="s">
        <v>1298</v>
      </c>
      <c r="C6676" t="s">
        <v>659</v>
      </c>
      <c r="D6676" t="s">
        <v>1377</v>
      </c>
      <c r="E6676" t="s">
        <v>187</v>
      </c>
      <c r="F6676">
        <v>2010</v>
      </c>
      <c r="G6676">
        <v>42.074677999999999</v>
      </c>
    </row>
    <row r="6677" spans="1:7">
      <c r="A6677" t="s">
        <v>1297</v>
      </c>
      <c r="B6677" t="s">
        <v>1298</v>
      </c>
      <c r="C6677" t="s">
        <v>659</v>
      </c>
      <c r="D6677" t="s">
        <v>1377</v>
      </c>
      <c r="E6677" t="s">
        <v>187</v>
      </c>
      <c r="F6677">
        <v>2012</v>
      </c>
      <c r="G6677">
        <v>101.806759</v>
      </c>
    </row>
    <row r="6678" spans="1:7">
      <c r="A6678" t="s">
        <v>1297</v>
      </c>
      <c r="B6678" t="s">
        <v>1298</v>
      </c>
      <c r="C6678" t="s">
        <v>659</v>
      </c>
      <c r="D6678" t="s">
        <v>1377</v>
      </c>
      <c r="E6678" t="s">
        <v>187</v>
      </c>
      <c r="F6678">
        <v>2016</v>
      </c>
      <c r="G6678">
        <v>145.241705</v>
      </c>
    </row>
    <row r="6679" spans="1:7">
      <c r="A6679" t="s">
        <v>1297</v>
      </c>
      <c r="B6679" t="s">
        <v>1298</v>
      </c>
      <c r="C6679" t="s">
        <v>659</v>
      </c>
      <c r="D6679" t="s">
        <v>1377</v>
      </c>
      <c r="E6679" t="s">
        <v>187</v>
      </c>
      <c r="F6679">
        <v>2020</v>
      </c>
      <c r="G6679">
        <v>40.962600000000002</v>
      </c>
    </row>
    <row r="6680" spans="1:7">
      <c r="A6680" t="s">
        <v>1297</v>
      </c>
      <c r="B6680" t="s">
        <v>1298</v>
      </c>
      <c r="C6680" t="s">
        <v>677</v>
      </c>
      <c r="D6680" t="s">
        <v>1377</v>
      </c>
      <c r="E6680" t="s">
        <v>187</v>
      </c>
      <c r="F6680">
        <v>2005</v>
      </c>
      <c r="G6680">
        <v>311.63400000000001</v>
      </c>
    </row>
    <row r="6681" spans="1:7">
      <c r="A6681" t="s">
        <v>1297</v>
      </c>
      <c r="B6681" t="s">
        <v>1298</v>
      </c>
      <c r="C6681" t="s">
        <v>677</v>
      </c>
      <c r="D6681" t="s">
        <v>1377</v>
      </c>
      <c r="E6681" t="s">
        <v>187</v>
      </c>
      <c r="F6681">
        <v>2010</v>
      </c>
      <c r="G6681">
        <v>544.9221</v>
      </c>
    </row>
    <row r="6682" spans="1:7">
      <c r="A6682" t="s">
        <v>1297</v>
      </c>
      <c r="B6682" t="s">
        <v>1298</v>
      </c>
      <c r="C6682" t="s">
        <v>677</v>
      </c>
      <c r="D6682" t="s">
        <v>1377</v>
      </c>
      <c r="E6682" t="s">
        <v>187</v>
      </c>
      <c r="F6682">
        <v>2012</v>
      </c>
      <c r="G6682">
        <v>426.74310000000003</v>
      </c>
    </row>
    <row r="6683" spans="1:7">
      <c r="A6683" t="s">
        <v>1297</v>
      </c>
      <c r="B6683" t="s">
        <v>1298</v>
      </c>
      <c r="C6683" t="s">
        <v>677</v>
      </c>
      <c r="D6683" t="s">
        <v>1377</v>
      </c>
      <c r="E6683" t="s">
        <v>187</v>
      </c>
      <c r="F6683">
        <v>2016</v>
      </c>
      <c r="G6683">
        <v>368.840148</v>
      </c>
    </row>
    <row r="6684" spans="1:7">
      <c r="A6684" t="s">
        <v>1297</v>
      </c>
      <c r="B6684" t="s">
        <v>1298</v>
      </c>
      <c r="C6684" t="s">
        <v>677</v>
      </c>
      <c r="D6684" t="s">
        <v>1377</v>
      </c>
      <c r="E6684" t="s">
        <v>187</v>
      </c>
      <c r="F6684">
        <v>2020</v>
      </c>
      <c r="G6684">
        <v>283.49471399999999</v>
      </c>
    </row>
    <row r="6685" spans="1:7">
      <c r="A6685" t="s">
        <v>1297</v>
      </c>
      <c r="B6685" t="s">
        <v>1298</v>
      </c>
      <c r="C6685" t="s">
        <v>657</v>
      </c>
      <c r="D6685" t="s">
        <v>1377</v>
      </c>
      <c r="E6685" t="s">
        <v>187</v>
      </c>
      <c r="F6685">
        <v>2005</v>
      </c>
      <c r="G6685">
        <v>209.77873099999999</v>
      </c>
    </row>
    <row r="6686" spans="1:7">
      <c r="A6686" t="s">
        <v>1297</v>
      </c>
      <c r="B6686" t="s">
        <v>1298</v>
      </c>
      <c r="C6686" t="s">
        <v>657</v>
      </c>
      <c r="D6686" t="s">
        <v>1377</v>
      </c>
      <c r="E6686" t="s">
        <v>187</v>
      </c>
      <c r="F6686">
        <v>2010</v>
      </c>
      <c r="G6686">
        <v>132.21016</v>
      </c>
    </row>
    <row r="6687" spans="1:7">
      <c r="A6687" t="s">
        <v>1297</v>
      </c>
      <c r="B6687" t="s">
        <v>1298</v>
      </c>
      <c r="C6687" t="s">
        <v>657</v>
      </c>
      <c r="D6687" t="s">
        <v>1377</v>
      </c>
      <c r="E6687" t="s">
        <v>187</v>
      </c>
      <c r="F6687">
        <v>2012</v>
      </c>
      <c r="G6687">
        <v>111.92009299999999</v>
      </c>
    </row>
    <row r="6688" spans="1:7">
      <c r="A6688" t="s">
        <v>1297</v>
      </c>
      <c r="B6688" t="s">
        <v>1298</v>
      </c>
      <c r="C6688" t="s">
        <v>657</v>
      </c>
      <c r="D6688" t="s">
        <v>1377</v>
      </c>
      <c r="E6688" t="s">
        <v>187</v>
      </c>
      <c r="F6688">
        <v>2016</v>
      </c>
      <c r="G6688">
        <v>79.416396000000006</v>
      </c>
    </row>
    <row r="6689" spans="1:7">
      <c r="A6689" t="s">
        <v>1297</v>
      </c>
      <c r="B6689" t="s">
        <v>1298</v>
      </c>
      <c r="C6689" t="s">
        <v>657</v>
      </c>
      <c r="D6689" t="s">
        <v>1377</v>
      </c>
      <c r="E6689" t="s">
        <v>187</v>
      </c>
      <c r="F6689">
        <v>2020</v>
      </c>
      <c r="G6689">
        <v>49.442124</v>
      </c>
    </row>
    <row r="6690" spans="1:7">
      <c r="A6690" t="s">
        <v>1297</v>
      </c>
      <c r="B6690" t="s">
        <v>1298</v>
      </c>
      <c r="C6690" t="s">
        <v>289</v>
      </c>
      <c r="D6690" t="s">
        <v>1377</v>
      </c>
      <c r="E6690" t="s">
        <v>187</v>
      </c>
      <c r="F6690">
        <v>2005</v>
      </c>
      <c r="G6690">
        <v>15.273899999999999</v>
      </c>
    </row>
    <row r="6691" spans="1:7">
      <c r="A6691" t="s">
        <v>1297</v>
      </c>
      <c r="B6691" t="s">
        <v>1298</v>
      </c>
      <c r="C6691" t="s">
        <v>289</v>
      </c>
      <c r="D6691" t="s">
        <v>1377</v>
      </c>
      <c r="E6691" t="s">
        <v>187</v>
      </c>
      <c r="F6691">
        <v>2010</v>
      </c>
      <c r="G6691">
        <v>16.459199999999999</v>
      </c>
    </row>
    <row r="6692" spans="1:7">
      <c r="A6692" t="s">
        <v>1297</v>
      </c>
      <c r="B6692" t="s">
        <v>1298</v>
      </c>
      <c r="C6692" t="s">
        <v>289</v>
      </c>
      <c r="D6692" t="s">
        <v>1377</v>
      </c>
      <c r="E6692" t="s">
        <v>187</v>
      </c>
      <c r="F6692">
        <v>2012</v>
      </c>
      <c r="G6692">
        <v>8.7309000000000001</v>
      </c>
    </row>
    <row r="6693" spans="1:7">
      <c r="A6693" t="s">
        <v>1297</v>
      </c>
      <c r="B6693" t="s">
        <v>1298</v>
      </c>
      <c r="C6693" t="s">
        <v>289</v>
      </c>
      <c r="D6693" t="s">
        <v>1377</v>
      </c>
      <c r="E6693" t="s">
        <v>187</v>
      </c>
      <c r="F6693">
        <v>2016</v>
      </c>
      <c r="G6693">
        <v>13.551299999999999</v>
      </c>
    </row>
    <row r="6694" spans="1:7">
      <c r="A6694" t="s">
        <v>1297</v>
      </c>
      <c r="B6694" t="s">
        <v>1298</v>
      </c>
      <c r="C6694" t="s">
        <v>289</v>
      </c>
      <c r="D6694" t="s">
        <v>1377</v>
      </c>
      <c r="E6694" t="s">
        <v>187</v>
      </c>
      <c r="F6694">
        <v>2020</v>
      </c>
      <c r="G6694">
        <v>2.5044719999999998</v>
      </c>
    </row>
    <row r="6695" spans="1:7">
      <c r="A6695" t="s">
        <v>1297</v>
      </c>
      <c r="B6695" t="s">
        <v>1298</v>
      </c>
      <c r="C6695" t="s">
        <v>673</v>
      </c>
      <c r="D6695" t="s">
        <v>1377</v>
      </c>
      <c r="E6695" t="s">
        <v>187</v>
      </c>
      <c r="F6695">
        <v>2016</v>
      </c>
      <c r="G6695">
        <v>3.9600000000000003E-2</v>
      </c>
    </row>
    <row r="6696" spans="1:7">
      <c r="A6696" t="s">
        <v>1297</v>
      </c>
      <c r="B6696" t="s">
        <v>1298</v>
      </c>
      <c r="C6696" t="s">
        <v>673</v>
      </c>
      <c r="D6696" t="s">
        <v>1377</v>
      </c>
      <c r="E6696" t="s">
        <v>187</v>
      </c>
      <c r="F6696">
        <v>2020</v>
      </c>
      <c r="G6696">
        <v>0.44275199999999998</v>
      </c>
    </row>
    <row r="6697" spans="1:7">
      <c r="A6697" t="s">
        <v>1297</v>
      </c>
      <c r="B6697" t="s">
        <v>1298</v>
      </c>
      <c r="C6697" t="s">
        <v>652</v>
      </c>
      <c r="D6697" t="s">
        <v>1377</v>
      </c>
      <c r="E6697" t="s">
        <v>187</v>
      </c>
      <c r="F6697">
        <v>2010</v>
      </c>
      <c r="G6697">
        <v>115.31102300000001</v>
      </c>
    </row>
    <row r="6698" spans="1:7">
      <c r="A6698" t="s">
        <v>1297</v>
      </c>
      <c r="B6698" t="s">
        <v>1298</v>
      </c>
      <c r="C6698" t="s">
        <v>652</v>
      </c>
      <c r="D6698" t="s">
        <v>1377</v>
      </c>
      <c r="E6698" t="s">
        <v>187</v>
      </c>
      <c r="F6698">
        <v>2012</v>
      </c>
      <c r="G6698">
        <v>45.156219999999998</v>
      </c>
    </row>
    <row r="6699" spans="1:7">
      <c r="A6699" t="s">
        <v>1297</v>
      </c>
      <c r="B6699" t="s">
        <v>1298</v>
      </c>
      <c r="C6699" t="s">
        <v>652</v>
      </c>
      <c r="D6699" t="s">
        <v>1377</v>
      </c>
      <c r="E6699" t="s">
        <v>187</v>
      </c>
      <c r="F6699">
        <v>2016</v>
      </c>
      <c r="G6699">
        <v>24.259706000000001</v>
      </c>
    </row>
    <row r="6700" spans="1:7">
      <c r="A6700" t="s">
        <v>1297</v>
      </c>
      <c r="B6700" t="s">
        <v>1298</v>
      </c>
      <c r="C6700" t="s">
        <v>652</v>
      </c>
      <c r="D6700" t="s">
        <v>1377</v>
      </c>
      <c r="E6700" t="s">
        <v>187</v>
      </c>
      <c r="F6700">
        <v>2020</v>
      </c>
      <c r="G6700">
        <v>156.60324</v>
      </c>
    </row>
    <row r="6701" spans="1:7">
      <c r="A6701" t="s">
        <v>1297</v>
      </c>
      <c r="B6701" t="s">
        <v>1298</v>
      </c>
      <c r="C6701" t="s">
        <v>671</v>
      </c>
      <c r="D6701" t="s">
        <v>1377</v>
      </c>
      <c r="E6701" t="s">
        <v>187</v>
      </c>
      <c r="F6701">
        <v>2005</v>
      </c>
      <c r="G6701">
        <v>1.5003</v>
      </c>
    </row>
    <row r="6702" spans="1:7">
      <c r="A6702" t="s">
        <v>1297</v>
      </c>
      <c r="B6702" t="s">
        <v>1298</v>
      </c>
      <c r="C6702" t="s">
        <v>671</v>
      </c>
      <c r="D6702" t="s">
        <v>1377</v>
      </c>
      <c r="E6702" t="s">
        <v>187</v>
      </c>
      <c r="F6702">
        <v>2010</v>
      </c>
      <c r="G6702">
        <v>1.5768</v>
      </c>
    </row>
    <row r="6703" spans="1:7">
      <c r="A6703" t="s">
        <v>1297</v>
      </c>
      <c r="B6703" t="s">
        <v>1298</v>
      </c>
      <c r="C6703" t="s">
        <v>671</v>
      </c>
      <c r="D6703" t="s">
        <v>1377</v>
      </c>
      <c r="E6703" t="s">
        <v>187</v>
      </c>
      <c r="F6703">
        <v>2012</v>
      </c>
      <c r="G6703">
        <v>0.1071</v>
      </c>
    </row>
    <row r="6704" spans="1:7">
      <c r="A6704" t="s">
        <v>1297</v>
      </c>
      <c r="B6704" t="s">
        <v>1298</v>
      </c>
      <c r="C6704" t="s">
        <v>671</v>
      </c>
      <c r="D6704" t="s">
        <v>1377</v>
      </c>
      <c r="E6704" t="s">
        <v>187</v>
      </c>
      <c r="F6704">
        <v>2016</v>
      </c>
      <c r="G6704">
        <v>29.964600000000001</v>
      </c>
    </row>
    <row r="6705" spans="1:7">
      <c r="A6705" t="s">
        <v>1297</v>
      </c>
      <c r="B6705" t="s">
        <v>1298</v>
      </c>
      <c r="C6705" t="s">
        <v>671</v>
      </c>
      <c r="D6705" t="s">
        <v>1377</v>
      </c>
      <c r="E6705" t="s">
        <v>187</v>
      </c>
      <c r="F6705">
        <v>2020</v>
      </c>
      <c r="G6705">
        <v>24.262311</v>
      </c>
    </row>
    <row r="6706" spans="1:7">
      <c r="A6706" t="s">
        <v>1297</v>
      </c>
      <c r="B6706" t="s">
        <v>1298</v>
      </c>
      <c r="C6706" t="s">
        <v>665</v>
      </c>
      <c r="D6706" t="s">
        <v>1377</v>
      </c>
      <c r="E6706" t="s">
        <v>187</v>
      </c>
      <c r="F6706">
        <v>2005</v>
      </c>
      <c r="G6706">
        <v>13.5792</v>
      </c>
    </row>
    <row r="6707" spans="1:7">
      <c r="A6707" t="s">
        <v>1297</v>
      </c>
      <c r="B6707" t="s">
        <v>1298</v>
      </c>
      <c r="C6707" t="s">
        <v>665</v>
      </c>
      <c r="D6707" t="s">
        <v>1377</v>
      </c>
      <c r="E6707" t="s">
        <v>187</v>
      </c>
      <c r="F6707">
        <v>2010</v>
      </c>
      <c r="G6707">
        <v>4.8348000000000004</v>
      </c>
    </row>
    <row r="6708" spans="1:7">
      <c r="A6708" t="s">
        <v>1297</v>
      </c>
      <c r="B6708" t="s">
        <v>1298</v>
      </c>
      <c r="C6708" t="s">
        <v>665</v>
      </c>
      <c r="D6708" t="s">
        <v>1377</v>
      </c>
      <c r="E6708" t="s">
        <v>187</v>
      </c>
      <c r="F6708">
        <v>2012</v>
      </c>
      <c r="G6708">
        <v>4.7664</v>
      </c>
    </row>
    <row r="6709" spans="1:7">
      <c r="A6709" t="s">
        <v>1297</v>
      </c>
      <c r="B6709" t="s">
        <v>1298</v>
      </c>
      <c r="C6709" t="s">
        <v>665</v>
      </c>
      <c r="D6709" t="s">
        <v>1377</v>
      </c>
      <c r="E6709" t="s">
        <v>187</v>
      </c>
      <c r="F6709">
        <v>2016</v>
      </c>
      <c r="G6709">
        <v>7.2693000000000003</v>
      </c>
    </row>
    <row r="6710" spans="1:7">
      <c r="A6710" t="s">
        <v>1297</v>
      </c>
      <c r="B6710" t="s">
        <v>1298</v>
      </c>
      <c r="C6710" t="s">
        <v>665</v>
      </c>
      <c r="D6710" t="s">
        <v>1377</v>
      </c>
      <c r="E6710" t="s">
        <v>187</v>
      </c>
      <c r="F6710">
        <v>2020</v>
      </c>
      <c r="G6710">
        <v>11.159338999999999</v>
      </c>
    </row>
    <row r="6711" spans="1:7">
      <c r="A6711" t="s">
        <v>1297</v>
      </c>
      <c r="B6711" t="s">
        <v>1298</v>
      </c>
      <c r="C6711" t="s">
        <v>656</v>
      </c>
      <c r="D6711" t="s">
        <v>1377</v>
      </c>
      <c r="E6711" t="s">
        <v>187</v>
      </c>
      <c r="F6711">
        <v>2005</v>
      </c>
      <c r="G6711">
        <v>710.09505300000001</v>
      </c>
    </row>
    <row r="6712" spans="1:7">
      <c r="A6712" t="s">
        <v>1297</v>
      </c>
      <c r="B6712" t="s">
        <v>1298</v>
      </c>
      <c r="C6712" t="s">
        <v>656</v>
      </c>
      <c r="D6712" t="s">
        <v>1377</v>
      </c>
      <c r="E6712" t="s">
        <v>187</v>
      </c>
      <c r="F6712">
        <v>2010</v>
      </c>
      <c r="G6712">
        <v>718.33810600000004</v>
      </c>
    </row>
    <row r="6713" spans="1:7">
      <c r="A6713" t="s">
        <v>1297</v>
      </c>
      <c r="B6713" t="s">
        <v>1298</v>
      </c>
      <c r="C6713" t="s">
        <v>656</v>
      </c>
      <c r="D6713" t="s">
        <v>1377</v>
      </c>
      <c r="E6713" t="s">
        <v>187</v>
      </c>
      <c r="F6713">
        <v>2012</v>
      </c>
      <c r="G6713">
        <v>597.117797</v>
      </c>
    </row>
    <row r="6714" spans="1:7">
      <c r="A6714" t="s">
        <v>1297</v>
      </c>
      <c r="B6714" t="s">
        <v>1298</v>
      </c>
      <c r="C6714" t="s">
        <v>656</v>
      </c>
      <c r="D6714" t="s">
        <v>1377</v>
      </c>
      <c r="E6714" t="s">
        <v>187</v>
      </c>
      <c r="F6714">
        <v>2016</v>
      </c>
      <c r="G6714">
        <v>809.22408800000005</v>
      </c>
    </row>
    <row r="6715" spans="1:7">
      <c r="A6715" t="s">
        <v>1297</v>
      </c>
      <c r="B6715" t="s">
        <v>1298</v>
      </c>
      <c r="C6715" t="s">
        <v>660</v>
      </c>
      <c r="D6715" t="s">
        <v>1377</v>
      </c>
      <c r="E6715" t="s">
        <v>187</v>
      </c>
      <c r="F6715">
        <v>2012</v>
      </c>
      <c r="G6715">
        <v>1.8E-3</v>
      </c>
    </row>
    <row r="6716" spans="1:7">
      <c r="A6716" t="s">
        <v>1297</v>
      </c>
      <c r="B6716" t="s">
        <v>1298</v>
      </c>
      <c r="C6716" t="s">
        <v>660</v>
      </c>
      <c r="D6716" t="s">
        <v>1377</v>
      </c>
      <c r="E6716" t="s">
        <v>187</v>
      </c>
      <c r="F6716">
        <v>2016</v>
      </c>
      <c r="G6716">
        <v>1.35E-2</v>
      </c>
    </row>
    <row r="6717" spans="1:7">
      <c r="A6717" t="s">
        <v>1297</v>
      </c>
      <c r="B6717" t="s">
        <v>1298</v>
      </c>
      <c r="C6717" t="s">
        <v>661</v>
      </c>
      <c r="D6717" t="s">
        <v>1377</v>
      </c>
      <c r="E6717" t="s">
        <v>187</v>
      </c>
      <c r="F6717">
        <v>2005</v>
      </c>
      <c r="G6717">
        <v>37.817582999999999</v>
      </c>
    </row>
    <row r="6718" spans="1:7">
      <c r="A6718" t="s">
        <v>1297</v>
      </c>
      <c r="B6718" t="s">
        <v>1298</v>
      </c>
      <c r="C6718" t="s">
        <v>661</v>
      </c>
      <c r="D6718" t="s">
        <v>1377</v>
      </c>
      <c r="E6718" t="s">
        <v>187</v>
      </c>
      <c r="F6718">
        <v>2010</v>
      </c>
      <c r="G6718">
        <v>107.083519</v>
      </c>
    </row>
    <row r="6719" spans="1:7">
      <c r="A6719" t="s">
        <v>1297</v>
      </c>
      <c r="B6719" t="s">
        <v>1298</v>
      </c>
      <c r="C6719" t="s">
        <v>661</v>
      </c>
      <c r="D6719" t="s">
        <v>1377</v>
      </c>
      <c r="E6719" t="s">
        <v>187</v>
      </c>
      <c r="F6719">
        <v>2012</v>
      </c>
      <c r="G6719">
        <v>224.57088200000001</v>
      </c>
    </row>
    <row r="6720" spans="1:7">
      <c r="A6720" t="s">
        <v>1297</v>
      </c>
      <c r="B6720" t="s">
        <v>1298</v>
      </c>
      <c r="C6720" t="s">
        <v>661</v>
      </c>
      <c r="D6720" t="s">
        <v>1377</v>
      </c>
      <c r="E6720" t="s">
        <v>187</v>
      </c>
      <c r="F6720">
        <v>2016</v>
      </c>
      <c r="G6720">
        <v>139.68414999999999</v>
      </c>
    </row>
    <row r="6721" spans="1:7">
      <c r="A6721" t="s">
        <v>1297</v>
      </c>
      <c r="B6721" t="s">
        <v>1298</v>
      </c>
      <c r="C6721" t="s">
        <v>661</v>
      </c>
      <c r="D6721" t="s">
        <v>1377</v>
      </c>
      <c r="E6721" t="s">
        <v>187</v>
      </c>
      <c r="F6721">
        <v>2020</v>
      </c>
      <c r="G6721">
        <v>405.48067800000001</v>
      </c>
    </row>
    <row r="6722" spans="1:7">
      <c r="A6722" t="s">
        <v>1297</v>
      </c>
      <c r="B6722" t="s">
        <v>1298</v>
      </c>
      <c r="C6722" t="s">
        <v>675</v>
      </c>
      <c r="D6722" t="s">
        <v>1377</v>
      </c>
      <c r="E6722" t="s">
        <v>187</v>
      </c>
      <c r="F6722">
        <v>2020</v>
      </c>
      <c r="G6722">
        <v>5.9097999999999998E-2</v>
      </c>
    </row>
    <row r="6723" spans="1:7">
      <c r="A6723" t="s">
        <v>1297</v>
      </c>
      <c r="B6723" t="s">
        <v>1298</v>
      </c>
      <c r="C6723" t="s">
        <v>653</v>
      </c>
      <c r="D6723" t="s">
        <v>1377</v>
      </c>
      <c r="E6723" t="s">
        <v>187</v>
      </c>
      <c r="F6723">
        <v>2016</v>
      </c>
      <c r="G6723">
        <v>9.6298999999999996E-2</v>
      </c>
    </row>
    <row r="6724" spans="1:7">
      <c r="A6724" t="s">
        <v>1297</v>
      </c>
      <c r="B6724" t="s">
        <v>1298</v>
      </c>
      <c r="C6724" t="s">
        <v>653</v>
      </c>
      <c r="D6724" t="s">
        <v>1377</v>
      </c>
      <c r="E6724" t="s">
        <v>187</v>
      </c>
      <c r="F6724">
        <v>2020</v>
      </c>
      <c r="G6724">
        <v>0.26598300000000002</v>
      </c>
    </row>
    <row r="6725" spans="1:7">
      <c r="A6725" t="s">
        <v>1297</v>
      </c>
      <c r="B6725" t="s">
        <v>1298</v>
      </c>
      <c r="C6725" t="s">
        <v>1299</v>
      </c>
      <c r="D6725" t="s">
        <v>1377</v>
      </c>
      <c r="E6725" t="s">
        <v>187</v>
      </c>
      <c r="F6725">
        <v>2005</v>
      </c>
      <c r="G6725">
        <v>93.273300000000006</v>
      </c>
    </row>
    <row r="6726" spans="1:7">
      <c r="A6726" t="s">
        <v>1297</v>
      </c>
      <c r="B6726" t="s">
        <v>1298</v>
      </c>
      <c r="C6726" t="s">
        <v>1299</v>
      </c>
      <c r="D6726" t="s">
        <v>1377</v>
      </c>
      <c r="E6726" t="s">
        <v>187</v>
      </c>
      <c r="F6726">
        <v>2010</v>
      </c>
      <c r="G6726">
        <v>0.19259999999999999</v>
      </c>
    </row>
    <row r="6727" spans="1:7">
      <c r="A6727" t="s">
        <v>1297</v>
      </c>
      <c r="B6727" t="s">
        <v>1298</v>
      </c>
      <c r="C6727" t="s">
        <v>655</v>
      </c>
      <c r="D6727" t="s">
        <v>1377</v>
      </c>
      <c r="E6727" t="s">
        <v>187</v>
      </c>
      <c r="F6727">
        <v>2005</v>
      </c>
      <c r="G6727">
        <v>2.8980000000000001</v>
      </c>
    </row>
    <row r="6728" spans="1:7">
      <c r="A6728" t="s">
        <v>1297</v>
      </c>
      <c r="B6728" t="s">
        <v>1298</v>
      </c>
      <c r="C6728" t="s">
        <v>655</v>
      </c>
      <c r="D6728" t="s">
        <v>1377</v>
      </c>
      <c r="E6728" t="s">
        <v>187</v>
      </c>
      <c r="F6728">
        <v>2010</v>
      </c>
      <c r="G6728">
        <v>5.4566999999999997</v>
      </c>
    </row>
    <row r="6729" spans="1:7">
      <c r="A6729" t="s">
        <v>1297</v>
      </c>
      <c r="B6729" t="s">
        <v>1298</v>
      </c>
      <c r="C6729" t="s">
        <v>655</v>
      </c>
      <c r="D6729" t="s">
        <v>1377</v>
      </c>
      <c r="E6729" t="s">
        <v>187</v>
      </c>
      <c r="F6729">
        <v>2012</v>
      </c>
      <c r="G6729">
        <v>0.25559999999999999</v>
      </c>
    </row>
    <row r="6730" spans="1:7">
      <c r="A6730" t="s">
        <v>1297</v>
      </c>
      <c r="B6730" t="s">
        <v>1298</v>
      </c>
      <c r="C6730" t="s">
        <v>651</v>
      </c>
      <c r="D6730" t="s">
        <v>1377</v>
      </c>
      <c r="E6730" t="s">
        <v>187</v>
      </c>
      <c r="F6730">
        <v>2005</v>
      </c>
      <c r="G6730">
        <v>36.995787999999997</v>
      </c>
    </row>
    <row r="6731" spans="1:7">
      <c r="A6731" t="s">
        <v>1297</v>
      </c>
      <c r="B6731" t="s">
        <v>1298</v>
      </c>
      <c r="C6731" t="s">
        <v>651</v>
      </c>
      <c r="D6731" t="s">
        <v>1377</v>
      </c>
      <c r="E6731" t="s">
        <v>187</v>
      </c>
      <c r="F6731">
        <v>2010</v>
      </c>
      <c r="G6731">
        <v>170.60836</v>
      </c>
    </row>
    <row r="6732" spans="1:7">
      <c r="A6732" t="s">
        <v>1297</v>
      </c>
      <c r="B6732" t="s">
        <v>1298</v>
      </c>
      <c r="C6732" t="s">
        <v>663</v>
      </c>
      <c r="D6732" t="s">
        <v>1378</v>
      </c>
      <c r="E6732" t="s">
        <v>187</v>
      </c>
      <c r="F6732">
        <v>2016</v>
      </c>
      <c r="G6732">
        <v>54.210084999999999</v>
      </c>
    </row>
    <row r="6733" spans="1:7">
      <c r="A6733" t="s">
        <v>1297</v>
      </c>
      <c r="B6733" t="s">
        <v>1298</v>
      </c>
      <c r="C6733" t="s">
        <v>663</v>
      </c>
      <c r="D6733" t="s">
        <v>1378</v>
      </c>
      <c r="E6733" t="s">
        <v>187</v>
      </c>
      <c r="F6733">
        <v>2020</v>
      </c>
      <c r="G6733">
        <v>58.823101000000001</v>
      </c>
    </row>
    <row r="6734" spans="1:7">
      <c r="A6734" t="s">
        <v>1297</v>
      </c>
      <c r="B6734" t="s">
        <v>1298</v>
      </c>
      <c r="C6734" t="s">
        <v>660</v>
      </c>
      <c r="D6734" t="s">
        <v>1378</v>
      </c>
      <c r="E6734" t="s">
        <v>187</v>
      </c>
      <c r="F6734">
        <v>2005</v>
      </c>
      <c r="G6734">
        <v>30.9312</v>
      </c>
    </row>
    <row r="6735" spans="1:7">
      <c r="A6735" t="s">
        <v>1297</v>
      </c>
      <c r="B6735" t="s">
        <v>1298</v>
      </c>
      <c r="C6735" t="s">
        <v>660</v>
      </c>
      <c r="D6735" t="s">
        <v>1378</v>
      </c>
      <c r="E6735" t="s">
        <v>187</v>
      </c>
      <c r="F6735">
        <v>2010</v>
      </c>
      <c r="G6735">
        <v>29.083500000000001</v>
      </c>
    </row>
    <row r="6736" spans="1:7">
      <c r="A6736" t="s">
        <v>1297</v>
      </c>
      <c r="B6736" t="s">
        <v>1298</v>
      </c>
      <c r="C6736" t="s">
        <v>660</v>
      </c>
      <c r="D6736" t="s">
        <v>1378</v>
      </c>
      <c r="E6736" t="s">
        <v>187</v>
      </c>
      <c r="F6736">
        <v>2012</v>
      </c>
      <c r="G6736">
        <v>25.933499999999999</v>
      </c>
    </row>
    <row r="6737" spans="1:7">
      <c r="A6737" t="s">
        <v>1297</v>
      </c>
      <c r="B6737" t="s">
        <v>1298</v>
      </c>
      <c r="C6737" t="s">
        <v>660</v>
      </c>
      <c r="D6737" t="s">
        <v>1378</v>
      </c>
      <c r="E6737" t="s">
        <v>187</v>
      </c>
      <c r="F6737">
        <v>2016</v>
      </c>
      <c r="G6737">
        <v>22.095255999999999</v>
      </c>
    </row>
    <row r="6738" spans="1:7">
      <c r="A6738" t="s">
        <v>1297</v>
      </c>
      <c r="B6738" t="s">
        <v>1298</v>
      </c>
      <c r="C6738" t="s">
        <v>660</v>
      </c>
      <c r="D6738" t="s">
        <v>1378</v>
      </c>
      <c r="E6738" t="s">
        <v>187</v>
      </c>
      <c r="F6738">
        <v>2020</v>
      </c>
      <c r="G6738">
        <v>25.938828000000001</v>
      </c>
    </row>
    <row r="6739" spans="1:7">
      <c r="A6739" t="s">
        <v>1297</v>
      </c>
      <c r="B6739" t="s">
        <v>1298</v>
      </c>
      <c r="C6739" t="s">
        <v>658</v>
      </c>
      <c r="D6739" t="s">
        <v>1378</v>
      </c>
      <c r="E6739" t="s">
        <v>187</v>
      </c>
      <c r="F6739">
        <v>2005</v>
      </c>
      <c r="G6739">
        <v>6.9336000000000002</v>
      </c>
    </row>
    <row r="6740" spans="1:7">
      <c r="A6740" t="s">
        <v>1297</v>
      </c>
      <c r="B6740" t="s">
        <v>1298</v>
      </c>
      <c r="C6740" t="s">
        <v>658</v>
      </c>
      <c r="D6740" t="s">
        <v>1378</v>
      </c>
      <c r="E6740" t="s">
        <v>187</v>
      </c>
      <c r="F6740">
        <v>2010</v>
      </c>
      <c r="G6740">
        <v>4.7826000000000004</v>
      </c>
    </row>
    <row r="6741" spans="1:7">
      <c r="A6741" t="s">
        <v>1297</v>
      </c>
      <c r="B6741" t="s">
        <v>1298</v>
      </c>
      <c r="C6741" t="s">
        <v>658</v>
      </c>
      <c r="D6741" t="s">
        <v>1378</v>
      </c>
      <c r="E6741" t="s">
        <v>187</v>
      </c>
      <c r="F6741">
        <v>2012</v>
      </c>
      <c r="G6741">
        <v>4.9886999999999997</v>
      </c>
    </row>
    <row r="6742" spans="1:7">
      <c r="A6742" t="s">
        <v>1297</v>
      </c>
      <c r="B6742" t="s">
        <v>1298</v>
      </c>
      <c r="C6742" t="s">
        <v>658</v>
      </c>
      <c r="D6742" t="s">
        <v>1378</v>
      </c>
      <c r="E6742" t="s">
        <v>187</v>
      </c>
      <c r="F6742">
        <v>2016</v>
      </c>
      <c r="G6742">
        <v>4.4585999999999997</v>
      </c>
    </row>
    <row r="6743" spans="1:7">
      <c r="A6743" t="s">
        <v>1297</v>
      </c>
      <c r="B6743" t="s">
        <v>1298</v>
      </c>
      <c r="C6743" t="s">
        <v>658</v>
      </c>
      <c r="D6743" t="s">
        <v>1378</v>
      </c>
      <c r="E6743" t="s">
        <v>187</v>
      </c>
      <c r="F6743">
        <v>2020</v>
      </c>
      <c r="G6743">
        <v>4.1651920000000002</v>
      </c>
    </row>
    <row r="6744" spans="1:7">
      <c r="A6744" t="s">
        <v>1297</v>
      </c>
      <c r="B6744" t="s">
        <v>1298</v>
      </c>
      <c r="C6744" t="s">
        <v>679</v>
      </c>
      <c r="D6744" t="s">
        <v>1378</v>
      </c>
      <c r="E6744" t="s">
        <v>187</v>
      </c>
      <c r="F6744">
        <v>2005</v>
      </c>
      <c r="G6744">
        <v>7.6788639999999999</v>
      </c>
    </row>
    <row r="6745" spans="1:7">
      <c r="A6745" t="s">
        <v>1297</v>
      </c>
      <c r="B6745" t="s">
        <v>1298</v>
      </c>
      <c r="C6745" t="s">
        <v>679</v>
      </c>
      <c r="D6745" t="s">
        <v>1378</v>
      </c>
      <c r="E6745" t="s">
        <v>187</v>
      </c>
      <c r="F6745">
        <v>2010</v>
      </c>
      <c r="G6745">
        <v>9.2273490000000002</v>
      </c>
    </row>
    <row r="6746" spans="1:7">
      <c r="A6746" t="s">
        <v>1297</v>
      </c>
      <c r="B6746" t="s">
        <v>1298</v>
      </c>
      <c r="C6746" t="s">
        <v>679</v>
      </c>
      <c r="D6746" t="s">
        <v>1378</v>
      </c>
      <c r="E6746" t="s">
        <v>187</v>
      </c>
      <c r="F6746">
        <v>2012</v>
      </c>
      <c r="G6746">
        <v>11.531345</v>
      </c>
    </row>
    <row r="6747" spans="1:7">
      <c r="A6747" t="s">
        <v>1297</v>
      </c>
      <c r="B6747" t="s">
        <v>1298</v>
      </c>
      <c r="C6747" t="s">
        <v>679</v>
      </c>
      <c r="D6747" t="s">
        <v>1378</v>
      </c>
      <c r="E6747" t="s">
        <v>187</v>
      </c>
      <c r="F6747">
        <v>2016</v>
      </c>
      <c r="G6747">
        <v>10.401006000000001</v>
      </c>
    </row>
    <row r="6748" spans="1:7">
      <c r="A6748" t="s">
        <v>1297</v>
      </c>
      <c r="B6748" t="s">
        <v>1298</v>
      </c>
      <c r="C6748" t="s">
        <v>679</v>
      </c>
      <c r="D6748" t="s">
        <v>1378</v>
      </c>
      <c r="E6748" t="s">
        <v>187</v>
      </c>
      <c r="F6748">
        <v>2020</v>
      </c>
      <c r="G6748">
        <v>12.503742000000001</v>
      </c>
    </row>
    <row r="6749" spans="1:7">
      <c r="A6749" t="s">
        <v>1297</v>
      </c>
      <c r="B6749" t="s">
        <v>1298</v>
      </c>
      <c r="C6749" t="s">
        <v>1300</v>
      </c>
      <c r="D6749" t="s">
        <v>1378</v>
      </c>
      <c r="E6749" t="s">
        <v>187</v>
      </c>
      <c r="F6749">
        <v>2010</v>
      </c>
      <c r="G6749">
        <v>2.4237000000000002</v>
      </c>
    </row>
    <row r="6750" spans="1:7">
      <c r="A6750" t="s">
        <v>1297</v>
      </c>
      <c r="B6750" t="s">
        <v>1298</v>
      </c>
      <c r="C6750" t="s">
        <v>1300</v>
      </c>
      <c r="D6750" t="s">
        <v>1378</v>
      </c>
      <c r="E6750" t="s">
        <v>187</v>
      </c>
      <c r="F6750">
        <v>2012</v>
      </c>
      <c r="G6750">
        <v>2.4182999999999999</v>
      </c>
    </row>
    <row r="6751" spans="1:7">
      <c r="A6751" t="s">
        <v>1297</v>
      </c>
      <c r="B6751" t="s">
        <v>1298</v>
      </c>
      <c r="C6751" t="s">
        <v>1300</v>
      </c>
      <c r="D6751" t="s">
        <v>1378</v>
      </c>
      <c r="E6751" t="s">
        <v>187</v>
      </c>
      <c r="F6751">
        <v>2016</v>
      </c>
      <c r="G6751">
        <v>2.2589999999999999</v>
      </c>
    </row>
    <row r="6752" spans="1:7">
      <c r="A6752" t="s">
        <v>1297</v>
      </c>
      <c r="B6752" t="s">
        <v>1298</v>
      </c>
      <c r="C6752" t="s">
        <v>1300</v>
      </c>
      <c r="D6752" t="s">
        <v>1378</v>
      </c>
      <c r="E6752" t="s">
        <v>187</v>
      </c>
      <c r="F6752">
        <v>2020</v>
      </c>
      <c r="G6752">
        <v>2.4407869999999998</v>
      </c>
    </row>
    <row r="6753" spans="1:7">
      <c r="A6753" t="s">
        <v>1297</v>
      </c>
      <c r="B6753" t="s">
        <v>1298</v>
      </c>
      <c r="C6753" t="s">
        <v>681</v>
      </c>
      <c r="D6753" t="s">
        <v>1378</v>
      </c>
      <c r="E6753" t="s">
        <v>187</v>
      </c>
      <c r="F6753">
        <v>2010</v>
      </c>
      <c r="G6753">
        <v>2.9700000000000001E-2</v>
      </c>
    </row>
    <row r="6754" spans="1:7">
      <c r="A6754" t="s">
        <v>1297</v>
      </c>
      <c r="B6754" t="s">
        <v>1298</v>
      </c>
      <c r="C6754" t="s">
        <v>681</v>
      </c>
      <c r="D6754" t="s">
        <v>1378</v>
      </c>
      <c r="E6754" t="s">
        <v>187</v>
      </c>
      <c r="F6754">
        <v>2012</v>
      </c>
      <c r="G6754">
        <v>0.13950000000000001</v>
      </c>
    </row>
    <row r="6755" spans="1:7">
      <c r="A6755" t="s">
        <v>1297</v>
      </c>
      <c r="B6755" t="s">
        <v>1298</v>
      </c>
      <c r="C6755" t="s">
        <v>681</v>
      </c>
      <c r="D6755" t="s">
        <v>1378</v>
      </c>
      <c r="E6755" t="s">
        <v>187</v>
      </c>
      <c r="F6755">
        <v>2016</v>
      </c>
      <c r="G6755">
        <v>0.42014499999999999</v>
      </c>
    </row>
    <row r="6756" spans="1:7">
      <c r="A6756" t="s">
        <v>1297</v>
      </c>
      <c r="B6756" t="s">
        <v>1298</v>
      </c>
      <c r="C6756" t="s">
        <v>681</v>
      </c>
      <c r="D6756" t="s">
        <v>1378</v>
      </c>
      <c r="E6756" t="s">
        <v>187</v>
      </c>
      <c r="F6756">
        <v>2020</v>
      </c>
      <c r="G6756">
        <v>0.27130500000000002</v>
      </c>
    </row>
    <row r="6757" spans="1:7">
      <c r="A6757" t="s">
        <v>1297</v>
      </c>
      <c r="B6757" t="s">
        <v>1298</v>
      </c>
      <c r="C6757" t="s">
        <v>665</v>
      </c>
      <c r="D6757" t="s">
        <v>1378</v>
      </c>
      <c r="E6757" t="s">
        <v>187</v>
      </c>
      <c r="F6757">
        <v>2005</v>
      </c>
      <c r="G6757">
        <v>580.36770000000001</v>
      </c>
    </row>
    <row r="6758" spans="1:7">
      <c r="A6758" t="s">
        <v>1297</v>
      </c>
      <c r="B6758" t="s">
        <v>1298</v>
      </c>
      <c r="C6758" t="s">
        <v>665</v>
      </c>
      <c r="D6758" t="s">
        <v>1378</v>
      </c>
      <c r="E6758" t="s">
        <v>187</v>
      </c>
      <c r="F6758">
        <v>2010</v>
      </c>
      <c r="G6758">
        <v>433.35090000000002</v>
      </c>
    </row>
    <row r="6759" spans="1:7">
      <c r="A6759" t="s">
        <v>1297</v>
      </c>
      <c r="B6759" t="s">
        <v>1298</v>
      </c>
      <c r="C6759" t="s">
        <v>665</v>
      </c>
      <c r="D6759" t="s">
        <v>1378</v>
      </c>
      <c r="E6759" t="s">
        <v>187</v>
      </c>
      <c r="F6759">
        <v>2012</v>
      </c>
      <c r="G6759">
        <v>378.61380000000003</v>
      </c>
    </row>
    <row r="6760" spans="1:7">
      <c r="A6760" t="s">
        <v>1297</v>
      </c>
      <c r="B6760" t="s">
        <v>1298</v>
      </c>
      <c r="C6760" t="s">
        <v>665</v>
      </c>
      <c r="D6760" t="s">
        <v>1378</v>
      </c>
      <c r="E6760" t="s">
        <v>187</v>
      </c>
      <c r="F6760">
        <v>2016</v>
      </c>
      <c r="G6760">
        <v>350.09730000000002</v>
      </c>
    </row>
    <row r="6761" spans="1:7">
      <c r="A6761" t="s">
        <v>1297</v>
      </c>
      <c r="B6761" t="s">
        <v>1298</v>
      </c>
      <c r="C6761" t="s">
        <v>665</v>
      </c>
      <c r="D6761" t="s">
        <v>1378</v>
      </c>
      <c r="E6761" t="s">
        <v>187</v>
      </c>
      <c r="F6761">
        <v>2020</v>
      </c>
      <c r="G6761">
        <v>357.57686999999999</v>
      </c>
    </row>
    <row r="6762" spans="1:7">
      <c r="A6762" t="s">
        <v>1297</v>
      </c>
      <c r="B6762" t="s">
        <v>1298</v>
      </c>
      <c r="C6762" t="s">
        <v>670</v>
      </c>
      <c r="D6762" t="s">
        <v>1378</v>
      </c>
      <c r="E6762" t="s">
        <v>187</v>
      </c>
      <c r="F6762">
        <v>2005</v>
      </c>
      <c r="G6762">
        <v>230.93653</v>
      </c>
    </row>
    <row r="6763" spans="1:7">
      <c r="A6763" t="s">
        <v>1297</v>
      </c>
      <c r="B6763" t="s">
        <v>1298</v>
      </c>
      <c r="C6763" t="s">
        <v>670</v>
      </c>
      <c r="D6763" t="s">
        <v>1378</v>
      </c>
      <c r="E6763" t="s">
        <v>187</v>
      </c>
      <c r="F6763">
        <v>2010</v>
      </c>
      <c r="G6763">
        <v>208.49420499999999</v>
      </c>
    </row>
    <row r="6764" spans="1:7">
      <c r="A6764" t="s">
        <v>1297</v>
      </c>
      <c r="B6764" t="s">
        <v>1298</v>
      </c>
      <c r="C6764" t="s">
        <v>670</v>
      </c>
      <c r="D6764" t="s">
        <v>1378</v>
      </c>
      <c r="E6764" t="s">
        <v>187</v>
      </c>
      <c r="F6764">
        <v>2012</v>
      </c>
      <c r="G6764">
        <v>200.22443200000001</v>
      </c>
    </row>
    <row r="6765" spans="1:7">
      <c r="A6765" t="s">
        <v>1297</v>
      </c>
      <c r="B6765" t="s">
        <v>1298</v>
      </c>
      <c r="C6765" t="s">
        <v>670</v>
      </c>
      <c r="D6765" t="s">
        <v>1378</v>
      </c>
      <c r="E6765" t="s">
        <v>187</v>
      </c>
      <c r="F6765">
        <v>2016</v>
      </c>
      <c r="G6765">
        <v>208.43519800000001</v>
      </c>
    </row>
    <row r="6766" spans="1:7">
      <c r="A6766" t="s">
        <v>1297</v>
      </c>
      <c r="B6766" t="s">
        <v>1298</v>
      </c>
      <c r="C6766" t="s">
        <v>651</v>
      </c>
      <c r="D6766" t="s">
        <v>1378</v>
      </c>
      <c r="E6766" t="s">
        <v>187</v>
      </c>
      <c r="F6766">
        <v>2005</v>
      </c>
      <c r="G6766">
        <v>99.219537000000003</v>
      </c>
    </row>
    <row r="6767" spans="1:7">
      <c r="A6767" t="s">
        <v>1297</v>
      </c>
      <c r="B6767" t="s">
        <v>1298</v>
      </c>
      <c r="C6767" t="s">
        <v>651</v>
      </c>
      <c r="D6767" t="s">
        <v>1378</v>
      </c>
      <c r="E6767" t="s">
        <v>187</v>
      </c>
      <c r="F6767">
        <v>2010</v>
      </c>
      <c r="G6767">
        <v>106.26174</v>
      </c>
    </row>
    <row r="6768" spans="1:7">
      <c r="A6768" t="s">
        <v>1297</v>
      </c>
      <c r="B6768" t="s">
        <v>1298</v>
      </c>
      <c r="C6768" t="s">
        <v>651</v>
      </c>
      <c r="D6768" t="s">
        <v>1378</v>
      </c>
      <c r="E6768" t="s">
        <v>187</v>
      </c>
      <c r="F6768">
        <v>2012</v>
      </c>
      <c r="G6768">
        <v>105.370009</v>
      </c>
    </row>
    <row r="6769" spans="1:7">
      <c r="A6769" t="s">
        <v>1297</v>
      </c>
      <c r="B6769" t="s">
        <v>1298</v>
      </c>
      <c r="C6769" t="s">
        <v>651</v>
      </c>
      <c r="D6769" t="s">
        <v>1378</v>
      </c>
      <c r="E6769" t="s">
        <v>187</v>
      </c>
      <c r="F6769">
        <v>2016</v>
      </c>
      <c r="G6769">
        <v>109.274287</v>
      </c>
    </row>
    <row r="6770" spans="1:7">
      <c r="A6770" t="s">
        <v>1297</v>
      </c>
      <c r="B6770" t="s">
        <v>1298</v>
      </c>
      <c r="C6770" t="s">
        <v>651</v>
      </c>
      <c r="D6770" t="s">
        <v>1378</v>
      </c>
      <c r="E6770" t="s">
        <v>187</v>
      </c>
      <c r="F6770">
        <v>2020</v>
      </c>
      <c r="G6770">
        <v>112.01288700000001</v>
      </c>
    </row>
    <row r="6771" spans="1:7">
      <c r="A6771" t="s">
        <v>1297</v>
      </c>
      <c r="B6771" t="s">
        <v>1298</v>
      </c>
      <c r="C6771" t="s">
        <v>671</v>
      </c>
      <c r="D6771" t="s">
        <v>1378</v>
      </c>
      <c r="E6771" t="s">
        <v>187</v>
      </c>
      <c r="F6771">
        <v>2005</v>
      </c>
      <c r="G6771">
        <v>117.0018</v>
      </c>
    </row>
    <row r="6772" spans="1:7">
      <c r="A6772" t="s">
        <v>1297</v>
      </c>
      <c r="B6772" t="s">
        <v>1298</v>
      </c>
      <c r="C6772" t="s">
        <v>671</v>
      </c>
      <c r="D6772" t="s">
        <v>1378</v>
      </c>
      <c r="E6772" t="s">
        <v>187</v>
      </c>
      <c r="F6772">
        <v>2010</v>
      </c>
      <c r="G6772">
        <v>129.3426</v>
      </c>
    </row>
    <row r="6773" spans="1:7">
      <c r="A6773" t="s">
        <v>1297</v>
      </c>
      <c r="B6773" t="s">
        <v>1298</v>
      </c>
      <c r="C6773" t="s">
        <v>671</v>
      </c>
      <c r="D6773" t="s">
        <v>1378</v>
      </c>
      <c r="E6773" t="s">
        <v>187</v>
      </c>
      <c r="F6773">
        <v>2012</v>
      </c>
      <c r="G6773">
        <v>131.96879999999999</v>
      </c>
    </row>
    <row r="6774" spans="1:7">
      <c r="A6774" t="s">
        <v>1297</v>
      </c>
      <c r="B6774" t="s">
        <v>1298</v>
      </c>
      <c r="C6774" t="s">
        <v>659</v>
      </c>
      <c r="D6774" t="s">
        <v>1378</v>
      </c>
      <c r="E6774" t="s">
        <v>187</v>
      </c>
      <c r="F6774">
        <v>2010</v>
      </c>
      <c r="G6774">
        <v>325.16280599999999</v>
      </c>
    </row>
    <row r="6775" spans="1:7">
      <c r="A6775" t="s">
        <v>1297</v>
      </c>
      <c r="B6775" t="s">
        <v>1298</v>
      </c>
      <c r="C6775" t="s">
        <v>659</v>
      </c>
      <c r="D6775" t="s">
        <v>1378</v>
      </c>
      <c r="E6775" t="s">
        <v>187</v>
      </c>
      <c r="F6775">
        <v>2012</v>
      </c>
      <c r="G6775">
        <v>353.55808200000001</v>
      </c>
    </row>
    <row r="6776" spans="1:7">
      <c r="A6776" t="s">
        <v>1297</v>
      </c>
      <c r="B6776" t="s">
        <v>1298</v>
      </c>
      <c r="C6776" t="s">
        <v>659</v>
      </c>
      <c r="D6776" t="s">
        <v>1378</v>
      </c>
      <c r="E6776" t="s">
        <v>187</v>
      </c>
      <c r="F6776">
        <v>2016</v>
      </c>
      <c r="G6776">
        <v>273.43845199999998</v>
      </c>
    </row>
    <row r="6777" spans="1:7">
      <c r="A6777" t="s">
        <v>1297</v>
      </c>
      <c r="B6777" t="s">
        <v>1298</v>
      </c>
      <c r="C6777" t="s">
        <v>659</v>
      </c>
      <c r="D6777" t="s">
        <v>1378</v>
      </c>
      <c r="E6777" t="s">
        <v>187</v>
      </c>
      <c r="F6777">
        <v>2020</v>
      </c>
      <c r="G6777">
        <v>352.29780099999999</v>
      </c>
    </row>
    <row r="6778" spans="1:7">
      <c r="A6778" t="s">
        <v>1297</v>
      </c>
      <c r="B6778" t="s">
        <v>1298</v>
      </c>
      <c r="C6778" t="s">
        <v>685</v>
      </c>
      <c r="D6778" t="s">
        <v>1378</v>
      </c>
      <c r="E6778" t="s">
        <v>187</v>
      </c>
      <c r="F6778">
        <v>2005</v>
      </c>
      <c r="G6778">
        <v>1.9557</v>
      </c>
    </row>
    <row r="6779" spans="1:7">
      <c r="A6779" t="s">
        <v>1297</v>
      </c>
      <c r="B6779" t="s">
        <v>1298</v>
      </c>
      <c r="C6779" t="s">
        <v>685</v>
      </c>
      <c r="D6779" t="s">
        <v>1378</v>
      </c>
      <c r="E6779" t="s">
        <v>187</v>
      </c>
      <c r="F6779">
        <v>2010</v>
      </c>
      <c r="G6779">
        <v>1.6496999999999999</v>
      </c>
    </row>
    <row r="6780" spans="1:7">
      <c r="A6780" t="s">
        <v>1297</v>
      </c>
      <c r="B6780" t="s">
        <v>1298</v>
      </c>
      <c r="C6780" t="s">
        <v>685</v>
      </c>
      <c r="D6780" t="s">
        <v>1378</v>
      </c>
      <c r="E6780" t="s">
        <v>187</v>
      </c>
      <c r="F6780">
        <v>2012</v>
      </c>
      <c r="G6780">
        <v>0.85050000000000003</v>
      </c>
    </row>
    <row r="6781" spans="1:7">
      <c r="A6781" t="s">
        <v>1297</v>
      </c>
      <c r="B6781" t="s">
        <v>1298</v>
      </c>
      <c r="C6781" t="s">
        <v>685</v>
      </c>
      <c r="D6781" t="s">
        <v>1378</v>
      </c>
      <c r="E6781" t="s">
        <v>187</v>
      </c>
      <c r="F6781">
        <v>2016</v>
      </c>
      <c r="G6781">
        <v>1.346419</v>
      </c>
    </row>
    <row r="6782" spans="1:7">
      <c r="A6782" t="s">
        <v>1297</v>
      </c>
      <c r="B6782" t="s">
        <v>1298</v>
      </c>
      <c r="C6782" t="s">
        <v>685</v>
      </c>
      <c r="D6782" t="s">
        <v>1378</v>
      </c>
      <c r="E6782" t="s">
        <v>187</v>
      </c>
      <c r="F6782">
        <v>2020</v>
      </c>
      <c r="G6782">
        <v>1.482672</v>
      </c>
    </row>
    <row r="6783" spans="1:7">
      <c r="A6783" t="s">
        <v>1297</v>
      </c>
      <c r="B6783" t="s">
        <v>1298</v>
      </c>
      <c r="C6783" t="s">
        <v>1303</v>
      </c>
      <c r="D6783" t="s">
        <v>1378</v>
      </c>
      <c r="E6783" t="s">
        <v>187</v>
      </c>
      <c r="F6783">
        <v>2016</v>
      </c>
      <c r="G6783">
        <v>3.9982340000000001</v>
      </c>
    </row>
    <row r="6784" spans="1:7">
      <c r="A6784" t="s">
        <v>1297</v>
      </c>
      <c r="B6784" t="s">
        <v>1298</v>
      </c>
      <c r="C6784" t="s">
        <v>1303</v>
      </c>
      <c r="D6784" t="s">
        <v>1378</v>
      </c>
      <c r="E6784" t="s">
        <v>187</v>
      </c>
      <c r="F6784">
        <v>2020</v>
      </c>
      <c r="G6784">
        <v>4.4933459999999998</v>
      </c>
    </row>
    <row r="6785" spans="1:7">
      <c r="A6785" t="s">
        <v>1297</v>
      </c>
      <c r="B6785" t="s">
        <v>1298</v>
      </c>
      <c r="C6785" t="s">
        <v>652</v>
      </c>
      <c r="D6785" t="s">
        <v>1378</v>
      </c>
      <c r="E6785" t="s">
        <v>187</v>
      </c>
      <c r="F6785">
        <v>2005</v>
      </c>
      <c r="G6785">
        <v>164.570876</v>
      </c>
    </row>
    <row r="6786" spans="1:7">
      <c r="A6786" t="s">
        <v>1297</v>
      </c>
      <c r="B6786" t="s">
        <v>1298</v>
      </c>
      <c r="C6786" t="s">
        <v>652</v>
      </c>
      <c r="D6786" t="s">
        <v>1378</v>
      </c>
      <c r="E6786" t="s">
        <v>187</v>
      </c>
      <c r="F6786">
        <v>2010</v>
      </c>
      <c r="G6786">
        <v>157.72275999999999</v>
      </c>
    </row>
    <row r="6787" spans="1:7">
      <c r="A6787" t="s">
        <v>1297</v>
      </c>
      <c r="B6787" t="s">
        <v>1298</v>
      </c>
      <c r="C6787" t="s">
        <v>652</v>
      </c>
      <c r="D6787" t="s">
        <v>1378</v>
      </c>
      <c r="E6787" t="s">
        <v>187</v>
      </c>
      <c r="F6787">
        <v>2012</v>
      </c>
      <c r="G6787">
        <v>156.87745899999999</v>
      </c>
    </row>
    <row r="6788" spans="1:7">
      <c r="A6788" t="s">
        <v>1297</v>
      </c>
      <c r="B6788" t="s">
        <v>1298</v>
      </c>
      <c r="C6788" t="s">
        <v>652</v>
      </c>
      <c r="D6788" t="s">
        <v>1378</v>
      </c>
      <c r="E6788" t="s">
        <v>187</v>
      </c>
      <c r="F6788">
        <v>2016</v>
      </c>
      <c r="G6788">
        <v>158.75298000000001</v>
      </c>
    </row>
    <row r="6789" spans="1:7">
      <c r="A6789" t="s">
        <v>1297</v>
      </c>
      <c r="B6789" t="s">
        <v>1298</v>
      </c>
      <c r="C6789" t="s">
        <v>652</v>
      </c>
      <c r="D6789" t="s">
        <v>1378</v>
      </c>
      <c r="E6789" t="s">
        <v>187</v>
      </c>
      <c r="F6789">
        <v>2020</v>
      </c>
      <c r="G6789">
        <v>165.52269000000001</v>
      </c>
    </row>
    <row r="6790" spans="1:7">
      <c r="A6790" t="s">
        <v>1297</v>
      </c>
      <c r="B6790" t="s">
        <v>1298</v>
      </c>
      <c r="C6790" t="s">
        <v>656</v>
      </c>
      <c r="D6790" t="s">
        <v>1378</v>
      </c>
      <c r="E6790" t="s">
        <v>187</v>
      </c>
      <c r="F6790">
        <v>2005</v>
      </c>
      <c r="G6790">
        <v>806.15125799999998</v>
      </c>
    </row>
    <row r="6791" spans="1:7">
      <c r="A6791" t="s">
        <v>1297</v>
      </c>
      <c r="B6791" t="s">
        <v>1298</v>
      </c>
      <c r="C6791" t="s">
        <v>656</v>
      </c>
      <c r="D6791" t="s">
        <v>1378</v>
      </c>
      <c r="E6791" t="s">
        <v>187</v>
      </c>
      <c r="F6791">
        <v>2010</v>
      </c>
      <c r="G6791">
        <v>843.79761599999995</v>
      </c>
    </row>
    <row r="6792" spans="1:7">
      <c r="A6792" t="s">
        <v>1297</v>
      </c>
      <c r="B6792" t="s">
        <v>1298</v>
      </c>
      <c r="C6792" t="s">
        <v>656</v>
      </c>
      <c r="D6792" t="s">
        <v>1378</v>
      </c>
      <c r="E6792" t="s">
        <v>187</v>
      </c>
      <c r="F6792">
        <v>2012</v>
      </c>
      <c r="G6792">
        <v>820.51501499999995</v>
      </c>
    </row>
    <row r="6793" spans="1:7">
      <c r="A6793" t="s">
        <v>1297</v>
      </c>
      <c r="B6793" t="s">
        <v>1298</v>
      </c>
      <c r="C6793" t="s">
        <v>656</v>
      </c>
      <c r="D6793" t="s">
        <v>1378</v>
      </c>
      <c r="E6793" t="s">
        <v>187</v>
      </c>
      <c r="F6793">
        <v>2016</v>
      </c>
      <c r="G6793">
        <v>837.01412900000003</v>
      </c>
    </row>
    <row r="6794" spans="1:7">
      <c r="A6794" t="s">
        <v>1297</v>
      </c>
      <c r="B6794" t="s">
        <v>1298</v>
      </c>
      <c r="C6794" t="s">
        <v>656</v>
      </c>
      <c r="D6794" t="s">
        <v>1378</v>
      </c>
      <c r="E6794" t="s">
        <v>187</v>
      </c>
      <c r="F6794">
        <v>2020</v>
      </c>
      <c r="G6794">
        <v>815.40851299999997</v>
      </c>
    </row>
    <row r="6795" spans="1:7">
      <c r="A6795" t="s">
        <v>1297</v>
      </c>
      <c r="B6795" t="s">
        <v>1298</v>
      </c>
      <c r="C6795" t="s">
        <v>289</v>
      </c>
      <c r="D6795" t="s">
        <v>1378</v>
      </c>
      <c r="E6795" t="s">
        <v>187</v>
      </c>
      <c r="F6795">
        <v>2005</v>
      </c>
      <c r="G6795">
        <v>22.103100000000001</v>
      </c>
    </row>
    <row r="6796" spans="1:7">
      <c r="A6796" t="s">
        <v>1297</v>
      </c>
      <c r="B6796" t="s">
        <v>1298</v>
      </c>
      <c r="C6796" t="s">
        <v>289</v>
      </c>
      <c r="D6796" t="s">
        <v>1378</v>
      </c>
      <c r="E6796" t="s">
        <v>187</v>
      </c>
      <c r="F6796">
        <v>2010</v>
      </c>
      <c r="G6796">
        <v>21.42</v>
      </c>
    </row>
    <row r="6797" spans="1:7">
      <c r="A6797" t="s">
        <v>1297</v>
      </c>
      <c r="B6797" t="s">
        <v>1298</v>
      </c>
      <c r="C6797" t="s">
        <v>289</v>
      </c>
      <c r="D6797" t="s">
        <v>1378</v>
      </c>
      <c r="E6797" t="s">
        <v>187</v>
      </c>
      <c r="F6797">
        <v>2012</v>
      </c>
      <c r="G6797">
        <v>16.319700000000001</v>
      </c>
    </row>
    <row r="6798" spans="1:7">
      <c r="A6798" t="s">
        <v>1297</v>
      </c>
      <c r="B6798" t="s">
        <v>1298</v>
      </c>
      <c r="C6798" t="s">
        <v>289</v>
      </c>
      <c r="D6798" t="s">
        <v>1378</v>
      </c>
      <c r="E6798" t="s">
        <v>187</v>
      </c>
      <c r="F6798">
        <v>2016</v>
      </c>
      <c r="G6798">
        <v>14.9391</v>
      </c>
    </row>
    <row r="6799" spans="1:7">
      <c r="A6799" t="s">
        <v>1297</v>
      </c>
      <c r="B6799" t="s">
        <v>1298</v>
      </c>
      <c r="C6799" t="s">
        <v>289</v>
      </c>
      <c r="D6799" t="s">
        <v>1378</v>
      </c>
      <c r="E6799" t="s">
        <v>187</v>
      </c>
      <c r="F6799">
        <v>2020</v>
      </c>
      <c r="G6799">
        <v>16.772689</v>
      </c>
    </row>
    <row r="6800" spans="1:7">
      <c r="A6800" t="s">
        <v>1297</v>
      </c>
      <c r="B6800" t="s">
        <v>1298</v>
      </c>
      <c r="C6800" t="s">
        <v>663</v>
      </c>
      <c r="D6800" t="s">
        <v>1378</v>
      </c>
      <c r="E6800" t="s">
        <v>187</v>
      </c>
      <c r="F6800">
        <v>2005</v>
      </c>
      <c r="G6800">
        <v>52.594200000000001</v>
      </c>
    </row>
    <row r="6801" spans="1:7">
      <c r="A6801" t="s">
        <v>1297</v>
      </c>
      <c r="B6801" t="s">
        <v>1298</v>
      </c>
      <c r="C6801" t="s">
        <v>663</v>
      </c>
      <c r="D6801" t="s">
        <v>1378</v>
      </c>
      <c r="E6801" t="s">
        <v>187</v>
      </c>
      <c r="F6801">
        <v>2010</v>
      </c>
      <c r="G6801">
        <v>40.569299999999998</v>
      </c>
    </row>
    <row r="6802" spans="1:7">
      <c r="A6802" t="s">
        <v>1297</v>
      </c>
      <c r="B6802" t="s">
        <v>1298</v>
      </c>
      <c r="C6802" t="s">
        <v>663</v>
      </c>
      <c r="D6802" t="s">
        <v>1378</v>
      </c>
      <c r="E6802" t="s">
        <v>187</v>
      </c>
      <c r="F6802">
        <v>2012</v>
      </c>
      <c r="G6802">
        <v>34.191899999999997</v>
      </c>
    </row>
    <row r="6803" spans="1:7">
      <c r="A6803" t="s">
        <v>1297</v>
      </c>
      <c r="B6803" t="s">
        <v>1298</v>
      </c>
      <c r="C6803" t="s">
        <v>677</v>
      </c>
      <c r="D6803" t="s">
        <v>1378</v>
      </c>
      <c r="E6803" t="s">
        <v>187</v>
      </c>
      <c r="F6803">
        <v>2020</v>
      </c>
      <c r="G6803">
        <v>331.48351000000002</v>
      </c>
    </row>
    <row r="6804" spans="1:7">
      <c r="A6804" t="s">
        <v>1297</v>
      </c>
      <c r="B6804" t="s">
        <v>1298</v>
      </c>
      <c r="C6804" t="s">
        <v>661</v>
      </c>
      <c r="D6804" t="s">
        <v>1378</v>
      </c>
      <c r="E6804" t="s">
        <v>187</v>
      </c>
      <c r="F6804">
        <v>2005</v>
      </c>
      <c r="G6804">
        <v>543.154809</v>
      </c>
    </row>
    <row r="6805" spans="1:7">
      <c r="A6805" t="s">
        <v>1297</v>
      </c>
      <c r="B6805" t="s">
        <v>1298</v>
      </c>
      <c r="C6805" t="s">
        <v>661</v>
      </c>
      <c r="D6805" t="s">
        <v>1378</v>
      </c>
      <c r="E6805" t="s">
        <v>187</v>
      </c>
      <c r="F6805">
        <v>2010</v>
      </c>
      <c r="G6805">
        <v>466.74555600000002</v>
      </c>
    </row>
    <row r="6806" spans="1:7">
      <c r="A6806" t="s">
        <v>1297</v>
      </c>
      <c r="B6806" t="s">
        <v>1298</v>
      </c>
      <c r="C6806" t="s">
        <v>661</v>
      </c>
      <c r="D6806" t="s">
        <v>1378</v>
      </c>
      <c r="E6806" t="s">
        <v>187</v>
      </c>
      <c r="F6806">
        <v>2012</v>
      </c>
      <c r="G6806">
        <v>490.25595399999997</v>
      </c>
    </row>
    <row r="6807" spans="1:7">
      <c r="A6807" t="s">
        <v>1297</v>
      </c>
      <c r="B6807" t="s">
        <v>1298</v>
      </c>
      <c r="C6807" t="s">
        <v>661</v>
      </c>
      <c r="D6807" t="s">
        <v>1378</v>
      </c>
      <c r="E6807" t="s">
        <v>187</v>
      </c>
      <c r="F6807">
        <v>2016</v>
      </c>
      <c r="G6807">
        <v>468.74397599999998</v>
      </c>
    </row>
    <row r="6808" spans="1:7">
      <c r="A6808" t="s">
        <v>1297</v>
      </c>
      <c r="B6808" t="s">
        <v>1298</v>
      </c>
      <c r="C6808" t="s">
        <v>661</v>
      </c>
      <c r="D6808" t="s">
        <v>1378</v>
      </c>
      <c r="E6808" t="s">
        <v>187</v>
      </c>
      <c r="F6808">
        <v>2020</v>
      </c>
      <c r="G6808">
        <v>439.69413300000002</v>
      </c>
    </row>
    <row r="6809" spans="1:7">
      <c r="A6809" t="s">
        <v>1297</v>
      </c>
      <c r="B6809" t="s">
        <v>1298</v>
      </c>
      <c r="C6809" t="s">
        <v>655</v>
      </c>
      <c r="D6809" t="s">
        <v>1378</v>
      </c>
      <c r="E6809" t="s">
        <v>187</v>
      </c>
      <c r="F6809">
        <v>2005</v>
      </c>
      <c r="G6809">
        <v>101.24639999999999</v>
      </c>
    </row>
    <row r="6810" spans="1:7">
      <c r="A6810" t="s">
        <v>1297</v>
      </c>
      <c r="B6810" t="s">
        <v>1298</v>
      </c>
      <c r="C6810" t="s">
        <v>655</v>
      </c>
      <c r="D6810" t="s">
        <v>1378</v>
      </c>
      <c r="E6810" t="s">
        <v>187</v>
      </c>
      <c r="F6810">
        <v>2010</v>
      </c>
      <c r="G6810">
        <v>92.800799999999995</v>
      </c>
    </row>
    <row r="6811" spans="1:7">
      <c r="A6811" t="s">
        <v>1297</v>
      </c>
      <c r="B6811" t="s">
        <v>1298</v>
      </c>
      <c r="C6811" t="s">
        <v>655</v>
      </c>
      <c r="D6811" t="s">
        <v>1378</v>
      </c>
      <c r="E6811" t="s">
        <v>187</v>
      </c>
      <c r="F6811">
        <v>2012</v>
      </c>
      <c r="G6811">
        <v>85.296599999999998</v>
      </c>
    </row>
    <row r="6812" spans="1:7">
      <c r="A6812" t="s">
        <v>1297</v>
      </c>
      <c r="B6812" t="s">
        <v>1298</v>
      </c>
      <c r="C6812" t="s">
        <v>655</v>
      </c>
      <c r="D6812" t="s">
        <v>1378</v>
      </c>
      <c r="E6812" t="s">
        <v>187</v>
      </c>
      <c r="F6812">
        <v>2016</v>
      </c>
      <c r="G6812">
        <v>84.373444000000006</v>
      </c>
    </row>
    <row r="6813" spans="1:7">
      <c r="A6813" t="s">
        <v>1297</v>
      </c>
      <c r="B6813" t="s">
        <v>1298</v>
      </c>
      <c r="C6813" t="s">
        <v>655</v>
      </c>
      <c r="D6813" t="s">
        <v>1378</v>
      </c>
      <c r="E6813" t="s">
        <v>187</v>
      </c>
      <c r="F6813">
        <v>2020</v>
      </c>
      <c r="G6813">
        <v>84.969229999999996</v>
      </c>
    </row>
    <row r="6814" spans="1:7">
      <c r="A6814" t="s">
        <v>1297</v>
      </c>
      <c r="B6814" t="s">
        <v>1298</v>
      </c>
      <c r="C6814" t="s">
        <v>671</v>
      </c>
      <c r="D6814" t="s">
        <v>1378</v>
      </c>
      <c r="E6814" t="s">
        <v>187</v>
      </c>
      <c r="F6814">
        <v>2016</v>
      </c>
      <c r="G6814">
        <v>142.8057</v>
      </c>
    </row>
    <row r="6815" spans="1:7">
      <c r="A6815" t="s">
        <v>1297</v>
      </c>
      <c r="B6815" t="s">
        <v>1298</v>
      </c>
      <c r="C6815" t="s">
        <v>671</v>
      </c>
      <c r="D6815" t="s">
        <v>1378</v>
      </c>
      <c r="E6815" t="s">
        <v>187</v>
      </c>
      <c r="F6815">
        <v>2020</v>
      </c>
      <c r="G6815">
        <v>163.722343</v>
      </c>
    </row>
    <row r="6816" spans="1:7">
      <c r="A6816" t="s">
        <v>1297</v>
      </c>
      <c r="B6816" t="s">
        <v>1298</v>
      </c>
      <c r="C6816" t="s">
        <v>670</v>
      </c>
      <c r="D6816" t="s">
        <v>1378</v>
      </c>
      <c r="E6816" t="s">
        <v>187</v>
      </c>
      <c r="F6816">
        <v>2020</v>
      </c>
      <c r="G6816">
        <v>210.44163599999999</v>
      </c>
    </row>
    <row r="6817" spans="1:7">
      <c r="A6817" t="s">
        <v>1297</v>
      </c>
      <c r="B6817" t="s">
        <v>1298</v>
      </c>
      <c r="C6817" t="s">
        <v>677</v>
      </c>
      <c r="D6817" t="s">
        <v>1378</v>
      </c>
      <c r="E6817" t="s">
        <v>187</v>
      </c>
      <c r="F6817">
        <v>2005</v>
      </c>
      <c r="G6817">
        <v>490.66919999999999</v>
      </c>
    </row>
    <row r="6818" spans="1:7">
      <c r="A6818" t="s">
        <v>1297</v>
      </c>
      <c r="B6818" t="s">
        <v>1298</v>
      </c>
      <c r="C6818" t="s">
        <v>677</v>
      </c>
      <c r="D6818" t="s">
        <v>1378</v>
      </c>
      <c r="E6818" t="s">
        <v>187</v>
      </c>
      <c r="F6818">
        <v>2010</v>
      </c>
      <c r="G6818">
        <v>354.03030000000001</v>
      </c>
    </row>
    <row r="6819" spans="1:7">
      <c r="A6819" t="s">
        <v>1297</v>
      </c>
      <c r="B6819" t="s">
        <v>1298</v>
      </c>
      <c r="C6819" t="s">
        <v>677</v>
      </c>
      <c r="D6819" t="s">
        <v>1378</v>
      </c>
      <c r="E6819" t="s">
        <v>187</v>
      </c>
      <c r="F6819">
        <v>2012</v>
      </c>
      <c r="G6819">
        <v>332.4042</v>
      </c>
    </row>
    <row r="6820" spans="1:7">
      <c r="A6820" t="s">
        <v>1297</v>
      </c>
      <c r="B6820" t="s">
        <v>1298</v>
      </c>
      <c r="C6820" t="s">
        <v>677</v>
      </c>
      <c r="D6820" t="s">
        <v>1378</v>
      </c>
      <c r="E6820" t="s">
        <v>187</v>
      </c>
      <c r="F6820">
        <v>2016</v>
      </c>
      <c r="G6820">
        <v>325.07562200000001</v>
      </c>
    </row>
    <row r="6821" spans="1:7">
      <c r="A6821" t="s">
        <v>1297</v>
      </c>
      <c r="B6821" t="s">
        <v>1298</v>
      </c>
      <c r="C6821" t="s">
        <v>657</v>
      </c>
      <c r="D6821" t="s">
        <v>1378</v>
      </c>
      <c r="E6821" t="s">
        <v>187</v>
      </c>
      <c r="F6821">
        <v>2005</v>
      </c>
      <c r="G6821">
        <v>29.913618</v>
      </c>
    </row>
    <row r="6822" spans="1:7">
      <c r="A6822" t="s">
        <v>1297</v>
      </c>
      <c r="B6822" t="s">
        <v>1298</v>
      </c>
      <c r="C6822" t="s">
        <v>657</v>
      </c>
      <c r="D6822" t="s">
        <v>1378</v>
      </c>
      <c r="E6822" t="s">
        <v>187</v>
      </c>
      <c r="F6822">
        <v>2010</v>
      </c>
      <c r="G6822">
        <v>29.857738999999999</v>
      </c>
    </row>
    <row r="6823" spans="1:7">
      <c r="A6823" t="s">
        <v>1297</v>
      </c>
      <c r="B6823" t="s">
        <v>1298</v>
      </c>
      <c r="C6823" t="s">
        <v>657</v>
      </c>
      <c r="D6823" t="s">
        <v>1378</v>
      </c>
      <c r="E6823" t="s">
        <v>187</v>
      </c>
      <c r="F6823">
        <v>2012</v>
      </c>
      <c r="G6823">
        <v>28.609582</v>
      </c>
    </row>
    <row r="6824" spans="1:7">
      <c r="A6824" t="s">
        <v>1297</v>
      </c>
      <c r="B6824" t="s">
        <v>1298</v>
      </c>
      <c r="C6824" t="s">
        <v>657</v>
      </c>
      <c r="D6824" t="s">
        <v>1378</v>
      </c>
      <c r="E6824" t="s">
        <v>187</v>
      </c>
      <c r="F6824">
        <v>2016</v>
      </c>
      <c r="G6824">
        <v>26.902891</v>
      </c>
    </row>
    <row r="6825" spans="1:7">
      <c r="A6825" t="s">
        <v>1297</v>
      </c>
      <c r="B6825" t="s">
        <v>1298</v>
      </c>
      <c r="C6825" t="s">
        <v>657</v>
      </c>
      <c r="D6825" t="s">
        <v>1378</v>
      </c>
      <c r="E6825" t="s">
        <v>187</v>
      </c>
      <c r="F6825">
        <v>2020</v>
      </c>
      <c r="G6825">
        <v>28.348089999999999</v>
      </c>
    </row>
    <row r="6826" spans="1:7">
      <c r="A6826" t="s">
        <v>1297</v>
      </c>
      <c r="B6826" t="s">
        <v>1298</v>
      </c>
      <c r="C6826" t="s">
        <v>675</v>
      </c>
      <c r="D6826" t="s">
        <v>1378</v>
      </c>
      <c r="E6826" t="s">
        <v>187</v>
      </c>
      <c r="F6826">
        <v>2005</v>
      </c>
      <c r="G6826">
        <v>22.642199999999999</v>
      </c>
    </row>
    <row r="6827" spans="1:7">
      <c r="A6827" t="s">
        <v>1297</v>
      </c>
      <c r="B6827" t="s">
        <v>1298</v>
      </c>
      <c r="C6827" t="s">
        <v>675</v>
      </c>
      <c r="D6827" t="s">
        <v>1378</v>
      </c>
      <c r="E6827" t="s">
        <v>187</v>
      </c>
      <c r="F6827">
        <v>2010</v>
      </c>
      <c r="G6827">
        <v>20.222999999999999</v>
      </c>
    </row>
    <row r="6828" spans="1:7">
      <c r="A6828" t="s">
        <v>1297</v>
      </c>
      <c r="B6828" t="s">
        <v>1298</v>
      </c>
      <c r="C6828" t="s">
        <v>675</v>
      </c>
      <c r="D6828" t="s">
        <v>1378</v>
      </c>
      <c r="E6828" t="s">
        <v>187</v>
      </c>
      <c r="F6828">
        <v>2012</v>
      </c>
      <c r="G6828">
        <v>17.425799999999999</v>
      </c>
    </row>
    <row r="6829" spans="1:7">
      <c r="A6829" t="s">
        <v>1297</v>
      </c>
      <c r="B6829" t="s">
        <v>1298</v>
      </c>
      <c r="C6829" t="s">
        <v>675</v>
      </c>
      <c r="D6829" t="s">
        <v>1378</v>
      </c>
      <c r="E6829" t="s">
        <v>187</v>
      </c>
      <c r="F6829">
        <v>2016</v>
      </c>
      <c r="G6829">
        <v>17.395199999999999</v>
      </c>
    </row>
    <row r="6830" spans="1:7">
      <c r="A6830" t="s">
        <v>1297</v>
      </c>
      <c r="B6830" t="s">
        <v>1298</v>
      </c>
      <c r="C6830" t="s">
        <v>675</v>
      </c>
      <c r="D6830" t="s">
        <v>1378</v>
      </c>
      <c r="E6830" t="s">
        <v>187</v>
      </c>
      <c r="F6830">
        <v>2020</v>
      </c>
      <c r="G6830">
        <v>18.920708000000001</v>
      </c>
    </row>
    <row r="6831" spans="1:7">
      <c r="A6831" t="s">
        <v>1297</v>
      </c>
      <c r="B6831" t="s">
        <v>1298</v>
      </c>
      <c r="C6831" t="s">
        <v>664</v>
      </c>
      <c r="D6831" t="s">
        <v>1378</v>
      </c>
      <c r="E6831" t="s">
        <v>187</v>
      </c>
      <c r="F6831">
        <v>2005</v>
      </c>
      <c r="G6831">
        <v>19.623407</v>
      </c>
    </row>
    <row r="6832" spans="1:7">
      <c r="A6832" t="s">
        <v>1297</v>
      </c>
      <c r="B6832" t="s">
        <v>1298</v>
      </c>
      <c r="C6832" t="s">
        <v>664</v>
      </c>
      <c r="D6832" t="s">
        <v>1378</v>
      </c>
      <c r="E6832" t="s">
        <v>187</v>
      </c>
      <c r="F6832">
        <v>2010</v>
      </c>
      <c r="G6832">
        <v>22.531345999999999</v>
      </c>
    </row>
    <row r="6833" spans="1:7">
      <c r="A6833" t="s">
        <v>1297</v>
      </c>
      <c r="B6833" t="s">
        <v>1298</v>
      </c>
      <c r="C6833" t="s">
        <v>664</v>
      </c>
      <c r="D6833" t="s">
        <v>1378</v>
      </c>
      <c r="E6833" t="s">
        <v>187</v>
      </c>
      <c r="F6833">
        <v>2012</v>
      </c>
      <c r="G6833">
        <v>26.775451</v>
      </c>
    </row>
    <row r="6834" spans="1:7">
      <c r="A6834" t="s">
        <v>1297</v>
      </c>
      <c r="B6834" t="s">
        <v>1298</v>
      </c>
      <c r="C6834" t="s">
        <v>664</v>
      </c>
      <c r="D6834" t="s">
        <v>1378</v>
      </c>
      <c r="E6834" t="s">
        <v>187</v>
      </c>
      <c r="F6834">
        <v>2016</v>
      </c>
      <c r="G6834">
        <v>35.264161000000001</v>
      </c>
    </row>
    <row r="6835" spans="1:7">
      <c r="A6835" t="s">
        <v>1297</v>
      </c>
      <c r="B6835" t="s">
        <v>1298</v>
      </c>
      <c r="C6835" t="s">
        <v>664</v>
      </c>
      <c r="D6835" t="s">
        <v>1378</v>
      </c>
      <c r="E6835" t="s">
        <v>187</v>
      </c>
      <c r="F6835">
        <v>2020</v>
      </c>
      <c r="G6835">
        <v>39.965400000000002</v>
      </c>
    </row>
    <row r="6836" spans="1:7">
      <c r="A6836" t="s">
        <v>1297</v>
      </c>
      <c r="B6836" t="s">
        <v>1298</v>
      </c>
      <c r="C6836" t="s">
        <v>672</v>
      </c>
      <c r="D6836" t="s">
        <v>1378</v>
      </c>
      <c r="E6836" t="s">
        <v>187</v>
      </c>
      <c r="F6836">
        <v>2005</v>
      </c>
      <c r="G6836">
        <v>40.030200000000001</v>
      </c>
    </row>
    <row r="6837" spans="1:7">
      <c r="A6837" t="s">
        <v>1297</v>
      </c>
      <c r="B6837" t="s">
        <v>1298</v>
      </c>
      <c r="C6837" t="s">
        <v>672</v>
      </c>
      <c r="D6837" t="s">
        <v>1378</v>
      </c>
      <c r="E6837" t="s">
        <v>187</v>
      </c>
      <c r="F6837">
        <v>2010</v>
      </c>
      <c r="G6837">
        <v>44.071199999999997</v>
      </c>
    </row>
    <row r="6838" spans="1:7">
      <c r="A6838" t="s">
        <v>1297</v>
      </c>
      <c r="B6838" t="s">
        <v>1298</v>
      </c>
      <c r="C6838" t="s">
        <v>672</v>
      </c>
      <c r="D6838" t="s">
        <v>1378</v>
      </c>
      <c r="E6838" t="s">
        <v>187</v>
      </c>
      <c r="F6838">
        <v>2012</v>
      </c>
      <c r="G6838">
        <v>46.959299999999999</v>
      </c>
    </row>
    <row r="6839" spans="1:7">
      <c r="A6839" t="s">
        <v>1297</v>
      </c>
      <c r="B6839" t="s">
        <v>1298</v>
      </c>
      <c r="C6839" t="s">
        <v>672</v>
      </c>
      <c r="D6839" t="s">
        <v>1378</v>
      </c>
      <c r="E6839" t="s">
        <v>187</v>
      </c>
      <c r="F6839">
        <v>2016</v>
      </c>
      <c r="G6839">
        <v>46.899667000000001</v>
      </c>
    </row>
    <row r="6840" spans="1:7">
      <c r="A6840" t="s">
        <v>1297</v>
      </c>
      <c r="B6840" t="s">
        <v>1298</v>
      </c>
      <c r="C6840" t="s">
        <v>672</v>
      </c>
      <c r="D6840" t="s">
        <v>1378</v>
      </c>
      <c r="E6840" t="s">
        <v>187</v>
      </c>
      <c r="F6840">
        <v>2020</v>
      </c>
      <c r="G6840">
        <v>52.674588</v>
      </c>
    </row>
    <row r="6841" spans="1:7">
      <c r="A6841" t="s">
        <v>1297</v>
      </c>
      <c r="B6841" t="s">
        <v>1298</v>
      </c>
      <c r="C6841" t="s">
        <v>667</v>
      </c>
      <c r="D6841" t="s">
        <v>1378</v>
      </c>
      <c r="E6841" t="s">
        <v>187</v>
      </c>
      <c r="F6841">
        <v>2005</v>
      </c>
      <c r="G6841">
        <v>13.775364</v>
      </c>
    </row>
    <row r="6842" spans="1:7">
      <c r="A6842" t="s">
        <v>1297</v>
      </c>
      <c r="B6842" t="s">
        <v>1298</v>
      </c>
      <c r="C6842" t="s">
        <v>667</v>
      </c>
      <c r="D6842" t="s">
        <v>1378</v>
      </c>
      <c r="E6842" t="s">
        <v>187</v>
      </c>
      <c r="F6842">
        <v>2010</v>
      </c>
      <c r="G6842">
        <v>12.959146</v>
      </c>
    </row>
    <row r="6843" spans="1:7">
      <c r="A6843" t="s">
        <v>1297</v>
      </c>
      <c r="B6843" t="s">
        <v>1298</v>
      </c>
      <c r="C6843" t="s">
        <v>667</v>
      </c>
      <c r="D6843" t="s">
        <v>1378</v>
      </c>
      <c r="E6843" t="s">
        <v>187</v>
      </c>
      <c r="F6843">
        <v>2012</v>
      </c>
      <c r="G6843">
        <v>12.175462</v>
      </c>
    </row>
    <row r="6844" spans="1:7">
      <c r="A6844" t="s">
        <v>1297</v>
      </c>
      <c r="B6844" t="s">
        <v>1298</v>
      </c>
      <c r="C6844" t="s">
        <v>667</v>
      </c>
      <c r="D6844" t="s">
        <v>1378</v>
      </c>
      <c r="E6844" t="s">
        <v>187</v>
      </c>
      <c r="F6844">
        <v>2016</v>
      </c>
      <c r="G6844">
        <v>11.755974999999999</v>
      </c>
    </row>
    <row r="6845" spans="1:7">
      <c r="A6845" t="s">
        <v>1297</v>
      </c>
      <c r="B6845" t="s">
        <v>1298</v>
      </c>
      <c r="C6845" t="s">
        <v>667</v>
      </c>
      <c r="D6845" t="s">
        <v>1378</v>
      </c>
      <c r="E6845" t="s">
        <v>187</v>
      </c>
      <c r="F6845">
        <v>2020</v>
      </c>
      <c r="G6845">
        <v>11.296233000000001</v>
      </c>
    </row>
    <row r="6846" spans="1:7">
      <c r="A6846" t="s">
        <v>1297</v>
      </c>
      <c r="B6846" t="s">
        <v>1298</v>
      </c>
      <c r="C6846" t="s">
        <v>653</v>
      </c>
      <c r="D6846" t="s">
        <v>1378</v>
      </c>
      <c r="E6846" t="s">
        <v>187</v>
      </c>
      <c r="F6846">
        <v>2005</v>
      </c>
      <c r="G6846">
        <v>43.875</v>
      </c>
    </row>
    <row r="6847" spans="1:7">
      <c r="A6847" t="s">
        <v>1297</v>
      </c>
      <c r="B6847" t="s">
        <v>1298</v>
      </c>
      <c r="C6847" t="s">
        <v>653</v>
      </c>
      <c r="D6847" t="s">
        <v>1378</v>
      </c>
      <c r="E6847" t="s">
        <v>187</v>
      </c>
      <c r="F6847">
        <v>2010</v>
      </c>
      <c r="G6847">
        <v>29.200842000000002</v>
      </c>
    </row>
    <row r="6848" spans="1:7">
      <c r="A6848" t="s">
        <v>1297</v>
      </c>
      <c r="B6848" t="s">
        <v>1298</v>
      </c>
      <c r="C6848" t="s">
        <v>653</v>
      </c>
      <c r="D6848" t="s">
        <v>1378</v>
      </c>
      <c r="E6848" t="s">
        <v>187</v>
      </c>
      <c r="F6848">
        <v>2012</v>
      </c>
      <c r="G6848">
        <v>31.662991999999999</v>
      </c>
    </row>
    <row r="6849" spans="1:7">
      <c r="A6849" t="s">
        <v>1297</v>
      </c>
      <c r="B6849" t="s">
        <v>1298</v>
      </c>
      <c r="C6849" t="s">
        <v>653</v>
      </c>
      <c r="D6849" t="s">
        <v>1378</v>
      </c>
      <c r="E6849" t="s">
        <v>187</v>
      </c>
      <c r="F6849">
        <v>2016</v>
      </c>
      <c r="G6849">
        <v>38.50909</v>
      </c>
    </row>
    <row r="6850" spans="1:7">
      <c r="A6850" t="s">
        <v>1297</v>
      </c>
      <c r="B6850" t="s">
        <v>1298</v>
      </c>
      <c r="C6850" t="s">
        <v>653</v>
      </c>
      <c r="D6850" t="s">
        <v>1378</v>
      </c>
      <c r="E6850" t="s">
        <v>187</v>
      </c>
      <c r="F6850">
        <v>2020</v>
      </c>
      <c r="G6850">
        <v>34.524464999999999</v>
      </c>
    </row>
    <row r="6851" spans="1:7">
      <c r="A6851" t="s">
        <v>1297</v>
      </c>
      <c r="B6851" t="s">
        <v>1298</v>
      </c>
      <c r="C6851" t="s">
        <v>676</v>
      </c>
      <c r="D6851" t="s">
        <v>1378</v>
      </c>
      <c r="E6851" t="s">
        <v>187</v>
      </c>
      <c r="F6851">
        <v>2005</v>
      </c>
      <c r="G6851">
        <v>40.575600000000001</v>
      </c>
    </row>
    <row r="6852" spans="1:7">
      <c r="A6852" t="s">
        <v>1297</v>
      </c>
      <c r="B6852" t="s">
        <v>1298</v>
      </c>
      <c r="C6852" t="s">
        <v>676</v>
      </c>
      <c r="D6852" t="s">
        <v>1378</v>
      </c>
      <c r="E6852" t="s">
        <v>187</v>
      </c>
      <c r="F6852">
        <v>2010</v>
      </c>
      <c r="G6852">
        <v>37.184399999999997</v>
      </c>
    </row>
    <row r="6853" spans="1:7">
      <c r="A6853" t="s">
        <v>1297</v>
      </c>
      <c r="B6853" t="s">
        <v>1298</v>
      </c>
      <c r="C6853" t="s">
        <v>676</v>
      </c>
      <c r="D6853" t="s">
        <v>1378</v>
      </c>
      <c r="E6853" t="s">
        <v>187</v>
      </c>
      <c r="F6853">
        <v>2012</v>
      </c>
      <c r="G6853">
        <v>36.023400000000002</v>
      </c>
    </row>
    <row r="6854" spans="1:7">
      <c r="A6854" t="s">
        <v>1297</v>
      </c>
      <c r="B6854" t="s">
        <v>1298</v>
      </c>
      <c r="C6854" t="s">
        <v>676</v>
      </c>
      <c r="D6854" t="s">
        <v>1378</v>
      </c>
      <c r="E6854" t="s">
        <v>187</v>
      </c>
      <c r="F6854">
        <v>2016</v>
      </c>
      <c r="G6854">
        <v>33.176699999999997</v>
      </c>
    </row>
    <row r="6855" spans="1:7">
      <c r="A6855" t="s">
        <v>1297</v>
      </c>
      <c r="B6855" t="s">
        <v>1298</v>
      </c>
      <c r="C6855" t="s">
        <v>676</v>
      </c>
      <c r="D6855" t="s">
        <v>1378</v>
      </c>
      <c r="E6855" t="s">
        <v>187</v>
      </c>
      <c r="F6855">
        <v>2020</v>
      </c>
      <c r="G6855">
        <v>35.134501999999998</v>
      </c>
    </row>
    <row r="6856" spans="1:7">
      <c r="A6856" t="s">
        <v>1297</v>
      </c>
      <c r="B6856" t="s">
        <v>1298</v>
      </c>
      <c r="C6856" t="s">
        <v>673</v>
      </c>
      <c r="D6856" t="s">
        <v>1378</v>
      </c>
      <c r="E6856" t="s">
        <v>187</v>
      </c>
      <c r="F6856">
        <v>2005</v>
      </c>
      <c r="G6856">
        <v>168.91829999999999</v>
      </c>
    </row>
    <row r="6857" spans="1:7">
      <c r="A6857" t="s">
        <v>1297</v>
      </c>
      <c r="B6857" t="s">
        <v>1298</v>
      </c>
      <c r="C6857" t="s">
        <v>673</v>
      </c>
      <c r="D6857" t="s">
        <v>1378</v>
      </c>
      <c r="E6857" t="s">
        <v>187</v>
      </c>
      <c r="F6857">
        <v>2010</v>
      </c>
      <c r="G6857">
        <v>116.8794</v>
      </c>
    </row>
    <row r="6858" spans="1:7">
      <c r="A6858" t="s">
        <v>1297</v>
      </c>
      <c r="B6858" t="s">
        <v>1298</v>
      </c>
      <c r="C6858" t="s">
        <v>673</v>
      </c>
      <c r="D6858" t="s">
        <v>1378</v>
      </c>
      <c r="E6858" t="s">
        <v>187</v>
      </c>
      <c r="F6858">
        <v>2012</v>
      </c>
      <c r="G6858">
        <v>108.2439</v>
      </c>
    </row>
    <row r="6859" spans="1:7">
      <c r="A6859" t="s">
        <v>1297</v>
      </c>
      <c r="B6859" t="s">
        <v>1298</v>
      </c>
      <c r="C6859" t="s">
        <v>673</v>
      </c>
      <c r="D6859" t="s">
        <v>1378</v>
      </c>
      <c r="E6859" t="s">
        <v>187</v>
      </c>
      <c r="F6859">
        <v>2016</v>
      </c>
      <c r="G6859">
        <v>87.270300000000006</v>
      </c>
    </row>
    <row r="6860" spans="1:7">
      <c r="A6860" t="s">
        <v>1297</v>
      </c>
      <c r="B6860" t="s">
        <v>1298</v>
      </c>
      <c r="C6860" t="s">
        <v>673</v>
      </c>
      <c r="D6860" t="s">
        <v>1378</v>
      </c>
      <c r="E6860" t="s">
        <v>187</v>
      </c>
      <c r="F6860">
        <v>2020</v>
      </c>
      <c r="G6860">
        <v>90.959888000000007</v>
      </c>
    </row>
    <row r="6861" spans="1:7">
      <c r="A6861" t="s">
        <v>1297</v>
      </c>
      <c r="B6861" t="s">
        <v>1298</v>
      </c>
      <c r="C6861" t="s">
        <v>662</v>
      </c>
      <c r="D6861" t="s">
        <v>1378</v>
      </c>
      <c r="E6861" t="s">
        <v>187</v>
      </c>
      <c r="F6861">
        <v>2005</v>
      </c>
      <c r="G6861">
        <v>17.821104999999999</v>
      </c>
    </row>
    <row r="6862" spans="1:7">
      <c r="A6862" t="s">
        <v>1297</v>
      </c>
      <c r="B6862" t="s">
        <v>1298</v>
      </c>
      <c r="C6862" t="s">
        <v>662</v>
      </c>
      <c r="D6862" t="s">
        <v>1378</v>
      </c>
      <c r="E6862" t="s">
        <v>187</v>
      </c>
      <c r="F6862">
        <v>2010</v>
      </c>
      <c r="G6862">
        <v>15.639122</v>
      </c>
    </row>
    <row r="6863" spans="1:7">
      <c r="A6863" t="s">
        <v>1297</v>
      </c>
      <c r="B6863" t="s">
        <v>1298</v>
      </c>
      <c r="C6863" t="s">
        <v>662</v>
      </c>
      <c r="D6863" t="s">
        <v>1378</v>
      </c>
      <c r="E6863" t="s">
        <v>187</v>
      </c>
      <c r="F6863">
        <v>2012</v>
      </c>
      <c r="G6863">
        <v>21.284818999999999</v>
      </c>
    </row>
    <row r="6864" spans="1:7">
      <c r="A6864" t="s">
        <v>1297</v>
      </c>
      <c r="B6864" t="s">
        <v>1298</v>
      </c>
      <c r="C6864" t="s">
        <v>662</v>
      </c>
      <c r="D6864" t="s">
        <v>1378</v>
      </c>
      <c r="E6864" t="s">
        <v>187</v>
      </c>
      <c r="F6864">
        <v>2016</v>
      </c>
      <c r="G6864">
        <v>23.076899999999998</v>
      </c>
    </row>
    <row r="6865" spans="1:7">
      <c r="A6865" t="s">
        <v>1297</v>
      </c>
      <c r="B6865" t="s">
        <v>1298</v>
      </c>
      <c r="C6865" t="s">
        <v>662</v>
      </c>
      <c r="D6865" t="s">
        <v>1378</v>
      </c>
      <c r="E6865" t="s">
        <v>187</v>
      </c>
      <c r="F6865">
        <v>2020</v>
      </c>
      <c r="G6865">
        <v>14.001911</v>
      </c>
    </row>
    <row r="6866" spans="1:7">
      <c r="A6866" t="s">
        <v>1297</v>
      </c>
      <c r="B6866" t="s">
        <v>1298</v>
      </c>
      <c r="C6866" t="s">
        <v>682</v>
      </c>
      <c r="D6866" t="s">
        <v>1378</v>
      </c>
      <c r="E6866" t="s">
        <v>187</v>
      </c>
      <c r="F6866">
        <v>2016</v>
      </c>
      <c r="G6866">
        <v>3.1815000000000002</v>
      </c>
    </row>
    <row r="6867" spans="1:7">
      <c r="A6867" t="s">
        <v>1297</v>
      </c>
      <c r="B6867" t="s">
        <v>1298</v>
      </c>
      <c r="C6867" t="s">
        <v>682</v>
      </c>
      <c r="D6867" t="s">
        <v>1378</v>
      </c>
      <c r="E6867" t="s">
        <v>187</v>
      </c>
      <c r="F6867">
        <v>2020</v>
      </c>
      <c r="G6867">
        <v>3.1995089999999999</v>
      </c>
    </row>
    <row r="6868" spans="1:7">
      <c r="A6868" t="s">
        <v>1297</v>
      </c>
      <c r="B6868" t="s">
        <v>1298</v>
      </c>
      <c r="C6868" t="s">
        <v>1299</v>
      </c>
      <c r="D6868" t="s">
        <v>1378</v>
      </c>
      <c r="E6868" t="s">
        <v>187</v>
      </c>
      <c r="F6868">
        <v>2005</v>
      </c>
      <c r="G6868">
        <v>453.17070000000001</v>
      </c>
    </row>
    <row r="6869" spans="1:7">
      <c r="A6869" t="s">
        <v>1297</v>
      </c>
      <c r="B6869" t="s">
        <v>1298</v>
      </c>
      <c r="C6869" t="s">
        <v>1299</v>
      </c>
      <c r="D6869" t="s">
        <v>1378</v>
      </c>
      <c r="E6869" t="s">
        <v>187</v>
      </c>
      <c r="F6869">
        <v>2010</v>
      </c>
      <c r="G6869">
        <v>269.57429999999999</v>
      </c>
    </row>
    <row r="6870" spans="1:7">
      <c r="A6870" t="s">
        <v>1297</v>
      </c>
      <c r="B6870" t="s">
        <v>1298</v>
      </c>
      <c r="C6870" t="s">
        <v>1299</v>
      </c>
      <c r="D6870" t="s">
        <v>1378</v>
      </c>
      <c r="E6870" t="s">
        <v>187</v>
      </c>
      <c r="F6870">
        <v>2012</v>
      </c>
      <c r="G6870">
        <v>220.79429999999999</v>
      </c>
    </row>
    <row r="6871" spans="1:7">
      <c r="A6871" t="s">
        <v>1297</v>
      </c>
      <c r="B6871" t="s">
        <v>1298</v>
      </c>
      <c r="C6871" t="s">
        <v>1299</v>
      </c>
      <c r="D6871" t="s">
        <v>1378</v>
      </c>
      <c r="E6871" t="s">
        <v>187</v>
      </c>
      <c r="F6871">
        <v>2016</v>
      </c>
      <c r="G6871">
        <v>103.90860000000001</v>
      </c>
    </row>
    <row r="6872" spans="1:7">
      <c r="A6872" t="s">
        <v>1297</v>
      </c>
      <c r="B6872" t="s">
        <v>1298</v>
      </c>
      <c r="C6872" t="s">
        <v>1299</v>
      </c>
      <c r="D6872" t="s">
        <v>1378</v>
      </c>
      <c r="E6872" t="s">
        <v>187</v>
      </c>
      <c r="F6872">
        <v>2020</v>
      </c>
      <c r="G6872">
        <v>113.95102</v>
      </c>
    </row>
    <row r="6873" spans="1:7">
      <c r="A6873" t="s">
        <v>1297</v>
      </c>
      <c r="B6873" t="s">
        <v>1298</v>
      </c>
      <c r="C6873" t="s">
        <v>666</v>
      </c>
      <c r="D6873" t="s">
        <v>1378</v>
      </c>
      <c r="E6873" t="s">
        <v>187</v>
      </c>
      <c r="F6873">
        <v>2005</v>
      </c>
      <c r="G6873">
        <v>15.080399999999999</v>
      </c>
    </row>
    <row r="6874" spans="1:7">
      <c r="A6874" t="s">
        <v>1297</v>
      </c>
      <c r="B6874" t="s">
        <v>1298</v>
      </c>
      <c r="C6874" t="s">
        <v>666</v>
      </c>
      <c r="D6874" t="s">
        <v>1378</v>
      </c>
      <c r="E6874" t="s">
        <v>187</v>
      </c>
      <c r="F6874">
        <v>2010</v>
      </c>
      <c r="G6874">
        <v>14.1534</v>
      </c>
    </row>
    <row r="6875" spans="1:7">
      <c r="A6875" t="s">
        <v>1297</v>
      </c>
      <c r="B6875" t="s">
        <v>1298</v>
      </c>
      <c r="C6875" t="s">
        <v>666</v>
      </c>
      <c r="D6875" t="s">
        <v>1378</v>
      </c>
      <c r="E6875" t="s">
        <v>187</v>
      </c>
      <c r="F6875">
        <v>2012</v>
      </c>
      <c r="G6875">
        <v>15.070499999999999</v>
      </c>
    </row>
    <row r="6876" spans="1:7">
      <c r="A6876" t="s">
        <v>1297</v>
      </c>
      <c r="B6876" t="s">
        <v>1298</v>
      </c>
      <c r="C6876" t="s">
        <v>666</v>
      </c>
      <c r="D6876" t="s">
        <v>1378</v>
      </c>
      <c r="E6876" t="s">
        <v>187</v>
      </c>
      <c r="F6876">
        <v>2016</v>
      </c>
      <c r="G6876">
        <v>12.0474</v>
      </c>
    </row>
    <row r="6877" spans="1:7">
      <c r="A6877" t="s">
        <v>1297</v>
      </c>
      <c r="B6877" t="s">
        <v>1298</v>
      </c>
      <c r="C6877" t="s">
        <v>666</v>
      </c>
      <c r="D6877" t="s">
        <v>1378</v>
      </c>
      <c r="E6877" t="s">
        <v>187</v>
      </c>
      <c r="F6877">
        <v>2020</v>
      </c>
      <c r="G6877">
        <v>12.709148000000001</v>
      </c>
    </row>
    <row r="6878" spans="1:7">
      <c r="A6878" t="s">
        <v>1297</v>
      </c>
      <c r="B6878" t="s">
        <v>1298</v>
      </c>
      <c r="C6878" t="s">
        <v>668</v>
      </c>
      <c r="D6878" t="s">
        <v>1378</v>
      </c>
      <c r="E6878" t="s">
        <v>187</v>
      </c>
      <c r="F6878">
        <v>2005</v>
      </c>
      <c r="G6878">
        <v>12.342599999999999</v>
      </c>
    </row>
    <row r="6879" spans="1:7">
      <c r="A6879" t="s">
        <v>1297</v>
      </c>
      <c r="B6879" t="s">
        <v>1298</v>
      </c>
      <c r="C6879" t="s">
        <v>668</v>
      </c>
      <c r="D6879" t="s">
        <v>1378</v>
      </c>
      <c r="E6879" t="s">
        <v>187</v>
      </c>
      <c r="F6879">
        <v>2010</v>
      </c>
      <c r="G6879">
        <v>10.1502</v>
      </c>
    </row>
    <row r="6880" spans="1:7">
      <c r="A6880" t="s">
        <v>1297</v>
      </c>
      <c r="B6880" t="s">
        <v>1298</v>
      </c>
      <c r="C6880" t="s">
        <v>668</v>
      </c>
      <c r="D6880" t="s">
        <v>1378</v>
      </c>
      <c r="E6880" t="s">
        <v>187</v>
      </c>
      <c r="F6880">
        <v>2012</v>
      </c>
      <c r="G6880">
        <v>7.5995999999999997</v>
      </c>
    </row>
    <row r="6881" spans="1:7">
      <c r="A6881" t="s">
        <v>1297</v>
      </c>
      <c r="B6881" t="s">
        <v>1298</v>
      </c>
      <c r="C6881" t="s">
        <v>668</v>
      </c>
      <c r="D6881" t="s">
        <v>1378</v>
      </c>
      <c r="E6881" t="s">
        <v>187</v>
      </c>
      <c r="F6881">
        <v>2016</v>
      </c>
      <c r="G6881">
        <v>4.5053599999999996</v>
      </c>
    </row>
    <row r="6882" spans="1:7">
      <c r="A6882" t="s">
        <v>1297</v>
      </c>
      <c r="B6882" t="s">
        <v>1298</v>
      </c>
      <c r="C6882" t="s">
        <v>668</v>
      </c>
      <c r="D6882" t="s">
        <v>1378</v>
      </c>
      <c r="E6882" t="s">
        <v>187</v>
      </c>
      <c r="F6882">
        <v>2020</v>
      </c>
      <c r="G6882">
        <v>4.0748199999999999</v>
      </c>
    </row>
    <row r="6883" spans="1:7">
      <c r="A6883" t="s">
        <v>1297</v>
      </c>
      <c r="B6883" t="s">
        <v>1298</v>
      </c>
      <c r="C6883" t="s">
        <v>686</v>
      </c>
      <c r="D6883" t="s">
        <v>1378</v>
      </c>
      <c r="E6883" t="s">
        <v>187</v>
      </c>
      <c r="F6883">
        <v>2005</v>
      </c>
      <c r="G6883">
        <v>32.249699999999997</v>
      </c>
    </row>
    <row r="6884" spans="1:7">
      <c r="A6884" t="s">
        <v>1297</v>
      </c>
      <c r="B6884" t="s">
        <v>1298</v>
      </c>
      <c r="C6884" t="s">
        <v>686</v>
      </c>
      <c r="D6884" t="s">
        <v>1378</v>
      </c>
      <c r="E6884" t="s">
        <v>187</v>
      </c>
      <c r="F6884">
        <v>2010</v>
      </c>
      <c r="G6884">
        <v>25.563600000000001</v>
      </c>
    </row>
    <row r="6885" spans="1:7">
      <c r="A6885" t="s">
        <v>1297</v>
      </c>
      <c r="B6885" t="s">
        <v>1298</v>
      </c>
      <c r="C6885" t="s">
        <v>686</v>
      </c>
      <c r="D6885" t="s">
        <v>1378</v>
      </c>
      <c r="E6885" t="s">
        <v>187</v>
      </c>
      <c r="F6885">
        <v>2012</v>
      </c>
      <c r="G6885">
        <v>25.3521</v>
      </c>
    </row>
    <row r="6886" spans="1:7">
      <c r="A6886" t="s">
        <v>1297</v>
      </c>
      <c r="B6886" t="s">
        <v>1298</v>
      </c>
      <c r="C6886" t="s">
        <v>686</v>
      </c>
      <c r="D6886" t="s">
        <v>1378</v>
      </c>
      <c r="E6886" t="s">
        <v>187</v>
      </c>
      <c r="F6886">
        <v>2016</v>
      </c>
      <c r="G6886">
        <v>18.3384</v>
      </c>
    </row>
    <row r="6887" spans="1:7">
      <c r="A6887" t="s">
        <v>1297</v>
      </c>
      <c r="B6887" t="s">
        <v>1298</v>
      </c>
      <c r="C6887" t="s">
        <v>686</v>
      </c>
      <c r="D6887" t="s">
        <v>1378</v>
      </c>
      <c r="E6887" t="s">
        <v>187</v>
      </c>
      <c r="F6887">
        <v>2020</v>
      </c>
      <c r="G6887">
        <v>20.742069999999998</v>
      </c>
    </row>
    <row r="6888" spans="1:7">
      <c r="A6888" t="s">
        <v>1297</v>
      </c>
      <c r="B6888" t="s">
        <v>1298</v>
      </c>
      <c r="C6888" t="s">
        <v>1301</v>
      </c>
      <c r="D6888" t="s">
        <v>1378</v>
      </c>
      <c r="E6888" t="s">
        <v>187</v>
      </c>
      <c r="F6888">
        <v>2005</v>
      </c>
      <c r="G6888">
        <v>113.3982</v>
      </c>
    </row>
    <row r="6889" spans="1:7">
      <c r="A6889" t="s">
        <v>1297</v>
      </c>
      <c r="B6889" t="s">
        <v>1298</v>
      </c>
      <c r="C6889" t="s">
        <v>1301</v>
      </c>
      <c r="D6889" t="s">
        <v>1378</v>
      </c>
      <c r="E6889" t="s">
        <v>187</v>
      </c>
      <c r="F6889">
        <v>2010</v>
      </c>
      <c r="G6889">
        <v>264.21570000000003</v>
      </c>
    </row>
    <row r="6890" spans="1:7">
      <c r="A6890" t="s">
        <v>1297</v>
      </c>
      <c r="B6890" t="s">
        <v>1298</v>
      </c>
      <c r="C6890" t="s">
        <v>1301</v>
      </c>
      <c r="D6890" t="s">
        <v>1378</v>
      </c>
      <c r="E6890" t="s">
        <v>187</v>
      </c>
      <c r="F6890">
        <v>2012</v>
      </c>
      <c r="G6890">
        <v>334.80720000000002</v>
      </c>
    </row>
    <row r="6891" spans="1:7">
      <c r="A6891" t="s">
        <v>1297</v>
      </c>
      <c r="B6891" t="s">
        <v>1298</v>
      </c>
      <c r="C6891" t="s">
        <v>1301</v>
      </c>
      <c r="D6891" t="s">
        <v>1378</v>
      </c>
      <c r="E6891" t="s">
        <v>187</v>
      </c>
      <c r="F6891">
        <v>2016</v>
      </c>
      <c r="G6891">
        <v>358.5213</v>
      </c>
    </row>
    <row r="6892" spans="1:7">
      <c r="A6892" t="s">
        <v>1297</v>
      </c>
      <c r="B6892" t="s">
        <v>1298</v>
      </c>
      <c r="C6892" t="s">
        <v>1301</v>
      </c>
      <c r="D6892" t="s">
        <v>1378</v>
      </c>
      <c r="E6892" t="s">
        <v>187</v>
      </c>
      <c r="F6892">
        <v>2020</v>
      </c>
      <c r="G6892">
        <v>386.267809</v>
      </c>
    </row>
    <row r="6893" spans="1:7">
      <c r="A6893" t="s">
        <v>1297</v>
      </c>
      <c r="B6893" t="s">
        <v>1298</v>
      </c>
      <c r="C6893" t="s">
        <v>674</v>
      </c>
      <c r="D6893" t="s">
        <v>1378</v>
      </c>
      <c r="E6893" t="s">
        <v>187</v>
      </c>
      <c r="F6893">
        <v>2005</v>
      </c>
      <c r="G6893">
        <v>14.168699999999999</v>
      </c>
    </row>
    <row r="6894" spans="1:7">
      <c r="A6894" t="s">
        <v>1297</v>
      </c>
      <c r="B6894" t="s">
        <v>1298</v>
      </c>
      <c r="C6894" t="s">
        <v>674</v>
      </c>
      <c r="D6894" t="s">
        <v>1378</v>
      </c>
      <c r="E6894" t="s">
        <v>187</v>
      </c>
      <c r="F6894">
        <v>2010</v>
      </c>
      <c r="G6894">
        <v>13.511699999999999</v>
      </c>
    </row>
    <row r="6895" spans="1:7">
      <c r="A6895" t="s">
        <v>1297</v>
      </c>
      <c r="B6895" t="s">
        <v>1298</v>
      </c>
      <c r="C6895" t="s">
        <v>674</v>
      </c>
      <c r="D6895" t="s">
        <v>1378</v>
      </c>
      <c r="E6895" t="s">
        <v>187</v>
      </c>
      <c r="F6895">
        <v>2012</v>
      </c>
      <c r="G6895">
        <v>14.6808</v>
      </c>
    </row>
    <row r="6896" spans="1:7">
      <c r="A6896" t="s">
        <v>1297</v>
      </c>
      <c r="B6896" t="s">
        <v>1298</v>
      </c>
      <c r="C6896" t="s">
        <v>674</v>
      </c>
      <c r="D6896" t="s">
        <v>1378</v>
      </c>
      <c r="E6896" t="s">
        <v>187</v>
      </c>
      <c r="F6896">
        <v>2016</v>
      </c>
      <c r="G6896">
        <v>12.132901</v>
      </c>
    </row>
    <row r="6897" spans="1:7">
      <c r="A6897" t="s">
        <v>1297</v>
      </c>
      <c r="B6897" t="s">
        <v>1298</v>
      </c>
      <c r="C6897" t="s">
        <v>674</v>
      </c>
      <c r="D6897" t="s">
        <v>1378</v>
      </c>
      <c r="E6897" t="s">
        <v>187</v>
      </c>
      <c r="F6897">
        <v>2020</v>
      </c>
      <c r="G6897">
        <v>14.211012</v>
      </c>
    </row>
    <row r="6898" spans="1:7">
      <c r="A6898" t="s">
        <v>1297</v>
      </c>
      <c r="B6898" t="s">
        <v>1298</v>
      </c>
      <c r="C6898" t="s">
        <v>659</v>
      </c>
      <c r="D6898" t="s">
        <v>1378</v>
      </c>
      <c r="E6898" t="s">
        <v>187</v>
      </c>
      <c r="F6898">
        <v>2005</v>
      </c>
      <c r="G6898">
        <v>556.26109599999995</v>
      </c>
    </row>
    <row r="6899" spans="1:7">
      <c r="A6899" t="s">
        <v>1297</v>
      </c>
      <c r="B6899" t="s">
        <v>1298</v>
      </c>
      <c r="C6899" t="s">
        <v>674</v>
      </c>
      <c r="D6899" t="s">
        <v>1379</v>
      </c>
      <c r="E6899" t="s">
        <v>187</v>
      </c>
      <c r="F6899">
        <v>2020</v>
      </c>
      <c r="G6899">
        <v>14.181455</v>
      </c>
    </row>
    <row r="6900" spans="1:7">
      <c r="A6900" t="s">
        <v>1297</v>
      </c>
      <c r="B6900" t="s">
        <v>1298</v>
      </c>
      <c r="C6900" t="s">
        <v>671</v>
      </c>
      <c r="D6900" t="s">
        <v>1379</v>
      </c>
      <c r="E6900" t="s">
        <v>187</v>
      </c>
      <c r="F6900">
        <v>2020</v>
      </c>
      <c r="G6900">
        <v>78.335918000000007</v>
      </c>
    </row>
    <row r="6901" spans="1:7">
      <c r="A6901" t="s">
        <v>1297</v>
      </c>
      <c r="B6901" t="s">
        <v>1298</v>
      </c>
      <c r="C6901" t="s">
        <v>670</v>
      </c>
      <c r="D6901" t="s">
        <v>1379</v>
      </c>
      <c r="E6901" t="s">
        <v>187</v>
      </c>
      <c r="F6901">
        <v>2005</v>
      </c>
      <c r="G6901">
        <v>94.350285999999997</v>
      </c>
    </row>
    <row r="6902" spans="1:7">
      <c r="A6902" t="s">
        <v>1297</v>
      </c>
      <c r="B6902" t="s">
        <v>1298</v>
      </c>
      <c r="C6902" t="s">
        <v>670</v>
      </c>
      <c r="D6902" t="s">
        <v>1379</v>
      </c>
      <c r="E6902" t="s">
        <v>187</v>
      </c>
      <c r="F6902">
        <v>2010</v>
      </c>
      <c r="G6902">
        <v>130.81186400000001</v>
      </c>
    </row>
    <row r="6903" spans="1:7">
      <c r="A6903" t="s">
        <v>1297</v>
      </c>
      <c r="B6903" t="s">
        <v>1298</v>
      </c>
      <c r="C6903" t="s">
        <v>670</v>
      </c>
      <c r="D6903" t="s">
        <v>1379</v>
      </c>
      <c r="E6903" t="s">
        <v>187</v>
      </c>
      <c r="F6903">
        <v>2012</v>
      </c>
      <c r="G6903">
        <v>128.36027200000001</v>
      </c>
    </row>
    <row r="6904" spans="1:7">
      <c r="A6904" t="s">
        <v>1297</v>
      </c>
      <c r="B6904" t="s">
        <v>1298</v>
      </c>
      <c r="C6904" t="s">
        <v>670</v>
      </c>
      <c r="D6904" t="s">
        <v>1379</v>
      </c>
      <c r="E6904" t="s">
        <v>187</v>
      </c>
      <c r="F6904">
        <v>2016</v>
      </c>
      <c r="G6904">
        <v>95.500297000000003</v>
      </c>
    </row>
    <row r="6905" spans="1:7">
      <c r="A6905" t="s">
        <v>1297</v>
      </c>
      <c r="B6905" t="s">
        <v>1298</v>
      </c>
      <c r="C6905" t="s">
        <v>670</v>
      </c>
      <c r="D6905" t="s">
        <v>1379</v>
      </c>
      <c r="E6905" t="s">
        <v>187</v>
      </c>
      <c r="F6905">
        <v>2020</v>
      </c>
      <c r="G6905">
        <v>110.323745</v>
      </c>
    </row>
    <row r="6906" spans="1:7">
      <c r="A6906" t="s">
        <v>1297</v>
      </c>
      <c r="B6906" t="s">
        <v>1298</v>
      </c>
      <c r="C6906" t="s">
        <v>1299</v>
      </c>
      <c r="D6906" t="s">
        <v>1379</v>
      </c>
      <c r="E6906" t="s">
        <v>187</v>
      </c>
      <c r="F6906">
        <v>2005</v>
      </c>
      <c r="G6906">
        <v>229.2876</v>
      </c>
    </row>
    <row r="6907" spans="1:7">
      <c r="A6907" t="s">
        <v>1297</v>
      </c>
      <c r="B6907" t="s">
        <v>1298</v>
      </c>
      <c r="C6907" t="s">
        <v>1299</v>
      </c>
      <c r="D6907" t="s">
        <v>1379</v>
      </c>
      <c r="E6907" t="s">
        <v>187</v>
      </c>
      <c r="F6907">
        <v>2010</v>
      </c>
      <c r="G6907">
        <v>172.2294</v>
      </c>
    </row>
    <row r="6908" spans="1:7">
      <c r="A6908" t="s">
        <v>1297</v>
      </c>
      <c r="B6908" t="s">
        <v>1298</v>
      </c>
      <c r="C6908" t="s">
        <v>1299</v>
      </c>
      <c r="D6908" t="s">
        <v>1379</v>
      </c>
      <c r="E6908" t="s">
        <v>187</v>
      </c>
      <c r="F6908">
        <v>2012</v>
      </c>
      <c r="G6908">
        <v>205.5393</v>
      </c>
    </row>
    <row r="6909" spans="1:7">
      <c r="A6909" t="s">
        <v>1297</v>
      </c>
      <c r="B6909" t="s">
        <v>1298</v>
      </c>
      <c r="C6909" t="s">
        <v>1299</v>
      </c>
      <c r="D6909" t="s">
        <v>1379</v>
      </c>
      <c r="E6909" t="s">
        <v>187</v>
      </c>
      <c r="F6909">
        <v>2016</v>
      </c>
      <c r="G6909">
        <v>74.675700000000006</v>
      </c>
    </row>
    <row r="6910" spans="1:7">
      <c r="A6910" t="s">
        <v>1297</v>
      </c>
      <c r="B6910" t="s">
        <v>1298</v>
      </c>
      <c r="C6910" t="s">
        <v>1299</v>
      </c>
      <c r="D6910" t="s">
        <v>1379</v>
      </c>
      <c r="E6910" t="s">
        <v>187</v>
      </c>
      <c r="F6910">
        <v>2020</v>
      </c>
      <c r="G6910">
        <v>62.168298</v>
      </c>
    </row>
    <row r="6911" spans="1:7">
      <c r="A6911" t="s">
        <v>1297</v>
      </c>
      <c r="B6911" t="s">
        <v>1298</v>
      </c>
      <c r="C6911" t="s">
        <v>676</v>
      </c>
      <c r="D6911" t="s">
        <v>1379</v>
      </c>
      <c r="E6911" t="s">
        <v>187</v>
      </c>
      <c r="F6911">
        <v>2005</v>
      </c>
      <c r="G6911">
        <v>16.137</v>
      </c>
    </row>
    <row r="6912" spans="1:7">
      <c r="A6912" t="s">
        <v>1297</v>
      </c>
      <c r="B6912" t="s">
        <v>1298</v>
      </c>
      <c r="C6912" t="s">
        <v>676</v>
      </c>
      <c r="D6912" t="s">
        <v>1379</v>
      </c>
      <c r="E6912" t="s">
        <v>187</v>
      </c>
      <c r="F6912">
        <v>2010</v>
      </c>
      <c r="G6912">
        <v>8.7984000000000009</v>
      </c>
    </row>
    <row r="6913" spans="1:7">
      <c r="A6913" t="s">
        <v>1297</v>
      </c>
      <c r="B6913" t="s">
        <v>1298</v>
      </c>
      <c r="C6913" t="s">
        <v>676</v>
      </c>
      <c r="D6913" t="s">
        <v>1379</v>
      </c>
      <c r="E6913" t="s">
        <v>187</v>
      </c>
      <c r="F6913">
        <v>2012</v>
      </c>
      <c r="G6913">
        <v>13.392899999999999</v>
      </c>
    </row>
    <row r="6914" spans="1:7">
      <c r="A6914" t="s">
        <v>1297</v>
      </c>
      <c r="B6914" t="s">
        <v>1298</v>
      </c>
      <c r="C6914" t="s">
        <v>676</v>
      </c>
      <c r="D6914" t="s">
        <v>1379</v>
      </c>
      <c r="E6914" t="s">
        <v>187</v>
      </c>
      <c r="F6914">
        <v>2016</v>
      </c>
      <c r="G6914">
        <v>14.3352</v>
      </c>
    </row>
    <row r="6915" spans="1:7">
      <c r="A6915" t="s">
        <v>1297</v>
      </c>
      <c r="B6915" t="s">
        <v>1298</v>
      </c>
      <c r="C6915" t="s">
        <v>676</v>
      </c>
      <c r="D6915" t="s">
        <v>1379</v>
      </c>
      <c r="E6915" t="s">
        <v>187</v>
      </c>
      <c r="F6915">
        <v>2020</v>
      </c>
      <c r="G6915">
        <v>15.186731</v>
      </c>
    </row>
    <row r="6916" spans="1:7">
      <c r="A6916" t="s">
        <v>1297</v>
      </c>
      <c r="B6916" t="s">
        <v>1298</v>
      </c>
      <c r="C6916" t="s">
        <v>666</v>
      </c>
      <c r="D6916" t="s">
        <v>1379</v>
      </c>
      <c r="E6916" t="s">
        <v>187</v>
      </c>
      <c r="F6916">
        <v>2005</v>
      </c>
      <c r="G6916">
        <v>21.3354</v>
      </c>
    </row>
    <row r="6917" spans="1:7">
      <c r="A6917" t="s">
        <v>1297</v>
      </c>
      <c r="B6917" t="s">
        <v>1298</v>
      </c>
      <c r="C6917" t="s">
        <v>666</v>
      </c>
      <c r="D6917" t="s">
        <v>1379</v>
      </c>
      <c r="E6917" t="s">
        <v>187</v>
      </c>
      <c r="F6917">
        <v>2010</v>
      </c>
      <c r="G6917">
        <v>20.139299999999999</v>
      </c>
    </row>
    <row r="6918" spans="1:7">
      <c r="A6918" t="s">
        <v>1297</v>
      </c>
      <c r="B6918" t="s">
        <v>1298</v>
      </c>
      <c r="C6918" t="s">
        <v>666</v>
      </c>
      <c r="D6918" t="s">
        <v>1379</v>
      </c>
      <c r="E6918" t="s">
        <v>187</v>
      </c>
      <c r="F6918">
        <v>2012</v>
      </c>
      <c r="G6918">
        <v>41.841900000000003</v>
      </c>
    </row>
    <row r="6919" spans="1:7">
      <c r="A6919" t="s">
        <v>1297</v>
      </c>
      <c r="B6919" t="s">
        <v>1298</v>
      </c>
      <c r="C6919" t="s">
        <v>666</v>
      </c>
      <c r="D6919" t="s">
        <v>1379</v>
      </c>
      <c r="E6919" t="s">
        <v>187</v>
      </c>
      <c r="F6919">
        <v>2016</v>
      </c>
      <c r="G6919">
        <v>35.1999</v>
      </c>
    </row>
    <row r="6920" spans="1:7">
      <c r="A6920" t="s">
        <v>1297</v>
      </c>
      <c r="B6920" t="s">
        <v>1298</v>
      </c>
      <c r="C6920" t="s">
        <v>666</v>
      </c>
      <c r="D6920" t="s">
        <v>1379</v>
      </c>
      <c r="E6920" t="s">
        <v>187</v>
      </c>
      <c r="F6920">
        <v>2020</v>
      </c>
      <c r="G6920">
        <v>40.136285000000001</v>
      </c>
    </row>
    <row r="6921" spans="1:7">
      <c r="A6921" t="s">
        <v>1297</v>
      </c>
      <c r="B6921" t="s">
        <v>1298</v>
      </c>
      <c r="C6921" t="s">
        <v>653</v>
      </c>
      <c r="D6921" t="s">
        <v>1379</v>
      </c>
      <c r="E6921" t="s">
        <v>187</v>
      </c>
      <c r="F6921">
        <v>2005</v>
      </c>
      <c r="G6921">
        <v>12.998699999999999</v>
      </c>
    </row>
    <row r="6922" spans="1:7">
      <c r="A6922" t="s">
        <v>1297</v>
      </c>
      <c r="B6922" t="s">
        <v>1298</v>
      </c>
      <c r="C6922" t="s">
        <v>653</v>
      </c>
      <c r="D6922" t="s">
        <v>1379</v>
      </c>
      <c r="E6922" t="s">
        <v>187</v>
      </c>
      <c r="F6922">
        <v>2010</v>
      </c>
      <c r="G6922">
        <v>8.0496940000000006</v>
      </c>
    </row>
    <row r="6923" spans="1:7">
      <c r="A6923" t="s">
        <v>1297</v>
      </c>
      <c r="B6923" t="s">
        <v>1298</v>
      </c>
      <c r="C6923" t="s">
        <v>653</v>
      </c>
      <c r="D6923" t="s">
        <v>1379</v>
      </c>
      <c r="E6923" t="s">
        <v>187</v>
      </c>
      <c r="F6923">
        <v>2012</v>
      </c>
      <c r="G6923">
        <v>7.7112220000000002</v>
      </c>
    </row>
    <row r="6924" spans="1:7">
      <c r="A6924" t="s">
        <v>1297</v>
      </c>
      <c r="B6924" t="s">
        <v>1298</v>
      </c>
      <c r="C6924" t="s">
        <v>653</v>
      </c>
      <c r="D6924" t="s">
        <v>1379</v>
      </c>
      <c r="E6924" t="s">
        <v>187</v>
      </c>
      <c r="F6924">
        <v>2016</v>
      </c>
      <c r="G6924">
        <v>12.057266</v>
      </c>
    </row>
    <row r="6925" spans="1:7">
      <c r="A6925" t="s">
        <v>1297</v>
      </c>
      <c r="B6925" t="s">
        <v>1298</v>
      </c>
      <c r="C6925" t="s">
        <v>653</v>
      </c>
      <c r="D6925" t="s">
        <v>1379</v>
      </c>
      <c r="E6925" t="s">
        <v>187</v>
      </c>
      <c r="F6925">
        <v>2020</v>
      </c>
      <c r="G6925">
        <v>6.3231029999999997</v>
      </c>
    </row>
    <row r="6926" spans="1:7">
      <c r="A6926" t="s">
        <v>1297</v>
      </c>
      <c r="B6926" t="s">
        <v>1298</v>
      </c>
      <c r="C6926" t="s">
        <v>679</v>
      </c>
      <c r="D6926" t="s">
        <v>1379</v>
      </c>
      <c r="E6926" t="s">
        <v>187</v>
      </c>
      <c r="F6926">
        <v>2005</v>
      </c>
      <c r="G6926">
        <v>21.772081</v>
      </c>
    </row>
    <row r="6927" spans="1:7">
      <c r="A6927" t="s">
        <v>1297</v>
      </c>
      <c r="B6927" t="s">
        <v>1298</v>
      </c>
      <c r="C6927" t="s">
        <v>679</v>
      </c>
      <c r="D6927" t="s">
        <v>1379</v>
      </c>
      <c r="E6927" t="s">
        <v>187</v>
      </c>
      <c r="F6927">
        <v>2010</v>
      </c>
      <c r="G6927">
        <v>19.436657</v>
      </c>
    </row>
    <row r="6928" spans="1:7">
      <c r="A6928" t="s">
        <v>1297</v>
      </c>
      <c r="B6928" t="s">
        <v>1298</v>
      </c>
      <c r="C6928" t="s">
        <v>679</v>
      </c>
      <c r="D6928" t="s">
        <v>1379</v>
      </c>
      <c r="E6928" t="s">
        <v>187</v>
      </c>
      <c r="F6928">
        <v>2012</v>
      </c>
      <c r="G6928">
        <v>18.219038999999999</v>
      </c>
    </row>
    <row r="6929" spans="1:7">
      <c r="A6929" t="s">
        <v>1297</v>
      </c>
      <c r="B6929" t="s">
        <v>1298</v>
      </c>
      <c r="C6929" t="s">
        <v>679</v>
      </c>
      <c r="D6929" t="s">
        <v>1379</v>
      </c>
      <c r="E6929" t="s">
        <v>187</v>
      </c>
      <c r="F6929">
        <v>2016</v>
      </c>
      <c r="G6929">
        <v>18.833767999999999</v>
      </c>
    </row>
    <row r="6930" spans="1:7">
      <c r="A6930" t="s">
        <v>1297</v>
      </c>
      <c r="B6930" t="s">
        <v>1298</v>
      </c>
      <c r="C6930" t="s">
        <v>679</v>
      </c>
      <c r="D6930" t="s">
        <v>1379</v>
      </c>
      <c r="E6930" t="s">
        <v>187</v>
      </c>
      <c r="F6930">
        <v>2020</v>
      </c>
      <c r="G6930">
        <v>21.828849999999999</v>
      </c>
    </row>
    <row r="6931" spans="1:7">
      <c r="A6931" t="s">
        <v>1297</v>
      </c>
      <c r="B6931" t="s">
        <v>1298</v>
      </c>
      <c r="C6931" t="s">
        <v>652</v>
      </c>
      <c r="D6931" t="s">
        <v>1379</v>
      </c>
      <c r="E6931" t="s">
        <v>187</v>
      </c>
      <c r="F6931">
        <v>2005</v>
      </c>
      <c r="G6931">
        <v>39.008813000000004</v>
      </c>
    </row>
    <row r="6932" spans="1:7">
      <c r="A6932" t="s">
        <v>1297</v>
      </c>
      <c r="B6932" t="s">
        <v>1298</v>
      </c>
      <c r="C6932" t="s">
        <v>652</v>
      </c>
      <c r="D6932" t="s">
        <v>1379</v>
      </c>
      <c r="E6932" t="s">
        <v>187</v>
      </c>
      <c r="F6932">
        <v>2010</v>
      </c>
      <c r="G6932">
        <v>41.132100000000001</v>
      </c>
    </row>
    <row r="6933" spans="1:7">
      <c r="A6933" t="s">
        <v>1297</v>
      </c>
      <c r="B6933" t="s">
        <v>1298</v>
      </c>
      <c r="C6933" t="s">
        <v>652</v>
      </c>
      <c r="D6933" t="s">
        <v>1379</v>
      </c>
      <c r="E6933" t="s">
        <v>187</v>
      </c>
      <c r="F6933">
        <v>2012</v>
      </c>
      <c r="G6933">
        <v>37.433535999999997</v>
      </c>
    </row>
    <row r="6934" spans="1:7">
      <c r="A6934" t="s">
        <v>1297</v>
      </c>
      <c r="B6934" t="s">
        <v>1298</v>
      </c>
      <c r="C6934" t="s">
        <v>652</v>
      </c>
      <c r="D6934" t="s">
        <v>1379</v>
      </c>
      <c r="E6934" t="s">
        <v>187</v>
      </c>
      <c r="F6934">
        <v>2016</v>
      </c>
      <c r="G6934">
        <v>39.196440000000003</v>
      </c>
    </row>
    <row r="6935" spans="1:7">
      <c r="A6935" t="s">
        <v>1297</v>
      </c>
      <c r="B6935" t="s">
        <v>1298</v>
      </c>
      <c r="C6935" t="s">
        <v>652</v>
      </c>
      <c r="D6935" t="s">
        <v>1379</v>
      </c>
      <c r="E6935" t="s">
        <v>187</v>
      </c>
      <c r="F6935">
        <v>2020</v>
      </c>
      <c r="G6935">
        <v>42.507539999999999</v>
      </c>
    </row>
    <row r="6936" spans="1:7">
      <c r="A6936" t="s">
        <v>1297</v>
      </c>
      <c r="B6936" t="s">
        <v>1298</v>
      </c>
      <c r="C6936" t="s">
        <v>671</v>
      </c>
      <c r="D6936" t="s">
        <v>1379</v>
      </c>
      <c r="E6936" t="s">
        <v>187</v>
      </c>
      <c r="F6936">
        <v>2005</v>
      </c>
      <c r="G6936">
        <v>84.459599999999995</v>
      </c>
    </row>
    <row r="6937" spans="1:7">
      <c r="A6937" t="s">
        <v>1297</v>
      </c>
      <c r="B6937" t="s">
        <v>1298</v>
      </c>
      <c r="C6937" t="s">
        <v>671</v>
      </c>
      <c r="D6937" t="s">
        <v>1379</v>
      </c>
      <c r="E6937" t="s">
        <v>187</v>
      </c>
      <c r="F6937">
        <v>2010</v>
      </c>
      <c r="G6937">
        <v>69.561000000000007</v>
      </c>
    </row>
    <row r="6938" spans="1:7">
      <c r="A6938" t="s">
        <v>1297</v>
      </c>
      <c r="B6938" t="s">
        <v>1298</v>
      </c>
      <c r="C6938" t="s">
        <v>671</v>
      </c>
      <c r="D6938" t="s">
        <v>1379</v>
      </c>
      <c r="E6938" t="s">
        <v>187</v>
      </c>
      <c r="F6938">
        <v>2012</v>
      </c>
      <c r="G6938">
        <v>84.005099999999999</v>
      </c>
    </row>
    <row r="6939" spans="1:7">
      <c r="A6939" t="s">
        <v>1297</v>
      </c>
      <c r="B6939" t="s">
        <v>1298</v>
      </c>
      <c r="C6939" t="s">
        <v>671</v>
      </c>
      <c r="D6939" t="s">
        <v>1379</v>
      </c>
      <c r="E6939" t="s">
        <v>187</v>
      </c>
      <c r="F6939">
        <v>2016</v>
      </c>
      <c r="G6939">
        <v>88.272000000000006</v>
      </c>
    </row>
    <row r="6940" spans="1:7">
      <c r="A6940" t="s">
        <v>1297</v>
      </c>
      <c r="B6940" t="s">
        <v>1298</v>
      </c>
      <c r="C6940" t="s">
        <v>665</v>
      </c>
      <c r="D6940" t="s">
        <v>1379</v>
      </c>
      <c r="E6940" t="s">
        <v>187</v>
      </c>
      <c r="F6940">
        <v>2005</v>
      </c>
      <c r="G6940">
        <v>41.5593</v>
      </c>
    </row>
    <row r="6941" spans="1:7">
      <c r="A6941" t="s">
        <v>1297</v>
      </c>
      <c r="B6941" t="s">
        <v>1298</v>
      </c>
      <c r="C6941" t="s">
        <v>665</v>
      </c>
      <c r="D6941" t="s">
        <v>1379</v>
      </c>
      <c r="E6941" t="s">
        <v>187</v>
      </c>
      <c r="F6941">
        <v>2010</v>
      </c>
      <c r="G6941">
        <v>23.6934</v>
      </c>
    </row>
    <row r="6942" spans="1:7">
      <c r="A6942" t="s">
        <v>1297</v>
      </c>
      <c r="B6942" t="s">
        <v>1298</v>
      </c>
      <c r="C6942" t="s">
        <v>665</v>
      </c>
      <c r="D6942" t="s">
        <v>1379</v>
      </c>
      <c r="E6942" t="s">
        <v>187</v>
      </c>
      <c r="F6942">
        <v>2012</v>
      </c>
      <c r="G6942">
        <v>15.525</v>
      </c>
    </row>
    <row r="6943" spans="1:7">
      <c r="A6943" t="s">
        <v>1297</v>
      </c>
      <c r="B6943" t="s">
        <v>1298</v>
      </c>
      <c r="C6943" t="s">
        <v>665</v>
      </c>
      <c r="D6943" t="s">
        <v>1379</v>
      </c>
      <c r="E6943" t="s">
        <v>187</v>
      </c>
      <c r="F6943">
        <v>2016</v>
      </c>
      <c r="G6943">
        <v>27.322199999999999</v>
      </c>
    </row>
    <row r="6944" spans="1:7">
      <c r="A6944" t="s">
        <v>1297</v>
      </c>
      <c r="B6944" t="s">
        <v>1298</v>
      </c>
      <c r="C6944" t="s">
        <v>665</v>
      </c>
      <c r="D6944" t="s">
        <v>1379</v>
      </c>
      <c r="E6944" t="s">
        <v>187</v>
      </c>
      <c r="F6944">
        <v>2020</v>
      </c>
      <c r="G6944">
        <v>26.917649999999998</v>
      </c>
    </row>
    <row r="6945" spans="1:7">
      <c r="A6945" t="s">
        <v>1297</v>
      </c>
      <c r="B6945" t="s">
        <v>1298</v>
      </c>
      <c r="C6945" t="s">
        <v>659</v>
      </c>
      <c r="D6945" t="s">
        <v>1379</v>
      </c>
      <c r="E6945" t="s">
        <v>187</v>
      </c>
      <c r="F6945">
        <v>2005</v>
      </c>
      <c r="G6945">
        <v>20.087834000000001</v>
      </c>
    </row>
    <row r="6946" spans="1:7">
      <c r="A6946" t="s">
        <v>1297</v>
      </c>
      <c r="B6946" t="s">
        <v>1298</v>
      </c>
      <c r="C6946" t="s">
        <v>659</v>
      </c>
      <c r="D6946" t="s">
        <v>1379</v>
      </c>
      <c r="E6946" t="s">
        <v>187</v>
      </c>
      <c r="F6946">
        <v>2010</v>
      </c>
      <c r="G6946">
        <v>19.687446000000001</v>
      </c>
    </row>
    <row r="6947" spans="1:7">
      <c r="A6947" t="s">
        <v>1297</v>
      </c>
      <c r="B6947" t="s">
        <v>1298</v>
      </c>
      <c r="C6947" t="s">
        <v>659</v>
      </c>
      <c r="D6947" t="s">
        <v>1379</v>
      </c>
      <c r="E6947" t="s">
        <v>187</v>
      </c>
      <c r="F6947">
        <v>2012</v>
      </c>
      <c r="G6947">
        <v>14.846563</v>
      </c>
    </row>
    <row r="6948" spans="1:7">
      <c r="A6948" t="s">
        <v>1297</v>
      </c>
      <c r="B6948" t="s">
        <v>1298</v>
      </c>
      <c r="C6948" t="s">
        <v>659</v>
      </c>
      <c r="D6948" t="s">
        <v>1379</v>
      </c>
      <c r="E6948" t="s">
        <v>187</v>
      </c>
      <c r="F6948">
        <v>2016</v>
      </c>
      <c r="G6948">
        <v>18.633752999999999</v>
      </c>
    </row>
    <row r="6949" spans="1:7">
      <c r="A6949" t="s">
        <v>1297</v>
      </c>
      <c r="B6949" t="s">
        <v>1298</v>
      </c>
      <c r="C6949" t="s">
        <v>659</v>
      </c>
      <c r="D6949" t="s">
        <v>1379</v>
      </c>
      <c r="E6949" t="s">
        <v>187</v>
      </c>
      <c r="F6949">
        <v>2020</v>
      </c>
      <c r="G6949">
        <v>19.519200000000001</v>
      </c>
    </row>
    <row r="6950" spans="1:7">
      <c r="A6950" t="s">
        <v>1297</v>
      </c>
      <c r="B6950" t="s">
        <v>1298</v>
      </c>
      <c r="C6950" t="s">
        <v>674</v>
      </c>
      <c r="D6950" t="s">
        <v>1379</v>
      </c>
      <c r="E6950" t="s">
        <v>187</v>
      </c>
      <c r="F6950">
        <v>2010</v>
      </c>
      <c r="G6950">
        <v>4.4919000000000002</v>
      </c>
    </row>
    <row r="6951" spans="1:7">
      <c r="A6951" t="s">
        <v>1297</v>
      </c>
      <c r="B6951" t="s">
        <v>1298</v>
      </c>
      <c r="C6951" t="s">
        <v>674</v>
      </c>
      <c r="D6951" t="s">
        <v>1379</v>
      </c>
      <c r="E6951" t="s">
        <v>187</v>
      </c>
      <c r="F6951">
        <v>2012</v>
      </c>
      <c r="G6951">
        <v>4.0113000000000003</v>
      </c>
    </row>
    <row r="6952" spans="1:7">
      <c r="A6952" t="s">
        <v>1297</v>
      </c>
      <c r="B6952" t="s">
        <v>1298</v>
      </c>
      <c r="C6952" t="s">
        <v>674</v>
      </c>
      <c r="D6952" t="s">
        <v>1379</v>
      </c>
      <c r="E6952" t="s">
        <v>187</v>
      </c>
      <c r="F6952">
        <v>2016</v>
      </c>
      <c r="G6952">
        <v>3.9996</v>
      </c>
    </row>
    <row r="6953" spans="1:7">
      <c r="A6953" t="s">
        <v>1297</v>
      </c>
      <c r="B6953" t="s">
        <v>1298</v>
      </c>
      <c r="C6953" t="s">
        <v>677</v>
      </c>
      <c r="D6953" t="s">
        <v>1379</v>
      </c>
      <c r="E6953" t="s">
        <v>187</v>
      </c>
      <c r="F6953">
        <v>2010</v>
      </c>
      <c r="G6953">
        <v>26.207100000000001</v>
      </c>
    </row>
    <row r="6954" spans="1:7">
      <c r="A6954" t="s">
        <v>1297</v>
      </c>
      <c r="B6954" t="s">
        <v>1298</v>
      </c>
      <c r="C6954" t="s">
        <v>677</v>
      </c>
      <c r="D6954" t="s">
        <v>1379</v>
      </c>
      <c r="E6954" t="s">
        <v>187</v>
      </c>
      <c r="F6954">
        <v>2012</v>
      </c>
      <c r="G6954">
        <v>18.697500000000002</v>
      </c>
    </row>
    <row r="6955" spans="1:7">
      <c r="A6955" t="s">
        <v>1297</v>
      </c>
      <c r="B6955" t="s">
        <v>1298</v>
      </c>
      <c r="C6955" t="s">
        <v>677</v>
      </c>
      <c r="D6955" t="s">
        <v>1379</v>
      </c>
      <c r="E6955" t="s">
        <v>187</v>
      </c>
      <c r="F6955">
        <v>2016</v>
      </c>
      <c r="G6955">
        <v>16.515042000000001</v>
      </c>
    </row>
    <row r="6956" spans="1:7">
      <c r="A6956" t="s">
        <v>1297</v>
      </c>
      <c r="B6956" t="s">
        <v>1298</v>
      </c>
      <c r="C6956" t="s">
        <v>677</v>
      </c>
      <c r="D6956" t="s">
        <v>1379</v>
      </c>
      <c r="E6956" t="s">
        <v>187</v>
      </c>
      <c r="F6956">
        <v>2020</v>
      </c>
      <c r="G6956">
        <v>15.1074</v>
      </c>
    </row>
    <row r="6957" spans="1:7">
      <c r="A6957" t="s">
        <v>1297</v>
      </c>
      <c r="B6957" t="s">
        <v>1298</v>
      </c>
      <c r="C6957" t="s">
        <v>651</v>
      </c>
      <c r="D6957" t="s">
        <v>1379</v>
      </c>
      <c r="E6957" t="s">
        <v>187</v>
      </c>
      <c r="F6957">
        <v>2005</v>
      </c>
      <c r="G6957">
        <v>13.233320000000001</v>
      </c>
    </row>
    <row r="6958" spans="1:7">
      <c r="A6958" t="s">
        <v>1297</v>
      </c>
      <c r="B6958" t="s">
        <v>1298</v>
      </c>
      <c r="C6958" t="s">
        <v>651</v>
      </c>
      <c r="D6958" t="s">
        <v>1379</v>
      </c>
      <c r="E6958" t="s">
        <v>187</v>
      </c>
      <c r="F6958">
        <v>2010</v>
      </c>
      <c r="G6958">
        <v>15.778618</v>
      </c>
    </row>
    <row r="6959" spans="1:7">
      <c r="A6959" t="s">
        <v>1297</v>
      </c>
      <c r="B6959" t="s">
        <v>1298</v>
      </c>
      <c r="C6959" t="s">
        <v>651</v>
      </c>
      <c r="D6959" t="s">
        <v>1379</v>
      </c>
      <c r="E6959" t="s">
        <v>187</v>
      </c>
      <c r="F6959">
        <v>2012</v>
      </c>
      <c r="G6959">
        <v>13.205631</v>
      </c>
    </row>
    <row r="6960" spans="1:7">
      <c r="A6960" t="s">
        <v>1297</v>
      </c>
      <c r="B6960" t="s">
        <v>1298</v>
      </c>
      <c r="C6960" t="s">
        <v>651</v>
      </c>
      <c r="D6960" t="s">
        <v>1379</v>
      </c>
      <c r="E6960" t="s">
        <v>187</v>
      </c>
      <c r="F6960">
        <v>2016</v>
      </c>
      <c r="G6960">
        <v>14.257713000000001</v>
      </c>
    </row>
    <row r="6961" spans="1:7">
      <c r="A6961" t="s">
        <v>1297</v>
      </c>
      <c r="B6961" t="s">
        <v>1298</v>
      </c>
      <c r="C6961" t="s">
        <v>651</v>
      </c>
      <c r="D6961" t="s">
        <v>1379</v>
      </c>
      <c r="E6961" t="s">
        <v>187</v>
      </c>
      <c r="F6961">
        <v>2020</v>
      </c>
      <c r="G6961">
        <v>14.866412</v>
      </c>
    </row>
    <row r="6962" spans="1:7">
      <c r="A6962" t="s">
        <v>1297</v>
      </c>
      <c r="B6962" t="s">
        <v>1298</v>
      </c>
      <c r="C6962" t="s">
        <v>677</v>
      </c>
      <c r="D6962" t="s">
        <v>1379</v>
      </c>
      <c r="E6962" t="s">
        <v>187</v>
      </c>
      <c r="F6962">
        <v>2005</v>
      </c>
      <c r="G6962">
        <v>25.6374</v>
      </c>
    </row>
    <row r="6963" spans="1:7">
      <c r="A6963" t="s">
        <v>1297</v>
      </c>
      <c r="B6963" t="s">
        <v>1298</v>
      </c>
      <c r="C6963" t="s">
        <v>1303</v>
      </c>
      <c r="D6963" t="s">
        <v>1379</v>
      </c>
      <c r="E6963" t="s">
        <v>187</v>
      </c>
      <c r="F6963">
        <v>2016</v>
      </c>
      <c r="G6963">
        <v>7.705444</v>
      </c>
    </row>
    <row r="6964" spans="1:7">
      <c r="A6964" t="s">
        <v>1297</v>
      </c>
      <c r="B6964" t="s">
        <v>1298</v>
      </c>
      <c r="C6964" t="s">
        <v>1303</v>
      </c>
      <c r="D6964" t="s">
        <v>1379</v>
      </c>
      <c r="E6964" t="s">
        <v>187</v>
      </c>
      <c r="F6964">
        <v>2020</v>
      </c>
      <c r="G6964">
        <v>10.143565000000001</v>
      </c>
    </row>
    <row r="6965" spans="1:7">
      <c r="A6965" t="s">
        <v>1297</v>
      </c>
      <c r="B6965" t="s">
        <v>1298</v>
      </c>
      <c r="C6965" t="s">
        <v>662</v>
      </c>
      <c r="D6965" t="s">
        <v>1379</v>
      </c>
      <c r="E6965" t="s">
        <v>187</v>
      </c>
      <c r="F6965">
        <v>2005</v>
      </c>
      <c r="G6965">
        <v>5.363162</v>
      </c>
    </row>
    <row r="6966" spans="1:7">
      <c r="A6966" t="s">
        <v>1297</v>
      </c>
      <c r="B6966" t="s">
        <v>1298</v>
      </c>
      <c r="C6966" t="s">
        <v>662</v>
      </c>
      <c r="D6966" t="s">
        <v>1379</v>
      </c>
      <c r="E6966" t="s">
        <v>187</v>
      </c>
      <c r="F6966">
        <v>2010</v>
      </c>
      <c r="G6966">
        <v>14.815631</v>
      </c>
    </row>
    <row r="6967" spans="1:7">
      <c r="A6967" t="s">
        <v>1297</v>
      </c>
      <c r="B6967" t="s">
        <v>1298</v>
      </c>
      <c r="C6967" t="s">
        <v>662</v>
      </c>
      <c r="D6967" t="s">
        <v>1379</v>
      </c>
      <c r="E6967" t="s">
        <v>187</v>
      </c>
      <c r="F6967">
        <v>2012</v>
      </c>
      <c r="G6967">
        <v>15.248570000000001</v>
      </c>
    </row>
    <row r="6968" spans="1:7">
      <c r="A6968" t="s">
        <v>1297</v>
      </c>
      <c r="B6968" t="s">
        <v>1298</v>
      </c>
      <c r="C6968" t="s">
        <v>662</v>
      </c>
      <c r="D6968" t="s">
        <v>1379</v>
      </c>
      <c r="E6968" t="s">
        <v>187</v>
      </c>
      <c r="F6968">
        <v>2016</v>
      </c>
      <c r="G6968">
        <v>6.1280999999999999</v>
      </c>
    </row>
    <row r="6969" spans="1:7">
      <c r="A6969" t="s">
        <v>1297</v>
      </c>
      <c r="B6969" t="s">
        <v>1298</v>
      </c>
      <c r="C6969" t="s">
        <v>662</v>
      </c>
      <c r="D6969" t="s">
        <v>1379</v>
      </c>
      <c r="E6969" t="s">
        <v>187</v>
      </c>
      <c r="F6969">
        <v>2020</v>
      </c>
      <c r="G6969">
        <v>17.915889</v>
      </c>
    </row>
    <row r="6970" spans="1:7">
      <c r="A6970" t="s">
        <v>1297</v>
      </c>
      <c r="B6970" t="s">
        <v>1298</v>
      </c>
      <c r="C6970" t="s">
        <v>675</v>
      </c>
      <c r="D6970" t="s">
        <v>1379</v>
      </c>
      <c r="E6970" t="s">
        <v>187</v>
      </c>
      <c r="F6970">
        <v>2005</v>
      </c>
      <c r="G6970">
        <v>5.2820999999999998</v>
      </c>
    </row>
    <row r="6971" spans="1:7">
      <c r="A6971" t="s">
        <v>1297</v>
      </c>
      <c r="B6971" t="s">
        <v>1298</v>
      </c>
      <c r="C6971" t="s">
        <v>675</v>
      </c>
      <c r="D6971" t="s">
        <v>1379</v>
      </c>
      <c r="E6971" t="s">
        <v>187</v>
      </c>
      <c r="F6971">
        <v>2010</v>
      </c>
      <c r="G6971">
        <v>3.3056999999999999</v>
      </c>
    </row>
    <row r="6972" spans="1:7">
      <c r="A6972" t="s">
        <v>1297</v>
      </c>
      <c r="B6972" t="s">
        <v>1298</v>
      </c>
      <c r="C6972" t="s">
        <v>675</v>
      </c>
      <c r="D6972" t="s">
        <v>1379</v>
      </c>
      <c r="E6972" t="s">
        <v>187</v>
      </c>
      <c r="F6972">
        <v>2012</v>
      </c>
      <c r="G6972">
        <v>0.18090000000000001</v>
      </c>
    </row>
    <row r="6973" spans="1:7">
      <c r="A6973" t="s">
        <v>1297</v>
      </c>
      <c r="B6973" t="s">
        <v>1298</v>
      </c>
      <c r="C6973" t="s">
        <v>675</v>
      </c>
      <c r="D6973" t="s">
        <v>1379</v>
      </c>
      <c r="E6973" t="s">
        <v>187</v>
      </c>
      <c r="F6973">
        <v>2016</v>
      </c>
      <c r="G6973">
        <v>0.2286</v>
      </c>
    </row>
    <row r="6974" spans="1:7">
      <c r="A6974" t="s">
        <v>1297</v>
      </c>
      <c r="B6974" t="s">
        <v>1298</v>
      </c>
      <c r="C6974" t="s">
        <v>675</v>
      </c>
      <c r="D6974" t="s">
        <v>1379</v>
      </c>
      <c r="E6974" t="s">
        <v>187</v>
      </c>
      <c r="F6974">
        <v>2020</v>
      </c>
      <c r="G6974">
        <v>0.23652400000000001</v>
      </c>
    </row>
    <row r="6975" spans="1:7">
      <c r="A6975" t="s">
        <v>1297</v>
      </c>
      <c r="B6975" t="s">
        <v>1298</v>
      </c>
      <c r="C6975" t="s">
        <v>1300</v>
      </c>
      <c r="D6975" t="s">
        <v>1379</v>
      </c>
      <c r="E6975" t="s">
        <v>187</v>
      </c>
      <c r="F6975">
        <v>2010</v>
      </c>
      <c r="G6975">
        <v>9.9000000000000008E-3</v>
      </c>
    </row>
    <row r="6976" spans="1:7">
      <c r="A6976" t="s">
        <v>1297</v>
      </c>
      <c r="B6976" t="s">
        <v>1298</v>
      </c>
      <c r="C6976" t="s">
        <v>658</v>
      </c>
      <c r="D6976" t="s">
        <v>1379</v>
      </c>
      <c r="E6976" t="s">
        <v>187</v>
      </c>
      <c r="F6976">
        <v>2005</v>
      </c>
      <c r="G6976">
        <v>4.9077000000000002</v>
      </c>
    </row>
    <row r="6977" spans="1:7">
      <c r="A6977" t="s">
        <v>1297</v>
      </c>
      <c r="B6977" t="s">
        <v>1298</v>
      </c>
      <c r="C6977" t="s">
        <v>658</v>
      </c>
      <c r="D6977" t="s">
        <v>1379</v>
      </c>
      <c r="E6977" t="s">
        <v>187</v>
      </c>
      <c r="F6977">
        <v>2012</v>
      </c>
      <c r="G6977">
        <v>0.44280000000000003</v>
      </c>
    </row>
    <row r="6978" spans="1:7">
      <c r="A6978" t="s">
        <v>1297</v>
      </c>
      <c r="B6978" t="s">
        <v>1298</v>
      </c>
      <c r="C6978" t="s">
        <v>661</v>
      </c>
      <c r="D6978" t="s">
        <v>1379</v>
      </c>
      <c r="E6978" t="s">
        <v>187</v>
      </c>
      <c r="F6978">
        <v>2005</v>
      </c>
      <c r="G6978">
        <v>50.707241000000003</v>
      </c>
    </row>
    <row r="6979" spans="1:7">
      <c r="A6979" t="s">
        <v>1297</v>
      </c>
      <c r="B6979" t="s">
        <v>1298</v>
      </c>
      <c r="C6979" t="s">
        <v>661</v>
      </c>
      <c r="D6979" t="s">
        <v>1379</v>
      </c>
      <c r="E6979" t="s">
        <v>187</v>
      </c>
      <c r="F6979">
        <v>2010</v>
      </c>
      <c r="G6979">
        <v>41.524774000000001</v>
      </c>
    </row>
    <row r="6980" spans="1:7">
      <c r="A6980" t="s">
        <v>1297</v>
      </c>
      <c r="B6980" t="s">
        <v>1298</v>
      </c>
      <c r="C6980" t="s">
        <v>661</v>
      </c>
      <c r="D6980" t="s">
        <v>1379</v>
      </c>
      <c r="E6980" t="s">
        <v>187</v>
      </c>
      <c r="F6980">
        <v>2012</v>
      </c>
      <c r="G6980">
        <v>42.769922999999999</v>
      </c>
    </row>
    <row r="6981" spans="1:7">
      <c r="A6981" t="s">
        <v>1297</v>
      </c>
      <c r="B6981" t="s">
        <v>1298</v>
      </c>
      <c r="C6981" t="s">
        <v>661</v>
      </c>
      <c r="D6981" t="s">
        <v>1379</v>
      </c>
      <c r="E6981" t="s">
        <v>187</v>
      </c>
      <c r="F6981">
        <v>2016</v>
      </c>
      <c r="G6981">
        <v>49.181052999999999</v>
      </c>
    </row>
    <row r="6982" spans="1:7">
      <c r="A6982" t="s">
        <v>1297</v>
      </c>
      <c r="B6982" t="s">
        <v>1298</v>
      </c>
      <c r="C6982" t="s">
        <v>661</v>
      </c>
      <c r="D6982" t="s">
        <v>1379</v>
      </c>
      <c r="E6982" t="s">
        <v>187</v>
      </c>
      <c r="F6982">
        <v>2020</v>
      </c>
      <c r="G6982">
        <v>49.695171999999999</v>
      </c>
    </row>
    <row r="6983" spans="1:7">
      <c r="A6983" t="s">
        <v>1297</v>
      </c>
      <c r="B6983" t="s">
        <v>1298</v>
      </c>
      <c r="C6983" t="s">
        <v>673</v>
      </c>
      <c r="D6983" t="s">
        <v>1379</v>
      </c>
      <c r="E6983" t="s">
        <v>187</v>
      </c>
      <c r="F6983">
        <v>2005</v>
      </c>
      <c r="G6983">
        <v>44.918999999999997</v>
      </c>
    </row>
    <row r="6984" spans="1:7">
      <c r="A6984" t="s">
        <v>1297</v>
      </c>
      <c r="B6984" t="s">
        <v>1298</v>
      </c>
      <c r="C6984" t="s">
        <v>673</v>
      </c>
      <c r="D6984" t="s">
        <v>1379</v>
      </c>
      <c r="E6984" t="s">
        <v>187</v>
      </c>
      <c r="F6984">
        <v>2010</v>
      </c>
      <c r="G6984">
        <v>31.921199999999999</v>
      </c>
    </row>
    <row r="6985" spans="1:7">
      <c r="A6985" t="s">
        <v>1297</v>
      </c>
      <c r="B6985" t="s">
        <v>1298</v>
      </c>
      <c r="C6985" t="s">
        <v>673</v>
      </c>
      <c r="D6985" t="s">
        <v>1379</v>
      </c>
      <c r="E6985" t="s">
        <v>187</v>
      </c>
      <c r="F6985">
        <v>2012</v>
      </c>
      <c r="G6985">
        <v>38.507399999999997</v>
      </c>
    </row>
    <row r="6986" spans="1:7">
      <c r="A6986" t="s">
        <v>1297</v>
      </c>
      <c r="B6986" t="s">
        <v>1298</v>
      </c>
      <c r="C6986" t="s">
        <v>673</v>
      </c>
      <c r="D6986" t="s">
        <v>1379</v>
      </c>
      <c r="E6986" t="s">
        <v>187</v>
      </c>
      <c r="F6986">
        <v>2016</v>
      </c>
      <c r="G6986">
        <v>11.535299999999999</v>
      </c>
    </row>
    <row r="6987" spans="1:7">
      <c r="A6987" t="s">
        <v>1297</v>
      </c>
      <c r="B6987" t="s">
        <v>1298</v>
      </c>
      <c r="C6987" t="s">
        <v>673</v>
      </c>
      <c r="D6987" t="s">
        <v>1379</v>
      </c>
      <c r="E6987" t="s">
        <v>187</v>
      </c>
      <c r="F6987">
        <v>2020</v>
      </c>
      <c r="G6987">
        <v>16.215792</v>
      </c>
    </row>
    <row r="6988" spans="1:7">
      <c r="A6988" t="s">
        <v>1297</v>
      </c>
      <c r="B6988" t="s">
        <v>1298</v>
      </c>
      <c r="C6988" t="s">
        <v>663</v>
      </c>
      <c r="D6988" t="s">
        <v>1379</v>
      </c>
      <c r="E6988" t="s">
        <v>187</v>
      </c>
      <c r="F6988">
        <v>2005</v>
      </c>
      <c r="G6988">
        <v>15.055199999999999</v>
      </c>
    </row>
    <row r="6989" spans="1:7">
      <c r="A6989" t="s">
        <v>1297</v>
      </c>
      <c r="B6989" t="s">
        <v>1298</v>
      </c>
      <c r="C6989" t="s">
        <v>663</v>
      </c>
      <c r="D6989" t="s">
        <v>1379</v>
      </c>
      <c r="E6989" t="s">
        <v>187</v>
      </c>
      <c r="F6989">
        <v>2010</v>
      </c>
      <c r="G6989">
        <v>15.1488</v>
      </c>
    </row>
    <row r="6990" spans="1:7">
      <c r="A6990" t="s">
        <v>1297</v>
      </c>
      <c r="B6990" t="s">
        <v>1298</v>
      </c>
      <c r="C6990" t="s">
        <v>663</v>
      </c>
      <c r="D6990" t="s">
        <v>1379</v>
      </c>
      <c r="E6990" t="s">
        <v>187</v>
      </c>
      <c r="F6990">
        <v>2012</v>
      </c>
      <c r="G6990">
        <v>18.9999</v>
      </c>
    </row>
    <row r="6991" spans="1:7">
      <c r="A6991" t="s">
        <v>1297</v>
      </c>
      <c r="B6991" t="s">
        <v>1298</v>
      </c>
      <c r="C6991" t="s">
        <v>663</v>
      </c>
      <c r="D6991" t="s">
        <v>1379</v>
      </c>
      <c r="E6991" t="s">
        <v>187</v>
      </c>
      <c r="F6991">
        <v>2016</v>
      </c>
      <c r="G6991">
        <v>20.523398</v>
      </c>
    </row>
    <row r="6992" spans="1:7">
      <c r="A6992" t="s">
        <v>1297</v>
      </c>
      <c r="B6992" t="s">
        <v>1298</v>
      </c>
      <c r="C6992" t="s">
        <v>663</v>
      </c>
      <c r="D6992" t="s">
        <v>1379</v>
      </c>
      <c r="E6992" t="s">
        <v>187</v>
      </c>
      <c r="F6992">
        <v>2020</v>
      </c>
      <c r="G6992">
        <v>20.763000000000002</v>
      </c>
    </row>
    <row r="6993" spans="1:7">
      <c r="A6993" t="s">
        <v>1297</v>
      </c>
      <c r="B6993" t="s">
        <v>1298</v>
      </c>
      <c r="C6993" t="s">
        <v>656</v>
      </c>
      <c r="D6993" t="s">
        <v>1379</v>
      </c>
      <c r="E6993" t="s">
        <v>187</v>
      </c>
      <c r="F6993">
        <v>2005</v>
      </c>
      <c r="G6993">
        <v>103.500303</v>
      </c>
    </row>
    <row r="6994" spans="1:7">
      <c r="A6994" t="s">
        <v>1297</v>
      </c>
      <c r="B6994" t="s">
        <v>1298</v>
      </c>
      <c r="C6994" t="s">
        <v>656</v>
      </c>
      <c r="D6994" t="s">
        <v>1379</v>
      </c>
      <c r="E6994" t="s">
        <v>187</v>
      </c>
      <c r="F6994">
        <v>2010</v>
      </c>
      <c r="G6994">
        <v>100.152265</v>
      </c>
    </row>
    <row r="6995" spans="1:7">
      <c r="A6995" t="s">
        <v>1297</v>
      </c>
      <c r="B6995" t="s">
        <v>1298</v>
      </c>
      <c r="C6995" t="s">
        <v>656</v>
      </c>
      <c r="D6995" t="s">
        <v>1379</v>
      </c>
      <c r="E6995" t="s">
        <v>187</v>
      </c>
      <c r="F6995">
        <v>2012</v>
      </c>
      <c r="G6995">
        <v>86.105450000000005</v>
      </c>
    </row>
    <row r="6996" spans="1:7">
      <c r="A6996" t="s">
        <v>1297</v>
      </c>
      <c r="B6996" t="s">
        <v>1298</v>
      </c>
      <c r="C6996" t="s">
        <v>656</v>
      </c>
      <c r="D6996" t="s">
        <v>1379</v>
      </c>
      <c r="E6996" t="s">
        <v>187</v>
      </c>
      <c r="F6996">
        <v>2016</v>
      </c>
      <c r="G6996">
        <v>109.818274</v>
      </c>
    </row>
    <row r="6997" spans="1:7">
      <c r="A6997" t="s">
        <v>1297</v>
      </c>
      <c r="B6997" t="s">
        <v>1298</v>
      </c>
      <c r="C6997" t="s">
        <v>656</v>
      </c>
      <c r="D6997" t="s">
        <v>1379</v>
      </c>
      <c r="E6997" t="s">
        <v>187</v>
      </c>
      <c r="F6997">
        <v>2020</v>
      </c>
      <c r="G6997">
        <v>143.65934999999999</v>
      </c>
    </row>
    <row r="6998" spans="1:7">
      <c r="A6998" t="s">
        <v>1297</v>
      </c>
      <c r="B6998" t="s">
        <v>1298</v>
      </c>
      <c r="C6998" t="s">
        <v>686</v>
      </c>
      <c r="D6998" t="s">
        <v>1379</v>
      </c>
      <c r="E6998" t="s">
        <v>187</v>
      </c>
      <c r="F6998">
        <v>2020</v>
      </c>
      <c r="G6998">
        <v>5.6590639999999999</v>
      </c>
    </row>
    <row r="6999" spans="1:7">
      <c r="A6999" t="s">
        <v>1297</v>
      </c>
      <c r="B6999" t="s">
        <v>1298</v>
      </c>
      <c r="C6999" t="s">
        <v>1301</v>
      </c>
      <c r="D6999" t="s">
        <v>1379</v>
      </c>
      <c r="E6999" t="s">
        <v>187</v>
      </c>
      <c r="F6999">
        <v>2005</v>
      </c>
      <c r="G6999">
        <v>20.3535</v>
      </c>
    </row>
    <row r="7000" spans="1:7">
      <c r="A7000" t="s">
        <v>1297</v>
      </c>
      <c r="B7000" t="s">
        <v>1298</v>
      </c>
      <c r="C7000" t="s">
        <v>1301</v>
      </c>
      <c r="D7000" t="s">
        <v>1379</v>
      </c>
      <c r="E7000" t="s">
        <v>187</v>
      </c>
      <c r="F7000">
        <v>2010</v>
      </c>
      <c r="G7000">
        <v>8.2043999999999997</v>
      </c>
    </row>
    <row r="7001" spans="1:7">
      <c r="A7001" t="s">
        <v>1297</v>
      </c>
      <c r="B7001" t="s">
        <v>1298</v>
      </c>
      <c r="C7001" t="s">
        <v>1301</v>
      </c>
      <c r="D7001" t="s">
        <v>1379</v>
      </c>
      <c r="E7001" t="s">
        <v>187</v>
      </c>
      <c r="F7001">
        <v>2012</v>
      </c>
      <c r="G7001">
        <v>11.038500000000001</v>
      </c>
    </row>
    <row r="7002" spans="1:7">
      <c r="A7002" t="s">
        <v>1297</v>
      </c>
      <c r="B7002" t="s">
        <v>1298</v>
      </c>
      <c r="C7002" t="s">
        <v>1301</v>
      </c>
      <c r="D7002" t="s">
        <v>1379</v>
      </c>
      <c r="E7002" t="s">
        <v>187</v>
      </c>
      <c r="F7002">
        <v>2016</v>
      </c>
      <c r="G7002">
        <v>26.990100000000002</v>
      </c>
    </row>
    <row r="7003" spans="1:7">
      <c r="A7003" t="s">
        <v>1297</v>
      </c>
      <c r="B7003" t="s">
        <v>1298</v>
      </c>
      <c r="C7003" t="s">
        <v>1301</v>
      </c>
      <c r="D7003" t="s">
        <v>1379</v>
      </c>
      <c r="E7003" t="s">
        <v>187</v>
      </c>
      <c r="F7003">
        <v>2020</v>
      </c>
      <c r="G7003">
        <v>19.923660000000002</v>
      </c>
    </row>
    <row r="7004" spans="1:7">
      <c r="A7004" t="s">
        <v>1297</v>
      </c>
      <c r="B7004" t="s">
        <v>1298</v>
      </c>
      <c r="C7004" t="s">
        <v>289</v>
      </c>
      <c r="D7004" t="s">
        <v>1379</v>
      </c>
      <c r="E7004" t="s">
        <v>187</v>
      </c>
      <c r="F7004">
        <v>2005</v>
      </c>
      <c r="G7004">
        <v>16.351199999999999</v>
      </c>
    </row>
    <row r="7005" spans="1:7">
      <c r="A7005" t="s">
        <v>1297</v>
      </c>
      <c r="B7005" t="s">
        <v>1298</v>
      </c>
      <c r="C7005" t="s">
        <v>289</v>
      </c>
      <c r="D7005" t="s">
        <v>1379</v>
      </c>
      <c r="E7005" t="s">
        <v>187</v>
      </c>
      <c r="F7005">
        <v>2010</v>
      </c>
      <c r="G7005">
        <v>17.132400000000001</v>
      </c>
    </row>
    <row r="7006" spans="1:7">
      <c r="A7006" t="s">
        <v>1297</v>
      </c>
      <c r="B7006" t="s">
        <v>1298</v>
      </c>
      <c r="C7006" t="s">
        <v>289</v>
      </c>
      <c r="D7006" t="s">
        <v>1379</v>
      </c>
      <c r="E7006" t="s">
        <v>187</v>
      </c>
      <c r="F7006">
        <v>2012</v>
      </c>
      <c r="G7006">
        <v>16.6464</v>
      </c>
    </row>
    <row r="7007" spans="1:7">
      <c r="A7007" t="s">
        <v>1297</v>
      </c>
      <c r="B7007" t="s">
        <v>1298</v>
      </c>
      <c r="C7007" t="s">
        <v>289</v>
      </c>
      <c r="D7007" t="s">
        <v>1379</v>
      </c>
      <c r="E7007" t="s">
        <v>187</v>
      </c>
      <c r="F7007">
        <v>2016</v>
      </c>
      <c r="G7007">
        <v>15.8688</v>
      </c>
    </row>
    <row r="7008" spans="1:7">
      <c r="A7008" t="s">
        <v>1297</v>
      </c>
      <c r="B7008" t="s">
        <v>1298</v>
      </c>
      <c r="C7008" t="s">
        <v>289</v>
      </c>
      <c r="D7008" t="s">
        <v>1379</v>
      </c>
      <c r="E7008" t="s">
        <v>187</v>
      </c>
      <c r="F7008">
        <v>2020</v>
      </c>
      <c r="G7008">
        <v>17.340783999999999</v>
      </c>
    </row>
    <row r="7009" spans="1:7">
      <c r="A7009" t="s">
        <v>1297</v>
      </c>
      <c r="B7009" t="s">
        <v>1298</v>
      </c>
      <c r="C7009" t="s">
        <v>655</v>
      </c>
      <c r="D7009" t="s">
        <v>1379</v>
      </c>
      <c r="E7009" t="s">
        <v>187</v>
      </c>
      <c r="F7009">
        <v>2010</v>
      </c>
      <c r="G7009">
        <v>3.7934999999999999</v>
      </c>
    </row>
    <row r="7010" spans="1:7">
      <c r="A7010" t="s">
        <v>1297</v>
      </c>
      <c r="B7010" t="s">
        <v>1298</v>
      </c>
      <c r="C7010" t="s">
        <v>655</v>
      </c>
      <c r="D7010" t="s">
        <v>1379</v>
      </c>
      <c r="E7010" t="s">
        <v>187</v>
      </c>
      <c r="F7010">
        <v>2012</v>
      </c>
      <c r="G7010">
        <v>4.0598999999999998</v>
      </c>
    </row>
    <row r="7011" spans="1:7">
      <c r="A7011" t="s">
        <v>1297</v>
      </c>
      <c r="B7011" t="s">
        <v>1298</v>
      </c>
      <c r="C7011" t="s">
        <v>655</v>
      </c>
      <c r="D7011" t="s">
        <v>1379</v>
      </c>
      <c r="E7011" t="s">
        <v>187</v>
      </c>
      <c r="F7011">
        <v>2016</v>
      </c>
      <c r="G7011">
        <v>4.198512</v>
      </c>
    </row>
    <row r="7012" spans="1:7">
      <c r="A7012" t="s">
        <v>1297</v>
      </c>
      <c r="B7012" t="s">
        <v>1298</v>
      </c>
      <c r="C7012" t="s">
        <v>655</v>
      </c>
      <c r="D7012" t="s">
        <v>1379</v>
      </c>
      <c r="E7012" t="s">
        <v>187</v>
      </c>
      <c r="F7012">
        <v>2020</v>
      </c>
      <c r="G7012">
        <v>4.071256</v>
      </c>
    </row>
    <row r="7013" spans="1:7">
      <c r="A7013" t="s">
        <v>1297</v>
      </c>
      <c r="B7013" t="s">
        <v>1298</v>
      </c>
      <c r="C7013" t="s">
        <v>660</v>
      </c>
      <c r="D7013" t="s">
        <v>1379</v>
      </c>
      <c r="E7013" t="s">
        <v>187</v>
      </c>
      <c r="F7013">
        <v>2005</v>
      </c>
      <c r="G7013">
        <v>0.74609999999999999</v>
      </c>
    </row>
    <row r="7014" spans="1:7">
      <c r="A7014" t="s">
        <v>1297</v>
      </c>
      <c r="B7014" t="s">
        <v>1298</v>
      </c>
      <c r="C7014" t="s">
        <v>660</v>
      </c>
      <c r="D7014" t="s">
        <v>1379</v>
      </c>
      <c r="E7014" t="s">
        <v>187</v>
      </c>
      <c r="F7014">
        <v>2010</v>
      </c>
      <c r="G7014">
        <v>1.3796999999999999</v>
      </c>
    </row>
    <row r="7015" spans="1:7">
      <c r="A7015" t="s">
        <v>1297</v>
      </c>
      <c r="B7015" t="s">
        <v>1298</v>
      </c>
      <c r="C7015" t="s">
        <v>660</v>
      </c>
      <c r="D7015" t="s">
        <v>1379</v>
      </c>
      <c r="E7015" t="s">
        <v>187</v>
      </c>
      <c r="F7015">
        <v>2012</v>
      </c>
      <c r="G7015">
        <v>1.0458000000000001</v>
      </c>
    </row>
    <row r="7016" spans="1:7">
      <c r="A7016" t="s">
        <v>1297</v>
      </c>
      <c r="B7016" t="s">
        <v>1298</v>
      </c>
      <c r="C7016" t="s">
        <v>660</v>
      </c>
      <c r="D7016" t="s">
        <v>1379</v>
      </c>
      <c r="E7016" t="s">
        <v>187</v>
      </c>
      <c r="F7016">
        <v>2016</v>
      </c>
      <c r="G7016">
        <v>1.4364170000000001</v>
      </c>
    </row>
    <row r="7017" spans="1:7">
      <c r="A7017" t="s">
        <v>1297</v>
      </c>
      <c r="B7017" t="s">
        <v>1298</v>
      </c>
      <c r="C7017" t="s">
        <v>660</v>
      </c>
      <c r="D7017" t="s">
        <v>1379</v>
      </c>
      <c r="E7017" t="s">
        <v>187</v>
      </c>
      <c r="F7017">
        <v>2020</v>
      </c>
      <c r="G7017">
        <v>2.4977529999999999</v>
      </c>
    </row>
    <row r="7018" spans="1:7">
      <c r="A7018" t="s">
        <v>1297</v>
      </c>
      <c r="B7018" t="s">
        <v>1298</v>
      </c>
      <c r="C7018" t="s">
        <v>686</v>
      </c>
      <c r="D7018" t="s">
        <v>1379</v>
      </c>
      <c r="E7018" t="s">
        <v>187</v>
      </c>
      <c r="F7018">
        <v>2005</v>
      </c>
      <c r="G7018">
        <v>10.8531</v>
      </c>
    </row>
    <row r="7019" spans="1:7">
      <c r="A7019" t="s">
        <v>1297</v>
      </c>
      <c r="B7019" t="s">
        <v>1298</v>
      </c>
      <c r="C7019" t="s">
        <v>686</v>
      </c>
      <c r="D7019" t="s">
        <v>1379</v>
      </c>
      <c r="E7019" t="s">
        <v>187</v>
      </c>
      <c r="F7019">
        <v>2010</v>
      </c>
      <c r="G7019">
        <v>9.0495000000000001</v>
      </c>
    </row>
    <row r="7020" spans="1:7">
      <c r="A7020" t="s">
        <v>1297</v>
      </c>
      <c r="B7020" t="s">
        <v>1298</v>
      </c>
      <c r="C7020" t="s">
        <v>686</v>
      </c>
      <c r="D7020" t="s">
        <v>1379</v>
      </c>
      <c r="E7020" t="s">
        <v>187</v>
      </c>
      <c r="F7020">
        <v>2012</v>
      </c>
      <c r="G7020">
        <v>0.71640000000000004</v>
      </c>
    </row>
    <row r="7021" spans="1:7">
      <c r="A7021" t="s">
        <v>1297</v>
      </c>
      <c r="B7021" t="s">
        <v>1298</v>
      </c>
      <c r="C7021" t="s">
        <v>686</v>
      </c>
      <c r="D7021" t="s">
        <v>1379</v>
      </c>
      <c r="E7021" t="s">
        <v>187</v>
      </c>
      <c r="F7021">
        <v>2016</v>
      </c>
      <c r="G7021">
        <v>9.7370999999999999</v>
      </c>
    </row>
    <row r="7022" spans="1:7">
      <c r="A7022" t="s">
        <v>1297</v>
      </c>
      <c r="B7022" t="s">
        <v>1298</v>
      </c>
      <c r="C7022" t="s">
        <v>1299</v>
      </c>
      <c r="D7022" t="s">
        <v>1380</v>
      </c>
      <c r="E7022" t="s">
        <v>187</v>
      </c>
      <c r="F7022">
        <v>2020</v>
      </c>
      <c r="G7022">
        <v>4.0058259999999999</v>
      </c>
    </row>
    <row r="7023" spans="1:7">
      <c r="A7023" t="s">
        <v>1297</v>
      </c>
      <c r="B7023" t="s">
        <v>1298</v>
      </c>
      <c r="C7023" t="s">
        <v>662</v>
      </c>
      <c r="D7023" t="s">
        <v>1380</v>
      </c>
      <c r="E7023" t="s">
        <v>187</v>
      </c>
      <c r="F7023">
        <v>2016</v>
      </c>
      <c r="G7023">
        <v>1.0800000000000001E-2</v>
      </c>
    </row>
    <row r="7024" spans="1:7">
      <c r="A7024" t="s">
        <v>1297</v>
      </c>
      <c r="B7024" t="s">
        <v>1298</v>
      </c>
      <c r="C7024" t="s">
        <v>662</v>
      </c>
      <c r="D7024" t="s">
        <v>1380</v>
      </c>
      <c r="E7024" t="s">
        <v>187</v>
      </c>
      <c r="F7024">
        <v>2020</v>
      </c>
      <c r="G7024">
        <v>9.9850999999999995E-2</v>
      </c>
    </row>
    <row r="7025" spans="1:7">
      <c r="A7025" t="s">
        <v>1297</v>
      </c>
      <c r="B7025" t="s">
        <v>1298</v>
      </c>
      <c r="C7025" t="s">
        <v>1301</v>
      </c>
      <c r="D7025" t="s">
        <v>1380</v>
      </c>
      <c r="E7025" t="s">
        <v>187</v>
      </c>
      <c r="F7025">
        <v>2010</v>
      </c>
      <c r="G7025">
        <v>0.81540000000000001</v>
      </c>
    </row>
    <row r="7026" spans="1:7">
      <c r="A7026" t="s">
        <v>1297</v>
      </c>
      <c r="B7026" t="s">
        <v>1298</v>
      </c>
      <c r="C7026" t="s">
        <v>1301</v>
      </c>
      <c r="D7026" t="s">
        <v>1380</v>
      </c>
      <c r="E7026" t="s">
        <v>187</v>
      </c>
      <c r="F7026">
        <v>2012</v>
      </c>
      <c r="G7026">
        <v>3.6171000000000002</v>
      </c>
    </row>
    <row r="7027" spans="1:7">
      <c r="A7027" t="s">
        <v>1297</v>
      </c>
      <c r="B7027" t="s">
        <v>1298</v>
      </c>
      <c r="C7027" t="s">
        <v>1301</v>
      </c>
      <c r="D7027" t="s">
        <v>1380</v>
      </c>
      <c r="E7027" t="s">
        <v>187</v>
      </c>
      <c r="F7027">
        <v>2016</v>
      </c>
      <c r="G7027">
        <v>2.3462999999999998</v>
      </c>
    </row>
    <row r="7028" spans="1:7">
      <c r="A7028" t="s">
        <v>1297</v>
      </c>
      <c r="B7028" t="s">
        <v>1298</v>
      </c>
      <c r="C7028" t="s">
        <v>1301</v>
      </c>
      <c r="D7028" t="s">
        <v>1380</v>
      </c>
      <c r="E7028" t="s">
        <v>187</v>
      </c>
      <c r="F7028">
        <v>2020</v>
      </c>
      <c r="G7028">
        <v>5.4251100000000001</v>
      </c>
    </row>
    <row r="7029" spans="1:7">
      <c r="A7029" t="s">
        <v>1297</v>
      </c>
      <c r="B7029" t="s">
        <v>1298</v>
      </c>
      <c r="C7029" t="s">
        <v>652</v>
      </c>
      <c r="D7029" t="s">
        <v>1380</v>
      </c>
      <c r="E7029" t="s">
        <v>187</v>
      </c>
      <c r="F7029">
        <v>2005</v>
      </c>
      <c r="G7029">
        <v>0.75420200000000004</v>
      </c>
    </row>
    <row r="7030" spans="1:7">
      <c r="A7030" t="s">
        <v>1297</v>
      </c>
      <c r="B7030" t="s">
        <v>1298</v>
      </c>
      <c r="C7030" t="s">
        <v>652</v>
      </c>
      <c r="D7030" t="s">
        <v>1380</v>
      </c>
      <c r="E7030" t="s">
        <v>187</v>
      </c>
      <c r="F7030">
        <v>2010</v>
      </c>
      <c r="G7030">
        <v>7.9877929999999999</v>
      </c>
    </row>
    <row r="7031" spans="1:7">
      <c r="A7031" t="s">
        <v>1297</v>
      </c>
      <c r="B7031" t="s">
        <v>1298</v>
      </c>
      <c r="C7031" t="s">
        <v>652</v>
      </c>
      <c r="D7031" t="s">
        <v>1380</v>
      </c>
      <c r="E7031" t="s">
        <v>187</v>
      </c>
      <c r="F7031">
        <v>2012</v>
      </c>
      <c r="G7031">
        <v>8.5519269999999992</v>
      </c>
    </row>
    <row r="7032" spans="1:7">
      <c r="A7032" t="s">
        <v>1297</v>
      </c>
      <c r="B7032" t="s">
        <v>1298</v>
      </c>
      <c r="C7032" t="s">
        <v>652</v>
      </c>
      <c r="D7032" t="s">
        <v>1380</v>
      </c>
      <c r="E7032" t="s">
        <v>187</v>
      </c>
      <c r="F7032">
        <v>2016</v>
      </c>
      <c r="G7032">
        <v>10.05894</v>
      </c>
    </row>
    <row r="7033" spans="1:7">
      <c r="A7033" t="s">
        <v>1297</v>
      </c>
      <c r="B7033" t="s">
        <v>1298</v>
      </c>
      <c r="C7033" t="s">
        <v>652</v>
      </c>
      <c r="D7033" t="s">
        <v>1380</v>
      </c>
      <c r="E7033" t="s">
        <v>187</v>
      </c>
      <c r="F7033">
        <v>2020</v>
      </c>
      <c r="G7033">
        <v>12.6036</v>
      </c>
    </row>
    <row r="7034" spans="1:7">
      <c r="A7034" t="s">
        <v>1297</v>
      </c>
      <c r="B7034" t="s">
        <v>1298</v>
      </c>
      <c r="C7034" t="s">
        <v>679</v>
      </c>
      <c r="D7034" t="s">
        <v>1380</v>
      </c>
      <c r="E7034" t="s">
        <v>187</v>
      </c>
      <c r="F7034">
        <v>2005</v>
      </c>
      <c r="G7034">
        <v>0.66060600000000003</v>
      </c>
    </row>
    <row r="7035" spans="1:7">
      <c r="A7035" t="s">
        <v>1297</v>
      </c>
      <c r="B7035" t="s">
        <v>1298</v>
      </c>
      <c r="C7035" t="s">
        <v>679</v>
      </c>
      <c r="D7035" t="s">
        <v>1380</v>
      </c>
      <c r="E7035" t="s">
        <v>187</v>
      </c>
      <c r="F7035">
        <v>2010</v>
      </c>
      <c r="G7035">
        <v>0.81544899999999998</v>
      </c>
    </row>
    <row r="7036" spans="1:7">
      <c r="A7036" t="s">
        <v>1297</v>
      </c>
      <c r="B7036" t="s">
        <v>1298</v>
      </c>
      <c r="C7036" t="s">
        <v>679</v>
      </c>
      <c r="D7036" t="s">
        <v>1380</v>
      </c>
      <c r="E7036" t="s">
        <v>187</v>
      </c>
      <c r="F7036">
        <v>2012</v>
      </c>
      <c r="G7036">
        <v>0.64617999999999998</v>
      </c>
    </row>
    <row r="7037" spans="1:7">
      <c r="A7037" t="s">
        <v>1297</v>
      </c>
      <c r="B7037" t="s">
        <v>1298</v>
      </c>
      <c r="C7037" t="s">
        <v>679</v>
      </c>
      <c r="D7037" t="s">
        <v>1380</v>
      </c>
      <c r="E7037" t="s">
        <v>187</v>
      </c>
      <c r="F7037">
        <v>2016</v>
      </c>
      <c r="G7037">
        <v>0.54268499999999997</v>
      </c>
    </row>
    <row r="7038" spans="1:7">
      <c r="A7038" t="s">
        <v>1297</v>
      </c>
      <c r="B7038" t="s">
        <v>1298</v>
      </c>
      <c r="C7038" t="s">
        <v>679</v>
      </c>
      <c r="D7038" t="s">
        <v>1380</v>
      </c>
      <c r="E7038" t="s">
        <v>187</v>
      </c>
      <c r="F7038">
        <v>2020</v>
      </c>
      <c r="G7038">
        <v>0.563859</v>
      </c>
    </row>
    <row r="7039" spans="1:7">
      <c r="A7039" t="s">
        <v>1297</v>
      </c>
      <c r="B7039" t="s">
        <v>1298</v>
      </c>
      <c r="C7039" t="s">
        <v>289</v>
      </c>
      <c r="D7039" t="s">
        <v>1380</v>
      </c>
      <c r="E7039" t="s">
        <v>187</v>
      </c>
      <c r="F7039">
        <v>2005</v>
      </c>
      <c r="G7039">
        <v>0.79379999999999995</v>
      </c>
    </row>
    <row r="7040" spans="1:7">
      <c r="A7040" t="s">
        <v>1297</v>
      </c>
      <c r="B7040" t="s">
        <v>1298</v>
      </c>
      <c r="C7040" t="s">
        <v>289</v>
      </c>
      <c r="D7040" t="s">
        <v>1380</v>
      </c>
      <c r="E7040" t="s">
        <v>187</v>
      </c>
      <c r="F7040">
        <v>2010</v>
      </c>
      <c r="G7040">
        <v>0.75509999999999999</v>
      </c>
    </row>
    <row r="7041" spans="1:7">
      <c r="A7041" t="s">
        <v>1297</v>
      </c>
      <c r="B7041" t="s">
        <v>1298</v>
      </c>
      <c r="C7041" t="s">
        <v>289</v>
      </c>
      <c r="D7041" t="s">
        <v>1380</v>
      </c>
      <c r="E7041" t="s">
        <v>187</v>
      </c>
      <c r="F7041">
        <v>2012</v>
      </c>
      <c r="G7041">
        <v>0.70379999999999998</v>
      </c>
    </row>
    <row r="7042" spans="1:7">
      <c r="A7042" t="s">
        <v>1297</v>
      </c>
      <c r="B7042" t="s">
        <v>1298</v>
      </c>
      <c r="C7042" t="s">
        <v>289</v>
      </c>
      <c r="D7042" t="s">
        <v>1380</v>
      </c>
      <c r="E7042" t="s">
        <v>187</v>
      </c>
      <c r="F7042">
        <v>2016</v>
      </c>
      <c r="G7042">
        <v>0.96750000000000003</v>
      </c>
    </row>
    <row r="7043" spans="1:7">
      <c r="A7043" t="s">
        <v>1297</v>
      </c>
      <c r="B7043" t="s">
        <v>1298</v>
      </c>
      <c r="C7043" t="s">
        <v>289</v>
      </c>
      <c r="D7043" t="s">
        <v>1380</v>
      </c>
      <c r="E7043" t="s">
        <v>187</v>
      </c>
      <c r="F7043">
        <v>2020</v>
      </c>
      <c r="G7043">
        <v>0.92488800000000004</v>
      </c>
    </row>
    <row r="7044" spans="1:7">
      <c r="A7044" t="s">
        <v>1297</v>
      </c>
      <c r="B7044" t="s">
        <v>1298</v>
      </c>
      <c r="C7044" t="s">
        <v>655</v>
      </c>
      <c r="D7044" t="s">
        <v>1380</v>
      </c>
      <c r="E7044" t="s">
        <v>187</v>
      </c>
      <c r="F7044">
        <v>2005</v>
      </c>
      <c r="G7044">
        <v>2.8403999999999998</v>
      </c>
    </row>
    <row r="7045" spans="1:7">
      <c r="A7045" t="s">
        <v>1297</v>
      </c>
      <c r="B7045" t="s">
        <v>1298</v>
      </c>
      <c r="C7045" t="s">
        <v>655</v>
      </c>
      <c r="D7045" t="s">
        <v>1380</v>
      </c>
      <c r="E7045" t="s">
        <v>187</v>
      </c>
      <c r="F7045">
        <v>2010</v>
      </c>
      <c r="G7045">
        <v>2.6747999999999998</v>
      </c>
    </row>
    <row r="7046" spans="1:7">
      <c r="A7046" t="s">
        <v>1297</v>
      </c>
      <c r="B7046" t="s">
        <v>1298</v>
      </c>
      <c r="C7046" t="s">
        <v>655</v>
      </c>
      <c r="D7046" t="s">
        <v>1380</v>
      </c>
      <c r="E7046" t="s">
        <v>187</v>
      </c>
      <c r="F7046">
        <v>2012</v>
      </c>
      <c r="G7046">
        <v>2.1419999999999999</v>
      </c>
    </row>
    <row r="7047" spans="1:7">
      <c r="A7047" t="s">
        <v>1297</v>
      </c>
      <c r="B7047" t="s">
        <v>1298</v>
      </c>
      <c r="C7047" t="s">
        <v>655</v>
      </c>
      <c r="D7047" t="s">
        <v>1380</v>
      </c>
      <c r="E7047" t="s">
        <v>187</v>
      </c>
      <c r="F7047">
        <v>2016</v>
      </c>
      <c r="G7047">
        <v>2.5605069999999999</v>
      </c>
    </row>
    <row r="7048" spans="1:7">
      <c r="A7048" t="s">
        <v>1297</v>
      </c>
      <c r="B7048" t="s">
        <v>1298</v>
      </c>
      <c r="C7048" t="s">
        <v>655</v>
      </c>
      <c r="D7048" t="s">
        <v>1380</v>
      </c>
      <c r="E7048" t="s">
        <v>187</v>
      </c>
      <c r="F7048">
        <v>2020</v>
      </c>
      <c r="G7048">
        <v>2.7274769999999999</v>
      </c>
    </row>
    <row r="7049" spans="1:7">
      <c r="A7049" t="s">
        <v>1297</v>
      </c>
      <c r="B7049" t="s">
        <v>1298</v>
      </c>
      <c r="C7049" t="s">
        <v>659</v>
      </c>
      <c r="D7049" t="s">
        <v>1380</v>
      </c>
      <c r="E7049" t="s">
        <v>187</v>
      </c>
      <c r="F7049">
        <v>2005</v>
      </c>
      <c r="G7049">
        <v>15.850669</v>
      </c>
    </row>
    <row r="7050" spans="1:7">
      <c r="A7050" t="s">
        <v>1297</v>
      </c>
      <c r="B7050" t="s">
        <v>1298</v>
      </c>
      <c r="C7050" t="s">
        <v>659</v>
      </c>
      <c r="D7050" t="s">
        <v>1380</v>
      </c>
      <c r="E7050" t="s">
        <v>187</v>
      </c>
      <c r="F7050">
        <v>2010</v>
      </c>
      <c r="G7050">
        <v>5.745584</v>
      </c>
    </row>
    <row r="7051" spans="1:7">
      <c r="A7051" t="s">
        <v>1297</v>
      </c>
      <c r="B7051" t="s">
        <v>1298</v>
      </c>
      <c r="C7051" t="s">
        <v>659</v>
      </c>
      <c r="D7051" t="s">
        <v>1380</v>
      </c>
      <c r="E7051" t="s">
        <v>187</v>
      </c>
      <c r="F7051">
        <v>2012</v>
      </c>
      <c r="G7051">
        <v>26.452190000000002</v>
      </c>
    </row>
    <row r="7052" spans="1:7">
      <c r="A7052" t="s">
        <v>1297</v>
      </c>
      <c r="B7052" t="s">
        <v>1298</v>
      </c>
      <c r="C7052" t="s">
        <v>659</v>
      </c>
      <c r="D7052" t="s">
        <v>1380</v>
      </c>
      <c r="E7052" t="s">
        <v>187</v>
      </c>
      <c r="F7052">
        <v>2016</v>
      </c>
      <c r="G7052">
        <v>3.5019290000000001</v>
      </c>
    </row>
    <row r="7053" spans="1:7">
      <c r="A7053" t="s">
        <v>1297</v>
      </c>
      <c r="B7053" t="s">
        <v>1298</v>
      </c>
      <c r="C7053" t="s">
        <v>659</v>
      </c>
      <c r="D7053" t="s">
        <v>1380</v>
      </c>
      <c r="E7053" t="s">
        <v>187</v>
      </c>
      <c r="F7053">
        <v>2020</v>
      </c>
      <c r="G7053">
        <v>8.2161000000000008</v>
      </c>
    </row>
    <row r="7054" spans="1:7">
      <c r="A7054" t="s">
        <v>1297</v>
      </c>
      <c r="B7054" t="s">
        <v>1298</v>
      </c>
      <c r="C7054" t="s">
        <v>674</v>
      </c>
      <c r="D7054" t="s">
        <v>1380</v>
      </c>
      <c r="E7054" t="s">
        <v>187</v>
      </c>
      <c r="F7054">
        <v>2005</v>
      </c>
      <c r="G7054">
        <v>0.92700000000000005</v>
      </c>
    </row>
    <row r="7055" spans="1:7">
      <c r="A7055" t="s">
        <v>1297</v>
      </c>
      <c r="B7055" t="s">
        <v>1298</v>
      </c>
      <c r="C7055" t="s">
        <v>674</v>
      </c>
      <c r="D7055" t="s">
        <v>1380</v>
      </c>
      <c r="E7055" t="s">
        <v>187</v>
      </c>
      <c r="F7055">
        <v>2010</v>
      </c>
      <c r="G7055">
        <v>1.008</v>
      </c>
    </row>
    <row r="7056" spans="1:7">
      <c r="A7056" t="s">
        <v>1297</v>
      </c>
      <c r="B7056" t="s">
        <v>1298</v>
      </c>
      <c r="C7056" t="s">
        <v>674</v>
      </c>
      <c r="D7056" t="s">
        <v>1380</v>
      </c>
      <c r="E7056" t="s">
        <v>187</v>
      </c>
      <c r="F7056">
        <v>2012</v>
      </c>
      <c r="G7056">
        <v>1.008</v>
      </c>
    </row>
    <row r="7057" spans="1:8">
      <c r="A7057" t="s">
        <v>1297</v>
      </c>
      <c r="B7057" t="s">
        <v>1298</v>
      </c>
      <c r="C7057" t="s">
        <v>674</v>
      </c>
      <c r="D7057" t="s">
        <v>1380</v>
      </c>
      <c r="E7057" t="s">
        <v>187</v>
      </c>
      <c r="F7057">
        <v>2016</v>
      </c>
      <c r="G7057">
        <v>0.34739999999999999</v>
      </c>
    </row>
    <row r="7058" spans="1:8">
      <c r="A7058" t="s">
        <v>1297</v>
      </c>
      <c r="B7058" t="s">
        <v>1298</v>
      </c>
      <c r="C7058" t="s">
        <v>674</v>
      </c>
      <c r="D7058" t="s">
        <v>1380</v>
      </c>
      <c r="E7058" t="s">
        <v>187</v>
      </c>
      <c r="F7058">
        <v>2020</v>
      </c>
      <c r="G7058">
        <v>0.23485600000000001</v>
      </c>
    </row>
    <row r="7059" spans="1:8">
      <c r="A7059" t="s">
        <v>1297</v>
      </c>
      <c r="B7059" t="s">
        <v>1298</v>
      </c>
      <c r="C7059" t="s">
        <v>670</v>
      </c>
      <c r="D7059" t="s">
        <v>1380</v>
      </c>
      <c r="E7059" t="s">
        <v>187</v>
      </c>
      <c r="F7059">
        <v>2005</v>
      </c>
      <c r="G7059" s="14">
        <v>115.82061400000001</v>
      </c>
      <c r="H7059" s="14"/>
    </row>
    <row r="7060" spans="1:8">
      <c r="A7060" t="s">
        <v>1297</v>
      </c>
      <c r="B7060" t="s">
        <v>1298</v>
      </c>
      <c r="C7060" t="s">
        <v>670</v>
      </c>
      <c r="D7060" t="s">
        <v>1380</v>
      </c>
      <c r="E7060" t="s">
        <v>187</v>
      </c>
      <c r="F7060">
        <v>2010</v>
      </c>
      <c r="G7060">
        <v>118.002207</v>
      </c>
    </row>
    <row r="7061" spans="1:8">
      <c r="A7061" t="s">
        <v>1297</v>
      </c>
      <c r="B7061" t="s">
        <v>1298</v>
      </c>
      <c r="C7061" t="s">
        <v>670</v>
      </c>
      <c r="D7061" t="s">
        <v>1380</v>
      </c>
      <c r="E7061" t="s">
        <v>187</v>
      </c>
      <c r="F7061">
        <v>2012</v>
      </c>
      <c r="G7061">
        <v>102.938057</v>
      </c>
    </row>
    <row r="7062" spans="1:8">
      <c r="A7062" t="s">
        <v>1297</v>
      </c>
      <c r="B7062" t="s">
        <v>1298</v>
      </c>
      <c r="C7062" t="s">
        <v>670</v>
      </c>
      <c r="D7062" t="s">
        <v>1380</v>
      </c>
      <c r="E7062" t="s">
        <v>187</v>
      </c>
      <c r="F7062">
        <v>2016</v>
      </c>
      <c r="G7062">
        <v>91.749153000000007</v>
      </c>
    </row>
    <row r="7063" spans="1:8">
      <c r="A7063" t="s">
        <v>1297</v>
      </c>
      <c r="B7063" t="s">
        <v>1298</v>
      </c>
      <c r="C7063" t="s">
        <v>670</v>
      </c>
      <c r="D7063" t="s">
        <v>1380</v>
      </c>
      <c r="E7063" t="s">
        <v>187</v>
      </c>
      <c r="F7063">
        <v>2020</v>
      </c>
      <c r="G7063">
        <v>89.770891000000006</v>
      </c>
    </row>
    <row r="7064" spans="1:8">
      <c r="A7064" t="s">
        <v>1297</v>
      </c>
      <c r="B7064" t="s">
        <v>1298</v>
      </c>
      <c r="C7064" t="s">
        <v>673</v>
      </c>
      <c r="D7064" t="s">
        <v>1380</v>
      </c>
      <c r="E7064" t="s">
        <v>187</v>
      </c>
      <c r="F7064">
        <v>2005</v>
      </c>
      <c r="G7064">
        <v>1.5183</v>
      </c>
    </row>
    <row r="7065" spans="1:8">
      <c r="A7065" t="s">
        <v>1297</v>
      </c>
      <c r="B7065" t="s">
        <v>1298</v>
      </c>
      <c r="C7065" t="s">
        <v>673</v>
      </c>
      <c r="D7065" t="s">
        <v>1380</v>
      </c>
      <c r="E7065" t="s">
        <v>187</v>
      </c>
      <c r="F7065">
        <v>2010</v>
      </c>
      <c r="G7065">
        <v>3.0771000000000002</v>
      </c>
    </row>
    <row r="7066" spans="1:8">
      <c r="A7066" t="s">
        <v>1297</v>
      </c>
      <c r="B7066" t="s">
        <v>1298</v>
      </c>
      <c r="C7066" t="s">
        <v>673</v>
      </c>
      <c r="D7066" t="s">
        <v>1380</v>
      </c>
      <c r="E7066" t="s">
        <v>187</v>
      </c>
      <c r="F7066">
        <v>2012</v>
      </c>
      <c r="G7066">
        <v>3.1347</v>
      </c>
    </row>
    <row r="7067" spans="1:8">
      <c r="A7067" t="s">
        <v>1297</v>
      </c>
      <c r="B7067" t="s">
        <v>1298</v>
      </c>
      <c r="C7067" t="s">
        <v>673</v>
      </c>
      <c r="D7067" t="s">
        <v>1380</v>
      </c>
      <c r="E7067" t="s">
        <v>187</v>
      </c>
      <c r="F7067">
        <v>2016</v>
      </c>
      <c r="G7067">
        <v>2.8637999999999999</v>
      </c>
    </row>
    <row r="7068" spans="1:8">
      <c r="A7068" t="s">
        <v>1297</v>
      </c>
      <c r="B7068" t="s">
        <v>1298</v>
      </c>
      <c r="C7068" t="s">
        <v>673</v>
      </c>
      <c r="D7068" t="s">
        <v>1380</v>
      </c>
      <c r="E7068" t="s">
        <v>187</v>
      </c>
      <c r="F7068">
        <v>2020</v>
      </c>
      <c r="G7068">
        <v>4.3931829999999996</v>
      </c>
    </row>
    <row r="7069" spans="1:8">
      <c r="A7069" t="s">
        <v>1297</v>
      </c>
      <c r="B7069" t="s">
        <v>1298</v>
      </c>
      <c r="C7069" t="s">
        <v>666</v>
      </c>
      <c r="D7069" t="s">
        <v>1380</v>
      </c>
      <c r="E7069" t="s">
        <v>187</v>
      </c>
      <c r="F7069">
        <v>2005</v>
      </c>
      <c r="G7069">
        <v>1.1916</v>
      </c>
    </row>
    <row r="7070" spans="1:8">
      <c r="A7070" t="s">
        <v>1297</v>
      </c>
      <c r="B7070" t="s">
        <v>1298</v>
      </c>
      <c r="C7070" t="s">
        <v>666</v>
      </c>
      <c r="D7070" t="s">
        <v>1380</v>
      </c>
      <c r="E7070" t="s">
        <v>187</v>
      </c>
      <c r="F7070">
        <v>2010</v>
      </c>
      <c r="G7070">
        <v>1.3059000000000001</v>
      </c>
    </row>
    <row r="7071" spans="1:8">
      <c r="A7071" t="s">
        <v>1297</v>
      </c>
      <c r="B7071" t="s">
        <v>1298</v>
      </c>
      <c r="C7071" t="s">
        <v>666</v>
      </c>
      <c r="D7071" t="s">
        <v>1380</v>
      </c>
      <c r="E7071" t="s">
        <v>187</v>
      </c>
      <c r="F7071">
        <v>2012</v>
      </c>
      <c r="G7071">
        <v>1.1556</v>
      </c>
    </row>
    <row r="7072" spans="1:8">
      <c r="A7072" t="s">
        <v>1297</v>
      </c>
      <c r="B7072" t="s">
        <v>1298</v>
      </c>
      <c r="C7072" t="s">
        <v>667</v>
      </c>
      <c r="D7072" t="s">
        <v>1380</v>
      </c>
      <c r="E7072" t="s">
        <v>187</v>
      </c>
      <c r="F7072">
        <v>2005</v>
      </c>
      <c r="G7072">
        <v>1.067E-3</v>
      </c>
    </row>
    <row r="7073" spans="1:7">
      <c r="A7073" t="s">
        <v>1297</v>
      </c>
      <c r="B7073" t="s">
        <v>1298</v>
      </c>
      <c r="C7073" t="s">
        <v>667</v>
      </c>
      <c r="D7073" t="s">
        <v>1380</v>
      </c>
      <c r="E7073" t="s">
        <v>187</v>
      </c>
      <c r="F7073">
        <v>2010</v>
      </c>
      <c r="G7073">
        <v>1.3439999999999999E-3</v>
      </c>
    </row>
    <row r="7074" spans="1:7">
      <c r="A7074" t="s">
        <v>1297</v>
      </c>
      <c r="B7074" t="s">
        <v>1298</v>
      </c>
      <c r="C7074" t="s">
        <v>667</v>
      </c>
      <c r="D7074" t="s">
        <v>1380</v>
      </c>
      <c r="E7074" t="s">
        <v>187</v>
      </c>
      <c r="F7074">
        <v>2020</v>
      </c>
      <c r="G7074" s="14">
        <v>3.6000000000000001E-5</v>
      </c>
    </row>
    <row r="7075" spans="1:7">
      <c r="A7075" t="s">
        <v>1297</v>
      </c>
      <c r="B7075" t="s">
        <v>1298</v>
      </c>
      <c r="C7075" t="s">
        <v>656</v>
      </c>
      <c r="D7075" t="s">
        <v>1380</v>
      </c>
      <c r="E7075" t="s">
        <v>187</v>
      </c>
      <c r="F7075">
        <v>2010</v>
      </c>
      <c r="G7075">
        <v>13.816060999999999</v>
      </c>
    </row>
    <row r="7076" spans="1:7">
      <c r="A7076" t="s">
        <v>1297</v>
      </c>
      <c r="B7076" t="s">
        <v>1298</v>
      </c>
      <c r="C7076" t="s">
        <v>656</v>
      </c>
      <c r="D7076" t="s">
        <v>1380</v>
      </c>
      <c r="E7076" t="s">
        <v>187</v>
      </c>
      <c r="F7076">
        <v>2012</v>
      </c>
      <c r="G7076">
        <v>13.408161</v>
      </c>
    </row>
    <row r="7077" spans="1:7">
      <c r="A7077" t="s">
        <v>1297</v>
      </c>
      <c r="B7077" t="s">
        <v>1298</v>
      </c>
      <c r="C7077" t="s">
        <v>665</v>
      </c>
      <c r="D7077" t="s">
        <v>1380</v>
      </c>
      <c r="E7077" t="s">
        <v>187</v>
      </c>
      <c r="F7077">
        <v>2005</v>
      </c>
      <c r="G7077">
        <v>7.0677000000000003</v>
      </c>
    </row>
    <row r="7078" spans="1:7">
      <c r="A7078" t="s">
        <v>1297</v>
      </c>
      <c r="B7078" t="s">
        <v>1298</v>
      </c>
      <c r="C7078" t="s">
        <v>665</v>
      </c>
      <c r="D7078" t="s">
        <v>1380</v>
      </c>
      <c r="E7078" t="s">
        <v>187</v>
      </c>
      <c r="F7078">
        <v>2010</v>
      </c>
      <c r="G7078">
        <v>5.9553000000000003</v>
      </c>
    </row>
    <row r="7079" spans="1:7">
      <c r="A7079" t="s">
        <v>1297</v>
      </c>
      <c r="B7079" t="s">
        <v>1298</v>
      </c>
      <c r="C7079" t="s">
        <v>665</v>
      </c>
      <c r="D7079" t="s">
        <v>1380</v>
      </c>
      <c r="E7079" t="s">
        <v>187</v>
      </c>
      <c r="F7079">
        <v>2012</v>
      </c>
      <c r="G7079">
        <v>5.3837999999999999</v>
      </c>
    </row>
    <row r="7080" spans="1:7">
      <c r="A7080" t="s">
        <v>1297</v>
      </c>
      <c r="B7080" t="s">
        <v>1298</v>
      </c>
      <c r="C7080" t="s">
        <v>665</v>
      </c>
      <c r="D7080" t="s">
        <v>1380</v>
      </c>
      <c r="E7080" t="s">
        <v>187</v>
      </c>
      <c r="F7080">
        <v>2016</v>
      </c>
      <c r="G7080">
        <v>5.4378000000000002</v>
      </c>
    </row>
    <row r="7081" spans="1:7">
      <c r="A7081" t="s">
        <v>1297</v>
      </c>
      <c r="B7081" t="s">
        <v>1298</v>
      </c>
      <c r="C7081" t="s">
        <v>665</v>
      </c>
      <c r="D7081" t="s">
        <v>1380</v>
      </c>
      <c r="E7081" t="s">
        <v>187</v>
      </c>
      <c r="F7081">
        <v>2020</v>
      </c>
      <c r="G7081">
        <v>5.9321700000000002</v>
      </c>
    </row>
    <row r="7082" spans="1:7">
      <c r="A7082" t="s">
        <v>1297</v>
      </c>
      <c r="B7082" t="s">
        <v>1298</v>
      </c>
      <c r="C7082" t="s">
        <v>671</v>
      </c>
      <c r="D7082" t="s">
        <v>1380</v>
      </c>
      <c r="E7082" t="s">
        <v>187</v>
      </c>
      <c r="F7082">
        <v>2005</v>
      </c>
      <c r="G7082">
        <v>1.0835999999999999</v>
      </c>
    </row>
    <row r="7083" spans="1:7">
      <c r="A7083" t="s">
        <v>1297</v>
      </c>
      <c r="B7083" t="s">
        <v>1298</v>
      </c>
      <c r="C7083" t="s">
        <v>671</v>
      </c>
      <c r="D7083" t="s">
        <v>1380</v>
      </c>
      <c r="E7083" t="s">
        <v>187</v>
      </c>
      <c r="F7083">
        <v>2010</v>
      </c>
      <c r="G7083">
        <v>1.4859</v>
      </c>
    </row>
    <row r="7084" spans="1:7">
      <c r="A7084" t="s">
        <v>1297</v>
      </c>
      <c r="B7084" t="s">
        <v>1298</v>
      </c>
      <c r="C7084" t="s">
        <v>671</v>
      </c>
      <c r="D7084" t="s">
        <v>1380</v>
      </c>
      <c r="E7084" t="s">
        <v>187</v>
      </c>
      <c r="F7084">
        <v>2012</v>
      </c>
      <c r="G7084">
        <v>1.7964</v>
      </c>
    </row>
    <row r="7085" spans="1:7">
      <c r="A7085" t="s">
        <v>1297</v>
      </c>
      <c r="B7085" t="s">
        <v>1298</v>
      </c>
      <c r="C7085" t="s">
        <v>671</v>
      </c>
      <c r="D7085" t="s">
        <v>1380</v>
      </c>
      <c r="E7085" t="s">
        <v>187</v>
      </c>
      <c r="F7085">
        <v>2016</v>
      </c>
      <c r="G7085">
        <v>1.3049999999999999</v>
      </c>
    </row>
    <row r="7086" spans="1:7">
      <c r="A7086" t="s">
        <v>1297</v>
      </c>
      <c r="B7086" t="s">
        <v>1298</v>
      </c>
      <c r="C7086" t="s">
        <v>671</v>
      </c>
      <c r="D7086" t="s">
        <v>1380</v>
      </c>
      <c r="E7086" t="s">
        <v>187</v>
      </c>
      <c r="F7086">
        <v>2020</v>
      </c>
      <c r="G7086">
        <v>1.5580689999999999</v>
      </c>
    </row>
    <row r="7087" spans="1:7">
      <c r="A7087" t="s">
        <v>1297</v>
      </c>
      <c r="B7087" t="s">
        <v>1298</v>
      </c>
      <c r="C7087" t="s">
        <v>661</v>
      </c>
      <c r="D7087" t="s">
        <v>1380</v>
      </c>
      <c r="E7087" t="s">
        <v>187</v>
      </c>
      <c r="F7087">
        <v>2005</v>
      </c>
      <c r="G7087">
        <v>12.278565</v>
      </c>
    </row>
    <row r="7088" spans="1:7">
      <c r="A7088" t="s">
        <v>1297</v>
      </c>
      <c r="B7088" t="s">
        <v>1298</v>
      </c>
      <c r="C7088" t="s">
        <v>661</v>
      </c>
      <c r="D7088" t="s">
        <v>1380</v>
      </c>
      <c r="E7088" t="s">
        <v>187</v>
      </c>
      <c r="F7088">
        <v>2010</v>
      </c>
      <c r="G7088">
        <v>8.5753190000000004</v>
      </c>
    </row>
    <row r="7089" spans="1:7">
      <c r="A7089" t="s">
        <v>1297</v>
      </c>
      <c r="B7089" t="s">
        <v>1298</v>
      </c>
      <c r="C7089" t="s">
        <v>661</v>
      </c>
      <c r="D7089" t="s">
        <v>1380</v>
      </c>
      <c r="E7089" t="s">
        <v>187</v>
      </c>
      <c r="F7089">
        <v>2012</v>
      </c>
      <c r="G7089">
        <v>8.0373129999999993</v>
      </c>
    </row>
    <row r="7090" spans="1:7">
      <c r="A7090" t="s">
        <v>1297</v>
      </c>
      <c r="B7090" t="s">
        <v>1298</v>
      </c>
      <c r="C7090" t="s">
        <v>661</v>
      </c>
      <c r="D7090" t="s">
        <v>1380</v>
      </c>
      <c r="E7090" t="s">
        <v>187</v>
      </c>
      <c r="F7090">
        <v>2016</v>
      </c>
      <c r="G7090">
        <v>6.9146910000000004</v>
      </c>
    </row>
    <row r="7091" spans="1:7">
      <c r="A7091" t="s">
        <v>1297</v>
      </c>
      <c r="B7091" t="s">
        <v>1298</v>
      </c>
      <c r="C7091" t="s">
        <v>661</v>
      </c>
      <c r="D7091" t="s">
        <v>1380</v>
      </c>
      <c r="E7091" t="s">
        <v>187</v>
      </c>
      <c r="F7091">
        <v>2020</v>
      </c>
      <c r="G7091">
        <v>7.9057930000000001</v>
      </c>
    </row>
    <row r="7092" spans="1:7">
      <c r="A7092" t="s">
        <v>1297</v>
      </c>
      <c r="B7092" t="s">
        <v>1298</v>
      </c>
      <c r="C7092" t="s">
        <v>663</v>
      </c>
      <c r="D7092" t="s">
        <v>1380</v>
      </c>
      <c r="E7092" t="s">
        <v>187</v>
      </c>
      <c r="F7092">
        <v>2005</v>
      </c>
      <c r="G7092">
        <v>9.2042999999999999</v>
      </c>
    </row>
    <row r="7093" spans="1:7">
      <c r="A7093" t="s">
        <v>1297</v>
      </c>
      <c r="B7093" t="s">
        <v>1298</v>
      </c>
      <c r="C7093" t="s">
        <v>663</v>
      </c>
      <c r="D7093" t="s">
        <v>1380</v>
      </c>
      <c r="E7093" t="s">
        <v>187</v>
      </c>
      <c r="F7093">
        <v>2010</v>
      </c>
      <c r="G7093">
        <v>5.1677999999999997</v>
      </c>
    </row>
    <row r="7094" spans="1:7">
      <c r="A7094" t="s">
        <v>1297</v>
      </c>
      <c r="B7094" t="s">
        <v>1298</v>
      </c>
      <c r="C7094" t="s">
        <v>663</v>
      </c>
      <c r="D7094" t="s">
        <v>1380</v>
      </c>
      <c r="E7094" t="s">
        <v>187</v>
      </c>
      <c r="F7094">
        <v>2012</v>
      </c>
      <c r="G7094">
        <v>3.9456000000000002</v>
      </c>
    </row>
    <row r="7095" spans="1:7">
      <c r="A7095" t="s">
        <v>1297</v>
      </c>
      <c r="B7095" t="s">
        <v>1298</v>
      </c>
      <c r="C7095" t="s">
        <v>663</v>
      </c>
      <c r="D7095" t="s">
        <v>1380</v>
      </c>
      <c r="E7095" t="s">
        <v>187</v>
      </c>
      <c r="F7095">
        <v>2016</v>
      </c>
      <c r="G7095">
        <v>6.2177579999999999</v>
      </c>
    </row>
    <row r="7096" spans="1:7">
      <c r="A7096" t="s">
        <v>1297</v>
      </c>
      <c r="B7096" t="s">
        <v>1298</v>
      </c>
      <c r="C7096" t="s">
        <v>663</v>
      </c>
      <c r="D7096" t="s">
        <v>1380</v>
      </c>
      <c r="E7096" t="s">
        <v>187</v>
      </c>
      <c r="F7096">
        <v>2020</v>
      </c>
      <c r="G7096">
        <v>5.4207000000000001</v>
      </c>
    </row>
    <row r="7097" spans="1:7">
      <c r="A7097" t="s">
        <v>1297</v>
      </c>
      <c r="B7097" t="s">
        <v>1298</v>
      </c>
      <c r="C7097" t="s">
        <v>656</v>
      </c>
      <c r="D7097" t="s">
        <v>1380</v>
      </c>
      <c r="E7097" t="s">
        <v>187</v>
      </c>
      <c r="F7097">
        <v>2016</v>
      </c>
      <c r="G7097">
        <v>13.935521</v>
      </c>
    </row>
    <row r="7098" spans="1:7">
      <c r="A7098" t="s">
        <v>1297</v>
      </c>
      <c r="B7098" t="s">
        <v>1298</v>
      </c>
      <c r="C7098" t="s">
        <v>656</v>
      </c>
      <c r="D7098" t="s">
        <v>1380</v>
      </c>
      <c r="E7098" t="s">
        <v>187</v>
      </c>
      <c r="F7098">
        <v>2020</v>
      </c>
      <c r="G7098">
        <v>10.7883</v>
      </c>
    </row>
    <row r="7099" spans="1:7">
      <c r="A7099" t="s">
        <v>1297</v>
      </c>
      <c r="B7099" t="s">
        <v>1298</v>
      </c>
      <c r="C7099" t="s">
        <v>660</v>
      </c>
      <c r="D7099" t="s">
        <v>1380</v>
      </c>
      <c r="E7099" t="s">
        <v>187</v>
      </c>
      <c r="F7099">
        <v>2005</v>
      </c>
      <c r="G7099">
        <v>0.54</v>
      </c>
    </row>
    <row r="7100" spans="1:7">
      <c r="A7100" t="s">
        <v>1297</v>
      </c>
      <c r="B7100" t="s">
        <v>1298</v>
      </c>
      <c r="C7100" t="s">
        <v>660</v>
      </c>
      <c r="D7100" t="s">
        <v>1380</v>
      </c>
      <c r="E7100" t="s">
        <v>187</v>
      </c>
      <c r="F7100">
        <v>2010</v>
      </c>
      <c r="G7100">
        <v>0.25019999999999998</v>
      </c>
    </row>
    <row r="7101" spans="1:7">
      <c r="A7101" t="s">
        <v>1297</v>
      </c>
      <c r="B7101" t="s">
        <v>1298</v>
      </c>
      <c r="C7101" t="s">
        <v>660</v>
      </c>
      <c r="D7101" t="s">
        <v>1380</v>
      </c>
      <c r="E7101" t="s">
        <v>187</v>
      </c>
      <c r="F7101">
        <v>2012</v>
      </c>
      <c r="G7101">
        <v>0.1053</v>
      </c>
    </row>
    <row r="7102" spans="1:7">
      <c r="A7102" t="s">
        <v>1297</v>
      </c>
      <c r="B7102" t="s">
        <v>1298</v>
      </c>
      <c r="C7102" t="s">
        <v>660</v>
      </c>
      <c r="D7102" t="s">
        <v>1380</v>
      </c>
      <c r="E7102" t="s">
        <v>187</v>
      </c>
      <c r="F7102">
        <v>2016</v>
      </c>
      <c r="G7102">
        <v>4.3201000000000003E-2</v>
      </c>
    </row>
    <row r="7103" spans="1:7">
      <c r="A7103" t="s">
        <v>1297</v>
      </c>
      <c r="B7103" t="s">
        <v>1298</v>
      </c>
      <c r="C7103" t="s">
        <v>660</v>
      </c>
      <c r="D7103" t="s">
        <v>1380</v>
      </c>
      <c r="E7103" t="s">
        <v>187</v>
      </c>
      <c r="F7103">
        <v>2020</v>
      </c>
      <c r="G7103">
        <v>4.3203999999999999E-2</v>
      </c>
    </row>
    <row r="7104" spans="1:7">
      <c r="A7104" t="s">
        <v>1297</v>
      </c>
      <c r="B7104" t="s">
        <v>1298</v>
      </c>
      <c r="C7104" t="s">
        <v>672</v>
      </c>
      <c r="D7104" t="s">
        <v>1380</v>
      </c>
      <c r="E7104" t="s">
        <v>187</v>
      </c>
      <c r="F7104">
        <v>2005</v>
      </c>
      <c r="G7104">
        <v>0.1593</v>
      </c>
    </row>
    <row r="7105" spans="1:7">
      <c r="A7105" t="s">
        <v>1297</v>
      </c>
      <c r="B7105" t="s">
        <v>1298</v>
      </c>
      <c r="C7105" t="s">
        <v>672</v>
      </c>
      <c r="D7105" t="s">
        <v>1380</v>
      </c>
      <c r="E7105" t="s">
        <v>187</v>
      </c>
      <c r="F7105">
        <v>2010</v>
      </c>
      <c r="G7105">
        <v>0.16020000000000001</v>
      </c>
    </row>
    <row r="7106" spans="1:7">
      <c r="A7106" t="s">
        <v>1297</v>
      </c>
      <c r="B7106" t="s">
        <v>1298</v>
      </c>
      <c r="C7106" t="s">
        <v>672</v>
      </c>
      <c r="D7106" t="s">
        <v>1380</v>
      </c>
      <c r="E7106" t="s">
        <v>187</v>
      </c>
      <c r="F7106">
        <v>2012</v>
      </c>
      <c r="G7106">
        <v>0.2349</v>
      </c>
    </row>
    <row r="7107" spans="1:7">
      <c r="A7107" t="s">
        <v>1297</v>
      </c>
      <c r="B7107" t="s">
        <v>1298</v>
      </c>
      <c r="C7107" t="s">
        <v>672</v>
      </c>
      <c r="D7107" t="s">
        <v>1380</v>
      </c>
      <c r="E7107" t="s">
        <v>187</v>
      </c>
      <c r="F7107">
        <v>2016</v>
      </c>
      <c r="G7107">
        <v>0.20577599999999999</v>
      </c>
    </row>
    <row r="7108" spans="1:7">
      <c r="A7108" t="s">
        <v>1297</v>
      </c>
      <c r="B7108" t="s">
        <v>1298</v>
      </c>
      <c r="C7108" t="s">
        <v>672</v>
      </c>
      <c r="D7108" t="s">
        <v>1380</v>
      </c>
      <c r="E7108" t="s">
        <v>187</v>
      </c>
      <c r="F7108">
        <v>2020</v>
      </c>
      <c r="G7108">
        <v>0.27066499999999999</v>
      </c>
    </row>
    <row r="7109" spans="1:7">
      <c r="A7109" t="s">
        <v>1297</v>
      </c>
      <c r="B7109" t="s">
        <v>1298</v>
      </c>
      <c r="C7109" t="s">
        <v>676</v>
      </c>
      <c r="D7109" t="s">
        <v>1380</v>
      </c>
      <c r="E7109" t="s">
        <v>187</v>
      </c>
      <c r="F7109">
        <v>2005</v>
      </c>
      <c r="G7109">
        <v>1.6704000000000001</v>
      </c>
    </row>
    <row r="7110" spans="1:7">
      <c r="A7110" t="s">
        <v>1297</v>
      </c>
      <c r="B7110" t="s">
        <v>1298</v>
      </c>
      <c r="C7110" t="s">
        <v>676</v>
      </c>
      <c r="D7110" t="s">
        <v>1380</v>
      </c>
      <c r="E7110" t="s">
        <v>187</v>
      </c>
      <c r="F7110">
        <v>2010</v>
      </c>
      <c r="G7110">
        <v>1.3401000000000001</v>
      </c>
    </row>
    <row r="7111" spans="1:7">
      <c r="A7111" t="s">
        <v>1297</v>
      </c>
      <c r="B7111" t="s">
        <v>1298</v>
      </c>
      <c r="C7111" t="s">
        <v>676</v>
      </c>
      <c r="D7111" t="s">
        <v>1380</v>
      </c>
      <c r="E7111" t="s">
        <v>187</v>
      </c>
      <c r="F7111">
        <v>2012</v>
      </c>
      <c r="G7111">
        <v>1.3383</v>
      </c>
    </row>
    <row r="7112" spans="1:7">
      <c r="A7112" t="s">
        <v>1297</v>
      </c>
      <c r="B7112" t="s">
        <v>1298</v>
      </c>
      <c r="C7112" t="s">
        <v>676</v>
      </c>
      <c r="D7112" t="s">
        <v>1380</v>
      </c>
      <c r="E7112" t="s">
        <v>187</v>
      </c>
      <c r="F7112">
        <v>2016</v>
      </c>
      <c r="G7112">
        <v>1.0367999999999999</v>
      </c>
    </row>
    <row r="7113" spans="1:7">
      <c r="A7113" t="s">
        <v>1297</v>
      </c>
      <c r="B7113" t="s">
        <v>1298</v>
      </c>
      <c r="C7113" t="s">
        <v>676</v>
      </c>
      <c r="D7113" t="s">
        <v>1380</v>
      </c>
      <c r="E7113" t="s">
        <v>187</v>
      </c>
      <c r="F7113">
        <v>2020</v>
      </c>
      <c r="G7113">
        <v>0.91620800000000002</v>
      </c>
    </row>
    <row r="7114" spans="1:7">
      <c r="A7114" t="s">
        <v>1297</v>
      </c>
      <c r="B7114" t="s">
        <v>1298</v>
      </c>
      <c r="C7114" t="s">
        <v>658</v>
      </c>
      <c r="D7114" t="s">
        <v>1380</v>
      </c>
      <c r="E7114" t="s">
        <v>187</v>
      </c>
      <c r="F7114">
        <v>2005</v>
      </c>
      <c r="G7114">
        <v>0.27</v>
      </c>
    </row>
    <row r="7115" spans="1:7">
      <c r="A7115" t="s">
        <v>1297</v>
      </c>
      <c r="B7115" t="s">
        <v>1298</v>
      </c>
      <c r="C7115" t="s">
        <v>658</v>
      </c>
      <c r="D7115" t="s">
        <v>1380</v>
      </c>
      <c r="E7115" t="s">
        <v>187</v>
      </c>
      <c r="F7115">
        <v>2010</v>
      </c>
      <c r="G7115">
        <v>0.34200000000000003</v>
      </c>
    </row>
    <row r="7116" spans="1:7">
      <c r="A7116" t="s">
        <v>1297</v>
      </c>
      <c r="B7116" t="s">
        <v>1298</v>
      </c>
      <c r="C7116" t="s">
        <v>658</v>
      </c>
      <c r="D7116" t="s">
        <v>1380</v>
      </c>
      <c r="E7116" t="s">
        <v>187</v>
      </c>
      <c r="F7116">
        <v>2012</v>
      </c>
      <c r="G7116">
        <v>0.34560000000000002</v>
      </c>
    </row>
    <row r="7117" spans="1:7">
      <c r="A7117" t="s">
        <v>1297</v>
      </c>
      <c r="B7117" t="s">
        <v>1298</v>
      </c>
      <c r="C7117" t="s">
        <v>658</v>
      </c>
      <c r="D7117" t="s">
        <v>1380</v>
      </c>
      <c r="E7117" t="s">
        <v>187</v>
      </c>
      <c r="F7117">
        <v>2016</v>
      </c>
      <c r="G7117">
        <v>0.19350000000000001</v>
      </c>
    </row>
    <row r="7118" spans="1:7">
      <c r="A7118" t="s">
        <v>1297</v>
      </c>
      <c r="B7118" t="s">
        <v>1298</v>
      </c>
      <c r="C7118" t="s">
        <v>658</v>
      </c>
      <c r="D7118" t="s">
        <v>1380</v>
      </c>
      <c r="E7118" t="s">
        <v>187</v>
      </c>
      <c r="F7118">
        <v>2020</v>
      </c>
      <c r="G7118">
        <v>0.17100199999999999</v>
      </c>
    </row>
    <row r="7119" spans="1:7">
      <c r="A7119" t="s">
        <v>1297</v>
      </c>
      <c r="B7119" t="s">
        <v>1298</v>
      </c>
      <c r="C7119" t="s">
        <v>653</v>
      </c>
      <c r="D7119" t="s">
        <v>1380</v>
      </c>
      <c r="E7119" t="s">
        <v>187</v>
      </c>
      <c r="F7119">
        <v>2005</v>
      </c>
      <c r="G7119">
        <v>1.1114999999999999</v>
      </c>
    </row>
    <row r="7120" spans="1:7">
      <c r="A7120" t="s">
        <v>1297</v>
      </c>
      <c r="B7120" t="s">
        <v>1298</v>
      </c>
      <c r="C7120" t="s">
        <v>653</v>
      </c>
      <c r="D7120" t="s">
        <v>1380</v>
      </c>
      <c r="E7120" t="s">
        <v>187</v>
      </c>
      <c r="F7120">
        <v>2010</v>
      </c>
      <c r="G7120">
        <v>1.0260119999999999</v>
      </c>
    </row>
    <row r="7121" spans="1:7">
      <c r="A7121" t="s">
        <v>1297</v>
      </c>
      <c r="B7121" t="s">
        <v>1298</v>
      </c>
      <c r="C7121" t="s">
        <v>653</v>
      </c>
      <c r="D7121" t="s">
        <v>1380</v>
      </c>
      <c r="E7121" t="s">
        <v>187</v>
      </c>
      <c r="F7121">
        <v>2012</v>
      </c>
      <c r="G7121">
        <v>0.94410300000000003</v>
      </c>
    </row>
    <row r="7122" spans="1:7">
      <c r="A7122" t="s">
        <v>1297</v>
      </c>
      <c r="B7122" t="s">
        <v>1298</v>
      </c>
      <c r="C7122" t="s">
        <v>653</v>
      </c>
      <c r="D7122" t="s">
        <v>1380</v>
      </c>
      <c r="E7122" t="s">
        <v>187</v>
      </c>
      <c r="F7122">
        <v>2016</v>
      </c>
      <c r="G7122">
        <v>0.61019800000000002</v>
      </c>
    </row>
    <row r="7123" spans="1:7">
      <c r="A7123" t="s">
        <v>1297</v>
      </c>
      <c r="B7123" t="s">
        <v>1298</v>
      </c>
      <c r="C7123" t="s">
        <v>653</v>
      </c>
      <c r="D7123" t="s">
        <v>1380</v>
      </c>
      <c r="E7123" t="s">
        <v>187</v>
      </c>
      <c r="F7123">
        <v>2020</v>
      </c>
      <c r="G7123">
        <v>0.41554600000000003</v>
      </c>
    </row>
    <row r="7124" spans="1:7">
      <c r="A7124" t="s">
        <v>1297</v>
      </c>
      <c r="B7124" t="s">
        <v>1298</v>
      </c>
      <c r="C7124" t="s">
        <v>651</v>
      </c>
      <c r="D7124" t="s">
        <v>1380</v>
      </c>
      <c r="E7124" t="s">
        <v>187</v>
      </c>
      <c r="F7124">
        <v>2005</v>
      </c>
      <c r="G7124">
        <v>0.77037900000000004</v>
      </c>
    </row>
    <row r="7125" spans="1:7">
      <c r="A7125" t="s">
        <v>1297</v>
      </c>
      <c r="B7125" t="s">
        <v>1298</v>
      </c>
      <c r="C7125" t="s">
        <v>651</v>
      </c>
      <c r="D7125" t="s">
        <v>1380</v>
      </c>
      <c r="E7125" t="s">
        <v>187</v>
      </c>
      <c r="F7125">
        <v>2010</v>
      </c>
      <c r="G7125">
        <v>0.84290200000000004</v>
      </c>
    </row>
    <row r="7126" spans="1:7">
      <c r="A7126" t="s">
        <v>1297</v>
      </c>
      <c r="B7126" t="s">
        <v>1298</v>
      </c>
      <c r="C7126" t="s">
        <v>651</v>
      </c>
      <c r="D7126" t="s">
        <v>1380</v>
      </c>
      <c r="E7126" t="s">
        <v>187</v>
      </c>
      <c r="F7126">
        <v>2012</v>
      </c>
      <c r="G7126">
        <v>0.45957100000000001</v>
      </c>
    </row>
    <row r="7127" spans="1:7">
      <c r="A7127" t="s">
        <v>1297</v>
      </c>
      <c r="B7127" t="s">
        <v>1298</v>
      </c>
      <c r="C7127" t="s">
        <v>651</v>
      </c>
      <c r="D7127" t="s">
        <v>1380</v>
      </c>
      <c r="E7127" t="s">
        <v>187</v>
      </c>
      <c r="F7127">
        <v>2016</v>
      </c>
      <c r="G7127">
        <v>0.74111000000000005</v>
      </c>
    </row>
    <row r="7128" spans="1:7">
      <c r="A7128" t="s">
        <v>1297</v>
      </c>
      <c r="B7128" t="s">
        <v>1298</v>
      </c>
      <c r="C7128" t="s">
        <v>651</v>
      </c>
      <c r="D7128" t="s">
        <v>1380</v>
      </c>
      <c r="E7128" t="s">
        <v>187</v>
      </c>
      <c r="F7128">
        <v>2020</v>
      </c>
      <c r="G7128">
        <v>1.080193</v>
      </c>
    </row>
    <row r="7129" spans="1:7">
      <c r="A7129" t="s">
        <v>1297</v>
      </c>
      <c r="B7129" t="s">
        <v>1298</v>
      </c>
      <c r="C7129" t="s">
        <v>657</v>
      </c>
      <c r="D7129" t="s">
        <v>1380</v>
      </c>
      <c r="E7129" t="s">
        <v>187</v>
      </c>
      <c r="F7129">
        <v>2005</v>
      </c>
      <c r="G7129">
        <v>2.248224</v>
      </c>
    </row>
    <row r="7130" spans="1:7">
      <c r="A7130" t="s">
        <v>1297</v>
      </c>
      <c r="B7130" t="s">
        <v>1298</v>
      </c>
      <c r="C7130" t="s">
        <v>657</v>
      </c>
      <c r="D7130" t="s">
        <v>1380</v>
      </c>
      <c r="E7130" t="s">
        <v>187</v>
      </c>
      <c r="F7130">
        <v>2010</v>
      </c>
      <c r="G7130">
        <v>1.7550140000000001</v>
      </c>
    </row>
    <row r="7131" spans="1:7">
      <c r="A7131" t="s">
        <v>1297</v>
      </c>
      <c r="B7131" t="s">
        <v>1298</v>
      </c>
      <c r="C7131" t="s">
        <v>657</v>
      </c>
      <c r="D7131" t="s">
        <v>1380</v>
      </c>
      <c r="E7131" t="s">
        <v>187</v>
      </c>
      <c r="F7131">
        <v>2012</v>
      </c>
      <c r="G7131">
        <v>1.586721</v>
      </c>
    </row>
    <row r="7132" spans="1:7">
      <c r="A7132" t="s">
        <v>1297</v>
      </c>
      <c r="B7132" t="s">
        <v>1298</v>
      </c>
      <c r="C7132" t="s">
        <v>657</v>
      </c>
      <c r="D7132" t="s">
        <v>1380</v>
      </c>
      <c r="E7132" t="s">
        <v>187</v>
      </c>
      <c r="F7132">
        <v>2016</v>
      </c>
      <c r="G7132">
        <v>1.680153</v>
      </c>
    </row>
    <row r="7133" spans="1:7">
      <c r="A7133" t="s">
        <v>1297</v>
      </c>
      <c r="B7133" t="s">
        <v>1298</v>
      </c>
      <c r="C7133" t="s">
        <v>657</v>
      </c>
      <c r="D7133" t="s">
        <v>1380</v>
      </c>
      <c r="E7133" t="s">
        <v>187</v>
      </c>
      <c r="F7133">
        <v>2020</v>
      </c>
      <c r="G7133">
        <v>1.477806</v>
      </c>
    </row>
    <row r="7134" spans="1:7">
      <c r="A7134" t="s">
        <v>1297</v>
      </c>
      <c r="B7134" t="s">
        <v>1298</v>
      </c>
      <c r="C7134" t="s">
        <v>666</v>
      </c>
      <c r="D7134" t="s">
        <v>1380</v>
      </c>
      <c r="E7134" t="s">
        <v>187</v>
      </c>
      <c r="F7134">
        <v>2016</v>
      </c>
      <c r="G7134">
        <v>0.8982</v>
      </c>
    </row>
    <row r="7135" spans="1:7">
      <c r="A7135" t="s">
        <v>1297</v>
      </c>
      <c r="B7135" t="s">
        <v>1298</v>
      </c>
      <c r="C7135" t="s">
        <v>666</v>
      </c>
      <c r="D7135" t="s">
        <v>1380</v>
      </c>
      <c r="E7135" t="s">
        <v>187</v>
      </c>
      <c r="F7135">
        <v>2020</v>
      </c>
      <c r="G7135">
        <v>0.86581699999999995</v>
      </c>
    </row>
    <row r="7136" spans="1:7">
      <c r="A7136" t="s">
        <v>1297</v>
      </c>
      <c r="B7136" t="s">
        <v>1298</v>
      </c>
      <c r="C7136" t="s">
        <v>677</v>
      </c>
      <c r="D7136" t="s">
        <v>1380</v>
      </c>
      <c r="E7136" t="s">
        <v>187</v>
      </c>
      <c r="F7136">
        <v>2005</v>
      </c>
      <c r="G7136">
        <v>7.3259999999999996</v>
      </c>
    </row>
    <row r="7137" spans="1:7">
      <c r="A7137" t="s">
        <v>1297</v>
      </c>
      <c r="B7137" t="s">
        <v>1298</v>
      </c>
      <c r="C7137" t="s">
        <v>677</v>
      </c>
      <c r="D7137" t="s">
        <v>1380</v>
      </c>
      <c r="E7137" t="s">
        <v>187</v>
      </c>
      <c r="F7137">
        <v>2010</v>
      </c>
      <c r="G7137">
        <v>4.4352</v>
      </c>
    </row>
    <row r="7138" spans="1:7">
      <c r="A7138" t="s">
        <v>1297</v>
      </c>
      <c r="B7138" t="s">
        <v>1298</v>
      </c>
      <c r="C7138" t="s">
        <v>677</v>
      </c>
      <c r="D7138" t="s">
        <v>1380</v>
      </c>
      <c r="E7138" t="s">
        <v>187</v>
      </c>
      <c r="F7138">
        <v>2012</v>
      </c>
      <c r="G7138">
        <v>3.7656000000000001</v>
      </c>
    </row>
    <row r="7139" spans="1:7">
      <c r="A7139" t="s">
        <v>1297</v>
      </c>
      <c r="B7139" t="s">
        <v>1298</v>
      </c>
      <c r="C7139" t="s">
        <v>677</v>
      </c>
      <c r="D7139" t="s">
        <v>1380</v>
      </c>
      <c r="E7139" t="s">
        <v>187</v>
      </c>
      <c r="F7139">
        <v>2016</v>
      </c>
      <c r="G7139">
        <v>3.2641559999999998</v>
      </c>
    </row>
    <row r="7140" spans="1:7">
      <c r="A7140" t="s">
        <v>1297</v>
      </c>
      <c r="B7140" t="s">
        <v>1298</v>
      </c>
      <c r="C7140" t="s">
        <v>677</v>
      </c>
      <c r="D7140" t="s">
        <v>1380</v>
      </c>
      <c r="E7140" t="s">
        <v>187</v>
      </c>
      <c r="F7140">
        <v>2020</v>
      </c>
      <c r="G7140">
        <v>3.492</v>
      </c>
    </row>
    <row r="7141" spans="1:7">
      <c r="A7141" t="s">
        <v>1297</v>
      </c>
      <c r="B7141" t="s">
        <v>1298</v>
      </c>
      <c r="C7141" t="s">
        <v>1303</v>
      </c>
      <c r="D7141" t="s">
        <v>1380</v>
      </c>
      <c r="E7141" t="s">
        <v>187</v>
      </c>
      <c r="F7141">
        <v>2016</v>
      </c>
      <c r="G7141">
        <v>0.36377700000000002</v>
      </c>
    </row>
    <row r="7142" spans="1:7">
      <c r="A7142" t="s">
        <v>1297</v>
      </c>
      <c r="B7142" t="s">
        <v>1298</v>
      </c>
      <c r="C7142" t="s">
        <v>1303</v>
      </c>
      <c r="D7142" t="s">
        <v>1380</v>
      </c>
      <c r="E7142" t="s">
        <v>187</v>
      </c>
      <c r="F7142">
        <v>2020</v>
      </c>
      <c r="G7142">
        <v>0.30780200000000002</v>
      </c>
    </row>
    <row r="7143" spans="1:7">
      <c r="A7143" t="s">
        <v>1297</v>
      </c>
      <c r="B7143" t="s">
        <v>1298</v>
      </c>
      <c r="C7143" t="s">
        <v>1300</v>
      </c>
      <c r="D7143" t="s">
        <v>1380</v>
      </c>
      <c r="E7143" t="s">
        <v>187</v>
      </c>
      <c r="F7143">
        <v>2010</v>
      </c>
      <c r="G7143">
        <v>8.6400000000000005E-2</v>
      </c>
    </row>
    <row r="7144" spans="1:7">
      <c r="A7144" t="s">
        <v>1297</v>
      </c>
      <c r="B7144" t="s">
        <v>1298</v>
      </c>
      <c r="C7144" t="s">
        <v>1300</v>
      </c>
      <c r="D7144" t="s">
        <v>1380</v>
      </c>
      <c r="E7144" t="s">
        <v>187</v>
      </c>
      <c r="F7144">
        <v>2012</v>
      </c>
      <c r="G7144">
        <v>0.1188</v>
      </c>
    </row>
    <row r="7145" spans="1:7">
      <c r="A7145" t="s">
        <v>1297</v>
      </c>
      <c r="B7145" t="s">
        <v>1298</v>
      </c>
      <c r="C7145" t="s">
        <v>1300</v>
      </c>
      <c r="D7145" t="s">
        <v>1380</v>
      </c>
      <c r="E7145" t="s">
        <v>187</v>
      </c>
      <c r="F7145">
        <v>2016</v>
      </c>
      <c r="G7145">
        <v>7.7399999999999997E-2</v>
      </c>
    </row>
    <row r="7146" spans="1:7">
      <c r="A7146" t="s">
        <v>1297</v>
      </c>
      <c r="B7146" t="s">
        <v>1298</v>
      </c>
      <c r="C7146" t="s">
        <v>1300</v>
      </c>
      <c r="D7146" t="s">
        <v>1380</v>
      </c>
      <c r="E7146" t="s">
        <v>187</v>
      </c>
      <c r="F7146">
        <v>2020</v>
      </c>
      <c r="G7146">
        <v>0.113399</v>
      </c>
    </row>
    <row r="7147" spans="1:7">
      <c r="A7147" t="s">
        <v>1297</v>
      </c>
      <c r="B7147" t="s">
        <v>1298</v>
      </c>
      <c r="C7147" t="s">
        <v>668</v>
      </c>
      <c r="D7147" t="s">
        <v>1380</v>
      </c>
      <c r="E7147" t="s">
        <v>187</v>
      </c>
      <c r="F7147">
        <v>2005</v>
      </c>
      <c r="G7147">
        <v>0.73799999999999999</v>
      </c>
    </row>
    <row r="7148" spans="1:7">
      <c r="A7148" t="s">
        <v>1297</v>
      </c>
      <c r="B7148" t="s">
        <v>1298</v>
      </c>
      <c r="C7148" t="s">
        <v>668</v>
      </c>
      <c r="D7148" t="s">
        <v>1380</v>
      </c>
      <c r="E7148" t="s">
        <v>187</v>
      </c>
      <c r="F7148">
        <v>2010</v>
      </c>
      <c r="G7148">
        <v>0.63900000000000001</v>
      </c>
    </row>
    <row r="7149" spans="1:7">
      <c r="A7149" t="s">
        <v>1297</v>
      </c>
      <c r="B7149" t="s">
        <v>1298</v>
      </c>
      <c r="C7149" t="s">
        <v>668</v>
      </c>
      <c r="D7149" t="s">
        <v>1380</v>
      </c>
      <c r="E7149" t="s">
        <v>187</v>
      </c>
      <c r="F7149">
        <v>2012</v>
      </c>
      <c r="G7149">
        <v>0.67230000000000001</v>
      </c>
    </row>
    <row r="7150" spans="1:7">
      <c r="A7150" t="s">
        <v>1297</v>
      </c>
      <c r="B7150" t="s">
        <v>1298</v>
      </c>
      <c r="C7150" t="s">
        <v>668</v>
      </c>
      <c r="D7150" t="s">
        <v>1380</v>
      </c>
      <c r="E7150" t="s">
        <v>187</v>
      </c>
      <c r="F7150">
        <v>2016</v>
      </c>
      <c r="G7150">
        <v>0.54719499999999999</v>
      </c>
    </row>
    <row r="7151" spans="1:7">
      <c r="A7151" t="s">
        <v>1297</v>
      </c>
      <c r="B7151" t="s">
        <v>1298</v>
      </c>
      <c r="C7151" t="s">
        <v>668</v>
      </c>
      <c r="D7151" t="s">
        <v>1380</v>
      </c>
      <c r="E7151" t="s">
        <v>187</v>
      </c>
      <c r="F7151">
        <v>2020</v>
      </c>
      <c r="G7151">
        <v>0.213033</v>
      </c>
    </row>
    <row r="7152" spans="1:7">
      <c r="A7152" t="s">
        <v>1297</v>
      </c>
      <c r="B7152" t="s">
        <v>1298</v>
      </c>
      <c r="C7152" t="s">
        <v>686</v>
      </c>
      <c r="D7152" t="s">
        <v>1380</v>
      </c>
      <c r="E7152" t="s">
        <v>187</v>
      </c>
      <c r="F7152">
        <v>2010</v>
      </c>
      <c r="G7152">
        <v>0.61109999999999998</v>
      </c>
    </row>
    <row r="7153" spans="1:7">
      <c r="A7153" t="s">
        <v>1297</v>
      </c>
      <c r="B7153" t="s">
        <v>1298</v>
      </c>
      <c r="C7153" t="s">
        <v>686</v>
      </c>
      <c r="D7153" t="s">
        <v>1380</v>
      </c>
      <c r="E7153" t="s">
        <v>187</v>
      </c>
      <c r="F7153">
        <v>2012</v>
      </c>
      <c r="G7153">
        <v>0.68940000000000001</v>
      </c>
    </row>
    <row r="7154" spans="1:7">
      <c r="A7154" t="s">
        <v>1297</v>
      </c>
      <c r="B7154" t="s">
        <v>1298</v>
      </c>
      <c r="C7154" t="s">
        <v>686</v>
      </c>
      <c r="D7154" t="s">
        <v>1380</v>
      </c>
      <c r="E7154" t="s">
        <v>187</v>
      </c>
      <c r="F7154">
        <v>2016</v>
      </c>
      <c r="G7154">
        <v>0.9657</v>
      </c>
    </row>
    <row r="7155" spans="1:7">
      <c r="A7155" t="s">
        <v>1297</v>
      </c>
      <c r="B7155" t="s">
        <v>1298</v>
      </c>
      <c r="C7155" t="s">
        <v>686</v>
      </c>
      <c r="D7155" t="s">
        <v>1380</v>
      </c>
      <c r="E7155" t="s">
        <v>187</v>
      </c>
      <c r="F7155">
        <v>2020</v>
      </c>
      <c r="G7155">
        <v>0.81637999999999999</v>
      </c>
    </row>
    <row r="7156" spans="1:7">
      <c r="A7156" t="s">
        <v>1297</v>
      </c>
      <c r="B7156" t="s">
        <v>1298</v>
      </c>
      <c r="C7156" t="s">
        <v>1299</v>
      </c>
      <c r="D7156" t="s">
        <v>1380</v>
      </c>
      <c r="E7156" t="s">
        <v>187</v>
      </c>
      <c r="F7156">
        <v>2005</v>
      </c>
      <c r="G7156">
        <v>5.0265000000000004</v>
      </c>
    </row>
    <row r="7157" spans="1:7">
      <c r="A7157" t="s">
        <v>1297</v>
      </c>
      <c r="B7157" t="s">
        <v>1298</v>
      </c>
      <c r="C7157" t="s">
        <v>1299</v>
      </c>
      <c r="D7157" t="s">
        <v>1380</v>
      </c>
      <c r="E7157" t="s">
        <v>187</v>
      </c>
      <c r="F7157">
        <v>2010</v>
      </c>
      <c r="G7157">
        <v>5.3676000000000004</v>
      </c>
    </row>
    <row r="7158" spans="1:7">
      <c r="A7158" t="s">
        <v>1297</v>
      </c>
      <c r="B7158" t="s">
        <v>1298</v>
      </c>
      <c r="C7158" t="s">
        <v>1299</v>
      </c>
      <c r="D7158" t="s">
        <v>1380</v>
      </c>
      <c r="E7158" t="s">
        <v>187</v>
      </c>
      <c r="F7158">
        <v>2012</v>
      </c>
      <c r="G7158">
        <v>6.3909000000000002</v>
      </c>
    </row>
    <row r="7159" spans="1:7">
      <c r="A7159" t="s">
        <v>1297</v>
      </c>
      <c r="B7159" t="s">
        <v>1298</v>
      </c>
      <c r="C7159" t="s">
        <v>1299</v>
      </c>
      <c r="D7159" t="s">
        <v>1380</v>
      </c>
      <c r="E7159" t="s">
        <v>187</v>
      </c>
      <c r="F7159">
        <v>2016</v>
      </c>
      <c r="G7159">
        <v>5.8041</v>
      </c>
    </row>
    <row r="7160" spans="1:7">
      <c r="A7160" t="s">
        <v>1297</v>
      </c>
      <c r="B7160" t="s">
        <v>1298</v>
      </c>
      <c r="C7160" t="s">
        <v>655</v>
      </c>
      <c r="D7160" t="s">
        <v>1381</v>
      </c>
      <c r="E7160" t="s">
        <v>187</v>
      </c>
      <c r="F7160">
        <v>2005</v>
      </c>
      <c r="G7160">
        <v>53.3232</v>
      </c>
    </row>
    <row r="7161" spans="1:7">
      <c r="A7161" t="s">
        <v>1297</v>
      </c>
      <c r="B7161" t="s">
        <v>1298</v>
      </c>
      <c r="C7161" t="s">
        <v>655</v>
      </c>
      <c r="D7161" t="s">
        <v>1381</v>
      </c>
      <c r="E7161" t="s">
        <v>187</v>
      </c>
      <c r="F7161">
        <v>2010</v>
      </c>
      <c r="G7161">
        <v>54.043199999999999</v>
      </c>
    </row>
    <row r="7162" spans="1:7">
      <c r="A7162" t="s">
        <v>1297</v>
      </c>
      <c r="B7162" t="s">
        <v>1298</v>
      </c>
      <c r="C7162" t="s">
        <v>655</v>
      </c>
      <c r="D7162" t="s">
        <v>1381</v>
      </c>
      <c r="E7162" t="s">
        <v>187</v>
      </c>
      <c r="F7162">
        <v>2012</v>
      </c>
      <c r="G7162">
        <v>48.117600000000003</v>
      </c>
    </row>
    <row r="7163" spans="1:7">
      <c r="A7163" t="s">
        <v>1297</v>
      </c>
      <c r="B7163" t="s">
        <v>1298</v>
      </c>
      <c r="C7163" t="s">
        <v>655</v>
      </c>
      <c r="D7163" t="s">
        <v>1381</v>
      </c>
      <c r="E7163" t="s">
        <v>187</v>
      </c>
      <c r="F7163">
        <v>2016</v>
      </c>
      <c r="G7163">
        <v>47.214136000000003</v>
      </c>
    </row>
    <row r="7164" spans="1:7">
      <c r="A7164" t="s">
        <v>1297</v>
      </c>
      <c r="B7164" t="s">
        <v>1298</v>
      </c>
      <c r="C7164" t="s">
        <v>655</v>
      </c>
      <c r="D7164" t="s">
        <v>1381</v>
      </c>
      <c r="E7164" t="s">
        <v>187</v>
      </c>
      <c r="F7164">
        <v>2020</v>
      </c>
      <c r="G7164">
        <v>49.056275999999997</v>
      </c>
    </row>
    <row r="7165" spans="1:7">
      <c r="A7165" t="s">
        <v>1297</v>
      </c>
      <c r="B7165" t="s">
        <v>1298</v>
      </c>
      <c r="C7165" t="s">
        <v>675</v>
      </c>
      <c r="D7165" t="s">
        <v>1381</v>
      </c>
      <c r="E7165" t="s">
        <v>187</v>
      </c>
      <c r="F7165">
        <v>2012</v>
      </c>
      <c r="G7165">
        <v>0.55259999999999998</v>
      </c>
    </row>
    <row r="7166" spans="1:7">
      <c r="A7166" t="s">
        <v>1297</v>
      </c>
      <c r="B7166" t="s">
        <v>1298</v>
      </c>
      <c r="C7166" t="s">
        <v>675</v>
      </c>
      <c r="D7166" t="s">
        <v>1381</v>
      </c>
      <c r="E7166" t="s">
        <v>187</v>
      </c>
      <c r="F7166">
        <v>2016</v>
      </c>
      <c r="G7166">
        <v>2.7269999999999999</v>
      </c>
    </row>
    <row r="7167" spans="1:7">
      <c r="A7167" t="s">
        <v>1297</v>
      </c>
      <c r="B7167" t="s">
        <v>1298</v>
      </c>
      <c r="C7167" t="s">
        <v>1303</v>
      </c>
      <c r="D7167" t="s">
        <v>1381</v>
      </c>
      <c r="E7167" t="s">
        <v>187</v>
      </c>
      <c r="F7167">
        <v>2020</v>
      </c>
      <c r="G7167">
        <v>8.1253770000000003</v>
      </c>
    </row>
    <row r="7168" spans="1:7">
      <c r="A7168" t="s">
        <v>1297</v>
      </c>
      <c r="B7168" t="s">
        <v>1298</v>
      </c>
      <c r="C7168" t="s">
        <v>657</v>
      </c>
      <c r="D7168" t="s">
        <v>1381</v>
      </c>
      <c r="E7168" t="s">
        <v>187</v>
      </c>
      <c r="F7168">
        <v>2005</v>
      </c>
      <c r="G7168">
        <v>9.2664989999999996</v>
      </c>
    </row>
    <row r="7169" spans="1:7">
      <c r="A7169" t="s">
        <v>1297</v>
      </c>
      <c r="B7169" t="s">
        <v>1298</v>
      </c>
      <c r="C7169" t="s">
        <v>657</v>
      </c>
      <c r="D7169" t="s">
        <v>1381</v>
      </c>
      <c r="E7169" t="s">
        <v>187</v>
      </c>
      <c r="F7169">
        <v>2010</v>
      </c>
      <c r="G7169">
        <v>9.5274760000000001</v>
      </c>
    </row>
    <row r="7170" spans="1:7">
      <c r="A7170" t="s">
        <v>1297</v>
      </c>
      <c r="B7170" t="s">
        <v>1298</v>
      </c>
      <c r="C7170" t="s">
        <v>657</v>
      </c>
      <c r="D7170" t="s">
        <v>1381</v>
      </c>
      <c r="E7170" t="s">
        <v>187</v>
      </c>
      <c r="F7170">
        <v>2012</v>
      </c>
      <c r="G7170">
        <v>8.3071110000000008</v>
      </c>
    </row>
    <row r="7171" spans="1:7">
      <c r="A7171" t="s">
        <v>1297</v>
      </c>
      <c r="B7171" t="s">
        <v>1298</v>
      </c>
      <c r="C7171" t="s">
        <v>657</v>
      </c>
      <c r="D7171" t="s">
        <v>1381</v>
      </c>
      <c r="E7171" t="s">
        <v>187</v>
      </c>
      <c r="F7171">
        <v>2016</v>
      </c>
      <c r="G7171">
        <v>7.4399509999999998</v>
      </c>
    </row>
    <row r="7172" spans="1:7">
      <c r="A7172" t="s">
        <v>1297</v>
      </c>
      <c r="B7172" t="s">
        <v>1298</v>
      </c>
      <c r="C7172" t="s">
        <v>657</v>
      </c>
      <c r="D7172" t="s">
        <v>1381</v>
      </c>
      <c r="E7172" t="s">
        <v>187</v>
      </c>
      <c r="F7172">
        <v>2020</v>
      </c>
      <c r="G7172">
        <v>8.4384899999999998</v>
      </c>
    </row>
    <row r="7173" spans="1:7">
      <c r="A7173" t="s">
        <v>1297</v>
      </c>
      <c r="B7173" t="s">
        <v>1298</v>
      </c>
      <c r="C7173" t="s">
        <v>661</v>
      </c>
      <c r="D7173" t="s">
        <v>1381</v>
      </c>
      <c r="E7173" t="s">
        <v>187</v>
      </c>
      <c r="F7173">
        <v>2005</v>
      </c>
      <c r="G7173">
        <v>234.86231000000001</v>
      </c>
    </row>
    <row r="7174" spans="1:7">
      <c r="A7174" t="s">
        <v>1297</v>
      </c>
      <c r="B7174" t="s">
        <v>1298</v>
      </c>
      <c r="C7174" t="s">
        <v>661</v>
      </c>
      <c r="D7174" t="s">
        <v>1381</v>
      </c>
      <c r="E7174" t="s">
        <v>187</v>
      </c>
      <c r="F7174">
        <v>2010</v>
      </c>
      <c r="G7174">
        <v>282.58230900000001</v>
      </c>
    </row>
    <row r="7175" spans="1:7">
      <c r="A7175" t="s">
        <v>1297</v>
      </c>
      <c r="B7175" t="s">
        <v>1298</v>
      </c>
      <c r="C7175" t="s">
        <v>661</v>
      </c>
      <c r="D7175" t="s">
        <v>1381</v>
      </c>
      <c r="E7175" t="s">
        <v>187</v>
      </c>
      <c r="F7175">
        <v>2012</v>
      </c>
      <c r="G7175">
        <v>249.403278</v>
      </c>
    </row>
    <row r="7176" spans="1:7">
      <c r="A7176" t="s">
        <v>1297</v>
      </c>
      <c r="B7176" t="s">
        <v>1298</v>
      </c>
      <c r="C7176" t="s">
        <v>661</v>
      </c>
      <c r="D7176" t="s">
        <v>1381</v>
      </c>
      <c r="E7176" t="s">
        <v>187</v>
      </c>
      <c r="F7176">
        <v>2016</v>
      </c>
      <c r="G7176">
        <v>249.06644399999999</v>
      </c>
    </row>
    <row r="7177" spans="1:7">
      <c r="A7177" t="s">
        <v>1297</v>
      </c>
      <c r="B7177" t="s">
        <v>1298</v>
      </c>
      <c r="C7177" t="s">
        <v>661</v>
      </c>
      <c r="D7177" t="s">
        <v>1381</v>
      </c>
      <c r="E7177" t="s">
        <v>187</v>
      </c>
      <c r="F7177">
        <v>2020</v>
      </c>
      <c r="G7177">
        <v>250.35426200000001</v>
      </c>
    </row>
    <row r="7178" spans="1:7">
      <c r="A7178" t="s">
        <v>1297</v>
      </c>
      <c r="B7178" t="s">
        <v>1298</v>
      </c>
      <c r="C7178" t="s">
        <v>1301</v>
      </c>
      <c r="D7178" t="s">
        <v>1381</v>
      </c>
      <c r="E7178" t="s">
        <v>187</v>
      </c>
      <c r="F7178">
        <v>2005</v>
      </c>
      <c r="G7178">
        <v>82.231200000000001</v>
      </c>
    </row>
    <row r="7179" spans="1:7">
      <c r="A7179" t="s">
        <v>1297</v>
      </c>
      <c r="B7179" t="s">
        <v>1298</v>
      </c>
      <c r="C7179" t="s">
        <v>1301</v>
      </c>
      <c r="D7179" t="s">
        <v>1381</v>
      </c>
      <c r="E7179" t="s">
        <v>187</v>
      </c>
      <c r="F7179">
        <v>2010</v>
      </c>
      <c r="G7179">
        <v>64.554299999999998</v>
      </c>
    </row>
    <row r="7180" spans="1:7">
      <c r="A7180" t="s">
        <v>1297</v>
      </c>
      <c r="B7180" t="s">
        <v>1298</v>
      </c>
      <c r="C7180" t="s">
        <v>1301</v>
      </c>
      <c r="D7180" t="s">
        <v>1381</v>
      </c>
      <c r="E7180" t="s">
        <v>187</v>
      </c>
      <c r="F7180">
        <v>2012</v>
      </c>
      <c r="G7180">
        <v>93.857399999999998</v>
      </c>
    </row>
    <row r="7181" spans="1:7">
      <c r="A7181" t="s">
        <v>1297</v>
      </c>
      <c r="B7181" t="s">
        <v>1298</v>
      </c>
      <c r="C7181" t="s">
        <v>1301</v>
      </c>
      <c r="D7181" t="s">
        <v>1381</v>
      </c>
      <c r="E7181" t="s">
        <v>187</v>
      </c>
      <c r="F7181">
        <v>2016</v>
      </c>
      <c r="G7181">
        <v>106.8129</v>
      </c>
    </row>
    <row r="7182" spans="1:7">
      <c r="A7182" t="s">
        <v>1297</v>
      </c>
      <c r="B7182" t="s">
        <v>1298</v>
      </c>
      <c r="C7182" t="s">
        <v>1301</v>
      </c>
      <c r="D7182" t="s">
        <v>1381</v>
      </c>
      <c r="E7182" t="s">
        <v>187</v>
      </c>
      <c r="F7182">
        <v>2020</v>
      </c>
      <c r="G7182">
        <v>158.76882000000001</v>
      </c>
    </row>
    <row r="7183" spans="1:7">
      <c r="A7183" t="s">
        <v>1297</v>
      </c>
      <c r="B7183" t="s">
        <v>1298</v>
      </c>
      <c r="C7183" t="s">
        <v>652</v>
      </c>
      <c r="D7183" t="s">
        <v>1381</v>
      </c>
      <c r="E7183" t="s">
        <v>187</v>
      </c>
      <c r="F7183">
        <v>2005</v>
      </c>
      <c r="G7183">
        <v>74.144014999999996</v>
      </c>
    </row>
    <row r="7184" spans="1:7">
      <c r="A7184" t="s">
        <v>1297</v>
      </c>
      <c r="B7184" t="s">
        <v>1298</v>
      </c>
      <c r="C7184" t="s">
        <v>652</v>
      </c>
      <c r="D7184" t="s">
        <v>1381</v>
      </c>
      <c r="E7184" t="s">
        <v>187</v>
      </c>
      <c r="F7184">
        <v>2010</v>
      </c>
      <c r="G7184">
        <v>81.380667000000003</v>
      </c>
    </row>
    <row r="7185" spans="1:7">
      <c r="A7185" t="s">
        <v>1297</v>
      </c>
      <c r="B7185" t="s">
        <v>1298</v>
      </c>
      <c r="C7185" t="s">
        <v>652</v>
      </c>
      <c r="D7185" t="s">
        <v>1381</v>
      </c>
      <c r="E7185" t="s">
        <v>187</v>
      </c>
      <c r="F7185">
        <v>2012</v>
      </c>
      <c r="G7185">
        <v>75.600223</v>
      </c>
    </row>
    <row r="7186" spans="1:7">
      <c r="A7186" t="s">
        <v>1297</v>
      </c>
      <c r="B7186" t="s">
        <v>1298</v>
      </c>
      <c r="C7186" t="s">
        <v>652</v>
      </c>
      <c r="D7186" t="s">
        <v>1381</v>
      </c>
      <c r="E7186" t="s">
        <v>187</v>
      </c>
      <c r="F7186">
        <v>2016</v>
      </c>
      <c r="G7186">
        <v>75.7179</v>
      </c>
    </row>
    <row r="7187" spans="1:7">
      <c r="A7187" t="s">
        <v>1297</v>
      </c>
      <c r="B7187" t="s">
        <v>1298</v>
      </c>
      <c r="C7187" t="s">
        <v>652</v>
      </c>
      <c r="D7187" t="s">
        <v>1381</v>
      </c>
      <c r="E7187" t="s">
        <v>187</v>
      </c>
      <c r="F7187">
        <v>2020</v>
      </c>
      <c r="G7187">
        <v>77.33511</v>
      </c>
    </row>
    <row r="7188" spans="1:7">
      <c r="A7188" t="s">
        <v>1297</v>
      </c>
      <c r="B7188" t="s">
        <v>1298</v>
      </c>
      <c r="C7188" t="s">
        <v>671</v>
      </c>
      <c r="D7188" t="s">
        <v>1381</v>
      </c>
      <c r="E7188" t="s">
        <v>187</v>
      </c>
      <c r="F7188">
        <v>2005</v>
      </c>
      <c r="G7188">
        <v>68.409899999999993</v>
      </c>
    </row>
    <row r="7189" spans="1:7">
      <c r="A7189" t="s">
        <v>1297</v>
      </c>
      <c r="B7189" t="s">
        <v>1298</v>
      </c>
      <c r="C7189" t="s">
        <v>671</v>
      </c>
      <c r="D7189" t="s">
        <v>1381</v>
      </c>
      <c r="E7189" t="s">
        <v>187</v>
      </c>
      <c r="F7189">
        <v>2010</v>
      </c>
      <c r="G7189">
        <v>83.432699999999997</v>
      </c>
    </row>
    <row r="7190" spans="1:7">
      <c r="A7190" t="s">
        <v>1297</v>
      </c>
      <c r="B7190" t="s">
        <v>1298</v>
      </c>
      <c r="C7190" t="s">
        <v>671</v>
      </c>
      <c r="D7190" t="s">
        <v>1381</v>
      </c>
      <c r="E7190" t="s">
        <v>187</v>
      </c>
      <c r="F7190">
        <v>2012</v>
      </c>
      <c r="G7190">
        <v>80.887500000000003</v>
      </c>
    </row>
    <row r="7191" spans="1:7">
      <c r="A7191" t="s">
        <v>1297</v>
      </c>
      <c r="B7191" t="s">
        <v>1298</v>
      </c>
      <c r="C7191" t="s">
        <v>671</v>
      </c>
      <c r="D7191" t="s">
        <v>1381</v>
      </c>
      <c r="E7191" t="s">
        <v>187</v>
      </c>
      <c r="F7191">
        <v>2016</v>
      </c>
      <c r="G7191">
        <v>80.972099999999998</v>
      </c>
    </row>
    <row r="7192" spans="1:7">
      <c r="A7192" t="s">
        <v>1297</v>
      </c>
      <c r="B7192" t="s">
        <v>1298</v>
      </c>
      <c r="C7192" t="s">
        <v>671</v>
      </c>
      <c r="D7192" t="s">
        <v>1381</v>
      </c>
      <c r="E7192" t="s">
        <v>187</v>
      </c>
      <c r="F7192">
        <v>2020</v>
      </c>
      <c r="G7192">
        <v>56.462249999999997</v>
      </c>
    </row>
    <row r="7193" spans="1:7">
      <c r="A7193" t="s">
        <v>1297</v>
      </c>
      <c r="B7193" t="s">
        <v>1298</v>
      </c>
      <c r="C7193" t="s">
        <v>679</v>
      </c>
      <c r="D7193" t="s">
        <v>1381</v>
      </c>
      <c r="E7193" t="s">
        <v>187</v>
      </c>
      <c r="F7193">
        <v>2005</v>
      </c>
      <c r="G7193">
        <v>0.268202</v>
      </c>
    </row>
    <row r="7194" spans="1:7">
      <c r="A7194" t="s">
        <v>1297</v>
      </c>
      <c r="B7194" t="s">
        <v>1298</v>
      </c>
      <c r="C7194" t="s">
        <v>679</v>
      </c>
      <c r="D7194" t="s">
        <v>1381</v>
      </c>
      <c r="E7194" t="s">
        <v>187</v>
      </c>
      <c r="F7194">
        <v>2010</v>
      </c>
      <c r="G7194">
        <v>0.87215200000000004</v>
      </c>
    </row>
    <row r="7195" spans="1:7">
      <c r="A7195" t="s">
        <v>1297</v>
      </c>
      <c r="B7195" t="s">
        <v>1298</v>
      </c>
      <c r="C7195" t="s">
        <v>679</v>
      </c>
      <c r="D7195" t="s">
        <v>1381</v>
      </c>
      <c r="E7195" t="s">
        <v>187</v>
      </c>
      <c r="F7195">
        <v>2012</v>
      </c>
      <c r="G7195">
        <v>1.1942630000000001</v>
      </c>
    </row>
    <row r="7196" spans="1:7">
      <c r="A7196" t="s">
        <v>1297</v>
      </c>
      <c r="B7196" t="s">
        <v>1298</v>
      </c>
      <c r="C7196" t="s">
        <v>679</v>
      </c>
      <c r="D7196" t="s">
        <v>1381</v>
      </c>
      <c r="E7196" t="s">
        <v>187</v>
      </c>
      <c r="F7196">
        <v>2016</v>
      </c>
      <c r="G7196">
        <v>1.05297</v>
      </c>
    </row>
    <row r="7197" spans="1:7">
      <c r="A7197" t="s">
        <v>1297</v>
      </c>
      <c r="B7197" t="s">
        <v>1298</v>
      </c>
      <c r="C7197" t="s">
        <v>679</v>
      </c>
      <c r="D7197" t="s">
        <v>1381</v>
      </c>
      <c r="E7197" t="s">
        <v>187</v>
      </c>
      <c r="F7197">
        <v>2020</v>
      </c>
      <c r="G7197">
        <v>0.88195800000000002</v>
      </c>
    </row>
    <row r="7198" spans="1:7">
      <c r="A7198" t="s">
        <v>1297</v>
      </c>
      <c r="B7198" t="s">
        <v>1298</v>
      </c>
      <c r="C7198" t="s">
        <v>675</v>
      </c>
      <c r="D7198" t="s">
        <v>1381</v>
      </c>
      <c r="E7198" t="s">
        <v>187</v>
      </c>
      <c r="F7198">
        <v>2005</v>
      </c>
      <c r="G7198">
        <v>1.0683</v>
      </c>
    </row>
    <row r="7199" spans="1:7">
      <c r="A7199" t="s">
        <v>1297</v>
      </c>
      <c r="B7199" t="s">
        <v>1298</v>
      </c>
      <c r="C7199" t="s">
        <v>675</v>
      </c>
      <c r="D7199" t="s">
        <v>1381</v>
      </c>
      <c r="E7199" t="s">
        <v>187</v>
      </c>
      <c r="F7199">
        <v>2010</v>
      </c>
      <c r="G7199">
        <v>0.98909999999999998</v>
      </c>
    </row>
    <row r="7200" spans="1:7">
      <c r="A7200" t="s">
        <v>1297</v>
      </c>
      <c r="B7200" t="s">
        <v>1298</v>
      </c>
      <c r="C7200" t="s">
        <v>289</v>
      </c>
      <c r="D7200" t="s">
        <v>1381</v>
      </c>
      <c r="E7200" t="s">
        <v>187</v>
      </c>
      <c r="F7200">
        <v>2005</v>
      </c>
      <c r="G7200">
        <v>5.1210000000000004</v>
      </c>
    </row>
    <row r="7201" spans="1:7">
      <c r="A7201" t="s">
        <v>1297</v>
      </c>
      <c r="B7201" t="s">
        <v>1298</v>
      </c>
      <c r="C7201" t="s">
        <v>289</v>
      </c>
      <c r="D7201" t="s">
        <v>1381</v>
      </c>
      <c r="E7201" t="s">
        <v>187</v>
      </c>
      <c r="F7201">
        <v>2010</v>
      </c>
      <c r="G7201">
        <v>6.5519999999999996</v>
      </c>
    </row>
    <row r="7202" spans="1:7">
      <c r="A7202" t="s">
        <v>1297</v>
      </c>
      <c r="B7202" t="s">
        <v>1298</v>
      </c>
      <c r="C7202" t="s">
        <v>289</v>
      </c>
      <c r="D7202" t="s">
        <v>1381</v>
      </c>
      <c r="E7202" t="s">
        <v>187</v>
      </c>
      <c r="F7202">
        <v>2012</v>
      </c>
      <c r="G7202">
        <v>5.508</v>
      </c>
    </row>
    <row r="7203" spans="1:7">
      <c r="A7203" t="s">
        <v>1297</v>
      </c>
      <c r="B7203" t="s">
        <v>1298</v>
      </c>
      <c r="C7203" t="s">
        <v>289</v>
      </c>
      <c r="D7203" t="s">
        <v>1381</v>
      </c>
      <c r="E7203" t="s">
        <v>187</v>
      </c>
      <c r="F7203">
        <v>2016</v>
      </c>
      <c r="G7203">
        <v>7.5824999999999996</v>
      </c>
    </row>
    <row r="7204" spans="1:7">
      <c r="A7204" t="s">
        <v>1297</v>
      </c>
      <c r="B7204" t="s">
        <v>1298</v>
      </c>
      <c r="C7204" t="s">
        <v>289</v>
      </c>
      <c r="D7204" t="s">
        <v>1381</v>
      </c>
      <c r="E7204" t="s">
        <v>187</v>
      </c>
      <c r="F7204">
        <v>2020</v>
      </c>
      <c r="G7204">
        <v>8.7431359999999998</v>
      </c>
    </row>
    <row r="7205" spans="1:7">
      <c r="A7205" t="s">
        <v>1297</v>
      </c>
      <c r="B7205" t="s">
        <v>1298</v>
      </c>
      <c r="C7205" t="s">
        <v>660</v>
      </c>
      <c r="D7205" t="s">
        <v>1381</v>
      </c>
      <c r="E7205" t="s">
        <v>187</v>
      </c>
      <c r="F7205">
        <v>2005</v>
      </c>
      <c r="G7205">
        <v>1.3203</v>
      </c>
    </row>
    <row r="7206" spans="1:7">
      <c r="A7206" t="s">
        <v>1297</v>
      </c>
      <c r="B7206" t="s">
        <v>1298</v>
      </c>
      <c r="C7206" t="s">
        <v>660</v>
      </c>
      <c r="D7206" t="s">
        <v>1381</v>
      </c>
      <c r="E7206" t="s">
        <v>187</v>
      </c>
      <c r="F7206">
        <v>2010</v>
      </c>
      <c r="G7206">
        <v>1.2798</v>
      </c>
    </row>
    <row r="7207" spans="1:7">
      <c r="A7207" t="s">
        <v>1297</v>
      </c>
      <c r="B7207" t="s">
        <v>1298</v>
      </c>
      <c r="C7207" t="s">
        <v>660</v>
      </c>
      <c r="D7207" t="s">
        <v>1381</v>
      </c>
      <c r="E7207" t="s">
        <v>187</v>
      </c>
      <c r="F7207">
        <v>2012</v>
      </c>
      <c r="G7207">
        <v>1.4039999999999999</v>
      </c>
    </row>
    <row r="7208" spans="1:7">
      <c r="A7208" t="s">
        <v>1297</v>
      </c>
      <c r="B7208" t="s">
        <v>1298</v>
      </c>
      <c r="C7208" t="s">
        <v>660</v>
      </c>
      <c r="D7208" t="s">
        <v>1381</v>
      </c>
      <c r="E7208" t="s">
        <v>187</v>
      </c>
      <c r="F7208">
        <v>2016</v>
      </c>
      <c r="G7208">
        <v>1.2240139999999999</v>
      </c>
    </row>
    <row r="7209" spans="1:7">
      <c r="A7209" t="s">
        <v>1297</v>
      </c>
      <c r="B7209" t="s">
        <v>1298</v>
      </c>
      <c r="C7209" t="s">
        <v>660</v>
      </c>
      <c r="D7209" t="s">
        <v>1381</v>
      </c>
      <c r="E7209" t="s">
        <v>187</v>
      </c>
      <c r="F7209">
        <v>2020</v>
      </c>
      <c r="G7209">
        <v>1.134115</v>
      </c>
    </row>
    <row r="7210" spans="1:7">
      <c r="A7210" t="s">
        <v>1297</v>
      </c>
      <c r="B7210" t="s">
        <v>1298</v>
      </c>
      <c r="C7210" t="s">
        <v>670</v>
      </c>
      <c r="D7210" t="s">
        <v>1381</v>
      </c>
      <c r="E7210" t="s">
        <v>187</v>
      </c>
      <c r="F7210">
        <v>2005</v>
      </c>
      <c r="G7210">
        <v>147.50590800000001</v>
      </c>
    </row>
    <row r="7211" spans="1:7">
      <c r="A7211" t="s">
        <v>1297</v>
      </c>
      <c r="B7211" t="s">
        <v>1298</v>
      </c>
      <c r="C7211" t="s">
        <v>670</v>
      </c>
      <c r="D7211" t="s">
        <v>1381</v>
      </c>
      <c r="E7211" t="s">
        <v>187</v>
      </c>
      <c r="F7211">
        <v>2010</v>
      </c>
      <c r="G7211">
        <v>168.940237</v>
      </c>
    </row>
    <row r="7212" spans="1:7">
      <c r="A7212" t="s">
        <v>1297</v>
      </c>
      <c r="B7212" t="s">
        <v>1298</v>
      </c>
      <c r="C7212" t="s">
        <v>670</v>
      </c>
      <c r="D7212" t="s">
        <v>1381</v>
      </c>
      <c r="E7212" t="s">
        <v>187</v>
      </c>
      <c r="F7212">
        <v>2012</v>
      </c>
      <c r="G7212">
        <v>152.121993</v>
      </c>
    </row>
    <row r="7213" spans="1:7">
      <c r="A7213" t="s">
        <v>1297</v>
      </c>
      <c r="B7213" t="s">
        <v>1298</v>
      </c>
      <c r="C7213" t="s">
        <v>670</v>
      </c>
      <c r="D7213" t="s">
        <v>1381</v>
      </c>
      <c r="E7213" t="s">
        <v>187</v>
      </c>
      <c r="F7213">
        <v>2016</v>
      </c>
      <c r="G7213">
        <v>131.005066</v>
      </c>
    </row>
    <row r="7214" spans="1:7">
      <c r="A7214" t="s">
        <v>1297</v>
      </c>
      <c r="B7214" t="s">
        <v>1298</v>
      </c>
      <c r="C7214" t="s">
        <v>670</v>
      </c>
      <c r="D7214" t="s">
        <v>1381</v>
      </c>
      <c r="E7214" t="s">
        <v>187</v>
      </c>
      <c r="F7214">
        <v>2020</v>
      </c>
      <c r="G7214">
        <v>121.29745</v>
      </c>
    </row>
    <row r="7215" spans="1:7">
      <c r="A7215" t="s">
        <v>1297</v>
      </c>
      <c r="B7215" t="s">
        <v>1298</v>
      </c>
      <c r="C7215" t="s">
        <v>1303</v>
      </c>
      <c r="D7215" t="s">
        <v>1381</v>
      </c>
      <c r="E7215" t="s">
        <v>187</v>
      </c>
      <c r="F7215">
        <v>2016</v>
      </c>
      <c r="G7215">
        <v>6.6106230000000004</v>
      </c>
    </row>
    <row r="7216" spans="1:7">
      <c r="A7216" t="s">
        <v>1297</v>
      </c>
      <c r="B7216" t="s">
        <v>1298</v>
      </c>
      <c r="C7216" t="s">
        <v>675</v>
      </c>
      <c r="D7216" t="s">
        <v>1381</v>
      </c>
      <c r="E7216" t="s">
        <v>187</v>
      </c>
      <c r="F7216">
        <v>2020</v>
      </c>
      <c r="G7216">
        <v>1.1789780000000001</v>
      </c>
    </row>
    <row r="7217" spans="1:7">
      <c r="A7217" t="s">
        <v>1297</v>
      </c>
      <c r="B7217" t="s">
        <v>1298</v>
      </c>
      <c r="C7217" t="s">
        <v>668</v>
      </c>
      <c r="D7217" t="s">
        <v>1381</v>
      </c>
      <c r="E7217" t="s">
        <v>187</v>
      </c>
      <c r="F7217">
        <v>2005</v>
      </c>
      <c r="G7217">
        <v>3.9239999999999999</v>
      </c>
    </row>
    <row r="7218" spans="1:7">
      <c r="A7218" t="s">
        <v>1297</v>
      </c>
      <c r="B7218" t="s">
        <v>1298</v>
      </c>
      <c r="C7218" t="s">
        <v>1300</v>
      </c>
      <c r="D7218" t="s">
        <v>1381</v>
      </c>
      <c r="E7218" t="s">
        <v>187</v>
      </c>
      <c r="F7218">
        <v>2010</v>
      </c>
      <c r="G7218">
        <v>4.1246999999999998</v>
      </c>
    </row>
    <row r="7219" spans="1:7">
      <c r="A7219" t="s">
        <v>1297</v>
      </c>
      <c r="B7219" t="s">
        <v>1298</v>
      </c>
      <c r="C7219" t="s">
        <v>1300</v>
      </c>
      <c r="D7219" t="s">
        <v>1381</v>
      </c>
      <c r="E7219" t="s">
        <v>187</v>
      </c>
      <c r="F7219">
        <v>2012</v>
      </c>
      <c r="G7219">
        <v>4.2047999999999996</v>
      </c>
    </row>
    <row r="7220" spans="1:7">
      <c r="A7220" t="s">
        <v>1297</v>
      </c>
      <c r="B7220" t="s">
        <v>1298</v>
      </c>
      <c r="C7220" t="s">
        <v>1300</v>
      </c>
      <c r="D7220" t="s">
        <v>1381</v>
      </c>
      <c r="E7220" t="s">
        <v>187</v>
      </c>
      <c r="F7220">
        <v>2016</v>
      </c>
      <c r="G7220">
        <v>3.5531999999999999</v>
      </c>
    </row>
    <row r="7221" spans="1:7">
      <c r="A7221" t="s">
        <v>1297</v>
      </c>
      <c r="B7221" t="s">
        <v>1298</v>
      </c>
      <c r="C7221" t="s">
        <v>1300</v>
      </c>
      <c r="D7221" t="s">
        <v>1381</v>
      </c>
      <c r="E7221" t="s">
        <v>187</v>
      </c>
      <c r="F7221">
        <v>2020</v>
      </c>
      <c r="G7221">
        <v>3.5549810000000002</v>
      </c>
    </row>
    <row r="7222" spans="1:7">
      <c r="A7222" t="s">
        <v>1297</v>
      </c>
      <c r="B7222" t="s">
        <v>1298</v>
      </c>
      <c r="C7222" t="s">
        <v>1299</v>
      </c>
      <c r="D7222" t="s">
        <v>1381</v>
      </c>
      <c r="E7222" t="s">
        <v>187</v>
      </c>
      <c r="F7222">
        <v>2005</v>
      </c>
      <c r="G7222">
        <v>22.4361</v>
      </c>
    </row>
    <row r="7223" spans="1:7">
      <c r="A7223" t="s">
        <v>1297</v>
      </c>
      <c r="B7223" t="s">
        <v>1298</v>
      </c>
      <c r="C7223" t="s">
        <v>1299</v>
      </c>
      <c r="D7223" t="s">
        <v>1381</v>
      </c>
      <c r="E7223" t="s">
        <v>187</v>
      </c>
      <c r="F7223">
        <v>2010</v>
      </c>
      <c r="G7223">
        <v>14.5791</v>
      </c>
    </row>
    <row r="7224" spans="1:7">
      <c r="A7224" t="s">
        <v>1297</v>
      </c>
      <c r="B7224" t="s">
        <v>1298</v>
      </c>
      <c r="C7224" t="s">
        <v>1299</v>
      </c>
      <c r="D7224" t="s">
        <v>1381</v>
      </c>
      <c r="E7224" t="s">
        <v>187</v>
      </c>
      <c r="F7224">
        <v>2012</v>
      </c>
      <c r="G7224">
        <v>19.371600000000001</v>
      </c>
    </row>
    <row r="7225" spans="1:7">
      <c r="A7225" t="s">
        <v>1297</v>
      </c>
      <c r="B7225" t="s">
        <v>1298</v>
      </c>
      <c r="C7225" t="s">
        <v>1299</v>
      </c>
      <c r="D7225" t="s">
        <v>1381</v>
      </c>
      <c r="E7225" t="s">
        <v>187</v>
      </c>
      <c r="F7225">
        <v>2016</v>
      </c>
      <c r="G7225">
        <v>24.748200000000001</v>
      </c>
    </row>
    <row r="7226" spans="1:7">
      <c r="A7226" t="s">
        <v>1297</v>
      </c>
      <c r="B7226" t="s">
        <v>1298</v>
      </c>
      <c r="C7226" t="s">
        <v>1299</v>
      </c>
      <c r="D7226" t="s">
        <v>1381</v>
      </c>
      <c r="E7226" t="s">
        <v>187</v>
      </c>
      <c r="F7226">
        <v>2020</v>
      </c>
      <c r="G7226">
        <v>34.268163000000001</v>
      </c>
    </row>
    <row r="7227" spans="1:7">
      <c r="A7227" t="s">
        <v>1297</v>
      </c>
      <c r="B7227" t="s">
        <v>1298</v>
      </c>
      <c r="C7227" t="s">
        <v>662</v>
      </c>
      <c r="D7227" t="s">
        <v>1381</v>
      </c>
      <c r="E7227" t="s">
        <v>187</v>
      </c>
      <c r="F7227">
        <v>2005</v>
      </c>
      <c r="G7227">
        <v>3.0906359999999999</v>
      </c>
    </row>
    <row r="7228" spans="1:7">
      <c r="A7228" t="s">
        <v>1297</v>
      </c>
      <c r="B7228" t="s">
        <v>1298</v>
      </c>
      <c r="C7228" t="s">
        <v>662</v>
      </c>
      <c r="D7228" t="s">
        <v>1381</v>
      </c>
      <c r="E7228" t="s">
        <v>187</v>
      </c>
      <c r="F7228">
        <v>2010</v>
      </c>
      <c r="G7228">
        <v>5.8175340000000002</v>
      </c>
    </row>
    <row r="7229" spans="1:7">
      <c r="A7229" t="s">
        <v>1297</v>
      </c>
      <c r="B7229" t="s">
        <v>1298</v>
      </c>
      <c r="C7229" t="s">
        <v>662</v>
      </c>
      <c r="D7229" t="s">
        <v>1381</v>
      </c>
      <c r="E7229" t="s">
        <v>187</v>
      </c>
      <c r="F7229">
        <v>2012</v>
      </c>
      <c r="G7229">
        <v>5.7770510000000002</v>
      </c>
    </row>
    <row r="7230" spans="1:7">
      <c r="A7230" t="s">
        <v>1297</v>
      </c>
      <c r="B7230" t="s">
        <v>1298</v>
      </c>
      <c r="C7230" t="s">
        <v>662</v>
      </c>
      <c r="D7230" t="s">
        <v>1381</v>
      </c>
      <c r="E7230" t="s">
        <v>187</v>
      </c>
      <c r="F7230">
        <v>2016</v>
      </c>
      <c r="G7230">
        <v>6.1974</v>
      </c>
    </row>
    <row r="7231" spans="1:7">
      <c r="A7231" t="s">
        <v>1297</v>
      </c>
      <c r="B7231" t="s">
        <v>1298</v>
      </c>
      <c r="C7231" t="s">
        <v>662</v>
      </c>
      <c r="D7231" t="s">
        <v>1381</v>
      </c>
      <c r="E7231" t="s">
        <v>187</v>
      </c>
      <c r="F7231">
        <v>2020</v>
      </c>
      <c r="G7231">
        <v>6.4036670000000004</v>
      </c>
    </row>
    <row r="7232" spans="1:7">
      <c r="A7232" t="s">
        <v>1297</v>
      </c>
      <c r="B7232" t="s">
        <v>1298</v>
      </c>
      <c r="C7232" t="s">
        <v>685</v>
      </c>
      <c r="D7232" t="s">
        <v>1381</v>
      </c>
      <c r="E7232" t="s">
        <v>187</v>
      </c>
      <c r="F7232">
        <v>2005</v>
      </c>
      <c r="G7232">
        <v>0.1215</v>
      </c>
    </row>
    <row r="7233" spans="1:7">
      <c r="A7233" t="s">
        <v>1297</v>
      </c>
      <c r="B7233" t="s">
        <v>1298</v>
      </c>
      <c r="C7233" t="s">
        <v>685</v>
      </c>
      <c r="D7233" t="s">
        <v>1381</v>
      </c>
      <c r="E7233" t="s">
        <v>187</v>
      </c>
      <c r="F7233">
        <v>2010</v>
      </c>
      <c r="G7233">
        <v>8.0100000000000005E-2</v>
      </c>
    </row>
    <row r="7234" spans="1:7">
      <c r="A7234" t="s">
        <v>1297</v>
      </c>
      <c r="B7234" t="s">
        <v>1298</v>
      </c>
      <c r="C7234" t="s">
        <v>685</v>
      </c>
      <c r="D7234" t="s">
        <v>1381</v>
      </c>
      <c r="E7234" t="s">
        <v>187</v>
      </c>
      <c r="F7234">
        <v>2012</v>
      </c>
      <c r="G7234">
        <v>9.0899999999999995E-2</v>
      </c>
    </row>
    <row r="7235" spans="1:7">
      <c r="A7235" t="s">
        <v>1297</v>
      </c>
      <c r="B7235" t="s">
        <v>1298</v>
      </c>
      <c r="C7235" t="s">
        <v>685</v>
      </c>
      <c r="D7235" t="s">
        <v>1381</v>
      </c>
      <c r="E7235" t="s">
        <v>187</v>
      </c>
      <c r="F7235">
        <v>2016</v>
      </c>
      <c r="G7235">
        <v>0.236703</v>
      </c>
    </row>
    <row r="7236" spans="1:7">
      <c r="A7236" t="s">
        <v>1297</v>
      </c>
      <c r="B7236" t="s">
        <v>1298</v>
      </c>
      <c r="C7236" t="s">
        <v>685</v>
      </c>
      <c r="D7236" t="s">
        <v>1381</v>
      </c>
      <c r="E7236" t="s">
        <v>187</v>
      </c>
      <c r="F7236">
        <v>2020</v>
      </c>
      <c r="G7236">
        <v>0.24201400000000001</v>
      </c>
    </row>
    <row r="7237" spans="1:7">
      <c r="A7237" t="s">
        <v>1297</v>
      </c>
      <c r="B7237" t="s">
        <v>1298</v>
      </c>
      <c r="C7237" t="s">
        <v>664</v>
      </c>
      <c r="D7237" t="s">
        <v>1381</v>
      </c>
      <c r="E7237" t="s">
        <v>187</v>
      </c>
      <c r="F7237">
        <v>2005</v>
      </c>
      <c r="G7237">
        <v>12.135541999999999</v>
      </c>
    </row>
    <row r="7238" spans="1:7">
      <c r="A7238" t="s">
        <v>1297</v>
      </c>
      <c r="B7238" t="s">
        <v>1298</v>
      </c>
      <c r="C7238" t="s">
        <v>664</v>
      </c>
      <c r="D7238" t="s">
        <v>1381</v>
      </c>
      <c r="E7238" t="s">
        <v>187</v>
      </c>
      <c r="F7238">
        <v>2010</v>
      </c>
      <c r="G7238">
        <v>14.142848000000001</v>
      </c>
    </row>
    <row r="7239" spans="1:7">
      <c r="A7239" t="s">
        <v>1297</v>
      </c>
      <c r="B7239" t="s">
        <v>1298</v>
      </c>
      <c r="C7239" t="s">
        <v>664</v>
      </c>
      <c r="D7239" t="s">
        <v>1381</v>
      </c>
      <c r="E7239" t="s">
        <v>187</v>
      </c>
      <c r="F7239">
        <v>2012</v>
      </c>
      <c r="G7239">
        <v>15.833005999999999</v>
      </c>
    </row>
    <row r="7240" spans="1:7">
      <c r="A7240" t="s">
        <v>1297</v>
      </c>
      <c r="B7240" t="s">
        <v>1298</v>
      </c>
      <c r="C7240" t="s">
        <v>664</v>
      </c>
      <c r="D7240" t="s">
        <v>1381</v>
      </c>
      <c r="E7240" t="s">
        <v>187</v>
      </c>
      <c r="F7240">
        <v>2016</v>
      </c>
      <c r="G7240">
        <v>15.275112999999999</v>
      </c>
    </row>
    <row r="7241" spans="1:7">
      <c r="A7241" t="s">
        <v>1297</v>
      </c>
      <c r="B7241" t="s">
        <v>1298</v>
      </c>
      <c r="C7241" t="s">
        <v>664</v>
      </c>
      <c r="D7241" t="s">
        <v>1381</v>
      </c>
      <c r="E7241" t="s">
        <v>187</v>
      </c>
      <c r="F7241">
        <v>2020</v>
      </c>
      <c r="G7241">
        <v>17.031229</v>
      </c>
    </row>
    <row r="7242" spans="1:7">
      <c r="A7242" t="s">
        <v>1297</v>
      </c>
      <c r="B7242" t="s">
        <v>1298</v>
      </c>
      <c r="C7242" t="s">
        <v>656</v>
      </c>
      <c r="D7242" t="s">
        <v>1381</v>
      </c>
      <c r="E7242" t="s">
        <v>187</v>
      </c>
      <c r="F7242">
        <v>2005</v>
      </c>
      <c r="G7242">
        <v>386.36482999999998</v>
      </c>
    </row>
    <row r="7243" spans="1:7">
      <c r="A7243" t="s">
        <v>1297</v>
      </c>
      <c r="B7243" t="s">
        <v>1298</v>
      </c>
      <c r="C7243" t="s">
        <v>656</v>
      </c>
      <c r="D7243" t="s">
        <v>1381</v>
      </c>
      <c r="E7243" t="s">
        <v>187</v>
      </c>
      <c r="F7243">
        <v>2010</v>
      </c>
      <c r="G7243">
        <v>381.07523300000003</v>
      </c>
    </row>
    <row r="7244" spans="1:7">
      <c r="A7244" t="s">
        <v>1297</v>
      </c>
      <c r="B7244" t="s">
        <v>1298</v>
      </c>
      <c r="C7244" t="s">
        <v>656</v>
      </c>
      <c r="D7244" t="s">
        <v>1381</v>
      </c>
      <c r="E7244" t="s">
        <v>187</v>
      </c>
      <c r="F7244">
        <v>2012</v>
      </c>
      <c r="G7244">
        <v>347.10649100000001</v>
      </c>
    </row>
    <row r="7245" spans="1:7">
      <c r="A7245" t="s">
        <v>1297</v>
      </c>
      <c r="B7245" t="s">
        <v>1298</v>
      </c>
      <c r="C7245" t="s">
        <v>656</v>
      </c>
      <c r="D7245" t="s">
        <v>1381</v>
      </c>
      <c r="E7245" t="s">
        <v>187</v>
      </c>
      <c r="F7245">
        <v>2016</v>
      </c>
      <c r="G7245">
        <v>399.95862</v>
      </c>
    </row>
    <row r="7246" spans="1:7">
      <c r="A7246" t="s">
        <v>1297</v>
      </c>
      <c r="B7246" t="s">
        <v>1298</v>
      </c>
      <c r="C7246" t="s">
        <v>656</v>
      </c>
      <c r="D7246" t="s">
        <v>1381</v>
      </c>
      <c r="E7246" t="s">
        <v>187</v>
      </c>
      <c r="F7246">
        <v>2020</v>
      </c>
      <c r="G7246">
        <v>396.40346399999999</v>
      </c>
    </row>
    <row r="7247" spans="1:7">
      <c r="A7247" t="s">
        <v>1297</v>
      </c>
      <c r="B7247" t="s">
        <v>1298</v>
      </c>
      <c r="C7247" t="s">
        <v>668</v>
      </c>
      <c r="D7247" t="s">
        <v>1381</v>
      </c>
      <c r="E7247" t="s">
        <v>187</v>
      </c>
      <c r="F7247">
        <v>2010</v>
      </c>
      <c r="G7247">
        <v>4.8384</v>
      </c>
    </row>
    <row r="7248" spans="1:7">
      <c r="A7248" t="s">
        <v>1297</v>
      </c>
      <c r="B7248" t="s">
        <v>1298</v>
      </c>
      <c r="C7248" t="s">
        <v>668</v>
      </c>
      <c r="D7248" t="s">
        <v>1381</v>
      </c>
      <c r="E7248" t="s">
        <v>187</v>
      </c>
      <c r="F7248">
        <v>2012</v>
      </c>
      <c r="G7248">
        <v>4.1021999999999998</v>
      </c>
    </row>
    <row r="7249" spans="1:7">
      <c r="A7249" t="s">
        <v>1297</v>
      </c>
      <c r="B7249" t="s">
        <v>1298</v>
      </c>
      <c r="C7249" t="s">
        <v>668</v>
      </c>
      <c r="D7249" t="s">
        <v>1381</v>
      </c>
      <c r="E7249" t="s">
        <v>187</v>
      </c>
      <c r="F7249">
        <v>2016</v>
      </c>
      <c r="G7249">
        <v>3.9419650000000002</v>
      </c>
    </row>
    <row r="7250" spans="1:7">
      <c r="A7250" t="s">
        <v>1297</v>
      </c>
      <c r="B7250" t="s">
        <v>1298</v>
      </c>
      <c r="C7250" t="s">
        <v>668</v>
      </c>
      <c r="D7250" t="s">
        <v>1381</v>
      </c>
      <c r="E7250" t="s">
        <v>187</v>
      </c>
      <c r="F7250">
        <v>2020</v>
      </c>
      <c r="G7250">
        <v>4.61348</v>
      </c>
    </row>
    <row r="7251" spans="1:7">
      <c r="A7251" t="s">
        <v>1297</v>
      </c>
      <c r="B7251" t="s">
        <v>1298</v>
      </c>
      <c r="C7251" t="s">
        <v>659</v>
      </c>
      <c r="D7251" t="s">
        <v>1381</v>
      </c>
      <c r="E7251" t="s">
        <v>187</v>
      </c>
      <c r="F7251">
        <v>2005</v>
      </c>
      <c r="G7251">
        <v>24.260199</v>
      </c>
    </row>
    <row r="7252" spans="1:7">
      <c r="A7252" t="s">
        <v>1297</v>
      </c>
      <c r="B7252" t="s">
        <v>1298</v>
      </c>
      <c r="C7252" t="s">
        <v>659</v>
      </c>
      <c r="D7252" t="s">
        <v>1381</v>
      </c>
      <c r="E7252" t="s">
        <v>187</v>
      </c>
      <c r="F7252">
        <v>2010</v>
      </c>
      <c r="G7252">
        <v>42.638283000000001</v>
      </c>
    </row>
    <row r="7253" spans="1:7">
      <c r="A7253" t="s">
        <v>1297</v>
      </c>
      <c r="B7253" t="s">
        <v>1298</v>
      </c>
      <c r="C7253" t="s">
        <v>659</v>
      </c>
      <c r="D7253" t="s">
        <v>1381</v>
      </c>
      <c r="E7253" t="s">
        <v>187</v>
      </c>
      <c r="F7253">
        <v>2012</v>
      </c>
      <c r="G7253">
        <v>68.218048999999993</v>
      </c>
    </row>
    <row r="7254" spans="1:7">
      <c r="A7254" t="s">
        <v>1297</v>
      </c>
      <c r="B7254" t="s">
        <v>1298</v>
      </c>
      <c r="C7254" t="s">
        <v>659</v>
      </c>
      <c r="D7254" t="s">
        <v>1381</v>
      </c>
      <c r="E7254" t="s">
        <v>187</v>
      </c>
      <c r="F7254">
        <v>2016</v>
      </c>
      <c r="G7254">
        <v>134.36750699999999</v>
      </c>
    </row>
    <row r="7255" spans="1:7">
      <c r="A7255" t="s">
        <v>1297</v>
      </c>
      <c r="B7255" t="s">
        <v>1298</v>
      </c>
      <c r="C7255" t="s">
        <v>659</v>
      </c>
      <c r="D7255" t="s">
        <v>1381</v>
      </c>
      <c r="E7255" t="s">
        <v>187</v>
      </c>
      <c r="F7255">
        <v>2020</v>
      </c>
      <c r="G7255">
        <v>97.252200000000002</v>
      </c>
    </row>
    <row r="7256" spans="1:7">
      <c r="A7256" t="s">
        <v>1297</v>
      </c>
      <c r="B7256" t="s">
        <v>1298</v>
      </c>
      <c r="C7256" t="s">
        <v>673</v>
      </c>
      <c r="D7256" t="s">
        <v>1381</v>
      </c>
      <c r="E7256" t="s">
        <v>187</v>
      </c>
      <c r="F7256">
        <v>2005</v>
      </c>
      <c r="G7256">
        <v>32.7258</v>
      </c>
    </row>
    <row r="7257" spans="1:7">
      <c r="A7257" t="s">
        <v>1297</v>
      </c>
      <c r="B7257" t="s">
        <v>1298</v>
      </c>
      <c r="C7257" t="s">
        <v>673</v>
      </c>
      <c r="D7257" t="s">
        <v>1381</v>
      </c>
      <c r="E7257" t="s">
        <v>187</v>
      </c>
      <c r="F7257">
        <v>2010</v>
      </c>
      <c r="G7257">
        <v>39.172499999999999</v>
      </c>
    </row>
    <row r="7258" spans="1:7">
      <c r="A7258" t="s">
        <v>1297</v>
      </c>
      <c r="B7258" t="s">
        <v>1298</v>
      </c>
      <c r="C7258" t="s">
        <v>673</v>
      </c>
      <c r="D7258" t="s">
        <v>1381</v>
      </c>
      <c r="E7258" t="s">
        <v>187</v>
      </c>
      <c r="F7258">
        <v>2012</v>
      </c>
      <c r="G7258">
        <v>31.9878</v>
      </c>
    </row>
    <row r="7259" spans="1:7">
      <c r="A7259" t="s">
        <v>1297</v>
      </c>
      <c r="B7259" t="s">
        <v>1298</v>
      </c>
      <c r="C7259" t="s">
        <v>673</v>
      </c>
      <c r="D7259" t="s">
        <v>1381</v>
      </c>
      <c r="E7259" t="s">
        <v>187</v>
      </c>
      <c r="F7259">
        <v>2016</v>
      </c>
      <c r="G7259">
        <v>31.9239</v>
      </c>
    </row>
    <row r="7260" spans="1:7">
      <c r="A7260" t="s">
        <v>1297</v>
      </c>
      <c r="B7260" t="s">
        <v>1298</v>
      </c>
      <c r="C7260" t="s">
        <v>673</v>
      </c>
      <c r="D7260" t="s">
        <v>1381</v>
      </c>
      <c r="E7260" t="s">
        <v>187</v>
      </c>
      <c r="F7260">
        <v>2020</v>
      </c>
      <c r="G7260">
        <v>34.269016000000001</v>
      </c>
    </row>
    <row r="7261" spans="1:7">
      <c r="A7261" t="s">
        <v>1297</v>
      </c>
      <c r="B7261" t="s">
        <v>1298</v>
      </c>
      <c r="C7261" t="s">
        <v>666</v>
      </c>
      <c r="D7261" t="s">
        <v>1381</v>
      </c>
      <c r="E7261" t="s">
        <v>187</v>
      </c>
      <c r="F7261">
        <v>2005</v>
      </c>
      <c r="G7261">
        <v>2.1177000000000001</v>
      </c>
    </row>
    <row r="7262" spans="1:7">
      <c r="A7262" t="s">
        <v>1297</v>
      </c>
      <c r="B7262" t="s">
        <v>1298</v>
      </c>
      <c r="C7262" t="s">
        <v>666</v>
      </c>
      <c r="D7262" t="s">
        <v>1381</v>
      </c>
      <c r="E7262" t="s">
        <v>187</v>
      </c>
      <c r="F7262">
        <v>2010</v>
      </c>
      <c r="G7262">
        <v>2.7801</v>
      </c>
    </row>
    <row r="7263" spans="1:7">
      <c r="A7263" t="s">
        <v>1297</v>
      </c>
      <c r="B7263" t="s">
        <v>1298</v>
      </c>
      <c r="C7263" t="s">
        <v>666</v>
      </c>
      <c r="D7263" t="s">
        <v>1381</v>
      </c>
      <c r="E7263" t="s">
        <v>187</v>
      </c>
      <c r="F7263">
        <v>2012</v>
      </c>
      <c r="G7263">
        <v>2.6486999999999998</v>
      </c>
    </row>
    <row r="7264" spans="1:7">
      <c r="A7264" t="s">
        <v>1297</v>
      </c>
      <c r="B7264" t="s">
        <v>1298</v>
      </c>
      <c r="C7264" t="s">
        <v>686</v>
      </c>
      <c r="D7264" t="s">
        <v>1381</v>
      </c>
      <c r="E7264" t="s">
        <v>187</v>
      </c>
      <c r="F7264">
        <v>2010</v>
      </c>
      <c r="G7264">
        <v>3.6261000000000001</v>
      </c>
    </row>
    <row r="7265" spans="1:7">
      <c r="A7265" t="s">
        <v>1297</v>
      </c>
      <c r="B7265" t="s">
        <v>1298</v>
      </c>
      <c r="C7265" t="s">
        <v>686</v>
      </c>
      <c r="D7265" t="s">
        <v>1381</v>
      </c>
      <c r="E7265" t="s">
        <v>187</v>
      </c>
      <c r="F7265">
        <v>2012</v>
      </c>
      <c r="G7265">
        <v>4.1372999999999998</v>
      </c>
    </row>
    <row r="7266" spans="1:7">
      <c r="A7266" t="s">
        <v>1297</v>
      </c>
      <c r="B7266" t="s">
        <v>1298</v>
      </c>
      <c r="C7266" t="s">
        <v>686</v>
      </c>
      <c r="D7266" t="s">
        <v>1381</v>
      </c>
      <c r="E7266" t="s">
        <v>187</v>
      </c>
      <c r="F7266">
        <v>2016</v>
      </c>
      <c r="G7266">
        <v>6.5537999999999998</v>
      </c>
    </row>
    <row r="7267" spans="1:7">
      <c r="A7267" t="s">
        <v>1297</v>
      </c>
      <c r="B7267" t="s">
        <v>1298</v>
      </c>
      <c r="C7267" t="s">
        <v>686</v>
      </c>
      <c r="D7267" t="s">
        <v>1381</v>
      </c>
      <c r="E7267" t="s">
        <v>187</v>
      </c>
      <c r="F7267">
        <v>2020</v>
      </c>
      <c r="G7267">
        <v>7.8030929999999996</v>
      </c>
    </row>
    <row r="7268" spans="1:7">
      <c r="A7268" t="s">
        <v>1297</v>
      </c>
      <c r="B7268" t="s">
        <v>1298</v>
      </c>
      <c r="C7268" t="s">
        <v>658</v>
      </c>
      <c r="D7268" t="s">
        <v>1381</v>
      </c>
      <c r="E7268" t="s">
        <v>187</v>
      </c>
      <c r="F7268">
        <v>2005</v>
      </c>
      <c r="G7268">
        <v>1.9359</v>
      </c>
    </row>
    <row r="7269" spans="1:7">
      <c r="A7269" t="s">
        <v>1297</v>
      </c>
      <c r="B7269" t="s">
        <v>1298</v>
      </c>
      <c r="C7269" t="s">
        <v>658</v>
      </c>
      <c r="D7269" t="s">
        <v>1381</v>
      </c>
      <c r="E7269" t="s">
        <v>187</v>
      </c>
      <c r="F7269">
        <v>2010</v>
      </c>
      <c r="G7269">
        <v>1.2446999999999999</v>
      </c>
    </row>
    <row r="7270" spans="1:7">
      <c r="A7270" t="s">
        <v>1297</v>
      </c>
      <c r="B7270" t="s">
        <v>1298</v>
      </c>
      <c r="C7270" t="s">
        <v>658</v>
      </c>
      <c r="D7270" t="s">
        <v>1381</v>
      </c>
      <c r="E7270" t="s">
        <v>187</v>
      </c>
      <c r="F7270">
        <v>2012</v>
      </c>
      <c r="G7270">
        <v>1.4598</v>
      </c>
    </row>
    <row r="7271" spans="1:7">
      <c r="A7271" t="s">
        <v>1297</v>
      </c>
      <c r="B7271" t="s">
        <v>1298</v>
      </c>
      <c r="C7271" t="s">
        <v>658</v>
      </c>
      <c r="D7271" t="s">
        <v>1381</v>
      </c>
      <c r="E7271" t="s">
        <v>187</v>
      </c>
      <c r="F7271">
        <v>2016</v>
      </c>
      <c r="G7271">
        <v>3.3210000000000002</v>
      </c>
    </row>
    <row r="7272" spans="1:7">
      <c r="A7272" t="s">
        <v>1297</v>
      </c>
      <c r="B7272" t="s">
        <v>1298</v>
      </c>
      <c r="C7272" t="s">
        <v>658</v>
      </c>
      <c r="D7272" t="s">
        <v>1381</v>
      </c>
      <c r="E7272" t="s">
        <v>187</v>
      </c>
      <c r="F7272">
        <v>2020</v>
      </c>
      <c r="G7272">
        <v>3.0728</v>
      </c>
    </row>
    <row r="7273" spans="1:7">
      <c r="A7273" t="s">
        <v>1297</v>
      </c>
      <c r="B7273" t="s">
        <v>1298</v>
      </c>
      <c r="C7273" t="s">
        <v>653</v>
      </c>
      <c r="D7273" t="s">
        <v>1381</v>
      </c>
      <c r="E7273" t="s">
        <v>187</v>
      </c>
      <c r="F7273">
        <v>2005</v>
      </c>
      <c r="G7273">
        <v>1.8243</v>
      </c>
    </row>
    <row r="7274" spans="1:7">
      <c r="A7274" t="s">
        <v>1297</v>
      </c>
      <c r="B7274" t="s">
        <v>1298</v>
      </c>
      <c r="C7274" t="s">
        <v>653</v>
      </c>
      <c r="D7274" t="s">
        <v>1381</v>
      </c>
      <c r="E7274" t="s">
        <v>187</v>
      </c>
      <c r="F7274">
        <v>2010</v>
      </c>
      <c r="G7274">
        <v>3.3552390000000001</v>
      </c>
    </row>
    <row r="7275" spans="1:7">
      <c r="A7275" t="s">
        <v>1297</v>
      </c>
      <c r="B7275" t="s">
        <v>1298</v>
      </c>
      <c r="C7275" t="s">
        <v>653</v>
      </c>
      <c r="D7275" t="s">
        <v>1381</v>
      </c>
      <c r="E7275" t="s">
        <v>187</v>
      </c>
      <c r="F7275">
        <v>2012</v>
      </c>
      <c r="G7275">
        <v>3.4191099999999999</v>
      </c>
    </row>
    <row r="7276" spans="1:7">
      <c r="A7276" t="s">
        <v>1297</v>
      </c>
      <c r="B7276" t="s">
        <v>1298</v>
      </c>
      <c r="C7276" t="s">
        <v>653</v>
      </c>
      <c r="D7276" t="s">
        <v>1381</v>
      </c>
      <c r="E7276" t="s">
        <v>187</v>
      </c>
      <c r="F7276">
        <v>2016</v>
      </c>
      <c r="G7276">
        <v>3.7520889999999998</v>
      </c>
    </row>
    <row r="7277" spans="1:7">
      <c r="A7277" t="s">
        <v>1297</v>
      </c>
      <c r="B7277" t="s">
        <v>1298</v>
      </c>
      <c r="C7277" t="s">
        <v>653</v>
      </c>
      <c r="D7277" t="s">
        <v>1381</v>
      </c>
      <c r="E7277" t="s">
        <v>187</v>
      </c>
      <c r="F7277">
        <v>2020</v>
      </c>
      <c r="G7277">
        <v>3.7528519999999999</v>
      </c>
    </row>
    <row r="7278" spans="1:7">
      <c r="A7278" t="s">
        <v>1297</v>
      </c>
      <c r="B7278" t="s">
        <v>1298</v>
      </c>
      <c r="C7278" t="s">
        <v>666</v>
      </c>
      <c r="D7278" t="s">
        <v>1381</v>
      </c>
      <c r="E7278" t="s">
        <v>187</v>
      </c>
      <c r="F7278">
        <v>2016</v>
      </c>
      <c r="G7278">
        <v>2.7414000000000001</v>
      </c>
    </row>
    <row r="7279" spans="1:7">
      <c r="A7279" t="s">
        <v>1297</v>
      </c>
      <c r="B7279" t="s">
        <v>1298</v>
      </c>
      <c r="C7279" t="s">
        <v>666</v>
      </c>
      <c r="D7279" t="s">
        <v>1381</v>
      </c>
      <c r="E7279" t="s">
        <v>187</v>
      </c>
      <c r="F7279">
        <v>2020</v>
      </c>
      <c r="G7279">
        <v>3.0393590000000001</v>
      </c>
    </row>
    <row r="7280" spans="1:7">
      <c r="A7280" t="s">
        <v>1297</v>
      </c>
      <c r="B7280" t="s">
        <v>1298</v>
      </c>
      <c r="C7280" t="s">
        <v>682</v>
      </c>
      <c r="D7280" t="s">
        <v>1381</v>
      </c>
      <c r="E7280" t="s">
        <v>187</v>
      </c>
      <c r="F7280">
        <v>2016</v>
      </c>
      <c r="G7280">
        <v>1.0575000000000001</v>
      </c>
    </row>
    <row r="7281" spans="1:7">
      <c r="A7281" t="s">
        <v>1297</v>
      </c>
      <c r="B7281" t="s">
        <v>1298</v>
      </c>
      <c r="C7281" t="s">
        <v>682</v>
      </c>
      <c r="D7281" t="s">
        <v>1381</v>
      </c>
      <c r="E7281" t="s">
        <v>187</v>
      </c>
      <c r="F7281">
        <v>2020</v>
      </c>
      <c r="G7281">
        <v>0.942303</v>
      </c>
    </row>
    <row r="7282" spans="1:7">
      <c r="A7282" t="s">
        <v>1297</v>
      </c>
      <c r="B7282" t="s">
        <v>1298</v>
      </c>
      <c r="C7282" t="s">
        <v>651</v>
      </c>
      <c r="D7282" t="s">
        <v>1381</v>
      </c>
      <c r="E7282" t="s">
        <v>187</v>
      </c>
      <c r="F7282">
        <v>2005</v>
      </c>
      <c r="G7282">
        <v>23.163077999999999</v>
      </c>
    </row>
    <row r="7283" spans="1:7">
      <c r="A7283" t="s">
        <v>1297</v>
      </c>
      <c r="B7283" t="s">
        <v>1298</v>
      </c>
      <c r="C7283" t="s">
        <v>651</v>
      </c>
      <c r="D7283" t="s">
        <v>1381</v>
      </c>
      <c r="E7283" t="s">
        <v>187</v>
      </c>
      <c r="F7283">
        <v>2010</v>
      </c>
      <c r="G7283">
        <v>17.168095000000001</v>
      </c>
    </row>
    <row r="7284" spans="1:7">
      <c r="A7284" t="s">
        <v>1297</v>
      </c>
      <c r="B7284" t="s">
        <v>1298</v>
      </c>
      <c r="C7284" t="s">
        <v>651</v>
      </c>
      <c r="D7284" t="s">
        <v>1381</v>
      </c>
      <c r="E7284" t="s">
        <v>187</v>
      </c>
      <c r="F7284">
        <v>2012</v>
      </c>
      <c r="G7284">
        <v>16.791694</v>
      </c>
    </row>
    <row r="7285" spans="1:7">
      <c r="A7285" t="s">
        <v>1297</v>
      </c>
      <c r="B7285" t="s">
        <v>1298</v>
      </c>
      <c r="C7285" t="s">
        <v>651</v>
      </c>
      <c r="D7285" t="s">
        <v>1381</v>
      </c>
      <c r="E7285" t="s">
        <v>187</v>
      </c>
      <c r="F7285">
        <v>2016</v>
      </c>
      <c r="G7285">
        <v>14.274838000000001</v>
      </c>
    </row>
    <row r="7286" spans="1:7">
      <c r="A7286" t="s">
        <v>1297</v>
      </c>
      <c r="B7286" t="s">
        <v>1298</v>
      </c>
      <c r="C7286" t="s">
        <v>651</v>
      </c>
      <c r="D7286" t="s">
        <v>1381</v>
      </c>
      <c r="E7286" t="s">
        <v>187</v>
      </c>
      <c r="F7286">
        <v>2020</v>
      </c>
      <c r="G7286">
        <v>15.110816</v>
      </c>
    </row>
    <row r="7287" spans="1:7">
      <c r="A7287" t="s">
        <v>1297</v>
      </c>
      <c r="B7287" t="s">
        <v>1298</v>
      </c>
      <c r="C7287" t="s">
        <v>677</v>
      </c>
      <c r="D7287" t="s">
        <v>1381</v>
      </c>
      <c r="E7287" t="s">
        <v>187</v>
      </c>
      <c r="F7287">
        <v>2005</v>
      </c>
      <c r="G7287">
        <v>286.79309999999998</v>
      </c>
    </row>
    <row r="7288" spans="1:7">
      <c r="A7288" t="s">
        <v>1297</v>
      </c>
      <c r="B7288" t="s">
        <v>1298</v>
      </c>
      <c r="C7288" t="s">
        <v>677</v>
      </c>
      <c r="D7288" t="s">
        <v>1381</v>
      </c>
      <c r="E7288" t="s">
        <v>187</v>
      </c>
      <c r="F7288">
        <v>2010</v>
      </c>
      <c r="G7288">
        <v>292.33800000000002</v>
      </c>
    </row>
    <row r="7289" spans="1:7">
      <c r="A7289" t="s">
        <v>1297</v>
      </c>
      <c r="B7289" t="s">
        <v>1298</v>
      </c>
      <c r="C7289" t="s">
        <v>677</v>
      </c>
      <c r="D7289" t="s">
        <v>1381</v>
      </c>
      <c r="E7289" t="s">
        <v>187</v>
      </c>
      <c r="F7289">
        <v>2012</v>
      </c>
      <c r="G7289">
        <v>280.7604</v>
      </c>
    </row>
    <row r="7290" spans="1:7">
      <c r="A7290" t="s">
        <v>1297</v>
      </c>
      <c r="B7290" t="s">
        <v>1298</v>
      </c>
      <c r="C7290" t="s">
        <v>677</v>
      </c>
      <c r="D7290" t="s">
        <v>1381</v>
      </c>
      <c r="E7290" t="s">
        <v>187</v>
      </c>
      <c r="F7290">
        <v>2016</v>
      </c>
      <c r="G7290">
        <v>268.46162299999997</v>
      </c>
    </row>
    <row r="7291" spans="1:7">
      <c r="A7291" t="s">
        <v>1297</v>
      </c>
      <c r="B7291" t="s">
        <v>1298</v>
      </c>
      <c r="C7291" t="s">
        <v>677</v>
      </c>
      <c r="D7291" t="s">
        <v>1381</v>
      </c>
      <c r="E7291" t="s">
        <v>187</v>
      </c>
      <c r="F7291">
        <v>2020</v>
      </c>
      <c r="G7291">
        <v>274.85640799999999</v>
      </c>
    </row>
    <row r="7292" spans="1:7">
      <c r="A7292" t="s">
        <v>1297</v>
      </c>
      <c r="B7292" t="s">
        <v>1298</v>
      </c>
      <c r="C7292" t="s">
        <v>672</v>
      </c>
      <c r="D7292" t="s">
        <v>1381</v>
      </c>
      <c r="E7292" t="s">
        <v>187</v>
      </c>
      <c r="F7292">
        <v>2005</v>
      </c>
      <c r="G7292">
        <v>5.7060000000000004</v>
      </c>
    </row>
    <row r="7293" spans="1:7">
      <c r="A7293" t="s">
        <v>1297</v>
      </c>
      <c r="B7293" t="s">
        <v>1298</v>
      </c>
      <c r="C7293" t="s">
        <v>672</v>
      </c>
      <c r="D7293" t="s">
        <v>1381</v>
      </c>
      <c r="E7293" t="s">
        <v>187</v>
      </c>
      <c r="F7293">
        <v>2010</v>
      </c>
      <c r="G7293">
        <v>8.2179000000000002</v>
      </c>
    </row>
    <row r="7294" spans="1:7">
      <c r="A7294" t="s">
        <v>1297</v>
      </c>
      <c r="B7294" t="s">
        <v>1298</v>
      </c>
      <c r="C7294" t="s">
        <v>672</v>
      </c>
      <c r="D7294" t="s">
        <v>1381</v>
      </c>
      <c r="E7294" t="s">
        <v>187</v>
      </c>
      <c r="F7294">
        <v>2012</v>
      </c>
      <c r="G7294">
        <v>9.1214999999999993</v>
      </c>
    </row>
    <row r="7295" spans="1:7">
      <c r="A7295" t="s">
        <v>1297</v>
      </c>
      <c r="B7295" t="s">
        <v>1298</v>
      </c>
      <c r="C7295" t="s">
        <v>672</v>
      </c>
      <c r="D7295" t="s">
        <v>1381</v>
      </c>
      <c r="E7295" t="s">
        <v>187</v>
      </c>
      <c r="F7295">
        <v>2016</v>
      </c>
      <c r="G7295">
        <v>10.579966000000001</v>
      </c>
    </row>
    <row r="7296" spans="1:7">
      <c r="A7296" t="s">
        <v>1297</v>
      </c>
      <c r="B7296" t="s">
        <v>1298</v>
      </c>
      <c r="C7296" t="s">
        <v>672</v>
      </c>
      <c r="D7296" t="s">
        <v>1381</v>
      </c>
      <c r="E7296" t="s">
        <v>187</v>
      </c>
      <c r="F7296">
        <v>2020</v>
      </c>
      <c r="G7296">
        <v>10.363258999999999</v>
      </c>
    </row>
    <row r="7297" spans="1:7">
      <c r="A7297" t="s">
        <v>1297</v>
      </c>
      <c r="B7297" t="s">
        <v>1298</v>
      </c>
      <c r="C7297" t="s">
        <v>665</v>
      </c>
      <c r="D7297" t="s">
        <v>1381</v>
      </c>
      <c r="E7297" t="s">
        <v>187</v>
      </c>
      <c r="F7297">
        <v>2005</v>
      </c>
      <c r="G7297">
        <v>311.26229999999998</v>
      </c>
    </row>
    <row r="7298" spans="1:7">
      <c r="A7298" t="s">
        <v>1297</v>
      </c>
      <c r="B7298" t="s">
        <v>1298</v>
      </c>
      <c r="C7298" t="s">
        <v>665</v>
      </c>
      <c r="D7298" t="s">
        <v>1381</v>
      </c>
      <c r="E7298" t="s">
        <v>187</v>
      </c>
      <c r="F7298">
        <v>2010</v>
      </c>
      <c r="G7298">
        <v>360.64440000000002</v>
      </c>
    </row>
    <row r="7299" spans="1:7">
      <c r="A7299" t="s">
        <v>1297</v>
      </c>
      <c r="B7299" t="s">
        <v>1298</v>
      </c>
      <c r="C7299" t="s">
        <v>665</v>
      </c>
      <c r="D7299" t="s">
        <v>1381</v>
      </c>
      <c r="E7299" t="s">
        <v>187</v>
      </c>
      <c r="F7299">
        <v>2012</v>
      </c>
      <c r="G7299">
        <v>304.64999999999998</v>
      </c>
    </row>
    <row r="7300" spans="1:7">
      <c r="A7300" t="s">
        <v>1297</v>
      </c>
      <c r="B7300" t="s">
        <v>1298</v>
      </c>
      <c r="C7300" t="s">
        <v>665</v>
      </c>
      <c r="D7300" t="s">
        <v>1381</v>
      </c>
      <c r="E7300" t="s">
        <v>187</v>
      </c>
      <c r="F7300">
        <v>2016</v>
      </c>
      <c r="G7300">
        <v>273.9015</v>
      </c>
    </row>
    <row r="7301" spans="1:7">
      <c r="A7301" t="s">
        <v>1297</v>
      </c>
      <c r="B7301" t="s">
        <v>1298</v>
      </c>
      <c r="C7301" t="s">
        <v>665</v>
      </c>
      <c r="D7301" t="s">
        <v>1381</v>
      </c>
      <c r="E7301" t="s">
        <v>187</v>
      </c>
      <c r="F7301">
        <v>2020</v>
      </c>
      <c r="G7301">
        <v>296.69197500000001</v>
      </c>
    </row>
    <row r="7302" spans="1:7">
      <c r="A7302" t="s">
        <v>1297</v>
      </c>
      <c r="B7302" t="s">
        <v>1298</v>
      </c>
      <c r="C7302" t="s">
        <v>676</v>
      </c>
      <c r="D7302" t="s">
        <v>1381</v>
      </c>
      <c r="E7302" t="s">
        <v>187</v>
      </c>
      <c r="F7302">
        <v>2005</v>
      </c>
      <c r="G7302">
        <v>37.704599999999999</v>
      </c>
    </row>
    <row r="7303" spans="1:7">
      <c r="A7303" t="s">
        <v>1297</v>
      </c>
      <c r="B7303" t="s">
        <v>1298</v>
      </c>
      <c r="C7303" t="s">
        <v>676</v>
      </c>
      <c r="D7303" t="s">
        <v>1381</v>
      </c>
      <c r="E7303" t="s">
        <v>187</v>
      </c>
      <c r="F7303">
        <v>2010</v>
      </c>
      <c r="G7303">
        <v>35.293500000000002</v>
      </c>
    </row>
    <row r="7304" spans="1:7">
      <c r="A7304" t="s">
        <v>1297</v>
      </c>
      <c r="B7304" t="s">
        <v>1298</v>
      </c>
      <c r="C7304" t="s">
        <v>676</v>
      </c>
      <c r="D7304" t="s">
        <v>1381</v>
      </c>
      <c r="E7304" t="s">
        <v>187</v>
      </c>
      <c r="F7304">
        <v>2012</v>
      </c>
      <c r="G7304">
        <v>26.972999999999999</v>
      </c>
    </row>
    <row r="7305" spans="1:7">
      <c r="A7305" t="s">
        <v>1297</v>
      </c>
      <c r="B7305" t="s">
        <v>1298</v>
      </c>
      <c r="C7305" t="s">
        <v>676</v>
      </c>
      <c r="D7305" t="s">
        <v>1381</v>
      </c>
      <c r="E7305" t="s">
        <v>187</v>
      </c>
      <c r="F7305">
        <v>2016</v>
      </c>
      <c r="G7305">
        <v>22.309200000000001</v>
      </c>
    </row>
    <row r="7306" spans="1:7">
      <c r="A7306" t="s">
        <v>1297</v>
      </c>
      <c r="B7306" t="s">
        <v>1298</v>
      </c>
      <c r="C7306" t="s">
        <v>676</v>
      </c>
      <c r="D7306" t="s">
        <v>1381</v>
      </c>
      <c r="E7306" t="s">
        <v>187</v>
      </c>
      <c r="F7306">
        <v>2020</v>
      </c>
      <c r="G7306">
        <v>16.710443999999999</v>
      </c>
    </row>
    <row r="7307" spans="1:7">
      <c r="A7307" t="s">
        <v>1297</v>
      </c>
      <c r="B7307" t="s">
        <v>1298</v>
      </c>
      <c r="C7307" t="s">
        <v>663</v>
      </c>
      <c r="D7307" t="s">
        <v>1381</v>
      </c>
      <c r="E7307" t="s">
        <v>187</v>
      </c>
      <c r="F7307">
        <v>2005</v>
      </c>
      <c r="G7307">
        <v>95.497200000000007</v>
      </c>
    </row>
    <row r="7308" spans="1:7">
      <c r="A7308" t="s">
        <v>1297</v>
      </c>
      <c r="B7308" t="s">
        <v>1298</v>
      </c>
      <c r="C7308" t="s">
        <v>663</v>
      </c>
      <c r="D7308" t="s">
        <v>1381</v>
      </c>
      <c r="E7308" t="s">
        <v>187</v>
      </c>
      <c r="F7308">
        <v>2010</v>
      </c>
      <c r="G7308">
        <v>71.811000000000007</v>
      </c>
    </row>
    <row r="7309" spans="1:7">
      <c r="A7309" t="s">
        <v>1297</v>
      </c>
      <c r="B7309" t="s">
        <v>1298</v>
      </c>
      <c r="C7309" t="s">
        <v>663</v>
      </c>
      <c r="D7309" t="s">
        <v>1381</v>
      </c>
      <c r="E7309" t="s">
        <v>187</v>
      </c>
      <c r="F7309">
        <v>2012</v>
      </c>
      <c r="G7309">
        <v>58.075200000000002</v>
      </c>
    </row>
    <row r="7310" spans="1:7">
      <c r="A7310" t="s">
        <v>1297</v>
      </c>
      <c r="B7310" t="s">
        <v>1298</v>
      </c>
      <c r="C7310" t="s">
        <v>663</v>
      </c>
      <c r="D7310" t="s">
        <v>1381</v>
      </c>
      <c r="E7310" t="s">
        <v>187</v>
      </c>
      <c r="F7310">
        <v>2016</v>
      </c>
      <c r="G7310">
        <v>51.613996999999998</v>
      </c>
    </row>
    <row r="7311" spans="1:7">
      <c r="A7311" t="s">
        <v>1297</v>
      </c>
      <c r="B7311" t="s">
        <v>1298</v>
      </c>
      <c r="C7311" t="s">
        <v>663</v>
      </c>
      <c r="D7311" t="s">
        <v>1381</v>
      </c>
      <c r="E7311" t="s">
        <v>187</v>
      </c>
      <c r="F7311">
        <v>2020</v>
      </c>
      <c r="G7311">
        <v>44.358300999999997</v>
      </c>
    </row>
    <row r="7312" spans="1:7">
      <c r="A7312" t="s">
        <v>1297</v>
      </c>
      <c r="B7312" t="s">
        <v>1298</v>
      </c>
      <c r="C7312" t="s">
        <v>674</v>
      </c>
      <c r="D7312" t="s">
        <v>1381</v>
      </c>
      <c r="E7312" t="s">
        <v>187</v>
      </c>
      <c r="F7312">
        <v>2005</v>
      </c>
      <c r="G7312">
        <v>3.6692999999999998</v>
      </c>
    </row>
    <row r="7313" spans="1:8">
      <c r="A7313" t="s">
        <v>1297</v>
      </c>
      <c r="B7313" t="s">
        <v>1298</v>
      </c>
      <c r="C7313" t="s">
        <v>674</v>
      </c>
      <c r="D7313" t="s">
        <v>1381</v>
      </c>
      <c r="E7313" t="s">
        <v>187</v>
      </c>
      <c r="F7313">
        <v>2010</v>
      </c>
      <c r="G7313">
        <v>4.2984</v>
      </c>
    </row>
    <row r="7314" spans="1:8">
      <c r="A7314" t="s">
        <v>1297</v>
      </c>
      <c r="B7314" t="s">
        <v>1298</v>
      </c>
      <c r="C7314" t="s">
        <v>674</v>
      </c>
      <c r="D7314" t="s">
        <v>1381</v>
      </c>
      <c r="E7314" t="s">
        <v>187</v>
      </c>
      <c r="F7314">
        <v>2012</v>
      </c>
      <c r="G7314">
        <v>5.0913000000000004</v>
      </c>
    </row>
    <row r="7315" spans="1:8">
      <c r="A7315" t="s">
        <v>1297</v>
      </c>
      <c r="B7315" t="s">
        <v>1298</v>
      </c>
      <c r="C7315" t="s">
        <v>674</v>
      </c>
      <c r="D7315" t="s">
        <v>1381</v>
      </c>
      <c r="E7315" t="s">
        <v>187</v>
      </c>
      <c r="F7315">
        <v>2016</v>
      </c>
      <c r="G7315">
        <v>4.0095000000000001</v>
      </c>
    </row>
    <row r="7316" spans="1:8">
      <c r="A7316" t="s">
        <v>1297</v>
      </c>
      <c r="B7316" t="s">
        <v>1298</v>
      </c>
      <c r="C7316" t="s">
        <v>674</v>
      </c>
      <c r="D7316" t="s">
        <v>1381</v>
      </c>
      <c r="E7316" t="s">
        <v>187</v>
      </c>
      <c r="F7316">
        <v>2020</v>
      </c>
      <c r="G7316">
        <v>4.2558819999999997</v>
      </c>
    </row>
    <row r="7317" spans="1:8">
      <c r="A7317" t="s">
        <v>1297</v>
      </c>
      <c r="B7317" t="s">
        <v>1298</v>
      </c>
      <c r="C7317" t="s">
        <v>667</v>
      </c>
      <c r="D7317" t="s">
        <v>1381</v>
      </c>
      <c r="E7317" t="s">
        <v>187</v>
      </c>
      <c r="F7317">
        <v>2005</v>
      </c>
      <c r="G7317">
        <v>4.0909380000000004</v>
      </c>
    </row>
    <row r="7318" spans="1:8">
      <c r="A7318" t="s">
        <v>1297</v>
      </c>
      <c r="B7318" t="s">
        <v>1298</v>
      </c>
      <c r="C7318" t="s">
        <v>667</v>
      </c>
      <c r="D7318" t="s">
        <v>1381</v>
      </c>
      <c r="E7318" t="s">
        <v>187</v>
      </c>
      <c r="F7318">
        <v>2010</v>
      </c>
      <c r="G7318">
        <v>5.7095719999999996</v>
      </c>
    </row>
    <row r="7319" spans="1:8">
      <c r="A7319" t="s">
        <v>1297</v>
      </c>
      <c r="B7319" t="s">
        <v>1298</v>
      </c>
      <c r="C7319" t="s">
        <v>667</v>
      </c>
      <c r="D7319" t="s">
        <v>1381</v>
      </c>
      <c r="E7319" t="s">
        <v>187</v>
      </c>
      <c r="F7319">
        <v>2012</v>
      </c>
      <c r="G7319">
        <v>5.0482300000000002</v>
      </c>
    </row>
    <row r="7320" spans="1:8">
      <c r="A7320" t="s">
        <v>1297</v>
      </c>
      <c r="B7320" t="s">
        <v>1298</v>
      </c>
      <c r="C7320" t="s">
        <v>667</v>
      </c>
      <c r="D7320" t="s">
        <v>1381</v>
      </c>
      <c r="E7320" t="s">
        <v>187</v>
      </c>
      <c r="F7320">
        <v>2016</v>
      </c>
      <c r="G7320">
        <v>4.8872330000000002</v>
      </c>
    </row>
    <row r="7321" spans="1:8">
      <c r="A7321" t="s">
        <v>1297</v>
      </c>
      <c r="B7321" t="s">
        <v>1298</v>
      </c>
      <c r="C7321" t="s">
        <v>667</v>
      </c>
      <c r="D7321" t="s">
        <v>1381</v>
      </c>
      <c r="E7321" t="s">
        <v>187</v>
      </c>
      <c r="F7321">
        <v>2020</v>
      </c>
      <c r="G7321">
        <v>4.4817429999999998</v>
      </c>
    </row>
    <row r="7322" spans="1:8">
      <c r="A7322" t="s">
        <v>1297</v>
      </c>
      <c r="B7322" t="s">
        <v>1298</v>
      </c>
      <c r="C7322" t="s">
        <v>673</v>
      </c>
      <c r="D7322" t="s">
        <v>1382</v>
      </c>
      <c r="E7322" t="s">
        <v>187</v>
      </c>
      <c r="F7322">
        <v>2016</v>
      </c>
      <c r="G7322">
        <v>8.9999999999999998E-4</v>
      </c>
    </row>
    <row r="7323" spans="1:8">
      <c r="A7323" t="s">
        <v>1297</v>
      </c>
      <c r="B7323" t="s">
        <v>1298</v>
      </c>
      <c r="C7323" t="s">
        <v>673</v>
      </c>
      <c r="D7323" t="s">
        <v>1382</v>
      </c>
      <c r="E7323" t="s">
        <v>187</v>
      </c>
      <c r="F7323">
        <v>2020</v>
      </c>
      <c r="G7323" s="14">
        <v>5.8999999999999998E-5</v>
      </c>
    </row>
    <row r="7324" spans="1:8">
      <c r="A7324" t="s">
        <v>1297</v>
      </c>
      <c r="B7324" t="s">
        <v>1298</v>
      </c>
      <c r="C7324" t="s">
        <v>1299</v>
      </c>
      <c r="D7324" t="s">
        <v>1382</v>
      </c>
      <c r="E7324" t="s">
        <v>187</v>
      </c>
      <c r="F7324">
        <v>2005</v>
      </c>
      <c r="G7324">
        <v>1.7999999999999999E-2</v>
      </c>
    </row>
    <row r="7325" spans="1:8">
      <c r="A7325" t="s">
        <v>1297</v>
      </c>
      <c r="B7325" t="s">
        <v>1298</v>
      </c>
      <c r="C7325" t="s">
        <v>1299</v>
      </c>
      <c r="D7325" t="s">
        <v>1382</v>
      </c>
      <c r="E7325" t="s">
        <v>187</v>
      </c>
      <c r="F7325">
        <v>2010</v>
      </c>
      <c r="G7325">
        <v>3.3300000000000003E-2</v>
      </c>
    </row>
    <row r="7326" spans="1:8">
      <c r="A7326" t="s">
        <v>1297</v>
      </c>
      <c r="B7326" t="s">
        <v>1298</v>
      </c>
      <c r="C7326" t="s">
        <v>1299</v>
      </c>
      <c r="D7326" t="s">
        <v>1382</v>
      </c>
      <c r="E7326" t="s">
        <v>187</v>
      </c>
      <c r="F7326">
        <v>2012</v>
      </c>
      <c r="G7326">
        <v>6.3E-3</v>
      </c>
    </row>
    <row r="7327" spans="1:8">
      <c r="A7327" t="s">
        <v>1297</v>
      </c>
      <c r="B7327" t="s">
        <v>1298</v>
      </c>
      <c r="C7327" t="s">
        <v>1299</v>
      </c>
      <c r="D7327" t="s">
        <v>1382</v>
      </c>
      <c r="E7327" t="s">
        <v>187</v>
      </c>
      <c r="F7327">
        <v>2020</v>
      </c>
      <c r="G7327">
        <v>1.8029999999999999E-3</v>
      </c>
    </row>
    <row r="7328" spans="1:8">
      <c r="A7328" t="s">
        <v>1297</v>
      </c>
      <c r="B7328" t="s">
        <v>1298</v>
      </c>
      <c r="C7328" t="s">
        <v>655</v>
      </c>
      <c r="D7328" t="s">
        <v>1382</v>
      </c>
      <c r="E7328" t="s">
        <v>187</v>
      </c>
      <c r="F7328">
        <v>2016</v>
      </c>
      <c r="G7328" s="14">
        <v>4.4999999999999997E-3</v>
      </c>
      <c r="H7328" s="14"/>
    </row>
    <row r="7329" spans="1:8">
      <c r="A7329" t="s">
        <v>1297</v>
      </c>
      <c r="B7329" t="s">
        <v>1298</v>
      </c>
      <c r="C7329" t="s">
        <v>655</v>
      </c>
      <c r="D7329" t="s">
        <v>1382</v>
      </c>
      <c r="E7329" t="s">
        <v>187</v>
      </c>
      <c r="F7329">
        <v>2020</v>
      </c>
      <c r="G7329">
        <v>6.9829999999999996E-3</v>
      </c>
    </row>
    <row r="7330" spans="1:8">
      <c r="A7330" t="s">
        <v>1297</v>
      </c>
      <c r="B7330" t="s">
        <v>1298</v>
      </c>
      <c r="C7330" t="s">
        <v>653</v>
      </c>
      <c r="D7330" t="s">
        <v>1382</v>
      </c>
      <c r="E7330" t="s">
        <v>187</v>
      </c>
      <c r="F7330">
        <v>2020</v>
      </c>
      <c r="G7330">
        <v>6.1600000000000001E-4</v>
      </c>
    </row>
    <row r="7331" spans="1:8">
      <c r="A7331" t="s">
        <v>1297</v>
      </c>
      <c r="B7331" t="s">
        <v>1298</v>
      </c>
      <c r="C7331" t="s">
        <v>668</v>
      </c>
      <c r="D7331" t="s">
        <v>1382</v>
      </c>
      <c r="E7331" t="s">
        <v>187</v>
      </c>
      <c r="F7331">
        <v>2016</v>
      </c>
      <c r="G7331">
        <v>2.7000000000000001E-3</v>
      </c>
    </row>
    <row r="7332" spans="1:8">
      <c r="A7332" t="s">
        <v>1297</v>
      </c>
      <c r="B7332" t="s">
        <v>1298</v>
      </c>
      <c r="C7332" t="s">
        <v>668</v>
      </c>
      <c r="D7332" t="s">
        <v>1382</v>
      </c>
      <c r="E7332" t="s">
        <v>187</v>
      </c>
      <c r="F7332">
        <v>2020</v>
      </c>
      <c r="G7332">
        <v>3.4810000000000002E-3</v>
      </c>
    </row>
    <row r="7333" spans="1:8">
      <c r="A7333" t="s">
        <v>1297</v>
      </c>
      <c r="B7333" t="s">
        <v>1298</v>
      </c>
      <c r="C7333" t="s">
        <v>1301</v>
      </c>
      <c r="D7333" t="s">
        <v>1382</v>
      </c>
      <c r="E7333" t="s">
        <v>187</v>
      </c>
      <c r="F7333">
        <v>2010</v>
      </c>
      <c r="G7333">
        <v>0.108</v>
      </c>
    </row>
    <row r="7334" spans="1:8">
      <c r="A7334" t="s">
        <v>1297</v>
      </c>
      <c r="B7334" t="s">
        <v>1298</v>
      </c>
      <c r="C7334" t="s">
        <v>1301</v>
      </c>
      <c r="D7334" t="s">
        <v>1382</v>
      </c>
      <c r="E7334" t="s">
        <v>187</v>
      </c>
      <c r="F7334">
        <v>2012</v>
      </c>
      <c r="G7334">
        <v>1.998</v>
      </c>
    </row>
    <row r="7335" spans="1:8">
      <c r="A7335" t="s">
        <v>1297</v>
      </c>
      <c r="B7335" t="s">
        <v>1298</v>
      </c>
      <c r="C7335" t="s">
        <v>1301</v>
      </c>
      <c r="D7335" t="s">
        <v>1382</v>
      </c>
      <c r="E7335" t="s">
        <v>187</v>
      </c>
      <c r="F7335">
        <v>2016</v>
      </c>
      <c r="G7335">
        <v>1.6704000000000001</v>
      </c>
    </row>
    <row r="7336" spans="1:8">
      <c r="A7336" t="s">
        <v>1297</v>
      </c>
      <c r="B7336" t="s">
        <v>1298</v>
      </c>
      <c r="C7336" t="s">
        <v>1301</v>
      </c>
      <c r="D7336" t="s">
        <v>1382</v>
      </c>
      <c r="E7336" t="s">
        <v>187</v>
      </c>
      <c r="F7336">
        <v>2020</v>
      </c>
      <c r="G7336">
        <v>1.46889</v>
      </c>
    </row>
    <row r="7337" spans="1:8">
      <c r="A7337" t="s">
        <v>1297</v>
      </c>
      <c r="B7337" t="s">
        <v>1298</v>
      </c>
      <c r="C7337" t="s">
        <v>661</v>
      </c>
      <c r="D7337" t="s">
        <v>1382</v>
      </c>
      <c r="E7337" t="s">
        <v>187</v>
      </c>
      <c r="F7337">
        <v>2010</v>
      </c>
      <c r="G7337">
        <v>3.5999999999999997E-2</v>
      </c>
    </row>
    <row r="7338" spans="1:8">
      <c r="A7338" t="s">
        <v>1297</v>
      </c>
      <c r="B7338" t="s">
        <v>1298</v>
      </c>
      <c r="C7338" t="s">
        <v>672</v>
      </c>
      <c r="D7338" t="s">
        <v>1382</v>
      </c>
      <c r="E7338" t="s">
        <v>187</v>
      </c>
      <c r="F7338">
        <v>2005</v>
      </c>
      <c r="G7338">
        <v>8.9999999999999998E-4</v>
      </c>
    </row>
    <row r="7339" spans="1:8">
      <c r="A7339" t="s">
        <v>1297</v>
      </c>
      <c r="B7339" t="s">
        <v>1298</v>
      </c>
      <c r="C7339" t="s">
        <v>672</v>
      </c>
      <c r="D7339" t="s">
        <v>1382</v>
      </c>
      <c r="E7339" t="s">
        <v>187</v>
      </c>
      <c r="F7339">
        <v>2010</v>
      </c>
      <c r="G7339">
        <v>4.4999999999999997E-3</v>
      </c>
    </row>
    <row r="7340" spans="1:8">
      <c r="A7340" t="s">
        <v>1297</v>
      </c>
      <c r="B7340" t="s">
        <v>1298</v>
      </c>
      <c r="C7340" t="s">
        <v>672</v>
      </c>
      <c r="D7340" t="s">
        <v>1382</v>
      </c>
      <c r="E7340" t="s">
        <v>187</v>
      </c>
      <c r="F7340">
        <v>2012</v>
      </c>
      <c r="G7340" s="14">
        <v>1.8E-3</v>
      </c>
      <c r="H7340" s="14"/>
    </row>
    <row r="7341" spans="1:8">
      <c r="A7341" t="s">
        <v>1297</v>
      </c>
      <c r="B7341" t="s">
        <v>1298</v>
      </c>
      <c r="C7341" t="s">
        <v>672</v>
      </c>
      <c r="D7341" t="s">
        <v>1382</v>
      </c>
      <c r="E7341" t="s">
        <v>187</v>
      </c>
      <c r="F7341">
        <v>2016</v>
      </c>
      <c r="G7341">
        <v>2E-3</v>
      </c>
    </row>
    <row r="7342" spans="1:8">
      <c r="A7342" t="s">
        <v>1297</v>
      </c>
      <c r="B7342" t="s">
        <v>1298</v>
      </c>
      <c r="C7342" t="s">
        <v>672</v>
      </c>
      <c r="D7342" t="s">
        <v>1382</v>
      </c>
      <c r="E7342" t="s">
        <v>187</v>
      </c>
      <c r="F7342">
        <v>2020</v>
      </c>
      <c r="G7342">
        <v>2.4800000000000001E-4</v>
      </c>
    </row>
    <row r="7343" spans="1:8">
      <c r="A7343" t="s">
        <v>1297</v>
      </c>
      <c r="B7343" t="s">
        <v>1298</v>
      </c>
      <c r="C7343" t="s">
        <v>659</v>
      </c>
      <c r="D7343" t="s">
        <v>1382</v>
      </c>
      <c r="E7343" t="s">
        <v>187</v>
      </c>
      <c r="F7343">
        <v>2020</v>
      </c>
      <c r="G7343">
        <v>2.4299999999999999E-2</v>
      </c>
    </row>
    <row r="7344" spans="1:8">
      <c r="A7344" t="s">
        <v>1297</v>
      </c>
      <c r="B7344" t="s">
        <v>1298</v>
      </c>
      <c r="C7344" t="s">
        <v>663</v>
      </c>
      <c r="D7344" t="s">
        <v>1382</v>
      </c>
      <c r="E7344" t="s">
        <v>187</v>
      </c>
      <c r="F7344">
        <v>2012</v>
      </c>
      <c r="G7344">
        <v>1.44E-2</v>
      </c>
    </row>
    <row r="7345" spans="1:7">
      <c r="A7345" t="s">
        <v>1297</v>
      </c>
      <c r="B7345" t="s">
        <v>1298</v>
      </c>
      <c r="C7345" t="s">
        <v>663</v>
      </c>
      <c r="D7345" t="s">
        <v>1382</v>
      </c>
      <c r="E7345" t="s">
        <v>187</v>
      </c>
      <c r="F7345">
        <v>2016</v>
      </c>
      <c r="G7345">
        <v>5.4310000000000001E-3</v>
      </c>
    </row>
    <row r="7346" spans="1:7">
      <c r="A7346" t="s">
        <v>1297</v>
      </c>
      <c r="B7346" t="s">
        <v>1298</v>
      </c>
      <c r="C7346" t="s">
        <v>663</v>
      </c>
      <c r="D7346" t="s">
        <v>1382</v>
      </c>
      <c r="E7346" t="s">
        <v>187</v>
      </c>
      <c r="F7346">
        <v>2020</v>
      </c>
      <c r="G7346">
        <v>2.7000000000000001E-3</v>
      </c>
    </row>
    <row r="7347" spans="1:7">
      <c r="A7347" t="s">
        <v>1297</v>
      </c>
      <c r="B7347" t="s">
        <v>1298</v>
      </c>
      <c r="C7347" t="s">
        <v>675</v>
      </c>
      <c r="D7347" t="s">
        <v>1382</v>
      </c>
      <c r="E7347" t="s">
        <v>187</v>
      </c>
      <c r="F7347">
        <v>2020</v>
      </c>
      <c r="G7347" s="14">
        <v>6.7999999999999999E-5</v>
      </c>
    </row>
    <row r="7348" spans="1:7">
      <c r="A7348" t="s">
        <v>1297</v>
      </c>
      <c r="B7348" t="s">
        <v>1298</v>
      </c>
      <c r="C7348" t="s">
        <v>673</v>
      </c>
      <c r="D7348" t="s">
        <v>1383</v>
      </c>
      <c r="E7348" t="s">
        <v>187</v>
      </c>
      <c r="F7348">
        <v>2020</v>
      </c>
      <c r="G7348">
        <v>105.930488</v>
      </c>
    </row>
    <row r="7349" spans="1:7">
      <c r="A7349" t="s">
        <v>1297</v>
      </c>
      <c r="B7349" t="s">
        <v>1298</v>
      </c>
      <c r="C7349" t="s">
        <v>685</v>
      </c>
      <c r="D7349" t="s">
        <v>1383</v>
      </c>
      <c r="E7349" t="s">
        <v>187</v>
      </c>
      <c r="F7349">
        <v>2016</v>
      </c>
      <c r="G7349">
        <v>3.5999999999999999E-3</v>
      </c>
    </row>
    <row r="7350" spans="1:7">
      <c r="A7350" t="s">
        <v>1297</v>
      </c>
      <c r="B7350" t="s">
        <v>1298</v>
      </c>
      <c r="C7350" t="s">
        <v>685</v>
      </c>
      <c r="D7350" t="s">
        <v>1383</v>
      </c>
      <c r="E7350" t="s">
        <v>187</v>
      </c>
      <c r="F7350">
        <v>2020</v>
      </c>
      <c r="G7350">
        <v>8.097E-3</v>
      </c>
    </row>
    <row r="7351" spans="1:7">
      <c r="A7351" t="s">
        <v>1297</v>
      </c>
      <c r="B7351" t="s">
        <v>1298</v>
      </c>
      <c r="C7351" t="s">
        <v>1303</v>
      </c>
      <c r="D7351" t="s">
        <v>1383</v>
      </c>
      <c r="E7351" t="s">
        <v>187</v>
      </c>
      <c r="F7351">
        <v>2016</v>
      </c>
      <c r="G7351">
        <v>27.336355000000001</v>
      </c>
    </row>
    <row r="7352" spans="1:7">
      <c r="A7352" t="s">
        <v>1297</v>
      </c>
      <c r="B7352" t="s">
        <v>1298</v>
      </c>
      <c r="C7352" t="s">
        <v>1303</v>
      </c>
      <c r="D7352" t="s">
        <v>1383</v>
      </c>
      <c r="E7352" t="s">
        <v>187</v>
      </c>
      <c r="F7352">
        <v>2020</v>
      </c>
      <c r="G7352">
        <v>34.778903999999997</v>
      </c>
    </row>
    <row r="7353" spans="1:7">
      <c r="A7353" t="s">
        <v>1297</v>
      </c>
      <c r="B7353" t="s">
        <v>1298</v>
      </c>
      <c r="C7353" t="s">
        <v>661</v>
      </c>
      <c r="D7353" t="s">
        <v>1383</v>
      </c>
      <c r="E7353" t="s">
        <v>187</v>
      </c>
      <c r="F7353">
        <v>2005</v>
      </c>
      <c r="G7353">
        <v>605.07322599999998</v>
      </c>
    </row>
    <row r="7354" spans="1:7">
      <c r="A7354" t="s">
        <v>1297</v>
      </c>
      <c r="B7354" t="s">
        <v>1298</v>
      </c>
      <c r="C7354" t="s">
        <v>661</v>
      </c>
      <c r="D7354" t="s">
        <v>1383</v>
      </c>
      <c r="E7354" t="s">
        <v>187</v>
      </c>
      <c r="F7354">
        <v>2010</v>
      </c>
      <c r="G7354">
        <v>580.75463300000001</v>
      </c>
    </row>
    <row r="7355" spans="1:7">
      <c r="A7355" t="s">
        <v>1297</v>
      </c>
      <c r="B7355" t="s">
        <v>1298</v>
      </c>
      <c r="C7355" t="s">
        <v>661</v>
      </c>
      <c r="D7355" t="s">
        <v>1383</v>
      </c>
      <c r="E7355" t="s">
        <v>187</v>
      </c>
      <c r="F7355">
        <v>2012</v>
      </c>
      <c r="G7355">
        <v>588.48311799999999</v>
      </c>
    </row>
    <row r="7356" spans="1:7">
      <c r="A7356" t="s">
        <v>1297</v>
      </c>
      <c r="B7356" t="s">
        <v>1298</v>
      </c>
      <c r="C7356" t="s">
        <v>661</v>
      </c>
      <c r="D7356" t="s">
        <v>1383</v>
      </c>
      <c r="E7356" t="s">
        <v>187</v>
      </c>
      <c r="F7356">
        <v>2016</v>
      </c>
      <c r="G7356">
        <v>528.80897900000002</v>
      </c>
    </row>
    <row r="7357" spans="1:7">
      <c r="A7357" t="s">
        <v>1297</v>
      </c>
      <c r="B7357" t="s">
        <v>1298</v>
      </c>
      <c r="C7357" t="s">
        <v>661</v>
      </c>
      <c r="D7357" t="s">
        <v>1383</v>
      </c>
      <c r="E7357" t="s">
        <v>187</v>
      </c>
      <c r="F7357">
        <v>2020</v>
      </c>
      <c r="G7357">
        <v>475.744392</v>
      </c>
    </row>
    <row r="7358" spans="1:7">
      <c r="A7358" t="s">
        <v>1297</v>
      </c>
      <c r="B7358" t="s">
        <v>1298</v>
      </c>
      <c r="C7358" t="s">
        <v>1300</v>
      </c>
      <c r="D7358" t="s">
        <v>1383</v>
      </c>
      <c r="E7358" t="s">
        <v>187</v>
      </c>
      <c r="F7358">
        <v>2010</v>
      </c>
      <c r="G7358">
        <v>11.077199999999999</v>
      </c>
    </row>
    <row r="7359" spans="1:7">
      <c r="A7359" t="s">
        <v>1297</v>
      </c>
      <c r="B7359" t="s">
        <v>1298</v>
      </c>
      <c r="C7359" t="s">
        <v>1300</v>
      </c>
      <c r="D7359" t="s">
        <v>1383</v>
      </c>
      <c r="E7359" t="s">
        <v>187</v>
      </c>
      <c r="F7359">
        <v>2012</v>
      </c>
      <c r="G7359">
        <v>9.4481999999999999</v>
      </c>
    </row>
    <row r="7360" spans="1:7">
      <c r="A7360" t="s">
        <v>1297</v>
      </c>
      <c r="B7360" t="s">
        <v>1298</v>
      </c>
      <c r="C7360" t="s">
        <v>1300</v>
      </c>
      <c r="D7360" t="s">
        <v>1383</v>
      </c>
      <c r="E7360" t="s">
        <v>187</v>
      </c>
      <c r="F7360">
        <v>2016</v>
      </c>
      <c r="G7360">
        <v>8.9091000000000005</v>
      </c>
    </row>
    <row r="7361" spans="1:7">
      <c r="A7361" t="s">
        <v>1297</v>
      </c>
      <c r="B7361" t="s">
        <v>1298</v>
      </c>
      <c r="C7361" t="s">
        <v>1300</v>
      </c>
      <c r="D7361" t="s">
        <v>1383</v>
      </c>
      <c r="E7361" t="s">
        <v>187</v>
      </c>
      <c r="F7361">
        <v>2020</v>
      </c>
      <c r="G7361">
        <v>10.860239999999999</v>
      </c>
    </row>
    <row r="7362" spans="1:7">
      <c r="A7362" t="s">
        <v>1297</v>
      </c>
      <c r="B7362" t="s">
        <v>1298</v>
      </c>
      <c r="C7362" t="s">
        <v>652</v>
      </c>
      <c r="D7362" t="s">
        <v>1383</v>
      </c>
      <c r="E7362" t="s">
        <v>187</v>
      </c>
      <c r="F7362">
        <v>2005</v>
      </c>
      <c r="G7362">
        <v>156.006452</v>
      </c>
    </row>
    <row r="7363" spans="1:7">
      <c r="A7363" t="s">
        <v>1297</v>
      </c>
      <c r="B7363" t="s">
        <v>1298</v>
      </c>
      <c r="C7363" t="s">
        <v>652</v>
      </c>
      <c r="D7363" t="s">
        <v>1383</v>
      </c>
      <c r="E7363" t="s">
        <v>187</v>
      </c>
      <c r="F7363">
        <v>2010</v>
      </c>
      <c r="G7363">
        <v>166.56681599999999</v>
      </c>
    </row>
    <row r="7364" spans="1:7">
      <c r="A7364" t="s">
        <v>1297</v>
      </c>
      <c r="B7364" t="s">
        <v>1298</v>
      </c>
      <c r="C7364" t="s">
        <v>652</v>
      </c>
      <c r="D7364" t="s">
        <v>1383</v>
      </c>
      <c r="E7364" t="s">
        <v>187</v>
      </c>
      <c r="F7364">
        <v>2012</v>
      </c>
      <c r="G7364">
        <v>144.79145</v>
      </c>
    </row>
    <row r="7365" spans="1:7">
      <c r="A7365" t="s">
        <v>1297</v>
      </c>
      <c r="B7365" t="s">
        <v>1298</v>
      </c>
      <c r="C7365" t="s">
        <v>652</v>
      </c>
      <c r="D7365" t="s">
        <v>1383</v>
      </c>
      <c r="E7365" t="s">
        <v>187</v>
      </c>
      <c r="F7365">
        <v>2016</v>
      </c>
      <c r="G7365">
        <v>142.26174</v>
      </c>
    </row>
    <row r="7366" spans="1:7">
      <c r="A7366" t="s">
        <v>1297</v>
      </c>
      <c r="B7366" t="s">
        <v>1298</v>
      </c>
      <c r="C7366" t="s">
        <v>652</v>
      </c>
      <c r="D7366" t="s">
        <v>1383</v>
      </c>
      <c r="E7366" t="s">
        <v>187</v>
      </c>
      <c r="F7366">
        <v>2020</v>
      </c>
      <c r="G7366">
        <v>137.30229</v>
      </c>
    </row>
    <row r="7367" spans="1:7">
      <c r="A7367" t="s">
        <v>1297</v>
      </c>
      <c r="B7367" t="s">
        <v>1298</v>
      </c>
      <c r="C7367" t="s">
        <v>656</v>
      </c>
      <c r="D7367" t="s">
        <v>1383</v>
      </c>
      <c r="E7367" t="s">
        <v>187</v>
      </c>
      <c r="F7367">
        <v>2005</v>
      </c>
      <c r="G7367">
        <v>975.13485200000002</v>
      </c>
    </row>
    <row r="7368" spans="1:7">
      <c r="A7368" t="s">
        <v>1297</v>
      </c>
      <c r="B7368" t="s">
        <v>1298</v>
      </c>
      <c r="C7368" t="s">
        <v>656</v>
      </c>
      <c r="D7368" t="s">
        <v>1383</v>
      </c>
      <c r="E7368" t="s">
        <v>187</v>
      </c>
      <c r="F7368">
        <v>2010</v>
      </c>
      <c r="G7368">
        <v>1000.937644</v>
      </c>
    </row>
    <row r="7369" spans="1:7">
      <c r="A7369" t="s">
        <v>1297</v>
      </c>
      <c r="B7369" t="s">
        <v>1298</v>
      </c>
      <c r="C7369" t="s">
        <v>656</v>
      </c>
      <c r="D7369" t="s">
        <v>1383</v>
      </c>
      <c r="E7369" t="s">
        <v>187</v>
      </c>
      <c r="F7369">
        <v>2012</v>
      </c>
      <c r="G7369">
        <v>905.13186900000005</v>
      </c>
    </row>
    <row r="7370" spans="1:7">
      <c r="A7370" t="s">
        <v>1297</v>
      </c>
      <c r="B7370" t="s">
        <v>1298</v>
      </c>
      <c r="C7370" t="s">
        <v>656</v>
      </c>
      <c r="D7370" t="s">
        <v>1383</v>
      </c>
      <c r="E7370" t="s">
        <v>187</v>
      </c>
      <c r="F7370">
        <v>2016</v>
      </c>
      <c r="G7370">
        <v>924.96252800000002</v>
      </c>
    </row>
    <row r="7371" spans="1:7">
      <c r="A7371" t="s">
        <v>1297</v>
      </c>
      <c r="B7371" t="s">
        <v>1298</v>
      </c>
      <c r="C7371" t="s">
        <v>656</v>
      </c>
      <c r="D7371" t="s">
        <v>1383</v>
      </c>
      <c r="E7371" t="s">
        <v>187</v>
      </c>
      <c r="F7371">
        <v>2020</v>
      </c>
      <c r="G7371">
        <v>936.98582799999997</v>
      </c>
    </row>
    <row r="7372" spans="1:7">
      <c r="A7372" t="s">
        <v>1297</v>
      </c>
      <c r="B7372" t="s">
        <v>1298</v>
      </c>
      <c r="C7372" t="s">
        <v>686</v>
      </c>
      <c r="D7372" t="s">
        <v>1383</v>
      </c>
      <c r="E7372" t="s">
        <v>187</v>
      </c>
      <c r="F7372">
        <v>2005</v>
      </c>
      <c r="G7372">
        <v>8.7255000000000003</v>
      </c>
    </row>
    <row r="7373" spans="1:7">
      <c r="A7373" t="s">
        <v>1297</v>
      </c>
      <c r="B7373" t="s">
        <v>1298</v>
      </c>
      <c r="C7373" t="s">
        <v>686</v>
      </c>
      <c r="D7373" t="s">
        <v>1383</v>
      </c>
      <c r="E7373" t="s">
        <v>187</v>
      </c>
      <c r="F7373">
        <v>2010</v>
      </c>
      <c r="G7373">
        <v>9.0152999999999999</v>
      </c>
    </row>
    <row r="7374" spans="1:7">
      <c r="A7374" t="s">
        <v>1297</v>
      </c>
      <c r="B7374" t="s">
        <v>1298</v>
      </c>
      <c r="C7374" t="s">
        <v>686</v>
      </c>
      <c r="D7374" t="s">
        <v>1383</v>
      </c>
      <c r="E7374" t="s">
        <v>187</v>
      </c>
      <c r="F7374">
        <v>2012</v>
      </c>
      <c r="G7374">
        <v>8.1423000000000005</v>
      </c>
    </row>
    <row r="7375" spans="1:7">
      <c r="A7375" t="s">
        <v>1297</v>
      </c>
      <c r="B7375" t="s">
        <v>1298</v>
      </c>
      <c r="C7375" t="s">
        <v>686</v>
      </c>
      <c r="D7375" t="s">
        <v>1383</v>
      </c>
      <c r="E7375" t="s">
        <v>187</v>
      </c>
      <c r="F7375">
        <v>2016</v>
      </c>
      <c r="G7375">
        <v>7.0236000000000001</v>
      </c>
    </row>
    <row r="7376" spans="1:7">
      <c r="A7376" t="s">
        <v>1297</v>
      </c>
      <c r="B7376" t="s">
        <v>1298</v>
      </c>
      <c r="C7376" t="s">
        <v>686</v>
      </c>
      <c r="D7376" t="s">
        <v>1383</v>
      </c>
      <c r="E7376" t="s">
        <v>187</v>
      </c>
      <c r="F7376">
        <v>2020</v>
      </c>
      <c r="G7376">
        <v>8.506691</v>
      </c>
    </row>
    <row r="7377" spans="1:7">
      <c r="A7377" t="s">
        <v>1297</v>
      </c>
      <c r="B7377" t="s">
        <v>1298</v>
      </c>
      <c r="C7377" t="s">
        <v>665</v>
      </c>
      <c r="D7377" t="s">
        <v>1383</v>
      </c>
      <c r="E7377" t="s">
        <v>187</v>
      </c>
      <c r="F7377">
        <v>2005</v>
      </c>
      <c r="G7377">
        <v>784.84860000000003</v>
      </c>
    </row>
    <row r="7378" spans="1:7">
      <c r="A7378" t="s">
        <v>1297</v>
      </c>
      <c r="B7378" t="s">
        <v>1298</v>
      </c>
      <c r="C7378" t="s">
        <v>665</v>
      </c>
      <c r="D7378" t="s">
        <v>1383</v>
      </c>
      <c r="E7378" t="s">
        <v>187</v>
      </c>
      <c r="F7378">
        <v>2010</v>
      </c>
      <c r="G7378">
        <v>782.83079999999995</v>
      </c>
    </row>
    <row r="7379" spans="1:7">
      <c r="A7379" t="s">
        <v>1297</v>
      </c>
      <c r="B7379" t="s">
        <v>1298</v>
      </c>
      <c r="C7379" t="s">
        <v>665</v>
      </c>
      <c r="D7379" t="s">
        <v>1383</v>
      </c>
      <c r="E7379" t="s">
        <v>187</v>
      </c>
      <c r="F7379">
        <v>2012</v>
      </c>
      <c r="G7379">
        <v>758.50379999999996</v>
      </c>
    </row>
    <row r="7380" spans="1:7">
      <c r="A7380" t="s">
        <v>1297</v>
      </c>
      <c r="B7380" t="s">
        <v>1298</v>
      </c>
      <c r="C7380" t="s">
        <v>665</v>
      </c>
      <c r="D7380" t="s">
        <v>1383</v>
      </c>
      <c r="E7380" t="s">
        <v>187</v>
      </c>
      <c r="F7380">
        <v>2016</v>
      </c>
      <c r="G7380">
        <v>715.83659999999998</v>
      </c>
    </row>
    <row r="7381" spans="1:7">
      <c r="A7381" t="s">
        <v>1297</v>
      </c>
      <c r="B7381" t="s">
        <v>1298</v>
      </c>
      <c r="C7381" t="s">
        <v>665</v>
      </c>
      <c r="D7381" t="s">
        <v>1383</v>
      </c>
      <c r="E7381" t="s">
        <v>187</v>
      </c>
      <c r="F7381">
        <v>2020</v>
      </c>
      <c r="G7381">
        <v>675.19038399999999</v>
      </c>
    </row>
    <row r="7382" spans="1:7">
      <c r="A7382" t="s">
        <v>1297</v>
      </c>
      <c r="B7382" t="s">
        <v>1298</v>
      </c>
      <c r="C7382" t="s">
        <v>671</v>
      </c>
      <c r="D7382" t="s">
        <v>1383</v>
      </c>
      <c r="E7382" t="s">
        <v>187</v>
      </c>
      <c r="F7382">
        <v>2005</v>
      </c>
      <c r="G7382">
        <v>135.11070000000001</v>
      </c>
    </row>
    <row r="7383" spans="1:7">
      <c r="A7383" t="s">
        <v>1297</v>
      </c>
      <c r="B7383" t="s">
        <v>1298</v>
      </c>
      <c r="C7383" t="s">
        <v>671</v>
      </c>
      <c r="D7383" t="s">
        <v>1383</v>
      </c>
      <c r="E7383" t="s">
        <v>187</v>
      </c>
      <c r="F7383">
        <v>2010</v>
      </c>
      <c r="G7383">
        <v>148.4271</v>
      </c>
    </row>
    <row r="7384" spans="1:7">
      <c r="A7384" t="s">
        <v>1297</v>
      </c>
      <c r="B7384" t="s">
        <v>1298</v>
      </c>
      <c r="C7384" t="s">
        <v>671</v>
      </c>
      <c r="D7384" t="s">
        <v>1383</v>
      </c>
      <c r="E7384" t="s">
        <v>187</v>
      </c>
      <c r="F7384">
        <v>2012</v>
      </c>
      <c r="G7384">
        <v>141.3972</v>
      </c>
    </row>
    <row r="7385" spans="1:7">
      <c r="A7385" t="s">
        <v>1297</v>
      </c>
      <c r="B7385" t="s">
        <v>1298</v>
      </c>
      <c r="C7385" t="s">
        <v>671</v>
      </c>
      <c r="D7385" t="s">
        <v>1383</v>
      </c>
      <c r="E7385" t="s">
        <v>187</v>
      </c>
      <c r="F7385">
        <v>2016</v>
      </c>
      <c r="G7385">
        <v>145.14840000000001</v>
      </c>
    </row>
    <row r="7386" spans="1:7">
      <c r="A7386" t="s">
        <v>1297</v>
      </c>
      <c r="B7386" t="s">
        <v>1298</v>
      </c>
      <c r="C7386" t="s">
        <v>671</v>
      </c>
      <c r="D7386" t="s">
        <v>1383</v>
      </c>
      <c r="E7386" t="s">
        <v>187</v>
      </c>
      <c r="F7386">
        <v>2020</v>
      </c>
      <c r="G7386">
        <v>152.34812600000001</v>
      </c>
    </row>
    <row r="7387" spans="1:7">
      <c r="A7387" t="s">
        <v>1297</v>
      </c>
      <c r="B7387" t="s">
        <v>1298</v>
      </c>
      <c r="C7387" t="s">
        <v>666</v>
      </c>
      <c r="D7387" t="s">
        <v>1383</v>
      </c>
      <c r="E7387" t="s">
        <v>187</v>
      </c>
      <c r="F7387">
        <v>2005</v>
      </c>
      <c r="G7387">
        <v>5.6295000000000002</v>
      </c>
    </row>
    <row r="7388" spans="1:7">
      <c r="A7388" t="s">
        <v>1297</v>
      </c>
      <c r="B7388" t="s">
        <v>1298</v>
      </c>
      <c r="C7388" t="s">
        <v>666</v>
      </c>
      <c r="D7388" t="s">
        <v>1383</v>
      </c>
      <c r="E7388" t="s">
        <v>187</v>
      </c>
      <c r="F7388">
        <v>2010</v>
      </c>
      <c r="G7388">
        <v>6.6311999999999998</v>
      </c>
    </row>
    <row r="7389" spans="1:7">
      <c r="A7389" t="s">
        <v>1297</v>
      </c>
      <c r="B7389" t="s">
        <v>1298</v>
      </c>
      <c r="C7389" t="s">
        <v>666</v>
      </c>
      <c r="D7389" t="s">
        <v>1383</v>
      </c>
      <c r="E7389" t="s">
        <v>187</v>
      </c>
      <c r="F7389">
        <v>2012</v>
      </c>
      <c r="G7389">
        <v>5.67</v>
      </c>
    </row>
    <row r="7390" spans="1:7">
      <c r="A7390" t="s">
        <v>1297</v>
      </c>
      <c r="B7390" t="s">
        <v>1298</v>
      </c>
      <c r="C7390" t="s">
        <v>666</v>
      </c>
      <c r="D7390" t="s">
        <v>1383</v>
      </c>
      <c r="E7390" t="s">
        <v>187</v>
      </c>
      <c r="F7390">
        <v>2016</v>
      </c>
      <c r="G7390">
        <v>6.0903</v>
      </c>
    </row>
    <row r="7391" spans="1:7">
      <c r="A7391" t="s">
        <v>1297</v>
      </c>
      <c r="B7391" t="s">
        <v>1298</v>
      </c>
      <c r="C7391" t="s">
        <v>666</v>
      </c>
      <c r="D7391" t="s">
        <v>1383</v>
      </c>
      <c r="E7391" t="s">
        <v>187</v>
      </c>
      <c r="F7391">
        <v>2020</v>
      </c>
      <c r="G7391">
        <v>6.7348319999999999</v>
      </c>
    </row>
    <row r="7392" spans="1:7">
      <c r="A7392" t="s">
        <v>1297</v>
      </c>
      <c r="B7392" t="s">
        <v>1298</v>
      </c>
      <c r="C7392" t="s">
        <v>655</v>
      </c>
      <c r="D7392" t="s">
        <v>1383</v>
      </c>
      <c r="E7392" t="s">
        <v>187</v>
      </c>
      <c r="F7392">
        <v>2005</v>
      </c>
      <c r="G7392">
        <v>96.738299999999995</v>
      </c>
    </row>
    <row r="7393" spans="1:7">
      <c r="A7393" t="s">
        <v>1297</v>
      </c>
      <c r="B7393" t="s">
        <v>1298</v>
      </c>
      <c r="C7393" t="s">
        <v>655</v>
      </c>
      <c r="D7393" t="s">
        <v>1383</v>
      </c>
      <c r="E7393" t="s">
        <v>187</v>
      </c>
      <c r="F7393">
        <v>2010</v>
      </c>
      <c r="G7393">
        <v>99.745199999999997</v>
      </c>
    </row>
    <row r="7394" spans="1:7">
      <c r="A7394" t="s">
        <v>1297</v>
      </c>
      <c r="B7394" t="s">
        <v>1298</v>
      </c>
      <c r="C7394" t="s">
        <v>655</v>
      </c>
      <c r="D7394" t="s">
        <v>1383</v>
      </c>
      <c r="E7394" t="s">
        <v>187</v>
      </c>
      <c r="F7394">
        <v>2012</v>
      </c>
      <c r="G7394">
        <v>84.713399999999993</v>
      </c>
    </row>
    <row r="7395" spans="1:7">
      <c r="A7395" t="s">
        <v>1297</v>
      </c>
      <c r="B7395" t="s">
        <v>1298</v>
      </c>
      <c r="C7395" t="s">
        <v>655</v>
      </c>
      <c r="D7395" t="s">
        <v>1383</v>
      </c>
      <c r="E7395" t="s">
        <v>187</v>
      </c>
      <c r="F7395">
        <v>2016</v>
      </c>
      <c r="G7395">
        <v>83.471641000000005</v>
      </c>
    </row>
    <row r="7396" spans="1:7">
      <c r="A7396" t="s">
        <v>1297</v>
      </c>
      <c r="B7396" t="s">
        <v>1298</v>
      </c>
      <c r="C7396" t="s">
        <v>655</v>
      </c>
      <c r="D7396" t="s">
        <v>1383</v>
      </c>
      <c r="E7396" t="s">
        <v>187</v>
      </c>
      <c r="F7396">
        <v>2020</v>
      </c>
      <c r="G7396">
        <v>75.169281999999995</v>
      </c>
    </row>
    <row r="7397" spans="1:7">
      <c r="A7397" t="s">
        <v>1297</v>
      </c>
      <c r="B7397" t="s">
        <v>1298</v>
      </c>
      <c r="C7397" t="s">
        <v>663</v>
      </c>
      <c r="D7397" t="s">
        <v>1383</v>
      </c>
      <c r="E7397" t="s">
        <v>187</v>
      </c>
      <c r="F7397">
        <v>2005</v>
      </c>
      <c r="G7397">
        <v>164.46780000000001</v>
      </c>
    </row>
    <row r="7398" spans="1:7">
      <c r="A7398" t="s">
        <v>1297</v>
      </c>
      <c r="B7398" t="s">
        <v>1298</v>
      </c>
      <c r="C7398" t="s">
        <v>663</v>
      </c>
      <c r="D7398" t="s">
        <v>1383</v>
      </c>
      <c r="E7398" t="s">
        <v>187</v>
      </c>
      <c r="F7398">
        <v>2010</v>
      </c>
      <c r="G7398">
        <v>136.4796</v>
      </c>
    </row>
    <row r="7399" spans="1:7">
      <c r="A7399" t="s">
        <v>1297</v>
      </c>
      <c r="B7399" t="s">
        <v>1298</v>
      </c>
      <c r="C7399" t="s">
        <v>663</v>
      </c>
      <c r="D7399" t="s">
        <v>1383</v>
      </c>
      <c r="E7399" t="s">
        <v>187</v>
      </c>
      <c r="F7399">
        <v>2012</v>
      </c>
      <c r="G7399">
        <v>113.2119</v>
      </c>
    </row>
    <row r="7400" spans="1:7">
      <c r="A7400" t="s">
        <v>1297</v>
      </c>
      <c r="B7400" t="s">
        <v>1298</v>
      </c>
      <c r="C7400" t="s">
        <v>663</v>
      </c>
      <c r="D7400" t="s">
        <v>1383</v>
      </c>
      <c r="E7400" t="s">
        <v>187</v>
      </c>
      <c r="F7400">
        <v>2016</v>
      </c>
      <c r="G7400">
        <v>118.472317</v>
      </c>
    </row>
    <row r="7401" spans="1:7">
      <c r="A7401" t="s">
        <v>1297</v>
      </c>
      <c r="B7401" t="s">
        <v>1298</v>
      </c>
      <c r="C7401" t="s">
        <v>663</v>
      </c>
      <c r="D7401" t="s">
        <v>1383</v>
      </c>
      <c r="E7401" t="s">
        <v>187</v>
      </c>
      <c r="F7401">
        <v>2020</v>
      </c>
      <c r="G7401">
        <v>116.933402</v>
      </c>
    </row>
    <row r="7402" spans="1:7">
      <c r="A7402" t="s">
        <v>1297</v>
      </c>
      <c r="B7402" t="s">
        <v>1298</v>
      </c>
      <c r="C7402" t="s">
        <v>1301</v>
      </c>
      <c r="D7402" t="s">
        <v>1383</v>
      </c>
      <c r="E7402" t="s">
        <v>187</v>
      </c>
      <c r="F7402">
        <v>2005</v>
      </c>
      <c r="G7402">
        <v>200.32740000000001</v>
      </c>
    </row>
    <row r="7403" spans="1:7">
      <c r="A7403" t="s">
        <v>1297</v>
      </c>
      <c r="B7403" t="s">
        <v>1298</v>
      </c>
      <c r="C7403" t="s">
        <v>1301</v>
      </c>
      <c r="D7403" t="s">
        <v>1383</v>
      </c>
      <c r="E7403" t="s">
        <v>187</v>
      </c>
      <c r="F7403">
        <v>2010</v>
      </c>
      <c r="G7403">
        <v>203.0076</v>
      </c>
    </row>
    <row r="7404" spans="1:7">
      <c r="A7404" t="s">
        <v>1297</v>
      </c>
      <c r="B7404" t="s">
        <v>1298</v>
      </c>
      <c r="C7404" t="s">
        <v>1301</v>
      </c>
      <c r="D7404" t="s">
        <v>1383</v>
      </c>
      <c r="E7404" t="s">
        <v>187</v>
      </c>
      <c r="F7404">
        <v>2012</v>
      </c>
      <c r="G7404">
        <v>305.00549999999998</v>
      </c>
    </row>
    <row r="7405" spans="1:7">
      <c r="A7405" t="s">
        <v>1297</v>
      </c>
      <c r="B7405" t="s">
        <v>1298</v>
      </c>
      <c r="C7405" t="s">
        <v>1301</v>
      </c>
      <c r="D7405" t="s">
        <v>1383</v>
      </c>
      <c r="E7405" t="s">
        <v>187</v>
      </c>
      <c r="F7405">
        <v>2016</v>
      </c>
      <c r="G7405">
        <v>400.55399999999997</v>
      </c>
    </row>
    <row r="7406" spans="1:7">
      <c r="A7406" t="s">
        <v>1297</v>
      </c>
      <c r="B7406" t="s">
        <v>1298</v>
      </c>
      <c r="C7406" t="s">
        <v>1301</v>
      </c>
      <c r="D7406" t="s">
        <v>1383</v>
      </c>
      <c r="E7406" t="s">
        <v>187</v>
      </c>
      <c r="F7406">
        <v>2020</v>
      </c>
      <c r="G7406">
        <v>496.23012</v>
      </c>
    </row>
    <row r="7407" spans="1:7">
      <c r="A7407" t="s">
        <v>1297</v>
      </c>
      <c r="B7407" t="s">
        <v>1298</v>
      </c>
      <c r="C7407" t="s">
        <v>659</v>
      </c>
      <c r="D7407" t="s">
        <v>1383</v>
      </c>
      <c r="E7407" t="s">
        <v>187</v>
      </c>
      <c r="F7407">
        <v>2005</v>
      </c>
      <c r="G7407">
        <v>132.33580499999999</v>
      </c>
    </row>
    <row r="7408" spans="1:7">
      <c r="A7408" t="s">
        <v>1297</v>
      </c>
      <c r="B7408" t="s">
        <v>1298</v>
      </c>
      <c r="C7408" t="s">
        <v>659</v>
      </c>
      <c r="D7408" t="s">
        <v>1383</v>
      </c>
      <c r="E7408" t="s">
        <v>187</v>
      </c>
      <c r="F7408">
        <v>2010</v>
      </c>
      <c r="G7408">
        <v>178.14281</v>
      </c>
    </row>
    <row r="7409" spans="1:7">
      <c r="A7409" t="s">
        <v>1297</v>
      </c>
      <c r="B7409" t="s">
        <v>1298</v>
      </c>
      <c r="C7409" t="s">
        <v>659</v>
      </c>
      <c r="D7409" t="s">
        <v>1383</v>
      </c>
      <c r="E7409" t="s">
        <v>187</v>
      </c>
      <c r="F7409">
        <v>2012</v>
      </c>
      <c r="G7409">
        <v>146.93291300000001</v>
      </c>
    </row>
    <row r="7410" spans="1:7">
      <c r="A7410" t="s">
        <v>1297</v>
      </c>
      <c r="B7410" t="s">
        <v>1298</v>
      </c>
      <c r="C7410" t="s">
        <v>659</v>
      </c>
      <c r="D7410" t="s">
        <v>1383</v>
      </c>
      <c r="E7410" t="s">
        <v>187</v>
      </c>
      <c r="F7410">
        <v>2016</v>
      </c>
      <c r="G7410">
        <v>145.396197</v>
      </c>
    </row>
    <row r="7411" spans="1:7">
      <c r="A7411" t="s">
        <v>1297</v>
      </c>
      <c r="B7411" t="s">
        <v>1298</v>
      </c>
      <c r="C7411" t="s">
        <v>659</v>
      </c>
      <c r="D7411" t="s">
        <v>1383</v>
      </c>
      <c r="E7411" t="s">
        <v>187</v>
      </c>
      <c r="F7411">
        <v>2020</v>
      </c>
      <c r="G7411">
        <v>125.991</v>
      </c>
    </row>
    <row r="7412" spans="1:7">
      <c r="A7412" t="s">
        <v>1297</v>
      </c>
      <c r="B7412" t="s">
        <v>1298</v>
      </c>
      <c r="C7412" t="s">
        <v>679</v>
      </c>
      <c r="D7412" t="s">
        <v>1383</v>
      </c>
      <c r="E7412" t="s">
        <v>187</v>
      </c>
      <c r="F7412">
        <v>2005</v>
      </c>
      <c r="G7412">
        <v>0.21690200000000001</v>
      </c>
    </row>
    <row r="7413" spans="1:7">
      <c r="A7413" t="s">
        <v>1297</v>
      </c>
      <c r="B7413" t="s">
        <v>1298</v>
      </c>
      <c r="C7413" t="s">
        <v>679</v>
      </c>
      <c r="D7413" t="s">
        <v>1383</v>
      </c>
      <c r="E7413" t="s">
        <v>187</v>
      </c>
      <c r="F7413">
        <v>2010</v>
      </c>
      <c r="G7413">
        <v>0.16561000000000001</v>
      </c>
    </row>
    <row r="7414" spans="1:7">
      <c r="A7414" t="s">
        <v>1297</v>
      </c>
      <c r="B7414" t="s">
        <v>1298</v>
      </c>
      <c r="C7414" t="s">
        <v>679</v>
      </c>
      <c r="D7414" t="s">
        <v>1383</v>
      </c>
      <c r="E7414" t="s">
        <v>187</v>
      </c>
      <c r="F7414">
        <v>2012</v>
      </c>
      <c r="G7414">
        <v>0.14849499999999999</v>
      </c>
    </row>
    <row r="7415" spans="1:7">
      <c r="A7415" t="s">
        <v>1297</v>
      </c>
      <c r="B7415" t="s">
        <v>1298</v>
      </c>
      <c r="C7415" t="s">
        <v>679</v>
      </c>
      <c r="D7415" t="s">
        <v>1383</v>
      </c>
      <c r="E7415" t="s">
        <v>187</v>
      </c>
      <c r="F7415">
        <v>2016</v>
      </c>
      <c r="G7415">
        <v>0.151196</v>
      </c>
    </row>
    <row r="7416" spans="1:7">
      <c r="A7416" t="s">
        <v>1297</v>
      </c>
      <c r="B7416" t="s">
        <v>1298</v>
      </c>
      <c r="C7416" t="s">
        <v>679</v>
      </c>
      <c r="D7416" t="s">
        <v>1383</v>
      </c>
      <c r="E7416" t="s">
        <v>187</v>
      </c>
      <c r="F7416">
        <v>2020</v>
      </c>
      <c r="G7416">
        <v>6.4815999999999999E-2</v>
      </c>
    </row>
    <row r="7417" spans="1:7">
      <c r="A7417" t="s">
        <v>1297</v>
      </c>
      <c r="B7417" t="s">
        <v>1298</v>
      </c>
      <c r="C7417" t="s">
        <v>289</v>
      </c>
      <c r="D7417" t="s">
        <v>1383</v>
      </c>
      <c r="E7417" t="s">
        <v>187</v>
      </c>
      <c r="F7417">
        <v>2005</v>
      </c>
      <c r="G7417">
        <v>23.294699999999999</v>
      </c>
    </row>
    <row r="7418" spans="1:7">
      <c r="A7418" t="s">
        <v>1297</v>
      </c>
      <c r="B7418" t="s">
        <v>1298</v>
      </c>
      <c r="C7418" t="s">
        <v>289</v>
      </c>
      <c r="D7418" t="s">
        <v>1383</v>
      </c>
      <c r="E7418" t="s">
        <v>187</v>
      </c>
      <c r="F7418">
        <v>2010</v>
      </c>
      <c r="G7418">
        <v>24.918299999999999</v>
      </c>
    </row>
    <row r="7419" spans="1:7">
      <c r="A7419" t="s">
        <v>1297</v>
      </c>
      <c r="B7419" t="s">
        <v>1298</v>
      </c>
      <c r="C7419" t="s">
        <v>289</v>
      </c>
      <c r="D7419" t="s">
        <v>1383</v>
      </c>
      <c r="E7419" t="s">
        <v>187</v>
      </c>
      <c r="F7419">
        <v>2012</v>
      </c>
      <c r="G7419">
        <v>21.426300000000001</v>
      </c>
    </row>
    <row r="7420" spans="1:7">
      <c r="A7420" t="s">
        <v>1297</v>
      </c>
      <c r="B7420" t="s">
        <v>1298</v>
      </c>
      <c r="C7420" t="s">
        <v>289</v>
      </c>
      <c r="D7420" t="s">
        <v>1383</v>
      </c>
      <c r="E7420" t="s">
        <v>187</v>
      </c>
      <c r="F7420">
        <v>2016</v>
      </c>
      <c r="G7420">
        <v>19.505700000000001</v>
      </c>
    </row>
    <row r="7421" spans="1:7">
      <c r="A7421" t="s">
        <v>1297</v>
      </c>
      <c r="B7421" t="s">
        <v>1298</v>
      </c>
      <c r="C7421" t="s">
        <v>289</v>
      </c>
      <c r="D7421" t="s">
        <v>1383</v>
      </c>
      <c r="E7421" t="s">
        <v>187</v>
      </c>
      <c r="F7421">
        <v>2020</v>
      </c>
      <c r="G7421">
        <v>19.221736</v>
      </c>
    </row>
    <row r="7422" spans="1:7">
      <c r="A7422" t="s">
        <v>1297</v>
      </c>
      <c r="B7422" t="s">
        <v>1298</v>
      </c>
      <c r="C7422" t="s">
        <v>670</v>
      </c>
      <c r="D7422" t="s">
        <v>1383</v>
      </c>
      <c r="E7422" t="s">
        <v>187</v>
      </c>
      <c r="F7422">
        <v>2005</v>
      </c>
      <c r="G7422">
        <v>343.93025399999999</v>
      </c>
    </row>
    <row r="7423" spans="1:7">
      <c r="A7423" t="s">
        <v>1297</v>
      </c>
      <c r="B7423" t="s">
        <v>1298</v>
      </c>
      <c r="C7423" t="s">
        <v>670</v>
      </c>
      <c r="D7423" t="s">
        <v>1383</v>
      </c>
      <c r="E7423" t="s">
        <v>187</v>
      </c>
      <c r="F7423">
        <v>2010</v>
      </c>
      <c r="G7423">
        <v>406.74104399999999</v>
      </c>
    </row>
    <row r="7424" spans="1:7">
      <c r="A7424" t="s">
        <v>1297</v>
      </c>
      <c r="B7424" t="s">
        <v>1298</v>
      </c>
      <c r="C7424" t="s">
        <v>670</v>
      </c>
      <c r="D7424" t="s">
        <v>1383</v>
      </c>
      <c r="E7424" t="s">
        <v>187</v>
      </c>
      <c r="F7424">
        <v>2012</v>
      </c>
      <c r="G7424">
        <v>337.90657399999998</v>
      </c>
    </row>
    <row r="7425" spans="1:7">
      <c r="A7425" t="s">
        <v>1297</v>
      </c>
      <c r="B7425" t="s">
        <v>1298</v>
      </c>
      <c r="C7425" t="s">
        <v>670</v>
      </c>
      <c r="D7425" t="s">
        <v>1383</v>
      </c>
      <c r="E7425" t="s">
        <v>187</v>
      </c>
      <c r="F7425">
        <v>2016</v>
      </c>
      <c r="G7425">
        <v>297.254479</v>
      </c>
    </row>
    <row r="7426" spans="1:7">
      <c r="A7426" t="s">
        <v>1297</v>
      </c>
      <c r="B7426" t="s">
        <v>1298</v>
      </c>
      <c r="C7426" t="s">
        <v>670</v>
      </c>
      <c r="D7426" t="s">
        <v>1383</v>
      </c>
      <c r="E7426" t="s">
        <v>187</v>
      </c>
      <c r="F7426">
        <v>2020</v>
      </c>
      <c r="G7426">
        <v>270.20371299999999</v>
      </c>
    </row>
    <row r="7427" spans="1:7">
      <c r="A7427" t="s">
        <v>1297</v>
      </c>
      <c r="B7427" t="s">
        <v>1298</v>
      </c>
      <c r="C7427" t="s">
        <v>676</v>
      </c>
      <c r="D7427" t="s">
        <v>1383</v>
      </c>
      <c r="E7427" t="s">
        <v>187</v>
      </c>
      <c r="F7427">
        <v>2005</v>
      </c>
      <c r="G7427">
        <v>59.348700000000001</v>
      </c>
    </row>
    <row r="7428" spans="1:7">
      <c r="A7428" t="s">
        <v>1297</v>
      </c>
      <c r="B7428" t="s">
        <v>1298</v>
      </c>
      <c r="C7428" t="s">
        <v>676</v>
      </c>
      <c r="D7428" t="s">
        <v>1383</v>
      </c>
      <c r="E7428" t="s">
        <v>187</v>
      </c>
      <c r="F7428">
        <v>2010</v>
      </c>
      <c r="G7428">
        <v>55.775700000000001</v>
      </c>
    </row>
    <row r="7429" spans="1:7">
      <c r="A7429" t="s">
        <v>1297</v>
      </c>
      <c r="B7429" t="s">
        <v>1298</v>
      </c>
      <c r="C7429" t="s">
        <v>676</v>
      </c>
      <c r="D7429" t="s">
        <v>1383</v>
      </c>
      <c r="E7429" t="s">
        <v>187</v>
      </c>
      <c r="F7429">
        <v>2012</v>
      </c>
      <c r="G7429">
        <v>45.377099999999999</v>
      </c>
    </row>
    <row r="7430" spans="1:7">
      <c r="A7430" t="s">
        <v>1297</v>
      </c>
      <c r="B7430" t="s">
        <v>1298</v>
      </c>
      <c r="C7430" t="s">
        <v>676</v>
      </c>
      <c r="D7430" t="s">
        <v>1383</v>
      </c>
      <c r="E7430" t="s">
        <v>187</v>
      </c>
      <c r="F7430">
        <v>2016</v>
      </c>
      <c r="G7430">
        <v>44.712899999999998</v>
      </c>
    </row>
    <row r="7431" spans="1:7">
      <c r="A7431" t="s">
        <v>1297</v>
      </c>
      <c r="B7431" t="s">
        <v>1298</v>
      </c>
      <c r="C7431" t="s">
        <v>676</v>
      </c>
      <c r="D7431" t="s">
        <v>1383</v>
      </c>
      <c r="E7431" t="s">
        <v>187</v>
      </c>
      <c r="F7431">
        <v>2020</v>
      </c>
      <c r="G7431">
        <v>46.892204</v>
      </c>
    </row>
    <row r="7432" spans="1:7">
      <c r="A7432" t="s">
        <v>1297</v>
      </c>
      <c r="B7432" t="s">
        <v>1298</v>
      </c>
      <c r="C7432" t="s">
        <v>673</v>
      </c>
      <c r="D7432" t="s">
        <v>1383</v>
      </c>
      <c r="E7432" t="s">
        <v>187</v>
      </c>
      <c r="F7432">
        <v>2005</v>
      </c>
      <c r="G7432">
        <v>96.324299999999994</v>
      </c>
    </row>
    <row r="7433" spans="1:7">
      <c r="A7433" t="s">
        <v>1297</v>
      </c>
      <c r="B7433" t="s">
        <v>1298</v>
      </c>
      <c r="C7433" t="s">
        <v>673</v>
      </c>
      <c r="D7433" t="s">
        <v>1383</v>
      </c>
      <c r="E7433" t="s">
        <v>187</v>
      </c>
      <c r="F7433">
        <v>2010</v>
      </c>
      <c r="G7433">
        <v>92.348100000000002</v>
      </c>
    </row>
    <row r="7434" spans="1:7">
      <c r="A7434" t="s">
        <v>1297</v>
      </c>
      <c r="B7434" t="s">
        <v>1298</v>
      </c>
      <c r="C7434" t="s">
        <v>673</v>
      </c>
      <c r="D7434" t="s">
        <v>1383</v>
      </c>
      <c r="E7434" t="s">
        <v>187</v>
      </c>
      <c r="F7434">
        <v>2012</v>
      </c>
      <c r="G7434">
        <v>106.4979</v>
      </c>
    </row>
    <row r="7435" spans="1:7">
      <c r="A7435" t="s">
        <v>1297</v>
      </c>
      <c r="B7435" t="s">
        <v>1298</v>
      </c>
      <c r="C7435" t="s">
        <v>673</v>
      </c>
      <c r="D7435" t="s">
        <v>1383</v>
      </c>
      <c r="E7435" t="s">
        <v>187</v>
      </c>
      <c r="F7435">
        <v>2016</v>
      </c>
      <c r="G7435">
        <v>95.779799999999994</v>
      </c>
    </row>
    <row r="7436" spans="1:7">
      <c r="A7436" t="s">
        <v>1297</v>
      </c>
      <c r="B7436" t="s">
        <v>1298</v>
      </c>
      <c r="C7436" t="s">
        <v>674</v>
      </c>
      <c r="D7436" t="s">
        <v>1383</v>
      </c>
      <c r="E7436" t="s">
        <v>187</v>
      </c>
      <c r="F7436">
        <v>2005</v>
      </c>
      <c r="G7436">
        <v>1.9142999999999999</v>
      </c>
    </row>
    <row r="7437" spans="1:7">
      <c r="A7437" t="s">
        <v>1297</v>
      </c>
      <c r="B7437" t="s">
        <v>1298</v>
      </c>
      <c r="C7437" t="s">
        <v>674</v>
      </c>
      <c r="D7437" t="s">
        <v>1383</v>
      </c>
      <c r="E7437" t="s">
        <v>187</v>
      </c>
      <c r="F7437">
        <v>2010</v>
      </c>
      <c r="G7437">
        <v>3.1842000000000001</v>
      </c>
    </row>
    <row r="7438" spans="1:7">
      <c r="A7438" t="s">
        <v>1297</v>
      </c>
      <c r="B7438" t="s">
        <v>1298</v>
      </c>
      <c r="C7438" t="s">
        <v>674</v>
      </c>
      <c r="D7438" t="s">
        <v>1383</v>
      </c>
      <c r="E7438" t="s">
        <v>187</v>
      </c>
      <c r="F7438">
        <v>2012</v>
      </c>
      <c r="G7438">
        <v>1.8891</v>
      </c>
    </row>
    <row r="7439" spans="1:7">
      <c r="A7439" t="s">
        <v>1297</v>
      </c>
      <c r="B7439" t="s">
        <v>1298</v>
      </c>
      <c r="C7439" t="s">
        <v>674</v>
      </c>
      <c r="D7439" t="s">
        <v>1383</v>
      </c>
      <c r="E7439" t="s">
        <v>187</v>
      </c>
      <c r="F7439">
        <v>2016</v>
      </c>
      <c r="G7439">
        <v>1.2654000000000001</v>
      </c>
    </row>
    <row r="7440" spans="1:7">
      <c r="A7440" t="s">
        <v>1297</v>
      </c>
      <c r="B7440" t="s">
        <v>1298</v>
      </c>
      <c r="C7440" t="s">
        <v>674</v>
      </c>
      <c r="D7440" t="s">
        <v>1383</v>
      </c>
      <c r="E7440" t="s">
        <v>187</v>
      </c>
      <c r="F7440">
        <v>2020</v>
      </c>
      <c r="G7440">
        <v>0.83328500000000005</v>
      </c>
    </row>
    <row r="7441" spans="1:7">
      <c r="A7441" t="s">
        <v>1297</v>
      </c>
      <c r="B7441" t="s">
        <v>1298</v>
      </c>
      <c r="C7441" t="s">
        <v>668</v>
      </c>
      <c r="D7441" t="s">
        <v>1383</v>
      </c>
      <c r="E7441" t="s">
        <v>187</v>
      </c>
      <c r="F7441">
        <v>2005</v>
      </c>
      <c r="G7441">
        <v>4.1931000000000003</v>
      </c>
    </row>
    <row r="7442" spans="1:7">
      <c r="A7442" t="s">
        <v>1297</v>
      </c>
      <c r="B7442" t="s">
        <v>1298</v>
      </c>
      <c r="C7442" t="s">
        <v>668</v>
      </c>
      <c r="D7442" t="s">
        <v>1383</v>
      </c>
      <c r="E7442" t="s">
        <v>187</v>
      </c>
      <c r="F7442">
        <v>2010</v>
      </c>
      <c r="G7442">
        <v>5.2100999999999997</v>
      </c>
    </row>
    <row r="7443" spans="1:7">
      <c r="A7443" t="s">
        <v>1297</v>
      </c>
      <c r="B7443" t="s">
        <v>1298</v>
      </c>
      <c r="C7443" t="s">
        <v>668</v>
      </c>
      <c r="D7443" t="s">
        <v>1383</v>
      </c>
      <c r="E7443" t="s">
        <v>187</v>
      </c>
      <c r="F7443">
        <v>2012</v>
      </c>
      <c r="G7443">
        <v>4.4721000000000002</v>
      </c>
    </row>
    <row r="7444" spans="1:7">
      <c r="A7444" t="s">
        <v>1297</v>
      </c>
      <c r="B7444" t="s">
        <v>1298</v>
      </c>
      <c r="C7444" t="s">
        <v>668</v>
      </c>
      <c r="D7444" t="s">
        <v>1383</v>
      </c>
      <c r="E7444" t="s">
        <v>187</v>
      </c>
      <c r="F7444">
        <v>2016</v>
      </c>
      <c r="G7444">
        <v>4.4531599999999996</v>
      </c>
    </row>
    <row r="7445" spans="1:7">
      <c r="A7445" t="s">
        <v>1297</v>
      </c>
      <c r="B7445" t="s">
        <v>1298</v>
      </c>
      <c r="C7445" t="s">
        <v>668</v>
      </c>
      <c r="D7445" t="s">
        <v>1383</v>
      </c>
      <c r="E7445" t="s">
        <v>187</v>
      </c>
      <c r="F7445">
        <v>2020</v>
      </c>
      <c r="G7445">
        <v>4.6361379999999999</v>
      </c>
    </row>
    <row r="7446" spans="1:7">
      <c r="A7446" t="s">
        <v>1297</v>
      </c>
      <c r="B7446" t="s">
        <v>1298</v>
      </c>
      <c r="C7446" t="s">
        <v>658</v>
      </c>
      <c r="D7446" t="s">
        <v>1383</v>
      </c>
      <c r="E7446" t="s">
        <v>187</v>
      </c>
      <c r="F7446">
        <v>2005</v>
      </c>
      <c r="G7446">
        <v>1.8828</v>
      </c>
    </row>
    <row r="7447" spans="1:7">
      <c r="A7447" t="s">
        <v>1297</v>
      </c>
      <c r="B7447" t="s">
        <v>1298</v>
      </c>
      <c r="C7447" t="s">
        <v>658</v>
      </c>
      <c r="D7447" t="s">
        <v>1383</v>
      </c>
      <c r="E7447" t="s">
        <v>187</v>
      </c>
      <c r="F7447">
        <v>2010</v>
      </c>
      <c r="G7447">
        <v>2.2986</v>
      </c>
    </row>
    <row r="7448" spans="1:7">
      <c r="A7448" t="s">
        <v>1297</v>
      </c>
      <c r="B7448" t="s">
        <v>1298</v>
      </c>
      <c r="C7448" t="s">
        <v>658</v>
      </c>
      <c r="D7448" t="s">
        <v>1383</v>
      </c>
      <c r="E7448" t="s">
        <v>187</v>
      </c>
      <c r="F7448">
        <v>2012</v>
      </c>
      <c r="G7448">
        <v>2.3166000000000002</v>
      </c>
    </row>
    <row r="7449" spans="1:7">
      <c r="A7449" t="s">
        <v>1297</v>
      </c>
      <c r="B7449" t="s">
        <v>1298</v>
      </c>
      <c r="C7449" t="s">
        <v>658</v>
      </c>
      <c r="D7449" t="s">
        <v>1383</v>
      </c>
      <c r="E7449" t="s">
        <v>187</v>
      </c>
      <c r="F7449">
        <v>2016</v>
      </c>
      <c r="G7449">
        <v>2.4228000000000001</v>
      </c>
    </row>
    <row r="7450" spans="1:7">
      <c r="A7450" t="s">
        <v>1297</v>
      </c>
      <c r="B7450" t="s">
        <v>1298</v>
      </c>
      <c r="C7450" t="s">
        <v>658</v>
      </c>
      <c r="D7450" t="s">
        <v>1383</v>
      </c>
      <c r="E7450" t="s">
        <v>187</v>
      </c>
      <c r="F7450">
        <v>2020</v>
      </c>
      <c r="G7450">
        <v>2.4182199999999998</v>
      </c>
    </row>
    <row r="7451" spans="1:7">
      <c r="A7451" t="s">
        <v>1297</v>
      </c>
      <c r="B7451" t="s">
        <v>1298</v>
      </c>
      <c r="C7451" t="s">
        <v>657</v>
      </c>
      <c r="D7451" t="s">
        <v>1383</v>
      </c>
      <c r="E7451" t="s">
        <v>187</v>
      </c>
      <c r="F7451">
        <v>2005</v>
      </c>
      <c r="G7451">
        <v>29.523914000000001</v>
      </c>
    </row>
    <row r="7452" spans="1:7">
      <c r="A7452" t="s">
        <v>1297</v>
      </c>
      <c r="B7452" t="s">
        <v>1298</v>
      </c>
      <c r="C7452" t="s">
        <v>657</v>
      </c>
      <c r="D7452" t="s">
        <v>1383</v>
      </c>
      <c r="E7452" t="s">
        <v>187</v>
      </c>
      <c r="F7452">
        <v>2010</v>
      </c>
      <c r="G7452">
        <v>31.452552000000001</v>
      </c>
    </row>
    <row r="7453" spans="1:7">
      <c r="A7453" t="s">
        <v>1297</v>
      </c>
      <c r="B7453" t="s">
        <v>1298</v>
      </c>
      <c r="C7453" t="s">
        <v>657</v>
      </c>
      <c r="D7453" t="s">
        <v>1383</v>
      </c>
      <c r="E7453" t="s">
        <v>187</v>
      </c>
      <c r="F7453">
        <v>2012</v>
      </c>
      <c r="G7453">
        <v>27.209163</v>
      </c>
    </row>
    <row r="7454" spans="1:7">
      <c r="A7454" t="s">
        <v>1297</v>
      </c>
      <c r="B7454" t="s">
        <v>1298</v>
      </c>
      <c r="C7454" t="s">
        <v>657</v>
      </c>
      <c r="D7454" t="s">
        <v>1383</v>
      </c>
      <c r="E7454" t="s">
        <v>187</v>
      </c>
      <c r="F7454">
        <v>2016</v>
      </c>
      <c r="G7454">
        <v>26.100133</v>
      </c>
    </row>
    <row r="7455" spans="1:7">
      <c r="A7455" t="s">
        <v>1297</v>
      </c>
      <c r="B7455" t="s">
        <v>1298</v>
      </c>
      <c r="C7455" t="s">
        <v>657</v>
      </c>
      <c r="D7455" t="s">
        <v>1383</v>
      </c>
      <c r="E7455" t="s">
        <v>187</v>
      </c>
      <c r="F7455">
        <v>2020</v>
      </c>
      <c r="G7455">
        <v>25.782451999999999</v>
      </c>
    </row>
    <row r="7456" spans="1:7">
      <c r="A7456" t="s">
        <v>1297</v>
      </c>
      <c r="B7456" t="s">
        <v>1298</v>
      </c>
      <c r="C7456" t="s">
        <v>677</v>
      </c>
      <c r="D7456" t="s">
        <v>1383</v>
      </c>
      <c r="E7456" t="s">
        <v>187</v>
      </c>
      <c r="F7456">
        <v>2005</v>
      </c>
      <c r="G7456">
        <v>1237.2876000000001</v>
      </c>
    </row>
    <row r="7457" spans="1:7">
      <c r="A7457" t="s">
        <v>1297</v>
      </c>
      <c r="B7457" t="s">
        <v>1298</v>
      </c>
      <c r="C7457" t="s">
        <v>677</v>
      </c>
      <c r="D7457" t="s">
        <v>1383</v>
      </c>
      <c r="E7457" t="s">
        <v>187</v>
      </c>
      <c r="F7457">
        <v>2010</v>
      </c>
      <c r="G7457">
        <v>1262.2896000000001</v>
      </c>
    </row>
    <row r="7458" spans="1:7">
      <c r="A7458" t="s">
        <v>1297</v>
      </c>
      <c r="B7458" t="s">
        <v>1298</v>
      </c>
      <c r="C7458" t="s">
        <v>677</v>
      </c>
      <c r="D7458" t="s">
        <v>1383</v>
      </c>
      <c r="E7458" t="s">
        <v>187</v>
      </c>
      <c r="F7458">
        <v>2012</v>
      </c>
      <c r="G7458">
        <v>1111.9032</v>
      </c>
    </row>
    <row r="7459" spans="1:7">
      <c r="A7459" t="s">
        <v>1297</v>
      </c>
      <c r="B7459" t="s">
        <v>1298</v>
      </c>
      <c r="C7459" t="s">
        <v>677</v>
      </c>
      <c r="D7459" t="s">
        <v>1383</v>
      </c>
      <c r="E7459" t="s">
        <v>187</v>
      </c>
      <c r="F7459">
        <v>2016</v>
      </c>
      <c r="G7459">
        <v>988.77511500000003</v>
      </c>
    </row>
    <row r="7460" spans="1:7">
      <c r="A7460" t="s">
        <v>1297</v>
      </c>
      <c r="B7460" t="s">
        <v>1298</v>
      </c>
      <c r="C7460" t="s">
        <v>677</v>
      </c>
      <c r="D7460" t="s">
        <v>1383</v>
      </c>
      <c r="E7460" t="s">
        <v>187</v>
      </c>
      <c r="F7460">
        <v>2020</v>
      </c>
      <c r="G7460">
        <v>1004.187631</v>
      </c>
    </row>
    <row r="7461" spans="1:7">
      <c r="A7461" t="s">
        <v>1297</v>
      </c>
      <c r="B7461" t="s">
        <v>1298</v>
      </c>
      <c r="C7461" t="s">
        <v>660</v>
      </c>
      <c r="D7461" t="s">
        <v>1383</v>
      </c>
      <c r="E7461" t="s">
        <v>187</v>
      </c>
      <c r="F7461">
        <v>2005</v>
      </c>
      <c r="G7461">
        <v>1.2681</v>
      </c>
    </row>
    <row r="7462" spans="1:7">
      <c r="A7462" t="s">
        <v>1297</v>
      </c>
      <c r="B7462" t="s">
        <v>1298</v>
      </c>
      <c r="C7462" t="s">
        <v>660</v>
      </c>
      <c r="D7462" t="s">
        <v>1383</v>
      </c>
      <c r="E7462" t="s">
        <v>187</v>
      </c>
      <c r="F7462">
        <v>2010</v>
      </c>
      <c r="G7462">
        <v>1.9278</v>
      </c>
    </row>
    <row r="7463" spans="1:7">
      <c r="A7463" t="s">
        <v>1297</v>
      </c>
      <c r="B7463" t="s">
        <v>1298</v>
      </c>
      <c r="C7463" t="s">
        <v>660</v>
      </c>
      <c r="D7463" t="s">
        <v>1383</v>
      </c>
      <c r="E7463" t="s">
        <v>187</v>
      </c>
      <c r="F7463">
        <v>2012</v>
      </c>
      <c r="G7463">
        <v>1.395</v>
      </c>
    </row>
    <row r="7464" spans="1:7">
      <c r="A7464" t="s">
        <v>1297</v>
      </c>
      <c r="B7464" t="s">
        <v>1298</v>
      </c>
      <c r="C7464" t="s">
        <v>660</v>
      </c>
      <c r="D7464" t="s">
        <v>1383</v>
      </c>
      <c r="E7464" t="s">
        <v>187</v>
      </c>
      <c r="F7464">
        <v>2016</v>
      </c>
      <c r="G7464">
        <v>1.0980129999999999</v>
      </c>
    </row>
    <row r="7465" spans="1:7">
      <c r="A7465" t="s">
        <v>1297</v>
      </c>
      <c r="B7465" t="s">
        <v>1298</v>
      </c>
      <c r="C7465" t="s">
        <v>660</v>
      </c>
      <c r="D7465" t="s">
        <v>1383</v>
      </c>
      <c r="E7465" t="s">
        <v>187</v>
      </c>
      <c r="F7465">
        <v>2020</v>
      </c>
      <c r="G7465">
        <v>1.1161129999999999</v>
      </c>
    </row>
    <row r="7466" spans="1:7">
      <c r="A7466" t="s">
        <v>1297</v>
      </c>
      <c r="B7466" t="s">
        <v>1298</v>
      </c>
      <c r="C7466" t="s">
        <v>1299</v>
      </c>
      <c r="D7466" t="s">
        <v>1383</v>
      </c>
      <c r="E7466" t="s">
        <v>187</v>
      </c>
      <c r="F7466">
        <v>2005</v>
      </c>
      <c r="G7466">
        <v>600.70950000000005</v>
      </c>
    </row>
    <row r="7467" spans="1:7">
      <c r="A7467" t="s">
        <v>1297</v>
      </c>
      <c r="B7467" t="s">
        <v>1298</v>
      </c>
      <c r="C7467" t="s">
        <v>1299</v>
      </c>
      <c r="D7467" t="s">
        <v>1383</v>
      </c>
      <c r="E7467" t="s">
        <v>187</v>
      </c>
      <c r="F7467">
        <v>2010</v>
      </c>
      <c r="G7467">
        <v>588.95100000000002</v>
      </c>
    </row>
    <row r="7468" spans="1:7">
      <c r="A7468" t="s">
        <v>1297</v>
      </c>
      <c r="B7468" t="s">
        <v>1298</v>
      </c>
      <c r="C7468" t="s">
        <v>1299</v>
      </c>
      <c r="D7468" t="s">
        <v>1383</v>
      </c>
      <c r="E7468" t="s">
        <v>187</v>
      </c>
      <c r="F7468">
        <v>2012</v>
      </c>
      <c r="G7468">
        <v>576.26279999999997</v>
      </c>
    </row>
    <row r="7469" spans="1:7">
      <c r="A7469" t="s">
        <v>1297</v>
      </c>
      <c r="B7469" t="s">
        <v>1298</v>
      </c>
      <c r="C7469" t="s">
        <v>1299</v>
      </c>
      <c r="D7469" t="s">
        <v>1383</v>
      </c>
      <c r="E7469" t="s">
        <v>187</v>
      </c>
      <c r="F7469">
        <v>2016</v>
      </c>
      <c r="G7469">
        <v>388.80360000000002</v>
      </c>
    </row>
    <row r="7470" spans="1:7">
      <c r="A7470" t="s">
        <v>1297</v>
      </c>
      <c r="B7470" t="s">
        <v>1298</v>
      </c>
      <c r="C7470" t="s">
        <v>1299</v>
      </c>
      <c r="D7470" t="s">
        <v>1383</v>
      </c>
      <c r="E7470" t="s">
        <v>187</v>
      </c>
      <c r="F7470">
        <v>2020</v>
      </c>
      <c r="G7470">
        <v>286.51621399999999</v>
      </c>
    </row>
    <row r="7471" spans="1:7">
      <c r="A7471" t="s">
        <v>1297</v>
      </c>
      <c r="B7471" t="s">
        <v>1298</v>
      </c>
      <c r="C7471" t="s">
        <v>672</v>
      </c>
      <c r="D7471" t="s">
        <v>1383</v>
      </c>
      <c r="E7471" t="s">
        <v>187</v>
      </c>
      <c r="F7471">
        <v>2005</v>
      </c>
      <c r="G7471">
        <v>8.3709000000000007</v>
      </c>
    </row>
    <row r="7472" spans="1:7">
      <c r="A7472" t="s">
        <v>1297</v>
      </c>
      <c r="B7472" t="s">
        <v>1298</v>
      </c>
      <c r="C7472" t="s">
        <v>672</v>
      </c>
      <c r="D7472" t="s">
        <v>1383</v>
      </c>
      <c r="E7472" t="s">
        <v>187</v>
      </c>
      <c r="F7472">
        <v>2010</v>
      </c>
      <c r="G7472">
        <v>12.519</v>
      </c>
    </row>
    <row r="7473" spans="1:7">
      <c r="A7473" t="s">
        <v>1297</v>
      </c>
      <c r="B7473" t="s">
        <v>1298</v>
      </c>
      <c r="C7473" t="s">
        <v>672</v>
      </c>
      <c r="D7473" t="s">
        <v>1383</v>
      </c>
      <c r="E7473" t="s">
        <v>187</v>
      </c>
      <c r="F7473">
        <v>2012</v>
      </c>
      <c r="G7473">
        <v>10.793699999999999</v>
      </c>
    </row>
    <row r="7474" spans="1:7">
      <c r="A7474" t="s">
        <v>1297</v>
      </c>
      <c r="B7474" t="s">
        <v>1298</v>
      </c>
      <c r="C7474" t="s">
        <v>672</v>
      </c>
      <c r="D7474" t="s">
        <v>1383</v>
      </c>
      <c r="E7474" t="s">
        <v>187</v>
      </c>
      <c r="F7474">
        <v>2016</v>
      </c>
      <c r="G7474">
        <v>10.209104</v>
      </c>
    </row>
    <row r="7475" spans="1:7">
      <c r="A7475" t="s">
        <v>1297</v>
      </c>
      <c r="B7475" t="s">
        <v>1298</v>
      </c>
      <c r="C7475" t="s">
        <v>672</v>
      </c>
      <c r="D7475" t="s">
        <v>1383</v>
      </c>
      <c r="E7475" t="s">
        <v>187</v>
      </c>
      <c r="F7475">
        <v>2020</v>
      </c>
      <c r="G7475">
        <v>11.943543</v>
      </c>
    </row>
    <row r="7476" spans="1:7">
      <c r="A7476" t="s">
        <v>1297</v>
      </c>
      <c r="B7476" t="s">
        <v>1298</v>
      </c>
      <c r="C7476" t="s">
        <v>653</v>
      </c>
      <c r="D7476" t="s">
        <v>1383</v>
      </c>
      <c r="E7476" t="s">
        <v>187</v>
      </c>
      <c r="F7476">
        <v>2005</v>
      </c>
      <c r="G7476">
        <v>0.58950000000000002</v>
      </c>
    </row>
    <row r="7477" spans="1:7">
      <c r="A7477" t="s">
        <v>1297</v>
      </c>
      <c r="B7477" t="s">
        <v>1298</v>
      </c>
      <c r="C7477" t="s">
        <v>653</v>
      </c>
      <c r="D7477" t="s">
        <v>1383</v>
      </c>
      <c r="E7477" t="s">
        <v>187</v>
      </c>
      <c r="F7477">
        <v>2010</v>
      </c>
      <c r="G7477">
        <v>2.0655239999999999</v>
      </c>
    </row>
    <row r="7478" spans="1:7">
      <c r="A7478" t="s">
        <v>1297</v>
      </c>
      <c r="B7478" t="s">
        <v>1298</v>
      </c>
      <c r="C7478" t="s">
        <v>653</v>
      </c>
      <c r="D7478" t="s">
        <v>1383</v>
      </c>
      <c r="E7478" t="s">
        <v>187</v>
      </c>
      <c r="F7478">
        <v>2012</v>
      </c>
      <c r="G7478">
        <v>2.2374070000000001</v>
      </c>
    </row>
    <row r="7479" spans="1:7">
      <c r="A7479" t="s">
        <v>1297</v>
      </c>
      <c r="B7479" t="s">
        <v>1298</v>
      </c>
      <c r="C7479" t="s">
        <v>653</v>
      </c>
      <c r="D7479" t="s">
        <v>1383</v>
      </c>
      <c r="E7479" t="s">
        <v>187</v>
      </c>
      <c r="F7479">
        <v>2016</v>
      </c>
      <c r="G7479">
        <v>2.4659930000000001</v>
      </c>
    </row>
    <row r="7480" spans="1:7">
      <c r="A7480" t="s">
        <v>1297</v>
      </c>
      <c r="B7480" t="s">
        <v>1298</v>
      </c>
      <c r="C7480" t="s">
        <v>653</v>
      </c>
      <c r="D7480" t="s">
        <v>1383</v>
      </c>
      <c r="E7480" t="s">
        <v>187</v>
      </c>
      <c r="F7480">
        <v>2020</v>
      </c>
      <c r="G7480">
        <v>3.1942710000000001</v>
      </c>
    </row>
    <row r="7481" spans="1:7">
      <c r="A7481" t="s">
        <v>1297</v>
      </c>
      <c r="B7481" t="s">
        <v>1298</v>
      </c>
      <c r="C7481" t="s">
        <v>682</v>
      </c>
      <c r="D7481" t="s">
        <v>1383</v>
      </c>
      <c r="E7481" t="s">
        <v>187</v>
      </c>
      <c r="F7481">
        <v>2016</v>
      </c>
      <c r="G7481">
        <v>1.4462999999999999</v>
      </c>
    </row>
    <row r="7482" spans="1:7">
      <c r="A7482" t="s">
        <v>1297</v>
      </c>
      <c r="B7482" t="s">
        <v>1298</v>
      </c>
      <c r="C7482" t="s">
        <v>682</v>
      </c>
      <c r="D7482" t="s">
        <v>1383</v>
      </c>
      <c r="E7482" t="s">
        <v>187</v>
      </c>
      <c r="F7482">
        <v>2020</v>
      </c>
      <c r="G7482">
        <v>1.6227050000000001</v>
      </c>
    </row>
    <row r="7483" spans="1:7">
      <c r="A7483" t="s">
        <v>1297</v>
      </c>
      <c r="B7483" t="s">
        <v>1298</v>
      </c>
      <c r="C7483" t="s">
        <v>675</v>
      </c>
      <c r="D7483" t="s">
        <v>1383</v>
      </c>
      <c r="E7483" t="s">
        <v>187</v>
      </c>
      <c r="F7483">
        <v>2005</v>
      </c>
      <c r="G7483">
        <v>4.1228999999999996</v>
      </c>
    </row>
    <row r="7484" spans="1:7">
      <c r="A7484" t="s">
        <v>1297</v>
      </c>
      <c r="B7484" t="s">
        <v>1298</v>
      </c>
      <c r="C7484" t="s">
        <v>675</v>
      </c>
      <c r="D7484" t="s">
        <v>1383</v>
      </c>
      <c r="E7484" t="s">
        <v>187</v>
      </c>
      <c r="F7484">
        <v>2010</v>
      </c>
      <c r="G7484">
        <v>4.7610000000000001</v>
      </c>
    </row>
    <row r="7485" spans="1:7">
      <c r="A7485" t="s">
        <v>1297</v>
      </c>
      <c r="B7485" t="s">
        <v>1298</v>
      </c>
      <c r="C7485" t="s">
        <v>675</v>
      </c>
      <c r="D7485" t="s">
        <v>1383</v>
      </c>
      <c r="E7485" t="s">
        <v>187</v>
      </c>
      <c r="F7485">
        <v>2012</v>
      </c>
      <c r="G7485">
        <v>4.9067999999999996</v>
      </c>
    </row>
    <row r="7486" spans="1:7">
      <c r="A7486" t="s">
        <v>1297</v>
      </c>
      <c r="B7486" t="s">
        <v>1298</v>
      </c>
      <c r="C7486" t="s">
        <v>675</v>
      </c>
      <c r="D7486" t="s">
        <v>1383</v>
      </c>
      <c r="E7486" t="s">
        <v>187</v>
      </c>
      <c r="F7486">
        <v>2016</v>
      </c>
      <c r="G7486">
        <v>4.8132000000000001</v>
      </c>
    </row>
    <row r="7487" spans="1:7">
      <c r="A7487" t="s">
        <v>1297</v>
      </c>
      <c r="B7487" t="s">
        <v>1298</v>
      </c>
      <c r="C7487" t="s">
        <v>675</v>
      </c>
      <c r="D7487" t="s">
        <v>1383</v>
      </c>
      <c r="E7487" t="s">
        <v>187</v>
      </c>
      <c r="F7487">
        <v>2020</v>
      </c>
      <c r="G7487">
        <v>4.4275690000000001</v>
      </c>
    </row>
    <row r="7488" spans="1:7">
      <c r="A7488" t="s">
        <v>1297</v>
      </c>
      <c r="B7488" t="s">
        <v>1298</v>
      </c>
      <c r="C7488" t="s">
        <v>651</v>
      </c>
      <c r="D7488" t="s">
        <v>1383</v>
      </c>
      <c r="E7488" t="s">
        <v>187</v>
      </c>
      <c r="F7488">
        <v>2005</v>
      </c>
      <c r="G7488">
        <v>65.712774999999993</v>
      </c>
    </row>
    <row r="7489" spans="1:7">
      <c r="A7489" t="s">
        <v>1297</v>
      </c>
      <c r="B7489" t="s">
        <v>1298</v>
      </c>
      <c r="C7489" t="s">
        <v>651</v>
      </c>
      <c r="D7489" t="s">
        <v>1383</v>
      </c>
      <c r="E7489" t="s">
        <v>187</v>
      </c>
      <c r="F7489">
        <v>2010</v>
      </c>
      <c r="G7489">
        <v>65.468973000000005</v>
      </c>
    </row>
    <row r="7490" spans="1:7">
      <c r="A7490" t="s">
        <v>1297</v>
      </c>
      <c r="B7490" t="s">
        <v>1298</v>
      </c>
      <c r="C7490" t="s">
        <v>651</v>
      </c>
      <c r="D7490" t="s">
        <v>1383</v>
      </c>
      <c r="E7490" t="s">
        <v>187</v>
      </c>
      <c r="F7490">
        <v>2012</v>
      </c>
      <c r="G7490">
        <v>59.220171999999998</v>
      </c>
    </row>
    <row r="7491" spans="1:7">
      <c r="A7491" t="s">
        <v>1297</v>
      </c>
      <c r="B7491" t="s">
        <v>1298</v>
      </c>
      <c r="C7491" t="s">
        <v>651</v>
      </c>
      <c r="D7491" t="s">
        <v>1383</v>
      </c>
      <c r="E7491" t="s">
        <v>187</v>
      </c>
      <c r="F7491">
        <v>2016</v>
      </c>
      <c r="G7491">
        <v>62.819066999999997</v>
      </c>
    </row>
    <row r="7492" spans="1:7">
      <c r="A7492" t="s">
        <v>1297</v>
      </c>
      <c r="B7492" t="s">
        <v>1298</v>
      </c>
      <c r="C7492" t="s">
        <v>651</v>
      </c>
      <c r="D7492" t="s">
        <v>1383</v>
      </c>
      <c r="E7492" t="s">
        <v>187</v>
      </c>
      <c r="F7492">
        <v>2020</v>
      </c>
      <c r="G7492">
        <v>59.050493000000003</v>
      </c>
    </row>
    <row r="7493" spans="1:7">
      <c r="A7493" t="s">
        <v>1297</v>
      </c>
      <c r="B7493" t="s">
        <v>1298</v>
      </c>
      <c r="C7493" t="s">
        <v>667</v>
      </c>
      <c r="D7493" t="s">
        <v>1383</v>
      </c>
      <c r="E7493" t="s">
        <v>187</v>
      </c>
      <c r="F7493">
        <v>2005</v>
      </c>
      <c r="G7493">
        <v>8.5368650000000006</v>
      </c>
    </row>
    <row r="7494" spans="1:7">
      <c r="A7494" t="s">
        <v>1297</v>
      </c>
      <c r="B7494" t="s">
        <v>1298</v>
      </c>
      <c r="C7494" t="s">
        <v>667</v>
      </c>
      <c r="D7494" t="s">
        <v>1383</v>
      </c>
      <c r="E7494" t="s">
        <v>187</v>
      </c>
      <c r="F7494">
        <v>2010</v>
      </c>
      <c r="G7494">
        <v>9.6007269999999991</v>
      </c>
    </row>
    <row r="7495" spans="1:7">
      <c r="A7495" t="s">
        <v>1297</v>
      </c>
      <c r="B7495" t="s">
        <v>1298</v>
      </c>
      <c r="C7495" t="s">
        <v>667</v>
      </c>
      <c r="D7495" t="s">
        <v>1383</v>
      </c>
      <c r="E7495" t="s">
        <v>187</v>
      </c>
      <c r="F7495">
        <v>2012</v>
      </c>
      <c r="G7495">
        <v>8.3641480000000001</v>
      </c>
    </row>
    <row r="7496" spans="1:7">
      <c r="A7496" t="s">
        <v>1297</v>
      </c>
      <c r="B7496" t="s">
        <v>1298</v>
      </c>
      <c r="C7496" t="s">
        <v>667</v>
      </c>
      <c r="D7496" t="s">
        <v>1383</v>
      </c>
      <c r="E7496" t="s">
        <v>187</v>
      </c>
      <c r="F7496">
        <v>2016</v>
      </c>
      <c r="G7496">
        <v>9.8565380000000005</v>
      </c>
    </row>
    <row r="7497" spans="1:7">
      <c r="A7497" t="s">
        <v>1297</v>
      </c>
      <c r="B7497" t="s">
        <v>1298</v>
      </c>
      <c r="C7497" t="s">
        <v>667</v>
      </c>
      <c r="D7497" t="s">
        <v>1383</v>
      </c>
      <c r="E7497" t="s">
        <v>187</v>
      </c>
      <c r="F7497">
        <v>2020</v>
      </c>
      <c r="G7497">
        <v>10.312659999999999</v>
      </c>
    </row>
    <row r="7498" spans="1:7">
      <c r="A7498" t="s">
        <v>1297</v>
      </c>
      <c r="B7498" t="s">
        <v>1298</v>
      </c>
      <c r="C7498" t="s">
        <v>662</v>
      </c>
      <c r="D7498" t="s">
        <v>1383</v>
      </c>
      <c r="E7498" t="s">
        <v>187</v>
      </c>
      <c r="F7498">
        <v>2005</v>
      </c>
      <c r="G7498">
        <v>3.0654349999999999</v>
      </c>
    </row>
    <row r="7499" spans="1:7">
      <c r="A7499" t="s">
        <v>1297</v>
      </c>
      <c r="B7499" t="s">
        <v>1298</v>
      </c>
      <c r="C7499" t="s">
        <v>662</v>
      </c>
      <c r="D7499" t="s">
        <v>1383</v>
      </c>
      <c r="E7499" t="s">
        <v>187</v>
      </c>
      <c r="F7499">
        <v>2010</v>
      </c>
      <c r="G7499">
        <v>10.660379000000001</v>
      </c>
    </row>
    <row r="7500" spans="1:7">
      <c r="A7500" t="s">
        <v>1297</v>
      </c>
      <c r="B7500" t="s">
        <v>1298</v>
      </c>
      <c r="C7500" t="s">
        <v>662</v>
      </c>
      <c r="D7500" t="s">
        <v>1383</v>
      </c>
      <c r="E7500" t="s">
        <v>187</v>
      </c>
      <c r="F7500">
        <v>2012</v>
      </c>
      <c r="G7500">
        <v>12.992289</v>
      </c>
    </row>
    <row r="7501" spans="1:7">
      <c r="A7501" t="s">
        <v>1297</v>
      </c>
      <c r="B7501" t="s">
        <v>1298</v>
      </c>
      <c r="C7501" t="s">
        <v>662</v>
      </c>
      <c r="D7501" t="s">
        <v>1383</v>
      </c>
      <c r="E7501" t="s">
        <v>187</v>
      </c>
      <c r="F7501">
        <v>2016</v>
      </c>
      <c r="G7501">
        <v>13.7781</v>
      </c>
    </row>
    <row r="7502" spans="1:7">
      <c r="A7502" t="s">
        <v>1297</v>
      </c>
      <c r="B7502" t="s">
        <v>1298</v>
      </c>
      <c r="C7502" t="s">
        <v>662</v>
      </c>
      <c r="D7502" t="s">
        <v>1383</v>
      </c>
      <c r="E7502" t="s">
        <v>187</v>
      </c>
      <c r="F7502">
        <v>2020</v>
      </c>
      <c r="G7502">
        <v>16.093042000000001</v>
      </c>
    </row>
    <row r="7503" spans="1:7">
      <c r="A7503" t="s">
        <v>1297</v>
      </c>
      <c r="B7503" t="s">
        <v>1298</v>
      </c>
      <c r="C7503" t="s">
        <v>664</v>
      </c>
      <c r="D7503" t="s">
        <v>1383</v>
      </c>
      <c r="E7503" t="s">
        <v>187</v>
      </c>
      <c r="F7503">
        <v>2005</v>
      </c>
      <c r="G7503">
        <v>25.353899999999999</v>
      </c>
    </row>
    <row r="7504" spans="1:7">
      <c r="A7504" t="s">
        <v>1297</v>
      </c>
      <c r="B7504" t="s">
        <v>1298</v>
      </c>
      <c r="C7504" t="s">
        <v>664</v>
      </c>
      <c r="D7504" t="s">
        <v>1383</v>
      </c>
      <c r="E7504" t="s">
        <v>187</v>
      </c>
      <c r="F7504">
        <v>2010</v>
      </c>
      <c r="G7504">
        <v>29.654730000000001</v>
      </c>
    </row>
    <row r="7505" spans="1:8">
      <c r="A7505" t="s">
        <v>1297</v>
      </c>
      <c r="B7505" t="s">
        <v>1298</v>
      </c>
      <c r="C7505" t="s">
        <v>664</v>
      </c>
      <c r="D7505" t="s">
        <v>1383</v>
      </c>
      <c r="E7505" t="s">
        <v>187</v>
      </c>
      <c r="F7505">
        <v>2012</v>
      </c>
      <c r="G7505">
        <v>25.09056</v>
      </c>
    </row>
    <row r="7506" spans="1:8">
      <c r="A7506" t="s">
        <v>1297</v>
      </c>
      <c r="B7506" t="s">
        <v>1298</v>
      </c>
      <c r="C7506" t="s">
        <v>664</v>
      </c>
      <c r="D7506" t="s">
        <v>1383</v>
      </c>
      <c r="E7506" t="s">
        <v>187</v>
      </c>
      <c r="F7506">
        <v>2016</v>
      </c>
      <c r="G7506">
        <v>23.523510999999999</v>
      </c>
    </row>
    <row r="7507" spans="1:8">
      <c r="A7507" t="s">
        <v>1297</v>
      </c>
      <c r="B7507" t="s">
        <v>1298</v>
      </c>
      <c r="C7507" t="s">
        <v>664</v>
      </c>
      <c r="D7507" t="s">
        <v>1383</v>
      </c>
      <c r="E7507" t="s">
        <v>187</v>
      </c>
      <c r="F7507">
        <v>2020</v>
      </c>
      <c r="G7507">
        <v>24.708786</v>
      </c>
    </row>
    <row r="7508" spans="1:8">
      <c r="A7508" t="s">
        <v>1297</v>
      </c>
      <c r="B7508" t="s">
        <v>1298</v>
      </c>
      <c r="C7508" t="s">
        <v>670</v>
      </c>
      <c r="D7508" t="s">
        <v>1384</v>
      </c>
      <c r="E7508" t="s">
        <v>187</v>
      </c>
      <c r="F7508">
        <v>2010</v>
      </c>
      <c r="G7508">
        <v>37.199576</v>
      </c>
    </row>
    <row r="7509" spans="1:8">
      <c r="A7509" t="s">
        <v>1297</v>
      </c>
      <c r="B7509" t="s">
        <v>1298</v>
      </c>
      <c r="C7509" t="s">
        <v>670</v>
      </c>
      <c r="D7509" t="s">
        <v>1384</v>
      </c>
      <c r="E7509" t="s">
        <v>187</v>
      </c>
      <c r="F7509">
        <v>2012</v>
      </c>
      <c r="G7509">
        <v>32.299992000000003</v>
      </c>
    </row>
    <row r="7510" spans="1:8">
      <c r="A7510" t="s">
        <v>1297</v>
      </c>
      <c r="B7510" t="s">
        <v>1298</v>
      </c>
      <c r="C7510" t="s">
        <v>670</v>
      </c>
      <c r="D7510" t="s">
        <v>1384</v>
      </c>
      <c r="E7510" t="s">
        <v>187</v>
      </c>
      <c r="F7510">
        <v>2020</v>
      </c>
      <c r="G7510" s="14">
        <v>9.9999999999999995E-7</v>
      </c>
    </row>
    <row r="7511" spans="1:8">
      <c r="A7511" t="s">
        <v>1297</v>
      </c>
      <c r="B7511" t="s">
        <v>1298</v>
      </c>
      <c r="C7511" t="s">
        <v>1300</v>
      </c>
      <c r="D7511" t="s">
        <v>1384</v>
      </c>
      <c r="E7511" t="s">
        <v>187</v>
      </c>
      <c r="F7511">
        <v>2010</v>
      </c>
      <c r="G7511" s="14">
        <v>9.9000000000000008E-3</v>
      </c>
      <c r="H7511" s="14"/>
    </row>
    <row r="7512" spans="1:8">
      <c r="A7512" t="s">
        <v>1297</v>
      </c>
      <c r="B7512" t="s">
        <v>1298</v>
      </c>
      <c r="C7512" t="s">
        <v>655</v>
      </c>
      <c r="D7512" t="s">
        <v>1385</v>
      </c>
      <c r="E7512" t="s">
        <v>187</v>
      </c>
      <c r="F7512">
        <v>2005</v>
      </c>
      <c r="G7512">
        <v>3.1598999999999999</v>
      </c>
    </row>
    <row r="7513" spans="1:8">
      <c r="A7513" t="s">
        <v>1297</v>
      </c>
      <c r="B7513" t="s">
        <v>1298</v>
      </c>
      <c r="C7513" t="s">
        <v>655</v>
      </c>
      <c r="D7513" t="s">
        <v>1385</v>
      </c>
      <c r="E7513" t="s">
        <v>187</v>
      </c>
      <c r="F7513">
        <v>2010</v>
      </c>
      <c r="G7513">
        <v>2.5470000000000002</v>
      </c>
    </row>
    <row r="7514" spans="1:8">
      <c r="A7514" t="s">
        <v>1297</v>
      </c>
      <c r="B7514" t="s">
        <v>1298</v>
      </c>
      <c r="C7514" t="s">
        <v>655</v>
      </c>
      <c r="D7514" t="s">
        <v>1385</v>
      </c>
      <c r="E7514" t="s">
        <v>187</v>
      </c>
      <c r="F7514">
        <v>2012</v>
      </c>
      <c r="G7514">
        <v>3.1320000000000001</v>
      </c>
    </row>
    <row r="7515" spans="1:8">
      <c r="A7515" t="s">
        <v>1297</v>
      </c>
      <c r="B7515" t="s">
        <v>1298</v>
      </c>
      <c r="C7515" t="s">
        <v>655</v>
      </c>
      <c r="D7515" t="s">
        <v>1385</v>
      </c>
      <c r="E7515" t="s">
        <v>187</v>
      </c>
      <c r="F7515">
        <v>2016</v>
      </c>
      <c r="G7515">
        <v>1.3230040000000001</v>
      </c>
    </row>
    <row r="7516" spans="1:8">
      <c r="A7516" t="s">
        <v>1297</v>
      </c>
      <c r="B7516" t="s">
        <v>1298</v>
      </c>
      <c r="C7516" t="s">
        <v>655</v>
      </c>
      <c r="D7516" t="s">
        <v>1385</v>
      </c>
      <c r="E7516" t="s">
        <v>187</v>
      </c>
      <c r="F7516">
        <v>2020</v>
      </c>
      <c r="G7516">
        <v>1.188383</v>
      </c>
    </row>
    <row r="7517" spans="1:8">
      <c r="A7517" t="s">
        <v>1297</v>
      </c>
      <c r="B7517" t="s">
        <v>1298</v>
      </c>
      <c r="C7517" t="s">
        <v>661</v>
      </c>
      <c r="D7517" t="s">
        <v>1385</v>
      </c>
      <c r="E7517" t="s">
        <v>187</v>
      </c>
      <c r="F7517">
        <v>2012</v>
      </c>
      <c r="G7517">
        <v>3.6099999999999999E-4</v>
      </c>
    </row>
    <row r="7518" spans="1:8">
      <c r="A7518" t="s">
        <v>1297</v>
      </c>
      <c r="B7518" t="s">
        <v>1298</v>
      </c>
      <c r="C7518" t="s">
        <v>661</v>
      </c>
      <c r="D7518" t="s">
        <v>1385</v>
      </c>
      <c r="E7518" t="s">
        <v>187</v>
      </c>
      <c r="F7518">
        <v>2016</v>
      </c>
      <c r="G7518">
        <v>5.2899999999999996E-4</v>
      </c>
    </row>
    <row r="7519" spans="1:8">
      <c r="A7519" t="s">
        <v>1297</v>
      </c>
      <c r="B7519" t="s">
        <v>1298</v>
      </c>
      <c r="C7519" t="s">
        <v>661</v>
      </c>
      <c r="D7519" t="s">
        <v>1385</v>
      </c>
      <c r="E7519" t="s">
        <v>187</v>
      </c>
      <c r="F7519">
        <v>2020</v>
      </c>
      <c r="G7519">
        <v>3.4635600000000002</v>
      </c>
    </row>
    <row r="7520" spans="1:8">
      <c r="A7520" t="s">
        <v>1297</v>
      </c>
      <c r="B7520" t="s">
        <v>1298</v>
      </c>
      <c r="C7520" t="s">
        <v>657</v>
      </c>
      <c r="D7520" t="s">
        <v>1385</v>
      </c>
      <c r="E7520" t="s">
        <v>187</v>
      </c>
      <c r="F7520">
        <v>2005</v>
      </c>
      <c r="G7520">
        <v>0.53370600000000001</v>
      </c>
    </row>
    <row r="7521" spans="1:7">
      <c r="A7521" t="s">
        <v>1297</v>
      </c>
      <c r="B7521" t="s">
        <v>1298</v>
      </c>
      <c r="C7521" t="s">
        <v>657</v>
      </c>
      <c r="D7521" t="s">
        <v>1385</v>
      </c>
      <c r="E7521" t="s">
        <v>187</v>
      </c>
      <c r="F7521">
        <v>2010</v>
      </c>
      <c r="G7521">
        <v>0.53100400000000003</v>
      </c>
    </row>
    <row r="7522" spans="1:7">
      <c r="A7522" t="s">
        <v>1297</v>
      </c>
      <c r="B7522" t="s">
        <v>1298</v>
      </c>
      <c r="C7522" t="s">
        <v>657</v>
      </c>
      <c r="D7522" t="s">
        <v>1385</v>
      </c>
      <c r="E7522" t="s">
        <v>187</v>
      </c>
      <c r="F7522">
        <v>2012</v>
      </c>
      <c r="G7522">
        <v>0.45630599999999999</v>
      </c>
    </row>
    <row r="7523" spans="1:7">
      <c r="A7523" t="s">
        <v>1297</v>
      </c>
      <c r="B7523" t="s">
        <v>1298</v>
      </c>
      <c r="C7523" t="s">
        <v>657</v>
      </c>
      <c r="D7523" t="s">
        <v>1385</v>
      </c>
      <c r="E7523" t="s">
        <v>187</v>
      </c>
      <c r="F7523">
        <v>2016</v>
      </c>
      <c r="G7523">
        <v>0.20472899999999999</v>
      </c>
    </row>
    <row r="7524" spans="1:7">
      <c r="A7524" t="s">
        <v>1297</v>
      </c>
      <c r="B7524" t="s">
        <v>1298</v>
      </c>
      <c r="C7524" t="s">
        <v>657</v>
      </c>
      <c r="D7524" t="s">
        <v>1385</v>
      </c>
      <c r="E7524" t="s">
        <v>187</v>
      </c>
      <c r="F7524">
        <v>2020</v>
      </c>
      <c r="G7524">
        <v>0.196186</v>
      </c>
    </row>
    <row r="7525" spans="1:7">
      <c r="A7525" t="s">
        <v>1297</v>
      </c>
      <c r="B7525" t="s">
        <v>1298</v>
      </c>
      <c r="C7525" t="s">
        <v>659</v>
      </c>
      <c r="D7525" t="s">
        <v>1385</v>
      </c>
      <c r="E7525" t="s">
        <v>187</v>
      </c>
      <c r="F7525">
        <v>2005</v>
      </c>
      <c r="G7525">
        <v>5.696053</v>
      </c>
    </row>
    <row r="7526" spans="1:7">
      <c r="A7526" t="s">
        <v>1297</v>
      </c>
      <c r="B7526" t="s">
        <v>1298</v>
      </c>
      <c r="C7526" t="s">
        <v>659</v>
      </c>
      <c r="D7526" t="s">
        <v>1385</v>
      </c>
      <c r="E7526" t="s">
        <v>187</v>
      </c>
      <c r="F7526">
        <v>2010</v>
      </c>
      <c r="G7526">
        <v>44.395977999999999</v>
      </c>
    </row>
    <row r="7527" spans="1:7">
      <c r="A7527" t="s">
        <v>1297</v>
      </c>
      <c r="B7527" t="s">
        <v>1298</v>
      </c>
      <c r="C7527" t="s">
        <v>659</v>
      </c>
      <c r="D7527" t="s">
        <v>1385</v>
      </c>
      <c r="E7527" t="s">
        <v>187</v>
      </c>
      <c r="F7527">
        <v>2012</v>
      </c>
      <c r="G7527">
        <v>12.921442000000001</v>
      </c>
    </row>
    <row r="7528" spans="1:7">
      <c r="A7528" t="s">
        <v>1297</v>
      </c>
      <c r="B7528" t="s">
        <v>1298</v>
      </c>
      <c r="C7528" t="s">
        <v>659</v>
      </c>
      <c r="D7528" t="s">
        <v>1385</v>
      </c>
      <c r="E7528" t="s">
        <v>187</v>
      </c>
      <c r="F7528">
        <v>2016</v>
      </c>
      <c r="G7528">
        <v>0.280802</v>
      </c>
    </row>
    <row r="7529" spans="1:7">
      <c r="A7529" t="s">
        <v>1297</v>
      </c>
      <c r="B7529" t="s">
        <v>1298</v>
      </c>
      <c r="C7529" t="s">
        <v>659</v>
      </c>
      <c r="D7529" t="s">
        <v>1385</v>
      </c>
      <c r="E7529" t="s">
        <v>187</v>
      </c>
      <c r="F7529">
        <v>2020</v>
      </c>
      <c r="G7529">
        <v>1.2375</v>
      </c>
    </row>
    <row r="7530" spans="1:7">
      <c r="A7530" t="s">
        <v>1297</v>
      </c>
      <c r="B7530" t="s">
        <v>1298</v>
      </c>
      <c r="C7530" t="s">
        <v>663</v>
      </c>
      <c r="D7530" t="s">
        <v>1385</v>
      </c>
      <c r="E7530" t="s">
        <v>187</v>
      </c>
      <c r="F7530">
        <v>2016</v>
      </c>
      <c r="G7530">
        <v>0.74316199999999999</v>
      </c>
    </row>
    <row r="7531" spans="1:7">
      <c r="A7531" t="s">
        <v>1297</v>
      </c>
      <c r="B7531" t="s">
        <v>1298</v>
      </c>
      <c r="C7531" t="s">
        <v>663</v>
      </c>
      <c r="D7531" t="s">
        <v>1385</v>
      </c>
      <c r="E7531" t="s">
        <v>187</v>
      </c>
      <c r="F7531">
        <v>2020</v>
      </c>
      <c r="G7531">
        <v>0.70650000000000002</v>
      </c>
    </row>
    <row r="7532" spans="1:7">
      <c r="A7532" t="s">
        <v>1297</v>
      </c>
      <c r="B7532" t="s">
        <v>1298</v>
      </c>
      <c r="C7532" t="s">
        <v>662</v>
      </c>
      <c r="D7532" t="s">
        <v>1385</v>
      </c>
      <c r="E7532" t="s">
        <v>187</v>
      </c>
      <c r="F7532">
        <v>2020</v>
      </c>
      <c r="G7532">
        <v>0.186746</v>
      </c>
    </row>
    <row r="7533" spans="1:7">
      <c r="A7533" t="s">
        <v>1297</v>
      </c>
      <c r="B7533" t="s">
        <v>1298</v>
      </c>
      <c r="C7533" t="s">
        <v>1299</v>
      </c>
      <c r="D7533" t="s">
        <v>1385</v>
      </c>
      <c r="E7533" t="s">
        <v>187</v>
      </c>
      <c r="F7533">
        <v>2010</v>
      </c>
      <c r="G7533">
        <v>0.16919999999999999</v>
      </c>
    </row>
    <row r="7534" spans="1:7">
      <c r="A7534" t="s">
        <v>1297</v>
      </c>
      <c r="B7534" t="s">
        <v>1298</v>
      </c>
      <c r="C7534" t="s">
        <v>677</v>
      </c>
      <c r="D7534" t="s">
        <v>1385</v>
      </c>
      <c r="E7534" t="s">
        <v>187</v>
      </c>
      <c r="F7534">
        <v>2005</v>
      </c>
      <c r="G7534">
        <v>64.844099999999997</v>
      </c>
    </row>
    <row r="7535" spans="1:7">
      <c r="A7535" t="s">
        <v>1297</v>
      </c>
      <c r="B7535" t="s">
        <v>1298</v>
      </c>
      <c r="C7535" t="s">
        <v>677</v>
      </c>
      <c r="D7535" t="s">
        <v>1385</v>
      </c>
      <c r="E7535" t="s">
        <v>187</v>
      </c>
      <c r="F7535">
        <v>2010</v>
      </c>
      <c r="G7535">
        <v>32.404499999999999</v>
      </c>
    </row>
    <row r="7536" spans="1:7">
      <c r="A7536" t="s">
        <v>1297</v>
      </c>
      <c r="B7536" t="s">
        <v>1298</v>
      </c>
      <c r="C7536" t="s">
        <v>677</v>
      </c>
      <c r="D7536" t="s">
        <v>1385</v>
      </c>
      <c r="E7536" t="s">
        <v>187</v>
      </c>
      <c r="F7536">
        <v>2012</v>
      </c>
      <c r="G7536">
        <v>36.647100000000002</v>
      </c>
    </row>
    <row r="7537" spans="1:7">
      <c r="A7537" t="s">
        <v>1297</v>
      </c>
      <c r="B7537" t="s">
        <v>1298</v>
      </c>
      <c r="C7537" t="s">
        <v>677</v>
      </c>
      <c r="D7537" t="s">
        <v>1385</v>
      </c>
      <c r="E7537" t="s">
        <v>187</v>
      </c>
      <c r="F7537">
        <v>2016</v>
      </c>
      <c r="G7537">
        <v>33.216023</v>
      </c>
    </row>
    <row r="7538" spans="1:7">
      <c r="A7538" t="s">
        <v>1297</v>
      </c>
      <c r="B7538" t="s">
        <v>1298</v>
      </c>
      <c r="C7538" t="s">
        <v>677</v>
      </c>
      <c r="D7538" t="s">
        <v>1385</v>
      </c>
      <c r="E7538" t="s">
        <v>187</v>
      </c>
      <c r="F7538">
        <v>2020</v>
      </c>
      <c r="G7538">
        <v>31.870801</v>
      </c>
    </row>
    <row r="7539" spans="1:7">
      <c r="A7539" t="s">
        <v>1297</v>
      </c>
      <c r="B7539" t="s">
        <v>1298</v>
      </c>
      <c r="C7539" t="s">
        <v>670</v>
      </c>
      <c r="D7539" t="s">
        <v>1385</v>
      </c>
      <c r="E7539" t="s">
        <v>187</v>
      </c>
      <c r="F7539">
        <v>2010</v>
      </c>
      <c r="G7539">
        <v>0.24299899999999999</v>
      </c>
    </row>
    <row r="7540" spans="1:7">
      <c r="A7540" t="s">
        <v>1297</v>
      </c>
      <c r="B7540" t="s">
        <v>1298</v>
      </c>
      <c r="C7540" t="s">
        <v>670</v>
      </c>
      <c r="D7540" t="s">
        <v>1385</v>
      </c>
      <c r="E7540" t="s">
        <v>187</v>
      </c>
      <c r="F7540">
        <v>2012</v>
      </c>
      <c r="G7540">
        <v>0.21509900000000001</v>
      </c>
    </row>
    <row r="7541" spans="1:7">
      <c r="A7541" t="s">
        <v>1297</v>
      </c>
      <c r="B7541" t="s">
        <v>1298</v>
      </c>
      <c r="C7541" t="s">
        <v>670</v>
      </c>
      <c r="D7541" t="s">
        <v>1385</v>
      </c>
      <c r="E7541" t="s">
        <v>187</v>
      </c>
      <c r="F7541">
        <v>2016</v>
      </c>
      <c r="G7541">
        <v>0.14530100000000001</v>
      </c>
    </row>
    <row r="7542" spans="1:7">
      <c r="A7542" t="s">
        <v>1297</v>
      </c>
      <c r="B7542" t="s">
        <v>1298</v>
      </c>
      <c r="C7542" t="s">
        <v>670</v>
      </c>
      <c r="D7542" t="s">
        <v>1385</v>
      </c>
      <c r="E7542" t="s">
        <v>187</v>
      </c>
      <c r="F7542">
        <v>2020</v>
      </c>
      <c r="G7542">
        <v>0.134829</v>
      </c>
    </row>
    <row r="7543" spans="1:7">
      <c r="A7543" t="s">
        <v>1297</v>
      </c>
      <c r="B7543" t="s">
        <v>1298</v>
      </c>
      <c r="C7543" t="s">
        <v>660</v>
      </c>
      <c r="D7543" t="s">
        <v>1386</v>
      </c>
      <c r="E7543" t="s">
        <v>187</v>
      </c>
      <c r="F7543">
        <v>2010</v>
      </c>
      <c r="G7543">
        <v>0.61199999999999999</v>
      </c>
    </row>
    <row r="7544" spans="1:7">
      <c r="A7544" t="s">
        <v>1297</v>
      </c>
      <c r="B7544" t="s">
        <v>1298</v>
      </c>
      <c r="C7544" t="s">
        <v>660</v>
      </c>
      <c r="D7544" t="s">
        <v>1386</v>
      </c>
      <c r="E7544" t="s">
        <v>187</v>
      </c>
      <c r="F7544">
        <v>2012</v>
      </c>
      <c r="G7544">
        <v>0.54900000000000004</v>
      </c>
    </row>
    <row r="7545" spans="1:7">
      <c r="A7545" t="s">
        <v>1297</v>
      </c>
      <c r="B7545" t="s">
        <v>1298</v>
      </c>
      <c r="C7545" t="s">
        <v>660</v>
      </c>
      <c r="D7545" t="s">
        <v>1386</v>
      </c>
      <c r="E7545" t="s">
        <v>187</v>
      </c>
      <c r="F7545">
        <v>2016</v>
      </c>
      <c r="G7545">
        <v>0.35550399999999999</v>
      </c>
    </row>
    <row r="7546" spans="1:7">
      <c r="A7546" t="s">
        <v>1297</v>
      </c>
      <c r="B7546" t="s">
        <v>1298</v>
      </c>
      <c r="C7546" t="s">
        <v>660</v>
      </c>
      <c r="D7546" t="s">
        <v>1386</v>
      </c>
      <c r="E7546" t="s">
        <v>187</v>
      </c>
      <c r="F7546">
        <v>2020</v>
      </c>
      <c r="G7546">
        <v>0.75247600000000003</v>
      </c>
    </row>
    <row r="7547" spans="1:7">
      <c r="A7547" t="s">
        <v>1297</v>
      </c>
      <c r="B7547" t="s">
        <v>1298</v>
      </c>
      <c r="C7547" t="s">
        <v>651</v>
      </c>
      <c r="D7547" t="s">
        <v>1386</v>
      </c>
      <c r="E7547" t="s">
        <v>187</v>
      </c>
      <c r="F7547">
        <v>2005</v>
      </c>
      <c r="G7547">
        <v>6.4879319999999998</v>
      </c>
    </row>
    <row r="7548" spans="1:7">
      <c r="A7548" t="s">
        <v>1297</v>
      </c>
      <c r="B7548" t="s">
        <v>1298</v>
      </c>
      <c r="C7548" t="s">
        <v>651</v>
      </c>
      <c r="D7548" t="s">
        <v>1386</v>
      </c>
      <c r="E7548" t="s">
        <v>187</v>
      </c>
      <c r="F7548">
        <v>2010</v>
      </c>
      <c r="G7548">
        <v>8.736421</v>
      </c>
    </row>
    <row r="7549" spans="1:7">
      <c r="A7549" t="s">
        <v>1297</v>
      </c>
      <c r="B7549" t="s">
        <v>1298</v>
      </c>
      <c r="C7549" t="s">
        <v>651</v>
      </c>
      <c r="D7549" t="s">
        <v>1386</v>
      </c>
      <c r="E7549" t="s">
        <v>187</v>
      </c>
      <c r="F7549">
        <v>2012</v>
      </c>
      <c r="G7549">
        <v>8.7998250000000002</v>
      </c>
    </row>
    <row r="7550" spans="1:7">
      <c r="A7550" t="s">
        <v>1297</v>
      </c>
      <c r="B7550" t="s">
        <v>1298</v>
      </c>
      <c r="C7550" t="s">
        <v>651</v>
      </c>
      <c r="D7550" t="s">
        <v>1386</v>
      </c>
      <c r="E7550" t="s">
        <v>187</v>
      </c>
      <c r="F7550">
        <v>2016</v>
      </c>
      <c r="G7550">
        <v>10.855459</v>
      </c>
    </row>
    <row r="7551" spans="1:7">
      <c r="A7551" t="s">
        <v>1297</v>
      </c>
      <c r="B7551" t="s">
        <v>1298</v>
      </c>
      <c r="C7551" t="s">
        <v>651</v>
      </c>
      <c r="D7551" t="s">
        <v>1386</v>
      </c>
      <c r="E7551" t="s">
        <v>187</v>
      </c>
      <c r="F7551">
        <v>2020</v>
      </c>
      <c r="G7551">
        <v>10.510386</v>
      </c>
    </row>
    <row r="7552" spans="1:7">
      <c r="A7552" t="s">
        <v>1297</v>
      </c>
      <c r="B7552" t="s">
        <v>1298</v>
      </c>
      <c r="C7552" t="s">
        <v>675</v>
      </c>
      <c r="D7552" t="s">
        <v>1386</v>
      </c>
      <c r="E7552" t="s">
        <v>187</v>
      </c>
      <c r="F7552">
        <v>2012</v>
      </c>
      <c r="G7552">
        <v>2.8799999999999999E-2</v>
      </c>
    </row>
    <row r="7553" spans="1:7">
      <c r="A7553" t="s">
        <v>1297</v>
      </c>
      <c r="B7553" t="s">
        <v>1298</v>
      </c>
      <c r="C7553" t="s">
        <v>675</v>
      </c>
      <c r="D7553" t="s">
        <v>1386</v>
      </c>
      <c r="E7553" t="s">
        <v>187</v>
      </c>
      <c r="F7553">
        <v>2016</v>
      </c>
      <c r="G7553">
        <v>0.1179</v>
      </c>
    </row>
    <row r="7554" spans="1:7">
      <c r="A7554" t="s">
        <v>1297</v>
      </c>
      <c r="B7554" t="s">
        <v>1298</v>
      </c>
      <c r="C7554" t="s">
        <v>675</v>
      </c>
      <c r="D7554" t="s">
        <v>1386</v>
      </c>
      <c r="E7554" t="s">
        <v>187</v>
      </c>
      <c r="F7554">
        <v>2020</v>
      </c>
      <c r="G7554">
        <v>0.18495900000000001</v>
      </c>
    </row>
    <row r="7555" spans="1:7">
      <c r="A7555" t="s">
        <v>1297</v>
      </c>
      <c r="B7555" t="s">
        <v>1298</v>
      </c>
      <c r="C7555" t="s">
        <v>657</v>
      </c>
      <c r="D7555" t="s">
        <v>1386</v>
      </c>
      <c r="E7555" t="s">
        <v>187</v>
      </c>
      <c r="F7555">
        <v>2016</v>
      </c>
      <c r="G7555">
        <v>1.6357189999999999</v>
      </c>
    </row>
    <row r="7556" spans="1:7">
      <c r="A7556" t="s">
        <v>1297</v>
      </c>
      <c r="B7556" t="s">
        <v>1298</v>
      </c>
      <c r="C7556" t="s">
        <v>657</v>
      </c>
      <c r="D7556" t="s">
        <v>1386</v>
      </c>
      <c r="E7556" t="s">
        <v>187</v>
      </c>
      <c r="F7556">
        <v>2020</v>
      </c>
      <c r="G7556">
        <v>1.866887</v>
      </c>
    </row>
    <row r="7557" spans="1:7">
      <c r="A7557" t="s">
        <v>1297</v>
      </c>
      <c r="B7557" t="s">
        <v>1298</v>
      </c>
      <c r="C7557" t="s">
        <v>679</v>
      </c>
      <c r="D7557" t="s">
        <v>1386</v>
      </c>
      <c r="E7557" t="s">
        <v>187</v>
      </c>
      <c r="F7557">
        <v>2016</v>
      </c>
      <c r="G7557">
        <v>4.9507599999999998</v>
      </c>
    </row>
    <row r="7558" spans="1:7">
      <c r="A7558" t="s">
        <v>1297</v>
      </c>
      <c r="B7558" t="s">
        <v>1298</v>
      </c>
      <c r="C7558" t="s">
        <v>679</v>
      </c>
      <c r="D7558" t="s">
        <v>1386</v>
      </c>
      <c r="E7558" t="s">
        <v>187</v>
      </c>
      <c r="F7558">
        <v>2020</v>
      </c>
      <c r="G7558">
        <v>4.5747359999999997</v>
      </c>
    </row>
    <row r="7559" spans="1:7">
      <c r="A7559" t="s">
        <v>1297</v>
      </c>
      <c r="B7559" t="s">
        <v>1298</v>
      </c>
      <c r="C7559" t="s">
        <v>661</v>
      </c>
      <c r="D7559" t="s">
        <v>1386</v>
      </c>
      <c r="E7559" t="s">
        <v>187</v>
      </c>
      <c r="F7559">
        <v>2005</v>
      </c>
      <c r="G7559">
        <v>0.678593</v>
      </c>
    </row>
    <row r="7560" spans="1:7">
      <c r="A7560" t="s">
        <v>1297</v>
      </c>
      <c r="B7560" t="s">
        <v>1298</v>
      </c>
      <c r="C7560" t="s">
        <v>661</v>
      </c>
      <c r="D7560" t="s">
        <v>1386</v>
      </c>
      <c r="E7560" t="s">
        <v>187</v>
      </c>
      <c r="F7560">
        <v>2010</v>
      </c>
      <c r="G7560">
        <v>1.3563190000000001</v>
      </c>
    </row>
    <row r="7561" spans="1:7">
      <c r="A7561" t="s">
        <v>1297</v>
      </c>
      <c r="B7561" t="s">
        <v>1298</v>
      </c>
      <c r="C7561" t="s">
        <v>661</v>
      </c>
      <c r="D7561" t="s">
        <v>1386</v>
      </c>
      <c r="E7561" t="s">
        <v>187</v>
      </c>
      <c r="F7561">
        <v>2012</v>
      </c>
      <c r="G7561">
        <v>4.0650930000000001</v>
      </c>
    </row>
    <row r="7562" spans="1:7">
      <c r="A7562" t="s">
        <v>1297</v>
      </c>
      <c r="B7562" t="s">
        <v>1298</v>
      </c>
      <c r="C7562" t="s">
        <v>661</v>
      </c>
      <c r="D7562" t="s">
        <v>1386</v>
      </c>
      <c r="E7562" t="s">
        <v>187</v>
      </c>
      <c r="F7562">
        <v>2016</v>
      </c>
      <c r="G7562">
        <v>5.1141240000000003</v>
      </c>
    </row>
    <row r="7563" spans="1:7">
      <c r="A7563" t="s">
        <v>1297</v>
      </c>
      <c r="B7563" t="s">
        <v>1298</v>
      </c>
      <c r="C7563" t="s">
        <v>661</v>
      </c>
      <c r="D7563" t="s">
        <v>1386</v>
      </c>
      <c r="E7563" t="s">
        <v>187</v>
      </c>
      <c r="F7563">
        <v>2020</v>
      </c>
      <c r="G7563">
        <v>6.8194330000000001</v>
      </c>
    </row>
    <row r="7564" spans="1:7">
      <c r="A7564" t="s">
        <v>1297</v>
      </c>
      <c r="B7564" t="s">
        <v>1298</v>
      </c>
      <c r="C7564" t="s">
        <v>668</v>
      </c>
      <c r="D7564" t="s">
        <v>1386</v>
      </c>
      <c r="E7564" t="s">
        <v>187</v>
      </c>
      <c r="F7564">
        <v>2005</v>
      </c>
      <c r="G7564">
        <v>6.7500000000000004E-2</v>
      </c>
    </row>
    <row r="7565" spans="1:7">
      <c r="A7565" t="s">
        <v>1297</v>
      </c>
      <c r="B7565" t="s">
        <v>1298</v>
      </c>
      <c r="C7565" t="s">
        <v>671</v>
      </c>
      <c r="D7565" t="s">
        <v>1386</v>
      </c>
      <c r="E7565" t="s">
        <v>187</v>
      </c>
      <c r="F7565">
        <v>2005</v>
      </c>
      <c r="G7565">
        <v>9.8658000000000001</v>
      </c>
    </row>
    <row r="7566" spans="1:7">
      <c r="A7566" t="s">
        <v>1297</v>
      </c>
      <c r="B7566" t="s">
        <v>1298</v>
      </c>
      <c r="C7566" t="s">
        <v>671</v>
      </c>
      <c r="D7566" t="s">
        <v>1386</v>
      </c>
      <c r="E7566" t="s">
        <v>187</v>
      </c>
      <c r="F7566">
        <v>2010</v>
      </c>
      <c r="G7566">
        <v>9.2690999999999999</v>
      </c>
    </row>
    <row r="7567" spans="1:7">
      <c r="A7567" t="s">
        <v>1297</v>
      </c>
      <c r="B7567" t="s">
        <v>1298</v>
      </c>
      <c r="C7567" t="s">
        <v>671</v>
      </c>
      <c r="D7567" t="s">
        <v>1386</v>
      </c>
      <c r="E7567" t="s">
        <v>187</v>
      </c>
      <c r="F7567">
        <v>2012</v>
      </c>
      <c r="G7567">
        <v>10.8063</v>
      </c>
    </row>
    <row r="7568" spans="1:7">
      <c r="A7568" t="s">
        <v>1297</v>
      </c>
      <c r="B7568" t="s">
        <v>1298</v>
      </c>
      <c r="C7568" t="s">
        <v>671</v>
      </c>
      <c r="D7568" t="s">
        <v>1386</v>
      </c>
      <c r="E7568" t="s">
        <v>187</v>
      </c>
      <c r="F7568">
        <v>2016</v>
      </c>
      <c r="G7568">
        <v>16.020900000000001</v>
      </c>
    </row>
    <row r="7569" spans="1:7">
      <c r="A7569" t="s">
        <v>1297</v>
      </c>
      <c r="B7569" t="s">
        <v>1298</v>
      </c>
      <c r="C7569" t="s">
        <v>671</v>
      </c>
      <c r="D7569" t="s">
        <v>1386</v>
      </c>
      <c r="E7569" t="s">
        <v>187</v>
      </c>
      <c r="F7569">
        <v>2020</v>
      </c>
      <c r="G7569">
        <v>16.253174999999999</v>
      </c>
    </row>
    <row r="7570" spans="1:7">
      <c r="A7570" t="s">
        <v>1297</v>
      </c>
      <c r="B7570" t="s">
        <v>1298</v>
      </c>
      <c r="C7570" t="s">
        <v>1299</v>
      </c>
      <c r="D7570" t="s">
        <v>1386</v>
      </c>
      <c r="E7570" t="s">
        <v>187</v>
      </c>
      <c r="F7570">
        <v>2005</v>
      </c>
      <c r="G7570">
        <v>136.01429999999999</v>
      </c>
    </row>
    <row r="7571" spans="1:7">
      <c r="A7571" t="s">
        <v>1297</v>
      </c>
      <c r="B7571" t="s">
        <v>1298</v>
      </c>
      <c r="C7571" t="s">
        <v>1299</v>
      </c>
      <c r="D7571" t="s">
        <v>1386</v>
      </c>
      <c r="E7571" t="s">
        <v>187</v>
      </c>
      <c r="F7571">
        <v>2010</v>
      </c>
      <c r="G7571">
        <v>138.33269999999999</v>
      </c>
    </row>
    <row r="7572" spans="1:7">
      <c r="A7572" t="s">
        <v>1297</v>
      </c>
      <c r="B7572" t="s">
        <v>1298</v>
      </c>
      <c r="C7572" t="s">
        <v>1299</v>
      </c>
      <c r="D7572" t="s">
        <v>1386</v>
      </c>
      <c r="E7572" t="s">
        <v>187</v>
      </c>
      <c r="F7572">
        <v>2012</v>
      </c>
      <c r="G7572">
        <v>85.868099999999998</v>
      </c>
    </row>
    <row r="7573" spans="1:7">
      <c r="A7573" t="s">
        <v>1297</v>
      </c>
      <c r="B7573" t="s">
        <v>1298</v>
      </c>
      <c r="C7573" t="s">
        <v>1299</v>
      </c>
      <c r="D7573" t="s">
        <v>1386</v>
      </c>
      <c r="E7573" t="s">
        <v>187</v>
      </c>
      <c r="F7573">
        <v>2016</v>
      </c>
      <c r="G7573">
        <v>58.566600000000001</v>
      </c>
    </row>
    <row r="7574" spans="1:7">
      <c r="A7574" t="s">
        <v>1297</v>
      </c>
      <c r="B7574" t="s">
        <v>1298</v>
      </c>
      <c r="C7574" t="s">
        <v>1299</v>
      </c>
      <c r="D7574" t="s">
        <v>1386</v>
      </c>
      <c r="E7574" t="s">
        <v>187</v>
      </c>
      <c r="F7574">
        <v>2020</v>
      </c>
      <c r="G7574">
        <v>64.425914000000006</v>
      </c>
    </row>
    <row r="7575" spans="1:7">
      <c r="A7575" t="s">
        <v>1297</v>
      </c>
      <c r="B7575" t="s">
        <v>1298</v>
      </c>
      <c r="C7575" t="s">
        <v>674</v>
      </c>
      <c r="D7575" t="s">
        <v>1386</v>
      </c>
      <c r="E7575" t="s">
        <v>187</v>
      </c>
      <c r="F7575">
        <v>2005</v>
      </c>
      <c r="G7575">
        <v>0.64349999999999996</v>
      </c>
    </row>
    <row r="7576" spans="1:7">
      <c r="A7576" t="s">
        <v>1297</v>
      </c>
      <c r="B7576" t="s">
        <v>1298</v>
      </c>
      <c r="C7576" t="s">
        <v>674</v>
      </c>
      <c r="D7576" t="s">
        <v>1386</v>
      </c>
      <c r="E7576" t="s">
        <v>187</v>
      </c>
      <c r="F7576">
        <v>2010</v>
      </c>
      <c r="G7576">
        <v>1.3284</v>
      </c>
    </row>
    <row r="7577" spans="1:7">
      <c r="A7577" t="s">
        <v>1297</v>
      </c>
      <c r="B7577" t="s">
        <v>1298</v>
      </c>
      <c r="C7577" t="s">
        <v>674</v>
      </c>
      <c r="D7577" t="s">
        <v>1386</v>
      </c>
      <c r="E7577" t="s">
        <v>187</v>
      </c>
      <c r="F7577">
        <v>2012</v>
      </c>
      <c r="G7577">
        <v>2.2176</v>
      </c>
    </row>
    <row r="7578" spans="1:7">
      <c r="A7578" t="s">
        <v>1297</v>
      </c>
      <c r="B7578" t="s">
        <v>1298</v>
      </c>
      <c r="C7578" t="s">
        <v>674</v>
      </c>
      <c r="D7578" t="s">
        <v>1386</v>
      </c>
      <c r="E7578" t="s">
        <v>187</v>
      </c>
      <c r="F7578">
        <v>2016</v>
      </c>
      <c r="G7578">
        <v>1.5264</v>
      </c>
    </row>
    <row r="7579" spans="1:7">
      <c r="A7579" t="s">
        <v>1297</v>
      </c>
      <c r="B7579" t="s">
        <v>1298</v>
      </c>
      <c r="C7579" t="s">
        <v>674</v>
      </c>
      <c r="D7579" t="s">
        <v>1386</v>
      </c>
      <c r="E7579" t="s">
        <v>187</v>
      </c>
      <c r="F7579">
        <v>2020</v>
      </c>
      <c r="G7579">
        <v>0.360431</v>
      </c>
    </row>
    <row r="7580" spans="1:7">
      <c r="A7580" t="s">
        <v>1297</v>
      </c>
      <c r="B7580" t="s">
        <v>1298</v>
      </c>
      <c r="C7580" t="s">
        <v>655</v>
      </c>
      <c r="D7580" t="s">
        <v>1386</v>
      </c>
      <c r="E7580" t="s">
        <v>187</v>
      </c>
      <c r="F7580">
        <v>2005</v>
      </c>
      <c r="G7580">
        <v>1.62</v>
      </c>
    </row>
    <row r="7581" spans="1:7">
      <c r="A7581" t="s">
        <v>1297</v>
      </c>
      <c r="B7581" t="s">
        <v>1298</v>
      </c>
      <c r="C7581" t="s">
        <v>655</v>
      </c>
      <c r="D7581" t="s">
        <v>1386</v>
      </c>
      <c r="E7581" t="s">
        <v>187</v>
      </c>
      <c r="F7581">
        <v>2010</v>
      </c>
      <c r="G7581">
        <v>3.0987</v>
      </c>
    </row>
    <row r="7582" spans="1:7">
      <c r="A7582" t="s">
        <v>1297</v>
      </c>
      <c r="B7582" t="s">
        <v>1298</v>
      </c>
      <c r="C7582" t="s">
        <v>655</v>
      </c>
      <c r="D7582" t="s">
        <v>1386</v>
      </c>
      <c r="E7582" t="s">
        <v>187</v>
      </c>
      <c r="F7582">
        <v>2012</v>
      </c>
      <c r="G7582">
        <v>2.1366000000000001</v>
      </c>
    </row>
    <row r="7583" spans="1:7">
      <c r="A7583" t="s">
        <v>1297</v>
      </c>
      <c r="B7583" t="s">
        <v>1298</v>
      </c>
      <c r="C7583" t="s">
        <v>655</v>
      </c>
      <c r="D7583" t="s">
        <v>1386</v>
      </c>
      <c r="E7583" t="s">
        <v>187</v>
      </c>
      <c r="F7583">
        <v>2016</v>
      </c>
      <c r="G7583">
        <v>2.2824070000000001</v>
      </c>
    </row>
    <row r="7584" spans="1:7">
      <c r="A7584" t="s">
        <v>1297</v>
      </c>
      <c r="B7584" t="s">
        <v>1298</v>
      </c>
      <c r="C7584" t="s">
        <v>655</v>
      </c>
      <c r="D7584" t="s">
        <v>1386</v>
      </c>
      <c r="E7584" t="s">
        <v>187</v>
      </c>
      <c r="F7584">
        <v>2020</v>
      </c>
      <c r="G7584">
        <v>4.0634959999999998</v>
      </c>
    </row>
    <row r="7585" spans="1:7">
      <c r="A7585" t="s">
        <v>1297</v>
      </c>
      <c r="B7585" t="s">
        <v>1298</v>
      </c>
      <c r="C7585" t="s">
        <v>673</v>
      </c>
      <c r="D7585" t="s">
        <v>1386</v>
      </c>
      <c r="E7585" t="s">
        <v>187</v>
      </c>
      <c r="F7585">
        <v>2005</v>
      </c>
      <c r="G7585">
        <v>1.3932</v>
      </c>
    </row>
    <row r="7586" spans="1:7">
      <c r="A7586" t="s">
        <v>1297</v>
      </c>
      <c r="B7586" t="s">
        <v>1298</v>
      </c>
      <c r="C7586" t="s">
        <v>673</v>
      </c>
      <c r="D7586" t="s">
        <v>1386</v>
      </c>
      <c r="E7586" t="s">
        <v>187</v>
      </c>
      <c r="F7586">
        <v>2010</v>
      </c>
      <c r="G7586">
        <v>0.43469999999999998</v>
      </c>
    </row>
    <row r="7587" spans="1:7">
      <c r="A7587" t="s">
        <v>1297</v>
      </c>
      <c r="B7587" t="s">
        <v>1298</v>
      </c>
      <c r="C7587" t="s">
        <v>673</v>
      </c>
      <c r="D7587" t="s">
        <v>1386</v>
      </c>
      <c r="E7587" t="s">
        <v>187</v>
      </c>
      <c r="F7587">
        <v>2012</v>
      </c>
      <c r="G7587">
        <v>0.3987</v>
      </c>
    </row>
    <row r="7588" spans="1:7">
      <c r="A7588" t="s">
        <v>1297</v>
      </c>
      <c r="B7588" t="s">
        <v>1298</v>
      </c>
      <c r="C7588" t="s">
        <v>673</v>
      </c>
      <c r="D7588" t="s">
        <v>1386</v>
      </c>
      <c r="E7588" t="s">
        <v>187</v>
      </c>
      <c r="F7588">
        <v>2016</v>
      </c>
      <c r="G7588">
        <v>3.8699999999999998E-2</v>
      </c>
    </row>
    <row r="7589" spans="1:7">
      <c r="A7589" t="s">
        <v>1297</v>
      </c>
      <c r="B7589" t="s">
        <v>1298</v>
      </c>
      <c r="C7589" t="s">
        <v>673</v>
      </c>
      <c r="D7589" t="s">
        <v>1386</v>
      </c>
      <c r="E7589" t="s">
        <v>187</v>
      </c>
      <c r="F7589">
        <v>2020</v>
      </c>
      <c r="G7589">
        <v>3.457E-3</v>
      </c>
    </row>
    <row r="7590" spans="1:7">
      <c r="A7590" t="s">
        <v>1297</v>
      </c>
      <c r="B7590" t="s">
        <v>1298</v>
      </c>
      <c r="C7590" t="s">
        <v>1300</v>
      </c>
      <c r="D7590" t="s">
        <v>1386</v>
      </c>
      <c r="E7590" t="s">
        <v>187</v>
      </c>
      <c r="F7590">
        <v>2010</v>
      </c>
      <c r="G7590">
        <v>0.28710000000000002</v>
      </c>
    </row>
    <row r="7591" spans="1:7">
      <c r="A7591" t="s">
        <v>1297</v>
      </c>
      <c r="B7591" t="s">
        <v>1298</v>
      </c>
      <c r="C7591" t="s">
        <v>1300</v>
      </c>
      <c r="D7591" t="s">
        <v>1386</v>
      </c>
      <c r="E7591" t="s">
        <v>187</v>
      </c>
      <c r="F7591">
        <v>2012</v>
      </c>
      <c r="G7591">
        <v>0.39689999999999998</v>
      </c>
    </row>
    <row r="7592" spans="1:7">
      <c r="A7592" t="s">
        <v>1297</v>
      </c>
      <c r="B7592" t="s">
        <v>1298</v>
      </c>
      <c r="C7592" t="s">
        <v>1300</v>
      </c>
      <c r="D7592" t="s">
        <v>1386</v>
      </c>
      <c r="E7592" t="s">
        <v>187</v>
      </c>
      <c r="F7592">
        <v>2016</v>
      </c>
      <c r="G7592">
        <v>0.96030000000000004</v>
      </c>
    </row>
    <row r="7593" spans="1:7">
      <c r="A7593" t="s">
        <v>1297</v>
      </c>
      <c r="B7593" t="s">
        <v>1298</v>
      </c>
      <c r="C7593" t="s">
        <v>1300</v>
      </c>
      <c r="D7593" t="s">
        <v>1386</v>
      </c>
      <c r="E7593" t="s">
        <v>187</v>
      </c>
      <c r="F7593">
        <v>2020</v>
      </c>
      <c r="G7593">
        <v>0.73439600000000005</v>
      </c>
    </row>
    <row r="7594" spans="1:7">
      <c r="A7594" t="s">
        <v>1297</v>
      </c>
      <c r="B7594" t="s">
        <v>1298</v>
      </c>
      <c r="C7594" t="s">
        <v>682</v>
      </c>
      <c r="D7594" t="s">
        <v>1386</v>
      </c>
      <c r="E7594" t="s">
        <v>187</v>
      </c>
      <c r="F7594">
        <v>2016</v>
      </c>
      <c r="G7594">
        <v>3.5999999999999999E-3</v>
      </c>
    </row>
    <row r="7595" spans="1:7">
      <c r="A7595" t="s">
        <v>1297</v>
      </c>
      <c r="B7595" t="s">
        <v>1298</v>
      </c>
      <c r="C7595" t="s">
        <v>682</v>
      </c>
      <c r="D7595" t="s">
        <v>1386</v>
      </c>
      <c r="E7595" t="s">
        <v>187</v>
      </c>
      <c r="F7595">
        <v>2020</v>
      </c>
      <c r="G7595">
        <v>9.6299999999999997E-2</v>
      </c>
    </row>
    <row r="7596" spans="1:7">
      <c r="A7596" t="s">
        <v>1297</v>
      </c>
      <c r="B7596" t="s">
        <v>1298</v>
      </c>
      <c r="C7596" t="s">
        <v>685</v>
      </c>
      <c r="D7596" t="s">
        <v>1386</v>
      </c>
      <c r="E7596" t="s">
        <v>187</v>
      </c>
      <c r="F7596">
        <v>2010</v>
      </c>
      <c r="G7596">
        <v>8.0999999999999996E-3</v>
      </c>
    </row>
    <row r="7597" spans="1:7">
      <c r="A7597" t="s">
        <v>1297</v>
      </c>
      <c r="B7597" t="s">
        <v>1298</v>
      </c>
      <c r="C7597" t="s">
        <v>685</v>
      </c>
      <c r="D7597" t="s">
        <v>1386</v>
      </c>
      <c r="E7597" t="s">
        <v>187</v>
      </c>
      <c r="F7597">
        <v>2012</v>
      </c>
      <c r="G7597">
        <v>4.4999999999999997E-3</v>
      </c>
    </row>
    <row r="7598" spans="1:7">
      <c r="A7598" t="s">
        <v>1297</v>
      </c>
      <c r="B7598" t="s">
        <v>1298</v>
      </c>
      <c r="C7598" t="s">
        <v>685</v>
      </c>
      <c r="D7598" t="s">
        <v>1386</v>
      </c>
      <c r="E7598" t="s">
        <v>187</v>
      </c>
      <c r="F7598">
        <v>2016</v>
      </c>
      <c r="G7598">
        <v>6.3E-3</v>
      </c>
    </row>
    <row r="7599" spans="1:7">
      <c r="A7599" t="s">
        <v>1297</v>
      </c>
      <c r="B7599" t="s">
        <v>1298</v>
      </c>
      <c r="C7599" t="s">
        <v>685</v>
      </c>
      <c r="D7599" t="s">
        <v>1386</v>
      </c>
      <c r="E7599" t="s">
        <v>187</v>
      </c>
      <c r="F7599">
        <v>2020</v>
      </c>
      <c r="G7599">
        <v>7.3774000000000006E-2</v>
      </c>
    </row>
    <row r="7600" spans="1:7">
      <c r="A7600" t="s">
        <v>1297</v>
      </c>
      <c r="B7600" t="s">
        <v>1298</v>
      </c>
      <c r="C7600" t="s">
        <v>659</v>
      </c>
      <c r="D7600" t="s">
        <v>1386</v>
      </c>
      <c r="E7600" t="s">
        <v>187</v>
      </c>
      <c r="F7600">
        <v>2005</v>
      </c>
      <c r="G7600">
        <v>4.6934610000000001</v>
      </c>
    </row>
    <row r="7601" spans="1:7">
      <c r="A7601" t="s">
        <v>1297</v>
      </c>
      <c r="B7601" t="s">
        <v>1298</v>
      </c>
      <c r="C7601" t="s">
        <v>659</v>
      </c>
      <c r="D7601" t="s">
        <v>1386</v>
      </c>
      <c r="E7601" t="s">
        <v>187</v>
      </c>
      <c r="F7601">
        <v>2010</v>
      </c>
      <c r="G7601">
        <v>4.5980869999999996</v>
      </c>
    </row>
    <row r="7602" spans="1:7">
      <c r="A7602" t="s">
        <v>1297</v>
      </c>
      <c r="B7602" t="s">
        <v>1298</v>
      </c>
      <c r="C7602" t="s">
        <v>659</v>
      </c>
      <c r="D7602" t="s">
        <v>1386</v>
      </c>
      <c r="E7602" t="s">
        <v>187</v>
      </c>
      <c r="F7602">
        <v>2012</v>
      </c>
      <c r="G7602">
        <v>4.6188510000000003</v>
      </c>
    </row>
    <row r="7603" spans="1:7">
      <c r="A7603" t="s">
        <v>1297</v>
      </c>
      <c r="B7603" t="s">
        <v>1298</v>
      </c>
      <c r="C7603" t="s">
        <v>659</v>
      </c>
      <c r="D7603" t="s">
        <v>1386</v>
      </c>
      <c r="E7603" t="s">
        <v>187</v>
      </c>
      <c r="F7603">
        <v>2016</v>
      </c>
      <c r="G7603">
        <v>5.9526490000000001</v>
      </c>
    </row>
    <row r="7604" spans="1:7">
      <c r="A7604" t="s">
        <v>1297</v>
      </c>
      <c r="B7604" t="s">
        <v>1298</v>
      </c>
      <c r="C7604" t="s">
        <v>659</v>
      </c>
      <c r="D7604" t="s">
        <v>1386</v>
      </c>
      <c r="E7604" t="s">
        <v>187</v>
      </c>
      <c r="F7604">
        <v>2020</v>
      </c>
      <c r="G7604">
        <v>9.9981000000000009</v>
      </c>
    </row>
    <row r="7605" spans="1:7">
      <c r="A7605" t="s">
        <v>1297</v>
      </c>
      <c r="B7605" t="s">
        <v>1298</v>
      </c>
      <c r="C7605" t="s">
        <v>656</v>
      </c>
      <c r="D7605" t="s">
        <v>1386</v>
      </c>
      <c r="E7605" t="s">
        <v>187</v>
      </c>
      <c r="F7605">
        <v>2005</v>
      </c>
      <c r="G7605">
        <v>35.200003000000002</v>
      </c>
    </row>
    <row r="7606" spans="1:7">
      <c r="A7606" t="s">
        <v>1297</v>
      </c>
      <c r="B7606" t="s">
        <v>1298</v>
      </c>
      <c r="C7606" t="s">
        <v>656</v>
      </c>
      <c r="D7606" t="s">
        <v>1386</v>
      </c>
      <c r="E7606" t="s">
        <v>187</v>
      </c>
      <c r="F7606">
        <v>2010</v>
      </c>
      <c r="G7606">
        <v>20.971143999999999</v>
      </c>
    </row>
    <row r="7607" spans="1:7">
      <c r="A7607" t="s">
        <v>1297</v>
      </c>
      <c r="B7607" t="s">
        <v>1298</v>
      </c>
      <c r="C7607" t="s">
        <v>656</v>
      </c>
      <c r="D7607" t="s">
        <v>1386</v>
      </c>
      <c r="E7607" t="s">
        <v>187</v>
      </c>
      <c r="F7607">
        <v>2012</v>
      </c>
      <c r="G7607">
        <v>19.791841999999999</v>
      </c>
    </row>
    <row r="7608" spans="1:7">
      <c r="A7608" t="s">
        <v>1297</v>
      </c>
      <c r="B7608" t="s">
        <v>1298</v>
      </c>
      <c r="C7608" t="s">
        <v>656</v>
      </c>
      <c r="D7608" t="s">
        <v>1386</v>
      </c>
      <c r="E7608" t="s">
        <v>187</v>
      </c>
      <c r="F7608">
        <v>2016</v>
      </c>
      <c r="G7608">
        <v>18.664093999999999</v>
      </c>
    </row>
    <row r="7609" spans="1:7">
      <c r="A7609" t="s">
        <v>1297</v>
      </c>
      <c r="B7609" t="s">
        <v>1298</v>
      </c>
      <c r="C7609" t="s">
        <v>656</v>
      </c>
      <c r="D7609" t="s">
        <v>1386</v>
      </c>
      <c r="E7609" t="s">
        <v>187</v>
      </c>
      <c r="F7609">
        <v>2020</v>
      </c>
      <c r="G7609">
        <v>32.793517999999999</v>
      </c>
    </row>
    <row r="7610" spans="1:7">
      <c r="A7610" t="s">
        <v>1297</v>
      </c>
      <c r="B7610" t="s">
        <v>1298</v>
      </c>
      <c r="C7610" t="s">
        <v>1303</v>
      </c>
      <c r="D7610" t="s">
        <v>1386</v>
      </c>
      <c r="E7610" t="s">
        <v>187</v>
      </c>
      <c r="F7610">
        <v>2016</v>
      </c>
      <c r="G7610">
        <v>12.874777</v>
      </c>
    </row>
    <row r="7611" spans="1:7">
      <c r="A7611" t="s">
        <v>1297</v>
      </c>
      <c r="B7611" t="s">
        <v>1298</v>
      </c>
      <c r="C7611" t="s">
        <v>1303</v>
      </c>
      <c r="D7611" t="s">
        <v>1386</v>
      </c>
      <c r="E7611" t="s">
        <v>187</v>
      </c>
      <c r="F7611">
        <v>2020</v>
      </c>
      <c r="G7611">
        <v>12.055565</v>
      </c>
    </row>
    <row r="7612" spans="1:7">
      <c r="A7612" t="s">
        <v>1297</v>
      </c>
      <c r="B7612" t="s">
        <v>1298</v>
      </c>
      <c r="C7612" t="s">
        <v>670</v>
      </c>
      <c r="D7612" t="s">
        <v>1386</v>
      </c>
      <c r="E7612" t="s">
        <v>187</v>
      </c>
      <c r="F7612">
        <v>2005</v>
      </c>
      <c r="G7612">
        <v>3.0599999999999999E-2</v>
      </c>
    </row>
    <row r="7613" spans="1:7">
      <c r="A7613" t="s">
        <v>1297</v>
      </c>
      <c r="B7613" t="s">
        <v>1298</v>
      </c>
      <c r="C7613" t="s">
        <v>670</v>
      </c>
      <c r="D7613" t="s">
        <v>1386</v>
      </c>
      <c r="E7613" t="s">
        <v>187</v>
      </c>
      <c r="F7613">
        <v>2010</v>
      </c>
      <c r="G7613">
        <v>0.38789899999999999</v>
      </c>
    </row>
    <row r="7614" spans="1:7">
      <c r="A7614" t="s">
        <v>1297</v>
      </c>
      <c r="B7614" t="s">
        <v>1298</v>
      </c>
      <c r="C7614" t="s">
        <v>670</v>
      </c>
      <c r="D7614" t="s">
        <v>1386</v>
      </c>
      <c r="E7614" t="s">
        <v>187</v>
      </c>
      <c r="F7614">
        <v>2012</v>
      </c>
      <c r="G7614">
        <v>0.99269700000000005</v>
      </c>
    </row>
    <row r="7615" spans="1:7">
      <c r="A7615" t="s">
        <v>1297</v>
      </c>
      <c r="B7615" t="s">
        <v>1298</v>
      </c>
      <c r="C7615" t="s">
        <v>670</v>
      </c>
      <c r="D7615" t="s">
        <v>1386</v>
      </c>
      <c r="E7615" t="s">
        <v>187</v>
      </c>
      <c r="F7615">
        <v>2016</v>
      </c>
      <c r="G7615">
        <v>1.7844599999999999</v>
      </c>
    </row>
    <row r="7616" spans="1:7">
      <c r="A7616" t="s">
        <v>1297</v>
      </c>
      <c r="B7616" t="s">
        <v>1298</v>
      </c>
      <c r="C7616" t="s">
        <v>670</v>
      </c>
      <c r="D7616" t="s">
        <v>1386</v>
      </c>
      <c r="E7616" t="s">
        <v>187</v>
      </c>
      <c r="F7616">
        <v>2020</v>
      </c>
      <c r="G7616">
        <v>2.671027</v>
      </c>
    </row>
    <row r="7617" spans="1:7">
      <c r="A7617" t="s">
        <v>1297</v>
      </c>
      <c r="B7617" t="s">
        <v>1298</v>
      </c>
      <c r="C7617" t="s">
        <v>653</v>
      </c>
      <c r="D7617" t="s">
        <v>1386</v>
      </c>
      <c r="E7617" t="s">
        <v>187</v>
      </c>
      <c r="F7617">
        <v>2005</v>
      </c>
      <c r="G7617">
        <v>9.8414999999999999</v>
      </c>
    </row>
    <row r="7618" spans="1:7">
      <c r="A7618" t="s">
        <v>1297</v>
      </c>
      <c r="B7618" t="s">
        <v>1298</v>
      </c>
      <c r="C7618" t="s">
        <v>653</v>
      </c>
      <c r="D7618" t="s">
        <v>1386</v>
      </c>
      <c r="E7618" t="s">
        <v>187</v>
      </c>
      <c r="F7618">
        <v>2010</v>
      </c>
      <c r="G7618">
        <v>8.6563009999999991</v>
      </c>
    </row>
    <row r="7619" spans="1:7">
      <c r="A7619" t="s">
        <v>1297</v>
      </c>
      <c r="B7619" t="s">
        <v>1298</v>
      </c>
      <c r="C7619" t="s">
        <v>653</v>
      </c>
      <c r="D7619" t="s">
        <v>1386</v>
      </c>
      <c r="E7619" t="s">
        <v>187</v>
      </c>
      <c r="F7619">
        <v>2012</v>
      </c>
      <c r="G7619">
        <v>11.232032999999999</v>
      </c>
    </row>
    <row r="7620" spans="1:7">
      <c r="A7620" t="s">
        <v>1297</v>
      </c>
      <c r="B7620" t="s">
        <v>1298</v>
      </c>
      <c r="C7620" t="s">
        <v>653</v>
      </c>
      <c r="D7620" t="s">
        <v>1386</v>
      </c>
      <c r="E7620" t="s">
        <v>187</v>
      </c>
      <c r="F7620">
        <v>2016</v>
      </c>
      <c r="G7620">
        <v>9.1151739999999997</v>
      </c>
    </row>
    <row r="7621" spans="1:7">
      <c r="A7621" t="s">
        <v>1297</v>
      </c>
      <c r="B7621" t="s">
        <v>1298</v>
      </c>
      <c r="C7621" t="s">
        <v>653</v>
      </c>
      <c r="D7621" t="s">
        <v>1386</v>
      </c>
      <c r="E7621" t="s">
        <v>187</v>
      </c>
      <c r="F7621">
        <v>2020</v>
      </c>
      <c r="G7621">
        <v>5.9298310000000001</v>
      </c>
    </row>
    <row r="7622" spans="1:7">
      <c r="A7622" t="s">
        <v>1297</v>
      </c>
      <c r="B7622" t="s">
        <v>1298</v>
      </c>
      <c r="C7622" t="s">
        <v>679</v>
      </c>
      <c r="D7622" t="s">
        <v>1386</v>
      </c>
      <c r="E7622" t="s">
        <v>187</v>
      </c>
      <c r="F7622">
        <v>2005</v>
      </c>
      <c r="G7622">
        <v>0.405003</v>
      </c>
    </row>
    <row r="7623" spans="1:7">
      <c r="A7623" t="s">
        <v>1297</v>
      </c>
      <c r="B7623" t="s">
        <v>1298</v>
      </c>
      <c r="C7623" t="s">
        <v>679</v>
      </c>
      <c r="D7623" t="s">
        <v>1386</v>
      </c>
      <c r="E7623" t="s">
        <v>187</v>
      </c>
      <c r="F7623">
        <v>2010</v>
      </c>
      <c r="G7623">
        <v>2.279836</v>
      </c>
    </row>
    <row r="7624" spans="1:7">
      <c r="A7624" t="s">
        <v>1297</v>
      </c>
      <c r="B7624" t="s">
        <v>1298</v>
      </c>
      <c r="C7624" t="s">
        <v>679</v>
      </c>
      <c r="D7624" t="s">
        <v>1386</v>
      </c>
      <c r="E7624" t="s">
        <v>187</v>
      </c>
      <c r="F7624">
        <v>2012</v>
      </c>
      <c r="G7624">
        <v>3.696186</v>
      </c>
    </row>
    <row r="7625" spans="1:7">
      <c r="A7625" t="s">
        <v>1297</v>
      </c>
      <c r="B7625" t="s">
        <v>1298</v>
      </c>
      <c r="C7625" t="s">
        <v>686</v>
      </c>
      <c r="D7625" t="s">
        <v>1386</v>
      </c>
      <c r="E7625" t="s">
        <v>187</v>
      </c>
      <c r="F7625">
        <v>2010</v>
      </c>
      <c r="G7625">
        <v>0.17100000000000001</v>
      </c>
    </row>
    <row r="7626" spans="1:7">
      <c r="A7626" t="s">
        <v>1297</v>
      </c>
      <c r="B7626" t="s">
        <v>1298</v>
      </c>
      <c r="C7626" t="s">
        <v>686</v>
      </c>
      <c r="D7626" t="s">
        <v>1386</v>
      </c>
      <c r="E7626" t="s">
        <v>187</v>
      </c>
      <c r="F7626">
        <v>2012</v>
      </c>
      <c r="G7626">
        <v>0.14849999999999999</v>
      </c>
    </row>
    <row r="7627" spans="1:7">
      <c r="A7627" t="s">
        <v>1297</v>
      </c>
      <c r="B7627" t="s">
        <v>1298</v>
      </c>
      <c r="C7627" t="s">
        <v>686</v>
      </c>
      <c r="D7627" t="s">
        <v>1386</v>
      </c>
      <c r="E7627" t="s">
        <v>187</v>
      </c>
      <c r="F7627">
        <v>2016</v>
      </c>
      <c r="G7627">
        <v>0.21690000000000001</v>
      </c>
    </row>
    <row r="7628" spans="1:7">
      <c r="A7628" t="s">
        <v>1297</v>
      </c>
      <c r="B7628" t="s">
        <v>1298</v>
      </c>
      <c r="C7628" t="s">
        <v>686</v>
      </c>
      <c r="D7628" t="s">
        <v>1386</v>
      </c>
      <c r="E7628" t="s">
        <v>187</v>
      </c>
      <c r="F7628">
        <v>2020</v>
      </c>
      <c r="G7628">
        <v>0.45112999999999998</v>
      </c>
    </row>
    <row r="7629" spans="1:7">
      <c r="A7629" t="s">
        <v>1297</v>
      </c>
      <c r="B7629" t="s">
        <v>1298</v>
      </c>
      <c r="C7629" t="s">
        <v>289</v>
      </c>
      <c r="D7629" t="s">
        <v>1386</v>
      </c>
      <c r="E7629" t="s">
        <v>187</v>
      </c>
      <c r="F7629">
        <v>2010</v>
      </c>
      <c r="G7629">
        <v>8.8200000000000001E-2</v>
      </c>
    </row>
    <row r="7630" spans="1:7">
      <c r="A7630" t="s">
        <v>1297</v>
      </c>
      <c r="B7630" t="s">
        <v>1298</v>
      </c>
      <c r="C7630" t="s">
        <v>289</v>
      </c>
      <c r="D7630" t="s">
        <v>1386</v>
      </c>
      <c r="E7630" t="s">
        <v>187</v>
      </c>
      <c r="F7630">
        <v>2012</v>
      </c>
      <c r="G7630">
        <v>3.4200000000000001E-2</v>
      </c>
    </row>
    <row r="7631" spans="1:7">
      <c r="A7631" t="s">
        <v>1297</v>
      </c>
      <c r="B7631" t="s">
        <v>1298</v>
      </c>
      <c r="C7631" t="s">
        <v>289</v>
      </c>
      <c r="D7631" t="s">
        <v>1386</v>
      </c>
      <c r="E7631" t="s">
        <v>187</v>
      </c>
      <c r="F7631">
        <v>2016</v>
      </c>
      <c r="G7631">
        <v>0.153</v>
      </c>
    </row>
    <row r="7632" spans="1:7">
      <c r="A7632" t="s">
        <v>1297</v>
      </c>
      <c r="B7632" t="s">
        <v>1298</v>
      </c>
      <c r="C7632" t="s">
        <v>289</v>
      </c>
      <c r="D7632" t="s">
        <v>1386</v>
      </c>
      <c r="E7632" t="s">
        <v>187</v>
      </c>
      <c r="F7632">
        <v>2020</v>
      </c>
      <c r="G7632">
        <v>0.166272</v>
      </c>
    </row>
    <row r="7633" spans="1:7">
      <c r="A7633" t="s">
        <v>1297</v>
      </c>
      <c r="B7633" t="s">
        <v>1298</v>
      </c>
      <c r="C7633" t="s">
        <v>1301</v>
      </c>
      <c r="D7633" t="s">
        <v>1386</v>
      </c>
      <c r="E7633" t="s">
        <v>187</v>
      </c>
      <c r="F7633">
        <v>2005</v>
      </c>
      <c r="G7633">
        <v>4.4325000000000001</v>
      </c>
    </row>
    <row r="7634" spans="1:7">
      <c r="A7634" t="s">
        <v>1297</v>
      </c>
      <c r="B7634" t="s">
        <v>1298</v>
      </c>
      <c r="C7634" t="s">
        <v>1301</v>
      </c>
      <c r="D7634" t="s">
        <v>1386</v>
      </c>
      <c r="E7634" t="s">
        <v>187</v>
      </c>
      <c r="F7634">
        <v>2010</v>
      </c>
      <c r="G7634">
        <v>9.1332000000000004</v>
      </c>
    </row>
    <row r="7635" spans="1:7">
      <c r="A7635" t="s">
        <v>1297</v>
      </c>
      <c r="B7635" t="s">
        <v>1298</v>
      </c>
      <c r="C7635" t="s">
        <v>1301</v>
      </c>
      <c r="D7635" t="s">
        <v>1386</v>
      </c>
      <c r="E7635" t="s">
        <v>187</v>
      </c>
      <c r="F7635">
        <v>2012</v>
      </c>
      <c r="G7635">
        <v>8.3393999999999995</v>
      </c>
    </row>
    <row r="7636" spans="1:7">
      <c r="A7636" t="s">
        <v>1297</v>
      </c>
      <c r="B7636" t="s">
        <v>1298</v>
      </c>
      <c r="C7636" t="s">
        <v>1301</v>
      </c>
      <c r="D7636" t="s">
        <v>1386</v>
      </c>
      <c r="E7636" t="s">
        <v>187</v>
      </c>
      <c r="F7636">
        <v>2016</v>
      </c>
      <c r="G7636">
        <v>15.6393</v>
      </c>
    </row>
    <row r="7637" spans="1:7">
      <c r="A7637" t="s">
        <v>1297</v>
      </c>
      <c r="B7637" t="s">
        <v>1298</v>
      </c>
      <c r="C7637" t="s">
        <v>1301</v>
      </c>
      <c r="D7637" t="s">
        <v>1386</v>
      </c>
      <c r="E7637" t="s">
        <v>187</v>
      </c>
      <c r="F7637">
        <v>2020</v>
      </c>
      <c r="G7637">
        <v>14.15376</v>
      </c>
    </row>
    <row r="7638" spans="1:7">
      <c r="A7638" t="s">
        <v>1297</v>
      </c>
      <c r="B7638" t="s">
        <v>1298</v>
      </c>
      <c r="C7638" t="s">
        <v>663</v>
      </c>
      <c r="D7638" t="s">
        <v>1386</v>
      </c>
      <c r="E7638" t="s">
        <v>187</v>
      </c>
      <c r="F7638">
        <v>2005</v>
      </c>
      <c r="G7638">
        <v>0.1116</v>
      </c>
    </row>
    <row r="7639" spans="1:7">
      <c r="A7639" t="s">
        <v>1297</v>
      </c>
      <c r="B7639" t="s">
        <v>1298</v>
      </c>
      <c r="C7639" t="s">
        <v>663</v>
      </c>
      <c r="D7639" t="s">
        <v>1386</v>
      </c>
      <c r="E7639" t="s">
        <v>187</v>
      </c>
      <c r="F7639">
        <v>2010</v>
      </c>
      <c r="G7639">
        <v>1.1889000000000001</v>
      </c>
    </row>
    <row r="7640" spans="1:7">
      <c r="A7640" t="s">
        <v>1297</v>
      </c>
      <c r="B7640" t="s">
        <v>1298</v>
      </c>
      <c r="C7640" t="s">
        <v>663</v>
      </c>
      <c r="D7640" t="s">
        <v>1386</v>
      </c>
      <c r="E7640" t="s">
        <v>187</v>
      </c>
      <c r="F7640">
        <v>2012</v>
      </c>
      <c r="G7640">
        <v>2.4201000000000001</v>
      </c>
    </row>
    <row r="7641" spans="1:7">
      <c r="A7641" t="s">
        <v>1297</v>
      </c>
      <c r="B7641" t="s">
        <v>1298</v>
      </c>
      <c r="C7641" t="s">
        <v>663</v>
      </c>
      <c r="D7641" t="s">
        <v>1386</v>
      </c>
      <c r="E7641" t="s">
        <v>187</v>
      </c>
      <c r="F7641">
        <v>2016</v>
      </c>
      <c r="G7641">
        <v>2.0212919999999999</v>
      </c>
    </row>
    <row r="7642" spans="1:7">
      <c r="A7642" t="s">
        <v>1297</v>
      </c>
      <c r="B7642" t="s">
        <v>1298</v>
      </c>
      <c r="C7642" t="s">
        <v>663</v>
      </c>
      <c r="D7642" t="s">
        <v>1386</v>
      </c>
      <c r="E7642" t="s">
        <v>187</v>
      </c>
      <c r="F7642">
        <v>2020</v>
      </c>
      <c r="G7642">
        <v>3.4712999999999998</v>
      </c>
    </row>
    <row r="7643" spans="1:7">
      <c r="A7643" t="s">
        <v>1297</v>
      </c>
      <c r="B7643" t="s">
        <v>1298</v>
      </c>
      <c r="C7643" t="s">
        <v>672</v>
      </c>
      <c r="D7643" t="s">
        <v>1386</v>
      </c>
      <c r="E7643" t="s">
        <v>187</v>
      </c>
      <c r="F7643">
        <v>2005</v>
      </c>
      <c r="G7643">
        <v>0.46529999999999999</v>
      </c>
    </row>
    <row r="7644" spans="1:7">
      <c r="A7644" t="s">
        <v>1297</v>
      </c>
      <c r="B7644" t="s">
        <v>1298</v>
      </c>
      <c r="C7644" t="s">
        <v>672</v>
      </c>
      <c r="D7644" t="s">
        <v>1386</v>
      </c>
      <c r="E7644" t="s">
        <v>187</v>
      </c>
      <c r="F7644">
        <v>2010</v>
      </c>
      <c r="G7644">
        <v>0.52470000000000006</v>
      </c>
    </row>
    <row r="7645" spans="1:7">
      <c r="A7645" t="s">
        <v>1297</v>
      </c>
      <c r="B7645" t="s">
        <v>1298</v>
      </c>
      <c r="C7645" t="s">
        <v>672</v>
      </c>
      <c r="D7645" t="s">
        <v>1386</v>
      </c>
      <c r="E7645" t="s">
        <v>187</v>
      </c>
      <c r="F7645">
        <v>2012</v>
      </c>
      <c r="G7645">
        <v>0.50129999999999997</v>
      </c>
    </row>
    <row r="7646" spans="1:7">
      <c r="A7646" t="s">
        <v>1297</v>
      </c>
      <c r="B7646" t="s">
        <v>1298</v>
      </c>
      <c r="C7646" t="s">
        <v>672</v>
      </c>
      <c r="D7646" t="s">
        <v>1386</v>
      </c>
      <c r="E7646" t="s">
        <v>187</v>
      </c>
      <c r="F7646">
        <v>2016</v>
      </c>
      <c r="G7646">
        <v>0.58050000000000002</v>
      </c>
    </row>
    <row r="7647" spans="1:7">
      <c r="A7647" t="s">
        <v>1297</v>
      </c>
      <c r="B7647" t="s">
        <v>1298</v>
      </c>
      <c r="C7647" t="s">
        <v>672</v>
      </c>
      <c r="D7647" t="s">
        <v>1386</v>
      </c>
      <c r="E7647" t="s">
        <v>187</v>
      </c>
      <c r="F7647">
        <v>2020</v>
      </c>
      <c r="G7647">
        <v>0.73302199999999995</v>
      </c>
    </row>
    <row r="7648" spans="1:7">
      <c r="A7648" t="s">
        <v>1297</v>
      </c>
      <c r="B7648" t="s">
        <v>1298</v>
      </c>
      <c r="C7648" t="s">
        <v>665</v>
      </c>
      <c r="D7648" t="s">
        <v>1386</v>
      </c>
      <c r="E7648" t="s">
        <v>187</v>
      </c>
      <c r="F7648">
        <v>2005</v>
      </c>
      <c r="G7648">
        <v>15.8904</v>
      </c>
    </row>
    <row r="7649" spans="1:7">
      <c r="A7649" t="s">
        <v>1297</v>
      </c>
      <c r="B7649" t="s">
        <v>1298</v>
      </c>
      <c r="C7649" t="s">
        <v>665</v>
      </c>
      <c r="D7649" t="s">
        <v>1386</v>
      </c>
      <c r="E7649" t="s">
        <v>187</v>
      </c>
      <c r="F7649">
        <v>2010</v>
      </c>
      <c r="G7649">
        <v>29.110499999999998</v>
      </c>
    </row>
    <row r="7650" spans="1:7">
      <c r="A7650" t="s">
        <v>1297</v>
      </c>
      <c r="B7650" t="s">
        <v>1298</v>
      </c>
      <c r="C7650" t="s">
        <v>665</v>
      </c>
      <c r="D7650" t="s">
        <v>1386</v>
      </c>
      <c r="E7650" t="s">
        <v>187</v>
      </c>
      <c r="F7650">
        <v>2012</v>
      </c>
      <c r="G7650">
        <v>37.0854</v>
      </c>
    </row>
    <row r="7651" spans="1:7">
      <c r="A7651" t="s">
        <v>1297</v>
      </c>
      <c r="B7651" t="s">
        <v>1298</v>
      </c>
      <c r="C7651" t="s">
        <v>665</v>
      </c>
      <c r="D7651" t="s">
        <v>1386</v>
      </c>
      <c r="E7651" t="s">
        <v>187</v>
      </c>
      <c r="F7651">
        <v>2016</v>
      </c>
      <c r="G7651">
        <v>46.294199999999996</v>
      </c>
    </row>
    <row r="7652" spans="1:7">
      <c r="A7652" t="s">
        <v>1297</v>
      </c>
      <c r="B7652" t="s">
        <v>1298</v>
      </c>
      <c r="C7652" t="s">
        <v>665</v>
      </c>
      <c r="D7652" t="s">
        <v>1386</v>
      </c>
      <c r="E7652" t="s">
        <v>187</v>
      </c>
      <c r="F7652">
        <v>2020</v>
      </c>
      <c r="G7652">
        <v>48.035533000000001</v>
      </c>
    </row>
    <row r="7653" spans="1:7">
      <c r="A7653" t="s">
        <v>1297</v>
      </c>
      <c r="B7653" t="s">
        <v>1298</v>
      </c>
      <c r="C7653" t="s">
        <v>662</v>
      </c>
      <c r="D7653" t="s">
        <v>1386</v>
      </c>
      <c r="E7653" t="s">
        <v>187</v>
      </c>
      <c r="F7653">
        <v>2005</v>
      </c>
      <c r="G7653">
        <v>0.56610700000000003</v>
      </c>
    </row>
    <row r="7654" spans="1:7">
      <c r="A7654" t="s">
        <v>1297</v>
      </c>
      <c r="B7654" t="s">
        <v>1298</v>
      </c>
      <c r="C7654" t="s">
        <v>662</v>
      </c>
      <c r="D7654" t="s">
        <v>1386</v>
      </c>
      <c r="E7654" t="s">
        <v>187</v>
      </c>
      <c r="F7654">
        <v>2010</v>
      </c>
      <c r="G7654">
        <v>0.60569300000000004</v>
      </c>
    </row>
    <row r="7655" spans="1:7">
      <c r="A7655" t="s">
        <v>1297</v>
      </c>
      <c r="B7655" t="s">
        <v>1298</v>
      </c>
      <c r="C7655" t="s">
        <v>662</v>
      </c>
      <c r="D7655" t="s">
        <v>1386</v>
      </c>
      <c r="E7655" t="s">
        <v>187</v>
      </c>
      <c r="F7655">
        <v>2012</v>
      </c>
      <c r="G7655">
        <v>0.61649500000000002</v>
      </c>
    </row>
    <row r="7656" spans="1:7">
      <c r="A7656" t="s">
        <v>1297</v>
      </c>
      <c r="B7656" t="s">
        <v>1298</v>
      </c>
      <c r="C7656" t="s">
        <v>662</v>
      </c>
      <c r="D7656" t="s">
        <v>1386</v>
      </c>
      <c r="E7656" t="s">
        <v>187</v>
      </c>
      <c r="F7656">
        <v>2016</v>
      </c>
      <c r="G7656">
        <v>0.79379999999999995</v>
      </c>
    </row>
    <row r="7657" spans="1:7">
      <c r="A7657" t="s">
        <v>1297</v>
      </c>
      <c r="B7657" t="s">
        <v>1298</v>
      </c>
      <c r="C7657" t="s">
        <v>662</v>
      </c>
      <c r="D7657" t="s">
        <v>1386</v>
      </c>
      <c r="E7657" t="s">
        <v>187</v>
      </c>
      <c r="F7657">
        <v>2020</v>
      </c>
      <c r="G7657">
        <v>0.749058</v>
      </c>
    </row>
    <row r="7658" spans="1:7">
      <c r="A7658" t="s">
        <v>1297</v>
      </c>
      <c r="B7658" t="s">
        <v>1298</v>
      </c>
      <c r="C7658" t="s">
        <v>652</v>
      </c>
      <c r="D7658" t="s">
        <v>1386</v>
      </c>
      <c r="E7658" t="s">
        <v>187</v>
      </c>
      <c r="F7658">
        <v>2010</v>
      </c>
      <c r="G7658">
        <v>2.1858360000000001</v>
      </c>
    </row>
    <row r="7659" spans="1:7">
      <c r="A7659" t="s">
        <v>1297</v>
      </c>
      <c r="B7659" t="s">
        <v>1298</v>
      </c>
      <c r="C7659" t="s">
        <v>652</v>
      </c>
      <c r="D7659" t="s">
        <v>1386</v>
      </c>
      <c r="E7659" t="s">
        <v>187</v>
      </c>
      <c r="F7659">
        <v>2012</v>
      </c>
      <c r="G7659">
        <v>1.890298</v>
      </c>
    </row>
    <row r="7660" spans="1:7">
      <c r="A7660" t="s">
        <v>1297</v>
      </c>
      <c r="B7660" t="s">
        <v>1298</v>
      </c>
      <c r="C7660" t="s">
        <v>652</v>
      </c>
      <c r="D7660" t="s">
        <v>1386</v>
      </c>
      <c r="E7660" t="s">
        <v>187</v>
      </c>
      <c r="F7660">
        <v>2016</v>
      </c>
      <c r="G7660">
        <v>1.5722100000000001</v>
      </c>
    </row>
    <row r="7661" spans="1:7">
      <c r="A7661" t="s">
        <v>1297</v>
      </c>
      <c r="B7661" t="s">
        <v>1298</v>
      </c>
      <c r="C7661" t="s">
        <v>652</v>
      </c>
      <c r="D7661" t="s">
        <v>1386</v>
      </c>
      <c r="E7661" t="s">
        <v>187</v>
      </c>
      <c r="F7661">
        <v>2020</v>
      </c>
      <c r="G7661">
        <v>2.3072400000000002</v>
      </c>
    </row>
    <row r="7662" spans="1:7">
      <c r="A7662" t="s">
        <v>1297</v>
      </c>
      <c r="B7662" t="s">
        <v>1298</v>
      </c>
      <c r="C7662" t="s">
        <v>668</v>
      </c>
      <c r="D7662" t="s">
        <v>1386</v>
      </c>
      <c r="E7662" t="s">
        <v>187</v>
      </c>
      <c r="F7662">
        <v>2020</v>
      </c>
      <c r="G7662">
        <v>7.7479999999999997E-3</v>
      </c>
    </row>
    <row r="7663" spans="1:7">
      <c r="A7663" t="s">
        <v>1297</v>
      </c>
      <c r="B7663" t="s">
        <v>1298</v>
      </c>
      <c r="C7663" t="s">
        <v>664</v>
      </c>
      <c r="D7663" t="s">
        <v>1386</v>
      </c>
      <c r="E7663" t="s">
        <v>187</v>
      </c>
      <c r="F7663">
        <v>2005</v>
      </c>
      <c r="G7663">
        <v>9.2048000000000005E-2</v>
      </c>
    </row>
    <row r="7664" spans="1:7">
      <c r="A7664" t="s">
        <v>1297</v>
      </c>
      <c r="B7664" t="s">
        <v>1298</v>
      </c>
      <c r="C7664" t="s">
        <v>664</v>
      </c>
      <c r="D7664" t="s">
        <v>1386</v>
      </c>
      <c r="E7664" t="s">
        <v>187</v>
      </c>
      <c r="F7664">
        <v>2010</v>
      </c>
      <c r="G7664">
        <v>8.7837999999999999E-2</v>
      </c>
    </row>
    <row r="7665" spans="1:7">
      <c r="A7665" t="s">
        <v>1297</v>
      </c>
      <c r="B7665" t="s">
        <v>1298</v>
      </c>
      <c r="C7665" t="s">
        <v>664</v>
      </c>
      <c r="D7665" t="s">
        <v>1386</v>
      </c>
      <c r="E7665" t="s">
        <v>187</v>
      </c>
      <c r="F7665">
        <v>2012</v>
      </c>
      <c r="G7665">
        <v>0.17286799999999999</v>
      </c>
    </row>
    <row r="7666" spans="1:7">
      <c r="A7666" t="s">
        <v>1297</v>
      </c>
      <c r="B7666" t="s">
        <v>1298</v>
      </c>
      <c r="C7666" t="s">
        <v>664</v>
      </c>
      <c r="D7666" t="s">
        <v>1386</v>
      </c>
      <c r="E7666" t="s">
        <v>187</v>
      </c>
      <c r="F7666">
        <v>2016</v>
      </c>
      <c r="G7666">
        <v>0.88868899999999995</v>
      </c>
    </row>
    <row r="7667" spans="1:7">
      <c r="A7667" t="s">
        <v>1297</v>
      </c>
      <c r="B7667" t="s">
        <v>1298</v>
      </c>
      <c r="C7667" t="s">
        <v>664</v>
      </c>
      <c r="D7667" t="s">
        <v>1386</v>
      </c>
      <c r="E7667" t="s">
        <v>187</v>
      </c>
      <c r="F7667">
        <v>2020</v>
      </c>
      <c r="G7667">
        <v>0.71078200000000002</v>
      </c>
    </row>
    <row r="7668" spans="1:7">
      <c r="A7668" t="s">
        <v>1297</v>
      </c>
      <c r="B7668" t="s">
        <v>1298</v>
      </c>
      <c r="C7668" t="s">
        <v>666</v>
      </c>
      <c r="D7668" t="s">
        <v>1386</v>
      </c>
      <c r="E7668" t="s">
        <v>187</v>
      </c>
      <c r="F7668">
        <v>2005</v>
      </c>
      <c r="G7668">
        <v>0.6462</v>
      </c>
    </row>
    <row r="7669" spans="1:7">
      <c r="A7669" t="s">
        <v>1297</v>
      </c>
      <c r="B7669" t="s">
        <v>1298</v>
      </c>
      <c r="C7669" t="s">
        <v>666</v>
      </c>
      <c r="D7669" t="s">
        <v>1386</v>
      </c>
      <c r="E7669" t="s">
        <v>187</v>
      </c>
      <c r="F7669">
        <v>2010</v>
      </c>
      <c r="G7669">
        <v>1.0386</v>
      </c>
    </row>
    <row r="7670" spans="1:7">
      <c r="A7670" t="s">
        <v>1297</v>
      </c>
      <c r="B7670" t="s">
        <v>1298</v>
      </c>
      <c r="C7670" t="s">
        <v>666</v>
      </c>
      <c r="D7670" t="s">
        <v>1386</v>
      </c>
      <c r="E7670" t="s">
        <v>187</v>
      </c>
      <c r="F7670">
        <v>2012</v>
      </c>
      <c r="G7670">
        <v>1.3292999999999999</v>
      </c>
    </row>
    <row r="7671" spans="1:7">
      <c r="A7671" t="s">
        <v>1297</v>
      </c>
      <c r="B7671" t="s">
        <v>1298</v>
      </c>
      <c r="C7671" t="s">
        <v>666</v>
      </c>
      <c r="D7671" t="s">
        <v>1386</v>
      </c>
      <c r="E7671" t="s">
        <v>187</v>
      </c>
      <c r="F7671">
        <v>2016</v>
      </c>
      <c r="G7671">
        <v>1.3031999999999999</v>
      </c>
    </row>
    <row r="7672" spans="1:7">
      <c r="A7672" t="s">
        <v>1297</v>
      </c>
      <c r="B7672" t="s">
        <v>1298</v>
      </c>
      <c r="C7672" t="s">
        <v>666</v>
      </c>
      <c r="D7672" t="s">
        <v>1386</v>
      </c>
      <c r="E7672" t="s">
        <v>187</v>
      </c>
      <c r="F7672">
        <v>2020</v>
      </c>
      <c r="G7672">
        <v>1.106122</v>
      </c>
    </row>
    <row r="7673" spans="1:7">
      <c r="A7673" t="s">
        <v>1297</v>
      </c>
      <c r="B7673" t="s">
        <v>1298</v>
      </c>
      <c r="C7673" t="s">
        <v>658</v>
      </c>
      <c r="D7673" t="s">
        <v>1386</v>
      </c>
      <c r="E7673" t="s">
        <v>187</v>
      </c>
      <c r="F7673">
        <v>2010</v>
      </c>
      <c r="G7673">
        <v>1.8E-3</v>
      </c>
    </row>
    <row r="7674" spans="1:7">
      <c r="A7674" t="s">
        <v>1297</v>
      </c>
      <c r="B7674" t="s">
        <v>1298</v>
      </c>
      <c r="C7674" t="s">
        <v>658</v>
      </c>
      <c r="D7674" t="s">
        <v>1386</v>
      </c>
      <c r="E7674" t="s">
        <v>187</v>
      </c>
      <c r="F7674">
        <v>2012</v>
      </c>
      <c r="G7674">
        <v>2.2499999999999999E-2</v>
      </c>
    </row>
    <row r="7675" spans="1:7">
      <c r="A7675" t="s">
        <v>1297</v>
      </c>
      <c r="B7675" t="s">
        <v>1298</v>
      </c>
      <c r="C7675" t="s">
        <v>658</v>
      </c>
      <c r="D7675" t="s">
        <v>1386</v>
      </c>
      <c r="E7675" t="s">
        <v>187</v>
      </c>
      <c r="F7675">
        <v>2016</v>
      </c>
      <c r="G7675">
        <v>0.17280000000000001</v>
      </c>
    </row>
    <row r="7676" spans="1:7">
      <c r="A7676" t="s">
        <v>1297</v>
      </c>
      <c r="B7676" t="s">
        <v>1298</v>
      </c>
      <c r="C7676" t="s">
        <v>658</v>
      </c>
      <c r="D7676" t="s">
        <v>1386</v>
      </c>
      <c r="E7676" t="s">
        <v>187</v>
      </c>
      <c r="F7676">
        <v>2020</v>
      </c>
      <c r="G7676">
        <v>0.26820300000000002</v>
      </c>
    </row>
    <row r="7677" spans="1:7">
      <c r="A7677" t="s">
        <v>1297</v>
      </c>
      <c r="B7677" t="s">
        <v>1298</v>
      </c>
      <c r="C7677" t="s">
        <v>676</v>
      </c>
      <c r="D7677" t="s">
        <v>1386</v>
      </c>
      <c r="E7677" t="s">
        <v>187</v>
      </c>
      <c r="F7677">
        <v>2005</v>
      </c>
      <c r="G7677">
        <v>25.136099999999999</v>
      </c>
    </row>
    <row r="7678" spans="1:7">
      <c r="A7678" t="s">
        <v>1297</v>
      </c>
      <c r="B7678" t="s">
        <v>1298</v>
      </c>
      <c r="C7678" t="s">
        <v>676</v>
      </c>
      <c r="D7678" t="s">
        <v>1386</v>
      </c>
      <c r="E7678" t="s">
        <v>187</v>
      </c>
      <c r="F7678">
        <v>2010</v>
      </c>
      <c r="G7678">
        <v>16.599599999999999</v>
      </c>
    </row>
    <row r="7679" spans="1:7">
      <c r="A7679" t="s">
        <v>1297</v>
      </c>
      <c r="B7679" t="s">
        <v>1298</v>
      </c>
      <c r="C7679" t="s">
        <v>676</v>
      </c>
      <c r="D7679" t="s">
        <v>1386</v>
      </c>
      <c r="E7679" t="s">
        <v>187</v>
      </c>
      <c r="F7679">
        <v>2012</v>
      </c>
      <c r="G7679">
        <v>8.4185999999999996</v>
      </c>
    </row>
    <row r="7680" spans="1:7">
      <c r="A7680" t="s">
        <v>1297</v>
      </c>
      <c r="B7680" t="s">
        <v>1298</v>
      </c>
      <c r="C7680" t="s">
        <v>676</v>
      </c>
      <c r="D7680" t="s">
        <v>1386</v>
      </c>
      <c r="E7680" t="s">
        <v>187</v>
      </c>
      <c r="F7680">
        <v>2016</v>
      </c>
      <c r="G7680">
        <v>5.9318999999999997</v>
      </c>
    </row>
    <row r="7681" spans="1:7">
      <c r="A7681" t="s">
        <v>1297</v>
      </c>
      <c r="B7681" t="s">
        <v>1298</v>
      </c>
      <c r="C7681" t="s">
        <v>676</v>
      </c>
      <c r="D7681" t="s">
        <v>1386</v>
      </c>
      <c r="E7681" t="s">
        <v>187</v>
      </c>
      <c r="F7681">
        <v>2020</v>
      </c>
      <c r="G7681">
        <v>7.7328669999999997</v>
      </c>
    </row>
    <row r="7682" spans="1:7">
      <c r="A7682" t="s">
        <v>1297</v>
      </c>
      <c r="B7682" t="s">
        <v>1298</v>
      </c>
      <c r="C7682" t="s">
        <v>660</v>
      </c>
      <c r="D7682" t="s">
        <v>1386</v>
      </c>
      <c r="E7682" t="s">
        <v>187</v>
      </c>
      <c r="F7682">
        <v>2005</v>
      </c>
      <c r="G7682">
        <v>0.86399999999999999</v>
      </c>
    </row>
    <row r="7683" spans="1:7">
      <c r="A7683" t="s">
        <v>1297</v>
      </c>
      <c r="B7683" t="s">
        <v>1298</v>
      </c>
      <c r="C7683" t="s">
        <v>676</v>
      </c>
      <c r="D7683" t="s">
        <v>1387</v>
      </c>
      <c r="E7683" t="s">
        <v>187</v>
      </c>
      <c r="F7683">
        <v>2005</v>
      </c>
      <c r="G7683">
        <v>7.8624000000000001</v>
      </c>
    </row>
    <row r="7684" spans="1:7">
      <c r="A7684" t="s">
        <v>1297</v>
      </c>
      <c r="B7684" t="s">
        <v>1298</v>
      </c>
      <c r="C7684" t="s">
        <v>676</v>
      </c>
      <c r="D7684" t="s">
        <v>1387</v>
      </c>
      <c r="E7684" t="s">
        <v>187</v>
      </c>
      <c r="F7684">
        <v>2010</v>
      </c>
      <c r="G7684">
        <v>7.9416000000000002</v>
      </c>
    </row>
    <row r="7685" spans="1:7">
      <c r="A7685" t="s">
        <v>1297</v>
      </c>
      <c r="B7685" t="s">
        <v>1298</v>
      </c>
      <c r="C7685" t="s">
        <v>676</v>
      </c>
      <c r="D7685" t="s">
        <v>1387</v>
      </c>
      <c r="E7685" t="s">
        <v>187</v>
      </c>
      <c r="F7685">
        <v>2012</v>
      </c>
      <c r="G7685">
        <v>10.270799999999999</v>
      </c>
    </row>
    <row r="7686" spans="1:7">
      <c r="A7686" t="s">
        <v>1297</v>
      </c>
      <c r="B7686" t="s">
        <v>1298</v>
      </c>
      <c r="C7686" t="s">
        <v>676</v>
      </c>
      <c r="D7686" t="s">
        <v>1387</v>
      </c>
      <c r="E7686" t="s">
        <v>187</v>
      </c>
      <c r="F7686">
        <v>2016</v>
      </c>
      <c r="G7686">
        <v>5.4863999999999997</v>
      </c>
    </row>
    <row r="7687" spans="1:7">
      <c r="A7687" t="s">
        <v>1297</v>
      </c>
      <c r="B7687" t="s">
        <v>1298</v>
      </c>
      <c r="C7687" t="s">
        <v>676</v>
      </c>
      <c r="D7687" t="s">
        <v>1387</v>
      </c>
      <c r="E7687" t="s">
        <v>187</v>
      </c>
      <c r="F7687">
        <v>2020</v>
      </c>
      <c r="G7687">
        <v>11.052</v>
      </c>
    </row>
    <row r="7688" spans="1:7">
      <c r="A7688" t="s">
        <v>1297</v>
      </c>
      <c r="B7688" t="s">
        <v>1298</v>
      </c>
      <c r="C7688" t="s">
        <v>661</v>
      </c>
      <c r="D7688" t="s">
        <v>1387</v>
      </c>
      <c r="E7688" t="s">
        <v>187</v>
      </c>
      <c r="F7688">
        <v>2005</v>
      </c>
      <c r="G7688">
        <v>83.048400000000001</v>
      </c>
    </row>
    <row r="7689" spans="1:7">
      <c r="A7689" t="s">
        <v>1297</v>
      </c>
      <c r="B7689" t="s">
        <v>1298</v>
      </c>
      <c r="C7689" t="s">
        <v>661</v>
      </c>
      <c r="D7689" t="s">
        <v>1387</v>
      </c>
      <c r="E7689" t="s">
        <v>187</v>
      </c>
      <c r="F7689">
        <v>2010</v>
      </c>
      <c r="G7689">
        <v>85.528800000000004</v>
      </c>
    </row>
    <row r="7690" spans="1:7">
      <c r="A7690" t="s">
        <v>1297</v>
      </c>
      <c r="B7690" t="s">
        <v>1298</v>
      </c>
      <c r="C7690" t="s">
        <v>661</v>
      </c>
      <c r="D7690" t="s">
        <v>1387</v>
      </c>
      <c r="E7690" t="s">
        <v>187</v>
      </c>
      <c r="F7690">
        <v>2012</v>
      </c>
      <c r="G7690">
        <v>81.911714000000003</v>
      </c>
    </row>
    <row r="7691" spans="1:7">
      <c r="A7691" t="s">
        <v>1297</v>
      </c>
      <c r="B7691" t="s">
        <v>1298</v>
      </c>
      <c r="C7691" t="s">
        <v>661</v>
      </c>
      <c r="D7691" t="s">
        <v>1387</v>
      </c>
      <c r="E7691" t="s">
        <v>187</v>
      </c>
      <c r="F7691">
        <v>2016</v>
      </c>
      <c r="G7691">
        <v>125.88151000000001</v>
      </c>
    </row>
    <row r="7692" spans="1:7">
      <c r="A7692" t="s">
        <v>1297</v>
      </c>
      <c r="B7692" t="s">
        <v>1298</v>
      </c>
      <c r="C7692" t="s">
        <v>661</v>
      </c>
      <c r="D7692" t="s">
        <v>1387</v>
      </c>
      <c r="E7692" t="s">
        <v>187</v>
      </c>
      <c r="F7692">
        <v>2020</v>
      </c>
      <c r="G7692">
        <v>141.52891700000001</v>
      </c>
    </row>
    <row r="7693" spans="1:7">
      <c r="A7693" t="s">
        <v>1297</v>
      </c>
      <c r="B7693" t="s">
        <v>1298</v>
      </c>
      <c r="C7693" t="s">
        <v>674</v>
      </c>
      <c r="D7693" t="s">
        <v>1387</v>
      </c>
      <c r="E7693" t="s">
        <v>187</v>
      </c>
      <c r="F7693">
        <v>2005</v>
      </c>
      <c r="G7693">
        <v>2.1059999999999999</v>
      </c>
    </row>
    <row r="7694" spans="1:7">
      <c r="A7694" t="s">
        <v>1297</v>
      </c>
      <c r="B7694" t="s">
        <v>1298</v>
      </c>
      <c r="C7694" t="s">
        <v>674</v>
      </c>
      <c r="D7694" t="s">
        <v>1387</v>
      </c>
      <c r="E7694" t="s">
        <v>187</v>
      </c>
      <c r="F7694">
        <v>2010</v>
      </c>
      <c r="G7694">
        <v>10.357200000000001</v>
      </c>
    </row>
    <row r="7695" spans="1:7">
      <c r="A7695" t="s">
        <v>1297</v>
      </c>
      <c r="B7695" t="s">
        <v>1298</v>
      </c>
      <c r="C7695" t="s">
        <v>674</v>
      </c>
      <c r="D7695" t="s">
        <v>1387</v>
      </c>
      <c r="E7695" t="s">
        <v>187</v>
      </c>
      <c r="F7695">
        <v>2012</v>
      </c>
      <c r="G7695">
        <v>3.2111999999999998</v>
      </c>
    </row>
    <row r="7696" spans="1:7">
      <c r="A7696" t="s">
        <v>1297</v>
      </c>
      <c r="B7696" t="s">
        <v>1298</v>
      </c>
      <c r="C7696" t="s">
        <v>674</v>
      </c>
      <c r="D7696" t="s">
        <v>1387</v>
      </c>
      <c r="E7696" t="s">
        <v>187</v>
      </c>
      <c r="F7696">
        <v>2016</v>
      </c>
      <c r="G7696">
        <v>2.2427999999999999</v>
      </c>
    </row>
    <row r="7697" spans="1:7">
      <c r="A7697" t="s">
        <v>1297</v>
      </c>
      <c r="B7697" t="s">
        <v>1298</v>
      </c>
      <c r="C7697" t="s">
        <v>674</v>
      </c>
      <c r="D7697" t="s">
        <v>1387</v>
      </c>
      <c r="E7697" t="s">
        <v>187</v>
      </c>
      <c r="F7697">
        <v>2020</v>
      </c>
      <c r="G7697">
        <v>1.0224</v>
      </c>
    </row>
    <row r="7698" spans="1:7">
      <c r="A7698" t="s">
        <v>1297</v>
      </c>
      <c r="B7698" t="s">
        <v>1298</v>
      </c>
      <c r="C7698" t="s">
        <v>1303</v>
      </c>
      <c r="D7698" t="s">
        <v>1387</v>
      </c>
      <c r="E7698" t="s">
        <v>187</v>
      </c>
      <c r="F7698">
        <v>2016</v>
      </c>
      <c r="G7698">
        <v>7.992</v>
      </c>
    </row>
    <row r="7699" spans="1:7">
      <c r="A7699" t="s">
        <v>1297</v>
      </c>
      <c r="B7699" t="s">
        <v>1298</v>
      </c>
      <c r="C7699" t="s">
        <v>1303</v>
      </c>
      <c r="D7699" t="s">
        <v>1387</v>
      </c>
      <c r="E7699" t="s">
        <v>187</v>
      </c>
      <c r="F7699">
        <v>2020</v>
      </c>
      <c r="G7699">
        <v>10.225462</v>
      </c>
    </row>
    <row r="7700" spans="1:7">
      <c r="A7700" t="s">
        <v>1297</v>
      </c>
      <c r="B7700" t="s">
        <v>1298</v>
      </c>
      <c r="C7700" t="s">
        <v>656</v>
      </c>
      <c r="D7700" t="s">
        <v>1387</v>
      </c>
      <c r="E7700" t="s">
        <v>187</v>
      </c>
      <c r="F7700">
        <v>2005</v>
      </c>
      <c r="G7700">
        <v>266.25599999999997</v>
      </c>
    </row>
    <row r="7701" spans="1:7">
      <c r="A7701" t="s">
        <v>1297</v>
      </c>
      <c r="B7701" t="s">
        <v>1298</v>
      </c>
      <c r="C7701" t="s">
        <v>656</v>
      </c>
      <c r="D7701" t="s">
        <v>1387</v>
      </c>
      <c r="E7701" t="s">
        <v>187</v>
      </c>
      <c r="F7701">
        <v>2010</v>
      </c>
      <c r="G7701">
        <v>325.2672</v>
      </c>
    </row>
    <row r="7702" spans="1:7">
      <c r="A7702" t="s">
        <v>1297</v>
      </c>
      <c r="B7702" t="s">
        <v>1298</v>
      </c>
      <c r="C7702" t="s">
        <v>656</v>
      </c>
      <c r="D7702" t="s">
        <v>1387</v>
      </c>
      <c r="E7702" t="s">
        <v>187</v>
      </c>
      <c r="F7702">
        <v>2012</v>
      </c>
      <c r="G7702">
        <v>279.37079999999997</v>
      </c>
    </row>
    <row r="7703" spans="1:7">
      <c r="A7703" t="s">
        <v>1297</v>
      </c>
      <c r="B7703" t="s">
        <v>1298</v>
      </c>
      <c r="C7703" t="s">
        <v>656</v>
      </c>
      <c r="D7703" t="s">
        <v>1387</v>
      </c>
      <c r="E7703" t="s">
        <v>187</v>
      </c>
      <c r="F7703">
        <v>2016</v>
      </c>
      <c r="G7703">
        <v>296.25839999999999</v>
      </c>
    </row>
    <row r="7704" spans="1:7">
      <c r="A7704" t="s">
        <v>1297</v>
      </c>
      <c r="B7704" t="s">
        <v>1298</v>
      </c>
      <c r="C7704" t="s">
        <v>656</v>
      </c>
      <c r="D7704" t="s">
        <v>1387</v>
      </c>
      <c r="E7704" t="s">
        <v>187</v>
      </c>
      <c r="F7704">
        <v>2020</v>
      </c>
      <c r="G7704">
        <v>326.87279999999998</v>
      </c>
    </row>
    <row r="7705" spans="1:7">
      <c r="A7705" t="s">
        <v>1297</v>
      </c>
      <c r="B7705" t="s">
        <v>1298</v>
      </c>
      <c r="C7705" t="s">
        <v>655</v>
      </c>
      <c r="D7705" t="s">
        <v>1387</v>
      </c>
      <c r="E7705" t="s">
        <v>187</v>
      </c>
      <c r="F7705">
        <v>2005</v>
      </c>
      <c r="G7705">
        <v>5.2919999999999998</v>
      </c>
    </row>
    <row r="7706" spans="1:7">
      <c r="A7706" t="s">
        <v>1297</v>
      </c>
      <c r="B7706" t="s">
        <v>1298</v>
      </c>
      <c r="C7706" t="s">
        <v>655</v>
      </c>
      <c r="D7706" t="s">
        <v>1387</v>
      </c>
      <c r="E7706" t="s">
        <v>187</v>
      </c>
      <c r="F7706">
        <v>2010</v>
      </c>
      <c r="G7706">
        <v>4.9032</v>
      </c>
    </row>
    <row r="7707" spans="1:7">
      <c r="A7707" t="s">
        <v>1297</v>
      </c>
      <c r="B7707" t="s">
        <v>1298</v>
      </c>
      <c r="C7707" t="s">
        <v>655</v>
      </c>
      <c r="D7707" t="s">
        <v>1387</v>
      </c>
      <c r="E7707" t="s">
        <v>187</v>
      </c>
      <c r="F7707">
        <v>2012</v>
      </c>
      <c r="G7707">
        <v>5.3243999999999998</v>
      </c>
    </row>
    <row r="7708" spans="1:7">
      <c r="A7708" t="s">
        <v>1297</v>
      </c>
      <c r="B7708" t="s">
        <v>1298</v>
      </c>
      <c r="C7708" t="s">
        <v>655</v>
      </c>
      <c r="D7708" t="s">
        <v>1387</v>
      </c>
      <c r="E7708" t="s">
        <v>187</v>
      </c>
      <c r="F7708">
        <v>2016</v>
      </c>
      <c r="G7708">
        <v>13.356</v>
      </c>
    </row>
    <row r="7709" spans="1:7">
      <c r="A7709" t="s">
        <v>1297</v>
      </c>
      <c r="B7709" t="s">
        <v>1298</v>
      </c>
      <c r="C7709" t="s">
        <v>655</v>
      </c>
      <c r="D7709" t="s">
        <v>1387</v>
      </c>
      <c r="E7709" t="s">
        <v>187</v>
      </c>
      <c r="F7709">
        <v>2020</v>
      </c>
      <c r="G7709">
        <v>20.846195999999999</v>
      </c>
    </row>
    <row r="7710" spans="1:7">
      <c r="A7710" t="s">
        <v>1297</v>
      </c>
      <c r="B7710" t="s">
        <v>1298</v>
      </c>
      <c r="C7710" t="s">
        <v>1301</v>
      </c>
      <c r="D7710" t="s">
        <v>1387</v>
      </c>
      <c r="E7710" t="s">
        <v>187</v>
      </c>
      <c r="F7710">
        <v>2005</v>
      </c>
      <c r="G7710">
        <v>264.40199999999999</v>
      </c>
    </row>
    <row r="7711" spans="1:7">
      <c r="A7711" t="s">
        <v>1297</v>
      </c>
      <c r="B7711" t="s">
        <v>1298</v>
      </c>
      <c r="C7711" t="s">
        <v>1301</v>
      </c>
      <c r="D7711" t="s">
        <v>1387</v>
      </c>
      <c r="E7711" t="s">
        <v>187</v>
      </c>
      <c r="F7711">
        <v>2010</v>
      </c>
      <c r="G7711">
        <v>353.3184</v>
      </c>
    </row>
    <row r="7712" spans="1:7">
      <c r="A7712" t="s">
        <v>1297</v>
      </c>
      <c r="B7712" t="s">
        <v>1298</v>
      </c>
      <c r="C7712" t="s">
        <v>1301</v>
      </c>
      <c r="D7712" t="s">
        <v>1387</v>
      </c>
      <c r="E7712" t="s">
        <v>187</v>
      </c>
      <c r="F7712">
        <v>2012</v>
      </c>
      <c r="G7712">
        <v>376.19639999999998</v>
      </c>
    </row>
    <row r="7713" spans="1:7">
      <c r="A7713" t="s">
        <v>1297</v>
      </c>
      <c r="B7713" t="s">
        <v>1298</v>
      </c>
      <c r="C7713" t="s">
        <v>1301</v>
      </c>
      <c r="D7713" t="s">
        <v>1387</v>
      </c>
      <c r="E7713" t="s">
        <v>187</v>
      </c>
      <c r="F7713">
        <v>2016</v>
      </c>
      <c r="G7713">
        <v>321.21719999999999</v>
      </c>
    </row>
    <row r="7714" spans="1:7">
      <c r="A7714" t="s">
        <v>1297</v>
      </c>
      <c r="B7714" t="s">
        <v>1298</v>
      </c>
      <c r="C7714" t="s">
        <v>1301</v>
      </c>
      <c r="D7714" t="s">
        <v>1387</v>
      </c>
      <c r="E7714" t="s">
        <v>187</v>
      </c>
      <c r="F7714">
        <v>2020</v>
      </c>
      <c r="G7714">
        <v>206.23752400000001</v>
      </c>
    </row>
    <row r="7715" spans="1:7">
      <c r="A7715" t="s">
        <v>1297</v>
      </c>
      <c r="B7715" t="s">
        <v>1298</v>
      </c>
      <c r="C7715" t="s">
        <v>682</v>
      </c>
      <c r="D7715" t="s">
        <v>1387</v>
      </c>
      <c r="E7715" t="s">
        <v>187</v>
      </c>
      <c r="F7715">
        <v>2016</v>
      </c>
      <c r="G7715">
        <v>7.9200000000000007E-2</v>
      </c>
    </row>
    <row r="7716" spans="1:7">
      <c r="A7716" t="s">
        <v>1297</v>
      </c>
      <c r="B7716" t="s">
        <v>1298</v>
      </c>
      <c r="C7716" t="s">
        <v>682</v>
      </c>
      <c r="D7716" t="s">
        <v>1387</v>
      </c>
      <c r="E7716" t="s">
        <v>187</v>
      </c>
      <c r="F7716">
        <v>2020</v>
      </c>
      <c r="G7716">
        <v>7.1999999999999995E-2</v>
      </c>
    </row>
    <row r="7717" spans="1:7">
      <c r="A7717" t="s">
        <v>1297</v>
      </c>
      <c r="B7717" t="s">
        <v>1298</v>
      </c>
      <c r="C7717" t="s">
        <v>660</v>
      </c>
      <c r="D7717" t="s">
        <v>1387</v>
      </c>
      <c r="E7717" t="s">
        <v>187</v>
      </c>
      <c r="F7717">
        <v>2005</v>
      </c>
      <c r="G7717">
        <v>40.431600000000003</v>
      </c>
    </row>
    <row r="7718" spans="1:7">
      <c r="A7718" t="s">
        <v>1297</v>
      </c>
      <c r="B7718" t="s">
        <v>1298</v>
      </c>
      <c r="C7718" t="s">
        <v>660</v>
      </c>
      <c r="D7718" t="s">
        <v>1387</v>
      </c>
      <c r="E7718" t="s">
        <v>187</v>
      </c>
      <c r="F7718">
        <v>2010</v>
      </c>
      <c r="G7718">
        <v>40.532400000000003</v>
      </c>
    </row>
    <row r="7719" spans="1:7">
      <c r="A7719" t="s">
        <v>1297</v>
      </c>
      <c r="B7719" t="s">
        <v>1298</v>
      </c>
      <c r="C7719" t="s">
        <v>660</v>
      </c>
      <c r="D7719" t="s">
        <v>1387</v>
      </c>
      <c r="E7719" t="s">
        <v>187</v>
      </c>
      <c r="F7719">
        <v>2012</v>
      </c>
      <c r="G7719">
        <v>24.2136</v>
      </c>
    </row>
    <row r="7720" spans="1:7">
      <c r="A7720" t="s">
        <v>1297</v>
      </c>
      <c r="B7720" t="s">
        <v>1298</v>
      </c>
      <c r="C7720" t="s">
        <v>660</v>
      </c>
      <c r="D7720" t="s">
        <v>1387</v>
      </c>
      <c r="E7720" t="s">
        <v>187</v>
      </c>
      <c r="F7720">
        <v>2016</v>
      </c>
      <c r="G7720">
        <v>13.456799999999999</v>
      </c>
    </row>
    <row r="7721" spans="1:7">
      <c r="A7721" t="s">
        <v>1297</v>
      </c>
      <c r="B7721" t="s">
        <v>1298</v>
      </c>
      <c r="C7721" t="s">
        <v>660</v>
      </c>
      <c r="D7721" t="s">
        <v>1387</v>
      </c>
      <c r="E7721" t="s">
        <v>187</v>
      </c>
      <c r="F7721">
        <v>2020</v>
      </c>
      <c r="G7721">
        <v>13.8636</v>
      </c>
    </row>
    <row r="7722" spans="1:7">
      <c r="A7722" t="s">
        <v>1297</v>
      </c>
      <c r="B7722" t="s">
        <v>1298</v>
      </c>
      <c r="C7722" t="s">
        <v>671</v>
      </c>
      <c r="D7722" t="s">
        <v>1387</v>
      </c>
      <c r="E7722" t="s">
        <v>187</v>
      </c>
      <c r="F7722">
        <v>2005</v>
      </c>
      <c r="G7722">
        <v>18.594000000000001</v>
      </c>
    </row>
    <row r="7723" spans="1:7">
      <c r="A7723" t="s">
        <v>1297</v>
      </c>
      <c r="B7723" t="s">
        <v>1298</v>
      </c>
      <c r="C7723" t="s">
        <v>671</v>
      </c>
      <c r="D7723" t="s">
        <v>1387</v>
      </c>
      <c r="E7723" t="s">
        <v>187</v>
      </c>
      <c r="F7723">
        <v>2010</v>
      </c>
      <c r="G7723">
        <v>17.2728</v>
      </c>
    </row>
    <row r="7724" spans="1:7">
      <c r="A7724" t="s">
        <v>1297</v>
      </c>
      <c r="B7724" t="s">
        <v>1298</v>
      </c>
      <c r="C7724" t="s">
        <v>671</v>
      </c>
      <c r="D7724" t="s">
        <v>1387</v>
      </c>
      <c r="E7724" t="s">
        <v>187</v>
      </c>
      <c r="F7724">
        <v>2012</v>
      </c>
      <c r="G7724">
        <v>22.536000000000001</v>
      </c>
    </row>
    <row r="7725" spans="1:7">
      <c r="A7725" t="s">
        <v>1297</v>
      </c>
      <c r="B7725" t="s">
        <v>1298</v>
      </c>
      <c r="C7725" t="s">
        <v>671</v>
      </c>
      <c r="D7725" t="s">
        <v>1387</v>
      </c>
      <c r="E7725" t="s">
        <v>187</v>
      </c>
      <c r="F7725">
        <v>2016</v>
      </c>
      <c r="G7725">
        <v>28.191600000000001</v>
      </c>
    </row>
    <row r="7726" spans="1:7">
      <c r="A7726" t="s">
        <v>1297</v>
      </c>
      <c r="B7726" t="s">
        <v>1298</v>
      </c>
      <c r="C7726" t="s">
        <v>671</v>
      </c>
      <c r="D7726" t="s">
        <v>1387</v>
      </c>
      <c r="E7726" t="s">
        <v>187</v>
      </c>
      <c r="F7726">
        <v>2020</v>
      </c>
      <c r="G7726">
        <v>53.270622000000003</v>
      </c>
    </row>
    <row r="7727" spans="1:7">
      <c r="A7727" t="s">
        <v>1297</v>
      </c>
      <c r="B7727" t="s">
        <v>1298</v>
      </c>
      <c r="C7727" t="s">
        <v>672</v>
      </c>
      <c r="D7727" t="s">
        <v>1387</v>
      </c>
      <c r="E7727" t="s">
        <v>187</v>
      </c>
      <c r="F7727">
        <v>2005</v>
      </c>
      <c r="G7727">
        <v>48.9816</v>
      </c>
    </row>
    <row r="7728" spans="1:7">
      <c r="A7728" t="s">
        <v>1297</v>
      </c>
      <c r="B7728" t="s">
        <v>1298</v>
      </c>
      <c r="C7728" t="s">
        <v>672</v>
      </c>
      <c r="D7728" t="s">
        <v>1387</v>
      </c>
      <c r="E7728" t="s">
        <v>187</v>
      </c>
      <c r="F7728">
        <v>2010</v>
      </c>
      <c r="G7728">
        <v>53.64</v>
      </c>
    </row>
    <row r="7729" spans="1:7">
      <c r="A7729" t="s">
        <v>1297</v>
      </c>
      <c r="B7729" t="s">
        <v>1298</v>
      </c>
      <c r="C7729" t="s">
        <v>672</v>
      </c>
      <c r="D7729" t="s">
        <v>1387</v>
      </c>
      <c r="E7729" t="s">
        <v>187</v>
      </c>
      <c r="F7729">
        <v>2012</v>
      </c>
      <c r="G7729">
        <v>38.411999999999999</v>
      </c>
    </row>
    <row r="7730" spans="1:7">
      <c r="A7730" t="s">
        <v>1297</v>
      </c>
      <c r="B7730" t="s">
        <v>1298</v>
      </c>
      <c r="C7730" t="s">
        <v>672</v>
      </c>
      <c r="D7730" t="s">
        <v>1387</v>
      </c>
      <c r="E7730" t="s">
        <v>187</v>
      </c>
      <c r="F7730">
        <v>2016</v>
      </c>
      <c r="G7730">
        <v>45.295200000000001</v>
      </c>
    </row>
    <row r="7731" spans="1:7">
      <c r="A7731" t="s">
        <v>1297</v>
      </c>
      <c r="B7731" t="s">
        <v>1298</v>
      </c>
      <c r="C7731" t="s">
        <v>672</v>
      </c>
      <c r="D7731" t="s">
        <v>1387</v>
      </c>
      <c r="E7731" t="s">
        <v>187</v>
      </c>
      <c r="F7731">
        <v>2020</v>
      </c>
      <c r="G7731">
        <v>62.148431000000002</v>
      </c>
    </row>
    <row r="7732" spans="1:7">
      <c r="A7732" t="s">
        <v>1297</v>
      </c>
      <c r="B7732" t="s">
        <v>1298</v>
      </c>
      <c r="C7732" t="s">
        <v>686</v>
      </c>
      <c r="D7732" t="s">
        <v>1387</v>
      </c>
      <c r="E7732" t="s">
        <v>187</v>
      </c>
      <c r="F7732">
        <v>2005</v>
      </c>
      <c r="G7732">
        <v>1.1412</v>
      </c>
    </row>
    <row r="7733" spans="1:7">
      <c r="A7733" t="s">
        <v>1297</v>
      </c>
      <c r="B7733" t="s">
        <v>1298</v>
      </c>
      <c r="C7733" t="s">
        <v>686</v>
      </c>
      <c r="D7733" t="s">
        <v>1387</v>
      </c>
      <c r="E7733" t="s">
        <v>187</v>
      </c>
      <c r="F7733">
        <v>2010</v>
      </c>
      <c r="G7733">
        <v>1.1772</v>
      </c>
    </row>
    <row r="7734" spans="1:7">
      <c r="A7734" t="s">
        <v>1297</v>
      </c>
      <c r="B7734" t="s">
        <v>1298</v>
      </c>
      <c r="C7734" t="s">
        <v>686</v>
      </c>
      <c r="D7734" t="s">
        <v>1387</v>
      </c>
      <c r="E7734" t="s">
        <v>187</v>
      </c>
      <c r="F7734">
        <v>2012</v>
      </c>
      <c r="G7734">
        <v>1.7172000000000001</v>
      </c>
    </row>
    <row r="7735" spans="1:7">
      <c r="A7735" t="s">
        <v>1297</v>
      </c>
      <c r="B7735" t="s">
        <v>1298</v>
      </c>
      <c r="C7735" t="s">
        <v>686</v>
      </c>
      <c r="D7735" t="s">
        <v>1387</v>
      </c>
      <c r="E7735" t="s">
        <v>187</v>
      </c>
      <c r="F7735">
        <v>2016</v>
      </c>
      <c r="G7735">
        <v>1.3535999999999999</v>
      </c>
    </row>
    <row r="7736" spans="1:7">
      <c r="A7736" t="s">
        <v>1297</v>
      </c>
      <c r="B7736" t="s">
        <v>1298</v>
      </c>
      <c r="C7736" t="s">
        <v>686</v>
      </c>
      <c r="D7736" t="s">
        <v>1387</v>
      </c>
      <c r="E7736" t="s">
        <v>187</v>
      </c>
      <c r="F7736">
        <v>2020</v>
      </c>
      <c r="G7736">
        <v>2.3949539999999998</v>
      </c>
    </row>
    <row r="7737" spans="1:7">
      <c r="A7737" t="s">
        <v>1297</v>
      </c>
      <c r="B7737" t="s">
        <v>1298</v>
      </c>
      <c r="C7737" t="s">
        <v>657</v>
      </c>
      <c r="D7737" t="s">
        <v>1387</v>
      </c>
      <c r="E7737" t="s">
        <v>187</v>
      </c>
      <c r="F7737">
        <v>2005</v>
      </c>
      <c r="G7737">
        <v>31.608000000000001</v>
      </c>
    </row>
    <row r="7738" spans="1:7">
      <c r="A7738" t="s">
        <v>1297</v>
      </c>
      <c r="B7738" t="s">
        <v>1298</v>
      </c>
      <c r="C7738" t="s">
        <v>657</v>
      </c>
      <c r="D7738" t="s">
        <v>1387</v>
      </c>
      <c r="E7738" t="s">
        <v>187</v>
      </c>
      <c r="F7738">
        <v>2010</v>
      </c>
      <c r="G7738">
        <v>28.461600000000001</v>
      </c>
    </row>
    <row r="7739" spans="1:7">
      <c r="A7739" t="s">
        <v>1297</v>
      </c>
      <c r="B7739" t="s">
        <v>1298</v>
      </c>
      <c r="C7739" t="s">
        <v>657</v>
      </c>
      <c r="D7739" t="s">
        <v>1387</v>
      </c>
      <c r="E7739" t="s">
        <v>187</v>
      </c>
      <c r="F7739">
        <v>2012</v>
      </c>
      <c r="G7739">
        <v>15.091200000000001</v>
      </c>
    </row>
    <row r="7740" spans="1:7">
      <c r="A7740" t="s">
        <v>1297</v>
      </c>
      <c r="B7740" t="s">
        <v>1298</v>
      </c>
      <c r="C7740" t="s">
        <v>657</v>
      </c>
      <c r="D7740" t="s">
        <v>1387</v>
      </c>
      <c r="E7740" t="s">
        <v>187</v>
      </c>
      <c r="F7740">
        <v>2016</v>
      </c>
      <c r="G7740">
        <v>8.1175569999999997</v>
      </c>
    </row>
    <row r="7741" spans="1:7">
      <c r="A7741" t="s">
        <v>1297</v>
      </c>
      <c r="B7741" t="s">
        <v>1298</v>
      </c>
      <c r="C7741" t="s">
        <v>657</v>
      </c>
      <c r="D7741" t="s">
        <v>1387</v>
      </c>
      <c r="E7741" t="s">
        <v>187</v>
      </c>
      <c r="F7741">
        <v>2020</v>
      </c>
      <c r="G7741">
        <v>7.5680959999999997</v>
      </c>
    </row>
    <row r="7742" spans="1:7">
      <c r="A7742" t="s">
        <v>1297</v>
      </c>
      <c r="B7742" t="s">
        <v>1298</v>
      </c>
      <c r="C7742" t="s">
        <v>665</v>
      </c>
      <c r="D7742" t="s">
        <v>1387</v>
      </c>
      <c r="E7742" t="s">
        <v>187</v>
      </c>
      <c r="F7742">
        <v>2005</v>
      </c>
      <c r="G7742">
        <v>537.34320000000002</v>
      </c>
    </row>
    <row r="7743" spans="1:7">
      <c r="A7743" t="s">
        <v>1297</v>
      </c>
      <c r="B7743" t="s">
        <v>1298</v>
      </c>
      <c r="C7743" t="s">
        <v>665</v>
      </c>
      <c r="D7743" t="s">
        <v>1387</v>
      </c>
      <c r="E7743" t="s">
        <v>187</v>
      </c>
      <c r="F7743">
        <v>2010</v>
      </c>
      <c r="G7743">
        <v>549.85680000000002</v>
      </c>
    </row>
    <row r="7744" spans="1:7">
      <c r="A7744" t="s">
        <v>1297</v>
      </c>
      <c r="B7744" t="s">
        <v>1298</v>
      </c>
      <c r="C7744" t="s">
        <v>665</v>
      </c>
      <c r="D7744" t="s">
        <v>1387</v>
      </c>
      <c r="E7744" t="s">
        <v>187</v>
      </c>
      <c r="F7744">
        <v>2012</v>
      </c>
      <c r="G7744">
        <v>464.60879999999997</v>
      </c>
    </row>
    <row r="7745" spans="1:7">
      <c r="A7745" t="s">
        <v>1297</v>
      </c>
      <c r="B7745" t="s">
        <v>1298</v>
      </c>
      <c r="C7745" t="s">
        <v>665</v>
      </c>
      <c r="D7745" t="s">
        <v>1387</v>
      </c>
      <c r="E7745" t="s">
        <v>187</v>
      </c>
      <c r="F7745">
        <v>2016</v>
      </c>
      <c r="G7745">
        <v>454.13279999999997</v>
      </c>
    </row>
    <row r="7746" spans="1:7">
      <c r="A7746" t="s">
        <v>1297</v>
      </c>
      <c r="B7746" t="s">
        <v>1298</v>
      </c>
      <c r="C7746" t="s">
        <v>665</v>
      </c>
      <c r="D7746" t="s">
        <v>1387</v>
      </c>
      <c r="E7746" t="s">
        <v>187</v>
      </c>
      <c r="F7746">
        <v>2020</v>
      </c>
      <c r="G7746">
        <v>510.07321100000001</v>
      </c>
    </row>
    <row r="7747" spans="1:7">
      <c r="A7747" t="s">
        <v>1297</v>
      </c>
      <c r="B7747" t="s">
        <v>1298</v>
      </c>
      <c r="C7747" t="s">
        <v>670</v>
      </c>
      <c r="D7747" t="s">
        <v>1387</v>
      </c>
      <c r="E7747" t="s">
        <v>187</v>
      </c>
      <c r="F7747">
        <v>2005</v>
      </c>
      <c r="G7747">
        <v>207.35640000000001</v>
      </c>
    </row>
    <row r="7748" spans="1:7">
      <c r="A7748" t="s">
        <v>1297</v>
      </c>
      <c r="B7748" t="s">
        <v>1298</v>
      </c>
      <c r="C7748" t="s">
        <v>670</v>
      </c>
      <c r="D7748" t="s">
        <v>1387</v>
      </c>
      <c r="E7748" t="s">
        <v>187</v>
      </c>
      <c r="F7748">
        <v>2010</v>
      </c>
      <c r="G7748">
        <v>271.19880000000001</v>
      </c>
    </row>
    <row r="7749" spans="1:7">
      <c r="A7749" t="s">
        <v>1297</v>
      </c>
      <c r="B7749" t="s">
        <v>1298</v>
      </c>
      <c r="C7749" t="s">
        <v>670</v>
      </c>
      <c r="D7749" t="s">
        <v>1387</v>
      </c>
      <c r="E7749" t="s">
        <v>187</v>
      </c>
      <c r="F7749">
        <v>2012</v>
      </c>
      <c r="G7749">
        <v>203.63155599999999</v>
      </c>
    </row>
    <row r="7750" spans="1:7">
      <c r="A7750" t="s">
        <v>1297</v>
      </c>
      <c r="B7750" t="s">
        <v>1298</v>
      </c>
      <c r="C7750" t="s">
        <v>670</v>
      </c>
      <c r="D7750" t="s">
        <v>1387</v>
      </c>
      <c r="E7750" t="s">
        <v>187</v>
      </c>
      <c r="F7750">
        <v>2016</v>
      </c>
      <c r="G7750">
        <v>189.38195300000001</v>
      </c>
    </row>
    <row r="7751" spans="1:7">
      <c r="A7751" t="s">
        <v>1297</v>
      </c>
      <c r="B7751" t="s">
        <v>1298</v>
      </c>
      <c r="C7751" t="s">
        <v>670</v>
      </c>
      <c r="D7751" t="s">
        <v>1387</v>
      </c>
      <c r="E7751" t="s">
        <v>187</v>
      </c>
      <c r="F7751">
        <v>2020</v>
      </c>
      <c r="G7751">
        <v>253.74004600000001</v>
      </c>
    </row>
    <row r="7752" spans="1:7">
      <c r="A7752" t="s">
        <v>1297</v>
      </c>
      <c r="B7752" t="s">
        <v>1298</v>
      </c>
      <c r="C7752" t="s">
        <v>653</v>
      </c>
      <c r="D7752" t="s">
        <v>1387</v>
      </c>
      <c r="E7752" t="s">
        <v>187</v>
      </c>
      <c r="F7752">
        <v>2005</v>
      </c>
      <c r="G7752">
        <v>6.2244000000000002</v>
      </c>
    </row>
    <row r="7753" spans="1:7">
      <c r="A7753" t="s">
        <v>1297</v>
      </c>
      <c r="B7753" t="s">
        <v>1298</v>
      </c>
      <c r="C7753" t="s">
        <v>653</v>
      </c>
      <c r="D7753" t="s">
        <v>1387</v>
      </c>
      <c r="E7753" t="s">
        <v>187</v>
      </c>
      <c r="F7753">
        <v>2010</v>
      </c>
      <c r="G7753">
        <v>7.0796450000000002</v>
      </c>
    </row>
    <row r="7754" spans="1:7">
      <c r="A7754" t="s">
        <v>1297</v>
      </c>
      <c r="B7754" t="s">
        <v>1298</v>
      </c>
      <c r="C7754" t="s">
        <v>653</v>
      </c>
      <c r="D7754" t="s">
        <v>1387</v>
      </c>
      <c r="E7754" t="s">
        <v>187</v>
      </c>
      <c r="F7754">
        <v>2012</v>
      </c>
      <c r="G7754">
        <v>8.4816000000000003</v>
      </c>
    </row>
    <row r="7755" spans="1:7">
      <c r="A7755" t="s">
        <v>1297</v>
      </c>
      <c r="B7755" t="s">
        <v>1298</v>
      </c>
      <c r="C7755" t="s">
        <v>653</v>
      </c>
      <c r="D7755" t="s">
        <v>1387</v>
      </c>
      <c r="E7755" t="s">
        <v>187</v>
      </c>
      <c r="F7755">
        <v>2016</v>
      </c>
      <c r="G7755">
        <v>7.3907999999999996</v>
      </c>
    </row>
    <row r="7756" spans="1:7">
      <c r="A7756" t="s">
        <v>1297</v>
      </c>
      <c r="B7756" t="s">
        <v>1298</v>
      </c>
      <c r="C7756" t="s">
        <v>653</v>
      </c>
      <c r="D7756" t="s">
        <v>1387</v>
      </c>
      <c r="E7756" t="s">
        <v>187</v>
      </c>
      <c r="F7756">
        <v>2020</v>
      </c>
      <c r="G7756">
        <v>7.7253910000000001</v>
      </c>
    </row>
    <row r="7757" spans="1:7">
      <c r="A7757" t="s">
        <v>1297</v>
      </c>
      <c r="B7757" t="s">
        <v>1298</v>
      </c>
      <c r="C7757" t="s">
        <v>666</v>
      </c>
      <c r="D7757" t="s">
        <v>1387</v>
      </c>
      <c r="E7757" t="s">
        <v>187</v>
      </c>
      <c r="F7757">
        <v>2005</v>
      </c>
      <c r="G7757">
        <v>10.8612</v>
      </c>
    </row>
    <row r="7758" spans="1:7">
      <c r="A7758" t="s">
        <v>1297</v>
      </c>
      <c r="B7758" t="s">
        <v>1298</v>
      </c>
      <c r="C7758" t="s">
        <v>666</v>
      </c>
      <c r="D7758" t="s">
        <v>1387</v>
      </c>
      <c r="E7758" t="s">
        <v>187</v>
      </c>
      <c r="F7758">
        <v>2010</v>
      </c>
      <c r="G7758">
        <v>11.4696</v>
      </c>
    </row>
    <row r="7759" spans="1:7">
      <c r="A7759" t="s">
        <v>1297</v>
      </c>
      <c r="B7759" t="s">
        <v>1298</v>
      </c>
      <c r="C7759" t="s">
        <v>666</v>
      </c>
      <c r="D7759" t="s">
        <v>1387</v>
      </c>
      <c r="E7759" t="s">
        <v>187</v>
      </c>
      <c r="F7759">
        <v>2012</v>
      </c>
      <c r="G7759">
        <v>10.3644</v>
      </c>
    </row>
    <row r="7760" spans="1:7">
      <c r="A7760" t="s">
        <v>1297</v>
      </c>
      <c r="B7760" t="s">
        <v>1298</v>
      </c>
      <c r="C7760" t="s">
        <v>666</v>
      </c>
      <c r="D7760" t="s">
        <v>1387</v>
      </c>
      <c r="E7760" t="s">
        <v>187</v>
      </c>
      <c r="F7760">
        <v>2016</v>
      </c>
      <c r="G7760">
        <v>3.5495999999999999</v>
      </c>
    </row>
    <row r="7761" spans="1:7">
      <c r="A7761" t="s">
        <v>1297</v>
      </c>
      <c r="B7761" t="s">
        <v>1298</v>
      </c>
      <c r="C7761" t="s">
        <v>666</v>
      </c>
      <c r="D7761" t="s">
        <v>1387</v>
      </c>
      <c r="E7761" t="s">
        <v>187</v>
      </c>
      <c r="F7761">
        <v>2020</v>
      </c>
      <c r="G7761">
        <v>1.88568</v>
      </c>
    </row>
    <row r="7762" spans="1:7">
      <c r="A7762" t="s">
        <v>1297</v>
      </c>
      <c r="B7762" t="s">
        <v>1298</v>
      </c>
      <c r="C7762" t="s">
        <v>667</v>
      </c>
      <c r="D7762" t="s">
        <v>1387</v>
      </c>
      <c r="E7762" t="s">
        <v>187</v>
      </c>
      <c r="F7762">
        <v>2005</v>
      </c>
      <c r="G7762">
        <v>11.181336999999999</v>
      </c>
    </row>
    <row r="7763" spans="1:7">
      <c r="A7763" t="s">
        <v>1297</v>
      </c>
      <c r="B7763" t="s">
        <v>1298</v>
      </c>
      <c r="C7763" t="s">
        <v>667</v>
      </c>
      <c r="D7763" t="s">
        <v>1387</v>
      </c>
      <c r="E7763" t="s">
        <v>187</v>
      </c>
      <c r="F7763">
        <v>2010</v>
      </c>
      <c r="G7763">
        <v>10.497624999999999</v>
      </c>
    </row>
    <row r="7764" spans="1:7">
      <c r="A7764" t="s">
        <v>1297</v>
      </c>
      <c r="B7764" t="s">
        <v>1298</v>
      </c>
      <c r="C7764" t="s">
        <v>667</v>
      </c>
      <c r="D7764" t="s">
        <v>1387</v>
      </c>
      <c r="E7764" t="s">
        <v>187</v>
      </c>
      <c r="F7764">
        <v>2012</v>
      </c>
      <c r="G7764">
        <v>8.5957450000000009</v>
      </c>
    </row>
    <row r="7765" spans="1:7">
      <c r="A7765" t="s">
        <v>1297</v>
      </c>
      <c r="B7765" t="s">
        <v>1298</v>
      </c>
      <c r="C7765" t="s">
        <v>667</v>
      </c>
      <c r="D7765" t="s">
        <v>1387</v>
      </c>
      <c r="E7765" t="s">
        <v>187</v>
      </c>
      <c r="F7765">
        <v>2016</v>
      </c>
      <c r="G7765">
        <v>0.92830000000000001</v>
      </c>
    </row>
    <row r="7766" spans="1:7">
      <c r="A7766" t="s">
        <v>1297</v>
      </c>
      <c r="B7766" t="s">
        <v>1298</v>
      </c>
      <c r="C7766" t="s">
        <v>667</v>
      </c>
      <c r="D7766" t="s">
        <v>1387</v>
      </c>
      <c r="E7766" t="s">
        <v>187</v>
      </c>
      <c r="F7766">
        <v>2020</v>
      </c>
      <c r="G7766">
        <v>0.689666</v>
      </c>
    </row>
    <row r="7767" spans="1:7">
      <c r="A7767" t="s">
        <v>1297</v>
      </c>
      <c r="B7767" t="s">
        <v>1298</v>
      </c>
      <c r="C7767" t="s">
        <v>652</v>
      </c>
      <c r="D7767" t="s">
        <v>1387</v>
      </c>
      <c r="E7767" t="s">
        <v>187</v>
      </c>
      <c r="F7767">
        <v>2005</v>
      </c>
      <c r="G7767">
        <v>82.256399999999999</v>
      </c>
    </row>
    <row r="7768" spans="1:7">
      <c r="A7768" t="s">
        <v>1297</v>
      </c>
      <c r="B7768" t="s">
        <v>1298</v>
      </c>
      <c r="C7768" t="s">
        <v>652</v>
      </c>
      <c r="D7768" t="s">
        <v>1387</v>
      </c>
      <c r="E7768" t="s">
        <v>187</v>
      </c>
      <c r="F7768">
        <v>2010</v>
      </c>
      <c r="G7768">
        <v>115.76664</v>
      </c>
    </row>
    <row r="7769" spans="1:7">
      <c r="A7769" t="s">
        <v>1297</v>
      </c>
      <c r="B7769" t="s">
        <v>1298</v>
      </c>
      <c r="C7769" t="s">
        <v>659</v>
      </c>
      <c r="D7769" t="s">
        <v>1387</v>
      </c>
      <c r="E7769" t="s">
        <v>187</v>
      </c>
      <c r="F7769">
        <v>2010</v>
      </c>
      <c r="G7769">
        <v>341.46359999999999</v>
      </c>
    </row>
    <row r="7770" spans="1:7">
      <c r="A7770" t="s">
        <v>1297</v>
      </c>
      <c r="B7770" t="s">
        <v>1298</v>
      </c>
      <c r="C7770" t="s">
        <v>659</v>
      </c>
      <c r="D7770" t="s">
        <v>1387</v>
      </c>
      <c r="E7770" t="s">
        <v>187</v>
      </c>
      <c r="F7770">
        <v>2012</v>
      </c>
      <c r="G7770">
        <v>263.90879999999999</v>
      </c>
    </row>
    <row r="7771" spans="1:7">
      <c r="A7771" t="s">
        <v>1297</v>
      </c>
      <c r="B7771" t="s">
        <v>1298</v>
      </c>
      <c r="C7771" t="s">
        <v>659</v>
      </c>
      <c r="D7771" t="s">
        <v>1387</v>
      </c>
      <c r="E7771" t="s">
        <v>187</v>
      </c>
      <c r="F7771">
        <v>2016</v>
      </c>
      <c r="G7771">
        <v>190.15199999999999</v>
      </c>
    </row>
    <row r="7772" spans="1:7">
      <c r="A7772" t="s">
        <v>1297</v>
      </c>
      <c r="B7772" t="s">
        <v>1298</v>
      </c>
      <c r="C7772" t="s">
        <v>659</v>
      </c>
      <c r="D7772" t="s">
        <v>1387</v>
      </c>
      <c r="E7772" t="s">
        <v>187</v>
      </c>
      <c r="F7772">
        <v>2020</v>
      </c>
      <c r="G7772">
        <v>301.33080000000001</v>
      </c>
    </row>
    <row r="7773" spans="1:7">
      <c r="A7773" t="s">
        <v>1297</v>
      </c>
      <c r="B7773" t="s">
        <v>1298</v>
      </c>
      <c r="C7773" t="s">
        <v>1299</v>
      </c>
      <c r="D7773" t="s">
        <v>1387</v>
      </c>
      <c r="E7773" t="s">
        <v>187</v>
      </c>
      <c r="F7773">
        <v>2005</v>
      </c>
      <c r="G7773">
        <v>122.9652</v>
      </c>
    </row>
    <row r="7774" spans="1:7">
      <c r="A7774" t="s">
        <v>1297</v>
      </c>
      <c r="B7774" t="s">
        <v>1298</v>
      </c>
      <c r="C7774" t="s">
        <v>1299</v>
      </c>
      <c r="D7774" t="s">
        <v>1387</v>
      </c>
      <c r="E7774" t="s">
        <v>187</v>
      </c>
      <c r="F7774">
        <v>2010</v>
      </c>
      <c r="G7774">
        <v>56.530799999999999</v>
      </c>
    </row>
    <row r="7775" spans="1:7">
      <c r="A7775" t="s">
        <v>1297</v>
      </c>
      <c r="B7775" t="s">
        <v>1298</v>
      </c>
      <c r="C7775" t="s">
        <v>1299</v>
      </c>
      <c r="D7775" t="s">
        <v>1387</v>
      </c>
      <c r="E7775" t="s">
        <v>187</v>
      </c>
      <c r="F7775">
        <v>2012</v>
      </c>
      <c r="G7775">
        <v>57.740400000000001</v>
      </c>
    </row>
    <row r="7776" spans="1:7">
      <c r="A7776" t="s">
        <v>1297</v>
      </c>
      <c r="B7776" t="s">
        <v>1298</v>
      </c>
      <c r="C7776" t="s">
        <v>1299</v>
      </c>
      <c r="D7776" t="s">
        <v>1387</v>
      </c>
      <c r="E7776" t="s">
        <v>187</v>
      </c>
      <c r="F7776">
        <v>2016</v>
      </c>
      <c r="G7776">
        <v>35.391599999999997</v>
      </c>
    </row>
    <row r="7777" spans="1:7">
      <c r="A7777" t="s">
        <v>1297</v>
      </c>
      <c r="B7777" t="s">
        <v>1298</v>
      </c>
      <c r="C7777" t="s">
        <v>1299</v>
      </c>
      <c r="D7777" t="s">
        <v>1387</v>
      </c>
      <c r="E7777" t="s">
        <v>187</v>
      </c>
      <c r="F7777">
        <v>2020</v>
      </c>
      <c r="G7777">
        <v>42.937199999999997</v>
      </c>
    </row>
    <row r="7778" spans="1:7">
      <c r="A7778" t="s">
        <v>1297</v>
      </c>
      <c r="B7778" t="s">
        <v>1298</v>
      </c>
      <c r="C7778" t="s">
        <v>662</v>
      </c>
      <c r="D7778" t="s">
        <v>1387</v>
      </c>
      <c r="E7778" t="s">
        <v>187</v>
      </c>
      <c r="F7778">
        <v>2016</v>
      </c>
      <c r="G7778">
        <v>53.524799999999999</v>
      </c>
    </row>
    <row r="7779" spans="1:7">
      <c r="A7779" t="s">
        <v>1297</v>
      </c>
      <c r="B7779" t="s">
        <v>1298</v>
      </c>
      <c r="C7779" t="s">
        <v>662</v>
      </c>
      <c r="D7779" t="s">
        <v>1387</v>
      </c>
      <c r="E7779" t="s">
        <v>187</v>
      </c>
      <c r="F7779">
        <v>2020</v>
      </c>
      <c r="G7779">
        <v>52.184632000000001</v>
      </c>
    </row>
    <row r="7780" spans="1:7">
      <c r="A7780" t="s">
        <v>1297</v>
      </c>
      <c r="B7780" t="s">
        <v>1298</v>
      </c>
      <c r="C7780" t="s">
        <v>669</v>
      </c>
      <c r="D7780" t="s">
        <v>1387</v>
      </c>
      <c r="E7780" t="s">
        <v>187</v>
      </c>
      <c r="F7780">
        <v>2020</v>
      </c>
      <c r="G7780">
        <v>6.5802100000000001</v>
      </c>
    </row>
    <row r="7781" spans="1:7">
      <c r="A7781" t="s">
        <v>1297</v>
      </c>
      <c r="B7781" t="s">
        <v>1298</v>
      </c>
      <c r="C7781" t="s">
        <v>664</v>
      </c>
      <c r="D7781" t="s">
        <v>1387</v>
      </c>
      <c r="E7781" t="s">
        <v>187</v>
      </c>
      <c r="F7781">
        <v>2005</v>
      </c>
      <c r="G7781">
        <v>41.666400000000003</v>
      </c>
    </row>
    <row r="7782" spans="1:7">
      <c r="A7782" t="s">
        <v>1297</v>
      </c>
      <c r="B7782" t="s">
        <v>1298</v>
      </c>
      <c r="C7782" t="s">
        <v>664</v>
      </c>
      <c r="D7782" t="s">
        <v>1387</v>
      </c>
      <c r="E7782" t="s">
        <v>187</v>
      </c>
      <c r="F7782">
        <v>2010</v>
      </c>
      <c r="G7782">
        <v>65.198713999999995</v>
      </c>
    </row>
    <row r="7783" spans="1:7">
      <c r="A7783" t="s">
        <v>1297</v>
      </c>
      <c r="B7783" t="s">
        <v>1298</v>
      </c>
      <c r="C7783" t="s">
        <v>664</v>
      </c>
      <c r="D7783" t="s">
        <v>1387</v>
      </c>
      <c r="E7783" t="s">
        <v>187</v>
      </c>
      <c r="F7783">
        <v>2012</v>
      </c>
      <c r="G7783">
        <v>50.901443999999998</v>
      </c>
    </row>
    <row r="7784" spans="1:7">
      <c r="A7784" t="s">
        <v>1297</v>
      </c>
      <c r="B7784" t="s">
        <v>1298</v>
      </c>
      <c r="C7784" t="s">
        <v>664</v>
      </c>
      <c r="D7784" t="s">
        <v>1387</v>
      </c>
      <c r="E7784" t="s">
        <v>187</v>
      </c>
      <c r="F7784">
        <v>2016</v>
      </c>
      <c r="G7784">
        <v>55.182251000000001</v>
      </c>
    </row>
    <row r="7785" spans="1:7">
      <c r="A7785" t="s">
        <v>1297</v>
      </c>
      <c r="B7785" t="s">
        <v>1298</v>
      </c>
      <c r="C7785" t="s">
        <v>664</v>
      </c>
      <c r="D7785" t="s">
        <v>1387</v>
      </c>
      <c r="E7785" t="s">
        <v>187</v>
      </c>
      <c r="F7785">
        <v>2020</v>
      </c>
      <c r="G7785">
        <v>57.262270000000001</v>
      </c>
    </row>
    <row r="7786" spans="1:7">
      <c r="A7786" t="s">
        <v>1297</v>
      </c>
      <c r="B7786" t="s">
        <v>1298</v>
      </c>
      <c r="C7786" t="s">
        <v>673</v>
      </c>
      <c r="D7786" t="s">
        <v>1387</v>
      </c>
      <c r="E7786" t="s">
        <v>187</v>
      </c>
      <c r="F7786">
        <v>2005</v>
      </c>
      <c r="G7786">
        <v>34.603200000000001</v>
      </c>
    </row>
    <row r="7787" spans="1:7">
      <c r="A7787" t="s">
        <v>1297</v>
      </c>
      <c r="B7787" t="s">
        <v>1298</v>
      </c>
      <c r="C7787" t="s">
        <v>673</v>
      </c>
      <c r="D7787" t="s">
        <v>1387</v>
      </c>
      <c r="E7787" t="s">
        <v>187</v>
      </c>
      <c r="F7787">
        <v>2010</v>
      </c>
      <c r="G7787">
        <v>26.1432</v>
      </c>
    </row>
    <row r="7788" spans="1:7">
      <c r="A7788" t="s">
        <v>1297</v>
      </c>
      <c r="B7788" t="s">
        <v>1298</v>
      </c>
      <c r="C7788" t="s">
        <v>673</v>
      </c>
      <c r="D7788" t="s">
        <v>1387</v>
      </c>
      <c r="E7788" t="s">
        <v>187</v>
      </c>
      <c r="F7788">
        <v>2012</v>
      </c>
      <c r="G7788">
        <v>31.388400000000001</v>
      </c>
    </row>
    <row r="7789" spans="1:7">
      <c r="A7789" t="s">
        <v>1297</v>
      </c>
      <c r="B7789" t="s">
        <v>1298</v>
      </c>
      <c r="C7789" t="s">
        <v>673</v>
      </c>
      <c r="D7789" t="s">
        <v>1387</v>
      </c>
      <c r="E7789" t="s">
        <v>187</v>
      </c>
      <c r="F7789">
        <v>2016</v>
      </c>
      <c r="G7789">
        <v>34.758000000000003</v>
      </c>
    </row>
    <row r="7790" spans="1:7">
      <c r="A7790" t="s">
        <v>1297</v>
      </c>
      <c r="B7790" t="s">
        <v>1298</v>
      </c>
      <c r="C7790" t="s">
        <v>673</v>
      </c>
      <c r="D7790" t="s">
        <v>1387</v>
      </c>
      <c r="E7790" t="s">
        <v>187</v>
      </c>
      <c r="F7790">
        <v>2020</v>
      </c>
      <c r="G7790">
        <v>32.234763999999998</v>
      </c>
    </row>
    <row r="7791" spans="1:7">
      <c r="A7791" t="s">
        <v>1297</v>
      </c>
      <c r="B7791" t="s">
        <v>1298</v>
      </c>
      <c r="C7791" t="s">
        <v>677</v>
      </c>
      <c r="D7791" t="s">
        <v>1387</v>
      </c>
      <c r="E7791" t="s">
        <v>187</v>
      </c>
      <c r="F7791">
        <v>2005</v>
      </c>
      <c r="G7791">
        <v>549.50400000000002</v>
      </c>
    </row>
    <row r="7792" spans="1:7">
      <c r="A7792" t="s">
        <v>1297</v>
      </c>
      <c r="B7792" t="s">
        <v>1298</v>
      </c>
      <c r="C7792" t="s">
        <v>677</v>
      </c>
      <c r="D7792" t="s">
        <v>1387</v>
      </c>
      <c r="E7792" t="s">
        <v>187</v>
      </c>
      <c r="F7792">
        <v>2010</v>
      </c>
      <c r="G7792">
        <v>632.35440000000006</v>
      </c>
    </row>
    <row r="7793" spans="1:7">
      <c r="A7793" t="s">
        <v>1297</v>
      </c>
      <c r="B7793" t="s">
        <v>1298</v>
      </c>
      <c r="C7793" t="s">
        <v>677</v>
      </c>
      <c r="D7793" t="s">
        <v>1387</v>
      </c>
      <c r="E7793" t="s">
        <v>187</v>
      </c>
      <c r="F7793">
        <v>2012</v>
      </c>
      <c r="G7793">
        <v>360.61200000000002</v>
      </c>
    </row>
    <row r="7794" spans="1:7">
      <c r="A7794" t="s">
        <v>1297</v>
      </c>
      <c r="B7794" t="s">
        <v>1298</v>
      </c>
      <c r="C7794" t="s">
        <v>677</v>
      </c>
      <c r="D7794" t="s">
        <v>1387</v>
      </c>
      <c r="E7794" t="s">
        <v>187</v>
      </c>
      <c r="F7794">
        <v>2016</v>
      </c>
      <c r="G7794">
        <v>516.08186599999999</v>
      </c>
    </row>
    <row r="7795" spans="1:7">
      <c r="A7795" t="s">
        <v>1297</v>
      </c>
      <c r="B7795" t="s">
        <v>1298</v>
      </c>
      <c r="C7795" t="s">
        <v>677</v>
      </c>
      <c r="D7795" t="s">
        <v>1387</v>
      </c>
      <c r="E7795" t="s">
        <v>187</v>
      </c>
      <c r="F7795">
        <v>2020</v>
      </c>
      <c r="G7795">
        <v>470.10593899999998</v>
      </c>
    </row>
    <row r="7796" spans="1:7">
      <c r="A7796" t="s">
        <v>1297</v>
      </c>
      <c r="B7796" t="s">
        <v>1298</v>
      </c>
      <c r="C7796" t="s">
        <v>651</v>
      </c>
      <c r="D7796" t="s">
        <v>1387</v>
      </c>
      <c r="E7796" t="s">
        <v>187</v>
      </c>
      <c r="F7796">
        <v>2005</v>
      </c>
      <c r="G7796">
        <v>46.899850000000001</v>
      </c>
    </row>
    <row r="7797" spans="1:7">
      <c r="A7797" t="s">
        <v>1297</v>
      </c>
      <c r="B7797" t="s">
        <v>1298</v>
      </c>
      <c r="C7797" t="s">
        <v>651</v>
      </c>
      <c r="D7797" t="s">
        <v>1387</v>
      </c>
      <c r="E7797" t="s">
        <v>187</v>
      </c>
      <c r="F7797">
        <v>2010</v>
      </c>
      <c r="G7797">
        <v>51.664276999999998</v>
      </c>
    </row>
    <row r="7798" spans="1:7">
      <c r="A7798" t="s">
        <v>1297</v>
      </c>
      <c r="B7798" t="s">
        <v>1298</v>
      </c>
      <c r="C7798" t="s">
        <v>651</v>
      </c>
      <c r="D7798" t="s">
        <v>1387</v>
      </c>
      <c r="E7798" t="s">
        <v>187</v>
      </c>
      <c r="F7798">
        <v>2012</v>
      </c>
      <c r="G7798">
        <v>34.964154000000001</v>
      </c>
    </row>
    <row r="7799" spans="1:7">
      <c r="A7799" t="s">
        <v>1297</v>
      </c>
      <c r="B7799" t="s">
        <v>1298</v>
      </c>
      <c r="C7799" t="s">
        <v>651</v>
      </c>
      <c r="D7799" t="s">
        <v>1387</v>
      </c>
      <c r="E7799" t="s">
        <v>187</v>
      </c>
      <c r="F7799">
        <v>2016</v>
      </c>
      <c r="G7799">
        <v>30.555510999999999</v>
      </c>
    </row>
    <row r="7800" spans="1:7">
      <c r="A7800" t="s">
        <v>1297</v>
      </c>
      <c r="B7800" t="s">
        <v>1298</v>
      </c>
      <c r="C7800" t="s">
        <v>651</v>
      </c>
      <c r="D7800" t="s">
        <v>1387</v>
      </c>
      <c r="E7800" t="s">
        <v>187</v>
      </c>
      <c r="F7800">
        <v>2020</v>
      </c>
      <c r="G7800">
        <v>41.647475</v>
      </c>
    </row>
    <row r="7801" spans="1:7">
      <c r="A7801" t="s">
        <v>1297</v>
      </c>
      <c r="B7801" t="s">
        <v>1298</v>
      </c>
      <c r="C7801" t="s">
        <v>1300</v>
      </c>
      <c r="D7801" t="s">
        <v>1387</v>
      </c>
      <c r="E7801" t="s">
        <v>187</v>
      </c>
      <c r="F7801">
        <v>2010</v>
      </c>
      <c r="G7801">
        <v>3.4416000000000002</v>
      </c>
    </row>
    <row r="7802" spans="1:7">
      <c r="A7802" t="s">
        <v>1297</v>
      </c>
      <c r="B7802" t="s">
        <v>1298</v>
      </c>
      <c r="C7802" t="s">
        <v>1300</v>
      </c>
      <c r="D7802" t="s">
        <v>1387</v>
      </c>
      <c r="E7802" t="s">
        <v>187</v>
      </c>
      <c r="F7802">
        <v>2012</v>
      </c>
      <c r="G7802">
        <v>3.1751999999999998</v>
      </c>
    </row>
    <row r="7803" spans="1:7">
      <c r="A7803" t="s">
        <v>1297</v>
      </c>
      <c r="B7803" t="s">
        <v>1298</v>
      </c>
      <c r="C7803" t="s">
        <v>1300</v>
      </c>
      <c r="D7803" t="s">
        <v>1387</v>
      </c>
      <c r="E7803" t="s">
        <v>187</v>
      </c>
      <c r="F7803">
        <v>2016</v>
      </c>
      <c r="G7803">
        <v>2.9916</v>
      </c>
    </row>
    <row r="7804" spans="1:7">
      <c r="A7804" t="s">
        <v>1297</v>
      </c>
      <c r="B7804" t="s">
        <v>1298</v>
      </c>
      <c r="C7804" t="s">
        <v>1300</v>
      </c>
      <c r="D7804" t="s">
        <v>1387</v>
      </c>
      <c r="E7804" t="s">
        <v>187</v>
      </c>
      <c r="F7804">
        <v>2020</v>
      </c>
      <c r="G7804">
        <v>2.8620000000000001</v>
      </c>
    </row>
    <row r="7805" spans="1:7">
      <c r="A7805" t="s">
        <v>1297</v>
      </c>
      <c r="B7805" t="s">
        <v>1298</v>
      </c>
      <c r="C7805" t="s">
        <v>675</v>
      </c>
      <c r="D7805" t="s">
        <v>1387</v>
      </c>
      <c r="E7805" t="s">
        <v>187</v>
      </c>
      <c r="F7805">
        <v>2005</v>
      </c>
      <c r="G7805">
        <v>1.2203999999999999</v>
      </c>
    </row>
    <row r="7806" spans="1:7">
      <c r="A7806" t="s">
        <v>1297</v>
      </c>
      <c r="B7806" t="s">
        <v>1298</v>
      </c>
      <c r="C7806" t="s">
        <v>675</v>
      </c>
      <c r="D7806" t="s">
        <v>1387</v>
      </c>
      <c r="E7806" t="s">
        <v>187</v>
      </c>
      <c r="F7806">
        <v>2010</v>
      </c>
      <c r="G7806">
        <v>1.9728000000000001</v>
      </c>
    </row>
    <row r="7807" spans="1:7">
      <c r="A7807" t="s">
        <v>1297</v>
      </c>
      <c r="B7807" t="s">
        <v>1298</v>
      </c>
      <c r="C7807" t="s">
        <v>675</v>
      </c>
      <c r="D7807" t="s">
        <v>1387</v>
      </c>
      <c r="E7807" t="s">
        <v>187</v>
      </c>
      <c r="F7807">
        <v>2012</v>
      </c>
      <c r="G7807">
        <v>1.9116</v>
      </c>
    </row>
    <row r="7808" spans="1:7">
      <c r="A7808" t="s">
        <v>1297</v>
      </c>
      <c r="B7808" t="s">
        <v>1298</v>
      </c>
      <c r="C7808" t="s">
        <v>675</v>
      </c>
      <c r="D7808" t="s">
        <v>1387</v>
      </c>
      <c r="E7808" t="s">
        <v>187</v>
      </c>
      <c r="F7808">
        <v>2016</v>
      </c>
      <c r="G7808">
        <v>1.512</v>
      </c>
    </row>
    <row r="7809" spans="1:7">
      <c r="A7809" t="s">
        <v>1297</v>
      </c>
      <c r="B7809" t="s">
        <v>1298</v>
      </c>
      <c r="C7809" t="s">
        <v>675</v>
      </c>
      <c r="D7809" t="s">
        <v>1387</v>
      </c>
      <c r="E7809" t="s">
        <v>187</v>
      </c>
      <c r="F7809">
        <v>2020</v>
      </c>
      <c r="G7809">
        <v>1.9170469999999999</v>
      </c>
    </row>
    <row r="7810" spans="1:7">
      <c r="A7810" t="s">
        <v>1297</v>
      </c>
      <c r="B7810" t="s">
        <v>1298</v>
      </c>
      <c r="C7810" t="s">
        <v>663</v>
      </c>
      <c r="D7810" t="s">
        <v>1387</v>
      </c>
      <c r="E7810" t="s">
        <v>187</v>
      </c>
      <c r="F7810">
        <v>2005</v>
      </c>
      <c r="G7810">
        <v>44.564399999999999</v>
      </c>
    </row>
    <row r="7811" spans="1:7">
      <c r="A7811" t="s">
        <v>1297</v>
      </c>
      <c r="B7811" t="s">
        <v>1298</v>
      </c>
      <c r="C7811" t="s">
        <v>663</v>
      </c>
      <c r="D7811" t="s">
        <v>1387</v>
      </c>
      <c r="E7811" t="s">
        <v>187</v>
      </c>
      <c r="F7811">
        <v>2010</v>
      </c>
      <c r="G7811">
        <v>41.752800000000001</v>
      </c>
    </row>
    <row r="7812" spans="1:7">
      <c r="A7812" t="s">
        <v>1297</v>
      </c>
      <c r="B7812" t="s">
        <v>1298</v>
      </c>
      <c r="C7812" t="s">
        <v>663</v>
      </c>
      <c r="D7812" t="s">
        <v>1387</v>
      </c>
      <c r="E7812" t="s">
        <v>187</v>
      </c>
      <c r="F7812">
        <v>2012</v>
      </c>
      <c r="G7812">
        <v>33.843600000000002</v>
      </c>
    </row>
    <row r="7813" spans="1:7">
      <c r="A7813" t="s">
        <v>1297</v>
      </c>
      <c r="B7813" t="s">
        <v>1298</v>
      </c>
      <c r="C7813" t="s">
        <v>663</v>
      </c>
      <c r="D7813" t="s">
        <v>1387</v>
      </c>
      <c r="E7813" t="s">
        <v>187</v>
      </c>
      <c r="F7813">
        <v>2016</v>
      </c>
      <c r="G7813">
        <v>23.324400000000001</v>
      </c>
    </row>
    <row r="7814" spans="1:7">
      <c r="A7814" t="s">
        <v>1297</v>
      </c>
      <c r="B7814" t="s">
        <v>1298</v>
      </c>
      <c r="C7814" t="s">
        <v>663</v>
      </c>
      <c r="D7814" t="s">
        <v>1387</v>
      </c>
      <c r="E7814" t="s">
        <v>187</v>
      </c>
      <c r="F7814">
        <v>2020</v>
      </c>
      <c r="G7814">
        <v>30.837599999999998</v>
      </c>
    </row>
    <row r="7815" spans="1:7">
      <c r="A7815" t="s">
        <v>1297</v>
      </c>
      <c r="B7815" t="s">
        <v>1298</v>
      </c>
      <c r="C7815" t="s">
        <v>289</v>
      </c>
      <c r="D7815" t="s">
        <v>1387</v>
      </c>
      <c r="E7815" t="s">
        <v>187</v>
      </c>
      <c r="F7815">
        <v>2005</v>
      </c>
      <c r="G7815">
        <v>6.5304000000000002</v>
      </c>
    </row>
    <row r="7816" spans="1:7">
      <c r="A7816" t="s">
        <v>1297</v>
      </c>
      <c r="B7816" t="s">
        <v>1298</v>
      </c>
      <c r="C7816" t="s">
        <v>289</v>
      </c>
      <c r="D7816" t="s">
        <v>1387</v>
      </c>
      <c r="E7816" t="s">
        <v>187</v>
      </c>
      <c r="F7816">
        <v>2010</v>
      </c>
      <c r="G7816">
        <v>9.1907999999999994</v>
      </c>
    </row>
    <row r="7817" spans="1:7">
      <c r="A7817" t="s">
        <v>1297</v>
      </c>
      <c r="B7817" t="s">
        <v>1298</v>
      </c>
      <c r="C7817" t="s">
        <v>289</v>
      </c>
      <c r="D7817" t="s">
        <v>1387</v>
      </c>
      <c r="E7817" t="s">
        <v>187</v>
      </c>
      <c r="F7817">
        <v>2012</v>
      </c>
      <c r="G7817">
        <v>9.0396000000000001</v>
      </c>
    </row>
    <row r="7818" spans="1:7">
      <c r="A7818" t="s">
        <v>1297</v>
      </c>
      <c r="B7818" t="s">
        <v>1298</v>
      </c>
      <c r="C7818" t="s">
        <v>289</v>
      </c>
      <c r="D7818" t="s">
        <v>1387</v>
      </c>
      <c r="E7818" t="s">
        <v>187</v>
      </c>
      <c r="F7818">
        <v>2016</v>
      </c>
      <c r="G7818">
        <v>5.7096</v>
      </c>
    </row>
    <row r="7819" spans="1:7">
      <c r="A7819" t="s">
        <v>1297</v>
      </c>
      <c r="B7819" t="s">
        <v>1298</v>
      </c>
      <c r="C7819" t="s">
        <v>289</v>
      </c>
      <c r="D7819" t="s">
        <v>1387</v>
      </c>
      <c r="E7819" t="s">
        <v>187</v>
      </c>
      <c r="F7819">
        <v>2020</v>
      </c>
      <c r="G7819">
        <v>9.46584</v>
      </c>
    </row>
    <row r="7820" spans="1:7">
      <c r="A7820" t="s">
        <v>1297</v>
      </c>
      <c r="B7820" t="s">
        <v>1298</v>
      </c>
      <c r="C7820" t="s">
        <v>685</v>
      </c>
      <c r="D7820" t="s">
        <v>1387</v>
      </c>
      <c r="E7820" t="s">
        <v>187</v>
      </c>
      <c r="F7820">
        <v>2010</v>
      </c>
      <c r="G7820">
        <v>0.09</v>
      </c>
    </row>
    <row r="7821" spans="1:7">
      <c r="A7821" t="s">
        <v>1297</v>
      </c>
      <c r="B7821" t="s">
        <v>1298</v>
      </c>
      <c r="C7821" t="s">
        <v>685</v>
      </c>
      <c r="D7821" t="s">
        <v>1387</v>
      </c>
      <c r="E7821" t="s">
        <v>187</v>
      </c>
      <c r="F7821">
        <v>2012</v>
      </c>
      <c r="G7821">
        <v>1.0728</v>
      </c>
    </row>
    <row r="7822" spans="1:7">
      <c r="A7822" t="s">
        <v>1297</v>
      </c>
      <c r="B7822" t="s">
        <v>1298</v>
      </c>
      <c r="C7822" t="s">
        <v>685</v>
      </c>
      <c r="D7822" t="s">
        <v>1387</v>
      </c>
      <c r="E7822" t="s">
        <v>187</v>
      </c>
      <c r="F7822">
        <v>2016</v>
      </c>
      <c r="G7822">
        <v>2.0487310000000001</v>
      </c>
    </row>
    <row r="7823" spans="1:7">
      <c r="A7823" t="s">
        <v>1297</v>
      </c>
      <c r="B7823" t="s">
        <v>1298</v>
      </c>
      <c r="C7823" t="s">
        <v>685</v>
      </c>
      <c r="D7823" t="s">
        <v>1387</v>
      </c>
      <c r="E7823" t="s">
        <v>187</v>
      </c>
      <c r="F7823">
        <v>2020</v>
      </c>
      <c r="G7823">
        <v>3.4462039999999998</v>
      </c>
    </row>
    <row r="7824" spans="1:7">
      <c r="A7824" t="s">
        <v>1297</v>
      </c>
      <c r="B7824" t="s">
        <v>1298</v>
      </c>
      <c r="C7824" t="s">
        <v>668</v>
      </c>
      <c r="D7824" t="s">
        <v>1387</v>
      </c>
      <c r="E7824" t="s">
        <v>187</v>
      </c>
      <c r="F7824">
        <v>2005</v>
      </c>
      <c r="G7824">
        <v>5.3495999999999997</v>
      </c>
    </row>
    <row r="7825" spans="1:7">
      <c r="A7825" t="s">
        <v>1297</v>
      </c>
      <c r="B7825" t="s">
        <v>1298</v>
      </c>
      <c r="C7825" t="s">
        <v>668</v>
      </c>
      <c r="D7825" t="s">
        <v>1387</v>
      </c>
      <c r="E7825" t="s">
        <v>187</v>
      </c>
      <c r="F7825">
        <v>2010</v>
      </c>
      <c r="G7825">
        <v>10.7568</v>
      </c>
    </row>
    <row r="7826" spans="1:7">
      <c r="A7826" t="s">
        <v>1297</v>
      </c>
      <c r="B7826" t="s">
        <v>1298</v>
      </c>
      <c r="C7826" t="s">
        <v>668</v>
      </c>
      <c r="D7826" t="s">
        <v>1387</v>
      </c>
      <c r="E7826" t="s">
        <v>187</v>
      </c>
      <c r="F7826">
        <v>2012</v>
      </c>
      <c r="G7826">
        <v>7.3979999999999997</v>
      </c>
    </row>
    <row r="7827" spans="1:7">
      <c r="A7827" t="s">
        <v>1297</v>
      </c>
      <c r="B7827" t="s">
        <v>1298</v>
      </c>
      <c r="C7827" t="s">
        <v>668</v>
      </c>
      <c r="D7827" t="s">
        <v>1387</v>
      </c>
      <c r="E7827" t="s">
        <v>187</v>
      </c>
      <c r="F7827">
        <v>2016</v>
      </c>
      <c r="G7827">
        <v>10.5984</v>
      </c>
    </row>
    <row r="7828" spans="1:7">
      <c r="A7828" t="s">
        <v>1297</v>
      </c>
      <c r="B7828" t="s">
        <v>1298</v>
      </c>
      <c r="C7828" t="s">
        <v>668</v>
      </c>
      <c r="D7828" t="s">
        <v>1387</v>
      </c>
      <c r="E7828" t="s">
        <v>187</v>
      </c>
      <c r="F7828">
        <v>2020</v>
      </c>
      <c r="G7828">
        <v>11.685204000000001</v>
      </c>
    </row>
    <row r="7829" spans="1:7">
      <c r="A7829" t="s">
        <v>1297</v>
      </c>
      <c r="B7829" t="s">
        <v>1298</v>
      </c>
      <c r="C7829" t="s">
        <v>659</v>
      </c>
      <c r="D7829" t="s">
        <v>1387</v>
      </c>
      <c r="E7829" t="s">
        <v>187</v>
      </c>
      <c r="F7829">
        <v>2005</v>
      </c>
      <c r="G7829">
        <v>284.43959999999998</v>
      </c>
    </row>
    <row r="7830" spans="1:7">
      <c r="A7830" t="s">
        <v>1297</v>
      </c>
      <c r="B7830" t="s">
        <v>1298</v>
      </c>
      <c r="C7830" t="s">
        <v>652</v>
      </c>
      <c r="D7830" t="s">
        <v>1387</v>
      </c>
      <c r="E7830" t="s">
        <v>187</v>
      </c>
      <c r="F7830">
        <v>2012</v>
      </c>
      <c r="G7830">
        <v>84.855959999999996</v>
      </c>
    </row>
    <row r="7831" spans="1:7">
      <c r="A7831" t="s">
        <v>1297</v>
      </c>
      <c r="B7831" t="s">
        <v>1298</v>
      </c>
      <c r="C7831" t="s">
        <v>652</v>
      </c>
      <c r="D7831" t="s">
        <v>1387</v>
      </c>
      <c r="E7831" t="s">
        <v>187</v>
      </c>
      <c r="F7831">
        <v>2016</v>
      </c>
      <c r="G7831">
        <v>79.608599999999996</v>
      </c>
    </row>
    <row r="7832" spans="1:7">
      <c r="A7832" t="s">
        <v>1297</v>
      </c>
      <c r="B7832" t="s">
        <v>1298</v>
      </c>
      <c r="C7832" t="s">
        <v>652</v>
      </c>
      <c r="D7832" t="s">
        <v>1387</v>
      </c>
      <c r="E7832" t="s">
        <v>187</v>
      </c>
      <c r="F7832">
        <v>2020</v>
      </c>
      <c r="G7832">
        <v>91.851119999999995</v>
      </c>
    </row>
    <row r="7833" spans="1:7">
      <c r="A7833" t="s">
        <v>1297</v>
      </c>
      <c r="B7833" t="s">
        <v>1298</v>
      </c>
      <c r="C7833" t="s">
        <v>658</v>
      </c>
      <c r="D7833" t="s">
        <v>1387</v>
      </c>
      <c r="E7833" t="s">
        <v>187</v>
      </c>
      <c r="F7833">
        <v>2005</v>
      </c>
      <c r="G7833">
        <v>1.9583999999999999</v>
      </c>
    </row>
    <row r="7834" spans="1:7">
      <c r="A7834" t="s">
        <v>1297</v>
      </c>
      <c r="B7834" t="s">
        <v>1298</v>
      </c>
      <c r="C7834" t="s">
        <v>658</v>
      </c>
      <c r="D7834" t="s">
        <v>1387</v>
      </c>
      <c r="E7834" t="s">
        <v>187</v>
      </c>
      <c r="F7834">
        <v>2010</v>
      </c>
      <c r="G7834">
        <v>1.0908</v>
      </c>
    </row>
    <row r="7835" spans="1:7">
      <c r="A7835" t="s">
        <v>1297</v>
      </c>
      <c r="B7835" t="s">
        <v>1298</v>
      </c>
      <c r="C7835" t="s">
        <v>658</v>
      </c>
      <c r="D7835" t="s">
        <v>1387</v>
      </c>
      <c r="E7835" t="s">
        <v>187</v>
      </c>
      <c r="F7835">
        <v>2012</v>
      </c>
      <c r="G7835">
        <v>0.4536</v>
      </c>
    </row>
    <row r="7836" spans="1:7">
      <c r="A7836" t="s">
        <v>1297</v>
      </c>
      <c r="B7836" t="s">
        <v>1298</v>
      </c>
      <c r="C7836" t="s">
        <v>658</v>
      </c>
      <c r="D7836" t="s">
        <v>1387</v>
      </c>
      <c r="E7836" t="s">
        <v>187</v>
      </c>
      <c r="F7836">
        <v>2016</v>
      </c>
      <c r="G7836">
        <v>0.26640000000000003</v>
      </c>
    </row>
    <row r="7837" spans="1:7">
      <c r="A7837" t="s">
        <v>1297</v>
      </c>
      <c r="B7837" t="s">
        <v>1298</v>
      </c>
      <c r="C7837" t="s">
        <v>658</v>
      </c>
      <c r="D7837" t="s">
        <v>1387</v>
      </c>
      <c r="E7837" t="s">
        <v>187</v>
      </c>
      <c r="F7837">
        <v>2020</v>
      </c>
      <c r="G7837">
        <v>0.13702700000000001</v>
      </c>
    </row>
    <row r="7838" spans="1:7">
      <c r="A7838" t="s">
        <v>1297</v>
      </c>
      <c r="B7838" t="s">
        <v>1298</v>
      </c>
      <c r="C7838" t="s">
        <v>679</v>
      </c>
      <c r="D7838" t="s">
        <v>1387</v>
      </c>
      <c r="E7838" t="s">
        <v>187</v>
      </c>
      <c r="F7838">
        <v>2005</v>
      </c>
      <c r="G7838">
        <v>1.35</v>
      </c>
    </row>
    <row r="7839" spans="1:7">
      <c r="A7839" t="s">
        <v>1297</v>
      </c>
      <c r="B7839" t="s">
        <v>1298</v>
      </c>
      <c r="C7839" t="s">
        <v>679</v>
      </c>
      <c r="D7839" t="s">
        <v>1387</v>
      </c>
      <c r="E7839" t="s">
        <v>187</v>
      </c>
      <c r="F7839">
        <v>2010</v>
      </c>
      <c r="G7839">
        <v>17.276399999999999</v>
      </c>
    </row>
    <row r="7840" spans="1:7">
      <c r="A7840" t="s">
        <v>1297</v>
      </c>
      <c r="B7840" t="s">
        <v>1298</v>
      </c>
      <c r="C7840" t="s">
        <v>679</v>
      </c>
      <c r="D7840" t="s">
        <v>1387</v>
      </c>
      <c r="E7840" t="s">
        <v>187</v>
      </c>
      <c r="F7840">
        <v>2012</v>
      </c>
      <c r="G7840">
        <v>8.0532000000000004</v>
      </c>
    </row>
    <row r="7841" spans="1:7">
      <c r="A7841" t="s">
        <v>1297</v>
      </c>
      <c r="B7841" t="s">
        <v>1298</v>
      </c>
      <c r="C7841" t="s">
        <v>679</v>
      </c>
      <c r="D7841" t="s">
        <v>1387</v>
      </c>
      <c r="E7841" t="s">
        <v>187</v>
      </c>
      <c r="F7841">
        <v>2016</v>
      </c>
      <c r="G7841">
        <v>7.9488000000000003</v>
      </c>
    </row>
    <row r="7842" spans="1:7">
      <c r="A7842" t="s">
        <v>1297</v>
      </c>
      <c r="B7842" t="s">
        <v>1298</v>
      </c>
      <c r="C7842" t="s">
        <v>679</v>
      </c>
      <c r="D7842" t="s">
        <v>1387</v>
      </c>
      <c r="E7842" t="s">
        <v>187</v>
      </c>
      <c r="F7842">
        <v>2020</v>
      </c>
      <c r="G7842">
        <v>7.3994759999999999</v>
      </c>
    </row>
    <row r="7843" spans="1:7">
      <c r="A7843" t="s">
        <v>1297</v>
      </c>
      <c r="B7843" t="s">
        <v>1298</v>
      </c>
      <c r="C7843" t="s">
        <v>662</v>
      </c>
      <c r="D7843" t="s">
        <v>1387</v>
      </c>
      <c r="E7843" t="s">
        <v>187</v>
      </c>
      <c r="F7843">
        <v>2005</v>
      </c>
      <c r="G7843">
        <v>29.415600000000001</v>
      </c>
    </row>
    <row r="7844" spans="1:7">
      <c r="A7844" t="s">
        <v>1297</v>
      </c>
      <c r="B7844" t="s">
        <v>1298</v>
      </c>
      <c r="C7844" t="s">
        <v>662</v>
      </c>
      <c r="D7844" t="s">
        <v>1387</v>
      </c>
      <c r="E7844" t="s">
        <v>187</v>
      </c>
      <c r="F7844">
        <v>2010</v>
      </c>
      <c r="G7844">
        <v>35.387999999999998</v>
      </c>
    </row>
    <row r="7845" spans="1:7">
      <c r="A7845" t="s">
        <v>1297</v>
      </c>
      <c r="B7845" t="s">
        <v>1298</v>
      </c>
      <c r="C7845" t="s">
        <v>662</v>
      </c>
      <c r="D7845" t="s">
        <v>1387</v>
      </c>
      <c r="E7845" t="s">
        <v>187</v>
      </c>
      <c r="F7845">
        <v>2012</v>
      </c>
      <c r="G7845">
        <v>48.099600000000002</v>
      </c>
    </row>
    <row r="7846" spans="1:7">
      <c r="A7846" t="s">
        <v>1297</v>
      </c>
      <c r="B7846" t="s">
        <v>1298</v>
      </c>
      <c r="C7846" t="s">
        <v>676</v>
      </c>
      <c r="D7846" t="s">
        <v>1388</v>
      </c>
      <c r="E7846" t="s">
        <v>187</v>
      </c>
      <c r="F7846">
        <v>2005</v>
      </c>
      <c r="G7846">
        <v>36.585000000000001</v>
      </c>
    </row>
    <row r="7847" spans="1:7">
      <c r="A7847" t="s">
        <v>1297</v>
      </c>
      <c r="B7847" t="s">
        <v>1298</v>
      </c>
      <c r="C7847" t="s">
        <v>676</v>
      </c>
      <c r="D7847" t="s">
        <v>1388</v>
      </c>
      <c r="E7847" t="s">
        <v>187</v>
      </c>
      <c r="F7847">
        <v>2010</v>
      </c>
      <c r="G7847">
        <v>23.420999999999999</v>
      </c>
    </row>
    <row r="7848" spans="1:7">
      <c r="A7848" t="s">
        <v>1297</v>
      </c>
      <c r="B7848" t="s">
        <v>1298</v>
      </c>
      <c r="C7848" t="s">
        <v>676</v>
      </c>
      <c r="D7848" t="s">
        <v>1388</v>
      </c>
      <c r="E7848" t="s">
        <v>187</v>
      </c>
      <c r="F7848">
        <v>2012</v>
      </c>
      <c r="G7848">
        <v>19.577000000000002</v>
      </c>
    </row>
    <row r="7849" spans="1:7">
      <c r="A7849" t="s">
        <v>1297</v>
      </c>
      <c r="B7849" t="s">
        <v>1298</v>
      </c>
      <c r="C7849" t="s">
        <v>676</v>
      </c>
      <c r="D7849" t="s">
        <v>1388</v>
      </c>
      <c r="E7849" t="s">
        <v>187</v>
      </c>
      <c r="F7849">
        <v>2016</v>
      </c>
      <c r="G7849">
        <v>16.724</v>
      </c>
    </row>
    <row r="7850" spans="1:7">
      <c r="A7850" t="s">
        <v>1297</v>
      </c>
      <c r="B7850" t="s">
        <v>1298</v>
      </c>
      <c r="C7850" t="s">
        <v>676</v>
      </c>
      <c r="D7850" t="s">
        <v>1388</v>
      </c>
      <c r="E7850" t="s">
        <v>187</v>
      </c>
      <c r="F7850">
        <v>2020</v>
      </c>
      <c r="G7850">
        <v>15.055999999999999</v>
      </c>
    </row>
    <row r="7851" spans="1:7">
      <c r="A7851" t="s">
        <v>1297</v>
      </c>
      <c r="B7851" t="s">
        <v>1298</v>
      </c>
      <c r="C7851" t="s">
        <v>658</v>
      </c>
      <c r="D7851" t="s">
        <v>1388</v>
      </c>
      <c r="E7851" t="s">
        <v>187</v>
      </c>
      <c r="F7851">
        <v>2005</v>
      </c>
      <c r="G7851">
        <v>13.651</v>
      </c>
    </row>
    <row r="7852" spans="1:7">
      <c r="A7852" t="s">
        <v>1297</v>
      </c>
      <c r="B7852" t="s">
        <v>1298</v>
      </c>
      <c r="C7852" t="s">
        <v>658</v>
      </c>
      <c r="D7852" t="s">
        <v>1388</v>
      </c>
      <c r="E7852" t="s">
        <v>187</v>
      </c>
      <c r="F7852">
        <v>2010</v>
      </c>
      <c r="G7852">
        <v>10.893000000000001</v>
      </c>
    </row>
    <row r="7853" spans="1:7">
      <c r="A7853" t="s">
        <v>1297</v>
      </c>
      <c r="B7853" t="s">
        <v>1298</v>
      </c>
      <c r="C7853" t="s">
        <v>658</v>
      </c>
      <c r="D7853" t="s">
        <v>1388</v>
      </c>
      <c r="E7853" t="s">
        <v>187</v>
      </c>
      <c r="F7853">
        <v>2012</v>
      </c>
      <c r="G7853">
        <v>10.132</v>
      </c>
    </row>
    <row r="7854" spans="1:7">
      <c r="A7854" t="s">
        <v>1297</v>
      </c>
      <c r="B7854" t="s">
        <v>1298</v>
      </c>
      <c r="C7854" t="s">
        <v>658</v>
      </c>
      <c r="D7854" t="s">
        <v>1388</v>
      </c>
      <c r="E7854" t="s">
        <v>187</v>
      </c>
      <c r="F7854">
        <v>2016</v>
      </c>
      <c r="G7854">
        <v>4.8499999999999996</v>
      </c>
    </row>
    <row r="7855" spans="1:7">
      <c r="A7855" t="s">
        <v>1297</v>
      </c>
      <c r="B7855" t="s">
        <v>1298</v>
      </c>
      <c r="C7855" t="s">
        <v>658</v>
      </c>
      <c r="D7855" t="s">
        <v>1388</v>
      </c>
      <c r="E7855" t="s">
        <v>187</v>
      </c>
      <c r="F7855">
        <v>2020</v>
      </c>
      <c r="G7855">
        <v>4.0814180000000002</v>
      </c>
    </row>
    <row r="7856" spans="1:7">
      <c r="A7856" t="s">
        <v>1297</v>
      </c>
      <c r="B7856" t="s">
        <v>1298</v>
      </c>
      <c r="C7856" t="s">
        <v>1299</v>
      </c>
      <c r="D7856" t="s">
        <v>1388</v>
      </c>
      <c r="E7856" t="s">
        <v>187</v>
      </c>
      <c r="F7856">
        <v>2005</v>
      </c>
      <c r="G7856">
        <v>694.98199999999997</v>
      </c>
    </row>
    <row r="7857" spans="1:7">
      <c r="A7857" t="s">
        <v>1297</v>
      </c>
      <c r="B7857" t="s">
        <v>1298</v>
      </c>
      <c r="C7857" t="s">
        <v>1299</v>
      </c>
      <c r="D7857" t="s">
        <v>1388</v>
      </c>
      <c r="E7857" t="s">
        <v>187</v>
      </c>
      <c r="F7857">
        <v>2010</v>
      </c>
      <c r="G7857">
        <v>510.524</v>
      </c>
    </row>
    <row r="7858" spans="1:7">
      <c r="A7858" t="s">
        <v>1297</v>
      </c>
      <c r="B7858" t="s">
        <v>1298</v>
      </c>
      <c r="C7858" t="s">
        <v>1299</v>
      </c>
      <c r="D7858" t="s">
        <v>1388</v>
      </c>
      <c r="E7858" t="s">
        <v>187</v>
      </c>
      <c r="F7858">
        <v>2012</v>
      </c>
      <c r="G7858">
        <v>486.27199999999999</v>
      </c>
    </row>
    <row r="7859" spans="1:7">
      <c r="A7859" t="s">
        <v>1297</v>
      </c>
      <c r="B7859" t="s">
        <v>1298</v>
      </c>
      <c r="C7859" t="s">
        <v>1299</v>
      </c>
      <c r="D7859" t="s">
        <v>1388</v>
      </c>
      <c r="E7859" t="s">
        <v>187</v>
      </c>
      <c r="F7859">
        <v>2016</v>
      </c>
      <c r="G7859">
        <v>264.61099999999999</v>
      </c>
    </row>
    <row r="7860" spans="1:7">
      <c r="A7860" t="s">
        <v>1297</v>
      </c>
      <c r="B7860" t="s">
        <v>1298</v>
      </c>
      <c r="C7860" t="s">
        <v>1299</v>
      </c>
      <c r="D7860" t="s">
        <v>1388</v>
      </c>
      <c r="E7860" t="s">
        <v>187</v>
      </c>
      <c r="F7860">
        <v>2020</v>
      </c>
      <c r="G7860">
        <v>252.04400000000001</v>
      </c>
    </row>
    <row r="7861" spans="1:7">
      <c r="A7861" t="s">
        <v>1297</v>
      </c>
      <c r="B7861" t="s">
        <v>1298</v>
      </c>
      <c r="C7861" t="s">
        <v>672</v>
      </c>
      <c r="D7861" t="s">
        <v>1388</v>
      </c>
      <c r="E7861" t="s">
        <v>187</v>
      </c>
      <c r="F7861">
        <v>2005</v>
      </c>
      <c r="G7861">
        <v>8.6969999999999992</v>
      </c>
    </row>
    <row r="7862" spans="1:7">
      <c r="A7862" t="s">
        <v>1297</v>
      </c>
      <c r="B7862" t="s">
        <v>1298</v>
      </c>
      <c r="C7862" t="s">
        <v>672</v>
      </c>
      <c r="D7862" t="s">
        <v>1388</v>
      </c>
      <c r="E7862" t="s">
        <v>187</v>
      </c>
      <c r="F7862">
        <v>2010</v>
      </c>
      <c r="G7862">
        <v>18.209</v>
      </c>
    </row>
    <row r="7863" spans="1:7">
      <c r="A7863" t="s">
        <v>1297</v>
      </c>
      <c r="B7863" t="s">
        <v>1298</v>
      </c>
      <c r="C7863" t="s">
        <v>672</v>
      </c>
      <c r="D7863" t="s">
        <v>1388</v>
      </c>
      <c r="E7863" t="s">
        <v>187</v>
      </c>
      <c r="F7863">
        <v>2012</v>
      </c>
      <c r="G7863">
        <v>19.308</v>
      </c>
    </row>
    <row r="7864" spans="1:7">
      <c r="A7864" t="s">
        <v>1297</v>
      </c>
      <c r="B7864" t="s">
        <v>1298</v>
      </c>
      <c r="C7864" t="s">
        <v>672</v>
      </c>
      <c r="D7864" t="s">
        <v>1388</v>
      </c>
      <c r="E7864" t="s">
        <v>187</v>
      </c>
      <c r="F7864">
        <v>2016</v>
      </c>
      <c r="G7864">
        <v>18.649999999999999</v>
      </c>
    </row>
    <row r="7865" spans="1:7">
      <c r="A7865" t="s">
        <v>1297</v>
      </c>
      <c r="B7865" t="s">
        <v>1298</v>
      </c>
      <c r="C7865" t="s">
        <v>672</v>
      </c>
      <c r="D7865" t="s">
        <v>1388</v>
      </c>
      <c r="E7865" t="s">
        <v>187</v>
      </c>
      <c r="F7865">
        <v>2020</v>
      </c>
      <c r="G7865">
        <v>20.715705</v>
      </c>
    </row>
    <row r="7866" spans="1:7">
      <c r="A7866" t="s">
        <v>1297</v>
      </c>
      <c r="B7866" t="s">
        <v>1298</v>
      </c>
      <c r="C7866" t="s">
        <v>674</v>
      </c>
      <c r="D7866" t="s">
        <v>1388</v>
      </c>
      <c r="E7866" t="s">
        <v>187</v>
      </c>
      <c r="F7866">
        <v>2005</v>
      </c>
      <c r="G7866">
        <v>6.5910000000000002</v>
      </c>
    </row>
    <row r="7867" spans="1:7">
      <c r="A7867" t="s">
        <v>1297</v>
      </c>
      <c r="B7867" t="s">
        <v>1298</v>
      </c>
      <c r="C7867" t="s">
        <v>674</v>
      </c>
      <c r="D7867" t="s">
        <v>1388</v>
      </c>
      <c r="E7867" t="s">
        <v>187</v>
      </c>
      <c r="F7867">
        <v>2010</v>
      </c>
      <c r="G7867">
        <v>18.791</v>
      </c>
    </row>
    <row r="7868" spans="1:7">
      <c r="A7868" t="s">
        <v>1297</v>
      </c>
      <c r="B7868" t="s">
        <v>1298</v>
      </c>
      <c r="C7868" t="s">
        <v>674</v>
      </c>
      <c r="D7868" t="s">
        <v>1388</v>
      </c>
      <c r="E7868" t="s">
        <v>187</v>
      </c>
      <c r="F7868">
        <v>2012</v>
      </c>
      <c r="G7868">
        <v>10.074999999999999</v>
      </c>
    </row>
    <row r="7869" spans="1:7">
      <c r="A7869" t="s">
        <v>1297</v>
      </c>
      <c r="B7869" t="s">
        <v>1298</v>
      </c>
      <c r="C7869" t="s">
        <v>674</v>
      </c>
      <c r="D7869" t="s">
        <v>1388</v>
      </c>
      <c r="E7869" t="s">
        <v>187</v>
      </c>
      <c r="F7869">
        <v>2016</v>
      </c>
      <c r="G7869">
        <v>7.7720000000000002</v>
      </c>
    </row>
    <row r="7870" spans="1:7">
      <c r="A7870" t="s">
        <v>1297</v>
      </c>
      <c r="B7870" t="s">
        <v>1298</v>
      </c>
      <c r="C7870" t="s">
        <v>674</v>
      </c>
      <c r="D7870" t="s">
        <v>1388</v>
      </c>
      <c r="E7870" t="s">
        <v>187</v>
      </c>
      <c r="F7870">
        <v>2020</v>
      </c>
      <c r="G7870">
        <v>3.2149999999999999</v>
      </c>
    </row>
    <row r="7871" spans="1:7">
      <c r="A7871" t="s">
        <v>1297</v>
      </c>
      <c r="B7871" t="s">
        <v>1298</v>
      </c>
      <c r="C7871" t="s">
        <v>656</v>
      </c>
      <c r="D7871" t="s">
        <v>1388</v>
      </c>
      <c r="E7871" t="s">
        <v>187</v>
      </c>
      <c r="F7871">
        <v>2005</v>
      </c>
      <c r="G7871">
        <v>264.32900000000001</v>
      </c>
    </row>
    <row r="7872" spans="1:7">
      <c r="A7872" t="s">
        <v>1297</v>
      </c>
      <c r="B7872" t="s">
        <v>1298</v>
      </c>
      <c r="C7872" t="s">
        <v>656</v>
      </c>
      <c r="D7872" t="s">
        <v>1388</v>
      </c>
      <c r="E7872" t="s">
        <v>187</v>
      </c>
      <c r="F7872">
        <v>2010</v>
      </c>
      <c r="G7872">
        <v>256.76799999999997</v>
      </c>
    </row>
    <row r="7873" spans="1:7">
      <c r="A7873" t="s">
        <v>1297</v>
      </c>
      <c r="B7873" t="s">
        <v>1298</v>
      </c>
      <c r="C7873" t="s">
        <v>656</v>
      </c>
      <c r="D7873" t="s">
        <v>1388</v>
      </c>
      <c r="E7873" t="s">
        <v>187</v>
      </c>
      <c r="F7873">
        <v>2012</v>
      </c>
      <c r="G7873">
        <v>217.49600000000001</v>
      </c>
    </row>
    <row r="7874" spans="1:7">
      <c r="A7874" t="s">
        <v>1297</v>
      </c>
      <c r="B7874" t="s">
        <v>1298</v>
      </c>
      <c r="C7874" t="s">
        <v>656</v>
      </c>
      <c r="D7874" t="s">
        <v>1388</v>
      </c>
      <c r="E7874" t="s">
        <v>187</v>
      </c>
      <c r="F7874">
        <v>2016</v>
      </c>
      <c r="G7874">
        <v>211.589</v>
      </c>
    </row>
    <row r="7875" spans="1:7">
      <c r="A7875" t="s">
        <v>1297</v>
      </c>
      <c r="B7875" t="s">
        <v>1298</v>
      </c>
      <c r="C7875" t="s">
        <v>656</v>
      </c>
      <c r="D7875" t="s">
        <v>1388</v>
      </c>
      <c r="E7875" t="s">
        <v>187</v>
      </c>
      <c r="F7875">
        <v>2020</v>
      </c>
      <c r="G7875">
        <v>205.352</v>
      </c>
    </row>
    <row r="7876" spans="1:7">
      <c r="A7876" t="s">
        <v>1297</v>
      </c>
      <c r="B7876" t="s">
        <v>1298</v>
      </c>
      <c r="C7876" t="s">
        <v>653</v>
      </c>
      <c r="D7876" t="s">
        <v>1388</v>
      </c>
      <c r="E7876" t="s">
        <v>187</v>
      </c>
      <c r="F7876">
        <v>2005</v>
      </c>
      <c r="G7876">
        <v>28.742999999999999</v>
      </c>
    </row>
    <row r="7877" spans="1:7">
      <c r="A7877" t="s">
        <v>1297</v>
      </c>
      <c r="B7877" t="s">
        <v>1298</v>
      </c>
      <c r="C7877" t="s">
        <v>653</v>
      </c>
      <c r="D7877" t="s">
        <v>1388</v>
      </c>
      <c r="E7877" t="s">
        <v>187</v>
      </c>
      <c r="F7877">
        <v>2010</v>
      </c>
      <c r="G7877">
        <v>28.981000000000002</v>
      </c>
    </row>
    <row r="7878" spans="1:7">
      <c r="A7878" t="s">
        <v>1297</v>
      </c>
      <c r="B7878" t="s">
        <v>1298</v>
      </c>
      <c r="C7878" t="s">
        <v>653</v>
      </c>
      <c r="D7878" t="s">
        <v>1388</v>
      </c>
      <c r="E7878" t="s">
        <v>187</v>
      </c>
      <c r="F7878">
        <v>2012</v>
      </c>
      <c r="G7878">
        <v>25.606999999999999</v>
      </c>
    </row>
    <row r="7879" spans="1:7">
      <c r="A7879" t="s">
        <v>1297</v>
      </c>
      <c r="B7879" t="s">
        <v>1298</v>
      </c>
      <c r="C7879" t="s">
        <v>653</v>
      </c>
      <c r="D7879" t="s">
        <v>1388</v>
      </c>
      <c r="E7879" t="s">
        <v>187</v>
      </c>
      <c r="F7879">
        <v>2016</v>
      </c>
      <c r="G7879">
        <v>21.856000000000002</v>
      </c>
    </row>
    <row r="7880" spans="1:7">
      <c r="A7880" t="s">
        <v>1297</v>
      </c>
      <c r="B7880" t="s">
        <v>1298</v>
      </c>
      <c r="C7880" t="s">
        <v>653</v>
      </c>
      <c r="D7880" t="s">
        <v>1388</v>
      </c>
      <c r="E7880" t="s">
        <v>187</v>
      </c>
      <c r="F7880">
        <v>2020</v>
      </c>
      <c r="G7880">
        <v>21.385428999999998</v>
      </c>
    </row>
    <row r="7881" spans="1:7">
      <c r="A7881" t="s">
        <v>1297</v>
      </c>
      <c r="B7881" t="s">
        <v>1298</v>
      </c>
      <c r="C7881" t="s">
        <v>660</v>
      </c>
      <c r="D7881" t="s">
        <v>1388</v>
      </c>
      <c r="E7881" t="s">
        <v>187</v>
      </c>
      <c r="F7881">
        <v>2005</v>
      </c>
      <c r="G7881">
        <v>50.905000000000001</v>
      </c>
    </row>
    <row r="7882" spans="1:7">
      <c r="A7882" t="s">
        <v>1297</v>
      </c>
      <c r="B7882" t="s">
        <v>1298</v>
      </c>
      <c r="C7882" t="s">
        <v>660</v>
      </c>
      <c r="D7882" t="s">
        <v>1388</v>
      </c>
      <c r="E7882" t="s">
        <v>187</v>
      </c>
      <c r="F7882">
        <v>2010</v>
      </c>
      <c r="G7882">
        <v>50.174999999999997</v>
      </c>
    </row>
    <row r="7883" spans="1:7">
      <c r="A7883" t="s">
        <v>1297</v>
      </c>
      <c r="B7883" t="s">
        <v>1298</v>
      </c>
      <c r="C7883" t="s">
        <v>660</v>
      </c>
      <c r="D7883" t="s">
        <v>1388</v>
      </c>
      <c r="E7883" t="s">
        <v>187</v>
      </c>
      <c r="F7883">
        <v>2012</v>
      </c>
      <c r="G7883">
        <v>40.451000000000001</v>
      </c>
    </row>
    <row r="7884" spans="1:7">
      <c r="A7884" t="s">
        <v>1297</v>
      </c>
      <c r="B7884" t="s">
        <v>1298</v>
      </c>
      <c r="C7884" t="s">
        <v>660</v>
      </c>
      <c r="D7884" t="s">
        <v>1388</v>
      </c>
      <c r="E7884" t="s">
        <v>187</v>
      </c>
      <c r="F7884">
        <v>2016</v>
      </c>
      <c r="G7884">
        <v>26.021000000000001</v>
      </c>
    </row>
    <row r="7885" spans="1:7">
      <c r="A7885" t="s">
        <v>1297</v>
      </c>
      <c r="B7885" t="s">
        <v>1298</v>
      </c>
      <c r="C7885" t="s">
        <v>660</v>
      </c>
      <c r="D7885" t="s">
        <v>1388</v>
      </c>
      <c r="E7885" t="s">
        <v>187</v>
      </c>
      <c r="F7885">
        <v>2020</v>
      </c>
      <c r="G7885">
        <v>21.219000000000001</v>
      </c>
    </row>
    <row r="7886" spans="1:7">
      <c r="A7886" t="s">
        <v>1297</v>
      </c>
      <c r="B7886" t="s">
        <v>1298</v>
      </c>
      <c r="C7886" t="s">
        <v>289</v>
      </c>
      <c r="D7886" t="s">
        <v>1388</v>
      </c>
      <c r="E7886" t="s">
        <v>187</v>
      </c>
      <c r="F7886">
        <v>2005</v>
      </c>
      <c r="G7886">
        <v>8.6489999999999991</v>
      </c>
    </row>
    <row r="7887" spans="1:7">
      <c r="A7887" t="s">
        <v>1297</v>
      </c>
      <c r="B7887" t="s">
        <v>1298</v>
      </c>
      <c r="C7887" t="s">
        <v>289</v>
      </c>
      <c r="D7887" t="s">
        <v>1388</v>
      </c>
      <c r="E7887" t="s">
        <v>187</v>
      </c>
      <c r="F7887">
        <v>2010</v>
      </c>
      <c r="G7887">
        <v>9.7439999999999998</v>
      </c>
    </row>
    <row r="7888" spans="1:7">
      <c r="A7888" t="s">
        <v>1297</v>
      </c>
      <c r="B7888" t="s">
        <v>1298</v>
      </c>
      <c r="C7888" t="s">
        <v>289</v>
      </c>
      <c r="D7888" t="s">
        <v>1388</v>
      </c>
      <c r="E7888" t="s">
        <v>187</v>
      </c>
      <c r="F7888">
        <v>2012</v>
      </c>
      <c r="G7888">
        <v>10.148999999999999</v>
      </c>
    </row>
    <row r="7889" spans="1:7">
      <c r="A7889" t="s">
        <v>1297</v>
      </c>
      <c r="B7889" t="s">
        <v>1298</v>
      </c>
      <c r="C7889" t="s">
        <v>289</v>
      </c>
      <c r="D7889" t="s">
        <v>1388</v>
      </c>
      <c r="E7889" t="s">
        <v>187</v>
      </c>
      <c r="F7889">
        <v>2016</v>
      </c>
      <c r="G7889">
        <v>9.9510000000000005</v>
      </c>
    </row>
    <row r="7890" spans="1:7">
      <c r="A7890" t="s">
        <v>1297</v>
      </c>
      <c r="B7890" t="s">
        <v>1298</v>
      </c>
      <c r="C7890" t="s">
        <v>289</v>
      </c>
      <c r="D7890" t="s">
        <v>1388</v>
      </c>
      <c r="E7890" t="s">
        <v>187</v>
      </c>
      <c r="F7890">
        <v>2020</v>
      </c>
      <c r="G7890">
        <v>9.4329999999999998</v>
      </c>
    </row>
    <row r="7891" spans="1:7">
      <c r="A7891" t="s">
        <v>1297</v>
      </c>
      <c r="B7891" t="s">
        <v>1298</v>
      </c>
      <c r="C7891" t="s">
        <v>668</v>
      </c>
      <c r="D7891" t="s">
        <v>1388</v>
      </c>
      <c r="E7891" t="s">
        <v>187</v>
      </c>
      <c r="F7891">
        <v>2005</v>
      </c>
      <c r="G7891">
        <v>24.681999999999999</v>
      </c>
    </row>
    <row r="7892" spans="1:7">
      <c r="A7892" t="s">
        <v>1297</v>
      </c>
      <c r="B7892" t="s">
        <v>1298</v>
      </c>
      <c r="C7892" t="s">
        <v>668</v>
      </c>
      <c r="D7892" t="s">
        <v>1388</v>
      </c>
      <c r="E7892" t="s">
        <v>187</v>
      </c>
      <c r="F7892">
        <v>2010</v>
      </c>
      <c r="G7892">
        <v>23.329000000000001</v>
      </c>
    </row>
    <row r="7893" spans="1:7">
      <c r="A7893" t="s">
        <v>1297</v>
      </c>
      <c r="B7893" t="s">
        <v>1298</v>
      </c>
      <c r="C7893" t="s">
        <v>668</v>
      </c>
      <c r="D7893" t="s">
        <v>1388</v>
      </c>
      <c r="E7893" t="s">
        <v>187</v>
      </c>
      <c r="F7893">
        <v>2012</v>
      </c>
      <c r="G7893">
        <v>21.045000000000002</v>
      </c>
    </row>
    <row r="7894" spans="1:7">
      <c r="A7894" t="s">
        <v>1297</v>
      </c>
      <c r="B7894" t="s">
        <v>1298</v>
      </c>
      <c r="C7894" t="s">
        <v>668</v>
      </c>
      <c r="D7894" t="s">
        <v>1388</v>
      </c>
      <c r="E7894" t="s">
        <v>187</v>
      </c>
      <c r="F7894">
        <v>2016</v>
      </c>
      <c r="G7894">
        <v>17.297999999999998</v>
      </c>
    </row>
    <row r="7895" spans="1:7">
      <c r="A7895" t="s">
        <v>1297</v>
      </c>
      <c r="B7895" t="s">
        <v>1298</v>
      </c>
      <c r="C7895" t="s">
        <v>668</v>
      </c>
      <c r="D7895" t="s">
        <v>1388</v>
      </c>
      <c r="E7895" t="s">
        <v>187</v>
      </c>
      <c r="F7895">
        <v>2020</v>
      </c>
      <c r="G7895">
        <v>13.112333</v>
      </c>
    </row>
    <row r="7896" spans="1:7">
      <c r="A7896" t="s">
        <v>1297</v>
      </c>
      <c r="B7896" t="s">
        <v>1298</v>
      </c>
      <c r="C7896" t="s">
        <v>667</v>
      </c>
      <c r="D7896" t="s">
        <v>1388</v>
      </c>
      <c r="E7896" t="s">
        <v>187</v>
      </c>
      <c r="F7896">
        <v>2005</v>
      </c>
      <c r="G7896">
        <v>3.1009829999999998</v>
      </c>
    </row>
    <row r="7897" spans="1:7">
      <c r="A7897" t="s">
        <v>1297</v>
      </c>
      <c r="B7897" t="s">
        <v>1298</v>
      </c>
      <c r="C7897" t="s">
        <v>667</v>
      </c>
      <c r="D7897" t="s">
        <v>1388</v>
      </c>
      <c r="E7897" t="s">
        <v>187</v>
      </c>
      <c r="F7897">
        <v>2010</v>
      </c>
      <c r="G7897">
        <v>2.9843320000000002</v>
      </c>
    </row>
    <row r="7898" spans="1:7">
      <c r="A7898" t="s">
        <v>1297</v>
      </c>
      <c r="B7898" t="s">
        <v>1298</v>
      </c>
      <c r="C7898" t="s">
        <v>667</v>
      </c>
      <c r="D7898" t="s">
        <v>1388</v>
      </c>
      <c r="E7898" t="s">
        <v>187</v>
      </c>
      <c r="F7898">
        <v>2012</v>
      </c>
      <c r="G7898">
        <v>2.933249</v>
      </c>
    </row>
    <row r="7899" spans="1:7">
      <c r="A7899" t="s">
        <v>1297</v>
      </c>
      <c r="B7899" t="s">
        <v>1298</v>
      </c>
      <c r="C7899" t="s">
        <v>667</v>
      </c>
      <c r="D7899" t="s">
        <v>1388</v>
      </c>
      <c r="E7899" t="s">
        <v>187</v>
      </c>
      <c r="F7899">
        <v>2016</v>
      </c>
      <c r="G7899">
        <v>1.769916</v>
      </c>
    </row>
    <row r="7900" spans="1:7">
      <c r="A7900" t="s">
        <v>1297</v>
      </c>
      <c r="B7900" t="s">
        <v>1298</v>
      </c>
      <c r="C7900" t="s">
        <v>667</v>
      </c>
      <c r="D7900" t="s">
        <v>1388</v>
      </c>
      <c r="E7900" t="s">
        <v>187</v>
      </c>
      <c r="F7900">
        <v>2020</v>
      </c>
      <c r="G7900">
        <v>1.447759</v>
      </c>
    </row>
    <row r="7901" spans="1:7">
      <c r="A7901" t="s">
        <v>1297</v>
      </c>
      <c r="B7901" t="s">
        <v>1298</v>
      </c>
      <c r="C7901" t="s">
        <v>665</v>
      </c>
      <c r="D7901" t="s">
        <v>1388</v>
      </c>
      <c r="E7901" t="s">
        <v>187</v>
      </c>
      <c r="F7901">
        <v>2005</v>
      </c>
      <c r="G7901">
        <v>120.822</v>
      </c>
    </row>
    <row r="7902" spans="1:7">
      <c r="A7902" t="s">
        <v>1297</v>
      </c>
      <c r="B7902" t="s">
        <v>1298</v>
      </c>
      <c r="C7902" t="s">
        <v>665</v>
      </c>
      <c r="D7902" t="s">
        <v>1388</v>
      </c>
      <c r="E7902" t="s">
        <v>187</v>
      </c>
      <c r="F7902">
        <v>2010</v>
      </c>
      <c r="G7902">
        <v>128.83199999999999</v>
      </c>
    </row>
    <row r="7903" spans="1:7">
      <c r="A7903" t="s">
        <v>1297</v>
      </c>
      <c r="B7903" t="s">
        <v>1298</v>
      </c>
      <c r="C7903" t="s">
        <v>665</v>
      </c>
      <c r="D7903" t="s">
        <v>1388</v>
      </c>
      <c r="E7903" t="s">
        <v>187</v>
      </c>
      <c r="F7903">
        <v>2012</v>
      </c>
      <c r="G7903">
        <v>128.827</v>
      </c>
    </row>
    <row r="7904" spans="1:7">
      <c r="A7904" t="s">
        <v>1297</v>
      </c>
      <c r="B7904" t="s">
        <v>1298</v>
      </c>
      <c r="C7904" t="s">
        <v>665</v>
      </c>
      <c r="D7904" t="s">
        <v>1388</v>
      </c>
      <c r="E7904" t="s">
        <v>187</v>
      </c>
      <c r="F7904">
        <v>2016</v>
      </c>
      <c r="G7904">
        <v>138.65299999999999</v>
      </c>
    </row>
    <row r="7905" spans="1:7">
      <c r="A7905" t="s">
        <v>1297</v>
      </c>
      <c r="B7905" t="s">
        <v>1298</v>
      </c>
      <c r="C7905" t="s">
        <v>665</v>
      </c>
      <c r="D7905" t="s">
        <v>1388</v>
      </c>
      <c r="E7905" t="s">
        <v>187</v>
      </c>
      <c r="F7905">
        <v>2020</v>
      </c>
      <c r="G7905">
        <v>148.56917200000001</v>
      </c>
    </row>
    <row r="7906" spans="1:7">
      <c r="A7906" t="s">
        <v>1297</v>
      </c>
      <c r="B7906" t="s">
        <v>1298</v>
      </c>
      <c r="C7906" t="s">
        <v>655</v>
      </c>
      <c r="D7906" t="s">
        <v>1388</v>
      </c>
      <c r="E7906" t="s">
        <v>187</v>
      </c>
      <c r="F7906">
        <v>2005</v>
      </c>
      <c r="G7906">
        <v>37.496000000000002</v>
      </c>
    </row>
    <row r="7907" spans="1:7">
      <c r="A7907" t="s">
        <v>1297</v>
      </c>
      <c r="B7907" t="s">
        <v>1298</v>
      </c>
      <c r="C7907" t="s">
        <v>655</v>
      </c>
      <c r="D7907" t="s">
        <v>1388</v>
      </c>
      <c r="E7907" t="s">
        <v>187</v>
      </c>
      <c r="F7907">
        <v>2010</v>
      </c>
      <c r="G7907">
        <v>38.656999999999996</v>
      </c>
    </row>
    <row r="7908" spans="1:7">
      <c r="A7908" t="s">
        <v>1297</v>
      </c>
      <c r="B7908" t="s">
        <v>1298</v>
      </c>
      <c r="C7908" t="s">
        <v>655</v>
      </c>
      <c r="D7908" t="s">
        <v>1388</v>
      </c>
      <c r="E7908" t="s">
        <v>187</v>
      </c>
      <c r="F7908">
        <v>2012</v>
      </c>
      <c r="G7908">
        <v>36.549999999999997</v>
      </c>
    </row>
    <row r="7909" spans="1:7">
      <c r="A7909" t="s">
        <v>1297</v>
      </c>
      <c r="B7909" t="s">
        <v>1298</v>
      </c>
      <c r="C7909" t="s">
        <v>655</v>
      </c>
      <c r="D7909" t="s">
        <v>1388</v>
      </c>
      <c r="E7909" t="s">
        <v>187</v>
      </c>
      <c r="F7909">
        <v>2016</v>
      </c>
      <c r="G7909">
        <v>35.281999999999996</v>
      </c>
    </row>
    <row r="7910" spans="1:7">
      <c r="A7910" t="s">
        <v>1297</v>
      </c>
      <c r="B7910" t="s">
        <v>1298</v>
      </c>
      <c r="C7910" t="s">
        <v>655</v>
      </c>
      <c r="D7910" t="s">
        <v>1388</v>
      </c>
      <c r="E7910" t="s">
        <v>187</v>
      </c>
      <c r="F7910">
        <v>2020</v>
      </c>
      <c r="G7910">
        <v>33.960135000000001</v>
      </c>
    </row>
    <row r="7911" spans="1:7">
      <c r="A7911" t="s">
        <v>1297</v>
      </c>
      <c r="B7911" t="s">
        <v>1298</v>
      </c>
      <c r="C7911" t="s">
        <v>670</v>
      </c>
      <c r="D7911" t="s">
        <v>1388</v>
      </c>
      <c r="E7911" t="s">
        <v>187</v>
      </c>
      <c r="F7911">
        <v>2005</v>
      </c>
      <c r="G7911">
        <v>110.274</v>
      </c>
    </row>
    <row r="7912" spans="1:7">
      <c r="A7912" t="s">
        <v>1297</v>
      </c>
      <c r="B7912" t="s">
        <v>1298</v>
      </c>
      <c r="C7912" t="s">
        <v>670</v>
      </c>
      <c r="D7912" t="s">
        <v>1388</v>
      </c>
      <c r="E7912" t="s">
        <v>187</v>
      </c>
      <c r="F7912">
        <v>2010</v>
      </c>
      <c r="G7912">
        <v>112.28100000000001</v>
      </c>
    </row>
    <row r="7913" spans="1:7">
      <c r="A7913" t="s">
        <v>1297</v>
      </c>
      <c r="B7913" t="s">
        <v>1298</v>
      </c>
      <c r="C7913" t="s">
        <v>670</v>
      </c>
      <c r="D7913" t="s">
        <v>1388</v>
      </c>
      <c r="E7913" t="s">
        <v>187</v>
      </c>
      <c r="F7913">
        <v>2012</v>
      </c>
      <c r="G7913">
        <v>112.245</v>
      </c>
    </row>
    <row r="7914" spans="1:7">
      <c r="A7914" t="s">
        <v>1297</v>
      </c>
      <c r="B7914" t="s">
        <v>1298</v>
      </c>
      <c r="C7914" t="s">
        <v>670</v>
      </c>
      <c r="D7914" t="s">
        <v>1388</v>
      </c>
      <c r="E7914" t="s">
        <v>187</v>
      </c>
      <c r="F7914">
        <v>2016</v>
      </c>
      <c r="G7914">
        <v>76.834171999999995</v>
      </c>
    </row>
    <row r="7915" spans="1:7">
      <c r="A7915" t="s">
        <v>1297</v>
      </c>
      <c r="B7915" t="s">
        <v>1298</v>
      </c>
      <c r="C7915" t="s">
        <v>670</v>
      </c>
      <c r="D7915" t="s">
        <v>1388</v>
      </c>
      <c r="E7915" t="s">
        <v>187</v>
      </c>
      <c r="F7915">
        <v>2020</v>
      </c>
      <c r="G7915">
        <v>66.127402000000004</v>
      </c>
    </row>
    <row r="7916" spans="1:7">
      <c r="A7916" t="s">
        <v>1297</v>
      </c>
      <c r="B7916" t="s">
        <v>1298</v>
      </c>
      <c r="C7916" t="s">
        <v>673</v>
      </c>
      <c r="D7916" t="s">
        <v>1388</v>
      </c>
      <c r="E7916" t="s">
        <v>187</v>
      </c>
      <c r="F7916">
        <v>2005</v>
      </c>
      <c r="G7916">
        <v>75.52</v>
      </c>
    </row>
    <row r="7917" spans="1:7">
      <c r="A7917" t="s">
        <v>1297</v>
      </c>
      <c r="B7917" t="s">
        <v>1298</v>
      </c>
      <c r="C7917" t="s">
        <v>673</v>
      </c>
      <c r="D7917" t="s">
        <v>1388</v>
      </c>
      <c r="E7917" t="s">
        <v>187</v>
      </c>
      <c r="F7917">
        <v>2010</v>
      </c>
      <c r="G7917">
        <v>63.35</v>
      </c>
    </row>
    <row r="7918" spans="1:7">
      <c r="A7918" t="s">
        <v>1297</v>
      </c>
      <c r="B7918" t="s">
        <v>1298</v>
      </c>
      <c r="C7918" t="s">
        <v>673</v>
      </c>
      <c r="D7918" t="s">
        <v>1388</v>
      </c>
      <c r="E7918" t="s">
        <v>187</v>
      </c>
      <c r="F7918">
        <v>2012</v>
      </c>
      <c r="G7918">
        <v>53.158000000000001</v>
      </c>
    </row>
    <row r="7919" spans="1:7">
      <c r="A7919" t="s">
        <v>1297</v>
      </c>
      <c r="B7919" t="s">
        <v>1298</v>
      </c>
      <c r="C7919" t="s">
        <v>673</v>
      </c>
      <c r="D7919" t="s">
        <v>1388</v>
      </c>
      <c r="E7919" t="s">
        <v>187</v>
      </c>
      <c r="F7919">
        <v>2016</v>
      </c>
      <c r="G7919">
        <v>47.567999999999998</v>
      </c>
    </row>
    <row r="7920" spans="1:7">
      <c r="A7920" t="s">
        <v>1297</v>
      </c>
      <c r="B7920" t="s">
        <v>1298</v>
      </c>
      <c r="C7920" t="s">
        <v>673</v>
      </c>
      <c r="D7920" t="s">
        <v>1388</v>
      </c>
      <c r="E7920" t="s">
        <v>187</v>
      </c>
      <c r="F7920">
        <v>2020</v>
      </c>
      <c r="G7920">
        <v>44.273733</v>
      </c>
    </row>
    <row r="7921" spans="1:7">
      <c r="A7921" t="s">
        <v>1297</v>
      </c>
      <c r="B7921" t="s">
        <v>1298</v>
      </c>
      <c r="C7921" t="s">
        <v>679</v>
      </c>
      <c r="D7921" t="s">
        <v>1388</v>
      </c>
      <c r="E7921" t="s">
        <v>187</v>
      </c>
      <c r="F7921">
        <v>2005</v>
      </c>
      <c r="G7921">
        <v>0.316</v>
      </c>
    </row>
    <row r="7922" spans="1:7">
      <c r="A7922" t="s">
        <v>1297</v>
      </c>
      <c r="B7922" t="s">
        <v>1298</v>
      </c>
      <c r="C7922" t="s">
        <v>679</v>
      </c>
      <c r="D7922" t="s">
        <v>1388</v>
      </c>
      <c r="E7922" t="s">
        <v>187</v>
      </c>
      <c r="F7922">
        <v>2010</v>
      </c>
      <c r="G7922">
        <v>0.78</v>
      </c>
    </row>
    <row r="7923" spans="1:7">
      <c r="A7923" t="s">
        <v>1297</v>
      </c>
      <c r="B7923" t="s">
        <v>1298</v>
      </c>
      <c r="C7923" t="s">
        <v>679</v>
      </c>
      <c r="D7923" t="s">
        <v>1388</v>
      </c>
      <c r="E7923" t="s">
        <v>187</v>
      </c>
      <c r="F7923">
        <v>2012</v>
      </c>
      <c r="G7923">
        <v>0.61099999999999999</v>
      </c>
    </row>
    <row r="7924" spans="1:7">
      <c r="A7924" t="s">
        <v>1297</v>
      </c>
      <c r="B7924" t="s">
        <v>1298</v>
      </c>
      <c r="C7924" t="s">
        <v>679</v>
      </c>
      <c r="D7924" t="s">
        <v>1388</v>
      </c>
      <c r="E7924" t="s">
        <v>187</v>
      </c>
      <c r="F7924">
        <v>2016</v>
      </c>
      <c r="G7924">
        <v>0.504</v>
      </c>
    </row>
    <row r="7925" spans="1:7">
      <c r="A7925" t="s">
        <v>1297</v>
      </c>
      <c r="B7925" t="s">
        <v>1298</v>
      </c>
      <c r="C7925" t="s">
        <v>679</v>
      </c>
      <c r="D7925" t="s">
        <v>1388</v>
      </c>
      <c r="E7925" t="s">
        <v>187</v>
      </c>
      <c r="F7925">
        <v>2020</v>
      </c>
      <c r="G7925">
        <v>0.490342</v>
      </c>
    </row>
    <row r="7926" spans="1:7">
      <c r="A7926" t="s">
        <v>1297</v>
      </c>
      <c r="B7926" t="s">
        <v>1298</v>
      </c>
      <c r="C7926" t="s">
        <v>661</v>
      </c>
      <c r="D7926" t="s">
        <v>1388</v>
      </c>
      <c r="E7926" t="s">
        <v>187</v>
      </c>
      <c r="F7926">
        <v>2005</v>
      </c>
      <c r="G7926">
        <v>107.53700000000001</v>
      </c>
    </row>
    <row r="7927" spans="1:7">
      <c r="A7927" t="s">
        <v>1297</v>
      </c>
      <c r="B7927" t="s">
        <v>1298</v>
      </c>
      <c r="C7927" t="s">
        <v>661</v>
      </c>
      <c r="D7927" t="s">
        <v>1388</v>
      </c>
      <c r="E7927" t="s">
        <v>187</v>
      </c>
      <c r="F7927">
        <v>2010</v>
      </c>
      <c r="G7927">
        <v>78.468999999999994</v>
      </c>
    </row>
    <row r="7928" spans="1:7">
      <c r="A7928" t="s">
        <v>1297</v>
      </c>
      <c r="B7928" t="s">
        <v>1298</v>
      </c>
      <c r="C7928" t="s">
        <v>661</v>
      </c>
      <c r="D7928" t="s">
        <v>1388</v>
      </c>
      <c r="E7928" t="s">
        <v>187</v>
      </c>
      <c r="F7928">
        <v>2012</v>
      </c>
      <c r="G7928">
        <v>74.101928999999998</v>
      </c>
    </row>
    <row r="7929" spans="1:7">
      <c r="A7929" t="s">
        <v>1297</v>
      </c>
      <c r="B7929" t="s">
        <v>1298</v>
      </c>
      <c r="C7929" t="s">
        <v>661</v>
      </c>
      <c r="D7929" t="s">
        <v>1388</v>
      </c>
      <c r="E7929" t="s">
        <v>187</v>
      </c>
      <c r="F7929">
        <v>2016</v>
      </c>
      <c r="G7929">
        <v>64.491884999999996</v>
      </c>
    </row>
    <row r="7930" spans="1:7">
      <c r="A7930" t="s">
        <v>1297</v>
      </c>
      <c r="B7930" t="s">
        <v>1298</v>
      </c>
      <c r="C7930" t="s">
        <v>661</v>
      </c>
      <c r="D7930" t="s">
        <v>1388</v>
      </c>
      <c r="E7930" t="s">
        <v>187</v>
      </c>
      <c r="F7930">
        <v>2020</v>
      </c>
      <c r="G7930">
        <v>64.853493999999998</v>
      </c>
    </row>
    <row r="7931" spans="1:7">
      <c r="A7931" t="s">
        <v>1297</v>
      </c>
      <c r="B7931" t="s">
        <v>1298</v>
      </c>
      <c r="C7931" t="s">
        <v>663</v>
      </c>
      <c r="D7931" t="s">
        <v>1388</v>
      </c>
      <c r="E7931" t="s">
        <v>187</v>
      </c>
      <c r="F7931">
        <v>2005</v>
      </c>
      <c r="G7931">
        <v>51.034999999999997</v>
      </c>
    </row>
    <row r="7932" spans="1:7">
      <c r="A7932" t="s">
        <v>1297</v>
      </c>
      <c r="B7932" t="s">
        <v>1298</v>
      </c>
      <c r="C7932" t="s">
        <v>663</v>
      </c>
      <c r="D7932" t="s">
        <v>1388</v>
      </c>
      <c r="E7932" t="s">
        <v>187</v>
      </c>
      <c r="F7932">
        <v>2010</v>
      </c>
      <c r="G7932">
        <v>41.469000000000001</v>
      </c>
    </row>
    <row r="7933" spans="1:7">
      <c r="A7933" t="s">
        <v>1297</v>
      </c>
      <c r="B7933" t="s">
        <v>1298</v>
      </c>
      <c r="C7933" t="s">
        <v>663</v>
      </c>
      <c r="D7933" t="s">
        <v>1388</v>
      </c>
      <c r="E7933" t="s">
        <v>187</v>
      </c>
      <c r="F7933">
        <v>2012</v>
      </c>
      <c r="G7933">
        <v>38.314</v>
      </c>
    </row>
    <row r="7934" spans="1:7">
      <c r="A7934" t="s">
        <v>1297</v>
      </c>
      <c r="B7934" t="s">
        <v>1298</v>
      </c>
      <c r="C7934" t="s">
        <v>663</v>
      </c>
      <c r="D7934" t="s">
        <v>1388</v>
      </c>
      <c r="E7934" t="s">
        <v>187</v>
      </c>
      <c r="F7934">
        <v>2016</v>
      </c>
      <c r="G7934">
        <v>35.585000000000001</v>
      </c>
    </row>
    <row r="7935" spans="1:7">
      <c r="A7935" t="s">
        <v>1297</v>
      </c>
      <c r="B7935" t="s">
        <v>1298</v>
      </c>
      <c r="C7935" t="s">
        <v>663</v>
      </c>
      <c r="D7935" t="s">
        <v>1388</v>
      </c>
      <c r="E7935" t="s">
        <v>187</v>
      </c>
      <c r="F7935">
        <v>2020</v>
      </c>
      <c r="G7935">
        <v>32.561</v>
      </c>
    </row>
    <row r="7936" spans="1:7">
      <c r="A7936" t="s">
        <v>1297</v>
      </c>
      <c r="B7936" t="s">
        <v>1298</v>
      </c>
      <c r="C7936" t="s">
        <v>651</v>
      </c>
      <c r="D7936" t="s">
        <v>1388</v>
      </c>
      <c r="E7936" t="s">
        <v>187</v>
      </c>
      <c r="F7936">
        <v>2012</v>
      </c>
      <c r="G7936">
        <v>33.083477999999999</v>
      </c>
    </row>
    <row r="7937" spans="1:7">
      <c r="A7937" t="s">
        <v>1297</v>
      </c>
      <c r="B7937" t="s">
        <v>1298</v>
      </c>
      <c r="C7937" t="s">
        <v>651</v>
      </c>
      <c r="D7937" t="s">
        <v>1388</v>
      </c>
      <c r="E7937" t="s">
        <v>187</v>
      </c>
      <c r="F7937">
        <v>2016</v>
      </c>
      <c r="G7937">
        <v>31.173821</v>
      </c>
    </row>
    <row r="7938" spans="1:7">
      <c r="A7938" t="s">
        <v>1297</v>
      </c>
      <c r="B7938" t="s">
        <v>1298</v>
      </c>
      <c r="C7938" t="s">
        <v>651</v>
      </c>
      <c r="D7938" t="s">
        <v>1388</v>
      </c>
      <c r="E7938" t="s">
        <v>187</v>
      </c>
      <c r="F7938">
        <v>2020</v>
      </c>
      <c r="G7938">
        <v>29.656459000000002</v>
      </c>
    </row>
    <row r="7939" spans="1:7">
      <c r="A7939" t="s">
        <v>1297</v>
      </c>
      <c r="B7939" t="s">
        <v>1298</v>
      </c>
      <c r="C7939" t="s">
        <v>1301</v>
      </c>
      <c r="D7939" t="s">
        <v>1388</v>
      </c>
      <c r="E7939" t="s">
        <v>187</v>
      </c>
      <c r="F7939">
        <v>2005</v>
      </c>
      <c r="G7939">
        <v>33.466999999999999</v>
      </c>
    </row>
    <row r="7940" spans="1:7">
      <c r="A7940" t="s">
        <v>1297</v>
      </c>
      <c r="B7940" t="s">
        <v>1298</v>
      </c>
      <c r="C7940" t="s">
        <v>1301</v>
      </c>
      <c r="D7940" t="s">
        <v>1388</v>
      </c>
      <c r="E7940" t="s">
        <v>187</v>
      </c>
      <c r="F7940">
        <v>2010</v>
      </c>
      <c r="G7940">
        <v>49.314999999999998</v>
      </c>
    </row>
    <row r="7941" spans="1:7">
      <c r="A7941" t="s">
        <v>1297</v>
      </c>
      <c r="B7941" t="s">
        <v>1298</v>
      </c>
      <c r="C7941" t="s">
        <v>1301</v>
      </c>
      <c r="D7941" t="s">
        <v>1388</v>
      </c>
      <c r="E7941" t="s">
        <v>187</v>
      </c>
      <c r="F7941">
        <v>2012</v>
      </c>
      <c r="G7941">
        <v>48.040999999999997</v>
      </c>
    </row>
    <row r="7942" spans="1:7">
      <c r="A7942" t="s">
        <v>1297</v>
      </c>
      <c r="B7942" t="s">
        <v>1298</v>
      </c>
      <c r="C7942" t="s">
        <v>1301</v>
      </c>
      <c r="D7942" t="s">
        <v>1388</v>
      </c>
      <c r="E7942" t="s">
        <v>187</v>
      </c>
      <c r="F7942">
        <v>2016</v>
      </c>
      <c r="G7942">
        <v>32.087000000000003</v>
      </c>
    </row>
    <row r="7943" spans="1:7">
      <c r="A7943" t="s">
        <v>1297</v>
      </c>
      <c r="B7943" t="s">
        <v>1298</v>
      </c>
      <c r="C7943" t="s">
        <v>1301</v>
      </c>
      <c r="D7943" t="s">
        <v>1388</v>
      </c>
      <c r="E7943" t="s">
        <v>187</v>
      </c>
      <c r="F7943">
        <v>2020</v>
      </c>
      <c r="G7943">
        <v>33.13503</v>
      </c>
    </row>
    <row r="7944" spans="1:7">
      <c r="A7944" t="s">
        <v>1297</v>
      </c>
      <c r="B7944" t="s">
        <v>1298</v>
      </c>
      <c r="C7944" t="s">
        <v>657</v>
      </c>
      <c r="D7944" t="s">
        <v>1388</v>
      </c>
      <c r="E7944" t="s">
        <v>187</v>
      </c>
      <c r="F7944">
        <v>2005</v>
      </c>
      <c r="G7944">
        <v>39.377000000000002</v>
      </c>
    </row>
    <row r="7945" spans="1:7">
      <c r="A7945" t="s">
        <v>1297</v>
      </c>
      <c r="B7945" t="s">
        <v>1298</v>
      </c>
      <c r="C7945" t="s">
        <v>657</v>
      </c>
      <c r="D7945" t="s">
        <v>1388</v>
      </c>
      <c r="E7945" t="s">
        <v>187</v>
      </c>
      <c r="F7945">
        <v>2010</v>
      </c>
      <c r="G7945">
        <v>44.844000000000001</v>
      </c>
    </row>
    <row r="7946" spans="1:7">
      <c r="A7946" t="s">
        <v>1297</v>
      </c>
      <c r="B7946" t="s">
        <v>1298</v>
      </c>
      <c r="C7946" t="s">
        <v>657</v>
      </c>
      <c r="D7946" t="s">
        <v>1388</v>
      </c>
      <c r="E7946" t="s">
        <v>187</v>
      </c>
      <c r="F7946">
        <v>2012</v>
      </c>
      <c r="G7946">
        <v>32.613</v>
      </c>
    </row>
    <row r="7947" spans="1:7">
      <c r="A7947" t="s">
        <v>1297</v>
      </c>
      <c r="B7947" t="s">
        <v>1298</v>
      </c>
      <c r="C7947" t="s">
        <v>657</v>
      </c>
      <c r="D7947" t="s">
        <v>1388</v>
      </c>
      <c r="E7947" t="s">
        <v>187</v>
      </c>
      <c r="F7947">
        <v>2016</v>
      </c>
      <c r="G7947">
        <v>26.169488999999999</v>
      </c>
    </row>
    <row r="7948" spans="1:7">
      <c r="A7948" t="s">
        <v>1297</v>
      </c>
      <c r="B7948" t="s">
        <v>1298</v>
      </c>
      <c r="C7948" t="s">
        <v>657</v>
      </c>
      <c r="D7948" t="s">
        <v>1388</v>
      </c>
      <c r="E7948" t="s">
        <v>187</v>
      </c>
      <c r="F7948">
        <v>2020</v>
      </c>
      <c r="G7948">
        <v>18.728117000000001</v>
      </c>
    </row>
    <row r="7949" spans="1:7">
      <c r="A7949" t="s">
        <v>1297</v>
      </c>
      <c r="B7949" t="s">
        <v>1298</v>
      </c>
      <c r="C7949" t="s">
        <v>1300</v>
      </c>
      <c r="D7949" t="s">
        <v>1388</v>
      </c>
      <c r="E7949" t="s">
        <v>187</v>
      </c>
      <c r="F7949">
        <v>2010</v>
      </c>
      <c r="G7949">
        <v>11.114000000000001</v>
      </c>
    </row>
    <row r="7950" spans="1:7">
      <c r="A7950" t="s">
        <v>1297</v>
      </c>
      <c r="B7950" t="s">
        <v>1298</v>
      </c>
      <c r="C7950" t="s">
        <v>1300</v>
      </c>
      <c r="D7950" t="s">
        <v>1388</v>
      </c>
      <c r="E7950" t="s">
        <v>187</v>
      </c>
      <c r="F7950">
        <v>2012</v>
      </c>
      <c r="G7950">
        <v>10.26</v>
      </c>
    </row>
    <row r="7951" spans="1:7">
      <c r="A7951" t="s">
        <v>1297</v>
      </c>
      <c r="B7951" t="s">
        <v>1298</v>
      </c>
      <c r="C7951" t="s">
        <v>1300</v>
      </c>
      <c r="D7951" t="s">
        <v>1388</v>
      </c>
      <c r="E7951" t="s">
        <v>187</v>
      </c>
      <c r="F7951">
        <v>2016</v>
      </c>
      <c r="G7951">
        <v>9.7669999999999995</v>
      </c>
    </row>
    <row r="7952" spans="1:7">
      <c r="A7952" t="s">
        <v>1297</v>
      </c>
      <c r="B7952" t="s">
        <v>1298</v>
      </c>
      <c r="C7952" t="s">
        <v>1300</v>
      </c>
      <c r="D7952" t="s">
        <v>1388</v>
      </c>
      <c r="E7952" t="s">
        <v>187</v>
      </c>
      <c r="F7952">
        <v>2020</v>
      </c>
      <c r="G7952">
        <v>9.218</v>
      </c>
    </row>
    <row r="7953" spans="1:7">
      <c r="A7953" t="s">
        <v>1297</v>
      </c>
      <c r="B7953" t="s">
        <v>1298</v>
      </c>
      <c r="C7953" t="s">
        <v>686</v>
      </c>
      <c r="D7953" t="s">
        <v>1388</v>
      </c>
      <c r="E7953" t="s">
        <v>187</v>
      </c>
      <c r="F7953">
        <v>2005</v>
      </c>
      <c r="G7953">
        <v>24.821000000000002</v>
      </c>
    </row>
    <row r="7954" spans="1:7">
      <c r="A7954" t="s">
        <v>1297</v>
      </c>
      <c r="B7954" t="s">
        <v>1298</v>
      </c>
      <c r="C7954" t="s">
        <v>686</v>
      </c>
      <c r="D7954" t="s">
        <v>1388</v>
      </c>
      <c r="E7954" t="s">
        <v>187</v>
      </c>
      <c r="F7954">
        <v>2010</v>
      </c>
      <c r="G7954">
        <v>18.472000000000001</v>
      </c>
    </row>
    <row r="7955" spans="1:7">
      <c r="A7955" t="s">
        <v>1297</v>
      </c>
      <c r="B7955" t="s">
        <v>1298</v>
      </c>
      <c r="C7955" t="s">
        <v>686</v>
      </c>
      <c r="D7955" t="s">
        <v>1388</v>
      </c>
      <c r="E7955" t="s">
        <v>187</v>
      </c>
      <c r="F7955">
        <v>2012</v>
      </c>
      <c r="G7955">
        <v>21.474</v>
      </c>
    </row>
    <row r="7956" spans="1:7">
      <c r="A7956" t="s">
        <v>1297</v>
      </c>
      <c r="B7956" t="s">
        <v>1298</v>
      </c>
      <c r="C7956" t="s">
        <v>686</v>
      </c>
      <c r="D7956" t="s">
        <v>1388</v>
      </c>
      <c r="E7956" t="s">
        <v>187</v>
      </c>
      <c r="F7956">
        <v>2016</v>
      </c>
      <c r="G7956">
        <v>20.867999999999999</v>
      </c>
    </row>
    <row r="7957" spans="1:7">
      <c r="A7957" t="s">
        <v>1297</v>
      </c>
      <c r="B7957" t="s">
        <v>1298</v>
      </c>
      <c r="C7957" t="s">
        <v>686</v>
      </c>
      <c r="D7957" t="s">
        <v>1388</v>
      </c>
      <c r="E7957" t="s">
        <v>187</v>
      </c>
      <c r="F7957">
        <v>2020</v>
      </c>
      <c r="G7957">
        <v>20.597961999999999</v>
      </c>
    </row>
    <row r="7958" spans="1:7">
      <c r="A7958" t="s">
        <v>1297</v>
      </c>
      <c r="B7958" t="s">
        <v>1298</v>
      </c>
      <c r="C7958" t="s">
        <v>677</v>
      </c>
      <c r="D7958" t="s">
        <v>1388</v>
      </c>
      <c r="E7958" t="s">
        <v>187</v>
      </c>
      <c r="F7958">
        <v>2005</v>
      </c>
      <c r="G7958">
        <v>46.905000000000001</v>
      </c>
    </row>
    <row r="7959" spans="1:7">
      <c r="A7959" t="s">
        <v>1297</v>
      </c>
      <c r="B7959" t="s">
        <v>1298</v>
      </c>
      <c r="C7959" t="s">
        <v>677</v>
      </c>
      <c r="D7959" t="s">
        <v>1388</v>
      </c>
      <c r="E7959" t="s">
        <v>187</v>
      </c>
      <c r="F7959">
        <v>2010</v>
      </c>
      <c r="G7959">
        <v>46.314</v>
      </c>
    </row>
    <row r="7960" spans="1:7">
      <c r="A7960" t="s">
        <v>1297</v>
      </c>
      <c r="B7960" t="s">
        <v>1298</v>
      </c>
      <c r="C7960" t="s">
        <v>677</v>
      </c>
      <c r="D7960" t="s">
        <v>1388</v>
      </c>
      <c r="E7960" t="s">
        <v>187</v>
      </c>
      <c r="F7960">
        <v>2012</v>
      </c>
      <c r="G7960">
        <v>45.417000000000002</v>
      </c>
    </row>
    <row r="7961" spans="1:7">
      <c r="A7961" t="s">
        <v>1297</v>
      </c>
      <c r="B7961" t="s">
        <v>1298</v>
      </c>
      <c r="C7961" t="s">
        <v>677</v>
      </c>
      <c r="D7961" t="s">
        <v>1388</v>
      </c>
      <c r="E7961" t="s">
        <v>187</v>
      </c>
      <c r="F7961">
        <v>2016</v>
      </c>
      <c r="G7961">
        <v>59.805342000000003</v>
      </c>
    </row>
    <row r="7962" spans="1:7">
      <c r="A7962" t="s">
        <v>1297</v>
      </c>
      <c r="B7962" t="s">
        <v>1298</v>
      </c>
      <c r="C7962" t="s">
        <v>677</v>
      </c>
      <c r="D7962" t="s">
        <v>1388</v>
      </c>
      <c r="E7962" t="s">
        <v>187</v>
      </c>
      <c r="F7962">
        <v>2020</v>
      </c>
      <c r="G7962">
        <v>58.757178000000003</v>
      </c>
    </row>
    <row r="7963" spans="1:7">
      <c r="A7963" t="s">
        <v>1297</v>
      </c>
      <c r="B7963" t="s">
        <v>1298</v>
      </c>
      <c r="C7963" t="s">
        <v>666</v>
      </c>
      <c r="D7963" t="s">
        <v>1388</v>
      </c>
      <c r="E7963" t="s">
        <v>187</v>
      </c>
      <c r="F7963">
        <v>2005</v>
      </c>
      <c r="G7963">
        <v>32.152000000000001</v>
      </c>
    </row>
    <row r="7964" spans="1:7">
      <c r="A7964" t="s">
        <v>1297</v>
      </c>
      <c r="B7964" t="s">
        <v>1298</v>
      </c>
      <c r="C7964" t="s">
        <v>666</v>
      </c>
      <c r="D7964" t="s">
        <v>1388</v>
      </c>
      <c r="E7964" t="s">
        <v>187</v>
      </c>
      <c r="F7964">
        <v>2010</v>
      </c>
      <c r="G7964">
        <v>30.481000000000002</v>
      </c>
    </row>
    <row r="7965" spans="1:7">
      <c r="A7965" t="s">
        <v>1297</v>
      </c>
      <c r="B7965" t="s">
        <v>1298</v>
      </c>
      <c r="C7965" t="s">
        <v>666</v>
      </c>
      <c r="D7965" t="s">
        <v>1388</v>
      </c>
      <c r="E7965" t="s">
        <v>187</v>
      </c>
      <c r="F7965">
        <v>2012</v>
      </c>
      <c r="G7965">
        <v>22.64</v>
      </c>
    </row>
    <row r="7966" spans="1:7">
      <c r="A7966" t="s">
        <v>1297</v>
      </c>
      <c r="B7966" t="s">
        <v>1298</v>
      </c>
      <c r="C7966" t="s">
        <v>666</v>
      </c>
      <c r="D7966" t="s">
        <v>1388</v>
      </c>
      <c r="E7966" t="s">
        <v>187</v>
      </c>
      <c r="F7966">
        <v>2016</v>
      </c>
      <c r="G7966">
        <v>11.342000000000001</v>
      </c>
    </row>
    <row r="7967" spans="1:7">
      <c r="A7967" t="s">
        <v>1297</v>
      </c>
      <c r="B7967" t="s">
        <v>1298</v>
      </c>
      <c r="C7967" t="s">
        <v>666</v>
      </c>
      <c r="D7967" t="s">
        <v>1388</v>
      </c>
      <c r="E7967" t="s">
        <v>187</v>
      </c>
      <c r="F7967">
        <v>2020</v>
      </c>
      <c r="G7967">
        <v>7.4720000000000004</v>
      </c>
    </row>
    <row r="7968" spans="1:7">
      <c r="A7968" t="s">
        <v>1297</v>
      </c>
      <c r="B7968" t="s">
        <v>1298</v>
      </c>
      <c r="C7968" t="s">
        <v>682</v>
      </c>
      <c r="D7968" t="s">
        <v>1388</v>
      </c>
      <c r="E7968" t="s">
        <v>187</v>
      </c>
      <c r="F7968">
        <v>2016</v>
      </c>
      <c r="G7968">
        <v>1.591</v>
      </c>
    </row>
    <row r="7969" spans="1:7">
      <c r="A7969" t="s">
        <v>1297</v>
      </c>
      <c r="B7969" t="s">
        <v>1298</v>
      </c>
      <c r="C7969" t="s">
        <v>682</v>
      </c>
      <c r="D7969" t="s">
        <v>1388</v>
      </c>
      <c r="E7969" t="s">
        <v>187</v>
      </c>
      <c r="F7969">
        <v>2020</v>
      </c>
      <c r="G7969">
        <v>1.5549999999999999</v>
      </c>
    </row>
    <row r="7970" spans="1:7">
      <c r="A7970" t="s">
        <v>1297</v>
      </c>
      <c r="B7970" t="s">
        <v>1298</v>
      </c>
      <c r="C7970" t="s">
        <v>685</v>
      </c>
      <c r="D7970" t="s">
        <v>1388</v>
      </c>
      <c r="E7970" t="s">
        <v>187</v>
      </c>
      <c r="F7970">
        <v>2005</v>
      </c>
      <c r="G7970">
        <v>0.48399999999999999</v>
      </c>
    </row>
    <row r="7971" spans="1:7">
      <c r="A7971" t="s">
        <v>1297</v>
      </c>
      <c r="B7971" t="s">
        <v>1298</v>
      </c>
      <c r="C7971" t="s">
        <v>685</v>
      </c>
      <c r="D7971" t="s">
        <v>1388</v>
      </c>
      <c r="E7971" t="s">
        <v>187</v>
      </c>
      <c r="F7971">
        <v>2010</v>
      </c>
      <c r="G7971">
        <v>1.9510000000000001</v>
      </c>
    </row>
    <row r="7972" spans="1:7">
      <c r="A7972" t="s">
        <v>1297</v>
      </c>
      <c r="B7972" t="s">
        <v>1298</v>
      </c>
      <c r="C7972" t="s">
        <v>685</v>
      </c>
      <c r="D7972" t="s">
        <v>1388</v>
      </c>
      <c r="E7972" t="s">
        <v>187</v>
      </c>
      <c r="F7972">
        <v>2012</v>
      </c>
      <c r="G7972">
        <v>1.7889999999999999</v>
      </c>
    </row>
    <row r="7973" spans="1:7">
      <c r="A7973" t="s">
        <v>1297</v>
      </c>
      <c r="B7973" t="s">
        <v>1298</v>
      </c>
      <c r="C7973" t="s">
        <v>685</v>
      </c>
      <c r="D7973" t="s">
        <v>1388</v>
      </c>
      <c r="E7973" t="s">
        <v>187</v>
      </c>
      <c r="F7973">
        <v>2016</v>
      </c>
      <c r="G7973">
        <v>2.2387839999999999</v>
      </c>
    </row>
    <row r="7974" spans="1:7">
      <c r="A7974" t="s">
        <v>1297</v>
      </c>
      <c r="B7974" t="s">
        <v>1298</v>
      </c>
      <c r="C7974" t="s">
        <v>685</v>
      </c>
      <c r="D7974" t="s">
        <v>1388</v>
      </c>
      <c r="E7974" t="s">
        <v>187</v>
      </c>
      <c r="F7974">
        <v>2020</v>
      </c>
      <c r="G7974">
        <v>2.0510959999999998</v>
      </c>
    </row>
    <row r="7975" spans="1:7">
      <c r="A7975" t="s">
        <v>1297</v>
      </c>
      <c r="B7975" t="s">
        <v>1298</v>
      </c>
      <c r="C7975" t="s">
        <v>671</v>
      </c>
      <c r="D7975" t="s">
        <v>1388</v>
      </c>
      <c r="E7975" t="s">
        <v>187</v>
      </c>
      <c r="F7975">
        <v>2005</v>
      </c>
      <c r="G7975">
        <v>20.867999999999999</v>
      </c>
    </row>
    <row r="7976" spans="1:7">
      <c r="A7976" t="s">
        <v>1297</v>
      </c>
      <c r="B7976" t="s">
        <v>1298</v>
      </c>
      <c r="C7976" t="s">
        <v>671</v>
      </c>
      <c r="D7976" t="s">
        <v>1388</v>
      </c>
      <c r="E7976" t="s">
        <v>187</v>
      </c>
      <c r="F7976">
        <v>2010</v>
      </c>
      <c r="G7976">
        <v>20.824999999999999</v>
      </c>
    </row>
    <row r="7977" spans="1:7">
      <c r="A7977" t="s">
        <v>1297</v>
      </c>
      <c r="B7977" t="s">
        <v>1298</v>
      </c>
      <c r="C7977" t="s">
        <v>671</v>
      </c>
      <c r="D7977" t="s">
        <v>1388</v>
      </c>
      <c r="E7977" t="s">
        <v>187</v>
      </c>
      <c r="F7977">
        <v>2012</v>
      </c>
      <c r="G7977">
        <v>20.782</v>
      </c>
    </row>
    <row r="7978" spans="1:7">
      <c r="A7978" t="s">
        <v>1297</v>
      </c>
      <c r="B7978" t="s">
        <v>1298</v>
      </c>
      <c r="C7978" t="s">
        <v>671</v>
      </c>
      <c r="D7978" t="s">
        <v>1388</v>
      </c>
      <c r="E7978" t="s">
        <v>187</v>
      </c>
      <c r="F7978">
        <v>2016</v>
      </c>
      <c r="G7978">
        <v>21.091999999999999</v>
      </c>
    </row>
    <row r="7979" spans="1:7">
      <c r="A7979" t="s">
        <v>1297</v>
      </c>
      <c r="B7979" t="s">
        <v>1298</v>
      </c>
      <c r="C7979" t="s">
        <v>671</v>
      </c>
      <c r="D7979" t="s">
        <v>1388</v>
      </c>
      <c r="E7979" t="s">
        <v>187</v>
      </c>
      <c r="F7979">
        <v>2020</v>
      </c>
      <c r="G7979">
        <v>26.065957999999998</v>
      </c>
    </row>
    <row r="7980" spans="1:7">
      <c r="A7980" t="s">
        <v>1297</v>
      </c>
      <c r="B7980" t="s">
        <v>1298</v>
      </c>
      <c r="C7980" t="s">
        <v>652</v>
      </c>
      <c r="D7980" t="s">
        <v>1388</v>
      </c>
      <c r="E7980" t="s">
        <v>187</v>
      </c>
      <c r="F7980">
        <v>2005</v>
      </c>
      <c r="G7980">
        <v>15.792999999999999</v>
      </c>
    </row>
    <row r="7981" spans="1:7">
      <c r="A7981" t="s">
        <v>1297</v>
      </c>
      <c r="B7981" t="s">
        <v>1298</v>
      </c>
      <c r="C7981" t="s">
        <v>652</v>
      </c>
      <c r="D7981" t="s">
        <v>1388</v>
      </c>
      <c r="E7981" t="s">
        <v>187</v>
      </c>
      <c r="F7981">
        <v>2010</v>
      </c>
      <c r="G7981">
        <v>31.3843</v>
      </c>
    </row>
    <row r="7982" spans="1:7">
      <c r="A7982" t="s">
        <v>1297</v>
      </c>
      <c r="B7982" t="s">
        <v>1298</v>
      </c>
      <c r="C7982" t="s">
        <v>652</v>
      </c>
      <c r="D7982" t="s">
        <v>1388</v>
      </c>
      <c r="E7982" t="s">
        <v>187</v>
      </c>
      <c r="F7982">
        <v>2012</v>
      </c>
      <c r="G7982">
        <v>29.168099999999999</v>
      </c>
    </row>
    <row r="7983" spans="1:7">
      <c r="A7983" t="s">
        <v>1297</v>
      </c>
      <c r="B7983" t="s">
        <v>1298</v>
      </c>
      <c r="C7983" t="s">
        <v>652</v>
      </c>
      <c r="D7983" t="s">
        <v>1388</v>
      </c>
      <c r="E7983" t="s">
        <v>187</v>
      </c>
      <c r="F7983">
        <v>2016</v>
      </c>
      <c r="G7983">
        <v>21.534600000000001</v>
      </c>
    </row>
    <row r="7984" spans="1:7">
      <c r="A7984" t="s">
        <v>1297</v>
      </c>
      <c r="B7984" t="s">
        <v>1298</v>
      </c>
      <c r="C7984" t="s">
        <v>652</v>
      </c>
      <c r="D7984" t="s">
        <v>1388</v>
      </c>
      <c r="E7984" t="s">
        <v>187</v>
      </c>
      <c r="F7984">
        <v>2020</v>
      </c>
      <c r="G7984">
        <v>16.7818</v>
      </c>
    </row>
    <row r="7985" spans="1:7">
      <c r="A7985" t="s">
        <v>1297</v>
      </c>
      <c r="B7985" t="s">
        <v>1298</v>
      </c>
      <c r="C7985" t="s">
        <v>675</v>
      </c>
      <c r="D7985" t="s">
        <v>1388</v>
      </c>
      <c r="E7985" t="s">
        <v>187</v>
      </c>
      <c r="F7985">
        <v>2005</v>
      </c>
      <c r="G7985">
        <v>3.133</v>
      </c>
    </row>
    <row r="7986" spans="1:7">
      <c r="A7986" t="s">
        <v>1297</v>
      </c>
      <c r="B7986" t="s">
        <v>1298</v>
      </c>
      <c r="C7986" t="s">
        <v>675</v>
      </c>
      <c r="D7986" t="s">
        <v>1388</v>
      </c>
      <c r="E7986" t="s">
        <v>187</v>
      </c>
      <c r="F7986">
        <v>2010</v>
      </c>
      <c r="G7986">
        <v>2.601</v>
      </c>
    </row>
    <row r="7987" spans="1:7">
      <c r="A7987" t="s">
        <v>1297</v>
      </c>
      <c r="B7987" t="s">
        <v>1298</v>
      </c>
      <c r="C7987" t="s">
        <v>675</v>
      </c>
      <c r="D7987" t="s">
        <v>1388</v>
      </c>
      <c r="E7987" t="s">
        <v>187</v>
      </c>
      <c r="F7987">
        <v>2012</v>
      </c>
      <c r="G7987">
        <v>2.7669999999999999</v>
      </c>
    </row>
    <row r="7988" spans="1:7">
      <c r="A7988" t="s">
        <v>1297</v>
      </c>
      <c r="B7988" t="s">
        <v>1298</v>
      </c>
      <c r="C7988" t="s">
        <v>675</v>
      </c>
      <c r="D7988" t="s">
        <v>1388</v>
      </c>
      <c r="E7988" t="s">
        <v>187</v>
      </c>
      <c r="F7988">
        <v>2016</v>
      </c>
      <c r="G7988">
        <v>2.1629999999999998</v>
      </c>
    </row>
    <row r="7989" spans="1:7">
      <c r="A7989" t="s">
        <v>1297</v>
      </c>
      <c r="B7989" t="s">
        <v>1298</v>
      </c>
      <c r="C7989" t="s">
        <v>675</v>
      </c>
      <c r="D7989" t="s">
        <v>1388</v>
      </c>
      <c r="E7989" t="s">
        <v>187</v>
      </c>
      <c r="F7989">
        <v>2020</v>
      </c>
      <c r="G7989">
        <v>2.7954289999999999</v>
      </c>
    </row>
    <row r="7990" spans="1:7">
      <c r="A7990" t="s">
        <v>1297</v>
      </c>
      <c r="B7990" t="s">
        <v>1298</v>
      </c>
      <c r="C7990" t="s">
        <v>651</v>
      </c>
      <c r="D7990" t="s">
        <v>1388</v>
      </c>
      <c r="E7990" t="s">
        <v>187</v>
      </c>
      <c r="F7990">
        <v>2005</v>
      </c>
      <c r="G7990">
        <v>30.454595000000001</v>
      </c>
    </row>
    <row r="7991" spans="1:7">
      <c r="A7991" t="s">
        <v>1297</v>
      </c>
      <c r="B7991" t="s">
        <v>1298</v>
      </c>
      <c r="C7991" t="s">
        <v>651</v>
      </c>
      <c r="D7991" t="s">
        <v>1388</v>
      </c>
      <c r="E7991" t="s">
        <v>187</v>
      </c>
      <c r="F7991">
        <v>2010</v>
      </c>
      <c r="G7991">
        <v>30.292121999999999</v>
      </c>
    </row>
    <row r="7992" spans="1:7">
      <c r="A7992" t="s">
        <v>1297</v>
      </c>
      <c r="B7992" t="s">
        <v>1298</v>
      </c>
      <c r="C7992" t="s">
        <v>677</v>
      </c>
      <c r="D7992" t="s">
        <v>1389</v>
      </c>
      <c r="E7992" t="s">
        <v>187</v>
      </c>
      <c r="F7992">
        <v>2005</v>
      </c>
      <c r="G7992">
        <v>561.72149999999999</v>
      </c>
    </row>
    <row r="7993" spans="1:7">
      <c r="A7993" t="s">
        <v>1297</v>
      </c>
      <c r="B7993" t="s">
        <v>1298</v>
      </c>
      <c r="C7993" t="s">
        <v>677</v>
      </c>
      <c r="D7993" t="s">
        <v>1389</v>
      </c>
      <c r="E7993" t="s">
        <v>187</v>
      </c>
      <c r="F7993">
        <v>2010</v>
      </c>
      <c r="G7993">
        <v>1964.3004000000001</v>
      </c>
    </row>
    <row r="7994" spans="1:7">
      <c r="A7994" t="s">
        <v>1297</v>
      </c>
      <c r="B7994" t="s">
        <v>1298</v>
      </c>
      <c r="C7994" t="s">
        <v>677</v>
      </c>
      <c r="D7994" t="s">
        <v>1389</v>
      </c>
      <c r="E7994" t="s">
        <v>187</v>
      </c>
      <c r="F7994">
        <v>2012</v>
      </c>
      <c r="G7994">
        <v>1796.1120000000001</v>
      </c>
    </row>
    <row r="7995" spans="1:7">
      <c r="A7995" t="s">
        <v>1297</v>
      </c>
      <c r="B7995" t="s">
        <v>1298</v>
      </c>
      <c r="C7995" t="s">
        <v>677</v>
      </c>
      <c r="D7995" t="s">
        <v>1389</v>
      </c>
      <c r="E7995" t="s">
        <v>187</v>
      </c>
      <c r="F7995">
        <v>2016</v>
      </c>
      <c r="G7995">
        <v>1697.5671850000001</v>
      </c>
    </row>
    <row r="7996" spans="1:7">
      <c r="A7996" t="s">
        <v>1297</v>
      </c>
      <c r="B7996" t="s">
        <v>1298</v>
      </c>
      <c r="C7996" t="s">
        <v>677</v>
      </c>
      <c r="D7996" t="s">
        <v>1389</v>
      </c>
      <c r="E7996" t="s">
        <v>187</v>
      </c>
      <c r="F7996">
        <v>2020</v>
      </c>
      <c r="G7996">
        <v>1678.0366369999999</v>
      </c>
    </row>
    <row r="7997" spans="1:7">
      <c r="A7997" t="s">
        <v>1297</v>
      </c>
      <c r="B7997" t="s">
        <v>1298</v>
      </c>
      <c r="C7997" t="s">
        <v>666</v>
      </c>
      <c r="D7997" t="s">
        <v>1389</v>
      </c>
      <c r="E7997" t="s">
        <v>187</v>
      </c>
      <c r="F7997">
        <v>2005</v>
      </c>
      <c r="G7997">
        <v>104.3595</v>
      </c>
    </row>
    <row r="7998" spans="1:7">
      <c r="A7998" t="s">
        <v>1297</v>
      </c>
      <c r="B7998" t="s">
        <v>1298</v>
      </c>
      <c r="C7998" t="s">
        <v>666</v>
      </c>
      <c r="D7998" t="s">
        <v>1389</v>
      </c>
      <c r="E7998" t="s">
        <v>187</v>
      </c>
      <c r="F7998">
        <v>2010</v>
      </c>
      <c r="G7998">
        <v>104.02200000000001</v>
      </c>
    </row>
    <row r="7999" spans="1:7">
      <c r="A7999" t="s">
        <v>1297</v>
      </c>
      <c r="B7999" t="s">
        <v>1298</v>
      </c>
      <c r="C7999" t="s">
        <v>666</v>
      </c>
      <c r="D7999" t="s">
        <v>1389</v>
      </c>
      <c r="E7999" t="s">
        <v>187</v>
      </c>
      <c r="F7999">
        <v>2012</v>
      </c>
      <c r="G7999">
        <v>111.18689999999999</v>
      </c>
    </row>
    <row r="8000" spans="1:7">
      <c r="A8000" t="s">
        <v>1297</v>
      </c>
      <c r="B8000" t="s">
        <v>1298</v>
      </c>
      <c r="C8000" t="s">
        <v>666</v>
      </c>
      <c r="D8000" t="s">
        <v>1389</v>
      </c>
      <c r="E8000" t="s">
        <v>187</v>
      </c>
      <c r="F8000">
        <v>2016</v>
      </c>
      <c r="G8000">
        <v>79.106399999999994</v>
      </c>
    </row>
    <row r="8001" spans="1:7">
      <c r="A8001" t="s">
        <v>1297</v>
      </c>
      <c r="B8001" t="s">
        <v>1298</v>
      </c>
      <c r="C8001" t="s">
        <v>666</v>
      </c>
      <c r="D8001" t="s">
        <v>1389</v>
      </c>
      <c r="E8001" t="s">
        <v>187</v>
      </c>
      <c r="F8001">
        <v>2020</v>
      </c>
      <c r="G8001">
        <v>96.189025000000001</v>
      </c>
    </row>
    <row r="8002" spans="1:7">
      <c r="A8002" t="s">
        <v>1297</v>
      </c>
      <c r="B8002" t="s">
        <v>1298</v>
      </c>
      <c r="C8002" t="s">
        <v>676</v>
      </c>
      <c r="D8002" t="s">
        <v>1389</v>
      </c>
      <c r="E8002" t="s">
        <v>187</v>
      </c>
      <c r="F8002">
        <v>2005</v>
      </c>
      <c r="G8002">
        <v>253.14570000000001</v>
      </c>
    </row>
    <row r="8003" spans="1:7">
      <c r="A8003" t="s">
        <v>1297</v>
      </c>
      <c r="B8003" t="s">
        <v>1298</v>
      </c>
      <c r="C8003" t="s">
        <v>676</v>
      </c>
      <c r="D8003" t="s">
        <v>1389</v>
      </c>
      <c r="E8003" t="s">
        <v>187</v>
      </c>
      <c r="F8003">
        <v>2010</v>
      </c>
      <c r="G8003">
        <v>209.45160000000001</v>
      </c>
    </row>
    <row r="8004" spans="1:7">
      <c r="A8004" t="s">
        <v>1297</v>
      </c>
      <c r="B8004" t="s">
        <v>1298</v>
      </c>
      <c r="C8004" t="s">
        <v>676</v>
      </c>
      <c r="D8004" t="s">
        <v>1389</v>
      </c>
      <c r="E8004" t="s">
        <v>187</v>
      </c>
      <c r="F8004">
        <v>2012</v>
      </c>
      <c r="G8004">
        <v>165.77099999999999</v>
      </c>
    </row>
    <row r="8005" spans="1:7">
      <c r="A8005" t="s">
        <v>1297</v>
      </c>
      <c r="B8005" t="s">
        <v>1298</v>
      </c>
      <c r="C8005" t="s">
        <v>676</v>
      </c>
      <c r="D8005" t="s">
        <v>1389</v>
      </c>
      <c r="E8005" t="s">
        <v>187</v>
      </c>
      <c r="F8005">
        <v>2016</v>
      </c>
      <c r="G8005">
        <v>151.42590000000001</v>
      </c>
    </row>
    <row r="8006" spans="1:7">
      <c r="A8006" t="s">
        <v>1297</v>
      </c>
      <c r="B8006" t="s">
        <v>1298</v>
      </c>
      <c r="C8006" t="s">
        <v>676</v>
      </c>
      <c r="D8006" t="s">
        <v>1389</v>
      </c>
      <c r="E8006" t="s">
        <v>187</v>
      </c>
      <c r="F8006">
        <v>2020</v>
      </c>
      <c r="G8006">
        <v>233.75248300000001</v>
      </c>
    </row>
    <row r="8007" spans="1:7">
      <c r="A8007" t="s">
        <v>1297</v>
      </c>
      <c r="B8007" t="s">
        <v>1298</v>
      </c>
      <c r="C8007" t="s">
        <v>679</v>
      </c>
      <c r="D8007" t="s">
        <v>1389</v>
      </c>
      <c r="E8007" t="s">
        <v>187</v>
      </c>
      <c r="F8007">
        <v>2010</v>
      </c>
      <c r="G8007">
        <v>0.21329999999999999</v>
      </c>
    </row>
    <row r="8008" spans="1:7">
      <c r="A8008" t="s">
        <v>1297</v>
      </c>
      <c r="B8008" t="s">
        <v>1298</v>
      </c>
      <c r="C8008" t="s">
        <v>679</v>
      </c>
      <c r="D8008" t="s">
        <v>1389</v>
      </c>
      <c r="E8008" t="s">
        <v>187</v>
      </c>
      <c r="F8008">
        <v>2012</v>
      </c>
      <c r="G8008">
        <v>2.1600000000000001E-2</v>
      </c>
    </row>
    <row r="8009" spans="1:7">
      <c r="A8009" t="s">
        <v>1297</v>
      </c>
      <c r="B8009" t="s">
        <v>1298</v>
      </c>
      <c r="C8009" t="s">
        <v>679</v>
      </c>
      <c r="D8009" t="s">
        <v>1389</v>
      </c>
      <c r="E8009" t="s">
        <v>187</v>
      </c>
      <c r="F8009">
        <v>2020</v>
      </c>
      <c r="G8009">
        <v>0.69978499999999999</v>
      </c>
    </row>
    <row r="8010" spans="1:7">
      <c r="A8010" t="s">
        <v>1297</v>
      </c>
      <c r="B8010" t="s">
        <v>1298</v>
      </c>
      <c r="C8010" t="s">
        <v>669</v>
      </c>
      <c r="D8010" t="s">
        <v>1389</v>
      </c>
      <c r="E8010" t="s">
        <v>187</v>
      </c>
      <c r="F8010">
        <v>2020</v>
      </c>
      <c r="G8010">
        <v>13.284699</v>
      </c>
    </row>
    <row r="8011" spans="1:7">
      <c r="A8011" t="s">
        <v>1297</v>
      </c>
      <c r="B8011" t="s">
        <v>1298</v>
      </c>
      <c r="C8011" t="s">
        <v>672</v>
      </c>
      <c r="D8011" t="s">
        <v>1389</v>
      </c>
      <c r="E8011" t="s">
        <v>187</v>
      </c>
      <c r="F8011">
        <v>2005</v>
      </c>
      <c r="G8011">
        <v>162.99180000000001</v>
      </c>
    </row>
    <row r="8012" spans="1:7">
      <c r="A8012" t="s">
        <v>1297</v>
      </c>
      <c r="B8012" t="s">
        <v>1298</v>
      </c>
      <c r="C8012" t="s">
        <v>672</v>
      </c>
      <c r="D8012" t="s">
        <v>1389</v>
      </c>
      <c r="E8012" t="s">
        <v>187</v>
      </c>
      <c r="F8012">
        <v>2010</v>
      </c>
      <c r="G8012">
        <v>188.6139</v>
      </c>
    </row>
    <row r="8013" spans="1:7">
      <c r="A8013" t="s">
        <v>1297</v>
      </c>
      <c r="B8013" t="s">
        <v>1298</v>
      </c>
      <c r="C8013" t="s">
        <v>672</v>
      </c>
      <c r="D8013" t="s">
        <v>1389</v>
      </c>
      <c r="E8013" t="s">
        <v>187</v>
      </c>
      <c r="F8013">
        <v>2012</v>
      </c>
      <c r="G8013">
        <v>164.214</v>
      </c>
    </row>
    <row r="8014" spans="1:7">
      <c r="A8014" t="s">
        <v>1297</v>
      </c>
      <c r="B8014" t="s">
        <v>1298</v>
      </c>
      <c r="C8014" t="s">
        <v>672</v>
      </c>
      <c r="D8014" t="s">
        <v>1389</v>
      </c>
      <c r="E8014" t="s">
        <v>187</v>
      </c>
      <c r="F8014">
        <v>2016</v>
      </c>
      <c r="G8014">
        <v>178.403222</v>
      </c>
    </row>
    <row r="8015" spans="1:7">
      <c r="A8015" t="s">
        <v>1297</v>
      </c>
      <c r="B8015" t="s">
        <v>1298</v>
      </c>
      <c r="C8015" t="s">
        <v>672</v>
      </c>
      <c r="D8015" t="s">
        <v>1389</v>
      </c>
      <c r="E8015" t="s">
        <v>187</v>
      </c>
      <c r="F8015">
        <v>2020</v>
      </c>
      <c r="G8015">
        <v>221.85719599999999</v>
      </c>
    </row>
    <row r="8016" spans="1:7">
      <c r="A8016" t="s">
        <v>1297</v>
      </c>
      <c r="B8016" t="s">
        <v>1298</v>
      </c>
      <c r="C8016" t="s">
        <v>663</v>
      </c>
      <c r="D8016" t="s">
        <v>1389</v>
      </c>
      <c r="E8016" t="s">
        <v>187</v>
      </c>
      <c r="F8016">
        <v>2005</v>
      </c>
      <c r="G8016">
        <v>410.61959999999999</v>
      </c>
    </row>
    <row r="8017" spans="1:7">
      <c r="A8017" t="s">
        <v>1297</v>
      </c>
      <c r="B8017" t="s">
        <v>1298</v>
      </c>
      <c r="C8017" t="s">
        <v>663</v>
      </c>
      <c r="D8017" t="s">
        <v>1389</v>
      </c>
      <c r="E8017" t="s">
        <v>187</v>
      </c>
      <c r="F8017">
        <v>2010</v>
      </c>
      <c r="G8017">
        <v>331.28280000000001</v>
      </c>
    </row>
    <row r="8018" spans="1:7">
      <c r="A8018" t="s">
        <v>1297</v>
      </c>
      <c r="B8018" t="s">
        <v>1298</v>
      </c>
      <c r="C8018" t="s">
        <v>663</v>
      </c>
      <c r="D8018" t="s">
        <v>1389</v>
      </c>
      <c r="E8018" t="s">
        <v>187</v>
      </c>
      <c r="F8018">
        <v>2012</v>
      </c>
      <c r="G8018">
        <v>282.39839999999998</v>
      </c>
    </row>
    <row r="8019" spans="1:7">
      <c r="A8019" t="s">
        <v>1297</v>
      </c>
      <c r="B8019" t="s">
        <v>1298</v>
      </c>
      <c r="C8019" t="s">
        <v>663</v>
      </c>
      <c r="D8019" t="s">
        <v>1389</v>
      </c>
      <c r="E8019" t="s">
        <v>187</v>
      </c>
      <c r="F8019">
        <v>2016</v>
      </c>
      <c r="G8019">
        <v>302.50627600000001</v>
      </c>
    </row>
    <row r="8020" spans="1:7">
      <c r="A8020" t="s">
        <v>1297</v>
      </c>
      <c r="B8020" t="s">
        <v>1298</v>
      </c>
      <c r="C8020" t="s">
        <v>663</v>
      </c>
      <c r="D8020" t="s">
        <v>1389</v>
      </c>
      <c r="E8020" t="s">
        <v>187</v>
      </c>
      <c r="F8020">
        <v>2020</v>
      </c>
      <c r="G8020">
        <v>652.30649800000003</v>
      </c>
    </row>
    <row r="8021" spans="1:7">
      <c r="A8021" t="s">
        <v>1297</v>
      </c>
      <c r="B8021" t="s">
        <v>1298</v>
      </c>
      <c r="C8021" t="s">
        <v>671</v>
      </c>
      <c r="D8021" t="s">
        <v>1389</v>
      </c>
      <c r="E8021" t="s">
        <v>187</v>
      </c>
      <c r="F8021">
        <v>2010</v>
      </c>
      <c r="G8021">
        <v>373.12470000000002</v>
      </c>
    </row>
    <row r="8022" spans="1:7">
      <c r="A8022" t="s">
        <v>1297</v>
      </c>
      <c r="B8022" t="s">
        <v>1298</v>
      </c>
      <c r="C8022" t="s">
        <v>671</v>
      </c>
      <c r="D8022" t="s">
        <v>1389</v>
      </c>
      <c r="E8022" t="s">
        <v>187</v>
      </c>
      <c r="F8022">
        <v>2012</v>
      </c>
      <c r="G8022">
        <v>420.49619999999999</v>
      </c>
    </row>
    <row r="8023" spans="1:7">
      <c r="A8023" t="s">
        <v>1297</v>
      </c>
      <c r="B8023" t="s">
        <v>1298</v>
      </c>
      <c r="C8023" t="s">
        <v>671</v>
      </c>
      <c r="D8023" t="s">
        <v>1389</v>
      </c>
      <c r="E8023" t="s">
        <v>187</v>
      </c>
      <c r="F8023">
        <v>2016</v>
      </c>
      <c r="G8023">
        <v>510.16680000000002</v>
      </c>
    </row>
    <row r="8024" spans="1:7">
      <c r="A8024" t="s">
        <v>1297</v>
      </c>
      <c r="B8024" t="s">
        <v>1298</v>
      </c>
      <c r="C8024" t="s">
        <v>671</v>
      </c>
      <c r="D8024" t="s">
        <v>1389</v>
      </c>
      <c r="E8024" t="s">
        <v>187</v>
      </c>
      <c r="F8024">
        <v>2020</v>
      </c>
      <c r="G8024">
        <v>613.07720099999995</v>
      </c>
    </row>
    <row r="8025" spans="1:7">
      <c r="A8025" t="s">
        <v>1297</v>
      </c>
      <c r="B8025" t="s">
        <v>1298</v>
      </c>
      <c r="C8025" t="s">
        <v>664</v>
      </c>
      <c r="D8025" t="s">
        <v>1389</v>
      </c>
      <c r="E8025" t="s">
        <v>187</v>
      </c>
      <c r="F8025">
        <v>2005</v>
      </c>
      <c r="G8025">
        <v>126.0063</v>
      </c>
    </row>
    <row r="8026" spans="1:7">
      <c r="A8026" t="s">
        <v>1297</v>
      </c>
      <c r="B8026" t="s">
        <v>1298</v>
      </c>
      <c r="C8026" t="s">
        <v>664</v>
      </c>
      <c r="D8026" t="s">
        <v>1389</v>
      </c>
      <c r="E8026" t="s">
        <v>187</v>
      </c>
      <c r="F8026">
        <v>2010</v>
      </c>
      <c r="G8026">
        <v>187.56293400000001</v>
      </c>
    </row>
    <row r="8027" spans="1:7">
      <c r="A8027" t="s">
        <v>1297</v>
      </c>
      <c r="B8027" t="s">
        <v>1298</v>
      </c>
      <c r="C8027" t="s">
        <v>664</v>
      </c>
      <c r="D8027" t="s">
        <v>1389</v>
      </c>
      <c r="E8027" t="s">
        <v>187</v>
      </c>
      <c r="F8027">
        <v>2012</v>
      </c>
      <c r="G8027">
        <v>160.70138800000001</v>
      </c>
    </row>
    <row r="8028" spans="1:7">
      <c r="A8028" t="s">
        <v>1297</v>
      </c>
      <c r="B8028" t="s">
        <v>1298</v>
      </c>
      <c r="C8028" t="s">
        <v>664</v>
      </c>
      <c r="D8028" t="s">
        <v>1389</v>
      </c>
      <c r="E8028" t="s">
        <v>187</v>
      </c>
      <c r="F8028">
        <v>2016</v>
      </c>
      <c r="G8028">
        <v>71.173799000000002</v>
      </c>
    </row>
    <row r="8029" spans="1:7">
      <c r="A8029" t="s">
        <v>1297</v>
      </c>
      <c r="B8029" t="s">
        <v>1298</v>
      </c>
      <c r="C8029" t="s">
        <v>664</v>
      </c>
      <c r="D8029" t="s">
        <v>1389</v>
      </c>
      <c r="E8029" t="s">
        <v>187</v>
      </c>
      <c r="F8029">
        <v>2020</v>
      </c>
      <c r="G8029">
        <v>101.176405</v>
      </c>
    </row>
    <row r="8030" spans="1:7">
      <c r="A8030" t="s">
        <v>1297</v>
      </c>
      <c r="B8030" t="s">
        <v>1298</v>
      </c>
      <c r="C8030" t="s">
        <v>1303</v>
      </c>
      <c r="D8030" t="s">
        <v>1389</v>
      </c>
      <c r="E8030" t="s">
        <v>187</v>
      </c>
      <c r="F8030">
        <v>2016</v>
      </c>
      <c r="G8030">
        <v>81.451271000000006</v>
      </c>
    </row>
    <row r="8031" spans="1:7">
      <c r="A8031" t="s">
        <v>1297</v>
      </c>
      <c r="B8031" t="s">
        <v>1298</v>
      </c>
      <c r="C8031" t="s">
        <v>1303</v>
      </c>
      <c r="D8031" t="s">
        <v>1389</v>
      </c>
      <c r="E8031" t="s">
        <v>187</v>
      </c>
      <c r="F8031">
        <v>2020</v>
      </c>
      <c r="G8031">
        <v>96.676637999999997</v>
      </c>
    </row>
    <row r="8032" spans="1:7">
      <c r="A8032" t="s">
        <v>1297</v>
      </c>
      <c r="B8032" t="s">
        <v>1298</v>
      </c>
      <c r="C8032" t="s">
        <v>661</v>
      </c>
      <c r="D8032" t="s">
        <v>1389</v>
      </c>
      <c r="E8032" t="s">
        <v>187</v>
      </c>
      <c r="F8032">
        <v>2005</v>
      </c>
      <c r="G8032">
        <v>1742.700006</v>
      </c>
    </row>
    <row r="8033" spans="1:7">
      <c r="A8033" t="s">
        <v>1297</v>
      </c>
      <c r="B8033" t="s">
        <v>1298</v>
      </c>
      <c r="C8033" t="s">
        <v>661</v>
      </c>
      <c r="D8033" t="s">
        <v>1389</v>
      </c>
      <c r="E8033" t="s">
        <v>187</v>
      </c>
      <c r="F8033">
        <v>2010</v>
      </c>
      <c r="G8033">
        <v>1763.1023259999999</v>
      </c>
    </row>
    <row r="8034" spans="1:7">
      <c r="A8034" t="s">
        <v>1297</v>
      </c>
      <c r="B8034" t="s">
        <v>1298</v>
      </c>
      <c r="C8034" t="s">
        <v>661</v>
      </c>
      <c r="D8034" t="s">
        <v>1389</v>
      </c>
      <c r="E8034" t="s">
        <v>187</v>
      </c>
      <c r="F8034">
        <v>2012</v>
      </c>
      <c r="G8034">
        <v>1773.4845640000001</v>
      </c>
    </row>
    <row r="8035" spans="1:7">
      <c r="A8035" t="s">
        <v>1297</v>
      </c>
      <c r="B8035" t="s">
        <v>1298</v>
      </c>
      <c r="C8035" t="s">
        <v>661</v>
      </c>
      <c r="D8035" t="s">
        <v>1389</v>
      </c>
      <c r="E8035" t="s">
        <v>187</v>
      </c>
      <c r="F8035">
        <v>2016</v>
      </c>
      <c r="G8035">
        <v>1726.4031829999999</v>
      </c>
    </row>
    <row r="8036" spans="1:7">
      <c r="A8036" t="s">
        <v>1297</v>
      </c>
      <c r="B8036" t="s">
        <v>1298</v>
      </c>
      <c r="C8036" t="s">
        <v>661</v>
      </c>
      <c r="D8036" t="s">
        <v>1389</v>
      </c>
      <c r="E8036" t="s">
        <v>187</v>
      </c>
      <c r="F8036">
        <v>2020</v>
      </c>
      <c r="G8036">
        <v>2047.5067630000001</v>
      </c>
    </row>
    <row r="8037" spans="1:7">
      <c r="A8037" t="s">
        <v>1297</v>
      </c>
      <c r="B8037" t="s">
        <v>1298</v>
      </c>
      <c r="C8037" t="s">
        <v>652</v>
      </c>
      <c r="D8037" t="s">
        <v>1389</v>
      </c>
      <c r="E8037" t="s">
        <v>187</v>
      </c>
      <c r="F8037">
        <v>2005</v>
      </c>
      <c r="G8037">
        <v>620.373604</v>
      </c>
    </row>
    <row r="8038" spans="1:7">
      <c r="A8038" t="s">
        <v>1297</v>
      </c>
      <c r="B8038" t="s">
        <v>1298</v>
      </c>
      <c r="C8038" t="s">
        <v>652</v>
      </c>
      <c r="D8038" t="s">
        <v>1389</v>
      </c>
      <c r="E8038" t="s">
        <v>187</v>
      </c>
      <c r="F8038">
        <v>2010</v>
      </c>
      <c r="G8038">
        <v>818.32058300000006</v>
      </c>
    </row>
    <row r="8039" spans="1:7">
      <c r="A8039" t="s">
        <v>1297</v>
      </c>
      <c r="B8039" t="s">
        <v>1298</v>
      </c>
      <c r="C8039" t="s">
        <v>652</v>
      </c>
      <c r="D8039" t="s">
        <v>1389</v>
      </c>
      <c r="E8039" t="s">
        <v>187</v>
      </c>
      <c r="F8039">
        <v>2012</v>
      </c>
      <c r="G8039">
        <v>638.80749200000002</v>
      </c>
    </row>
    <row r="8040" spans="1:7">
      <c r="A8040" t="s">
        <v>1297</v>
      </c>
      <c r="B8040" t="s">
        <v>1298</v>
      </c>
      <c r="C8040" t="s">
        <v>652</v>
      </c>
      <c r="D8040" t="s">
        <v>1389</v>
      </c>
      <c r="E8040" t="s">
        <v>187</v>
      </c>
      <c r="F8040">
        <v>2016</v>
      </c>
      <c r="G8040">
        <v>623.27463699999998</v>
      </c>
    </row>
    <row r="8041" spans="1:7">
      <c r="A8041" t="s">
        <v>1297</v>
      </c>
      <c r="B8041" t="s">
        <v>1298</v>
      </c>
      <c r="C8041" t="s">
        <v>652</v>
      </c>
      <c r="D8041" t="s">
        <v>1389</v>
      </c>
      <c r="E8041" t="s">
        <v>187</v>
      </c>
      <c r="F8041">
        <v>2020</v>
      </c>
      <c r="G8041">
        <v>804.87522000000001</v>
      </c>
    </row>
    <row r="8042" spans="1:7">
      <c r="A8042" t="s">
        <v>1297</v>
      </c>
      <c r="B8042" t="s">
        <v>1298</v>
      </c>
      <c r="C8042" t="s">
        <v>655</v>
      </c>
      <c r="D8042" t="s">
        <v>1389</v>
      </c>
      <c r="E8042" t="s">
        <v>187</v>
      </c>
      <c r="F8042">
        <v>2005</v>
      </c>
      <c r="G8042">
        <v>318.35340000000002</v>
      </c>
    </row>
    <row r="8043" spans="1:7">
      <c r="A8043" t="s">
        <v>1297</v>
      </c>
      <c r="B8043" t="s">
        <v>1298</v>
      </c>
      <c r="C8043" t="s">
        <v>655</v>
      </c>
      <c r="D8043" t="s">
        <v>1389</v>
      </c>
      <c r="E8043" t="s">
        <v>187</v>
      </c>
      <c r="F8043">
        <v>2010</v>
      </c>
      <c r="G8043">
        <v>292.08690000000001</v>
      </c>
    </row>
    <row r="8044" spans="1:7">
      <c r="A8044" t="s">
        <v>1297</v>
      </c>
      <c r="B8044" t="s">
        <v>1298</v>
      </c>
      <c r="C8044" t="s">
        <v>655</v>
      </c>
      <c r="D8044" t="s">
        <v>1389</v>
      </c>
      <c r="E8044" t="s">
        <v>187</v>
      </c>
      <c r="F8044">
        <v>2012</v>
      </c>
      <c r="G8044">
        <v>255.7107</v>
      </c>
    </row>
    <row r="8045" spans="1:7">
      <c r="A8045" t="s">
        <v>1297</v>
      </c>
      <c r="B8045" t="s">
        <v>1298</v>
      </c>
      <c r="C8045" t="s">
        <v>655</v>
      </c>
      <c r="D8045" t="s">
        <v>1389</v>
      </c>
      <c r="E8045" t="s">
        <v>187</v>
      </c>
      <c r="F8045">
        <v>2016</v>
      </c>
      <c r="G8045">
        <v>281.14586300000002</v>
      </c>
    </row>
    <row r="8046" spans="1:7">
      <c r="A8046" t="s">
        <v>1297</v>
      </c>
      <c r="B8046" t="s">
        <v>1298</v>
      </c>
      <c r="C8046" t="s">
        <v>655</v>
      </c>
      <c r="D8046" t="s">
        <v>1389</v>
      </c>
      <c r="E8046" t="s">
        <v>187</v>
      </c>
      <c r="F8046">
        <v>2020</v>
      </c>
      <c r="G8046">
        <v>329.51839000000001</v>
      </c>
    </row>
    <row r="8047" spans="1:7">
      <c r="A8047" t="s">
        <v>1297</v>
      </c>
      <c r="B8047" t="s">
        <v>1298</v>
      </c>
      <c r="C8047" t="s">
        <v>668</v>
      </c>
      <c r="D8047" t="s">
        <v>1389</v>
      </c>
      <c r="E8047" t="s">
        <v>187</v>
      </c>
      <c r="F8047">
        <v>2005</v>
      </c>
      <c r="G8047">
        <v>60.039000000000001</v>
      </c>
    </row>
    <row r="8048" spans="1:7">
      <c r="A8048" t="s">
        <v>1297</v>
      </c>
      <c r="B8048" t="s">
        <v>1298</v>
      </c>
      <c r="C8048" t="s">
        <v>668</v>
      </c>
      <c r="D8048" t="s">
        <v>1389</v>
      </c>
      <c r="E8048" t="s">
        <v>187</v>
      </c>
      <c r="F8048">
        <v>2010</v>
      </c>
      <c r="G8048">
        <v>37.812600000000003</v>
      </c>
    </row>
    <row r="8049" spans="1:7">
      <c r="A8049" t="s">
        <v>1297</v>
      </c>
      <c r="B8049" t="s">
        <v>1298</v>
      </c>
      <c r="C8049" t="s">
        <v>668</v>
      </c>
      <c r="D8049" t="s">
        <v>1389</v>
      </c>
      <c r="E8049" t="s">
        <v>187</v>
      </c>
      <c r="F8049">
        <v>2012</v>
      </c>
      <c r="G8049">
        <v>57.703499999999998</v>
      </c>
    </row>
    <row r="8050" spans="1:7">
      <c r="A8050" t="s">
        <v>1297</v>
      </c>
      <c r="B8050" t="s">
        <v>1298</v>
      </c>
      <c r="C8050" t="s">
        <v>668</v>
      </c>
      <c r="D8050" t="s">
        <v>1389</v>
      </c>
      <c r="E8050" t="s">
        <v>187</v>
      </c>
      <c r="F8050">
        <v>2016</v>
      </c>
      <c r="G8050">
        <v>38.637453000000001</v>
      </c>
    </row>
    <row r="8051" spans="1:7">
      <c r="A8051" t="s">
        <v>1297</v>
      </c>
      <c r="B8051" t="s">
        <v>1298</v>
      </c>
      <c r="C8051" t="s">
        <v>668</v>
      </c>
      <c r="D8051" t="s">
        <v>1389</v>
      </c>
      <c r="E8051" t="s">
        <v>187</v>
      </c>
      <c r="F8051">
        <v>2020</v>
      </c>
      <c r="G8051">
        <v>46.208893000000003</v>
      </c>
    </row>
    <row r="8052" spans="1:7">
      <c r="A8052" t="s">
        <v>1297</v>
      </c>
      <c r="B8052" t="s">
        <v>1298</v>
      </c>
      <c r="C8052" t="s">
        <v>671</v>
      </c>
      <c r="D8052" t="s">
        <v>1389</v>
      </c>
      <c r="E8052" t="s">
        <v>187</v>
      </c>
      <c r="F8052">
        <v>2005</v>
      </c>
      <c r="G8052">
        <v>358.69229999999999</v>
      </c>
    </row>
    <row r="8053" spans="1:7">
      <c r="A8053" t="s">
        <v>1297</v>
      </c>
      <c r="B8053" t="s">
        <v>1298</v>
      </c>
      <c r="C8053" t="s">
        <v>1299</v>
      </c>
      <c r="D8053" t="s">
        <v>1389</v>
      </c>
      <c r="E8053" t="s">
        <v>187</v>
      </c>
      <c r="F8053">
        <v>2005</v>
      </c>
      <c r="G8053">
        <v>2113.9632000000001</v>
      </c>
    </row>
    <row r="8054" spans="1:7">
      <c r="A8054" t="s">
        <v>1297</v>
      </c>
      <c r="B8054" t="s">
        <v>1298</v>
      </c>
      <c r="C8054" t="s">
        <v>1299</v>
      </c>
      <c r="D8054" t="s">
        <v>1389</v>
      </c>
      <c r="E8054" t="s">
        <v>187</v>
      </c>
      <c r="F8054">
        <v>2010</v>
      </c>
      <c r="G8054">
        <v>1237.5854999999999</v>
      </c>
    </row>
    <row r="8055" spans="1:7">
      <c r="A8055" t="s">
        <v>1297</v>
      </c>
      <c r="B8055" t="s">
        <v>1298</v>
      </c>
      <c r="C8055" t="s">
        <v>1299</v>
      </c>
      <c r="D8055" t="s">
        <v>1389</v>
      </c>
      <c r="E8055" t="s">
        <v>187</v>
      </c>
      <c r="F8055">
        <v>2012</v>
      </c>
      <c r="G8055">
        <v>1113.5961</v>
      </c>
    </row>
    <row r="8056" spans="1:7">
      <c r="A8056" t="s">
        <v>1297</v>
      </c>
      <c r="B8056" t="s">
        <v>1298</v>
      </c>
      <c r="C8056" t="s">
        <v>1299</v>
      </c>
      <c r="D8056" t="s">
        <v>1389</v>
      </c>
      <c r="E8056" t="s">
        <v>187</v>
      </c>
      <c r="F8056">
        <v>2016</v>
      </c>
      <c r="G8056">
        <v>368.80829999999997</v>
      </c>
    </row>
    <row r="8057" spans="1:7">
      <c r="A8057" t="s">
        <v>1297</v>
      </c>
      <c r="B8057" t="s">
        <v>1298</v>
      </c>
      <c r="C8057" t="s">
        <v>1299</v>
      </c>
      <c r="D8057" t="s">
        <v>1389</v>
      </c>
      <c r="E8057" t="s">
        <v>187</v>
      </c>
      <c r="F8057">
        <v>2020</v>
      </c>
      <c r="G8057">
        <v>401.98155200000002</v>
      </c>
    </row>
    <row r="8058" spans="1:7">
      <c r="A8058" t="s">
        <v>1297</v>
      </c>
      <c r="B8058" t="s">
        <v>1298</v>
      </c>
      <c r="C8058" t="s">
        <v>686</v>
      </c>
      <c r="D8058" t="s">
        <v>1389</v>
      </c>
      <c r="E8058" t="s">
        <v>187</v>
      </c>
      <c r="F8058">
        <v>2005</v>
      </c>
      <c r="G8058">
        <v>71.945999999999998</v>
      </c>
    </row>
    <row r="8059" spans="1:7">
      <c r="A8059" t="s">
        <v>1297</v>
      </c>
      <c r="B8059" t="s">
        <v>1298</v>
      </c>
      <c r="C8059" t="s">
        <v>686</v>
      </c>
      <c r="D8059" t="s">
        <v>1389</v>
      </c>
      <c r="E8059" t="s">
        <v>187</v>
      </c>
      <c r="F8059">
        <v>2010</v>
      </c>
      <c r="G8059">
        <v>65.600999999999999</v>
      </c>
    </row>
    <row r="8060" spans="1:7">
      <c r="A8060" t="s">
        <v>1297</v>
      </c>
      <c r="B8060" t="s">
        <v>1298</v>
      </c>
      <c r="C8060" t="s">
        <v>686</v>
      </c>
      <c r="D8060" t="s">
        <v>1389</v>
      </c>
      <c r="E8060" t="s">
        <v>187</v>
      </c>
      <c r="F8060">
        <v>2012</v>
      </c>
      <c r="G8060">
        <v>59.667299999999997</v>
      </c>
    </row>
    <row r="8061" spans="1:7">
      <c r="A8061" t="s">
        <v>1297</v>
      </c>
      <c r="B8061" t="s">
        <v>1298</v>
      </c>
      <c r="C8061" t="s">
        <v>686</v>
      </c>
      <c r="D8061" t="s">
        <v>1389</v>
      </c>
      <c r="E8061" t="s">
        <v>187</v>
      </c>
      <c r="F8061">
        <v>2016</v>
      </c>
      <c r="G8061">
        <v>59.8491</v>
      </c>
    </row>
    <row r="8062" spans="1:7">
      <c r="A8062" t="s">
        <v>1297</v>
      </c>
      <c r="B8062" t="s">
        <v>1298</v>
      </c>
      <c r="C8062" t="s">
        <v>686</v>
      </c>
      <c r="D8062" t="s">
        <v>1389</v>
      </c>
      <c r="E8062" t="s">
        <v>187</v>
      </c>
      <c r="F8062">
        <v>2020</v>
      </c>
      <c r="G8062">
        <v>75.430892</v>
      </c>
    </row>
    <row r="8063" spans="1:7">
      <c r="A8063" t="s">
        <v>1297</v>
      </c>
      <c r="B8063" t="s">
        <v>1298</v>
      </c>
      <c r="C8063" t="s">
        <v>682</v>
      </c>
      <c r="D8063" t="s">
        <v>1389</v>
      </c>
      <c r="E8063" t="s">
        <v>187</v>
      </c>
      <c r="F8063">
        <v>2016</v>
      </c>
      <c r="G8063">
        <v>7.7328000000000001</v>
      </c>
    </row>
    <row r="8064" spans="1:7">
      <c r="A8064" t="s">
        <v>1297</v>
      </c>
      <c r="B8064" t="s">
        <v>1298</v>
      </c>
      <c r="C8064" t="s">
        <v>682</v>
      </c>
      <c r="D8064" t="s">
        <v>1389</v>
      </c>
      <c r="E8064" t="s">
        <v>187</v>
      </c>
      <c r="F8064">
        <v>2020</v>
      </c>
      <c r="G8064">
        <v>7.8705230000000004</v>
      </c>
    </row>
    <row r="8065" spans="1:7">
      <c r="A8065" t="s">
        <v>1297</v>
      </c>
      <c r="B8065" t="s">
        <v>1298</v>
      </c>
      <c r="C8065" t="s">
        <v>685</v>
      </c>
      <c r="D8065" t="s">
        <v>1389</v>
      </c>
      <c r="E8065" t="s">
        <v>187</v>
      </c>
      <c r="F8065">
        <v>2005</v>
      </c>
      <c r="G8065">
        <v>2.6118000000000001</v>
      </c>
    </row>
    <row r="8066" spans="1:7">
      <c r="A8066" t="s">
        <v>1297</v>
      </c>
      <c r="B8066" t="s">
        <v>1298</v>
      </c>
      <c r="C8066" t="s">
        <v>685</v>
      </c>
      <c r="D8066" t="s">
        <v>1389</v>
      </c>
      <c r="E8066" t="s">
        <v>187</v>
      </c>
      <c r="F8066">
        <v>2010</v>
      </c>
      <c r="G8066">
        <v>4.0041000000000002</v>
      </c>
    </row>
    <row r="8067" spans="1:7">
      <c r="A8067" t="s">
        <v>1297</v>
      </c>
      <c r="B8067" t="s">
        <v>1298</v>
      </c>
      <c r="C8067" t="s">
        <v>685</v>
      </c>
      <c r="D8067" t="s">
        <v>1389</v>
      </c>
      <c r="E8067" t="s">
        <v>187</v>
      </c>
      <c r="F8067">
        <v>2012</v>
      </c>
      <c r="G8067">
        <v>4.7925000000000004</v>
      </c>
    </row>
    <row r="8068" spans="1:7">
      <c r="A8068" t="s">
        <v>1297</v>
      </c>
      <c r="B8068" t="s">
        <v>1298</v>
      </c>
      <c r="C8068" t="s">
        <v>685</v>
      </c>
      <c r="D8068" t="s">
        <v>1389</v>
      </c>
      <c r="E8068" t="s">
        <v>187</v>
      </c>
      <c r="F8068">
        <v>2016</v>
      </c>
      <c r="G8068">
        <v>7.3711060000000002</v>
      </c>
    </row>
    <row r="8069" spans="1:7">
      <c r="A8069" t="s">
        <v>1297</v>
      </c>
      <c r="B8069" t="s">
        <v>1298</v>
      </c>
      <c r="C8069" t="s">
        <v>685</v>
      </c>
      <c r="D8069" t="s">
        <v>1389</v>
      </c>
      <c r="E8069" t="s">
        <v>187</v>
      </c>
      <c r="F8069">
        <v>2020</v>
      </c>
      <c r="G8069">
        <v>10.217700000000001</v>
      </c>
    </row>
    <row r="8070" spans="1:7">
      <c r="A8070" t="s">
        <v>1297</v>
      </c>
      <c r="B8070" t="s">
        <v>1298</v>
      </c>
      <c r="C8070" t="s">
        <v>657</v>
      </c>
      <c r="D8070" t="s">
        <v>1389</v>
      </c>
      <c r="E8070" t="s">
        <v>187</v>
      </c>
      <c r="F8070">
        <v>2010</v>
      </c>
      <c r="G8070">
        <v>5.695246</v>
      </c>
    </row>
    <row r="8071" spans="1:7">
      <c r="A8071" t="s">
        <v>1297</v>
      </c>
      <c r="B8071" t="s">
        <v>1298</v>
      </c>
      <c r="C8071" t="s">
        <v>657</v>
      </c>
      <c r="D8071" t="s">
        <v>1389</v>
      </c>
      <c r="E8071" t="s">
        <v>187</v>
      </c>
      <c r="F8071">
        <v>2012</v>
      </c>
      <c r="G8071">
        <v>34.405659</v>
      </c>
    </row>
    <row r="8072" spans="1:7">
      <c r="A8072" t="s">
        <v>1297</v>
      </c>
      <c r="B8072" t="s">
        <v>1298</v>
      </c>
      <c r="C8072" t="s">
        <v>657</v>
      </c>
      <c r="D8072" t="s">
        <v>1389</v>
      </c>
      <c r="E8072" t="s">
        <v>187</v>
      </c>
      <c r="F8072">
        <v>2016</v>
      </c>
      <c r="G8072">
        <v>27.040447</v>
      </c>
    </row>
    <row r="8073" spans="1:7">
      <c r="A8073" t="s">
        <v>1297</v>
      </c>
      <c r="B8073" t="s">
        <v>1298</v>
      </c>
      <c r="C8073" t="s">
        <v>657</v>
      </c>
      <c r="D8073" t="s">
        <v>1389</v>
      </c>
      <c r="E8073" t="s">
        <v>187</v>
      </c>
      <c r="F8073">
        <v>2020</v>
      </c>
      <c r="G8073">
        <v>43.206322</v>
      </c>
    </row>
    <row r="8074" spans="1:7">
      <c r="A8074" t="s">
        <v>1297</v>
      </c>
      <c r="B8074" t="s">
        <v>1298</v>
      </c>
      <c r="C8074" t="s">
        <v>651</v>
      </c>
      <c r="D8074" t="s">
        <v>1389</v>
      </c>
      <c r="E8074" t="s">
        <v>187</v>
      </c>
      <c r="F8074">
        <v>2005</v>
      </c>
      <c r="G8074">
        <v>336.43980299999998</v>
      </c>
    </row>
    <row r="8075" spans="1:7">
      <c r="A8075" t="s">
        <v>1297</v>
      </c>
      <c r="B8075" t="s">
        <v>1298</v>
      </c>
      <c r="C8075" t="s">
        <v>651</v>
      </c>
      <c r="D8075" t="s">
        <v>1389</v>
      </c>
      <c r="E8075" t="s">
        <v>187</v>
      </c>
      <c r="F8075">
        <v>2010</v>
      </c>
      <c r="G8075">
        <v>426.64410600000002</v>
      </c>
    </row>
    <row r="8076" spans="1:7">
      <c r="A8076" t="s">
        <v>1297</v>
      </c>
      <c r="B8076" t="s">
        <v>1298</v>
      </c>
      <c r="C8076" t="s">
        <v>651</v>
      </c>
      <c r="D8076" t="s">
        <v>1389</v>
      </c>
      <c r="E8076" t="s">
        <v>187</v>
      </c>
      <c r="F8076">
        <v>2012</v>
      </c>
      <c r="G8076">
        <v>487.01519400000001</v>
      </c>
    </row>
    <row r="8077" spans="1:7">
      <c r="A8077" t="s">
        <v>1297</v>
      </c>
      <c r="B8077" t="s">
        <v>1298</v>
      </c>
      <c r="C8077" t="s">
        <v>651</v>
      </c>
      <c r="D8077" t="s">
        <v>1389</v>
      </c>
      <c r="E8077" t="s">
        <v>187</v>
      </c>
      <c r="F8077">
        <v>2016</v>
      </c>
      <c r="G8077">
        <v>501.35210899999998</v>
      </c>
    </row>
    <row r="8078" spans="1:7">
      <c r="A8078" t="s">
        <v>1297</v>
      </c>
      <c r="B8078" t="s">
        <v>1298</v>
      </c>
      <c r="C8078" t="s">
        <v>651</v>
      </c>
      <c r="D8078" t="s">
        <v>1389</v>
      </c>
      <c r="E8078" t="s">
        <v>187</v>
      </c>
      <c r="F8078">
        <v>2020</v>
      </c>
      <c r="G8078">
        <v>492.48360300000002</v>
      </c>
    </row>
    <row r="8079" spans="1:7">
      <c r="A8079" t="s">
        <v>1297</v>
      </c>
      <c r="B8079" t="s">
        <v>1298</v>
      </c>
      <c r="C8079" t="s">
        <v>659</v>
      </c>
      <c r="D8079" t="s">
        <v>1389</v>
      </c>
      <c r="E8079" t="s">
        <v>187</v>
      </c>
      <c r="F8079">
        <v>2005</v>
      </c>
      <c r="G8079">
        <v>1266.4299189999999</v>
      </c>
    </row>
    <row r="8080" spans="1:7">
      <c r="A8080" t="s">
        <v>1297</v>
      </c>
      <c r="B8080" t="s">
        <v>1298</v>
      </c>
      <c r="C8080" t="s">
        <v>659</v>
      </c>
      <c r="D8080" t="s">
        <v>1389</v>
      </c>
      <c r="E8080" t="s">
        <v>187</v>
      </c>
      <c r="F8080">
        <v>2010</v>
      </c>
      <c r="G8080">
        <v>1337.8924440000001</v>
      </c>
    </row>
    <row r="8081" spans="1:7">
      <c r="A8081" t="s">
        <v>1297</v>
      </c>
      <c r="B8081" t="s">
        <v>1298</v>
      </c>
      <c r="C8081" t="s">
        <v>659</v>
      </c>
      <c r="D8081" t="s">
        <v>1389</v>
      </c>
      <c r="E8081" t="s">
        <v>187</v>
      </c>
      <c r="F8081">
        <v>2012</v>
      </c>
      <c r="G8081">
        <v>1277.189625</v>
      </c>
    </row>
    <row r="8082" spans="1:7">
      <c r="A8082" t="s">
        <v>1297</v>
      </c>
      <c r="B8082" t="s">
        <v>1298</v>
      </c>
      <c r="C8082" t="s">
        <v>659</v>
      </c>
      <c r="D8082" t="s">
        <v>1389</v>
      </c>
      <c r="E8082" t="s">
        <v>187</v>
      </c>
      <c r="F8082">
        <v>2016</v>
      </c>
      <c r="G8082">
        <v>1180.426862</v>
      </c>
    </row>
    <row r="8083" spans="1:7">
      <c r="A8083" t="s">
        <v>1297</v>
      </c>
      <c r="B8083" t="s">
        <v>1298</v>
      </c>
      <c r="C8083" t="s">
        <v>659</v>
      </c>
      <c r="D8083" t="s">
        <v>1389</v>
      </c>
      <c r="E8083" t="s">
        <v>187</v>
      </c>
      <c r="F8083">
        <v>2020</v>
      </c>
      <c r="G8083">
        <v>1355.409893</v>
      </c>
    </row>
    <row r="8084" spans="1:7">
      <c r="A8084" t="s">
        <v>1297</v>
      </c>
      <c r="B8084" t="s">
        <v>1298</v>
      </c>
      <c r="C8084" t="s">
        <v>658</v>
      </c>
      <c r="D8084" t="s">
        <v>1389</v>
      </c>
      <c r="E8084" t="s">
        <v>187</v>
      </c>
      <c r="F8084">
        <v>2005</v>
      </c>
      <c r="G8084">
        <v>33.480899999999998</v>
      </c>
    </row>
    <row r="8085" spans="1:7">
      <c r="A8085" t="s">
        <v>1297</v>
      </c>
      <c r="B8085" t="s">
        <v>1298</v>
      </c>
      <c r="C8085" t="s">
        <v>658</v>
      </c>
      <c r="D8085" t="s">
        <v>1389</v>
      </c>
      <c r="E8085" t="s">
        <v>187</v>
      </c>
      <c r="F8085">
        <v>2010</v>
      </c>
      <c r="G8085">
        <v>23.551200000000001</v>
      </c>
    </row>
    <row r="8086" spans="1:7">
      <c r="A8086" t="s">
        <v>1297</v>
      </c>
      <c r="B8086" t="s">
        <v>1298</v>
      </c>
      <c r="C8086" t="s">
        <v>658</v>
      </c>
      <c r="D8086" t="s">
        <v>1389</v>
      </c>
      <c r="E8086" t="s">
        <v>187</v>
      </c>
      <c r="F8086">
        <v>2012</v>
      </c>
      <c r="G8086">
        <v>22.834800000000001</v>
      </c>
    </row>
    <row r="8087" spans="1:7">
      <c r="A8087" t="s">
        <v>1297</v>
      </c>
      <c r="B8087" t="s">
        <v>1298</v>
      </c>
      <c r="C8087" t="s">
        <v>658</v>
      </c>
      <c r="D8087" t="s">
        <v>1389</v>
      </c>
      <c r="E8087" t="s">
        <v>187</v>
      </c>
      <c r="F8087">
        <v>2016</v>
      </c>
      <c r="G8087">
        <v>17.930700000000002</v>
      </c>
    </row>
    <row r="8088" spans="1:7">
      <c r="A8088" t="s">
        <v>1297</v>
      </c>
      <c r="B8088" t="s">
        <v>1298</v>
      </c>
      <c r="C8088" t="s">
        <v>658</v>
      </c>
      <c r="D8088" t="s">
        <v>1389</v>
      </c>
      <c r="E8088" t="s">
        <v>187</v>
      </c>
      <c r="F8088">
        <v>2020</v>
      </c>
      <c r="G8088">
        <v>16.777994</v>
      </c>
    </row>
    <row r="8089" spans="1:7">
      <c r="A8089" t="s">
        <v>1297</v>
      </c>
      <c r="B8089" t="s">
        <v>1298</v>
      </c>
      <c r="C8089" t="s">
        <v>675</v>
      </c>
      <c r="D8089" t="s">
        <v>1389</v>
      </c>
      <c r="E8089" t="s">
        <v>187</v>
      </c>
      <c r="F8089">
        <v>2005</v>
      </c>
      <c r="G8089">
        <v>38.744100000000003</v>
      </c>
    </row>
    <row r="8090" spans="1:7">
      <c r="A8090" t="s">
        <v>1297</v>
      </c>
      <c r="B8090" t="s">
        <v>1298</v>
      </c>
      <c r="C8090" t="s">
        <v>675</v>
      </c>
      <c r="D8090" t="s">
        <v>1389</v>
      </c>
      <c r="E8090" t="s">
        <v>187</v>
      </c>
      <c r="F8090">
        <v>2010</v>
      </c>
      <c r="G8090">
        <v>35.874000000000002</v>
      </c>
    </row>
    <row r="8091" spans="1:7">
      <c r="A8091" t="s">
        <v>1297</v>
      </c>
      <c r="B8091" t="s">
        <v>1298</v>
      </c>
      <c r="C8091" t="s">
        <v>675</v>
      </c>
      <c r="D8091" t="s">
        <v>1389</v>
      </c>
      <c r="E8091" t="s">
        <v>187</v>
      </c>
      <c r="F8091">
        <v>2012</v>
      </c>
      <c r="G8091">
        <v>29.657699999999998</v>
      </c>
    </row>
    <row r="8092" spans="1:7">
      <c r="A8092" t="s">
        <v>1297</v>
      </c>
      <c r="B8092" t="s">
        <v>1298</v>
      </c>
      <c r="C8092" t="s">
        <v>675</v>
      </c>
      <c r="D8092" t="s">
        <v>1389</v>
      </c>
      <c r="E8092" t="s">
        <v>187</v>
      </c>
      <c r="F8092">
        <v>2016</v>
      </c>
      <c r="G8092">
        <v>29.34</v>
      </c>
    </row>
    <row r="8093" spans="1:7">
      <c r="A8093" t="s">
        <v>1297</v>
      </c>
      <c r="B8093" t="s">
        <v>1298</v>
      </c>
      <c r="C8093" t="s">
        <v>675</v>
      </c>
      <c r="D8093" t="s">
        <v>1389</v>
      </c>
      <c r="E8093" t="s">
        <v>187</v>
      </c>
      <c r="F8093">
        <v>2020</v>
      </c>
      <c r="G8093">
        <v>30.624227999999999</v>
      </c>
    </row>
    <row r="8094" spans="1:7">
      <c r="A8094" t="s">
        <v>1297</v>
      </c>
      <c r="B8094" t="s">
        <v>1298</v>
      </c>
      <c r="C8094" t="s">
        <v>662</v>
      </c>
      <c r="D8094" t="s">
        <v>1389</v>
      </c>
      <c r="E8094" t="s">
        <v>187</v>
      </c>
      <c r="F8094">
        <v>2005</v>
      </c>
      <c r="G8094">
        <v>97.646345999999994</v>
      </c>
    </row>
    <row r="8095" spans="1:7">
      <c r="A8095" t="s">
        <v>1297</v>
      </c>
      <c r="B8095" t="s">
        <v>1298</v>
      </c>
      <c r="C8095" t="s">
        <v>662</v>
      </c>
      <c r="D8095" t="s">
        <v>1389</v>
      </c>
      <c r="E8095" t="s">
        <v>187</v>
      </c>
      <c r="F8095">
        <v>2010</v>
      </c>
      <c r="G8095">
        <v>135.26125999999999</v>
      </c>
    </row>
    <row r="8096" spans="1:7">
      <c r="A8096" t="s">
        <v>1297</v>
      </c>
      <c r="B8096" t="s">
        <v>1298</v>
      </c>
      <c r="C8096" t="s">
        <v>662</v>
      </c>
      <c r="D8096" t="s">
        <v>1389</v>
      </c>
      <c r="E8096" t="s">
        <v>187</v>
      </c>
      <c r="F8096">
        <v>2012</v>
      </c>
      <c r="G8096">
        <v>153.815887</v>
      </c>
    </row>
    <row r="8097" spans="1:7">
      <c r="A8097" t="s">
        <v>1297</v>
      </c>
      <c r="B8097" t="s">
        <v>1298</v>
      </c>
      <c r="C8097" t="s">
        <v>662</v>
      </c>
      <c r="D8097" t="s">
        <v>1389</v>
      </c>
      <c r="E8097" t="s">
        <v>187</v>
      </c>
      <c r="F8097">
        <v>2016</v>
      </c>
      <c r="G8097">
        <v>144.96683300000001</v>
      </c>
    </row>
    <row r="8098" spans="1:7">
      <c r="A8098" t="s">
        <v>1297</v>
      </c>
      <c r="B8098" t="s">
        <v>1298</v>
      </c>
      <c r="C8098" t="s">
        <v>662</v>
      </c>
      <c r="D8098" t="s">
        <v>1389</v>
      </c>
      <c r="E8098" t="s">
        <v>187</v>
      </c>
      <c r="F8098">
        <v>2020</v>
      </c>
      <c r="G8098">
        <v>186.621893</v>
      </c>
    </row>
    <row r="8099" spans="1:7">
      <c r="A8099" t="s">
        <v>1297</v>
      </c>
      <c r="B8099" t="s">
        <v>1298</v>
      </c>
      <c r="C8099" t="s">
        <v>289</v>
      </c>
      <c r="D8099" t="s">
        <v>1389</v>
      </c>
      <c r="E8099" t="s">
        <v>187</v>
      </c>
      <c r="F8099">
        <v>2005</v>
      </c>
      <c r="G8099">
        <v>38.7864</v>
      </c>
    </row>
    <row r="8100" spans="1:7">
      <c r="A8100" t="s">
        <v>1297</v>
      </c>
      <c r="B8100" t="s">
        <v>1298</v>
      </c>
      <c r="C8100" t="s">
        <v>289</v>
      </c>
      <c r="D8100" t="s">
        <v>1389</v>
      </c>
      <c r="E8100" t="s">
        <v>187</v>
      </c>
      <c r="F8100">
        <v>2010</v>
      </c>
      <c r="G8100">
        <v>36.366300000000003</v>
      </c>
    </row>
    <row r="8101" spans="1:7">
      <c r="A8101" t="s">
        <v>1297</v>
      </c>
      <c r="B8101" t="s">
        <v>1298</v>
      </c>
      <c r="C8101" t="s">
        <v>289</v>
      </c>
      <c r="D8101" t="s">
        <v>1389</v>
      </c>
      <c r="E8101" t="s">
        <v>187</v>
      </c>
      <c r="F8101">
        <v>2012</v>
      </c>
      <c r="G8101">
        <v>46.161900000000003</v>
      </c>
    </row>
    <row r="8102" spans="1:7">
      <c r="A8102" t="s">
        <v>1297</v>
      </c>
      <c r="B8102" t="s">
        <v>1298</v>
      </c>
      <c r="C8102" t="s">
        <v>289</v>
      </c>
      <c r="D8102" t="s">
        <v>1389</v>
      </c>
      <c r="E8102" t="s">
        <v>187</v>
      </c>
      <c r="F8102">
        <v>2016</v>
      </c>
      <c r="G8102">
        <v>44.011800000000001</v>
      </c>
    </row>
    <row r="8103" spans="1:7">
      <c r="A8103" t="s">
        <v>1297</v>
      </c>
      <c r="B8103" t="s">
        <v>1298</v>
      </c>
      <c r="C8103" t="s">
        <v>289</v>
      </c>
      <c r="D8103" t="s">
        <v>1389</v>
      </c>
      <c r="E8103" t="s">
        <v>187</v>
      </c>
      <c r="F8103">
        <v>2020</v>
      </c>
      <c r="G8103">
        <v>69.397775999999993</v>
      </c>
    </row>
    <row r="8104" spans="1:7">
      <c r="A8104" t="s">
        <v>1297</v>
      </c>
      <c r="B8104" t="s">
        <v>1298</v>
      </c>
      <c r="C8104" t="s">
        <v>660</v>
      </c>
      <c r="D8104" t="s">
        <v>1389</v>
      </c>
      <c r="E8104" t="s">
        <v>187</v>
      </c>
      <c r="F8104">
        <v>2005</v>
      </c>
      <c r="G8104">
        <v>151.00470000000001</v>
      </c>
    </row>
    <row r="8105" spans="1:7">
      <c r="A8105" t="s">
        <v>1297</v>
      </c>
      <c r="B8105" t="s">
        <v>1298</v>
      </c>
      <c r="C8105" t="s">
        <v>667</v>
      </c>
      <c r="D8105" t="s">
        <v>1389</v>
      </c>
      <c r="E8105" t="s">
        <v>187</v>
      </c>
      <c r="F8105">
        <v>2005</v>
      </c>
      <c r="G8105">
        <v>49.248165</v>
      </c>
    </row>
    <row r="8106" spans="1:7">
      <c r="A8106" t="s">
        <v>1297</v>
      </c>
      <c r="B8106" t="s">
        <v>1298</v>
      </c>
      <c r="C8106" t="s">
        <v>667</v>
      </c>
      <c r="D8106" t="s">
        <v>1389</v>
      </c>
      <c r="E8106" t="s">
        <v>187</v>
      </c>
      <c r="F8106">
        <v>2010</v>
      </c>
      <c r="G8106">
        <v>50.098694000000002</v>
      </c>
    </row>
    <row r="8107" spans="1:7">
      <c r="A8107" t="s">
        <v>1297</v>
      </c>
      <c r="B8107" t="s">
        <v>1298</v>
      </c>
      <c r="C8107" t="s">
        <v>667</v>
      </c>
      <c r="D8107" t="s">
        <v>1389</v>
      </c>
      <c r="E8107" t="s">
        <v>187</v>
      </c>
      <c r="F8107">
        <v>2012</v>
      </c>
      <c r="G8107">
        <v>44.005882</v>
      </c>
    </row>
    <row r="8108" spans="1:7">
      <c r="A8108" t="s">
        <v>1297</v>
      </c>
      <c r="B8108" t="s">
        <v>1298</v>
      </c>
      <c r="C8108" t="s">
        <v>667</v>
      </c>
      <c r="D8108" t="s">
        <v>1389</v>
      </c>
      <c r="E8108" t="s">
        <v>187</v>
      </c>
      <c r="F8108">
        <v>2016</v>
      </c>
      <c r="G8108">
        <v>29.688943999999999</v>
      </c>
    </row>
    <row r="8109" spans="1:7">
      <c r="A8109" t="s">
        <v>1297</v>
      </c>
      <c r="B8109" t="s">
        <v>1298</v>
      </c>
      <c r="C8109" t="s">
        <v>667</v>
      </c>
      <c r="D8109" t="s">
        <v>1389</v>
      </c>
      <c r="E8109" t="s">
        <v>187</v>
      </c>
      <c r="F8109">
        <v>2020</v>
      </c>
      <c r="G8109">
        <v>28.640117</v>
      </c>
    </row>
    <row r="8110" spans="1:7">
      <c r="A8110" t="s">
        <v>1297</v>
      </c>
      <c r="B8110" t="s">
        <v>1298</v>
      </c>
      <c r="C8110" t="s">
        <v>673</v>
      </c>
      <c r="D8110" t="s">
        <v>1389</v>
      </c>
      <c r="E8110" t="s">
        <v>187</v>
      </c>
      <c r="F8110">
        <v>2005</v>
      </c>
      <c r="G8110">
        <v>175.44149999999999</v>
      </c>
    </row>
    <row r="8111" spans="1:7">
      <c r="A8111" t="s">
        <v>1297</v>
      </c>
      <c r="B8111" t="s">
        <v>1298</v>
      </c>
      <c r="C8111" t="s">
        <v>673</v>
      </c>
      <c r="D8111" t="s">
        <v>1389</v>
      </c>
      <c r="E8111" t="s">
        <v>187</v>
      </c>
      <c r="F8111">
        <v>2010</v>
      </c>
      <c r="G8111">
        <v>76.023899999999998</v>
      </c>
    </row>
    <row r="8112" spans="1:7">
      <c r="A8112" t="s">
        <v>1297</v>
      </c>
      <c r="B8112" t="s">
        <v>1298</v>
      </c>
      <c r="C8112" t="s">
        <v>673</v>
      </c>
      <c r="D8112" t="s">
        <v>1389</v>
      </c>
      <c r="E8112" t="s">
        <v>187</v>
      </c>
      <c r="F8112">
        <v>2012</v>
      </c>
      <c r="G8112">
        <v>96.189300000000003</v>
      </c>
    </row>
    <row r="8113" spans="1:7">
      <c r="A8113" t="s">
        <v>1297</v>
      </c>
      <c r="B8113" t="s">
        <v>1298</v>
      </c>
      <c r="C8113" t="s">
        <v>673</v>
      </c>
      <c r="D8113" t="s">
        <v>1389</v>
      </c>
      <c r="E8113" t="s">
        <v>187</v>
      </c>
      <c r="F8113">
        <v>2016</v>
      </c>
      <c r="G8113">
        <v>49.2498</v>
      </c>
    </row>
    <row r="8114" spans="1:7">
      <c r="A8114" t="s">
        <v>1297</v>
      </c>
      <c r="B8114" t="s">
        <v>1298</v>
      </c>
      <c r="C8114" t="s">
        <v>673</v>
      </c>
      <c r="D8114" t="s">
        <v>1389</v>
      </c>
      <c r="E8114" t="s">
        <v>187</v>
      </c>
      <c r="F8114">
        <v>2020</v>
      </c>
      <c r="G8114">
        <v>90.338728000000003</v>
      </c>
    </row>
    <row r="8115" spans="1:7">
      <c r="A8115" t="s">
        <v>1297</v>
      </c>
      <c r="B8115" t="s">
        <v>1298</v>
      </c>
      <c r="C8115" t="s">
        <v>1301</v>
      </c>
      <c r="D8115" t="s">
        <v>1389</v>
      </c>
      <c r="E8115" t="s">
        <v>187</v>
      </c>
      <c r="F8115">
        <v>2005</v>
      </c>
      <c r="G8115">
        <v>926.68859999999995</v>
      </c>
    </row>
    <row r="8116" spans="1:7">
      <c r="A8116" t="s">
        <v>1297</v>
      </c>
      <c r="B8116" t="s">
        <v>1298</v>
      </c>
      <c r="C8116" t="s">
        <v>1301</v>
      </c>
      <c r="D8116" t="s">
        <v>1389</v>
      </c>
      <c r="E8116" t="s">
        <v>187</v>
      </c>
      <c r="F8116">
        <v>2010</v>
      </c>
      <c r="G8116">
        <v>1311.2936999999999</v>
      </c>
    </row>
    <row r="8117" spans="1:7">
      <c r="A8117" t="s">
        <v>1297</v>
      </c>
      <c r="B8117" t="s">
        <v>1298</v>
      </c>
      <c r="C8117" t="s">
        <v>1301</v>
      </c>
      <c r="D8117" t="s">
        <v>1389</v>
      </c>
      <c r="E8117" t="s">
        <v>187</v>
      </c>
      <c r="F8117">
        <v>2012</v>
      </c>
      <c r="G8117">
        <v>1583.1215999999999</v>
      </c>
    </row>
    <row r="8118" spans="1:7">
      <c r="A8118" t="s">
        <v>1297</v>
      </c>
      <c r="B8118" t="s">
        <v>1298</v>
      </c>
      <c r="C8118" t="s">
        <v>1301</v>
      </c>
      <c r="D8118" t="s">
        <v>1389</v>
      </c>
      <c r="E8118" t="s">
        <v>187</v>
      </c>
      <c r="F8118">
        <v>2016</v>
      </c>
      <c r="G8118">
        <v>1597.9515759999999</v>
      </c>
    </row>
    <row r="8119" spans="1:7">
      <c r="A8119" t="s">
        <v>1297</v>
      </c>
      <c r="B8119" t="s">
        <v>1298</v>
      </c>
      <c r="C8119" t="s">
        <v>1301</v>
      </c>
      <c r="D8119" t="s">
        <v>1389</v>
      </c>
      <c r="E8119" t="s">
        <v>187</v>
      </c>
      <c r="F8119">
        <v>2020</v>
      </c>
      <c r="G8119">
        <v>1558.4903770000001</v>
      </c>
    </row>
    <row r="8120" spans="1:7">
      <c r="A8120" t="s">
        <v>1297</v>
      </c>
      <c r="B8120" t="s">
        <v>1298</v>
      </c>
      <c r="C8120" t="s">
        <v>660</v>
      </c>
      <c r="D8120" t="s">
        <v>1389</v>
      </c>
      <c r="E8120" t="s">
        <v>187</v>
      </c>
      <c r="F8120">
        <v>2010</v>
      </c>
      <c r="G8120">
        <v>160.65180000000001</v>
      </c>
    </row>
    <row r="8121" spans="1:7">
      <c r="A8121" t="s">
        <v>1297</v>
      </c>
      <c r="B8121" t="s">
        <v>1298</v>
      </c>
      <c r="C8121" t="s">
        <v>660</v>
      </c>
      <c r="D8121" t="s">
        <v>1389</v>
      </c>
      <c r="E8121" t="s">
        <v>187</v>
      </c>
      <c r="F8121">
        <v>2012</v>
      </c>
      <c r="G8121">
        <v>125.81910000000001</v>
      </c>
    </row>
    <row r="8122" spans="1:7">
      <c r="A8122" t="s">
        <v>1297</v>
      </c>
      <c r="B8122" t="s">
        <v>1298</v>
      </c>
      <c r="C8122" t="s">
        <v>660</v>
      </c>
      <c r="D8122" t="s">
        <v>1389</v>
      </c>
      <c r="E8122" t="s">
        <v>187</v>
      </c>
      <c r="F8122">
        <v>2016</v>
      </c>
      <c r="G8122">
        <v>86.207301999999999</v>
      </c>
    </row>
    <row r="8123" spans="1:7">
      <c r="A8123" t="s">
        <v>1297</v>
      </c>
      <c r="B8123" t="s">
        <v>1298</v>
      </c>
      <c r="C8123" t="s">
        <v>660</v>
      </c>
      <c r="D8123" t="s">
        <v>1389</v>
      </c>
      <c r="E8123" t="s">
        <v>187</v>
      </c>
      <c r="F8123">
        <v>2020</v>
      </c>
      <c r="G8123">
        <v>89.607039</v>
      </c>
    </row>
    <row r="8124" spans="1:7">
      <c r="A8124" t="s">
        <v>1297</v>
      </c>
      <c r="B8124" t="s">
        <v>1298</v>
      </c>
      <c r="C8124" t="s">
        <v>656</v>
      </c>
      <c r="D8124" t="s">
        <v>1389</v>
      </c>
      <c r="E8124" t="s">
        <v>187</v>
      </c>
      <c r="F8124">
        <v>2005</v>
      </c>
      <c r="G8124">
        <v>3303.3735710000001</v>
      </c>
    </row>
    <row r="8125" spans="1:7">
      <c r="A8125" t="s">
        <v>1297</v>
      </c>
      <c r="B8125" t="s">
        <v>1298</v>
      </c>
      <c r="C8125" t="s">
        <v>656</v>
      </c>
      <c r="D8125" t="s">
        <v>1389</v>
      </c>
      <c r="E8125" t="s">
        <v>187</v>
      </c>
      <c r="F8125">
        <v>2010</v>
      </c>
      <c r="G8125">
        <v>3299.2740950000002</v>
      </c>
    </row>
    <row r="8126" spans="1:7">
      <c r="A8126" t="s">
        <v>1297</v>
      </c>
      <c r="B8126" t="s">
        <v>1298</v>
      </c>
      <c r="C8126" t="s">
        <v>656</v>
      </c>
      <c r="D8126" t="s">
        <v>1389</v>
      </c>
      <c r="E8126" t="s">
        <v>187</v>
      </c>
      <c r="F8126">
        <v>2012</v>
      </c>
      <c r="G8126">
        <v>3101.9088200000001</v>
      </c>
    </row>
    <row r="8127" spans="1:7">
      <c r="A8127" t="s">
        <v>1297</v>
      </c>
      <c r="B8127" t="s">
        <v>1298</v>
      </c>
      <c r="C8127" t="s">
        <v>656</v>
      </c>
      <c r="D8127" t="s">
        <v>1389</v>
      </c>
      <c r="E8127" t="s">
        <v>187</v>
      </c>
      <c r="F8127">
        <v>2016</v>
      </c>
      <c r="G8127">
        <v>3416.9385240000001</v>
      </c>
    </row>
    <row r="8128" spans="1:7">
      <c r="A8128" t="s">
        <v>1297</v>
      </c>
      <c r="B8128" t="s">
        <v>1298</v>
      </c>
      <c r="C8128" t="s">
        <v>656</v>
      </c>
      <c r="D8128" t="s">
        <v>1389</v>
      </c>
      <c r="E8128" t="s">
        <v>187</v>
      </c>
      <c r="F8128">
        <v>2020</v>
      </c>
      <c r="G8128">
        <v>3168.238441</v>
      </c>
    </row>
    <row r="8129" spans="1:7">
      <c r="A8129" t="s">
        <v>1297</v>
      </c>
      <c r="B8129" t="s">
        <v>1298</v>
      </c>
      <c r="C8129" t="s">
        <v>653</v>
      </c>
      <c r="D8129" t="s">
        <v>1389</v>
      </c>
      <c r="E8129" t="s">
        <v>187</v>
      </c>
      <c r="F8129">
        <v>2005</v>
      </c>
      <c r="G8129">
        <v>102.904794</v>
      </c>
    </row>
    <row r="8130" spans="1:7">
      <c r="A8130" t="s">
        <v>1297</v>
      </c>
      <c r="B8130" t="s">
        <v>1298</v>
      </c>
      <c r="C8130" t="s">
        <v>653</v>
      </c>
      <c r="D8130" t="s">
        <v>1389</v>
      </c>
      <c r="E8130" t="s">
        <v>187</v>
      </c>
      <c r="F8130">
        <v>2010</v>
      </c>
      <c r="G8130">
        <v>89.219960999999998</v>
      </c>
    </row>
    <row r="8131" spans="1:7">
      <c r="A8131" t="s">
        <v>1297</v>
      </c>
      <c r="B8131" t="s">
        <v>1298</v>
      </c>
      <c r="C8131" t="s">
        <v>653</v>
      </c>
      <c r="D8131" t="s">
        <v>1389</v>
      </c>
      <c r="E8131" t="s">
        <v>187</v>
      </c>
      <c r="F8131">
        <v>2012</v>
      </c>
      <c r="G8131">
        <v>85.526348999999996</v>
      </c>
    </row>
    <row r="8132" spans="1:7">
      <c r="A8132" t="s">
        <v>1297</v>
      </c>
      <c r="B8132" t="s">
        <v>1298</v>
      </c>
      <c r="C8132" t="s">
        <v>653</v>
      </c>
      <c r="D8132" t="s">
        <v>1389</v>
      </c>
      <c r="E8132" t="s">
        <v>187</v>
      </c>
      <c r="F8132">
        <v>2016</v>
      </c>
      <c r="G8132">
        <v>108.586547</v>
      </c>
    </row>
    <row r="8133" spans="1:7">
      <c r="A8133" t="s">
        <v>1297</v>
      </c>
      <c r="B8133" t="s">
        <v>1298</v>
      </c>
      <c r="C8133" t="s">
        <v>653</v>
      </c>
      <c r="D8133" t="s">
        <v>1389</v>
      </c>
      <c r="E8133" t="s">
        <v>187</v>
      </c>
      <c r="F8133">
        <v>2020</v>
      </c>
      <c r="G8133">
        <v>102.90683300000001</v>
      </c>
    </row>
    <row r="8134" spans="1:7">
      <c r="A8134" t="s">
        <v>1297</v>
      </c>
      <c r="B8134" t="s">
        <v>1298</v>
      </c>
      <c r="C8134" t="s">
        <v>665</v>
      </c>
      <c r="D8134" t="s">
        <v>1389</v>
      </c>
      <c r="E8134" t="s">
        <v>187</v>
      </c>
      <c r="F8134">
        <v>2005</v>
      </c>
      <c r="G8134">
        <v>2518.9434000000001</v>
      </c>
    </row>
    <row r="8135" spans="1:7">
      <c r="A8135" t="s">
        <v>1297</v>
      </c>
      <c r="B8135" t="s">
        <v>1298</v>
      </c>
      <c r="C8135" t="s">
        <v>665</v>
      </c>
      <c r="D8135" t="s">
        <v>1389</v>
      </c>
      <c r="E8135" t="s">
        <v>187</v>
      </c>
      <c r="F8135">
        <v>2010</v>
      </c>
      <c r="G8135">
        <v>2583.8883000000001</v>
      </c>
    </row>
    <row r="8136" spans="1:7">
      <c r="A8136" t="s">
        <v>1297</v>
      </c>
      <c r="B8136" t="s">
        <v>1298</v>
      </c>
      <c r="C8136" t="s">
        <v>665</v>
      </c>
      <c r="D8136" t="s">
        <v>1389</v>
      </c>
      <c r="E8136" t="s">
        <v>187</v>
      </c>
      <c r="F8136">
        <v>2012</v>
      </c>
      <c r="G8136">
        <v>2322.2907</v>
      </c>
    </row>
    <row r="8137" spans="1:7">
      <c r="A8137" t="s">
        <v>1297</v>
      </c>
      <c r="B8137" t="s">
        <v>1298</v>
      </c>
      <c r="C8137" t="s">
        <v>665</v>
      </c>
      <c r="D8137" t="s">
        <v>1389</v>
      </c>
      <c r="E8137" t="s">
        <v>187</v>
      </c>
      <c r="F8137">
        <v>2016</v>
      </c>
      <c r="G8137">
        <v>2238.5880000000002</v>
      </c>
    </row>
    <row r="8138" spans="1:7">
      <c r="A8138" t="s">
        <v>1297</v>
      </c>
      <c r="B8138" t="s">
        <v>1298</v>
      </c>
      <c r="C8138" t="s">
        <v>665</v>
      </c>
      <c r="D8138" t="s">
        <v>1389</v>
      </c>
      <c r="E8138" t="s">
        <v>187</v>
      </c>
      <c r="F8138">
        <v>2020</v>
      </c>
      <c r="G8138">
        <v>2436.8275960000001</v>
      </c>
    </row>
    <row r="8139" spans="1:7">
      <c r="A8139" t="s">
        <v>1297</v>
      </c>
      <c r="B8139" t="s">
        <v>1298</v>
      </c>
      <c r="C8139" t="s">
        <v>674</v>
      </c>
      <c r="D8139" t="s">
        <v>1389</v>
      </c>
      <c r="E8139" t="s">
        <v>187</v>
      </c>
      <c r="F8139">
        <v>2005</v>
      </c>
      <c r="G8139">
        <v>35.2791</v>
      </c>
    </row>
    <row r="8140" spans="1:7">
      <c r="A8140" t="s">
        <v>1297</v>
      </c>
      <c r="B8140" t="s">
        <v>1298</v>
      </c>
      <c r="C8140" t="s">
        <v>674</v>
      </c>
      <c r="D8140" t="s">
        <v>1389</v>
      </c>
      <c r="E8140" t="s">
        <v>187</v>
      </c>
      <c r="F8140">
        <v>2010</v>
      </c>
      <c r="G8140">
        <v>61.375500000000002</v>
      </c>
    </row>
    <row r="8141" spans="1:7">
      <c r="A8141" t="s">
        <v>1297</v>
      </c>
      <c r="B8141" t="s">
        <v>1298</v>
      </c>
      <c r="C8141" t="s">
        <v>674</v>
      </c>
      <c r="D8141" t="s">
        <v>1389</v>
      </c>
      <c r="E8141" t="s">
        <v>187</v>
      </c>
      <c r="F8141">
        <v>2012</v>
      </c>
      <c r="G8141">
        <v>42.144300000000001</v>
      </c>
    </row>
    <row r="8142" spans="1:7">
      <c r="A8142" t="s">
        <v>1297</v>
      </c>
      <c r="B8142" t="s">
        <v>1298</v>
      </c>
      <c r="C8142" t="s">
        <v>674</v>
      </c>
      <c r="D8142" t="s">
        <v>1389</v>
      </c>
      <c r="E8142" t="s">
        <v>187</v>
      </c>
      <c r="F8142">
        <v>2016</v>
      </c>
      <c r="G8142">
        <v>34.257967000000001</v>
      </c>
    </row>
    <row r="8143" spans="1:7">
      <c r="A8143" t="s">
        <v>1297</v>
      </c>
      <c r="B8143" t="s">
        <v>1298</v>
      </c>
      <c r="C8143" t="s">
        <v>674</v>
      </c>
      <c r="D8143" t="s">
        <v>1389</v>
      </c>
      <c r="E8143" t="s">
        <v>187</v>
      </c>
      <c r="F8143">
        <v>2020</v>
      </c>
      <c r="G8143">
        <v>41.123339000000001</v>
      </c>
    </row>
    <row r="8144" spans="1:7">
      <c r="A8144" t="s">
        <v>1297</v>
      </c>
      <c r="B8144" t="s">
        <v>1298</v>
      </c>
      <c r="C8144" t="s">
        <v>670</v>
      </c>
      <c r="D8144" t="s">
        <v>1389</v>
      </c>
      <c r="E8144" t="s">
        <v>187</v>
      </c>
      <c r="F8144">
        <v>2005</v>
      </c>
      <c r="G8144">
        <v>688.19800599999996</v>
      </c>
    </row>
    <row r="8145" spans="1:7">
      <c r="A8145" t="s">
        <v>1297</v>
      </c>
      <c r="B8145" t="s">
        <v>1298</v>
      </c>
      <c r="C8145" t="s">
        <v>670</v>
      </c>
      <c r="D8145" t="s">
        <v>1389</v>
      </c>
      <c r="E8145" t="s">
        <v>187</v>
      </c>
      <c r="F8145">
        <v>2010</v>
      </c>
      <c r="G8145">
        <v>772.49712499999998</v>
      </c>
    </row>
    <row r="8146" spans="1:7">
      <c r="A8146" t="s">
        <v>1297</v>
      </c>
      <c r="B8146" t="s">
        <v>1298</v>
      </c>
      <c r="C8146" t="s">
        <v>670</v>
      </c>
      <c r="D8146" t="s">
        <v>1389</v>
      </c>
      <c r="E8146" t="s">
        <v>187</v>
      </c>
      <c r="F8146">
        <v>2012</v>
      </c>
      <c r="G8146">
        <v>841.39729599999998</v>
      </c>
    </row>
    <row r="8147" spans="1:7">
      <c r="A8147" t="s">
        <v>1297</v>
      </c>
      <c r="B8147" t="s">
        <v>1298</v>
      </c>
      <c r="C8147" t="s">
        <v>670</v>
      </c>
      <c r="D8147" t="s">
        <v>1389</v>
      </c>
      <c r="E8147" t="s">
        <v>187</v>
      </c>
      <c r="F8147">
        <v>2016</v>
      </c>
      <c r="G8147">
        <v>1384.2680869999999</v>
      </c>
    </row>
    <row r="8148" spans="1:7">
      <c r="A8148" t="s">
        <v>1297</v>
      </c>
      <c r="B8148" t="s">
        <v>1298</v>
      </c>
      <c r="C8148" t="s">
        <v>670</v>
      </c>
      <c r="D8148" t="s">
        <v>1389</v>
      </c>
      <c r="E8148" t="s">
        <v>187</v>
      </c>
      <c r="F8148">
        <v>2020</v>
      </c>
      <c r="G8148">
        <v>1778.9434639999999</v>
      </c>
    </row>
    <row r="8149" spans="1:7">
      <c r="A8149" t="s">
        <v>1297</v>
      </c>
      <c r="B8149" t="s">
        <v>1298</v>
      </c>
      <c r="C8149" t="s">
        <v>1300</v>
      </c>
      <c r="D8149" t="s">
        <v>1389</v>
      </c>
      <c r="E8149" t="s">
        <v>187</v>
      </c>
      <c r="F8149">
        <v>2010</v>
      </c>
      <c r="G8149">
        <v>36.196199999999997</v>
      </c>
    </row>
    <row r="8150" spans="1:7">
      <c r="A8150" t="s">
        <v>1297</v>
      </c>
      <c r="B8150" t="s">
        <v>1298</v>
      </c>
      <c r="C8150" t="s">
        <v>1300</v>
      </c>
      <c r="D8150" t="s">
        <v>1389</v>
      </c>
      <c r="E8150" t="s">
        <v>187</v>
      </c>
      <c r="F8150">
        <v>2012</v>
      </c>
      <c r="G8150">
        <v>33.381900000000002</v>
      </c>
    </row>
    <row r="8151" spans="1:7">
      <c r="A8151" t="s">
        <v>1297</v>
      </c>
      <c r="B8151" t="s">
        <v>1298</v>
      </c>
      <c r="C8151" t="s">
        <v>1300</v>
      </c>
      <c r="D8151" t="s">
        <v>1389</v>
      </c>
      <c r="E8151" t="s">
        <v>187</v>
      </c>
      <c r="F8151">
        <v>2016</v>
      </c>
      <c r="G8151">
        <v>31.6431</v>
      </c>
    </row>
    <row r="8152" spans="1:7">
      <c r="A8152" t="s">
        <v>1297</v>
      </c>
      <c r="B8152" t="s">
        <v>1298</v>
      </c>
      <c r="C8152" t="s">
        <v>1300</v>
      </c>
      <c r="D8152" t="s">
        <v>1389</v>
      </c>
      <c r="E8152" t="s">
        <v>187</v>
      </c>
      <c r="F8152">
        <v>2020</v>
      </c>
      <c r="G8152">
        <v>31.680900000000001</v>
      </c>
    </row>
    <row r="8153" spans="1:7">
      <c r="A8153" t="s">
        <v>1297</v>
      </c>
      <c r="B8153" t="s">
        <v>1298</v>
      </c>
      <c r="C8153" t="s">
        <v>679</v>
      </c>
      <c r="D8153" t="s">
        <v>1390</v>
      </c>
      <c r="E8153" t="s">
        <v>187</v>
      </c>
      <c r="F8153">
        <v>2016</v>
      </c>
      <c r="G8153">
        <v>1.9755</v>
      </c>
    </row>
    <row r="8154" spans="1:7">
      <c r="A8154" t="s">
        <v>1297</v>
      </c>
      <c r="B8154" t="s">
        <v>1298</v>
      </c>
      <c r="C8154" t="s">
        <v>679</v>
      </c>
      <c r="D8154" t="s">
        <v>1390</v>
      </c>
      <c r="E8154" t="s">
        <v>187</v>
      </c>
      <c r="F8154">
        <v>2020</v>
      </c>
      <c r="G8154">
        <v>2.2017669999999998</v>
      </c>
    </row>
    <row r="8155" spans="1:7">
      <c r="A8155" t="s">
        <v>1297</v>
      </c>
      <c r="B8155" t="s">
        <v>1298</v>
      </c>
      <c r="C8155" t="s">
        <v>652</v>
      </c>
      <c r="D8155" t="s">
        <v>1390</v>
      </c>
      <c r="E8155" t="s">
        <v>187</v>
      </c>
      <c r="F8155">
        <v>2016</v>
      </c>
      <c r="G8155">
        <v>4.1579999999999999E-2</v>
      </c>
    </row>
    <row r="8156" spans="1:7">
      <c r="A8156" t="s">
        <v>1297</v>
      </c>
      <c r="B8156" t="s">
        <v>1298</v>
      </c>
      <c r="C8156" t="s">
        <v>652</v>
      </c>
      <c r="D8156" t="s">
        <v>1390</v>
      </c>
      <c r="E8156" t="s">
        <v>187</v>
      </c>
      <c r="F8156">
        <v>2020</v>
      </c>
      <c r="G8156">
        <v>0.41337000000000002</v>
      </c>
    </row>
    <row r="8157" spans="1:7">
      <c r="A8157" t="s">
        <v>1297</v>
      </c>
      <c r="B8157" t="s">
        <v>1298</v>
      </c>
      <c r="C8157" t="s">
        <v>659</v>
      </c>
      <c r="D8157" t="s">
        <v>1390</v>
      </c>
      <c r="E8157" t="s">
        <v>187</v>
      </c>
      <c r="F8157">
        <v>2020</v>
      </c>
      <c r="G8157">
        <v>1.4913000000000001</v>
      </c>
    </row>
    <row r="8158" spans="1:7">
      <c r="A8158" t="s">
        <v>1297</v>
      </c>
      <c r="B8158" t="s">
        <v>1298</v>
      </c>
      <c r="C8158" t="s">
        <v>660</v>
      </c>
      <c r="D8158" t="s">
        <v>1390</v>
      </c>
      <c r="E8158" t="s">
        <v>187</v>
      </c>
      <c r="F8158">
        <v>2016</v>
      </c>
      <c r="G8158">
        <v>8.9999999999999993E-3</v>
      </c>
    </row>
    <row r="8159" spans="1:7">
      <c r="A8159" t="s">
        <v>1297</v>
      </c>
      <c r="B8159" t="s">
        <v>1298</v>
      </c>
      <c r="C8159" t="s">
        <v>660</v>
      </c>
      <c r="D8159" t="s">
        <v>1390</v>
      </c>
      <c r="E8159" t="s">
        <v>187</v>
      </c>
      <c r="F8159">
        <v>2020</v>
      </c>
      <c r="G8159">
        <v>1.8002000000000001E-2</v>
      </c>
    </row>
    <row r="8160" spans="1:7">
      <c r="A8160" t="s">
        <v>1297</v>
      </c>
      <c r="B8160" t="s">
        <v>1298</v>
      </c>
      <c r="C8160" t="s">
        <v>670</v>
      </c>
      <c r="D8160" t="s">
        <v>1390</v>
      </c>
      <c r="E8160" t="s">
        <v>187</v>
      </c>
      <c r="F8160">
        <v>2016</v>
      </c>
      <c r="G8160">
        <v>4.4103999999999997E-2</v>
      </c>
    </row>
    <row r="8161" spans="1:7">
      <c r="A8161" t="s">
        <v>1297</v>
      </c>
      <c r="B8161" t="s">
        <v>1298</v>
      </c>
      <c r="C8161" t="s">
        <v>670</v>
      </c>
      <c r="D8161" t="s">
        <v>1390</v>
      </c>
      <c r="E8161" t="s">
        <v>187</v>
      </c>
      <c r="F8161">
        <v>2020</v>
      </c>
      <c r="G8161">
        <v>2.4892859999999999</v>
      </c>
    </row>
    <row r="8162" spans="1:7">
      <c r="A8162" t="s">
        <v>1297</v>
      </c>
      <c r="B8162" t="s">
        <v>1298</v>
      </c>
      <c r="C8162" t="s">
        <v>658</v>
      </c>
      <c r="D8162" t="s">
        <v>1390</v>
      </c>
      <c r="E8162" t="s">
        <v>187</v>
      </c>
      <c r="F8162">
        <v>2020</v>
      </c>
      <c r="G8162">
        <v>0.86089599999999999</v>
      </c>
    </row>
    <row r="8163" spans="1:7">
      <c r="A8163" t="s">
        <v>1297</v>
      </c>
      <c r="B8163" t="s">
        <v>1298</v>
      </c>
      <c r="C8163" t="s">
        <v>674</v>
      </c>
      <c r="D8163" t="s">
        <v>1390</v>
      </c>
      <c r="E8163" t="s">
        <v>187</v>
      </c>
      <c r="F8163">
        <v>2020</v>
      </c>
      <c r="G8163">
        <v>0.72390200000000005</v>
      </c>
    </row>
    <row r="8164" spans="1:7">
      <c r="A8164" t="s">
        <v>1297</v>
      </c>
      <c r="B8164" t="s">
        <v>1298</v>
      </c>
      <c r="C8164" t="s">
        <v>652</v>
      </c>
      <c r="D8164" t="s">
        <v>1391</v>
      </c>
      <c r="E8164" t="s">
        <v>187</v>
      </c>
      <c r="F8164">
        <v>2020</v>
      </c>
      <c r="G8164">
        <v>35.329230000000003</v>
      </c>
    </row>
    <row r="8165" spans="1:7">
      <c r="A8165" t="s">
        <v>1297</v>
      </c>
      <c r="B8165" t="s">
        <v>1298</v>
      </c>
      <c r="C8165" t="s">
        <v>656</v>
      </c>
      <c r="D8165" t="s">
        <v>1391</v>
      </c>
      <c r="E8165" t="s">
        <v>187</v>
      </c>
      <c r="F8165">
        <v>2005</v>
      </c>
      <c r="G8165">
        <v>21.717064000000001</v>
      </c>
    </row>
    <row r="8166" spans="1:7">
      <c r="A8166" t="s">
        <v>1297</v>
      </c>
      <c r="B8166" t="s">
        <v>1298</v>
      </c>
      <c r="C8166" t="s">
        <v>656</v>
      </c>
      <c r="D8166" t="s">
        <v>1391</v>
      </c>
      <c r="E8166" t="s">
        <v>187</v>
      </c>
      <c r="F8166">
        <v>2010</v>
      </c>
      <c r="G8166">
        <v>38.137044000000003</v>
      </c>
    </row>
    <row r="8167" spans="1:7">
      <c r="A8167" t="s">
        <v>1297</v>
      </c>
      <c r="B8167" t="s">
        <v>1298</v>
      </c>
      <c r="C8167" t="s">
        <v>656</v>
      </c>
      <c r="D8167" t="s">
        <v>1391</v>
      </c>
      <c r="E8167" t="s">
        <v>187</v>
      </c>
      <c r="F8167">
        <v>2012</v>
      </c>
      <c r="G8167">
        <v>45.114168999999997</v>
      </c>
    </row>
    <row r="8168" spans="1:7">
      <c r="A8168" t="s">
        <v>1297</v>
      </c>
      <c r="B8168" t="s">
        <v>1298</v>
      </c>
      <c r="C8168" t="s">
        <v>656</v>
      </c>
      <c r="D8168" t="s">
        <v>1391</v>
      </c>
      <c r="E8168" t="s">
        <v>187</v>
      </c>
      <c r="F8168">
        <v>2016</v>
      </c>
      <c r="G8168">
        <v>52.6479</v>
      </c>
    </row>
    <row r="8169" spans="1:7">
      <c r="A8169" t="s">
        <v>1297</v>
      </c>
      <c r="B8169" t="s">
        <v>1298</v>
      </c>
      <c r="C8169" t="s">
        <v>656</v>
      </c>
      <c r="D8169" t="s">
        <v>1391</v>
      </c>
      <c r="E8169" t="s">
        <v>187</v>
      </c>
      <c r="F8169">
        <v>2020</v>
      </c>
      <c r="G8169">
        <v>61.343715000000003</v>
      </c>
    </row>
    <row r="8170" spans="1:7">
      <c r="A8170" t="s">
        <v>1297</v>
      </c>
      <c r="B8170" t="s">
        <v>1298</v>
      </c>
      <c r="C8170" t="s">
        <v>289</v>
      </c>
      <c r="D8170" t="s">
        <v>1391</v>
      </c>
      <c r="E8170" t="s">
        <v>187</v>
      </c>
      <c r="F8170">
        <v>2005</v>
      </c>
      <c r="G8170">
        <v>6.4953000000000003</v>
      </c>
    </row>
    <row r="8171" spans="1:7">
      <c r="A8171" t="s">
        <v>1297</v>
      </c>
      <c r="B8171" t="s">
        <v>1298</v>
      </c>
      <c r="C8171" t="s">
        <v>289</v>
      </c>
      <c r="D8171" t="s">
        <v>1391</v>
      </c>
      <c r="E8171" t="s">
        <v>187</v>
      </c>
      <c r="F8171">
        <v>2010</v>
      </c>
      <c r="G8171">
        <v>8.5742999999999991</v>
      </c>
    </row>
    <row r="8172" spans="1:7">
      <c r="A8172" t="s">
        <v>1297</v>
      </c>
      <c r="B8172" t="s">
        <v>1298</v>
      </c>
      <c r="C8172" t="s">
        <v>289</v>
      </c>
      <c r="D8172" t="s">
        <v>1391</v>
      </c>
      <c r="E8172" t="s">
        <v>187</v>
      </c>
      <c r="F8172">
        <v>2012</v>
      </c>
      <c r="G8172">
        <v>3.4272</v>
      </c>
    </row>
    <row r="8173" spans="1:7">
      <c r="A8173" t="s">
        <v>1297</v>
      </c>
      <c r="B8173" t="s">
        <v>1298</v>
      </c>
      <c r="C8173" t="s">
        <v>289</v>
      </c>
      <c r="D8173" t="s">
        <v>1391</v>
      </c>
      <c r="E8173" t="s">
        <v>187</v>
      </c>
      <c r="F8173">
        <v>2016</v>
      </c>
      <c r="G8173">
        <v>6.2640000000000002</v>
      </c>
    </row>
    <row r="8174" spans="1:7">
      <c r="A8174" t="s">
        <v>1297</v>
      </c>
      <c r="B8174" t="s">
        <v>1298</v>
      </c>
      <c r="C8174" t="s">
        <v>289</v>
      </c>
      <c r="D8174" t="s">
        <v>1391</v>
      </c>
      <c r="E8174" t="s">
        <v>187</v>
      </c>
      <c r="F8174">
        <v>2020</v>
      </c>
      <c r="G8174">
        <v>7.3644639999999999</v>
      </c>
    </row>
    <row r="8175" spans="1:7">
      <c r="A8175" t="s">
        <v>1297</v>
      </c>
      <c r="B8175" t="s">
        <v>1298</v>
      </c>
      <c r="C8175" t="s">
        <v>651</v>
      </c>
      <c r="D8175" t="s">
        <v>1391</v>
      </c>
      <c r="E8175" t="s">
        <v>187</v>
      </c>
      <c r="F8175">
        <v>2005</v>
      </c>
      <c r="G8175">
        <v>14.689695</v>
      </c>
    </row>
    <row r="8176" spans="1:7">
      <c r="A8176" t="s">
        <v>1297</v>
      </c>
      <c r="B8176" t="s">
        <v>1298</v>
      </c>
      <c r="C8176" t="s">
        <v>651</v>
      </c>
      <c r="D8176" t="s">
        <v>1391</v>
      </c>
      <c r="E8176" t="s">
        <v>187</v>
      </c>
      <c r="F8176">
        <v>2010</v>
      </c>
      <c r="G8176">
        <v>12.043612</v>
      </c>
    </row>
    <row r="8177" spans="1:7">
      <c r="A8177" t="s">
        <v>1297</v>
      </c>
      <c r="B8177" t="s">
        <v>1298</v>
      </c>
      <c r="C8177" t="s">
        <v>651</v>
      </c>
      <c r="D8177" t="s">
        <v>1391</v>
      </c>
      <c r="E8177" t="s">
        <v>187</v>
      </c>
      <c r="F8177">
        <v>2012</v>
      </c>
      <c r="G8177">
        <v>13.700055000000001</v>
      </c>
    </row>
    <row r="8178" spans="1:7">
      <c r="A8178" t="s">
        <v>1297</v>
      </c>
      <c r="B8178" t="s">
        <v>1298</v>
      </c>
      <c r="C8178" t="s">
        <v>651</v>
      </c>
      <c r="D8178" t="s">
        <v>1391</v>
      </c>
      <c r="E8178" t="s">
        <v>187</v>
      </c>
      <c r="F8178">
        <v>2016</v>
      </c>
      <c r="G8178">
        <v>8.4277499999999996</v>
      </c>
    </row>
    <row r="8179" spans="1:7">
      <c r="A8179" t="s">
        <v>1297</v>
      </c>
      <c r="B8179" t="s">
        <v>1298</v>
      </c>
      <c r="C8179" t="s">
        <v>651</v>
      </c>
      <c r="D8179" t="s">
        <v>1391</v>
      </c>
      <c r="E8179" t="s">
        <v>187</v>
      </c>
      <c r="F8179">
        <v>2020</v>
      </c>
      <c r="G8179">
        <v>10.459593999999999</v>
      </c>
    </row>
    <row r="8180" spans="1:7">
      <c r="A8180" t="s">
        <v>1297</v>
      </c>
      <c r="B8180" t="s">
        <v>1298</v>
      </c>
      <c r="C8180" t="s">
        <v>673</v>
      </c>
      <c r="D8180" t="s">
        <v>1391</v>
      </c>
      <c r="E8180" t="s">
        <v>187</v>
      </c>
      <c r="F8180">
        <v>2005</v>
      </c>
      <c r="G8180">
        <v>43.445700000000002</v>
      </c>
    </row>
    <row r="8181" spans="1:7">
      <c r="A8181" t="s">
        <v>1297</v>
      </c>
      <c r="B8181" t="s">
        <v>1298</v>
      </c>
      <c r="C8181" t="s">
        <v>673</v>
      </c>
      <c r="D8181" t="s">
        <v>1391</v>
      </c>
      <c r="E8181" t="s">
        <v>187</v>
      </c>
      <c r="F8181">
        <v>2010</v>
      </c>
      <c r="G8181">
        <v>34.498800000000003</v>
      </c>
    </row>
    <row r="8182" spans="1:7">
      <c r="A8182" t="s">
        <v>1297</v>
      </c>
      <c r="B8182" t="s">
        <v>1298</v>
      </c>
      <c r="C8182" t="s">
        <v>673</v>
      </c>
      <c r="D8182" t="s">
        <v>1391</v>
      </c>
      <c r="E8182" t="s">
        <v>187</v>
      </c>
      <c r="F8182">
        <v>2012</v>
      </c>
      <c r="G8182">
        <v>26.3367</v>
      </c>
    </row>
    <row r="8183" spans="1:7">
      <c r="A8183" t="s">
        <v>1297</v>
      </c>
      <c r="B8183" t="s">
        <v>1298</v>
      </c>
      <c r="C8183" t="s">
        <v>673</v>
      </c>
      <c r="D8183" t="s">
        <v>1391</v>
      </c>
      <c r="E8183" t="s">
        <v>187</v>
      </c>
      <c r="F8183">
        <v>2016</v>
      </c>
      <c r="G8183">
        <v>24.134399999999999</v>
      </c>
    </row>
    <row r="8184" spans="1:7">
      <c r="A8184" t="s">
        <v>1297</v>
      </c>
      <c r="B8184" t="s">
        <v>1298</v>
      </c>
      <c r="C8184" t="s">
        <v>673</v>
      </c>
      <c r="D8184" t="s">
        <v>1391</v>
      </c>
      <c r="E8184" t="s">
        <v>187</v>
      </c>
      <c r="F8184">
        <v>2020</v>
      </c>
      <c r="G8184">
        <v>15.459</v>
      </c>
    </row>
    <row r="8185" spans="1:7">
      <c r="A8185" t="s">
        <v>1297</v>
      </c>
      <c r="B8185" t="s">
        <v>1298</v>
      </c>
      <c r="C8185" t="s">
        <v>676</v>
      </c>
      <c r="D8185" t="s">
        <v>1391</v>
      </c>
      <c r="E8185" t="s">
        <v>187</v>
      </c>
      <c r="F8185">
        <v>2005</v>
      </c>
      <c r="G8185">
        <v>7.2584999999999997</v>
      </c>
    </row>
    <row r="8186" spans="1:7">
      <c r="A8186" t="s">
        <v>1297</v>
      </c>
      <c r="B8186" t="s">
        <v>1298</v>
      </c>
      <c r="C8186" t="s">
        <v>676</v>
      </c>
      <c r="D8186" t="s">
        <v>1391</v>
      </c>
      <c r="E8186" t="s">
        <v>187</v>
      </c>
      <c r="F8186">
        <v>2010</v>
      </c>
      <c r="G8186">
        <v>6.8814000000000002</v>
      </c>
    </row>
    <row r="8187" spans="1:7">
      <c r="A8187" t="s">
        <v>1297</v>
      </c>
      <c r="B8187" t="s">
        <v>1298</v>
      </c>
      <c r="C8187" t="s">
        <v>676</v>
      </c>
      <c r="D8187" t="s">
        <v>1391</v>
      </c>
      <c r="E8187" t="s">
        <v>187</v>
      </c>
      <c r="F8187">
        <v>2012</v>
      </c>
      <c r="G8187">
        <v>5.9093999999999998</v>
      </c>
    </row>
    <row r="8188" spans="1:7">
      <c r="A8188" t="s">
        <v>1297</v>
      </c>
      <c r="B8188" t="s">
        <v>1298</v>
      </c>
      <c r="C8188" t="s">
        <v>676</v>
      </c>
      <c r="D8188" t="s">
        <v>1391</v>
      </c>
      <c r="E8188" t="s">
        <v>187</v>
      </c>
      <c r="F8188">
        <v>2016</v>
      </c>
      <c r="G8188">
        <v>4.3308</v>
      </c>
    </row>
    <row r="8189" spans="1:7">
      <c r="A8189" t="s">
        <v>1297</v>
      </c>
      <c r="B8189" t="s">
        <v>1298</v>
      </c>
      <c r="C8189" t="s">
        <v>676</v>
      </c>
      <c r="D8189" t="s">
        <v>1391</v>
      </c>
      <c r="E8189" t="s">
        <v>187</v>
      </c>
      <c r="F8189">
        <v>2020</v>
      </c>
      <c r="G8189">
        <v>3.6945320000000001</v>
      </c>
    </row>
    <row r="8190" spans="1:7">
      <c r="A8190" t="s">
        <v>1297</v>
      </c>
      <c r="B8190" t="s">
        <v>1298</v>
      </c>
      <c r="C8190" t="s">
        <v>655</v>
      </c>
      <c r="D8190" t="s">
        <v>1391</v>
      </c>
      <c r="E8190" t="s">
        <v>187</v>
      </c>
      <c r="F8190">
        <v>2005</v>
      </c>
      <c r="G8190">
        <v>5.2568999999999999</v>
      </c>
    </row>
    <row r="8191" spans="1:7">
      <c r="A8191" t="s">
        <v>1297</v>
      </c>
      <c r="B8191" t="s">
        <v>1298</v>
      </c>
      <c r="C8191" t="s">
        <v>655</v>
      </c>
      <c r="D8191" t="s">
        <v>1391</v>
      </c>
      <c r="E8191" t="s">
        <v>187</v>
      </c>
      <c r="F8191">
        <v>2010</v>
      </c>
      <c r="G8191">
        <v>4.1112000000000002</v>
      </c>
    </row>
    <row r="8192" spans="1:7">
      <c r="A8192" t="s">
        <v>1297</v>
      </c>
      <c r="B8192" t="s">
        <v>1298</v>
      </c>
      <c r="C8192" t="s">
        <v>655</v>
      </c>
      <c r="D8192" t="s">
        <v>1391</v>
      </c>
      <c r="E8192" t="s">
        <v>187</v>
      </c>
      <c r="F8192">
        <v>2012</v>
      </c>
      <c r="G8192">
        <v>3.9870000000000001</v>
      </c>
    </row>
    <row r="8193" spans="1:7">
      <c r="A8193" t="s">
        <v>1297</v>
      </c>
      <c r="B8193" t="s">
        <v>1298</v>
      </c>
      <c r="C8193" t="s">
        <v>655</v>
      </c>
      <c r="D8193" t="s">
        <v>1391</v>
      </c>
      <c r="E8193" t="s">
        <v>187</v>
      </c>
      <c r="F8193">
        <v>2016</v>
      </c>
      <c r="G8193">
        <v>3.3264100000000001</v>
      </c>
    </row>
    <row r="8194" spans="1:7">
      <c r="A8194" t="s">
        <v>1297</v>
      </c>
      <c r="B8194" t="s">
        <v>1298</v>
      </c>
      <c r="C8194" t="s">
        <v>655</v>
      </c>
      <c r="D8194" t="s">
        <v>1391</v>
      </c>
      <c r="E8194" t="s">
        <v>187</v>
      </c>
      <c r="F8194">
        <v>2020</v>
      </c>
      <c r="G8194">
        <v>4.1069420000000001</v>
      </c>
    </row>
    <row r="8195" spans="1:7">
      <c r="A8195" t="s">
        <v>1297</v>
      </c>
      <c r="B8195" t="s">
        <v>1298</v>
      </c>
      <c r="C8195" t="s">
        <v>653</v>
      </c>
      <c r="D8195" t="s">
        <v>1391</v>
      </c>
      <c r="E8195" t="s">
        <v>187</v>
      </c>
      <c r="F8195">
        <v>2005</v>
      </c>
      <c r="G8195">
        <v>2.6181000000000001</v>
      </c>
    </row>
    <row r="8196" spans="1:7">
      <c r="A8196" t="s">
        <v>1297</v>
      </c>
      <c r="B8196" t="s">
        <v>1298</v>
      </c>
      <c r="C8196" t="s">
        <v>653</v>
      </c>
      <c r="D8196" t="s">
        <v>1391</v>
      </c>
      <c r="E8196" t="s">
        <v>187</v>
      </c>
      <c r="F8196">
        <v>2010</v>
      </c>
      <c r="G8196">
        <v>1.1286130000000001</v>
      </c>
    </row>
    <row r="8197" spans="1:7">
      <c r="A8197" t="s">
        <v>1297</v>
      </c>
      <c r="B8197" t="s">
        <v>1298</v>
      </c>
      <c r="C8197" t="s">
        <v>653</v>
      </c>
      <c r="D8197" t="s">
        <v>1391</v>
      </c>
      <c r="E8197" t="s">
        <v>187</v>
      </c>
      <c r="F8197">
        <v>2012</v>
      </c>
      <c r="G8197">
        <v>1.535404</v>
      </c>
    </row>
    <row r="8198" spans="1:7">
      <c r="A8198" t="s">
        <v>1297</v>
      </c>
      <c r="B8198" t="s">
        <v>1298</v>
      </c>
      <c r="C8198" t="s">
        <v>653</v>
      </c>
      <c r="D8198" t="s">
        <v>1391</v>
      </c>
      <c r="E8198" t="s">
        <v>187</v>
      </c>
      <c r="F8198">
        <v>2016</v>
      </c>
      <c r="G8198">
        <v>1.296896</v>
      </c>
    </row>
    <row r="8199" spans="1:7">
      <c r="A8199" t="s">
        <v>1297</v>
      </c>
      <c r="B8199" t="s">
        <v>1298</v>
      </c>
      <c r="C8199" t="s">
        <v>653</v>
      </c>
      <c r="D8199" t="s">
        <v>1391</v>
      </c>
      <c r="E8199" t="s">
        <v>187</v>
      </c>
      <c r="F8199">
        <v>2020</v>
      </c>
      <c r="G8199">
        <v>1.9581029999999999</v>
      </c>
    </row>
    <row r="8200" spans="1:7">
      <c r="A8200" t="s">
        <v>1297</v>
      </c>
      <c r="B8200" t="s">
        <v>1298</v>
      </c>
      <c r="C8200" t="s">
        <v>660</v>
      </c>
      <c r="D8200" t="s">
        <v>1391</v>
      </c>
      <c r="E8200" t="s">
        <v>187</v>
      </c>
      <c r="F8200">
        <v>2005</v>
      </c>
      <c r="G8200">
        <v>9.7181999999999995</v>
      </c>
    </row>
    <row r="8201" spans="1:7">
      <c r="A8201" t="s">
        <v>1297</v>
      </c>
      <c r="B8201" t="s">
        <v>1298</v>
      </c>
      <c r="C8201" t="s">
        <v>660</v>
      </c>
      <c r="D8201" t="s">
        <v>1391</v>
      </c>
      <c r="E8201" t="s">
        <v>187</v>
      </c>
      <c r="F8201">
        <v>2010</v>
      </c>
      <c r="G8201">
        <v>12.197699999999999</v>
      </c>
    </row>
    <row r="8202" spans="1:7">
      <c r="A8202" t="s">
        <v>1297</v>
      </c>
      <c r="B8202" t="s">
        <v>1298</v>
      </c>
      <c r="C8202" t="s">
        <v>660</v>
      </c>
      <c r="D8202" t="s">
        <v>1391</v>
      </c>
      <c r="E8202" t="s">
        <v>187</v>
      </c>
      <c r="F8202">
        <v>2012</v>
      </c>
      <c r="G8202">
        <v>11.8827</v>
      </c>
    </row>
    <row r="8203" spans="1:7">
      <c r="A8203" t="s">
        <v>1297</v>
      </c>
      <c r="B8203" t="s">
        <v>1298</v>
      </c>
      <c r="C8203" t="s">
        <v>660</v>
      </c>
      <c r="D8203" t="s">
        <v>1391</v>
      </c>
      <c r="E8203" t="s">
        <v>187</v>
      </c>
      <c r="F8203">
        <v>2016</v>
      </c>
      <c r="G8203">
        <v>3.6900430000000002</v>
      </c>
    </row>
    <row r="8204" spans="1:7">
      <c r="A8204" t="s">
        <v>1297</v>
      </c>
      <c r="B8204" t="s">
        <v>1298</v>
      </c>
      <c r="C8204" t="s">
        <v>660</v>
      </c>
      <c r="D8204" t="s">
        <v>1391</v>
      </c>
      <c r="E8204" t="s">
        <v>187</v>
      </c>
      <c r="F8204">
        <v>2020</v>
      </c>
      <c r="G8204">
        <v>4.2268280000000003</v>
      </c>
    </row>
    <row r="8205" spans="1:7">
      <c r="A8205" t="s">
        <v>1297</v>
      </c>
      <c r="B8205" t="s">
        <v>1298</v>
      </c>
      <c r="C8205" t="s">
        <v>1299</v>
      </c>
      <c r="D8205" t="s">
        <v>1391</v>
      </c>
      <c r="E8205" t="s">
        <v>187</v>
      </c>
      <c r="F8205">
        <v>2005</v>
      </c>
      <c r="G8205">
        <v>55.9512</v>
      </c>
    </row>
    <row r="8206" spans="1:7">
      <c r="A8206" t="s">
        <v>1297</v>
      </c>
      <c r="B8206" t="s">
        <v>1298</v>
      </c>
      <c r="C8206" t="s">
        <v>1299</v>
      </c>
      <c r="D8206" t="s">
        <v>1391</v>
      </c>
      <c r="E8206" t="s">
        <v>187</v>
      </c>
      <c r="F8206">
        <v>2010</v>
      </c>
      <c r="G8206">
        <v>45.042299999999997</v>
      </c>
    </row>
    <row r="8207" spans="1:7">
      <c r="A8207" t="s">
        <v>1297</v>
      </c>
      <c r="B8207" t="s">
        <v>1298</v>
      </c>
      <c r="C8207" t="s">
        <v>1299</v>
      </c>
      <c r="D8207" t="s">
        <v>1391</v>
      </c>
      <c r="E8207" t="s">
        <v>187</v>
      </c>
      <c r="F8207">
        <v>2012</v>
      </c>
      <c r="G8207">
        <v>38.511899999999997</v>
      </c>
    </row>
    <row r="8208" spans="1:7">
      <c r="A8208" t="s">
        <v>1297</v>
      </c>
      <c r="B8208" t="s">
        <v>1298</v>
      </c>
      <c r="C8208" t="s">
        <v>1299</v>
      </c>
      <c r="D8208" t="s">
        <v>1391</v>
      </c>
      <c r="E8208" t="s">
        <v>187</v>
      </c>
      <c r="F8208">
        <v>2016</v>
      </c>
      <c r="G8208">
        <v>37.251899999999999</v>
      </c>
    </row>
    <row r="8209" spans="1:7">
      <c r="A8209" t="s">
        <v>1297</v>
      </c>
      <c r="B8209" t="s">
        <v>1298</v>
      </c>
      <c r="C8209" t="s">
        <v>1299</v>
      </c>
      <c r="D8209" t="s">
        <v>1391</v>
      </c>
      <c r="E8209" t="s">
        <v>187</v>
      </c>
      <c r="F8209">
        <v>2020</v>
      </c>
      <c r="G8209">
        <v>29.751127</v>
      </c>
    </row>
    <row r="8210" spans="1:7">
      <c r="A8210" t="s">
        <v>1297</v>
      </c>
      <c r="B8210" t="s">
        <v>1298</v>
      </c>
      <c r="C8210" t="s">
        <v>686</v>
      </c>
      <c r="D8210" t="s">
        <v>1391</v>
      </c>
      <c r="E8210" t="s">
        <v>187</v>
      </c>
      <c r="F8210">
        <v>2010</v>
      </c>
      <c r="G8210">
        <v>2.0087999999999999</v>
      </c>
    </row>
    <row r="8211" spans="1:7">
      <c r="A8211" t="s">
        <v>1297</v>
      </c>
      <c r="B8211" t="s">
        <v>1298</v>
      </c>
      <c r="C8211" t="s">
        <v>686</v>
      </c>
      <c r="D8211" t="s">
        <v>1391</v>
      </c>
      <c r="E8211" t="s">
        <v>187</v>
      </c>
      <c r="F8211">
        <v>2012</v>
      </c>
      <c r="G8211">
        <v>3.1248</v>
      </c>
    </row>
    <row r="8212" spans="1:7">
      <c r="A8212" t="s">
        <v>1297</v>
      </c>
      <c r="B8212" t="s">
        <v>1298</v>
      </c>
      <c r="C8212" t="s">
        <v>686</v>
      </c>
      <c r="D8212" t="s">
        <v>1391</v>
      </c>
      <c r="E8212" t="s">
        <v>187</v>
      </c>
      <c r="F8212">
        <v>2016</v>
      </c>
      <c r="G8212">
        <v>6.0335999999999999</v>
      </c>
    </row>
    <row r="8213" spans="1:7">
      <c r="A8213" t="s">
        <v>1297</v>
      </c>
      <c r="B8213" t="s">
        <v>1298</v>
      </c>
      <c r="C8213" t="s">
        <v>686</v>
      </c>
      <c r="D8213" t="s">
        <v>1391</v>
      </c>
      <c r="E8213" t="s">
        <v>187</v>
      </c>
      <c r="F8213">
        <v>2020</v>
      </c>
      <c r="G8213">
        <v>7.0164819999999999</v>
      </c>
    </row>
    <row r="8214" spans="1:7">
      <c r="A8214" t="s">
        <v>1297</v>
      </c>
      <c r="B8214" t="s">
        <v>1298</v>
      </c>
      <c r="C8214" t="s">
        <v>665</v>
      </c>
      <c r="D8214" t="s">
        <v>1391</v>
      </c>
      <c r="E8214" t="s">
        <v>187</v>
      </c>
      <c r="F8214">
        <v>2005</v>
      </c>
      <c r="G8214">
        <v>12.3399</v>
      </c>
    </row>
    <row r="8215" spans="1:7">
      <c r="A8215" t="s">
        <v>1297</v>
      </c>
      <c r="B8215" t="s">
        <v>1298</v>
      </c>
      <c r="C8215" t="s">
        <v>665</v>
      </c>
      <c r="D8215" t="s">
        <v>1391</v>
      </c>
      <c r="E8215" t="s">
        <v>187</v>
      </c>
      <c r="F8215">
        <v>2010</v>
      </c>
      <c r="G8215">
        <v>27.2196</v>
      </c>
    </row>
    <row r="8216" spans="1:7">
      <c r="A8216" t="s">
        <v>1297</v>
      </c>
      <c r="B8216" t="s">
        <v>1298</v>
      </c>
      <c r="C8216" t="s">
        <v>665</v>
      </c>
      <c r="D8216" t="s">
        <v>1391</v>
      </c>
      <c r="E8216" t="s">
        <v>187</v>
      </c>
      <c r="F8216">
        <v>2012</v>
      </c>
      <c r="G8216">
        <v>49.734900000000003</v>
      </c>
    </row>
    <row r="8217" spans="1:7">
      <c r="A8217" t="s">
        <v>1297</v>
      </c>
      <c r="B8217" t="s">
        <v>1298</v>
      </c>
      <c r="C8217" t="s">
        <v>665</v>
      </c>
      <c r="D8217" t="s">
        <v>1391</v>
      </c>
      <c r="E8217" t="s">
        <v>187</v>
      </c>
      <c r="F8217">
        <v>2016</v>
      </c>
      <c r="G8217">
        <v>49.3245</v>
      </c>
    </row>
    <row r="8218" spans="1:7">
      <c r="A8218" t="s">
        <v>1297</v>
      </c>
      <c r="B8218" t="s">
        <v>1298</v>
      </c>
      <c r="C8218" t="s">
        <v>665</v>
      </c>
      <c r="D8218" t="s">
        <v>1391</v>
      </c>
      <c r="E8218" t="s">
        <v>187</v>
      </c>
      <c r="F8218">
        <v>2020</v>
      </c>
      <c r="G8218">
        <v>64.180251999999996</v>
      </c>
    </row>
    <row r="8219" spans="1:7">
      <c r="A8219" t="s">
        <v>1297</v>
      </c>
      <c r="B8219" t="s">
        <v>1298</v>
      </c>
      <c r="C8219" t="s">
        <v>668</v>
      </c>
      <c r="D8219" t="s">
        <v>1391</v>
      </c>
      <c r="E8219" t="s">
        <v>187</v>
      </c>
      <c r="F8219">
        <v>2005</v>
      </c>
      <c r="G8219">
        <v>0.87209999999999999</v>
      </c>
    </row>
    <row r="8220" spans="1:7">
      <c r="A8220" t="s">
        <v>1297</v>
      </c>
      <c r="B8220" t="s">
        <v>1298</v>
      </c>
      <c r="C8220" t="s">
        <v>668</v>
      </c>
      <c r="D8220" t="s">
        <v>1391</v>
      </c>
      <c r="E8220" t="s">
        <v>187</v>
      </c>
      <c r="F8220">
        <v>2010</v>
      </c>
      <c r="G8220">
        <v>0.87390000000000001</v>
      </c>
    </row>
    <row r="8221" spans="1:7">
      <c r="A8221" t="s">
        <v>1297</v>
      </c>
      <c r="B8221" t="s">
        <v>1298</v>
      </c>
      <c r="C8221" t="s">
        <v>668</v>
      </c>
      <c r="D8221" t="s">
        <v>1391</v>
      </c>
      <c r="E8221" t="s">
        <v>187</v>
      </c>
      <c r="F8221">
        <v>2012</v>
      </c>
      <c r="G8221">
        <v>0.97560000000000002</v>
      </c>
    </row>
    <row r="8222" spans="1:7">
      <c r="A8222" t="s">
        <v>1297</v>
      </c>
      <c r="B8222" t="s">
        <v>1298</v>
      </c>
      <c r="C8222" t="s">
        <v>668</v>
      </c>
      <c r="D8222" t="s">
        <v>1391</v>
      </c>
      <c r="E8222" t="s">
        <v>187</v>
      </c>
      <c r="F8222">
        <v>2016</v>
      </c>
      <c r="G8222">
        <v>0.50669500000000001</v>
      </c>
    </row>
    <row r="8223" spans="1:7">
      <c r="A8223" t="s">
        <v>1297</v>
      </c>
      <c r="B8223" t="s">
        <v>1298</v>
      </c>
      <c r="C8223" t="s">
        <v>668</v>
      </c>
      <c r="D8223" t="s">
        <v>1391</v>
      </c>
      <c r="E8223" t="s">
        <v>187</v>
      </c>
      <c r="F8223">
        <v>2020</v>
      </c>
      <c r="G8223">
        <v>0.568963</v>
      </c>
    </row>
    <row r="8224" spans="1:7">
      <c r="A8224" t="s">
        <v>1297</v>
      </c>
      <c r="B8224" t="s">
        <v>1298</v>
      </c>
      <c r="C8224" t="s">
        <v>1300</v>
      </c>
      <c r="D8224" t="s">
        <v>1391</v>
      </c>
      <c r="E8224" t="s">
        <v>187</v>
      </c>
      <c r="F8224">
        <v>2020</v>
      </c>
      <c r="G8224">
        <v>1.8E-3</v>
      </c>
    </row>
    <row r="8225" spans="1:7">
      <c r="A8225" t="s">
        <v>1297</v>
      </c>
      <c r="B8225" t="s">
        <v>1298</v>
      </c>
      <c r="C8225" t="s">
        <v>666</v>
      </c>
      <c r="D8225" t="s">
        <v>1391</v>
      </c>
      <c r="E8225" t="s">
        <v>187</v>
      </c>
      <c r="F8225">
        <v>2005</v>
      </c>
      <c r="G8225">
        <v>0.12959999999999999</v>
      </c>
    </row>
    <row r="8226" spans="1:7">
      <c r="A8226" t="s">
        <v>1297</v>
      </c>
      <c r="B8226" t="s">
        <v>1298</v>
      </c>
      <c r="C8226" t="s">
        <v>666</v>
      </c>
      <c r="D8226" t="s">
        <v>1391</v>
      </c>
      <c r="E8226" t="s">
        <v>187</v>
      </c>
      <c r="F8226">
        <v>2010</v>
      </c>
      <c r="G8226">
        <v>6.3E-2</v>
      </c>
    </row>
    <row r="8227" spans="1:7">
      <c r="A8227" t="s">
        <v>1297</v>
      </c>
      <c r="B8227" t="s">
        <v>1298</v>
      </c>
      <c r="C8227" t="s">
        <v>666</v>
      </c>
      <c r="D8227" t="s">
        <v>1391</v>
      </c>
      <c r="E8227" t="s">
        <v>187</v>
      </c>
      <c r="F8227">
        <v>2012</v>
      </c>
      <c r="G8227">
        <v>0.1305</v>
      </c>
    </row>
    <row r="8228" spans="1:7">
      <c r="A8228" t="s">
        <v>1297</v>
      </c>
      <c r="B8228" t="s">
        <v>1298</v>
      </c>
      <c r="C8228" t="s">
        <v>666</v>
      </c>
      <c r="D8228" t="s">
        <v>1391</v>
      </c>
      <c r="E8228" t="s">
        <v>187</v>
      </c>
      <c r="F8228">
        <v>2016</v>
      </c>
      <c r="G8228">
        <v>1.1025</v>
      </c>
    </row>
    <row r="8229" spans="1:7">
      <c r="A8229" t="s">
        <v>1297</v>
      </c>
      <c r="B8229" t="s">
        <v>1298</v>
      </c>
      <c r="C8229" t="s">
        <v>666</v>
      </c>
      <c r="D8229" t="s">
        <v>1391</v>
      </c>
      <c r="E8229" t="s">
        <v>187</v>
      </c>
      <c r="F8229">
        <v>2020</v>
      </c>
      <c r="G8229">
        <v>2.811655</v>
      </c>
    </row>
    <row r="8230" spans="1:7">
      <c r="A8230" t="s">
        <v>1297</v>
      </c>
      <c r="B8230" t="s">
        <v>1298</v>
      </c>
      <c r="C8230" t="s">
        <v>661</v>
      </c>
      <c r="D8230" t="s">
        <v>1391</v>
      </c>
      <c r="E8230" t="s">
        <v>187</v>
      </c>
      <c r="F8230">
        <v>2005</v>
      </c>
      <c r="G8230">
        <v>6.3674299999999997</v>
      </c>
    </row>
    <row r="8231" spans="1:7">
      <c r="A8231" t="s">
        <v>1297</v>
      </c>
      <c r="B8231" t="s">
        <v>1298</v>
      </c>
      <c r="C8231" t="s">
        <v>661</v>
      </c>
      <c r="D8231" t="s">
        <v>1391</v>
      </c>
      <c r="E8231" t="s">
        <v>187</v>
      </c>
      <c r="F8231">
        <v>2010</v>
      </c>
      <c r="G8231">
        <v>35.134686000000002</v>
      </c>
    </row>
    <row r="8232" spans="1:7">
      <c r="A8232" t="s">
        <v>1297</v>
      </c>
      <c r="B8232" t="s">
        <v>1298</v>
      </c>
      <c r="C8232" t="s">
        <v>661</v>
      </c>
      <c r="D8232" t="s">
        <v>1391</v>
      </c>
      <c r="E8232" t="s">
        <v>187</v>
      </c>
      <c r="F8232">
        <v>2012</v>
      </c>
      <c r="G8232">
        <v>24.905643999999999</v>
      </c>
    </row>
    <row r="8233" spans="1:7">
      <c r="A8233" t="s">
        <v>1297</v>
      </c>
      <c r="B8233" t="s">
        <v>1298</v>
      </c>
      <c r="C8233" t="s">
        <v>661</v>
      </c>
      <c r="D8233" t="s">
        <v>1391</v>
      </c>
      <c r="E8233" t="s">
        <v>187</v>
      </c>
      <c r="F8233">
        <v>2016</v>
      </c>
      <c r="G8233">
        <v>22.970359999999999</v>
      </c>
    </row>
    <row r="8234" spans="1:7">
      <c r="A8234" t="s">
        <v>1297</v>
      </c>
      <c r="B8234" t="s">
        <v>1298</v>
      </c>
      <c r="C8234" t="s">
        <v>661</v>
      </c>
      <c r="D8234" t="s">
        <v>1391</v>
      </c>
      <c r="E8234" t="s">
        <v>187</v>
      </c>
      <c r="F8234">
        <v>2020</v>
      </c>
      <c r="G8234">
        <v>23.299776999999999</v>
      </c>
    </row>
    <row r="8235" spans="1:7">
      <c r="A8235" t="s">
        <v>1297</v>
      </c>
      <c r="B8235" t="s">
        <v>1298</v>
      </c>
      <c r="C8235" t="s">
        <v>675</v>
      </c>
      <c r="D8235" t="s">
        <v>1391</v>
      </c>
      <c r="E8235" t="s">
        <v>187</v>
      </c>
      <c r="F8235">
        <v>2005</v>
      </c>
      <c r="G8235">
        <v>0.14399999999999999</v>
      </c>
    </row>
    <row r="8236" spans="1:7">
      <c r="A8236" t="s">
        <v>1297</v>
      </c>
      <c r="B8236" t="s">
        <v>1298</v>
      </c>
      <c r="C8236" t="s">
        <v>675</v>
      </c>
      <c r="D8236" t="s">
        <v>1391</v>
      </c>
      <c r="E8236" t="s">
        <v>187</v>
      </c>
      <c r="F8236">
        <v>2010</v>
      </c>
      <c r="G8236">
        <v>0.27989999999999998</v>
      </c>
    </row>
    <row r="8237" spans="1:7">
      <c r="A8237" t="s">
        <v>1297</v>
      </c>
      <c r="B8237" t="s">
        <v>1298</v>
      </c>
      <c r="C8237" t="s">
        <v>675</v>
      </c>
      <c r="D8237" t="s">
        <v>1391</v>
      </c>
      <c r="E8237" t="s">
        <v>187</v>
      </c>
      <c r="F8237">
        <v>2012</v>
      </c>
      <c r="G8237">
        <v>9.5399999999999999E-2</v>
      </c>
    </row>
    <row r="8238" spans="1:7">
      <c r="A8238" t="s">
        <v>1297</v>
      </c>
      <c r="B8238" t="s">
        <v>1298</v>
      </c>
      <c r="C8238" t="s">
        <v>675</v>
      </c>
      <c r="D8238" t="s">
        <v>1391</v>
      </c>
      <c r="E8238" t="s">
        <v>187</v>
      </c>
      <c r="F8238">
        <v>2016</v>
      </c>
      <c r="G8238">
        <v>2.07E-2</v>
      </c>
    </row>
    <row r="8239" spans="1:7">
      <c r="A8239" t="s">
        <v>1297</v>
      </c>
      <c r="B8239" t="s">
        <v>1298</v>
      </c>
      <c r="C8239" t="s">
        <v>675</v>
      </c>
      <c r="D8239" t="s">
        <v>1391</v>
      </c>
      <c r="E8239" t="s">
        <v>187</v>
      </c>
      <c r="F8239">
        <v>2020</v>
      </c>
      <c r="G8239">
        <v>3.7592E-2</v>
      </c>
    </row>
    <row r="8240" spans="1:7">
      <c r="A8240" t="s">
        <v>1297</v>
      </c>
      <c r="B8240" t="s">
        <v>1298</v>
      </c>
      <c r="C8240" t="s">
        <v>658</v>
      </c>
      <c r="D8240" t="s">
        <v>1391</v>
      </c>
      <c r="E8240" t="s">
        <v>187</v>
      </c>
      <c r="F8240">
        <v>2005</v>
      </c>
      <c r="G8240">
        <v>0.25919999999999999</v>
      </c>
    </row>
    <row r="8241" spans="1:7">
      <c r="A8241" t="s">
        <v>1297</v>
      </c>
      <c r="B8241" t="s">
        <v>1298</v>
      </c>
      <c r="C8241" t="s">
        <v>658</v>
      </c>
      <c r="D8241" t="s">
        <v>1391</v>
      </c>
      <c r="E8241" t="s">
        <v>187</v>
      </c>
      <c r="F8241">
        <v>2010</v>
      </c>
      <c r="G8241">
        <v>0.48060000000000003</v>
      </c>
    </row>
    <row r="8242" spans="1:7">
      <c r="A8242" t="s">
        <v>1297</v>
      </c>
      <c r="B8242" t="s">
        <v>1298</v>
      </c>
      <c r="C8242" t="s">
        <v>652</v>
      </c>
      <c r="D8242" t="s">
        <v>1391</v>
      </c>
      <c r="E8242" t="s">
        <v>187</v>
      </c>
      <c r="F8242">
        <v>2005</v>
      </c>
      <c r="G8242">
        <v>3.7782110000000002</v>
      </c>
    </row>
    <row r="8243" spans="1:7">
      <c r="A8243" t="s">
        <v>1297</v>
      </c>
      <c r="B8243" t="s">
        <v>1298</v>
      </c>
      <c r="C8243" t="s">
        <v>652</v>
      </c>
      <c r="D8243" t="s">
        <v>1391</v>
      </c>
      <c r="E8243" t="s">
        <v>187</v>
      </c>
      <c r="F8243">
        <v>2010</v>
      </c>
      <c r="G8243">
        <v>16.805838999999999</v>
      </c>
    </row>
    <row r="8244" spans="1:7">
      <c r="A8244" t="s">
        <v>1297</v>
      </c>
      <c r="B8244" t="s">
        <v>1298</v>
      </c>
      <c r="C8244" t="s">
        <v>652</v>
      </c>
      <c r="D8244" t="s">
        <v>1391</v>
      </c>
      <c r="E8244" t="s">
        <v>187</v>
      </c>
      <c r="F8244">
        <v>2012</v>
      </c>
      <c r="G8244">
        <v>15.277367</v>
      </c>
    </row>
    <row r="8245" spans="1:7">
      <c r="A8245" t="s">
        <v>1297</v>
      </c>
      <c r="B8245" t="s">
        <v>1298</v>
      </c>
      <c r="C8245" t="s">
        <v>652</v>
      </c>
      <c r="D8245" t="s">
        <v>1391</v>
      </c>
      <c r="E8245" t="s">
        <v>187</v>
      </c>
      <c r="F8245">
        <v>2016</v>
      </c>
      <c r="G8245">
        <v>14.634</v>
      </c>
    </row>
    <row r="8246" spans="1:7">
      <c r="A8246" t="s">
        <v>1297</v>
      </c>
      <c r="B8246" t="s">
        <v>1298</v>
      </c>
      <c r="C8246" t="s">
        <v>681</v>
      </c>
      <c r="D8246" t="s">
        <v>1391</v>
      </c>
      <c r="E8246" t="s">
        <v>187</v>
      </c>
      <c r="F8246">
        <v>2010</v>
      </c>
      <c r="G8246">
        <v>0.45179999999999998</v>
      </c>
    </row>
    <row r="8247" spans="1:7">
      <c r="A8247" t="s">
        <v>1297</v>
      </c>
      <c r="B8247" t="s">
        <v>1298</v>
      </c>
      <c r="C8247" t="s">
        <v>681</v>
      </c>
      <c r="D8247" t="s">
        <v>1391</v>
      </c>
      <c r="E8247" t="s">
        <v>187</v>
      </c>
      <c r="F8247">
        <v>2012</v>
      </c>
      <c r="G8247">
        <v>0.41399999999999998</v>
      </c>
    </row>
    <row r="8248" spans="1:7">
      <c r="A8248" t="s">
        <v>1297</v>
      </c>
      <c r="B8248" t="s">
        <v>1298</v>
      </c>
      <c r="C8248" t="s">
        <v>681</v>
      </c>
      <c r="D8248" t="s">
        <v>1391</v>
      </c>
      <c r="E8248" t="s">
        <v>187</v>
      </c>
      <c r="F8248">
        <v>2016</v>
      </c>
      <c r="G8248">
        <v>1.0437700000000001</v>
      </c>
    </row>
    <row r="8249" spans="1:7">
      <c r="A8249" t="s">
        <v>1297</v>
      </c>
      <c r="B8249" t="s">
        <v>1298</v>
      </c>
      <c r="C8249" t="s">
        <v>681</v>
      </c>
      <c r="D8249" t="s">
        <v>1391</v>
      </c>
      <c r="E8249" t="s">
        <v>187</v>
      </c>
      <c r="F8249">
        <v>2020</v>
      </c>
      <c r="G8249">
        <v>2.1402899999999998</v>
      </c>
    </row>
    <row r="8250" spans="1:7">
      <c r="A8250" t="s">
        <v>1297</v>
      </c>
      <c r="B8250" t="s">
        <v>1298</v>
      </c>
      <c r="C8250" t="s">
        <v>662</v>
      </c>
      <c r="D8250" t="s">
        <v>1391</v>
      </c>
      <c r="E8250" t="s">
        <v>187</v>
      </c>
      <c r="F8250">
        <v>2005</v>
      </c>
      <c r="G8250">
        <v>1.2240139999999999</v>
      </c>
    </row>
    <row r="8251" spans="1:7">
      <c r="A8251" t="s">
        <v>1297</v>
      </c>
      <c r="B8251" t="s">
        <v>1298</v>
      </c>
      <c r="C8251" t="s">
        <v>662</v>
      </c>
      <c r="D8251" t="s">
        <v>1391</v>
      </c>
      <c r="E8251" t="s">
        <v>187</v>
      </c>
      <c r="F8251">
        <v>2010</v>
      </c>
      <c r="G8251">
        <v>0.77579100000000001</v>
      </c>
    </row>
    <row r="8252" spans="1:7">
      <c r="A8252" t="s">
        <v>1297</v>
      </c>
      <c r="B8252" t="s">
        <v>1298</v>
      </c>
      <c r="C8252" t="s">
        <v>662</v>
      </c>
      <c r="D8252" t="s">
        <v>1391</v>
      </c>
      <c r="E8252" t="s">
        <v>187</v>
      </c>
      <c r="F8252">
        <v>2012</v>
      </c>
      <c r="G8252">
        <v>0.81359300000000001</v>
      </c>
    </row>
    <row r="8253" spans="1:7">
      <c r="A8253" t="s">
        <v>1297</v>
      </c>
      <c r="B8253" t="s">
        <v>1298</v>
      </c>
      <c r="C8253" t="s">
        <v>662</v>
      </c>
      <c r="D8253" t="s">
        <v>1391</v>
      </c>
      <c r="E8253" t="s">
        <v>187</v>
      </c>
      <c r="F8253">
        <v>2016</v>
      </c>
      <c r="G8253">
        <v>0.59489999999999998</v>
      </c>
    </row>
    <row r="8254" spans="1:7">
      <c r="A8254" t="s">
        <v>1297</v>
      </c>
      <c r="B8254" t="s">
        <v>1298</v>
      </c>
      <c r="C8254" t="s">
        <v>662</v>
      </c>
      <c r="D8254" t="s">
        <v>1391</v>
      </c>
      <c r="E8254" t="s">
        <v>187</v>
      </c>
      <c r="F8254">
        <v>2020</v>
      </c>
      <c r="G8254">
        <v>4.2904179999999998</v>
      </c>
    </row>
    <row r="8255" spans="1:7">
      <c r="A8255" t="s">
        <v>1297</v>
      </c>
      <c r="B8255" t="s">
        <v>1298</v>
      </c>
      <c r="C8255" t="s">
        <v>670</v>
      </c>
      <c r="D8255" t="s">
        <v>1391</v>
      </c>
      <c r="E8255" t="s">
        <v>187</v>
      </c>
      <c r="F8255">
        <v>2005</v>
      </c>
      <c r="G8255">
        <v>64.748484000000005</v>
      </c>
    </row>
    <row r="8256" spans="1:7">
      <c r="A8256" t="s">
        <v>1297</v>
      </c>
      <c r="B8256" t="s">
        <v>1298</v>
      </c>
      <c r="C8256" t="s">
        <v>670</v>
      </c>
      <c r="D8256" t="s">
        <v>1391</v>
      </c>
      <c r="E8256" t="s">
        <v>187</v>
      </c>
      <c r="F8256">
        <v>2010</v>
      </c>
      <c r="G8256">
        <v>73.766453999999996</v>
      </c>
    </row>
    <row r="8257" spans="1:7">
      <c r="A8257" t="s">
        <v>1297</v>
      </c>
      <c r="B8257" t="s">
        <v>1298</v>
      </c>
      <c r="C8257" t="s">
        <v>670</v>
      </c>
      <c r="D8257" t="s">
        <v>1391</v>
      </c>
      <c r="E8257" t="s">
        <v>187</v>
      </c>
      <c r="F8257">
        <v>2012</v>
      </c>
      <c r="G8257">
        <v>69.914467000000002</v>
      </c>
    </row>
    <row r="8258" spans="1:7">
      <c r="A8258" t="s">
        <v>1297</v>
      </c>
      <c r="B8258" t="s">
        <v>1298</v>
      </c>
      <c r="C8258" t="s">
        <v>670</v>
      </c>
      <c r="D8258" t="s">
        <v>1391</v>
      </c>
      <c r="E8258" t="s">
        <v>187</v>
      </c>
      <c r="F8258">
        <v>2016</v>
      </c>
      <c r="G8258">
        <v>57.936197999999997</v>
      </c>
    </row>
    <row r="8259" spans="1:7">
      <c r="A8259" t="s">
        <v>1297</v>
      </c>
      <c r="B8259" t="s">
        <v>1298</v>
      </c>
      <c r="C8259" t="s">
        <v>670</v>
      </c>
      <c r="D8259" t="s">
        <v>1391</v>
      </c>
      <c r="E8259" t="s">
        <v>187</v>
      </c>
      <c r="F8259">
        <v>2020</v>
      </c>
      <c r="G8259">
        <v>63.417610000000003</v>
      </c>
    </row>
    <row r="8260" spans="1:7">
      <c r="A8260" t="s">
        <v>1297</v>
      </c>
      <c r="B8260" t="s">
        <v>1298</v>
      </c>
      <c r="C8260" t="s">
        <v>658</v>
      </c>
      <c r="D8260" t="s">
        <v>1391</v>
      </c>
      <c r="E8260" t="s">
        <v>187</v>
      </c>
      <c r="F8260">
        <v>2012</v>
      </c>
      <c r="G8260">
        <v>0.37890000000000001</v>
      </c>
    </row>
    <row r="8261" spans="1:7">
      <c r="A8261" t="s">
        <v>1297</v>
      </c>
      <c r="B8261" t="s">
        <v>1298</v>
      </c>
      <c r="C8261" t="s">
        <v>658</v>
      </c>
      <c r="D8261" t="s">
        <v>1391</v>
      </c>
      <c r="E8261" t="s">
        <v>187</v>
      </c>
      <c r="F8261">
        <v>2016</v>
      </c>
      <c r="G8261">
        <v>1.1025</v>
      </c>
    </row>
    <row r="8262" spans="1:7">
      <c r="A8262" t="s">
        <v>1297</v>
      </c>
      <c r="B8262" t="s">
        <v>1298</v>
      </c>
      <c r="C8262" t="s">
        <v>658</v>
      </c>
      <c r="D8262" t="s">
        <v>1391</v>
      </c>
      <c r="E8262" t="s">
        <v>187</v>
      </c>
      <c r="F8262">
        <v>2020</v>
      </c>
      <c r="G8262">
        <v>0.69120800000000004</v>
      </c>
    </row>
    <row r="8263" spans="1:7">
      <c r="A8263" t="s">
        <v>1297</v>
      </c>
      <c r="B8263" t="s">
        <v>1298</v>
      </c>
      <c r="C8263" t="s">
        <v>657</v>
      </c>
      <c r="D8263" t="s">
        <v>1391</v>
      </c>
      <c r="E8263" t="s">
        <v>187</v>
      </c>
      <c r="F8263">
        <v>2005</v>
      </c>
      <c r="G8263">
        <v>27.959696999999998</v>
      </c>
    </row>
    <row r="8264" spans="1:7">
      <c r="A8264" t="s">
        <v>1297</v>
      </c>
      <c r="B8264" t="s">
        <v>1298</v>
      </c>
      <c r="C8264" t="s">
        <v>657</v>
      </c>
      <c r="D8264" t="s">
        <v>1391</v>
      </c>
      <c r="E8264" t="s">
        <v>187</v>
      </c>
      <c r="F8264">
        <v>2010</v>
      </c>
      <c r="G8264">
        <v>25.963408000000001</v>
      </c>
    </row>
    <row r="8265" spans="1:7">
      <c r="A8265" t="s">
        <v>1297</v>
      </c>
      <c r="B8265" t="s">
        <v>1298</v>
      </c>
      <c r="C8265" t="s">
        <v>657</v>
      </c>
      <c r="D8265" t="s">
        <v>1391</v>
      </c>
      <c r="E8265" t="s">
        <v>187</v>
      </c>
      <c r="F8265">
        <v>2012</v>
      </c>
      <c r="G8265">
        <v>25.020333999999998</v>
      </c>
    </row>
    <row r="8266" spans="1:7">
      <c r="A8266" t="s">
        <v>1297</v>
      </c>
      <c r="B8266" t="s">
        <v>1298</v>
      </c>
      <c r="C8266" t="s">
        <v>657</v>
      </c>
      <c r="D8266" t="s">
        <v>1391</v>
      </c>
      <c r="E8266" t="s">
        <v>187</v>
      </c>
      <c r="F8266">
        <v>2016</v>
      </c>
      <c r="G8266">
        <v>21.932834</v>
      </c>
    </row>
    <row r="8267" spans="1:7">
      <c r="A8267" t="s">
        <v>1297</v>
      </c>
      <c r="B8267" t="s">
        <v>1298</v>
      </c>
      <c r="C8267" t="s">
        <v>657</v>
      </c>
      <c r="D8267" t="s">
        <v>1391</v>
      </c>
      <c r="E8267" t="s">
        <v>187</v>
      </c>
      <c r="F8267">
        <v>2020</v>
      </c>
      <c r="G8267">
        <v>19.762035000000001</v>
      </c>
    </row>
    <row r="8268" spans="1:7">
      <c r="A8268" t="s">
        <v>1297</v>
      </c>
      <c r="B8268" t="s">
        <v>1298</v>
      </c>
      <c r="C8268" t="s">
        <v>671</v>
      </c>
      <c r="D8268" t="s">
        <v>1391</v>
      </c>
      <c r="E8268" t="s">
        <v>187</v>
      </c>
      <c r="F8268">
        <v>2005</v>
      </c>
      <c r="G8268">
        <v>24.588000000000001</v>
      </c>
    </row>
    <row r="8269" spans="1:7">
      <c r="A8269" t="s">
        <v>1297</v>
      </c>
      <c r="B8269" t="s">
        <v>1298</v>
      </c>
      <c r="C8269" t="s">
        <v>671</v>
      </c>
      <c r="D8269" t="s">
        <v>1391</v>
      </c>
      <c r="E8269" t="s">
        <v>187</v>
      </c>
      <c r="F8269">
        <v>2010</v>
      </c>
      <c r="G8269">
        <v>29.683800000000002</v>
      </c>
    </row>
    <row r="8270" spans="1:7">
      <c r="A8270" t="s">
        <v>1297</v>
      </c>
      <c r="B8270" t="s">
        <v>1298</v>
      </c>
      <c r="C8270" t="s">
        <v>671</v>
      </c>
      <c r="D8270" t="s">
        <v>1391</v>
      </c>
      <c r="E8270" t="s">
        <v>187</v>
      </c>
      <c r="F8270">
        <v>2012</v>
      </c>
      <c r="G8270">
        <v>41.842799999999997</v>
      </c>
    </row>
    <row r="8271" spans="1:7">
      <c r="A8271" t="s">
        <v>1297</v>
      </c>
      <c r="B8271" t="s">
        <v>1298</v>
      </c>
      <c r="C8271" t="s">
        <v>671</v>
      </c>
      <c r="D8271" t="s">
        <v>1391</v>
      </c>
      <c r="E8271" t="s">
        <v>187</v>
      </c>
      <c r="F8271">
        <v>2016</v>
      </c>
      <c r="G8271">
        <v>43.605899999999998</v>
      </c>
    </row>
    <row r="8272" spans="1:7">
      <c r="A8272" t="s">
        <v>1297</v>
      </c>
      <c r="B8272" t="s">
        <v>1298</v>
      </c>
      <c r="C8272" t="s">
        <v>671</v>
      </c>
      <c r="D8272" t="s">
        <v>1391</v>
      </c>
      <c r="E8272" t="s">
        <v>187</v>
      </c>
      <c r="F8272">
        <v>2020</v>
      </c>
      <c r="G8272">
        <v>61.506289000000002</v>
      </c>
    </row>
    <row r="8273" spans="1:7">
      <c r="A8273" t="s">
        <v>1297</v>
      </c>
      <c r="B8273" t="s">
        <v>1298</v>
      </c>
      <c r="C8273" t="s">
        <v>659</v>
      </c>
      <c r="D8273" t="s">
        <v>1391</v>
      </c>
      <c r="E8273" t="s">
        <v>187</v>
      </c>
      <c r="F8273">
        <v>2010</v>
      </c>
      <c r="G8273">
        <v>63.790925000000001</v>
      </c>
    </row>
    <row r="8274" spans="1:7">
      <c r="A8274" t="s">
        <v>1297</v>
      </c>
      <c r="B8274" t="s">
        <v>1298</v>
      </c>
      <c r="C8274" t="s">
        <v>659</v>
      </c>
      <c r="D8274" t="s">
        <v>1391</v>
      </c>
      <c r="E8274" t="s">
        <v>187</v>
      </c>
      <c r="F8274">
        <v>2012</v>
      </c>
      <c r="G8274">
        <v>79.868677000000005</v>
      </c>
    </row>
    <row r="8275" spans="1:7">
      <c r="A8275" t="s">
        <v>1297</v>
      </c>
      <c r="B8275" t="s">
        <v>1298</v>
      </c>
      <c r="C8275" t="s">
        <v>659</v>
      </c>
      <c r="D8275" t="s">
        <v>1391</v>
      </c>
      <c r="E8275" t="s">
        <v>187</v>
      </c>
      <c r="F8275">
        <v>2016</v>
      </c>
      <c r="G8275">
        <v>123.38291599999999</v>
      </c>
    </row>
    <row r="8276" spans="1:7">
      <c r="A8276" t="s">
        <v>1297</v>
      </c>
      <c r="B8276" t="s">
        <v>1298</v>
      </c>
      <c r="C8276" t="s">
        <v>659</v>
      </c>
      <c r="D8276" t="s">
        <v>1391</v>
      </c>
      <c r="E8276" t="s">
        <v>187</v>
      </c>
      <c r="F8276">
        <v>2020</v>
      </c>
      <c r="G8276">
        <v>136.3194</v>
      </c>
    </row>
    <row r="8277" spans="1:7">
      <c r="A8277" t="s">
        <v>1297</v>
      </c>
      <c r="B8277" t="s">
        <v>1298</v>
      </c>
      <c r="C8277" t="s">
        <v>672</v>
      </c>
      <c r="D8277" t="s">
        <v>1391</v>
      </c>
      <c r="E8277" t="s">
        <v>187</v>
      </c>
      <c r="F8277">
        <v>2005</v>
      </c>
      <c r="G8277">
        <v>3.3264</v>
      </c>
    </row>
    <row r="8278" spans="1:7">
      <c r="A8278" t="s">
        <v>1297</v>
      </c>
      <c r="B8278" t="s">
        <v>1298</v>
      </c>
      <c r="C8278" t="s">
        <v>672</v>
      </c>
      <c r="D8278" t="s">
        <v>1391</v>
      </c>
      <c r="E8278" t="s">
        <v>187</v>
      </c>
      <c r="F8278">
        <v>2010</v>
      </c>
      <c r="G8278">
        <v>5.0552999999999999</v>
      </c>
    </row>
    <row r="8279" spans="1:7">
      <c r="A8279" t="s">
        <v>1297</v>
      </c>
      <c r="B8279" t="s">
        <v>1298</v>
      </c>
      <c r="C8279" t="s">
        <v>672</v>
      </c>
      <c r="D8279" t="s">
        <v>1391</v>
      </c>
      <c r="E8279" t="s">
        <v>187</v>
      </c>
      <c r="F8279">
        <v>2012</v>
      </c>
      <c r="G8279">
        <v>4.1481000000000003</v>
      </c>
    </row>
    <row r="8280" spans="1:7">
      <c r="A8280" t="s">
        <v>1297</v>
      </c>
      <c r="B8280" t="s">
        <v>1298</v>
      </c>
      <c r="C8280" t="s">
        <v>672</v>
      </c>
      <c r="D8280" t="s">
        <v>1391</v>
      </c>
      <c r="E8280" t="s">
        <v>187</v>
      </c>
      <c r="F8280">
        <v>2016</v>
      </c>
      <c r="G8280">
        <v>3.6539999999999999</v>
      </c>
    </row>
    <row r="8281" spans="1:7">
      <c r="A8281" t="s">
        <v>1297</v>
      </c>
      <c r="B8281" t="s">
        <v>1298</v>
      </c>
      <c r="C8281" t="s">
        <v>672</v>
      </c>
      <c r="D8281" t="s">
        <v>1391</v>
      </c>
      <c r="E8281" t="s">
        <v>187</v>
      </c>
      <c r="F8281">
        <v>2020</v>
      </c>
      <c r="G8281">
        <v>3.96421</v>
      </c>
    </row>
    <row r="8282" spans="1:7">
      <c r="A8282" t="s">
        <v>1297</v>
      </c>
      <c r="B8282" t="s">
        <v>1298</v>
      </c>
      <c r="C8282" t="s">
        <v>1301</v>
      </c>
      <c r="D8282" t="s">
        <v>1391</v>
      </c>
      <c r="E8282" t="s">
        <v>187</v>
      </c>
      <c r="F8282">
        <v>2005</v>
      </c>
      <c r="G8282">
        <v>4.2759</v>
      </c>
    </row>
    <row r="8283" spans="1:7">
      <c r="A8283" t="s">
        <v>1297</v>
      </c>
      <c r="B8283" t="s">
        <v>1298</v>
      </c>
      <c r="C8283" t="s">
        <v>1301</v>
      </c>
      <c r="D8283" t="s">
        <v>1391</v>
      </c>
      <c r="E8283" t="s">
        <v>187</v>
      </c>
      <c r="F8283">
        <v>2010</v>
      </c>
      <c r="G8283">
        <v>50.397300000000001</v>
      </c>
    </row>
    <row r="8284" spans="1:7">
      <c r="A8284" t="s">
        <v>1297</v>
      </c>
      <c r="B8284" t="s">
        <v>1298</v>
      </c>
      <c r="C8284" t="s">
        <v>1301</v>
      </c>
      <c r="D8284" t="s">
        <v>1391</v>
      </c>
      <c r="E8284" t="s">
        <v>187</v>
      </c>
      <c r="F8284">
        <v>2012</v>
      </c>
      <c r="G8284">
        <v>52.299900000000001</v>
      </c>
    </row>
    <row r="8285" spans="1:7">
      <c r="A8285" t="s">
        <v>1297</v>
      </c>
      <c r="B8285" t="s">
        <v>1298</v>
      </c>
      <c r="C8285" t="s">
        <v>1301</v>
      </c>
      <c r="D8285" t="s">
        <v>1391</v>
      </c>
      <c r="E8285" t="s">
        <v>187</v>
      </c>
      <c r="F8285">
        <v>2016</v>
      </c>
      <c r="G8285">
        <v>57.013199999999998</v>
      </c>
    </row>
    <row r="8286" spans="1:7">
      <c r="A8286" t="s">
        <v>1297</v>
      </c>
      <c r="B8286" t="s">
        <v>1298</v>
      </c>
      <c r="C8286" t="s">
        <v>1301</v>
      </c>
      <c r="D8286" t="s">
        <v>1391</v>
      </c>
      <c r="E8286" t="s">
        <v>187</v>
      </c>
      <c r="F8286">
        <v>2020</v>
      </c>
      <c r="G8286">
        <v>63.456795999999997</v>
      </c>
    </row>
    <row r="8287" spans="1:7">
      <c r="A8287" t="s">
        <v>1297</v>
      </c>
      <c r="B8287" t="s">
        <v>1298</v>
      </c>
      <c r="C8287" t="s">
        <v>663</v>
      </c>
      <c r="D8287" t="s">
        <v>1391</v>
      </c>
      <c r="E8287" t="s">
        <v>187</v>
      </c>
      <c r="F8287">
        <v>2005</v>
      </c>
      <c r="G8287">
        <v>7.6769999999999996</v>
      </c>
    </row>
    <row r="8288" spans="1:7">
      <c r="A8288" t="s">
        <v>1297</v>
      </c>
      <c r="B8288" t="s">
        <v>1298</v>
      </c>
      <c r="C8288" t="s">
        <v>663</v>
      </c>
      <c r="D8288" t="s">
        <v>1391</v>
      </c>
      <c r="E8288" t="s">
        <v>187</v>
      </c>
      <c r="F8288">
        <v>2010</v>
      </c>
      <c r="G8288">
        <v>2.3346</v>
      </c>
    </row>
    <row r="8289" spans="1:7">
      <c r="A8289" t="s">
        <v>1297</v>
      </c>
      <c r="B8289" t="s">
        <v>1298</v>
      </c>
      <c r="C8289" t="s">
        <v>663</v>
      </c>
      <c r="D8289" t="s">
        <v>1391</v>
      </c>
      <c r="E8289" t="s">
        <v>187</v>
      </c>
      <c r="F8289">
        <v>2012</v>
      </c>
      <c r="G8289">
        <v>2.5884</v>
      </c>
    </row>
    <row r="8290" spans="1:7">
      <c r="A8290" t="s">
        <v>1297</v>
      </c>
      <c r="B8290" t="s">
        <v>1298</v>
      </c>
      <c r="C8290" t="s">
        <v>663</v>
      </c>
      <c r="D8290" t="s">
        <v>1391</v>
      </c>
      <c r="E8290" t="s">
        <v>187</v>
      </c>
      <c r="F8290">
        <v>2016</v>
      </c>
      <c r="G8290">
        <v>7.4986030000000001</v>
      </c>
    </row>
    <row r="8291" spans="1:7">
      <c r="A8291" t="s">
        <v>1297</v>
      </c>
      <c r="B8291" t="s">
        <v>1298</v>
      </c>
      <c r="C8291" t="s">
        <v>663</v>
      </c>
      <c r="D8291" t="s">
        <v>1391</v>
      </c>
      <c r="E8291" t="s">
        <v>187</v>
      </c>
      <c r="F8291">
        <v>2020</v>
      </c>
      <c r="G8291">
        <v>8.8641000000000005</v>
      </c>
    </row>
    <row r="8292" spans="1:7">
      <c r="A8292" t="s">
        <v>1297</v>
      </c>
      <c r="B8292" t="s">
        <v>1298</v>
      </c>
      <c r="C8292" t="s">
        <v>674</v>
      </c>
      <c r="D8292" t="s">
        <v>1391</v>
      </c>
      <c r="E8292" t="s">
        <v>187</v>
      </c>
      <c r="F8292">
        <v>2005</v>
      </c>
      <c r="G8292">
        <v>5.67E-2</v>
      </c>
    </row>
    <row r="8293" spans="1:7">
      <c r="A8293" t="s">
        <v>1297</v>
      </c>
      <c r="B8293" t="s">
        <v>1298</v>
      </c>
      <c r="C8293" t="s">
        <v>674</v>
      </c>
      <c r="D8293" t="s">
        <v>1391</v>
      </c>
      <c r="E8293" t="s">
        <v>187</v>
      </c>
      <c r="F8293">
        <v>2010</v>
      </c>
      <c r="G8293">
        <v>8.0100000000000005E-2</v>
      </c>
    </row>
    <row r="8294" spans="1:7">
      <c r="A8294" t="s">
        <v>1297</v>
      </c>
      <c r="B8294" t="s">
        <v>1298</v>
      </c>
      <c r="C8294" t="s">
        <v>674</v>
      </c>
      <c r="D8294" t="s">
        <v>1391</v>
      </c>
      <c r="E8294" t="s">
        <v>187</v>
      </c>
      <c r="F8294">
        <v>2012</v>
      </c>
      <c r="G8294">
        <v>0.4536</v>
      </c>
    </row>
    <row r="8295" spans="1:7">
      <c r="A8295" t="s">
        <v>1297</v>
      </c>
      <c r="B8295" t="s">
        <v>1298</v>
      </c>
      <c r="C8295" t="s">
        <v>674</v>
      </c>
      <c r="D8295" t="s">
        <v>1391</v>
      </c>
      <c r="E8295" t="s">
        <v>187</v>
      </c>
      <c r="F8295">
        <v>2016</v>
      </c>
      <c r="G8295">
        <v>0.25559999999999999</v>
      </c>
    </row>
    <row r="8296" spans="1:7">
      <c r="A8296" t="s">
        <v>1297</v>
      </c>
      <c r="B8296" t="s">
        <v>1298</v>
      </c>
      <c r="C8296" t="s">
        <v>674</v>
      </c>
      <c r="D8296" t="s">
        <v>1391</v>
      </c>
      <c r="E8296" t="s">
        <v>187</v>
      </c>
      <c r="F8296">
        <v>2020</v>
      </c>
      <c r="G8296">
        <v>1.183846</v>
      </c>
    </row>
    <row r="8297" spans="1:7">
      <c r="A8297" t="s">
        <v>1297</v>
      </c>
      <c r="B8297" t="s">
        <v>1298</v>
      </c>
      <c r="C8297" t="s">
        <v>677</v>
      </c>
      <c r="D8297" t="s">
        <v>1391</v>
      </c>
      <c r="E8297" t="s">
        <v>187</v>
      </c>
      <c r="F8297">
        <v>2005</v>
      </c>
      <c r="G8297">
        <v>282.40199999999999</v>
      </c>
    </row>
    <row r="8298" spans="1:7">
      <c r="A8298" t="s">
        <v>1297</v>
      </c>
      <c r="B8298" t="s">
        <v>1298</v>
      </c>
      <c r="C8298" t="s">
        <v>677</v>
      </c>
      <c r="D8298" t="s">
        <v>1391</v>
      </c>
      <c r="E8298" t="s">
        <v>187</v>
      </c>
      <c r="F8298">
        <v>2010</v>
      </c>
      <c r="G8298">
        <v>236.05199999999999</v>
      </c>
    </row>
    <row r="8299" spans="1:7">
      <c r="A8299" t="s">
        <v>1297</v>
      </c>
      <c r="B8299" t="s">
        <v>1298</v>
      </c>
      <c r="C8299" t="s">
        <v>677</v>
      </c>
      <c r="D8299" t="s">
        <v>1391</v>
      </c>
      <c r="E8299" t="s">
        <v>187</v>
      </c>
      <c r="F8299">
        <v>2012</v>
      </c>
      <c r="G8299">
        <v>182.20320000000001</v>
      </c>
    </row>
    <row r="8300" spans="1:7">
      <c r="A8300" t="s">
        <v>1297</v>
      </c>
      <c r="B8300" t="s">
        <v>1298</v>
      </c>
      <c r="C8300" t="s">
        <v>677</v>
      </c>
      <c r="D8300" t="s">
        <v>1391</v>
      </c>
      <c r="E8300" t="s">
        <v>187</v>
      </c>
      <c r="F8300">
        <v>2016</v>
      </c>
      <c r="G8300">
        <v>186.225402</v>
      </c>
    </row>
    <row r="8301" spans="1:7">
      <c r="A8301" t="s">
        <v>1297</v>
      </c>
      <c r="B8301" t="s">
        <v>1298</v>
      </c>
      <c r="C8301" t="s">
        <v>677</v>
      </c>
      <c r="D8301" t="s">
        <v>1391</v>
      </c>
      <c r="E8301" t="s">
        <v>187</v>
      </c>
      <c r="F8301">
        <v>2020</v>
      </c>
      <c r="G8301">
        <v>202.08060599999999</v>
      </c>
    </row>
    <row r="8302" spans="1:7">
      <c r="A8302" t="s">
        <v>1297</v>
      </c>
      <c r="B8302" t="s">
        <v>1298</v>
      </c>
      <c r="C8302" t="s">
        <v>679</v>
      </c>
      <c r="D8302" t="s">
        <v>1391</v>
      </c>
      <c r="E8302" t="s">
        <v>187</v>
      </c>
      <c r="F8302">
        <v>2005</v>
      </c>
      <c r="G8302">
        <v>153.40177800000001</v>
      </c>
    </row>
    <row r="8303" spans="1:7">
      <c r="A8303" t="s">
        <v>1297</v>
      </c>
      <c r="B8303" t="s">
        <v>1298</v>
      </c>
      <c r="C8303" t="s">
        <v>679</v>
      </c>
      <c r="D8303" t="s">
        <v>1391</v>
      </c>
      <c r="E8303" t="s">
        <v>187</v>
      </c>
      <c r="F8303">
        <v>2010</v>
      </c>
      <c r="G8303">
        <v>180.74425600000001</v>
      </c>
    </row>
    <row r="8304" spans="1:7">
      <c r="A8304" t="s">
        <v>1297</v>
      </c>
      <c r="B8304" t="s">
        <v>1298</v>
      </c>
      <c r="C8304" t="s">
        <v>679</v>
      </c>
      <c r="D8304" t="s">
        <v>1391</v>
      </c>
      <c r="E8304" t="s">
        <v>187</v>
      </c>
      <c r="F8304">
        <v>2012</v>
      </c>
      <c r="G8304">
        <v>176.37656699999999</v>
      </c>
    </row>
    <row r="8305" spans="1:7">
      <c r="A8305" t="s">
        <v>1297</v>
      </c>
      <c r="B8305" t="s">
        <v>1298</v>
      </c>
      <c r="C8305" t="s">
        <v>679</v>
      </c>
      <c r="D8305" t="s">
        <v>1391</v>
      </c>
      <c r="E8305" t="s">
        <v>187</v>
      </c>
      <c r="F8305">
        <v>2016</v>
      </c>
      <c r="G8305">
        <v>190.45981699999999</v>
      </c>
    </row>
    <row r="8306" spans="1:7">
      <c r="A8306" t="s">
        <v>1297</v>
      </c>
      <c r="B8306" t="s">
        <v>1298</v>
      </c>
      <c r="C8306" t="s">
        <v>679</v>
      </c>
      <c r="D8306" t="s">
        <v>1391</v>
      </c>
      <c r="E8306" t="s">
        <v>187</v>
      </c>
      <c r="F8306">
        <v>2020</v>
      </c>
      <c r="G8306">
        <v>184.01113799999999</v>
      </c>
    </row>
    <row r="8307" spans="1:7">
      <c r="A8307" t="s">
        <v>1297</v>
      </c>
      <c r="B8307" t="s">
        <v>1298</v>
      </c>
      <c r="C8307" t="s">
        <v>681</v>
      </c>
      <c r="D8307" t="s">
        <v>1391</v>
      </c>
      <c r="E8307" t="s">
        <v>187</v>
      </c>
      <c r="F8307">
        <v>2005</v>
      </c>
      <c r="G8307">
        <v>0.37619999999999998</v>
      </c>
    </row>
    <row r="8308" spans="1:7">
      <c r="A8308" t="s">
        <v>1297</v>
      </c>
      <c r="B8308" t="s">
        <v>1298</v>
      </c>
      <c r="C8308" t="s">
        <v>665</v>
      </c>
      <c r="D8308" t="s">
        <v>1392</v>
      </c>
      <c r="E8308" t="s">
        <v>187</v>
      </c>
      <c r="F8308">
        <v>2020</v>
      </c>
      <c r="G8308">
        <v>164.58913200000001</v>
      </c>
    </row>
    <row r="8309" spans="1:7">
      <c r="A8309" t="s">
        <v>1297</v>
      </c>
      <c r="B8309" t="s">
        <v>1298</v>
      </c>
      <c r="C8309" t="s">
        <v>681</v>
      </c>
      <c r="D8309" t="s">
        <v>1392</v>
      </c>
      <c r="E8309" t="s">
        <v>187</v>
      </c>
      <c r="F8309">
        <v>2005</v>
      </c>
      <c r="G8309">
        <v>0.37709999999999999</v>
      </c>
    </row>
    <row r="8310" spans="1:7">
      <c r="A8310" t="s">
        <v>1297</v>
      </c>
      <c r="B8310" t="s">
        <v>1298</v>
      </c>
      <c r="C8310" t="s">
        <v>681</v>
      </c>
      <c r="D8310" t="s">
        <v>1392</v>
      </c>
      <c r="E8310" t="s">
        <v>187</v>
      </c>
      <c r="F8310">
        <v>2010</v>
      </c>
      <c r="G8310">
        <v>0.48420000000000002</v>
      </c>
    </row>
    <row r="8311" spans="1:7">
      <c r="A8311" t="s">
        <v>1297</v>
      </c>
      <c r="B8311" t="s">
        <v>1298</v>
      </c>
      <c r="C8311" t="s">
        <v>681</v>
      </c>
      <c r="D8311" t="s">
        <v>1392</v>
      </c>
      <c r="E8311" t="s">
        <v>187</v>
      </c>
      <c r="F8311">
        <v>2012</v>
      </c>
      <c r="G8311">
        <v>0.55349999999999999</v>
      </c>
    </row>
    <row r="8312" spans="1:7">
      <c r="A8312" t="s">
        <v>1297</v>
      </c>
      <c r="B8312" t="s">
        <v>1298</v>
      </c>
      <c r="C8312" t="s">
        <v>681</v>
      </c>
      <c r="D8312" t="s">
        <v>1392</v>
      </c>
      <c r="E8312" t="s">
        <v>187</v>
      </c>
      <c r="F8312">
        <v>2016</v>
      </c>
      <c r="G8312">
        <v>1.4639150000000001</v>
      </c>
    </row>
    <row r="8313" spans="1:7">
      <c r="A8313" t="s">
        <v>1297</v>
      </c>
      <c r="B8313" t="s">
        <v>1298</v>
      </c>
      <c r="C8313" t="s">
        <v>681</v>
      </c>
      <c r="D8313" t="s">
        <v>1392</v>
      </c>
      <c r="E8313" t="s">
        <v>187</v>
      </c>
      <c r="F8313">
        <v>2020</v>
      </c>
      <c r="G8313">
        <v>2.4115950000000002</v>
      </c>
    </row>
    <row r="8314" spans="1:7">
      <c r="A8314" t="s">
        <v>1297</v>
      </c>
      <c r="B8314" t="s">
        <v>1298</v>
      </c>
      <c r="C8314" t="s">
        <v>656</v>
      </c>
      <c r="D8314" t="s">
        <v>1392</v>
      </c>
      <c r="E8314" t="s">
        <v>187</v>
      </c>
      <c r="F8314">
        <v>2005</v>
      </c>
      <c r="G8314">
        <v>600.13095099999998</v>
      </c>
    </row>
    <row r="8315" spans="1:7">
      <c r="A8315" t="s">
        <v>1297</v>
      </c>
      <c r="B8315" t="s">
        <v>1298</v>
      </c>
      <c r="C8315" t="s">
        <v>656</v>
      </c>
      <c r="D8315" t="s">
        <v>1392</v>
      </c>
      <c r="E8315" t="s">
        <v>187</v>
      </c>
      <c r="F8315">
        <v>2010</v>
      </c>
      <c r="G8315">
        <v>465.28708499999999</v>
      </c>
    </row>
    <row r="8316" spans="1:7">
      <c r="A8316" t="s">
        <v>1297</v>
      </c>
      <c r="B8316" t="s">
        <v>1298</v>
      </c>
      <c r="C8316" t="s">
        <v>656</v>
      </c>
      <c r="D8316" t="s">
        <v>1392</v>
      </c>
      <c r="E8316" t="s">
        <v>187</v>
      </c>
      <c r="F8316">
        <v>2012</v>
      </c>
      <c r="G8316">
        <v>400.62910900000003</v>
      </c>
    </row>
    <row r="8317" spans="1:7">
      <c r="A8317" t="s">
        <v>1297</v>
      </c>
      <c r="B8317" t="s">
        <v>1298</v>
      </c>
      <c r="C8317" t="s">
        <v>656</v>
      </c>
      <c r="D8317" t="s">
        <v>1392</v>
      </c>
      <c r="E8317" t="s">
        <v>187</v>
      </c>
      <c r="F8317">
        <v>2016</v>
      </c>
      <c r="G8317">
        <v>274.27229299999999</v>
      </c>
    </row>
    <row r="8318" spans="1:7">
      <c r="A8318" t="s">
        <v>1297</v>
      </c>
      <c r="B8318" t="s">
        <v>1298</v>
      </c>
      <c r="C8318" t="s">
        <v>656</v>
      </c>
      <c r="D8318" t="s">
        <v>1392</v>
      </c>
      <c r="E8318" t="s">
        <v>187</v>
      </c>
      <c r="F8318">
        <v>2020</v>
      </c>
      <c r="G8318">
        <v>183.11385100000001</v>
      </c>
    </row>
    <row r="8319" spans="1:7">
      <c r="A8319" t="s">
        <v>1297</v>
      </c>
      <c r="B8319" t="s">
        <v>1298</v>
      </c>
      <c r="C8319" t="s">
        <v>657</v>
      </c>
      <c r="D8319" t="s">
        <v>1392</v>
      </c>
      <c r="E8319" t="s">
        <v>187</v>
      </c>
      <c r="F8319">
        <v>2005</v>
      </c>
      <c r="G8319">
        <v>392.87217900000002</v>
      </c>
    </row>
    <row r="8320" spans="1:7">
      <c r="A8320" t="s">
        <v>1297</v>
      </c>
      <c r="B8320" t="s">
        <v>1298</v>
      </c>
      <c r="C8320" t="s">
        <v>657</v>
      </c>
      <c r="D8320" t="s">
        <v>1392</v>
      </c>
      <c r="E8320" t="s">
        <v>187</v>
      </c>
      <c r="F8320">
        <v>2010</v>
      </c>
      <c r="G8320">
        <v>307.427166</v>
      </c>
    </row>
    <row r="8321" spans="1:7">
      <c r="A8321" t="s">
        <v>1297</v>
      </c>
      <c r="B8321" t="s">
        <v>1298</v>
      </c>
      <c r="C8321" t="s">
        <v>657</v>
      </c>
      <c r="D8321" t="s">
        <v>1392</v>
      </c>
      <c r="E8321" t="s">
        <v>187</v>
      </c>
      <c r="F8321">
        <v>2012</v>
      </c>
      <c r="G8321">
        <v>216.002881</v>
      </c>
    </row>
    <row r="8322" spans="1:7">
      <c r="A8322" t="s">
        <v>1297</v>
      </c>
      <c r="B8322" t="s">
        <v>1298</v>
      </c>
      <c r="C8322" t="s">
        <v>657</v>
      </c>
      <c r="D8322" t="s">
        <v>1392</v>
      </c>
      <c r="E8322" t="s">
        <v>187</v>
      </c>
      <c r="F8322">
        <v>2016</v>
      </c>
      <c r="G8322">
        <v>169.735491</v>
      </c>
    </row>
    <row r="8323" spans="1:7">
      <c r="A8323" t="s">
        <v>1297</v>
      </c>
      <c r="B8323" t="s">
        <v>1298</v>
      </c>
      <c r="C8323" t="s">
        <v>657</v>
      </c>
      <c r="D8323" t="s">
        <v>1392</v>
      </c>
      <c r="E8323" t="s">
        <v>187</v>
      </c>
      <c r="F8323">
        <v>2020</v>
      </c>
      <c r="G8323">
        <v>115.74038</v>
      </c>
    </row>
    <row r="8324" spans="1:7">
      <c r="A8324" t="s">
        <v>1297</v>
      </c>
      <c r="B8324" t="s">
        <v>1298</v>
      </c>
      <c r="C8324" t="s">
        <v>664</v>
      </c>
      <c r="D8324" t="s">
        <v>1392</v>
      </c>
      <c r="E8324" t="s">
        <v>187</v>
      </c>
      <c r="F8324">
        <v>2005</v>
      </c>
      <c r="G8324">
        <v>20.374262000000002</v>
      </c>
    </row>
    <row r="8325" spans="1:7">
      <c r="A8325" t="s">
        <v>1297</v>
      </c>
      <c r="B8325" t="s">
        <v>1298</v>
      </c>
      <c r="C8325" t="s">
        <v>664</v>
      </c>
      <c r="D8325" t="s">
        <v>1392</v>
      </c>
      <c r="E8325" t="s">
        <v>187</v>
      </c>
      <c r="F8325">
        <v>2010</v>
      </c>
      <c r="G8325">
        <v>9.8104189999999996</v>
      </c>
    </row>
    <row r="8326" spans="1:7">
      <c r="A8326" t="s">
        <v>1297</v>
      </c>
      <c r="B8326" t="s">
        <v>1298</v>
      </c>
      <c r="C8326" t="s">
        <v>664</v>
      </c>
      <c r="D8326" t="s">
        <v>1392</v>
      </c>
      <c r="E8326" t="s">
        <v>187</v>
      </c>
      <c r="F8326">
        <v>2012</v>
      </c>
      <c r="G8326">
        <v>7.5149419999999996</v>
      </c>
    </row>
    <row r="8327" spans="1:7">
      <c r="A8327" t="s">
        <v>1297</v>
      </c>
      <c r="B8327" t="s">
        <v>1298</v>
      </c>
      <c r="C8327" t="s">
        <v>664</v>
      </c>
      <c r="D8327" t="s">
        <v>1392</v>
      </c>
      <c r="E8327" t="s">
        <v>187</v>
      </c>
      <c r="F8327">
        <v>2016</v>
      </c>
      <c r="G8327">
        <v>104.16517</v>
      </c>
    </row>
    <row r="8328" spans="1:7">
      <c r="A8328" t="s">
        <v>1297</v>
      </c>
      <c r="B8328" t="s">
        <v>1298</v>
      </c>
      <c r="C8328" t="s">
        <v>664</v>
      </c>
      <c r="D8328" t="s">
        <v>1392</v>
      </c>
      <c r="E8328" t="s">
        <v>187</v>
      </c>
      <c r="F8328">
        <v>2020</v>
      </c>
      <c r="G8328">
        <v>89.688773999999995</v>
      </c>
    </row>
    <row r="8329" spans="1:7">
      <c r="A8329" t="s">
        <v>1297</v>
      </c>
      <c r="B8329" t="s">
        <v>1298</v>
      </c>
      <c r="C8329" t="s">
        <v>1303</v>
      </c>
      <c r="D8329" t="s">
        <v>1392</v>
      </c>
      <c r="E8329" t="s">
        <v>187</v>
      </c>
      <c r="F8329">
        <v>2016</v>
      </c>
      <c r="G8329">
        <v>0.22866500000000001</v>
      </c>
    </row>
    <row r="8330" spans="1:7">
      <c r="A8330" t="s">
        <v>1297</v>
      </c>
      <c r="B8330" t="s">
        <v>1298</v>
      </c>
      <c r="C8330" t="s">
        <v>1303</v>
      </c>
      <c r="D8330" t="s">
        <v>1392</v>
      </c>
      <c r="E8330" t="s">
        <v>187</v>
      </c>
      <c r="F8330">
        <v>2020</v>
      </c>
      <c r="G8330">
        <v>0.34671299999999999</v>
      </c>
    </row>
    <row r="8331" spans="1:7">
      <c r="A8331" t="s">
        <v>1297</v>
      </c>
      <c r="B8331" t="s">
        <v>1298</v>
      </c>
      <c r="C8331" t="s">
        <v>659</v>
      </c>
      <c r="D8331" t="s">
        <v>1392</v>
      </c>
      <c r="E8331" t="s">
        <v>187</v>
      </c>
      <c r="F8331">
        <v>2005</v>
      </c>
      <c r="G8331">
        <v>6.0245499999999996</v>
      </c>
    </row>
    <row r="8332" spans="1:7">
      <c r="A8332" t="s">
        <v>1297</v>
      </c>
      <c r="B8332" t="s">
        <v>1298</v>
      </c>
      <c r="C8332" t="s">
        <v>659</v>
      </c>
      <c r="D8332" t="s">
        <v>1392</v>
      </c>
      <c r="E8332" t="s">
        <v>187</v>
      </c>
      <c r="F8332">
        <v>2010</v>
      </c>
      <c r="G8332">
        <v>1.8665849999999999</v>
      </c>
    </row>
    <row r="8333" spans="1:7">
      <c r="A8333" t="s">
        <v>1297</v>
      </c>
      <c r="B8333" t="s">
        <v>1298</v>
      </c>
      <c r="C8333" t="s">
        <v>659</v>
      </c>
      <c r="D8333" t="s">
        <v>1392</v>
      </c>
      <c r="E8333" t="s">
        <v>187</v>
      </c>
      <c r="F8333">
        <v>2012</v>
      </c>
      <c r="G8333">
        <v>2.1681119999999998</v>
      </c>
    </row>
    <row r="8334" spans="1:7">
      <c r="A8334" t="s">
        <v>1297</v>
      </c>
      <c r="B8334" t="s">
        <v>1298</v>
      </c>
      <c r="C8334" t="s">
        <v>659</v>
      </c>
      <c r="D8334" t="s">
        <v>1392</v>
      </c>
      <c r="E8334" t="s">
        <v>187</v>
      </c>
      <c r="F8334">
        <v>2016</v>
      </c>
      <c r="G8334">
        <v>2.007927</v>
      </c>
    </row>
    <row r="8335" spans="1:7">
      <c r="A8335" t="s">
        <v>1297</v>
      </c>
      <c r="B8335" t="s">
        <v>1298</v>
      </c>
      <c r="C8335" t="s">
        <v>659</v>
      </c>
      <c r="D8335" t="s">
        <v>1392</v>
      </c>
      <c r="E8335" t="s">
        <v>187</v>
      </c>
      <c r="F8335">
        <v>2020</v>
      </c>
      <c r="G8335">
        <v>4.8654000000000002</v>
      </c>
    </row>
    <row r="8336" spans="1:7">
      <c r="A8336" t="s">
        <v>1297</v>
      </c>
      <c r="B8336" t="s">
        <v>1298</v>
      </c>
      <c r="C8336" t="s">
        <v>670</v>
      </c>
      <c r="D8336" t="s">
        <v>1392</v>
      </c>
      <c r="E8336" t="s">
        <v>187</v>
      </c>
      <c r="F8336">
        <v>2005</v>
      </c>
      <c r="G8336">
        <v>2351.991861</v>
      </c>
    </row>
    <row r="8337" spans="1:7">
      <c r="A8337" t="s">
        <v>1297</v>
      </c>
      <c r="B8337" t="s">
        <v>1298</v>
      </c>
      <c r="C8337" t="s">
        <v>670</v>
      </c>
      <c r="D8337" t="s">
        <v>1392</v>
      </c>
      <c r="E8337" t="s">
        <v>187</v>
      </c>
      <c r="F8337">
        <v>2010</v>
      </c>
      <c r="G8337">
        <v>2709.5912699999999</v>
      </c>
    </row>
    <row r="8338" spans="1:7">
      <c r="A8338" t="s">
        <v>1297</v>
      </c>
      <c r="B8338" t="s">
        <v>1298</v>
      </c>
      <c r="C8338" t="s">
        <v>670</v>
      </c>
      <c r="D8338" t="s">
        <v>1392</v>
      </c>
      <c r="E8338" t="s">
        <v>187</v>
      </c>
      <c r="F8338">
        <v>2012</v>
      </c>
      <c r="G8338">
        <v>2462.4916929999999</v>
      </c>
    </row>
    <row r="8339" spans="1:7">
      <c r="A8339" t="s">
        <v>1297</v>
      </c>
      <c r="B8339" t="s">
        <v>1298</v>
      </c>
      <c r="C8339" t="s">
        <v>670</v>
      </c>
      <c r="D8339" t="s">
        <v>1392</v>
      </c>
      <c r="E8339" t="s">
        <v>187</v>
      </c>
      <c r="F8339">
        <v>2016</v>
      </c>
      <c r="G8339">
        <v>1594.459476</v>
      </c>
    </row>
    <row r="8340" spans="1:7">
      <c r="A8340" t="s">
        <v>1297</v>
      </c>
      <c r="B8340" t="s">
        <v>1298</v>
      </c>
      <c r="C8340" t="s">
        <v>670</v>
      </c>
      <c r="D8340" t="s">
        <v>1392</v>
      </c>
      <c r="E8340" t="s">
        <v>187</v>
      </c>
      <c r="F8340">
        <v>2020</v>
      </c>
      <c r="G8340">
        <v>1002.477337</v>
      </c>
    </row>
    <row r="8341" spans="1:7">
      <c r="A8341" t="s">
        <v>1297</v>
      </c>
      <c r="B8341" t="s">
        <v>1298</v>
      </c>
      <c r="C8341" t="s">
        <v>663</v>
      </c>
      <c r="D8341" t="s">
        <v>1392</v>
      </c>
      <c r="E8341" t="s">
        <v>187</v>
      </c>
      <c r="F8341">
        <v>2005</v>
      </c>
      <c r="G8341">
        <v>97.579800000000006</v>
      </c>
    </row>
    <row r="8342" spans="1:7">
      <c r="A8342" t="s">
        <v>1297</v>
      </c>
      <c r="B8342" t="s">
        <v>1298</v>
      </c>
      <c r="C8342" t="s">
        <v>663</v>
      </c>
      <c r="D8342" t="s">
        <v>1392</v>
      </c>
      <c r="E8342" t="s">
        <v>187</v>
      </c>
      <c r="F8342">
        <v>2010</v>
      </c>
      <c r="G8342">
        <v>93.570300000000003</v>
      </c>
    </row>
    <row r="8343" spans="1:7">
      <c r="A8343" t="s">
        <v>1297</v>
      </c>
      <c r="B8343" t="s">
        <v>1298</v>
      </c>
      <c r="C8343" t="s">
        <v>663</v>
      </c>
      <c r="D8343" t="s">
        <v>1392</v>
      </c>
      <c r="E8343" t="s">
        <v>187</v>
      </c>
      <c r="F8343">
        <v>2012</v>
      </c>
      <c r="G8343">
        <v>74.026799999999994</v>
      </c>
    </row>
    <row r="8344" spans="1:7">
      <c r="A8344" t="s">
        <v>1297</v>
      </c>
      <c r="B8344" t="s">
        <v>1298</v>
      </c>
      <c r="C8344" t="s">
        <v>663</v>
      </c>
      <c r="D8344" t="s">
        <v>1392</v>
      </c>
      <c r="E8344" t="s">
        <v>187</v>
      </c>
      <c r="F8344">
        <v>2016</v>
      </c>
      <c r="G8344">
        <v>59.821936000000001</v>
      </c>
    </row>
    <row r="8345" spans="1:7">
      <c r="A8345" t="s">
        <v>1297</v>
      </c>
      <c r="B8345" t="s">
        <v>1298</v>
      </c>
      <c r="C8345" t="s">
        <v>663</v>
      </c>
      <c r="D8345" t="s">
        <v>1392</v>
      </c>
      <c r="E8345" t="s">
        <v>187</v>
      </c>
      <c r="F8345">
        <v>2020</v>
      </c>
      <c r="G8345">
        <v>55.607399999999998</v>
      </c>
    </row>
    <row r="8346" spans="1:7">
      <c r="A8346" t="s">
        <v>1297</v>
      </c>
      <c r="B8346" t="s">
        <v>1298</v>
      </c>
      <c r="C8346" t="s">
        <v>662</v>
      </c>
      <c r="D8346" t="s">
        <v>1392</v>
      </c>
      <c r="E8346" t="s">
        <v>187</v>
      </c>
      <c r="F8346">
        <v>2005</v>
      </c>
      <c r="G8346">
        <v>0.76589700000000005</v>
      </c>
    </row>
    <row r="8347" spans="1:7">
      <c r="A8347" t="s">
        <v>1297</v>
      </c>
      <c r="B8347" t="s">
        <v>1298</v>
      </c>
      <c r="C8347" t="s">
        <v>662</v>
      </c>
      <c r="D8347" t="s">
        <v>1392</v>
      </c>
      <c r="E8347" t="s">
        <v>187</v>
      </c>
      <c r="F8347">
        <v>2010</v>
      </c>
      <c r="G8347">
        <v>0.31860300000000003</v>
      </c>
    </row>
    <row r="8348" spans="1:7">
      <c r="A8348" t="s">
        <v>1297</v>
      </c>
      <c r="B8348" t="s">
        <v>1298</v>
      </c>
      <c r="C8348" t="s">
        <v>662</v>
      </c>
      <c r="D8348" t="s">
        <v>1392</v>
      </c>
      <c r="E8348" t="s">
        <v>187</v>
      </c>
      <c r="F8348">
        <v>2012</v>
      </c>
      <c r="G8348">
        <v>0.28889999999999999</v>
      </c>
    </row>
    <row r="8349" spans="1:7">
      <c r="A8349" t="s">
        <v>1297</v>
      </c>
      <c r="B8349" t="s">
        <v>1298</v>
      </c>
      <c r="C8349" t="s">
        <v>662</v>
      </c>
      <c r="D8349" t="s">
        <v>1392</v>
      </c>
      <c r="E8349" t="s">
        <v>187</v>
      </c>
      <c r="F8349">
        <v>2016</v>
      </c>
      <c r="G8349">
        <v>0.40139599999999998</v>
      </c>
    </row>
    <row r="8350" spans="1:7">
      <c r="A8350" t="s">
        <v>1297</v>
      </c>
      <c r="B8350" t="s">
        <v>1298</v>
      </c>
      <c r="C8350" t="s">
        <v>662</v>
      </c>
      <c r="D8350" t="s">
        <v>1392</v>
      </c>
      <c r="E8350" t="s">
        <v>187</v>
      </c>
      <c r="F8350">
        <v>2020</v>
      </c>
      <c r="G8350">
        <v>0.40025899999999998</v>
      </c>
    </row>
    <row r="8351" spans="1:7">
      <c r="A8351" t="s">
        <v>1297</v>
      </c>
      <c r="B8351" t="s">
        <v>1298</v>
      </c>
      <c r="C8351" t="s">
        <v>675</v>
      </c>
      <c r="D8351" t="s">
        <v>1392</v>
      </c>
      <c r="E8351" t="s">
        <v>187</v>
      </c>
      <c r="F8351">
        <v>2005</v>
      </c>
      <c r="G8351">
        <v>0.14399999999999999</v>
      </c>
    </row>
    <row r="8352" spans="1:7">
      <c r="A8352" t="s">
        <v>1297</v>
      </c>
      <c r="B8352" t="s">
        <v>1298</v>
      </c>
      <c r="C8352" t="s">
        <v>675</v>
      </c>
      <c r="D8352" t="s">
        <v>1392</v>
      </c>
      <c r="E8352" t="s">
        <v>187</v>
      </c>
      <c r="F8352">
        <v>2010</v>
      </c>
      <c r="G8352">
        <v>0.25109999999999999</v>
      </c>
    </row>
    <row r="8353" spans="1:7">
      <c r="A8353" t="s">
        <v>1297</v>
      </c>
      <c r="B8353" t="s">
        <v>1298</v>
      </c>
      <c r="C8353" t="s">
        <v>675</v>
      </c>
      <c r="D8353" t="s">
        <v>1392</v>
      </c>
      <c r="E8353" t="s">
        <v>187</v>
      </c>
      <c r="F8353">
        <v>2012</v>
      </c>
      <c r="G8353">
        <v>7.1999999999999995E-2</v>
      </c>
    </row>
    <row r="8354" spans="1:7">
      <c r="A8354" t="s">
        <v>1297</v>
      </c>
      <c r="B8354" t="s">
        <v>1298</v>
      </c>
      <c r="C8354" t="s">
        <v>675</v>
      </c>
      <c r="D8354" t="s">
        <v>1392</v>
      </c>
      <c r="E8354" t="s">
        <v>187</v>
      </c>
      <c r="F8354">
        <v>2016</v>
      </c>
      <c r="G8354">
        <v>0.17910000000000001</v>
      </c>
    </row>
    <row r="8355" spans="1:7">
      <c r="A8355" t="s">
        <v>1297</v>
      </c>
      <c r="B8355" t="s">
        <v>1298</v>
      </c>
      <c r="C8355" t="s">
        <v>675</v>
      </c>
      <c r="D8355" t="s">
        <v>1392</v>
      </c>
      <c r="E8355" t="s">
        <v>187</v>
      </c>
      <c r="F8355">
        <v>2020</v>
      </c>
      <c r="G8355">
        <v>0.170574</v>
      </c>
    </row>
    <row r="8356" spans="1:7">
      <c r="A8356" t="s">
        <v>1297</v>
      </c>
      <c r="B8356" t="s">
        <v>1298</v>
      </c>
      <c r="C8356" t="s">
        <v>1301</v>
      </c>
      <c r="D8356" t="s">
        <v>1392</v>
      </c>
      <c r="E8356" t="s">
        <v>187</v>
      </c>
      <c r="F8356">
        <v>2005</v>
      </c>
      <c r="G8356">
        <v>30.919499999999999</v>
      </c>
    </row>
    <row r="8357" spans="1:7">
      <c r="A8357" t="s">
        <v>1297</v>
      </c>
      <c r="B8357" t="s">
        <v>1298</v>
      </c>
      <c r="C8357" t="s">
        <v>1301</v>
      </c>
      <c r="D8357" t="s">
        <v>1392</v>
      </c>
      <c r="E8357" t="s">
        <v>187</v>
      </c>
      <c r="F8357">
        <v>2010</v>
      </c>
      <c r="G8357">
        <v>23.520600000000002</v>
      </c>
    </row>
    <row r="8358" spans="1:7">
      <c r="A8358" t="s">
        <v>1297</v>
      </c>
      <c r="B8358" t="s">
        <v>1298</v>
      </c>
      <c r="C8358" t="s">
        <v>1301</v>
      </c>
      <c r="D8358" t="s">
        <v>1392</v>
      </c>
      <c r="E8358" t="s">
        <v>187</v>
      </c>
      <c r="F8358">
        <v>2012</v>
      </c>
      <c r="G8358">
        <v>21.800699999999999</v>
      </c>
    </row>
    <row r="8359" spans="1:7">
      <c r="A8359" t="s">
        <v>1297</v>
      </c>
      <c r="B8359" t="s">
        <v>1298</v>
      </c>
      <c r="C8359" t="s">
        <v>1301</v>
      </c>
      <c r="D8359" t="s">
        <v>1392</v>
      </c>
      <c r="E8359" t="s">
        <v>187</v>
      </c>
      <c r="F8359">
        <v>2016</v>
      </c>
      <c r="G8359">
        <v>12.661273</v>
      </c>
    </row>
    <row r="8360" spans="1:7">
      <c r="A8360" t="s">
        <v>1297</v>
      </c>
      <c r="B8360" t="s">
        <v>1298</v>
      </c>
      <c r="C8360" t="s">
        <v>1301</v>
      </c>
      <c r="D8360" t="s">
        <v>1392</v>
      </c>
      <c r="E8360" t="s">
        <v>187</v>
      </c>
      <c r="F8360">
        <v>2020</v>
      </c>
      <c r="G8360">
        <v>16.316099999999999</v>
      </c>
    </row>
    <row r="8361" spans="1:7">
      <c r="A8361" t="s">
        <v>1297</v>
      </c>
      <c r="B8361" t="s">
        <v>1298</v>
      </c>
      <c r="C8361" t="s">
        <v>686</v>
      </c>
      <c r="D8361" t="s">
        <v>1392</v>
      </c>
      <c r="E8361" t="s">
        <v>187</v>
      </c>
      <c r="F8361">
        <v>2005</v>
      </c>
      <c r="G8361">
        <v>9.5678999999999998</v>
      </c>
    </row>
    <row r="8362" spans="1:7">
      <c r="A8362" t="s">
        <v>1297</v>
      </c>
      <c r="B8362" t="s">
        <v>1298</v>
      </c>
      <c r="C8362" t="s">
        <v>686</v>
      </c>
      <c r="D8362" t="s">
        <v>1392</v>
      </c>
      <c r="E8362" t="s">
        <v>187</v>
      </c>
      <c r="F8362">
        <v>2010</v>
      </c>
      <c r="G8362">
        <v>12.9078</v>
      </c>
    </row>
    <row r="8363" spans="1:7">
      <c r="A8363" t="s">
        <v>1297</v>
      </c>
      <c r="B8363" t="s">
        <v>1298</v>
      </c>
      <c r="C8363" t="s">
        <v>686</v>
      </c>
      <c r="D8363" t="s">
        <v>1392</v>
      </c>
      <c r="E8363" t="s">
        <v>187</v>
      </c>
      <c r="F8363">
        <v>2012</v>
      </c>
      <c r="G8363">
        <v>17.785799999999998</v>
      </c>
    </row>
    <row r="8364" spans="1:7">
      <c r="A8364" t="s">
        <v>1297</v>
      </c>
      <c r="B8364" t="s">
        <v>1298</v>
      </c>
      <c r="C8364" t="s">
        <v>1299</v>
      </c>
      <c r="D8364" t="s">
        <v>1392</v>
      </c>
      <c r="E8364" t="s">
        <v>187</v>
      </c>
      <c r="F8364">
        <v>2005</v>
      </c>
      <c r="G8364">
        <v>654.71759999999995</v>
      </c>
    </row>
    <row r="8365" spans="1:7">
      <c r="A8365" t="s">
        <v>1297</v>
      </c>
      <c r="B8365" t="s">
        <v>1298</v>
      </c>
      <c r="C8365" t="s">
        <v>1299</v>
      </c>
      <c r="D8365" t="s">
        <v>1392</v>
      </c>
      <c r="E8365" t="s">
        <v>187</v>
      </c>
      <c r="F8365">
        <v>2010</v>
      </c>
      <c r="G8365">
        <v>646.27560000000005</v>
      </c>
    </row>
    <row r="8366" spans="1:7">
      <c r="A8366" t="s">
        <v>1297</v>
      </c>
      <c r="B8366" t="s">
        <v>1298</v>
      </c>
      <c r="C8366" t="s">
        <v>1299</v>
      </c>
      <c r="D8366" t="s">
        <v>1392</v>
      </c>
      <c r="E8366" t="s">
        <v>187</v>
      </c>
      <c r="F8366">
        <v>2012</v>
      </c>
      <c r="G8366">
        <v>645.31169999999997</v>
      </c>
    </row>
    <row r="8367" spans="1:7">
      <c r="A8367" t="s">
        <v>1297</v>
      </c>
      <c r="B8367" t="s">
        <v>1298</v>
      </c>
      <c r="C8367" t="s">
        <v>1299</v>
      </c>
      <c r="D8367" t="s">
        <v>1392</v>
      </c>
      <c r="E8367" t="s">
        <v>187</v>
      </c>
      <c r="F8367">
        <v>2016</v>
      </c>
      <c r="G8367">
        <v>635.19929999999999</v>
      </c>
    </row>
    <row r="8368" spans="1:7">
      <c r="A8368" t="s">
        <v>1297</v>
      </c>
      <c r="B8368" t="s">
        <v>1298</v>
      </c>
      <c r="C8368" t="s">
        <v>1299</v>
      </c>
      <c r="D8368" t="s">
        <v>1392</v>
      </c>
      <c r="E8368" t="s">
        <v>187</v>
      </c>
      <c r="F8368">
        <v>2020</v>
      </c>
      <c r="G8368">
        <v>680.81261400000005</v>
      </c>
    </row>
    <row r="8369" spans="1:7">
      <c r="A8369" t="s">
        <v>1297</v>
      </c>
      <c r="B8369" t="s">
        <v>1298</v>
      </c>
      <c r="C8369" t="s">
        <v>676</v>
      </c>
      <c r="D8369" t="s">
        <v>1392</v>
      </c>
      <c r="E8369" t="s">
        <v>187</v>
      </c>
      <c r="F8369">
        <v>2005</v>
      </c>
      <c r="G8369">
        <v>5.2884000000000002</v>
      </c>
    </row>
    <row r="8370" spans="1:7">
      <c r="A8370" t="s">
        <v>1297</v>
      </c>
      <c r="B8370" t="s">
        <v>1298</v>
      </c>
      <c r="C8370" t="s">
        <v>676</v>
      </c>
      <c r="D8370" t="s">
        <v>1392</v>
      </c>
      <c r="E8370" t="s">
        <v>187</v>
      </c>
      <c r="F8370">
        <v>2010</v>
      </c>
      <c r="G8370">
        <v>3.6972</v>
      </c>
    </row>
    <row r="8371" spans="1:7">
      <c r="A8371" t="s">
        <v>1297</v>
      </c>
      <c r="B8371" t="s">
        <v>1298</v>
      </c>
      <c r="C8371" t="s">
        <v>676</v>
      </c>
      <c r="D8371" t="s">
        <v>1392</v>
      </c>
      <c r="E8371" t="s">
        <v>187</v>
      </c>
      <c r="F8371">
        <v>2012</v>
      </c>
      <c r="G8371">
        <v>5.3253000000000004</v>
      </c>
    </row>
    <row r="8372" spans="1:7">
      <c r="A8372" t="s">
        <v>1297</v>
      </c>
      <c r="B8372" t="s">
        <v>1298</v>
      </c>
      <c r="C8372" t="s">
        <v>676</v>
      </c>
      <c r="D8372" t="s">
        <v>1392</v>
      </c>
      <c r="E8372" t="s">
        <v>187</v>
      </c>
      <c r="F8372">
        <v>2016</v>
      </c>
      <c r="G8372">
        <v>3.2058</v>
      </c>
    </row>
    <row r="8373" spans="1:7">
      <c r="A8373" t="s">
        <v>1297</v>
      </c>
      <c r="B8373" t="s">
        <v>1298</v>
      </c>
      <c r="C8373" t="s">
        <v>676</v>
      </c>
      <c r="D8373" t="s">
        <v>1392</v>
      </c>
      <c r="E8373" t="s">
        <v>187</v>
      </c>
      <c r="F8373">
        <v>2020</v>
      </c>
      <c r="G8373">
        <v>4.3154880000000002</v>
      </c>
    </row>
    <row r="8374" spans="1:7">
      <c r="A8374" t="s">
        <v>1297</v>
      </c>
      <c r="B8374" t="s">
        <v>1298</v>
      </c>
      <c r="C8374" t="s">
        <v>679</v>
      </c>
      <c r="D8374" t="s">
        <v>1392</v>
      </c>
      <c r="E8374" t="s">
        <v>187</v>
      </c>
      <c r="F8374">
        <v>2005</v>
      </c>
      <c r="G8374">
        <v>3141.8374199999998</v>
      </c>
    </row>
    <row r="8375" spans="1:7">
      <c r="A8375" t="s">
        <v>1297</v>
      </c>
      <c r="B8375" t="s">
        <v>1298</v>
      </c>
      <c r="C8375" t="s">
        <v>679</v>
      </c>
      <c r="D8375" t="s">
        <v>1392</v>
      </c>
      <c r="E8375" t="s">
        <v>187</v>
      </c>
      <c r="F8375">
        <v>2010</v>
      </c>
      <c r="G8375">
        <v>3965.7923999999998</v>
      </c>
    </row>
    <row r="8376" spans="1:7">
      <c r="A8376" t="s">
        <v>1297</v>
      </c>
      <c r="B8376" t="s">
        <v>1298</v>
      </c>
      <c r="C8376" t="s">
        <v>679</v>
      </c>
      <c r="D8376" t="s">
        <v>1392</v>
      </c>
      <c r="E8376" t="s">
        <v>187</v>
      </c>
      <c r="F8376">
        <v>2012</v>
      </c>
      <c r="G8376">
        <v>4247.581682</v>
      </c>
    </row>
    <row r="8377" spans="1:7">
      <c r="A8377" t="s">
        <v>1297</v>
      </c>
      <c r="B8377" t="s">
        <v>1298</v>
      </c>
      <c r="C8377" t="s">
        <v>679</v>
      </c>
      <c r="D8377" t="s">
        <v>1392</v>
      </c>
      <c r="E8377" t="s">
        <v>187</v>
      </c>
      <c r="F8377">
        <v>2016</v>
      </c>
      <c r="G8377">
        <v>4284.5952610000004</v>
      </c>
    </row>
    <row r="8378" spans="1:7">
      <c r="A8378" t="s">
        <v>1297</v>
      </c>
      <c r="B8378" t="s">
        <v>1298</v>
      </c>
      <c r="C8378" t="s">
        <v>679</v>
      </c>
      <c r="D8378" t="s">
        <v>1392</v>
      </c>
      <c r="E8378" t="s">
        <v>187</v>
      </c>
      <c r="F8378">
        <v>2020</v>
      </c>
      <c r="G8378">
        <v>4223.0572119999997</v>
      </c>
    </row>
    <row r="8379" spans="1:7">
      <c r="A8379" t="s">
        <v>1297</v>
      </c>
      <c r="B8379" t="s">
        <v>1298</v>
      </c>
      <c r="C8379" t="s">
        <v>652</v>
      </c>
      <c r="D8379" t="s">
        <v>1392</v>
      </c>
      <c r="E8379" t="s">
        <v>187</v>
      </c>
      <c r="F8379">
        <v>2020</v>
      </c>
      <c r="G8379">
        <v>0.12222</v>
      </c>
    </row>
    <row r="8380" spans="1:7">
      <c r="A8380" t="s">
        <v>1297</v>
      </c>
      <c r="B8380" t="s">
        <v>1298</v>
      </c>
      <c r="C8380" t="s">
        <v>289</v>
      </c>
      <c r="D8380" t="s">
        <v>1392</v>
      </c>
      <c r="E8380" t="s">
        <v>187</v>
      </c>
      <c r="F8380">
        <v>2005</v>
      </c>
      <c r="G8380">
        <v>78.092100000000002</v>
      </c>
    </row>
    <row r="8381" spans="1:7">
      <c r="A8381" t="s">
        <v>1297</v>
      </c>
      <c r="B8381" t="s">
        <v>1298</v>
      </c>
      <c r="C8381" t="s">
        <v>289</v>
      </c>
      <c r="D8381" t="s">
        <v>1392</v>
      </c>
      <c r="E8381" t="s">
        <v>187</v>
      </c>
      <c r="F8381">
        <v>2010</v>
      </c>
      <c r="G8381">
        <v>92.725200000000001</v>
      </c>
    </row>
    <row r="8382" spans="1:7">
      <c r="A8382" t="s">
        <v>1297</v>
      </c>
      <c r="B8382" t="s">
        <v>1298</v>
      </c>
      <c r="C8382" t="s">
        <v>289</v>
      </c>
      <c r="D8382" t="s">
        <v>1392</v>
      </c>
      <c r="E8382" t="s">
        <v>187</v>
      </c>
      <c r="F8382">
        <v>2012</v>
      </c>
      <c r="G8382">
        <v>68.444999999999993</v>
      </c>
    </row>
    <row r="8383" spans="1:7">
      <c r="A8383" t="s">
        <v>1297</v>
      </c>
      <c r="B8383" t="s">
        <v>1298</v>
      </c>
      <c r="C8383" t="s">
        <v>289</v>
      </c>
      <c r="D8383" t="s">
        <v>1392</v>
      </c>
      <c r="E8383" t="s">
        <v>187</v>
      </c>
      <c r="F8383">
        <v>2016</v>
      </c>
      <c r="G8383">
        <v>57.322800000000001</v>
      </c>
    </row>
    <row r="8384" spans="1:7">
      <c r="A8384" t="s">
        <v>1297</v>
      </c>
      <c r="B8384" t="s">
        <v>1298</v>
      </c>
      <c r="C8384" t="s">
        <v>289</v>
      </c>
      <c r="D8384" t="s">
        <v>1392</v>
      </c>
      <c r="E8384" t="s">
        <v>187</v>
      </c>
      <c r="F8384">
        <v>2020</v>
      </c>
      <c r="G8384">
        <v>35.641095999999997</v>
      </c>
    </row>
    <row r="8385" spans="1:7">
      <c r="A8385" t="s">
        <v>1297</v>
      </c>
      <c r="B8385" t="s">
        <v>1298</v>
      </c>
      <c r="C8385" t="s">
        <v>673</v>
      </c>
      <c r="D8385" t="s">
        <v>1392</v>
      </c>
      <c r="E8385" t="s">
        <v>187</v>
      </c>
      <c r="F8385">
        <v>2005</v>
      </c>
      <c r="G8385">
        <v>406.17450000000002</v>
      </c>
    </row>
    <row r="8386" spans="1:7">
      <c r="A8386" t="s">
        <v>1297</v>
      </c>
      <c r="B8386" t="s">
        <v>1298</v>
      </c>
      <c r="C8386" t="s">
        <v>673</v>
      </c>
      <c r="D8386" t="s">
        <v>1392</v>
      </c>
      <c r="E8386" t="s">
        <v>187</v>
      </c>
      <c r="F8386">
        <v>2010</v>
      </c>
      <c r="G8386">
        <v>360.8442</v>
      </c>
    </row>
    <row r="8387" spans="1:7">
      <c r="A8387" t="s">
        <v>1297</v>
      </c>
      <c r="B8387" t="s">
        <v>1298</v>
      </c>
      <c r="C8387" t="s">
        <v>673</v>
      </c>
      <c r="D8387" t="s">
        <v>1392</v>
      </c>
      <c r="E8387" t="s">
        <v>187</v>
      </c>
      <c r="F8387">
        <v>2012</v>
      </c>
      <c r="G8387">
        <v>363.52710000000002</v>
      </c>
    </row>
    <row r="8388" spans="1:7">
      <c r="A8388" t="s">
        <v>1297</v>
      </c>
      <c r="B8388" t="s">
        <v>1298</v>
      </c>
      <c r="C8388" t="s">
        <v>673</v>
      </c>
      <c r="D8388" t="s">
        <v>1392</v>
      </c>
      <c r="E8388" t="s">
        <v>187</v>
      </c>
      <c r="F8388">
        <v>2016</v>
      </c>
      <c r="G8388">
        <v>325.8999</v>
      </c>
    </row>
    <row r="8389" spans="1:7">
      <c r="A8389" t="s">
        <v>1297</v>
      </c>
      <c r="B8389" t="s">
        <v>1298</v>
      </c>
      <c r="C8389" t="s">
        <v>673</v>
      </c>
      <c r="D8389" t="s">
        <v>1392</v>
      </c>
      <c r="E8389" t="s">
        <v>187</v>
      </c>
      <c r="F8389">
        <v>2020</v>
      </c>
      <c r="G8389">
        <v>346.41311899999999</v>
      </c>
    </row>
    <row r="8390" spans="1:7">
      <c r="A8390" t="s">
        <v>1297</v>
      </c>
      <c r="B8390" t="s">
        <v>1298</v>
      </c>
      <c r="C8390" t="s">
        <v>653</v>
      </c>
      <c r="D8390" t="s">
        <v>1392</v>
      </c>
      <c r="E8390" t="s">
        <v>187</v>
      </c>
      <c r="F8390">
        <v>2005</v>
      </c>
      <c r="G8390">
        <v>16.095600000000001</v>
      </c>
    </row>
    <row r="8391" spans="1:7">
      <c r="A8391" t="s">
        <v>1297</v>
      </c>
      <c r="B8391" t="s">
        <v>1298</v>
      </c>
      <c r="C8391" t="s">
        <v>653</v>
      </c>
      <c r="D8391" t="s">
        <v>1392</v>
      </c>
      <c r="E8391" t="s">
        <v>187</v>
      </c>
      <c r="F8391">
        <v>2010</v>
      </c>
      <c r="G8391">
        <v>2.4740850000000001</v>
      </c>
    </row>
    <row r="8392" spans="1:7">
      <c r="A8392" t="s">
        <v>1297</v>
      </c>
      <c r="B8392" t="s">
        <v>1298</v>
      </c>
      <c r="C8392" t="s">
        <v>653</v>
      </c>
      <c r="D8392" t="s">
        <v>1392</v>
      </c>
      <c r="E8392" t="s">
        <v>187</v>
      </c>
      <c r="F8392">
        <v>2012</v>
      </c>
      <c r="G8392">
        <v>12.907052999999999</v>
      </c>
    </row>
    <row r="8393" spans="1:7">
      <c r="A8393" t="s">
        <v>1297</v>
      </c>
      <c r="B8393" t="s">
        <v>1298</v>
      </c>
      <c r="C8393" t="s">
        <v>653</v>
      </c>
      <c r="D8393" t="s">
        <v>1392</v>
      </c>
      <c r="E8393" t="s">
        <v>187</v>
      </c>
      <c r="F8393">
        <v>2016</v>
      </c>
      <c r="G8393">
        <v>3.2094369999999999</v>
      </c>
    </row>
    <row r="8394" spans="1:7">
      <c r="A8394" t="s">
        <v>1297</v>
      </c>
      <c r="B8394" t="s">
        <v>1298</v>
      </c>
      <c r="C8394" t="s">
        <v>653</v>
      </c>
      <c r="D8394" t="s">
        <v>1392</v>
      </c>
      <c r="E8394" t="s">
        <v>187</v>
      </c>
      <c r="F8394">
        <v>2020</v>
      </c>
      <c r="G8394">
        <v>1.355818</v>
      </c>
    </row>
    <row r="8395" spans="1:7">
      <c r="A8395" t="s">
        <v>1297</v>
      </c>
      <c r="B8395" t="s">
        <v>1298</v>
      </c>
      <c r="C8395" t="s">
        <v>651</v>
      </c>
      <c r="D8395" t="s">
        <v>1392</v>
      </c>
      <c r="E8395" t="s">
        <v>187</v>
      </c>
      <c r="F8395">
        <v>2005</v>
      </c>
      <c r="G8395">
        <v>55.719954999999999</v>
      </c>
    </row>
    <row r="8396" spans="1:7">
      <c r="A8396" t="s">
        <v>1297</v>
      </c>
      <c r="B8396" t="s">
        <v>1298</v>
      </c>
      <c r="C8396" t="s">
        <v>651</v>
      </c>
      <c r="D8396" t="s">
        <v>1392</v>
      </c>
      <c r="E8396" t="s">
        <v>187</v>
      </c>
      <c r="F8396">
        <v>2010</v>
      </c>
      <c r="G8396">
        <v>58.494585000000001</v>
      </c>
    </row>
    <row r="8397" spans="1:7">
      <c r="A8397" t="s">
        <v>1297</v>
      </c>
      <c r="B8397" t="s">
        <v>1298</v>
      </c>
      <c r="C8397" t="s">
        <v>651</v>
      </c>
      <c r="D8397" t="s">
        <v>1392</v>
      </c>
      <c r="E8397" t="s">
        <v>187</v>
      </c>
      <c r="F8397">
        <v>2012</v>
      </c>
      <c r="G8397">
        <v>61.945861999999998</v>
      </c>
    </row>
    <row r="8398" spans="1:7">
      <c r="A8398" t="s">
        <v>1297</v>
      </c>
      <c r="B8398" t="s">
        <v>1298</v>
      </c>
      <c r="C8398" t="s">
        <v>651</v>
      </c>
      <c r="D8398" t="s">
        <v>1392</v>
      </c>
      <c r="E8398" t="s">
        <v>187</v>
      </c>
      <c r="F8398">
        <v>2016</v>
      </c>
      <c r="G8398">
        <v>40.799686999999999</v>
      </c>
    </row>
    <row r="8399" spans="1:7">
      <c r="A8399" t="s">
        <v>1297</v>
      </c>
      <c r="B8399" t="s">
        <v>1298</v>
      </c>
      <c r="C8399" t="s">
        <v>651</v>
      </c>
      <c r="D8399" t="s">
        <v>1392</v>
      </c>
      <c r="E8399" t="s">
        <v>187</v>
      </c>
      <c r="F8399">
        <v>2020</v>
      </c>
      <c r="G8399">
        <v>32.236843</v>
      </c>
    </row>
    <row r="8400" spans="1:7">
      <c r="A8400" t="s">
        <v>1297</v>
      </c>
      <c r="B8400" t="s">
        <v>1298</v>
      </c>
      <c r="C8400" t="s">
        <v>671</v>
      </c>
      <c r="D8400" t="s">
        <v>1392</v>
      </c>
      <c r="E8400" t="s">
        <v>187</v>
      </c>
      <c r="F8400">
        <v>2005</v>
      </c>
      <c r="G8400">
        <v>162.63</v>
      </c>
    </row>
    <row r="8401" spans="1:7">
      <c r="A8401" t="s">
        <v>1297</v>
      </c>
      <c r="B8401" t="s">
        <v>1298</v>
      </c>
      <c r="C8401" t="s">
        <v>671</v>
      </c>
      <c r="D8401" t="s">
        <v>1392</v>
      </c>
      <c r="E8401" t="s">
        <v>187</v>
      </c>
      <c r="F8401">
        <v>2010</v>
      </c>
      <c r="G8401">
        <v>154.6173</v>
      </c>
    </row>
    <row r="8402" spans="1:7">
      <c r="A8402" t="s">
        <v>1297</v>
      </c>
      <c r="B8402" t="s">
        <v>1298</v>
      </c>
      <c r="C8402" t="s">
        <v>671</v>
      </c>
      <c r="D8402" t="s">
        <v>1392</v>
      </c>
      <c r="E8402" t="s">
        <v>187</v>
      </c>
      <c r="F8402">
        <v>2012</v>
      </c>
      <c r="G8402">
        <v>163.56960000000001</v>
      </c>
    </row>
    <row r="8403" spans="1:7">
      <c r="A8403" t="s">
        <v>1297</v>
      </c>
      <c r="B8403" t="s">
        <v>1298</v>
      </c>
      <c r="C8403" t="s">
        <v>671</v>
      </c>
      <c r="D8403" t="s">
        <v>1392</v>
      </c>
      <c r="E8403" t="s">
        <v>187</v>
      </c>
      <c r="F8403">
        <v>2016</v>
      </c>
      <c r="G8403">
        <v>148.7448</v>
      </c>
    </row>
    <row r="8404" spans="1:7">
      <c r="A8404" t="s">
        <v>1297</v>
      </c>
      <c r="B8404" t="s">
        <v>1298</v>
      </c>
      <c r="C8404" t="s">
        <v>671</v>
      </c>
      <c r="D8404" t="s">
        <v>1392</v>
      </c>
      <c r="E8404" t="s">
        <v>187</v>
      </c>
      <c r="F8404">
        <v>2020</v>
      </c>
      <c r="G8404">
        <v>143.46724399999999</v>
      </c>
    </row>
    <row r="8405" spans="1:7">
      <c r="A8405" t="s">
        <v>1297</v>
      </c>
      <c r="B8405" t="s">
        <v>1298</v>
      </c>
      <c r="C8405" t="s">
        <v>665</v>
      </c>
      <c r="D8405" t="s">
        <v>1392</v>
      </c>
      <c r="E8405" t="s">
        <v>187</v>
      </c>
      <c r="F8405">
        <v>2005</v>
      </c>
      <c r="G8405">
        <v>413.91449999999998</v>
      </c>
    </row>
    <row r="8406" spans="1:7">
      <c r="A8406" t="s">
        <v>1297</v>
      </c>
      <c r="B8406" t="s">
        <v>1298</v>
      </c>
      <c r="C8406" t="s">
        <v>665</v>
      </c>
      <c r="D8406" t="s">
        <v>1392</v>
      </c>
      <c r="E8406" t="s">
        <v>187</v>
      </c>
      <c r="F8406">
        <v>2010</v>
      </c>
      <c r="G8406">
        <v>288.24119999999999</v>
      </c>
    </row>
    <row r="8407" spans="1:7">
      <c r="A8407" t="s">
        <v>1297</v>
      </c>
      <c r="B8407" t="s">
        <v>1298</v>
      </c>
      <c r="C8407" t="s">
        <v>665</v>
      </c>
      <c r="D8407" t="s">
        <v>1392</v>
      </c>
      <c r="E8407" t="s">
        <v>187</v>
      </c>
      <c r="F8407">
        <v>2012</v>
      </c>
      <c r="G8407">
        <v>295.0659</v>
      </c>
    </row>
    <row r="8408" spans="1:7">
      <c r="A8408" t="s">
        <v>1297</v>
      </c>
      <c r="B8408" t="s">
        <v>1298</v>
      </c>
      <c r="C8408" t="s">
        <v>665</v>
      </c>
      <c r="D8408" t="s">
        <v>1392</v>
      </c>
      <c r="E8408" t="s">
        <v>187</v>
      </c>
      <c r="F8408">
        <v>2016</v>
      </c>
      <c r="G8408">
        <v>198.3681</v>
      </c>
    </row>
    <row r="8409" spans="1:7">
      <c r="A8409" t="s">
        <v>1297</v>
      </c>
      <c r="B8409" t="s">
        <v>1298</v>
      </c>
      <c r="C8409" t="s">
        <v>686</v>
      </c>
      <c r="D8409" t="s">
        <v>1392</v>
      </c>
      <c r="E8409" t="s">
        <v>187</v>
      </c>
      <c r="F8409">
        <v>2016</v>
      </c>
      <c r="G8409">
        <v>17.442900000000002</v>
      </c>
    </row>
    <row r="8410" spans="1:7">
      <c r="A8410" t="s">
        <v>1297</v>
      </c>
      <c r="B8410" t="s">
        <v>1298</v>
      </c>
      <c r="C8410" t="s">
        <v>686</v>
      </c>
      <c r="D8410" t="s">
        <v>1392</v>
      </c>
      <c r="E8410" t="s">
        <v>187</v>
      </c>
      <c r="F8410">
        <v>2020</v>
      </c>
      <c r="G8410">
        <v>14.622547000000001</v>
      </c>
    </row>
    <row r="8411" spans="1:7">
      <c r="A8411" t="s">
        <v>1297</v>
      </c>
      <c r="B8411" t="s">
        <v>1298</v>
      </c>
      <c r="C8411" t="s">
        <v>1300</v>
      </c>
      <c r="D8411" t="s">
        <v>1392</v>
      </c>
      <c r="E8411" t="s">
        <v>187</v>
      </c>
      <c r="F8411">
        <v>2010</v>
      </c>
      <c r="G8411">
        <v>2.7000000000000001E-3</v>
      </c>
    </row>
    <row r="8412" spans="1:7">
      <c r="A8412" t="s">
        <v>1297</v>
      </c>
      <c r="B8412" t="s">
        <v>1298</v>
      </c>
      <c r="C8412" t="s">
        <v>1300</v>
      </c>
      <c r="D8412" t="s">
        <v>1392</v>
      </c>
      <c r="E8412" t="s">
        <v>187</v>
      </c>
      <c r="F8412">
        <v>2012</v>
      </c>
      <c r="G8412">
        <v>3.5999999999999999E-3</v>
      </c>
    </row>
    <row r="8413" spans="1:7">
      <c r="A8413" t="s">
        <v>1297</v>
      </c>
      <c r="B8413" t="s">
        <v>1298</v>
      </c>
      <c r="C8413" t="s">
        <v>1300</v>
      </c>
      <c r="D8413" t="s">
        <v>1392</v>
      </c>
      <c r="E8413" t="s">
        <v>187</v>
      </c>
      <c r="F8413">
        <v>2016</v>
      </c>
      <c r="G8413">
        <v>3.5999999999999999E-3</v>
      </c>
    </row>
    <row r="8414" spans="1:7">
      <c r="A8414" t="s">
        <v>1297</v>
      </c>
      <c r="B8414" t="s">
        <v>1298</v>
      </c>
      <c r="C8414" t="s">
        <v>1300</v>
      </c>
      <c r="D8414" t="s">
        <v>1392</v>
      </c>
      <c r="E8414" t="s">
        <v>187</v>
      </c>
      <c r="F8414">
        <v>2020</v>
      </c>
      <c r="G8414">
        <v>2.4299999999999999E-3</v>
      </c>
    </row>
    <row r="8415" spans="1:7">
      <c r="A8415" t="s">
        <v>1297</v>
      </c>
      <c r="B8415" t="s">
        <v>1298</v>
      </c>
      <c r="C8415" t="s">
        <v>677</v>
      </c>
      <c r="D8415" t="s">
        <v>1392</v>
      </c>
      <c r="E8415" t="s">
        <v>187</v>
      </c>
      <c r="F8415">
        <v>2005</v>
      </c>
      <c r="G8415">
        <v>3324.2076000000002</v>
      </c>
    </row>
    <row r="8416" spans="1:7">
      <c r="A8416" t="s">
        <v>1297</v>
      </c>
      <c r="B8416" t="s">
        <v>1298</v>
      </c>
      <c r="C8416" t="s">
        <v>677</v>
      </c>
      <c r="D8416" t="s">
        <v>1392</v>
      </c>
      <c r="E8416" t="s">
        <v>187</v>
      </c>
      <c r="F8416">
        <v>2010</v>
      </c>
      <c r="G8416">
        <v>2084.4333000000001</v>
      </c>
    </row>
    <row r="8417" spans="1:7">
      <c r="A8417" t="s">
        <v>1297</v>
      </c>
      <c r="B8417" t="s">
        <v>1298</v>
      </c>
      <c r="C8417" t="s">
        <v>677</v>
      </c>
      <c r="D8417" t="s">
        <v>1392</v>
      </c>
      <c r="E8417" t="s">
        <v>187</v>
      </c>
      <c r="F8417">
        <v>2012</v>
      </c>
      <c r="G8417">
        <v>1410.9255000000001</v>
      </c>
    </row>
    <row r="8418" spans="1:7">
      <c r="A8418" t="s">
        <v>1297</v>
      </c>
      <c r="B8418" t="s">
        <v>1298</v>
      </c>
      <c r="C8418" t="s">
        <v>677</v>
      </c>
      <c r="D8418" t="s">
        <v>1392</v>
      </c>
      <c r="E8418" t="s">
        <v>187</v>
      </c>
      <c r="F8418">
        <v>2016</v>
      </c>
      <c r="G8418">
        <v>1502.6586139999999</v>
      </c>
    </row>
    <row r="8419" spans="1:7">
      <c r="A8419" t="s">
        <v>1297</v>
      </c>
      <c r="B8419" t="s">
        <v>1298</v>
      </c>
      <c r="C8419" t="s">
        <v>677</v>
      </c>
      <c r="D8419" t="s">
        <v>1392</v>
      </c>
      <c r="E8419" t="s">
        <v>187</v>
      </c>
      <c r="F8419">
        <v>2020</v>
      </c>
      <c r="G8419">
        <v>1422.362067</v>
      </c>
    </row>
    <row r="8420" spans="1:7">
      <c r="A8420" t="s">
        <v>1297</v>
      </c>
      <c r="B8420" t="s">
        <v>1298</v>
      </c>
      <c r="C8420" t="s">
        <v>661</v>
      </c>
      <c r="D8420" t="s">
        <v>1392</v>
      </c>
      <c r="E8420" t="s">
        <v>187</v>
      </c>
      <c r="F8420">
        <v>2005</v>
      </c>
      <c r="G8420">
        <v>38.047960000000003</v>
      </c>
    </row>
    <row r="8421" spans="1:7">
      <c r="A8421" t="s">
        <v>1297</v>
      </c>
      <c r="B8421" t="s">
        <v>1298</v>
      </c>
      <c r="C8421" t="s">
        <v>661</v>
      </c>
      <c r="D8421" t="s">
        <v>1392</v>
      </c>
      <c r="E8421" t="s">
        <v>187</v>
      </c>
      <c r="F8421">
        <v>2010</v>
      </c>
      <c r="G8421">
        <v>27.039366999999999</v>
      </c>
    </row>
    <row r="8422" spans="1:7">
      <c r="A8422" t="s">
        <v>1297</v>
      </c>
      <c r="B8422" t="s">
        <v>1298</v>
      </c>
      <c r="C8422" t="s">
        <v>661</v>
      </c>
      <c r="D8422" t="s">
        <v>1392</v>
      </c>
      <c r="E8422" t="s">
        <v>187</v>
      </c>
      <c r="F8422">
        <v>2012</v>
      </c>
      <c r="G8422">
        <v>18.918683999999999</v>
      </c>
    </row>
    <row r="8423" spans="1:7">
      <c r="A8423" t="s">
        <v>1297</v>
      </c>
      <c r="B8423" t="s">
        <v>1298</v>
      </c>
      <c r="C8423" t="s">
        <v>661</v>
      </c>
      <c r="D8423" t="s">
        <v>1392</v>
      </c>
      <c r="E8423" t="s">
        <v>187</v>
      </c>
      <c r="F8423">
        <v>2016</v>
      </c>
      <c r="G8423">
        <v>0.75322900000000004</v>
      </c>
    </row>
    <row r="8424" spans="1:7">
      <c r="A8424" t="s">
        <v>1297</v>
      </c>
      <c r="B8424" t="s">
        <v>1298</v>
      </c>
      <c r="C8424" t="s">
        <v>661</v>
      </c>
      <c r="D8424" t="s">
        <v>1392</v>
      </c>
      <c r="E8424" t="s">
        <v>187</v>
      </c>
      <c r="F8424">
        <v>2020</v>
      </c>
      <c r="G8424">
        <v>0.60079800000000005</v>
      </c>
    </row>
    <row r="8425" spans="1:7">
      <c r="A8425" t="s">
        <v>1297</v>
      </c>
      <c r="B8425" t="s">
        <v>1298</v>
      </c>
      <c r="C8425" t="s">
        <v>655</v>
      </c>
      <c r="D8425" t="s">
        <v>1392</v>
      </c>
      <c r="E8425" t="s">
        <v>187</v>
      </c>
      <c r="F8425">
        <v>2005</v>
      </c>
      <c r="G8425">
        <v>6.4530000000000003</v>
      </c>
    </row>
    <row r="8426" spans="1:7">
      <c r="A8426" t="s">
        <v>1297</v>
      </c>
      <c r="B8426" t="s">
        <v>1298</v>
      </c>
      <c r="C8426" t="s">
        <v>655</v>
      </c>
      <c r="D8426" t="s">
        <v>1392</v>
      </c>
      <c r="E8426" t="s">
        <v>187</v>
      </c>
      <c r="F8426">
        <v>2010</v>
      </c>
      <c r="G8426">
        <v>8.4437999999999995</v>
      </c>
    </row>
    <row r="8427" spans="1:7">
      <c r="A8427" t="s">
        <v>1297</v>
      </c>
      <c r="B8427" t="s">
        <v>1298</v>
      </c>
      <c r="C8427" t="s">
        <v>655</v>
      </c>
      <c r="D8427" t="s">
        <v>1392</v>
      </c>
      <c r="E8427" t="s">
        <v>187</v>
      </c>
      <c r="F8427">
        <v>2012</v>
      </c>
      <c r="G8427">
        <v>8.9558999999999997</v>
      </c>
    </row>
    <row r="8428" spans="1:7">
      <c r="A8428" t="s">
        <v>1297</v>
      </c>
      <c r="B8428" t="s">
        <v>1298</v>
      </c>
      <c r="C8428" t="s">
        <v>655</v>
      </c>
      <c r="D8428" t="s">
        <v>1392</v>
      </c>
      <c r="E8428" t="s">
        <v>187</v>
      </c>
      <c r="F8428">
        <v>2016</v>
      </c>
      <c r="G8428">
        <v>7.5455779999999999</v>
      </c>
    </row>
    <row r="8429" spans="1:7">
      <c r="A8429" t="s">
        <v>1297</v>
      </c>
      <c r="B8429" t="s">
        <v>1298</v>
      </c>
      <c r="C8429" t="s">
        <v>655</v>
      </c>
      <c r="D8429" t="s">
        <v>1392</v>
      </c>
      <c r="E8429" t="s">
        <v>187</v>
      </c>
      <c r="F8429">
        <v>2020</v>
      </c>
      <c r="G8429">
        <v>7.2238179999999996</v>
      </c>
    </row>
    <row r="8430" spans="1:7">
      <c r="A8430" t="s">
        <v>1297</v>
      </c>
      <c r="B8430" t="s">
        <v>1298</v>
      </c>
      <c r="C8430" t="s">
        <v>671</v>
      </c>
      <c r="D8430" t="s">
        <v>1393</v>
      </c>
      <c r="E8430" t="s">
        <v>187</v>
      </c>
      <c r="F8430">
        <v>2005</v>
      </c>
      <c r="G8430">
        <v>65.656800000000004</v>
      </c>
    </row>
    <row r="8431" spans="1:7">
      <c r="A8431" t="s">
        <v>1297</v>
      </c>
      <c r="B8431" t="s">
        <v>1298</v>
      </c>
      <c r="C8431" t="s">
        <v>671</v>
      </c>
      <c r="D8431" t="s">
        <v>1393</v>
      </c>
      <c r="E8431" t="s">
        <v>187</v>
      </c>
      <c r="F8431">
        <v>2010</v>
      </c>
      <c r="G8431">
        <v>65.188800000000001</v>
      </c>
    </row>
    <row r="8432" spans="1:7">
      <c r="A8432" t="s">
        <v>1297</v>
      </c>
      <c r="B8432" t="s">
        <v>1298</v>
      </c>
      <c r="C8432" t="s">
        <v>671</v>
      </c>
      <c r="D8432" t="s">
        <v>1393</v>
      </c>
      <c r="E8432" t="s">
        <v>187</v>
      </c>
      <c r="F8432">
        <v>2012</v>
      </c>
      <c r="G8432">
        <v>79.005600000000001</v>
      </c>
    </row>
    <row r="8433" spans="1:7">
      <c r="A8433" t="s">
        <v>1297</v>
      </c>
      <c r="B8433" t="s">
        <v>1298</v>
      </c>
      <c r="C8433" t="s">
        <v>671</v>
      </c>
      <c r="D8433" t="s">
        <v>1393</v>
      </c>
      <c r="E8433" t="s">
        <v>187</v>
      </c>
      <c r="F8433">
        <v>2016</v>
      </c>
      <c r="G8433">
        <v>95.663700000000006</v>
      </c>
    </row>
    <row r="8434" spans="1:7">
      <c r="A8434" t="s">
        <v>1297</v>
      </c>
      <c r="B8434" t="s">
        <v>1298</v>
      </c>
      <c r="C8434" t="s">
        <v>671</v>
      </c>
      <c r="D8434" t="s">
        <v>1393</v>
      </c>
      <c r="E8434" t="s">
        <v>187</v>
      </c>
      <c r="F8434">
        <v>2020</v>
      </c>
      <c r="G8434">
        <v>139.17917800000001</v>
      </c>
    </row>
    <row r="8435" spans="1:7">
      <c r="A8435" t="s">
        <v>1297</v>
      </c>
      <c r="B8435" t="s">
        <v>1298</v>
      </c>
      <c r="C8435" t="s">
        <v>667</v>
      </c>
      <c r="D8435" t="s">
        <v>1393</v>
      </c>
      <c r="E8435" t="s">
        <v>187</v>
      </c>
      <c r="F8435">
        <v>2005</v>
      </c>
      <c r="G8435">
        <v>22.843931000000001</v>
      </c>
    </row>
    <row r="8436" spans="1:7">
      <c r="A8436" t="s">
        <v>1297</v>
      </c>
      <c r="B8436" t="s">
        <v>1298</v>
      </c>
      <c r="C8436" t="s">
        <v>667</v>
      </c>
      <c r="D8436" t="s">
        <v>1393</v>
      </c>
      <c r="E8436" t="s">
        <v>187</v>
      </c>
      <c r="F8436">
        <v>2010</v>
      </c>
      <c r="G8436">
        <v>21.827905000000001</v>
      </c>
    </row>
    <row r="8437" spans="1:7">
      <c r="A8437" t="s">
        <v>1297</v>
      </c>
      <c r="B8437" t="s">
        <v>1298</v>
      </c>
      <c r="C8437" t="s">
        <v>667</v>
      </c>
      <c r="D8437" t="s">
        <v>1393</v>
      </c>
      <c r="E8437" t="s">
        <v>187</v>
      </c>
      <c r="F8437">
        <v>2012</v>
      </c>
      <c r="G8437">
        <v>18.569600999999999</v>
      </c>
    </row>
    <row r="8438" spans="1:7">
      <c r="A8438" t="s">
        <v>1297</v>
      </c>
      <c r="B8438" t="s">
        <v>1298</v>
      </c>
      <c r="C8438" t="s">
        <v>651</v>
      </c>
      <c r="D8438" t="s">
        <v>1393</v>
      </c>
      <c r="E8438" t="s">
        <v>187</v>
      </c>
      <c r="F8438">
        <v>2005</v>
      </c>
      <c r="G8438">
        <v>115.173751</v>
      </c>
    </row>
    <row r="8439" spans="1:7">
      <c r="A8439" t="s">
        <v>1297</v>
      </c>
      <c r="B8439" t="s">
        <v>1298</v>
      </c>
      <c r="C8439" t="s">
        <v>651</v>
      </c>
      <c r="D8439" t="s">
        <v>1393</v>
      </c>
      <c r="E8439" t="s">
        <v>187</v>
      </c>
      <c r="F8439">
        <v>2010</v>
      </c>
      <c r="G8439">
        <v>113.70625</v>
      </c>
    </row>
    <row r="8440" spans="1:7">
      <c r="A8440" t="s">
        <v>1297</v>
      </c>
      <c r="B8440" t="s">
        <v>1298</v>
      </c>
      <c r="C8440" t="s">
        <v>651</v>
      </c>
      <c r="D8440" t="s">
        <v>1393</v>
      </c>
      <c r="E8440" t="s">
        <v>187</v>
      </c>
      <c r="F8440">
        <v>2012</v>
      </c>
      <c r="G8440">
        <v>89.111151000000007</v>
      </c>
    </row>
    <row r="8441" spans="1:7">
      <c r="A8441" t="s">
        <v>1297</v>
      </c>
      <c r="B8441" t="s">
        <v>1298</v>
      </c>
      <c r="C8441" t="s">
        <v>651</v>
      </c>
      <c r="D8441" t="s">
        <v>1393</v>
      </c>
      <c r="E8441" t="s">
        <v>187</v>
      </c>
      <c r="F8441">
        <v>2016</v>
      </c>
      <c r="G8441">
        <v>82.488184000000004</v>
      </c>
    </row>
    <row r="8442" spans="1:7">
      <c r="A8442" t="s">
        <v>1297</v>
      </c>
      <c r="B8442" t="s">
        <v>1298</v>
      </c>
      <c r="C8442" t="s">
        <v>651</v>
      </c>
      <c r="D8442" t="s">
        <v>1393</v>
      </c>
      <c r="E8442" t="s">
        <v>187</v>
      </c>
      <c r="F8442">
        <v>2020</v>
      </c>
      <c r="G8442">
        <v>98.201642000000007</v>
      </c>
    </row>
    <row r="8443" spans="1:7">
      <c r="A8443" t="s">
        <v>1297</v>
      </c>
      <c r="B8443" t="s">
        <v>1298</v>
      </c>
      <c r="C8443" t="s">
        <v>653</v>
      </c>
      <c r="D8443" t="s">
        <v>1393</v>
      </c>
      <c r="E8443" t="s">
        <v>187</v>
      </c>
      <c r="F8443">
        <v>2005</v>
      </c>
      <c r="G8443">
        <v>41.792400000000001</v>
      </c>
    </row>
    <row r="8444" spans="1:7">
      <c r="A8444" t="s">
        <v>1297</v>
      </c>
      <c r="B8444" t="s">
        <v>1298</v>
      </c>
      <c r="C8444" t="s">
        <v>653</v>
      </c>
      <c r="D8444" t="s">
        <v>1393</v>
      </c>
      <c r="E8444" t="s">
        <v>187</v>
      </c>
      <c r="F8444">
        <v>2010</v>
      </c>
      <c r="G8444">
        <v>41.522886</v>
      </c>
    </row>
    <row r="8445" spans="1:7">
      <c r="A8445" t="s">
        <v>1297</v>
      </c>
      <c r="B8445" t="s">
        <v>1298</v>
      </c>
      <c r="C8445" t="s">
        <v>653</v>
      </c>
      <c r="D8445" t="s">
        <v>1393</v>
      </c>
      <c r="E8445" t="s">
        <v>187</v>
      </c>
      <c r="F8445">
        <v>2012</v>
      </c>
      <c r="G8445">
        <v>42.774425000000001</v>
      </c>
    </row>
    <row r="8446" spans="1:7">
      <c r="A8446" t="s">
        <v>1297</v>
      </c>
      <c r="B8446" t="s">
        <v>1298</v>
      </c>
      <c r="C8446" t="s">
        <v>653</v>
      </c>
      <c r="D8446" t="s">
        <v>1393</v>
      </c>
      <c r="E8446" t="s">
        <v>187</v>
      </c>
      <c r="F8446">
        <v>2016</v>
      </c>
      <c r="G8446">
        <v>42.910978</v>
      </c>
    </row>
    <row r="8447" spans="1:7">
      <c r="A8447" t="s">
        <v>1297</v>
      </c>
      <c r="B8447" t="s">
        <v>1298</v>
      </c>
      <c r="C8447" t="s">
        <v>653</v>
      </c>
      <c r="D8447" t="s">
        <v>1393</v>
      </c>
      <c r="E8447" t="s">
        <v>187</v>
      </c>
      <c r="F8447">
        <v>2020</v>
      </c>
      <c r="G8447">
        <v>43.248922</v>
      </c>
    </row>
    <row r="8448" spans="1:7">
      <c r="A8448" t="s">
        <v>1297</v>
      </c>
      <c r="B8448" t="s">
        <v>1298</v>
      </c>
      <c r="C8448" t="s">
        <v>674</v>
      </c>
      <c r="D8448" t="s">
        <v>1393</v>
      </c>
      <c r="E8448" t="s">
        <v>187</v>
      </c>
      <c r="F8448">
        <v>2005</v>
      </c>
      <c r="G8448">
        <v>9.6597000000000008</v>
      </c>
    </row>
    <row r="8449" spans="1:7">
      <c r="A8449" t="s">
        <v>1297</v>
      </c>
      <c r="B8449" t="s">
        <v>1298</v>
      </c>
      <c r="C8449" t="s">
        <v>674</v>
      </c>
      <c r="D8449" t="s">
        <v>1393</v>
      </c>
      <c r="E8449" t="s">
        <v>187</v>
      </c>
      <c r="F8449">
        <v>2010</v>
      </c>
      <c r="G8449">
        <v>30.584700000000002</v>
      </c>
    </row>
    <row r="8450" spans="1:7">
      <c r="A8450" t="s">
        <v>1297</v>
      </c>
      <c r="B8450" t="s">
        <v>1298</v>
      </c>
      <c r="C8450" t="s">
        <v>674</v>
      </c>
      <c r="D8450" t="s">
        <v>1393</v>
      </c>
      <c r="E8450" t="s">
        <v>187</v>
      </c>
      <c r="F8450">
        <v>2012</v>
      </c>
      <c r="G8450">
        <v>14.164199999999999</v>
      </c>
    </row>
    <row r="8451" spans="1:7">
      <c r="A8451" t="s">
        <v>1297</v>
      </c>
      <c r="B8451" t="s">
        <v>1298</v>
      </c>
      <c r="C8451" t="s">
        <v>674</v>
      </c>
      <c r="D8451" t="s">
        <v>1393</v>
      </c>
      <c r="E8451" t="s">
        <v>187</v>
      </c>
      <c r="F8451">
        <v>2016</v>
      </c>
      <c r="G8451">
        <v>10.876500999999999</v>
      </c>
    </row>
    <row r="8452" spans="1:7">
      <c r="A8452" t="s">
        <v>1297</v>
      </c>
      <c r="B8452" t="s">
        <v>1298</v>
      </c>
      <c r="C8452" t="s">
        <v>674</v>
      </c>
      <c r="D8452" t="s">
        <v>1393</v>
      </c>
      <c r="E8452" t="s">
        <v>187</v>
      </c>
      <c r="F8452">
        <v>2020</v>
      </c>
      <c r="G8452">
        <v>4.828551</v>
      </c>
    </row>
    <row r="8453" spans="1:7">
      <c r="A8453" t="s">
        <v>1297</v>
      </c>
      <c r="B8453" t="s">
        <v>1298</v>
      </c>
      <c r="C8453" t="s">
        <v>656</v>
      </c>
      <c r="D8453" t="s">
        <v>1393</v>
      </c>
      <c r="E8453" t="s">
        <v>187</v>
      </c>
      <c r="F8453">
        <v>2005</v>
      </c>
      <c r="G8453">
        <v>782.71248900000001</v>
      </c>
    </row>
    <row r="8454" spans="1:7">
      <c r="A8454" t="s">
        <v>1297</v>
      </c>
      <c r="B8454" t="s">
        <v>1298</v>
      </c>
      <c r="C8454" t="s">
        <v>656</v>
      </c>
      <c r="D8454" t="s">
        <v>1393</v>
      </c>
      <c r="E8454" t="s">
        <v>187</v>
      </c>
      <c r="F8454">
        <v>2010</v>
      </c>
      <c r="G8454">
        <v>851.51070600000003</v>
      </c>
    </row>
    <row r="8455" spans="1:7">
      <c r="A8455" t="s">
        <v>1297</v>
      </c>
      <c r="B8455" t="s">
        <v>1298</v>
      </c>
      <c r="C8455" t="s">
        <v>656</v>
      </c>
      <c r="D8455" t="s">
        <v>1393</v>
      </c>
      <c r="E8455" t="s">
        <v>187</v>
      </c>
      <c r="F8455">
        <v>2012</v>
      </c>
      <c r="G8455">
        <v>720.87810400000001</v>
      </c>
    </row>
    <row r="8456" spans="1:7">
      <c r="A8456" t="s">
        <v>1297</v>
      </c>
      <c r="B8456" t="s">
        <v>1298</v>
      </c>
      <c r="C8456" t="s">
        <v>656</v>
      </c>
      <c r="D8456" t="s">
        <v>1393</v>
      </c>
      <c r="E8456" t="s">
        <v>187</v>
      </c>
      <c r="F8456">
        <v>2016</v>
      </c>
      <c r="G8456">
        <v>728.81134599999996</v>
      </c>
    </row>
    <row r="8457" spans="1:7">
      <c r="A8457" t="s">
        <v>1297</v>
      </c>
      <c r="B8457" t="s">
        <v>1298</v>
      </c>
      <c r="C8457" t="s">
        <v>656</v>
      </c>
      <c r="D8457" t="s">
        <v>1393</v>
      </c>
      <c r="E8457" t="s">
        <v>187</v>
      </c>
      <c r="F8457">
        <v>2020</v>
      </c>
      <c r="G8457">
        <v>771.80130499999996</v>
      </c>
    </row>
    <row r="8458" spans="1:7">
      <c r="A8458" t="s">
        <v>1297</v>
      </c>
      <c r="B8458" t="s">
        <v>1298</v>
      </c>
      <c r="C8458" t="s">
        <v>679</v>
      </c>
      <c r="D8458" t="s">
        <v>1393</v>
      </c>
      <c r="E8458" t="s">
        <v>187</v>
      </c>
      <c r="F8458">
        <v>2005</v>
      </c>
      <c r="G8458">
        <v>2.3472200000000001</v>
      </c>
    </row>
    <row r="8459" spans="1:7">
      <c r="A8459" t="s">
        <v>1297</v>
      </c>
      <c r="B8459" t="s">
        <v>1298</v>
      </c>
      <c r="C8459" t="s">
        <v>679</v>
      </c>
      <c r="D8459" t="s">
        <v>1393</v>
      </c>
      <c r="E8459" t="s">
        <v>187</v>
      </c>
      <c r="F8459">
        <v>2010</v>
      </c>
      <c r="G8459">
        <v>46.504866999999997</v>
      </c>
    </row>
    <row r="8460" spans="1:7">
      <c r="A8460" t="s">
        <v>1297</v>
      </c>
      <c r="B8460" t="s">
        <v>1298</v>
      </c>
      <c r="C8460" t="s">
        <v>679</v>
      </c>
      <c r="D8460" t="s">
        <v>1393</v>
      </c>
      <c r="E8460" t="s">
        <v>187</v>
      </c>
      <c r="F8460">
        <v>2012</v>
      </c>
      <c r="G8460">
        <v>15.117734</v>
      </c>
    </row>
    <row r="8461" spans="1:7">
      <c r="A8461" t="s">
        <v>1297</v>
      </c>
      <c r="B8461" t="s">
        <v>1298</v>
      </c>
      <c r="C8461" t="s">
        <v>679</v>
      </c>
      <c r="D8461" t="s">
        <v>1393</v>
      </c>
      <c r="E8461" t="s">
        <v>187</v>
      </c>
      <c r="F8461">
        <v>2016</v>
      </c>
      <c r="G8461">
        <v>14.306896</v>
      </c>
    </row>
    <row r="8462" spans="1:7">
      <c r="A8462" t="s">
        <v>1297</v>
      </c>
      <c r="B8462" t="s">
        <v>1298</v>
      </c>
      <c r="C8462" t="s">
        <v>679</v>
      </c>
      <c r="D8462" t="s">
        <v>1393</v>
      </c>
      <c r="E8462" t="s">
        <v>187</v>
      </c>
      <c r="F8462">
        <v>2020</v>
      </c>
      <c r="G8462">
        <v>13.110188000000001</v>
      </c>
    </row>
    <row r="8463" spans="1:7">
      <c r="A8463" t="s">
        <v>1297</v>
      </c>
      <c r="B8463" t="s">
        <v>1298</v>
      </c>
      <c r="C8463" t="s">
        <v>686</v>
      </c>
      <c r="D8463" t="s">
        <v>1393</v>
      </c>
      <c r="E8463" t="s">
        <v>187</v>
      </c>
      <c r="F8463">
        <v>2005</v>
      </c>
      <c r="G8463">
        <v>29.685600000000001</v>
      </c>
    </row>
    <row r="8464" spans="1:7">
      <c r="A8464" t="s">
        <v>1297</v>
      </c>
      <c r="B8464" t="s">
        <v>1298</v>
      </c>
      <c r="C8464" t="s">
        <v>686</v>
      </c>
      <c r="D8464" t="s">
        <v>1393</v>
      </c>
      <c r="E8464" t="s">
        <v>187</v>
      </c>
      <c r="F8464">
        <v>2010</v>
      </c>
      <c r="G8464">
        <v>26.853300000000001</v>
      </c>
    </row>
    <row r="8465" spans="1:7">
      <c r="A8465" t="s">
        <v>1297</v>
      </c>
      <c r="B8465" t="s">
        <v>1298</v>
      </c>
      <c r="C8465" t="s">
        <v>686</v>
      </c>
      <c r="D8465" t="s">
        <v>1393</v>
      </c>
      <c r="E8465" t="s">
        <v>187</v>
      </c>
      <c r="F8465">
        <v>2012</v>
      </c>
      <c r="G8465">
        <v>27.5427</v>
      </c>
    </row>
    <row r="8466" spans="1:7">
      <c r="A8466" t="s">
        <v>1297</v>
      </c>
      <c r="B8466" t="s">
        <v>1298</v>
      </c>
      <c r="C8466" t="s">
        <v>686</v>
      </c>
      <c r="D8466" t="s">
        <v>1393</v>
      </c>
      <c r="E8466" t="s">
        <v>187</v>
      </c>
      <c r="F8466">
        <v>2016</v>
      </c>
      <c r="G8466">
        <v>29.566800000000001</v>
      </c>
    </row>
    <row r="8467" spans="1:7">
      <c r="A8467" t="s">
        <v>1297</v>
      </c>
      <c r="B8467" t="s">
        <v>1298</v>
      </c>
      <c r="C8467" t="s">
        <v>686</v>
      </c>
      <c r="D8467" t="s">
        <v>1393</v>
      </c>
      <c r="E8467" t="s">
        <v>187</v>
      </c>
      <c r="F8467">
        <v>2020</v>
      </c>
      <c r="G8467">
        <v>31.772943999999999</v>
      </c>
    </row>
    <row r="8468" spans="1:7">
      <c r="A8468" t="s">
        <v>1297</v>
      </c>
      <c r="B8468" t="s">
        <v>1298</v>
      </c>
      <c r="C8468" t="s">
        <v>662</v>
      </c>
      <c r="D8468" t="s">
        <v>1393</v>
      </c>
      <c r="E8468" t="s">
        <v>187</v>
      </c>
      <c r="F8468">
        <v>2005</v>
      </c>
      <c r="G8468">
        <v>67.211875000000006</v>
      </c>
    </row>
    <row r="8469" spans="1:7">
      <c r="A8469" t="s">
        <v>1297</v>
      </c>
      <c r="B8469" t="s">
        <v>1298</v>
      </c>
      <c r="C8469" t="s">
        <v>662</v>
      </c>
      <c r="D8469" t="s">
        <v>1393</v>
      </c>
      <c r="E8469" t="s">
        <v>187</v>
      </c>
      <c r="F8469">
        <v>2010</v>
      </c>
      <c r="G8469">
        <v>86.270319000000001</v>
      </c>
    </row>
    <row r="8470" spans="1:7">
      <c r="A8470" t="s">
        <v>1297</v>
      </c>
      <c r="B8470" t="s">
        <v>1298</v>
      </c>
      <c r="C8470" t="s">
        <v>662</v>
      </c>
      <c r="D8470" t="s">
        <v>1393</v>
      </c>
      <c r="E8470" t="s">
        <v>187</v>
      </c>
      <c r="F8470">
        <v>2012</v>
      </c>
      <c r="G8470">
        <v>92.797309999999996</v>
      </c>
    </row>
    <row r="8471" spans="1:7">
      <c r="A8471" t="s">
        <v>1297</v>
      </c>
      <c r="B8471" t="s">
        <v>1298</v>
      </c>
      <c r="C8471" t="s">
        <v>662</v>
      </c>
      <c r="D8471" t="s">
        <v>1393</v>
      </c>
      <c r="E8471" t="s">
        <v>187</v>
      </c>
      <c r="F8471">
        <v>2016</v>
      </c>
      <c r="G8471">
        <v>93.499200000000002</v>
      </c>
    </row>
    <row r="8472" spans="1:7">
      <c r="A8472" t="s">
        <v>1297</v>
      </c>
      <c r="B8472" t="s">
        <v>1298</v>
      </c>
      <c r="C8472" t="s">
        <v>662</v>
      </c>
      <c r="D8472" t="s">
        <v>1393</v>
      </c>
      <c r="E8472" t="s">
        <v>187</v>
      </c>
      <c r="F8472">
        <v>2020</v>
      </c>
      <c r="G8472">
        <v>126.239632</v>
      </c>
    </row>
    <row r="8473" spans="1:7">
      <c r="A8473" t="s">
        <v>1297</v>
      </c>
      <c r="B8473" t="s">
        <v>1298</v>
      </c>
      <c r="C8473" t="s">
        <v>660</v>
      </c>
      <c r="D8473" t="s">
        <v>1393</v>
      </c>
      <c r="E8473" t="s">
        <v>187</v>
      </c>
      <c r="F8473">
        <v>2005</v>
      </c>
      <c r="G8473">
        <v>105.9408</v>
      </c>
    </row>
    <row r="8474" spans="1:7">
      <c r="A8474" t="s">
        <v>1297</v>
      </c>
      <c r="B8474" t="s">
        <v>1298</v>
      </c>
      <c r="C8474" t="s">
        <v>660</v>
      </c>
      <c r="D8474" t="s">
        <v>1393</v>
      </c>
      <c r="E8474" t="s">
        <v>187</v>
      </c>
      <c r="F8474">
        <v>2010</v>
      </c>
      <c r="G8474">
        <v>113.81310000000001</v>
      </c>
    </row>
    <row r="8475" spans="1:7">
      <c r="A8475" t="s">
        <v>1297</v>
      </c>
      <c r="B8475" t="s">
        <v>1298</v>
      </c>
      <c r="C8475" t="s">
        <v>660</v>
      </c>
      <c r="D8475" t="s">
        <v>1393</v>
      </c>
      <c r="E8475" t="s">
        <v>187</v>
      </c>
      <c r="F8475">
        <v>2012</v>
      </c>
      <c r="G8475">
        <v>83.518199999999993</v>
      </c>
    </row>
    <row r="8476" spans="1:7">
      <c r="A8476" t="s">
        <v>1297</v>
      </c>
      <c r="B8476" t="s">
        <v>1298</v>
      </c>
      <c r="C8476" t="s">
        <v>660</v>
      </c>
      <c r="D8476" t="s">
        <v>1393</v>
      </c>
      <c r="E8476" t="s">
        <v>187</v>
      </c>
      <c r="F8476">
        <v>2016</v>
      </c>
      <c r="G8476">
        <v>56.015749</v>
      </c>
    </row>
    <row r="8477" spans="1:7">
      <c r="A8477" t="s">
        <v>1297</v>
      </c>
      <c r="B8477" t="s">
        <v>1298</v>
      </c>
      <c r="C8477" t="s">
        <v>660</v>
      </c>
      <c r="D8477" t="s">
        <v>1393</v>
      </c>
      <c r="E8477" t="s">
        <v>187</v>
      </c>
      <c r="F8477">
        <v>2020</v>
      </c>
      <c r="G8477">
        <v>52.179186000000001</v>
      </c>
    </row>
    <row r="8478" spans="1:7">
      <c r="A8478" t="s">
        <v>1297</v>
      </c>
      <c r="B8478" t="s">
        <v>1298</v>
      </c>
      <c r="C8478" t="s">
        <v>289</v>
      </c>
      <c r="D8478" t="s">
        <v>1393</v>
      </c>
      <c r="E8478" t="s">
        <v>187</v>
      </c>
      <c r="F8478">
        <v>2005</v>
      </c>
      <c r="G8478">
        <v>22.964400000000001</v>
      </c>
    </row>
    <row r="8479" spans="1:7">
      <c r="A8479" t="s">
        <v>1297</v>
      </c>
      <c r="B8479" t="s">
        <v>1298</v>
      </c>
      <c r="C8479" t="s">
        <v>289</v>
      </c>
      <c r="D8479" t="s">
        <v>1393</v>
      </c>
      <c r="E8479" t="s">
        <v>187</v>
      </c>
      <c r="F8479">
        <v>2010</v>
      </c>
      <c r="G8479">
        <v>28.703700000000001</v>
      </c>
    </row>
    <row r="8480" spans="1:7">
      <c r="A8480" t="s">
        <v>1297</v>
      </c>
      <c r="B8480" t="s">
        <v>1298</v>
      </c>
      <c r="C8480" t="s">
        <v>289</v>
      </c>
      <c r="D8480" t="s">
        <v>1393</v>
      </c>
      <c r="E8480" t="s">
        <v>187</v>
      </c>
      <c r="F8480">
        <v>2012</v>
      </c>
      <c r="G8480">
        <v>35.1738</v>
      </c>
    </row>
    <row r="8481" spans="1:7">
      <c r="A8481" t="s">
        <v>1297</v>
      </c>
      <c r="B8481" t="s">
        <v>1298</v>
      </c>
      <c r="C8481" t="s">
        <v>289</v>
      </c>
      <c r="D8481" t="s">
        <v>1393</v>
      </c>
      <c r="E8481" t="s">
        <v>187</v>
      </c>
      <c r="F8481">
        <v>2016</v>
      </c>
      <c r="G8481">
        <v>24.433199999999999</v>
      </c>
    </row>
    <row r="8482" spans="1:7">
      <c r="A8482" t="s">
        <v>1297</v>
      </c>
      <c r="B8482" t="s">
        <v>1298</v>
      </c>
      <c r="C8482" t="s">
        <v>289</v>
      </c>
      <c r="D8482" t="s">
        <v>1393</v>
      </c>
      <c r="E8482" t="s">
        <v>187</v>
      </c>
      <c r="F8482">
        <v>2020</v>
      </c>
      <c r="G8482">
        <v>29.107990999999998</v>
      </c>
    </row>
    <row r="8483" spans="1:7">
      <c r="A8483" t="s">
        <v>1297</v>
      </c>
      <c r="B8483" t="s">
        <v>1298</v>
      </c>
      <c r="C8483" t="s">
        <v>1301</v>
      </c>
      <c r="D8483" t="s">
        <v>1393</v>
      </c>
      <c r="E8483" t="s">
        <v>187</v>
      </c>
      <c r="F8483">
        <v>2005</v>
      </c>
      <c r="G8483">
        <v>528.43140000000005</v>
      </c>
    </row>
    <row r="8484" spans="1:7">
      <c r="A8484" t="s">
        <v>1297</v>
      </c>
      <c r="B8484" t="s">
        <v>1298</v>
      </c>
      <c r="C8484" t="s">
        <v>1301</v>
      </c>
      <c r="D8484" t="s">
        <v>1393</v>
      </c>
      <c r="E8484" t="s">
        <v>187</v>
      </c>
      <c r="F8484">
        <v>2010</v>
      </c>
      <c r="G8484">
        <v>713.87459999999999</v>
      </c>
    </row>
    <row r="8485" spans="1:7">
      <c r="A8485" t="s">
        <v>1297</v>
      </c>
      <c r="B8485" t="s">
        <v>1298</v>
      </c>
      <c r="C8485" t="s">
        <v>1301</v>
      </c>
      <c r="D8485" t="s">
        <v>1393</v>
      </c>
      <c r="E8485" t="s">
        <v>187</v>
      </c>
      <c r="F8485">
        <v>2012</v>
      </c>
      <c r="G8485">
        <v>748.94939999999997</v>
      </c>
    </row>
    <row r="8486" spans="1:7">
      <c r="A8486" t="s">
        <v>1297</v>
      </c>
      <c r="B8486" t="s">
        <v>1298</v>
      </c>
      <c r="C8486" t="s">
        <v>1301</v>
      </c>
      <c r="D8486" t="s">
        <v>1393</v>
      </c>
      <c r="E8486" t="s">
        <v>187</v>
      </c>
      <c r="F8486">
        <v>2016</v>
      </c>
      <c r="G8486">
        <v>631.53269999999998</v>
      </c>
    </row>
    <row r="8487" spans="1:7">
      <c r="A8487" t="s">
        <v>1297</v>
      </c>
      <c r="B8487" t="s">
        <v>1298</v>
      </c>
      <c r="C8487" t="s">
        <v>1301</v>
      </c>
      <c r="D8487" t="s">
        <v>1393</v>
      </c>
      <c r="E8487" t="s">
        <v>187</v>
      </c>
      <c r="F8487">
        <v>2020</v>
      </c>
      <c r="G8487">
        <v>415.17976900000002</v>
      </c>
    </row>
    <row r="8488" spans="1:7">
      <c r="A8488" t="s">
        <v>1297</v>
      </c>
      <c r="B8488" t="s">
        <v>1298</v>
      </c>
      <c r="C8488" t="s">
        <v>664</v>
      </c>
      <c r="D8488" t="s">
        <v>1393</v>
      </c>
      <c r="E8488" t="s">
        <v>187</v>
      </c>
      <c r="F8488">
        <v>2005</v>
      </c>
      <c r="G8488">
        <v>85.399454000000006</v>
      </c>
    </row>
    <row r="8489" spans="1:7">
      <c r="A8489" t="s">
        <v>1297</v>
      </c>
      <c r="B8489" t="s">
        <v>1298</v>
      </c>
      <c r="C8489" t="s">
        <v>664</v>
      </c>
      <c r="D8489" t="s">
        <v>1393</v>
      </c>
      <c r="E8489" t="s">
        <v>187</v>
      </c>
      <c r="F8489">
        <v>2010</v>
      </c>
      <c r="G8489">
        <v>127.24825800000001</v>
      </c>
    </row>
    <row r="8490" spans="1:7">
      <c r="A8490" t="s">
        <v>1297</v>
      </c>
      <c r="B8490" t="s">
        <v>1298</v>
      </c>
      <c r="C8490" t="s">
        <v>664</v>
      </c>
      <c r="D8490" t="s">
        <v>1393</v>
      </c>
      <c r="E8490" t="s">
        <v>187</v>
      </c>
      <c r="F8490">
        <v>2012</v>
      </c>
      <c r="G8490">
        <v>97.292762999999994</v>
      </c>
    </row>
    <row r="8491" spans="1:7">
      <c r="A8491" t="s">
        <v>1297</v>
      </c>
      <c r="B8491" t="s">
        <v>1298</v>
      </c>
      <c r="C8491" t="s">
        <v>664</v>
      </c>
      <c r="D8491" t="s">
        <v>1393</v>
      </c>
      <c r="E8491" t="s">
        <v>187</v>
      </c>
      <c r="F8491">
        <v>2016</v>
      </c>
      <c r="G8491">
        <v>100.093639</v>
      </c>
    </row>
    <row r="8492" spans="1:7">
      <c r="A8492" t="s">
        <v>1297</v>
      </c>
      <c r="B8492" t="s">
        <v>1298</v>
      </c>
      <c r="C8492" t="s">
        <v>664</v>
      </c>
      <c r="D8492" t="s">
        <v>1393</v>
      </c>
      <c r="E8492" t="s">
        <v>187</v>
      </c>
      <c r="F8492">
        <v>2020</v>
      </c>
      <c r="G8492">
        <v>107.172377</v>
      </c>
    </row>
    <row r="8493" spans="1:7">
      <c r="A8493" t="s">
        <v>1297</v>
      </c>
      <c r="B8493" t="s">
        <v>1298</v>
      </c>
      <c r="C8493" t="s">
        <v>666</v>
      </c>
      <c r="D8493" t="s">
        <v>1393</v>
      </c>
      <c r="E8493" t="s">
        <v>187</v>
      </c>
      <c r="F8493">
        <v>2005</v>
      </c>
      <c r="G8493">
        <v>57.133800000000001</v>
      </c>
    </row>
    <row r="8494" spans="1:7">
      <c r="A8494" t="s">
        <v>1297</v>
      </c>
      <c r="B8494" t="s">
        <v>1298</v>
      </c>
      <c r="C8494" t="s">
        <v>666</v>
      </c>
      <c r="D8494" t="s">
        <v>1393</v>
      </c>
      <c r="E8494" t="s">
        <v>187</v>
      </c>
      <c r="F8494">
        <v>2010</v>
      </c>
      <c r="G8494">
        <v>58.2057</v>
      </c>
    </row>
    <row r="8495" spans="1:7">
      <c r="A8495" t="s">
        <v>1297</v>
      </c>
      <c r="B8495" t="s">
        <v>1298</v>
      </c>
      <c r="C8495" t="s">
        <v>666</v>
      </c>
      <c r="D8495" t="s">
        <v>1393</v>
      </c>
      <c r="E8495" t="s">
        <v>187</v>
      </c>
      <c r="F8495">
        <v>2012</v>
      </c>
      <c r="G8495">
        <v>43.269300000000001</v>
      </c>
    </row>
    <row r="8496" spans="1:7">
      <c r="A8496" t="s">
        <v>1297</v>
      </c>
      <c r="B8496" t="s">
        <v>1298</v>
      </c>
      <c r="C8496" t="s">
        <v>666</v>
      </c>
      <c r="D8496" t="s">
        <v>1393</v>
      </c>
      <c r="E8496" t="s">
        <v>187</v>
      </c>
      <c r="F8496">
        <v>2016</v>
      </c>
      <c r="G8496">
        <v>17.721</v>
      </c>
    </row>
    <row r="8497" spans="1:7">
      <c r="A8497" t="s">
        <v>1297</v>
      </c>
      <c r="B8497" t="s">
        <v>1298</v>
      </c>
      <c r="C8497" t="s">
        <v>666</v>
      </c>
      <c r="D8497" t="s">
        <v>1393</v>
      </c>
      <c r="E8497" t="s">
        <v>187</v>
      </c>
      <c r="F8497">
        <v>2020</v>
      </c>
      <c r="G8497">
        <v>10.657107999999999</v>
      </c>
    </row>
    <row r="8498" spans="1:7">
      <c r="A8498" t="s">
        <v>1297</v>
      </c>
      <c r="B8498" t="s">
        <v>1298</v>
      </c>
      <c r="C8498" t="s">
        <v>1303</v>
      </c>
      <c r="D8498" t="s">
        <v>1393</v>
      </c>
      <c r="E8498" t="s">
        <v>187</v>
      </c>
      <c r="F8498">
        <v>2016</v>
      </c>
      <c r="G8498">
        <v>18.071814</v>
      </c>
    </row>
    <row r="8499" spans="1:7">
      <c r="A8499" t="s">
        <v>1297</v>
      </c>
      <c r="B8499" t="s">
        <v>1298</v>
      </c>
      <c r="C8499" t="s">
        <v>1303</v>
      </c>
      <c r="D8499" t="s">
        <v>1393</v>
      </c>
      <c r="E8499" t="s">
        <v>187</v>
      </c>
      <c r="F8499">
        <v>2020</v>
      </c>
      <c r="G8499">
        <v>23.987915000000001</v>
      </c>
    </row>
    <row r="8500" spans="1:7">
      <c r="A8500" t="s">
        <v>1297</v>
      </c>
      <c r="B8500" t="s">
        <v>1298</v>
      </c>
      <c r="C8500" t="s">
        <v>670</v>
      </c>
      <c r="D8500" t="s">
        <v>1393</v>
      </c>
      <c r="E8500" t="s">
        <v>187</v>
      </c>
      <c r="F8500">
        <v>2005</v>
      </c>
      <c r="G8500">
        <v>495.685948</v>
      </c>
    </row>
    <row r="8501" spans="1:7">
      <c r="A8501" t="s">
        <v>1297</v>
      </c>
      <c r="B8501" t="s">
        <v>1298</v>
      </c>
      <c r="C8501" t="s">
        <v>670</v>
      </c>
      <c r="D8501" t="s">
        <v>1393</v>
      </c>
      <c r="E8501" t="s">
        <v>187</v>
      </c>
      <c r="F8501">
        <v>2010</v>
      </c>
      <c r="G8501">
        <v>577.43447600000002</v>
      </c>
    </row>
    <row r="8502" spans="1:7">
      <c r="A8502" t="s">
        <v>1297</v>
      </c>
      <c r="B8502" t="s">
        <v>1298</v>
      </c>
      <c r="C8502" t="s">
        <v>670</v>
      </c>
      <c r="D8502" t="s">
        <v>1393</v>
      </c>
      <c r="E8502" t="s">
        <v>187</v>
      </c>
      <c r="F8502">
        <v>2012</v>
      </c>
      <c r="G8502">
        <v>423.992187</v>
      </c>
    </row>
    <row r="8503" spans="1:7">
      <c r="A8503" t="s">
        <v>1297</v>
      </c>
      <c r="B8503" t="s">
        <v>1298</v>
      </c>
      <c r="C8503" t="s">
        <v>670</v>
      </c>
      <c r="D8503" t="s">
        <v>1393</v>
      </c>
      <c r="E8503" t="s">
        <v>187</v>
      </c>
      <c r="F8503">
        <v>2016</v>
      </c>
      <c r="G8503">
        <v>382.24589700000001</v>
      </c>
    </row>
    <row r="8504" spans="1:7">
      <c r="A8504" t="s">
        <v>1297</v>
      </c>
      <c r="B8504" t="s">
        <v>1298</v>
      </c>
      <c r="C8504" t="s">
        <v>670</v>
      </c>
      <c r="D8504" t="s">
        <v>1393</v>
      </c>
      <c r="E8504" t="s">
        <v>187</v>
      </c>
      <c r="F8504">
        <v>2020</v>
      </c>
      <c r="G8504">
        <v>470.51955700000002</v>
      </c>
    </row>
    <row r="8505" spans="1:7">
      <c r="A8505" t="s">
        <v>1297</v>
      </c>
      <c r="B8505" t="s">
        <v>1298</v>
      </c>
      <c r="C8505" t="s">
        <v>675</v>
      </c>
      <c r="D8505" t="s">
        <v>1393</v>
      </c>
      <c r="E8505" t="s">
        <v>187</v>
      </c>
      <c r="F8505">
        <v>2005</v>
      </c>
      <c r="G8505">
        <v>5.6295000000000002</v>
      </c>
    </row>
    <row r="8506" spans="1:7">
      <c r="A8506" t="s">
        <v>1297</v>
      </c>
      <c r="B8506" t="s">
        <v>1298</v>
      </c>
      <c r="C8506" t="s">
        <v>675</v>
      </c>
      <c r="D8506" t="s">
        <v>1393</v>
      </c>
      <c r="E8506" t="s">
        <v>187</v>
      </c>
      <c r="F8506">
        <v>2010</v>
      </c>
      <c r="G8506">
        <v>6.5663999999999998</v>
      </c>
    </row>
    <row r="8507" spans="1:7">
      <c r="A8507" t="s">
        <v>1297</v>
      </c>
      <c r="B8507" t="s">
        <v>1298</v>
      </c>
      <c r="C8507" t="s">
        <v>675</v>
      </c>
      <c r="D8507" t="s">
        <v>1393</v>
      </c>
      <c r="E8507" t="s">
        <v>187</v>
      </c>
      <c r="F8507">
        <v>2012</v>
      </c>
      <c r="G8507">
        <v>6.5393999999999997</v>
      </c>
    </row>
    <row r="8508" spans="1:7">
      <c r="A8508" t="s">
        <v>1297</v>
      </c>
      <c r="B8508" t="s">
        <v>1298</v>
      </c>
      <c r="C8508" t="s">
        <v>675</v>
      </c>
      <c r="D8508" t="s">
        <v>1393</v>
      </c>
      <c r="E8508" t="s">
        <v>187</v>
      </c>
      <c r="F8508">
        <v>2016</v>
      </c>
      <c r="G8508">
        <v>4.2164999999999999</v>
      </c>
    </row>
    <row r="8509" spans="1:7">
      <c r="A8509" t="s">
        <v>1297</v>
      </c>
      <c r="B8509" t="s">
        <v>1298</v>
      </c>
      <c r="C8509" t="s">
        <v>675</v>
      </c>
      <c r="D8509" t="s">
        <v>1393</v>
      </c>
      <c r="E8509" t="s">
        <v>187</v>
      </c>
      <c r="F8509">
        <v>2020</v>
      </c>
      <c r="G8509">
        <v>5.7493059999999998</v>
      </c>
    </row>
    <row r="8510" spans="1:7">
      <c r="A8510" t="s">
        <v>1297</v>
      </c>
      <c r="B8510" t="s">
        <v>1298</v>
      </c>
      <c r="C8510" t="s">
        <v>672</v>
      </c>
      <c r="D8510" t="s">
        <v>1393</v>
      </c>
      <c r="E8510" t="s">
        <v>187</v>
      </c>
      <c r="F8510">
        <v>2005</v>
      </c>
      <c r="G8510">
        <v>96.662700000000001</v>
      </c>
    </row>
    <row r="8511" spans="1:7">
      <c r="A8511" t="s">
        <v>1297</v>
      </c>
      <c r="B8511" t="s">
        <v>1298</v>
      </c>
      <c r="C8511" t="s">
        <v>672</v>
      </c>
      <c r="D8511" t="s">
        <v>1393</v>
      </c>
      <c r="E8511" t="s">
        <v>187</v>
      </c>
      <c r="F8511">
        <v>2010</v>
      </c>
      <c r="G8511">
        <v>116.1639</v>
      </c>
    </row>
    <row r="8512" spans="1:7">
      <c r="A8512" t="s">
        <v>1297</v>
      </c>
      <c r="B8512" t="s">
        <v>1298</v>
      </c>
      <c r="C8512" t="s">
        <v>672</v>
      </c>
      <c r="D8512" t="s">
        <v>1393</v>
      </c>
      <c r="E8512" t="s">
        <v>187</v>
      </c>
      <c r="F8512">
        <v>2012</v>
      </c>
      <c r="G8512">
        <v>91.051199999999994</v>
      </c>
    </row>
    <row r="8513" spans="1:7">
      <c r="A8513" t="s">
        <v>1297</v>
      </c>
      <c r="B8513" t="s">
        <v>1298</v>
      </c>
      <c r="C8513" t="s">
        <v>672</v>
      </c>
      <c r="D8513" t="s">
        <v>1393</v>
      </c>
      <c r="E8513" t="s">
        <v>187</v>
      </c>
      <c r="F8513">
        <v>2016</v>
      </c>
      <c r="G8513">
        <v>109.82520100000001</v>
      </c>
    </row>
    <row r="8514" spans="1:7">
      <c r="A8514" t="s">
        <v>1297</v>
      </c>
      <c r="B8514" t="s">
        <v>1298</v>
      </c>
      <c r="C8514" t="s">
        <v>672</v>
      </c>
      <c r="D8514" t="s">
        <v>1393</v>
      </c>
      <c r="E8514" t="s">
        <v>187</v>
      </c>
      <c r="F8514">
        <v>2020</v>
      </c>
      <c r="G8514">
        <v>141.340585</v>
      </c>
    </row>
    <row r="8515" spans="1:7">
      <c r="A8515" t="s">
        <v>1297</v>
      </c>
      <c r="B8515" t="s">
        <v>1298</v>
      </c>
      <c r="C8515" t="s">
        <v>668</v>
      </c>
      <c r="D8515" t="s">
        <v>1393</v>
      </c>
      <c r="E8515" t="s">
        <v>187</v>
      </c>
      <c r="F8515">
        <v>2005</v>
      </c>
      <c r="G8515">
        <v>34.547400000000003</v>
      </c>
    </row>
    <row r="8516" spans="1:7">
      <c r="A8516" t="s">
        <v>1297</v>
      </c>
      <c r="B8516" t="s">
        <v>1298</v>
      </c>
      <c r="C8516" t="s">
        <v>1299</v>
      </c>
      <c r="D8516" t="s">
        <v>1393</v>
      </c>
      <c r="E8516" t="s">
        <v>187</v>
      </c>
      <c r="F8516">
        <v>2020</v>
      </c>
      <c r="G8516">
        <v>344.529921</v>
      </c>
    </row>
    <row r="8517" spans="1:7">
      <c r="A8517" t="s">
        <v>1297</v>
      </c>
      <c r="B8517" t="s">
        <v>1298</v>
      </c>
      <c r="C8517" t="s">
        <v>659</v>
      </c>
      <c r="D8517" t="s">
        <v>1393</v>
      </c>
      <c r="E8517" t="s">
        <v>187</v>
      </c>
      <c r="F8517">
        <v>2005</v>
      </c>
      <c r="G8517">
        <v>452.08695799999998</v>
      </c>
    </row>
    <row r="8518" spans="1:7">
      <c r="A8518" t="s">
        <v>1297</v>
      </c>
      <c r="B8518" t="s">
        <v>1298</v>
      </c>
      <c r="C8518" t="s">
        <v>659</v>
      </c>
      <c r="D8518" t="s">
        <v>1393</v>
      </c>
      <c r="E8518" t="s">
        <v>187</v>
      </c>
      <c r="F8518">
        <v>2010</v>
      </c>
      <c r="G8518">
        <v>612.16211699999997</v>
      </c>
    </row>
    <row r="8519" spans="1:7">
      <c r="A8519" t="s">
        <v>1297</v>
      </c>
      <c r="B8519" t="s">
        <v>1298</v>
      </c>
      <c r="C8519" t="s">
        <v>676</v>
      </c>
      <c r="D8519" t="s">
        <v>1393</v>
      </c>
      <c r="E8519" t="s">
        <v>187</v>
      </c>
      <c r="F8519">
        <v>2005</v>
      </c>
      <c r="G8519">
        <v>59.232599999999998</v>
      </c>
    </row>
    <row r="8520" spans="1:7">
      <c r="A8520" t="s">
        <v>1297</v>
      </c>
      <c r="B8520" t="s">
        <v>1298</v>
      </c>
      <c r="C8520" t="s">
        <v>676</v>
      </c>
      <c r="D8520" t="s">
        <v>1393</v>
      </c>
      <c r="E8520" t="s">
        <v>187</v>
      </c>
      <c r="F8520">
        <v>2010</v>
      </c>
      <c r="G8520">
        <v>47.735999999999997</v>
      </c>
    </row>
    <row r="8521" spans="1:7">
      <c r="A8521" t="s">
        <v>1297</v>
      </c>
      <c r="B8521" t="s">
        <v>1298</v>
      </c>
      <c r="C8521" t="s">
        <v>676</v>
      </c>
      <c r="D8521" t="s">
        <v>1393</v>
      </c>
      <c r="E8521" t="s">
        <v>187</v>
      </c>
      <c r="F8521">
        <v>2012</v>
      </c>
      <c r="G8521">
        <v>45.334800000000001</v>
      </c>
    </row>
    <row r="8522" spans="1:7">
      <c r="A8522" t="s">
        <v>1297</v>
      </c>
      <c r="B8522" t="s">
        <v>1298</v>
      </c>
      <c r="C8522" t="s">
        <v>676</v>
      </c>
      <c r="D8522" t="s">
        <v>1393</v>
      </c>
      <c r="E8522" t="s">
        <v>187</v>
      </c>
      <c r="F8522">
        <v>2016</v>
      </c>
      <c r="G8522">
        <v>33.950699999999998</v>
      </c>
    </row>
    <row r="8523" spans="1:7">
      <c r="A8523" t="s">
        <v>1297</v>
      </c>
      <c r="B8523" t="s">
        <v>1298</v>
      </c>
      <c r="C8523" t="s">
        <v>676</v>
      </c>
      <c r="D8523" t="s">
        <v>1393</v>
      </c>
      <c r="E8523" t="s">
        <v>187</v>
      </c>
      <c r="F8523">
        <v>2020</v>
      </c>
      <c r="G8523">
        <v>41.376055999999998</v>
      </c>
    </row>
    <row r="8524" spans="1:7">
      <c r="A8524" t="s">
        <v>1297</v>
      </c>
      <c r="B8524" t="s">
        <v>1298</v>
      </c>
      <c r="C8524" t="s">
        <v>657</v>
      </c>
      <c r="D8524" t="s">
        <v>1393</v>
      </c>
      <c r="E8524" t="s">
        <v>187</v>
      </c>
      <c r="F8524">
        <v>2005</v>
      </c>
      <c r="G8524">
        <v>87.956136000000001</v>
      </c>
    </row>
    <row r="8525" spans="1:7">
      <c r="A8525" t="s">
        <v>1297</v>
      </c>
      <c r="B8525" t="s">
        <v>1298</v>
      </c>
      <c r="C8525" t="s">
        <v>657</v>
      </c>
      <c r="D8525" t="s">
        <v>1393</v>
      </c>
      <c r="E8525" t="s">
        <v>187</v>
      </c>
      <c r="F8525">
        <v>2010</v>
      </c>
      <c r="G8525">
        <v>85.683386999999996</v>
      </c>
    </row>
    <row r="8526" spans="1:7">
      <c r="A8526" t="s">
        <v>1297</v>
      </c>
      <c r="B8526" t="s">
        <v>1298</v>
      </c>
      <c r="C8526" t="s">
        <v>657</v>
      </c>
      <c r="D8526" t="s">
        <v>1393</v>
      </c>
      <c r="E8526" t="s">
        <v>187</v>
      </c>
      <c r="F8526">
        <v>2012</v>
      </c>
      <c r="G8526">
        <v>55.167135999999999</v>
      </c>
    </row>
    <row r="8527" spans="1:7">
      <c r="A8527" t="s">
        <v>1297</v>
      </c>
      <c r="B8527" t="s">
        <v>1298</v>
      </c>
      <c r="C8527" t="s">
        <v>657</v>
      </c>
      <c r="D8527" t="s">
        <v>1393</v>
      </c>
      <c r="E8527" t="s">
        <v>187</v>
      </c>
      <c r="F8527">
        <v>2016</v>
      </c>
      <c r="G8527">
        <v>38.452666000000001</v>
      </c>
    </row>
    <row r="8528" spans="1:7">
      <c r="A8528" t="s">
        <v>1297</v>
      </c>
      <c r="B8528" t="s">
        <v>1298</v>
      </c>
      <c r="C8528" t="s">
        <v>657</v>
      </c>
      <c r="D8528" t="s">
        <v>1393</v>
      </c>
      <c r="E8528" t="s">
        <v>187</v>
      </c>
      <c r="F8528">
        <v>2020</v>
      </c>
      <c r="G8528">
        <v>29.845101</v>
      </c>
    </row>
    <row r="8529" spans="1:7">
      <c r="A8529" t="s">
        <v>1297</v>
      </c>
      <c r="B8529" t="s">
        <v>1298</v>
      </c>
      <c r="C8529" t="s">
        <v>682</v>
      </c>
      <c r="D8529" t="s">
        <v>1393</v>
      </c>
      <c r="E8529" t="s">
        <v>187</v>
      </c>
      <c r="F8529">
        <v>2016</v>
      </c>
      <c r="G8529">
        <v>2.0223</v>
      </c>
    </row>
    <row r="8530" spans="1:7">
      <c r="A8530" t="s">
        <v>1297</v>
      </c>
      <c r="B8530" t="s">
        <v>1298</v>
      </c>
      <c r="C8530" t="s">
        <v>682</v>
      </c>
      <c r="D8530" t="s">
        <v>1393</v>
      </c>
      <c r="E8530" t="s">
        <v>187</v>
      </c>
      <c r="F8530">
        <v>2020</v>
      </c>
      <c r="G8530">
        <v>1.983606</v>
      </c>
    </row>
    <row r="8531" spans="1:7">
      <c r="A8531" t="s">
        <v>1297</v>
      </c>
      <c r="B8531" t="s">
        <v>1298</v>
      </c>
      <c r="C8531" t="s">
        <v>665</v>
      </c>
      <c r="D8531" t="s">
        <v>1393</v>
      </c>
      <c r="E8531" t="s">
        <v>187</v>
      </c>
      <c r="F8531">
        <v>2005</v>
      </c>
      <c r="G8531">
        <v>1184.1416999999999</v>
      </c>
    </row>
    <row r="8532" spans="1:7">
      <c r="A8532" t="s">
        <v>1297</v>
      </c>
      <c r="B8532" t="s">
        <v>1298</v>
      </c>
      <c r="C8532" t="s">
        <v>665</v>
      </c>
      <c r="D8532" t="s">
        <v>1393</v>
      </c>
      <c r="E8532" t="s">
        <v>187</v>
      </c>
      <c r="F8532">
        <v>2010</v>
      </c>
      <c r="G8532">
        <v>1166.2146</v>
      </c>
    </row>
    <row r="8533" spans="1:7">
      <c r="A8533" t="s">
        <v>1297</v>
      </c>
      <c r="B8533" t="s">
        <v>1298</v>
      </c>
      <c r="C8533" t="s">
        <v>665</v>
      </c>
      <c r="D8533" t="s">
        <v>1393</v>
      </c>
      <c r="E8533" t="s">
        <v>187</v>
      </c>
      <c r="F8533">
        <v>2012</v>
      </c>
      <c r="G8533">
        <v>1001.0232</v>
      </c>
    </row>
    <row r="8534" spans="1:7">
      <c r="A8534" t="s">
        <v>1297</v>
      </c>
      <c r="B8534" t="s">
        <v>1298</v>
      </c>
      <c r="C8534" t="s">
        <v>665</v>
      </c>
      <c r="D8534" t="s">
        <v>1393</v>
      </c>
      <c r="E8534" t="s">
        <v>187</v>
      </c>
      <c r="F8534">
        <v>2016</v>
      </c>
      <c r="G8534">
        <v>951.88679999999999</v>
      </c>
    </row>
    <row r="8535" spans="1:7">
      <c r="A8535" t="s">
        <v>1297</v>
      </c>
      <c r="B8535" t="s">
        <v>1298</v>
      </c>
      <c r="C8535" t="s">
        <v>665</v>
      </c>
      <c r="D8535" t="s">
        <v>1393</v>
      </c>
      <c r="E8535" t="s">
        <v>187</v>
      </c>
      <c r="F8535">
        <v>2020</v>
      </c>
      <c r="G8535">
        <v>1065.0406869999999</v>
      </c>
    </row>
    <row r="8536" spans="1:7">
      <c r="A8536" t="s">
        <v>1297</v>
      </c>
      <c r="B8536" t="s">
        <v>1298</v>
      </c>
      <c r="C8536" t="s">
        <v>669</v>
      </c>
      <c r="D8536" t="s">
        <v>1393</v>
      </c>
      <c r="E8536" t="s">
        <v>187</v>
      </c>
      <c r="F8536">
        <v>2020</v>
      </c>
      <c r="G8536">
        <v>12.794898</v>
      </c>
    </row>
    <row r="8537" spans="1:7">
      <c r="A8537" t="s">
        <v>1297</v>
      </c>
      <c r="B8537" t="s">
        <v>1298</v>
      </c>
      <c r="C8537" t="s">
        <v>652</v>
      </c>
      <c r="D8537" t="s">
        <v>1393</v>
      </c>
      <c r="E8537" t="s">
        <v>187</v>
      </c>
      <c r="F8537">
        <v>2005</v>
      </c>
      <c r="G8537">
        <v>170.03209200000001</v>
      </c>
    </row>
    <row r="8538" spans="1:7">
      <c r="A8538" t="s">
        <v>1297</v>
      </c>
      <c r="B8538" t="s">
        <v>1298</v>
      </c>
      <c r="C8538" t="s">
        <v>652</v>
      </c>
      <c r="D8538" t="s">
        <v>1393</v>
      </c>
      <c r="E8538" t="s">
        <v>187</v>
      </c>
      <c r="F8538">
        <v>2010</v>
      </c>
      <c r="G8538">
        <v>229.32750899999999</v>
      </c>
    </row>
    <row r="8539" spans="1:7">
      <c r="A8539" t="s">
        <v>1297</v>
      </c>
      <c r="B8539" t="s">
        <v>1298</v>
      </c>
      <c r="C8539" t="s">
        <v>652</v>
      </c>
      <c r="D8539" t="s">
        <v>1393</v>
      </c>
      <c r="E8539" t="s">
        <v>187</v>
      </c>
      <c r="F8539">
        <v>2012</v>
      </c>
      <c r="G8539">
        <v>167.074881</v>
      </c>
    </row>
    <row r="8540" spans="1:7">
      <c r="A8540" t="s">
        <v>1297</v>
      </c>
      <c r="B8540" t="s">
        <v>1298</v>
      </c>
      <c r="C8540" t="s">
        <v>652</v>
      </c>
      <c r="D8540" t="s">
        <v>1393</v>
      </c>
      <c r="E8540" t="s">
        <v>187</v>
      </c>
      <c r="F8540">
        <v>2016</v>
      </c>
      <c r="G8540">
        <v>151.44533999999999</v>
      </c>
    </row>
    <row r="8541" spans="1:7">
      <c r="A8541" t="s">
        <v>1297</v>
      </c>
      <c r="B8541" t="s">
        <v>1298</v>
      </c>
      <c r="C8541" t="s">
        <v>652</v>
      </c>
      <c r="D8541" t="s">
        <v>1393</v>
      </c>
      <c r="E8541" t="s">
        <v>187</v>
      </c>
      <c r="F8541">
        <v>2020</v>
      </c>
      <c r="G8541">
        <v>162.32651999999999</v>
      </c>
    </row>
    <row r="8542" spans="1:7">
      <c r="A8542" t="s">
        <v>1297</v>
      </c>
      <c r="B8542" t="s">
        <v>1298</v>
      </c>
      <c r="C8542" t="s">
        <v>658</v>
      </c>
      <c r="D8542" t="s">
        <v>1393</v>
      </c>
      <c r="E8542" t="s">
        <v>187</v>
      </c>
      <c r="F8542">
        <v>2005</v>
      </c>
      <c r="G8542">
        <v>17.291699999999999</v>
      </c>
    </row>
    <row r="8543" spans="1:7">
      <c r="A8543" t="s">
        <v>1297</v>
      </c>
      <c r="B8543" t="s">
        <v>1298</v>
      </c>
      <c r="C8543" t="s">
        <v>658</v>
      </c>
      <c r="D8543" t="s">
        <v>1393</v>
      </c>
      <c r="E8543" t="s">
        <v>187</v>
      </c>
      <c r="F8543">
        <v>2010</v>
      </c>
      <c r="G8543">
        <v>14.4009</v>
      </c>
    </row>
    <row r="8544" spans="1:7">
      <c r="A8544" t="s">
        <v>1297</v>
      </c>
      <c r="B8544" t="s">
        <v>1298</v>
      </c>
      <c r="C8544" t="s">
        <v>658</v>
      </c>
      <c r="D8544" t="s">
        <v>1393</v>
      </c>
      <c r="E8544" t="s">
        <v>187</v>
      </c>
      <c r="F8544">
        <v>2012</v>
      </c>
      <c r="G8544">
        <v>12.879899999999999</v>
      </c>
    </row>
    <row r="8545" spans="1:7">
      <c r="A8545" t="s">
        <v>1297</v>
      </c>
      <c r="B8545" t="s">
        <v>1298</v>
      </c>
      <c r="C8545" t="s">
        <v>658</v>
      </c>
      <c r="D8545" t="s">
        <v>1393</v>
      </c>
      <c r="E8545" t="s">
        <v>187</v>
      </c>
      <c r="F8545">
        <v>2016</v>
      </c>
      <c r="G8545">
        <v>6.2595000000000001</v>
      </c>
    </row>
    <row r="8546" spans="1:7">
      <c r="A8546" t="s">
        <v>1297</v>
      </c>
      <c r="B8546" t="s">
        <v>1298</v>
      </c>
      <c r="C8546" t="s">
        <v>658</v>
      </c>
      <c r="D8546" t="s">
        <v>1393</v>
      </c>
      <c r="E8546" t="s">
        <v>187</v>
      </c>
      <c r="F8546">
        <v>2020</v>
      </c>
      <c r="G8546">
        <v>5.1390599999999997</v>
      </c>
    </row>
    <row r="8547" spans="1:7">
      <c r="A8547" t="s">
        <v>1297</v>
      </c>
      <c r="B8547" t="s">
        <v>1298</v>
      </c>
      <c r="C8547" t="s">
        <v>673</v>
      </c>
      <c r="D8547" t="s">
        <v>1393</v>
      </c>
      <c r="E8547" t="s">
        <v>187</v>
      </c>
      <c r="F8547">
        <v>2005</v>
      </c>
      <c r="G8547">
        <v>167.60249999999999</v>
      </c>
    </row>
    <row r="8548" spans="1:7">
      <c r="A8548" t="s">
        <v>1297</v>
      </c>
      <c r="B8548" t="s">
        <v>1298</v>
      </c>
      <c r="C8548" t="s">
        <v>673</v>
      </c>
      <c r="D8548" t="s">
        <v>1393</v>
      </c>
      <c r="E8548" t="s">
        <v>187</v>
      </c>
      <c r="F8548">
        <v>2010</v>
      </c>
      <c r="G8548">
        <v>119.10599999999999</v>
      </c>
    </row>
    <row r="8549" spans="1:7">
      <c r="A8549" t="s">
        <v>1297</v>
      </c>
      <c r="B8549" t="s">
        <v>1298</v>
      </c>
      <c r="C8549" t="s">
        <v>673</v>
      </c>
      <c r="D8549" t="s">
        <v>1393</v>
      </c>
      <c r="E8549" t="s">
        <v>187</v>
      </c>
      <c r="F8549">
        <v>2012</v>
      </c>
      <c r="G8549">
        <v>121.2642</v>
      </c>
    </row>
    <row r="8550" spans="1:7">
      <c r="A8550" t="s">
        <v>1297</v>
      </c>
      <c r="B8550" t="s">
        <v>1298</v>
      </c>
      <c r="C8550" t="s">
        <v>673</v>
      </c>
      <c r="D8550" t="s">
        <v>1393</v>
      </c>
      <c r="E8550" t="s">
        <v>187</v>
      </c>
      <c r="F8550">
        <v>2016</v>
      </c>
      <c r="G8550">
        <v>117.22320000000001</v>
      </c>
    </row>
    <row r="8551" spans="1:7">
      <c r="A8551" t="s">
        <v>1297</v>
      </c>
      <c r="B8551" t="s">
        <v>1298</v>
      </c>
      <c r="C8551" t="s">
        <v>673</v>
      </c>
      <c r="D8551" t="s">
        <v>1393</v>
      </c>
      <c r="E8551" t="s">
        <v>187</v>
      </c>
      <c r="F8551">
        <v>2020</v>
      </c>
      <c r="G8551">
        <v>110.230501</v>
      </c>
    </row>
    <row r="8552" spans="1:7">
      <c r="A8552" t="s">
        <v>1297</v>
      </c>
      <c r="B8552" t="s">
        <v>1298</v>
      </c>
      <c r="C8552" t="s">
        <v>667</v>
      </c>
      <c r="D8552" t="s">
        <v>1393</v>
      </c>
      <c r="E8552" t="s">
        <v>187</v>
      </c>
      <c r="F8552">
        <v>2016</v>
      </c>
      <c r="G8552">
        <v>3.3856169999999999</v>
      </c>
    </row>
    <row r="8553" spans="1:7">
      <c r="A8553" t="s">
        <v>1297</v>
      </c>
      <c r="B8553" t="s">
        <v>1298</v>
      </c>
      <c r="C8553" t="s">
        <v>667</v>
      </c>
      <c r="D8553" t="s">
        <v>1393</v>
      </c>
      <c r="E8553" t="s">
        <v>187</v>
      </c>
      <c r="F8553">
        <v>2020</v>
      </c>
      <c r="G8553">
        <v>2.6790630000000002</v>
      </c>
    </row>
    <row r="8554" spans="1:7">
      <c r="A8554" t="s">
        <v>1297</v>
      </c>
      <c r="B8554" t="s">
        <v>1298</v>
      </c>
      <c r="C8554" t="s">
        <v>668</v>
      </c>
      <c r="D8554" t="s">
        <v>1393</v>
      </c>
      <c r="E8554" t="s">
        <v>187</v>
      </c>
      <c r="F8554">
        <v>2010</v>
      </c>
      <c r="G8554">
        <v>39.2256</v>
      </c>
    </row>
    <row r="8555" spans="1:7">
      <c r="A8555" t="s">
        <v>1297</v>
      </c>
      <c r="B8555" t="s">
        <v>1298</v>
      </c>
      <c r="C8555" t="s">
        <v>668</v>
      </c>
      <c r="D8555" t="s">
        <v>1393</v>
      </c>
      <c r="E8555" t="s">
        <v>187</v>
      </c>
      <c r="F8555">
        <v>2012</v>
      </c>
      <c r="G8555">
        <v>32.382899999999999</v>
      </c>
    </row>
    <row r="8556" spans="1:7">
      <c r="A8556" t="s">
        <v>1297</v>
      </c>
      <c r="B8556" t="s">
        <v>1298</v>
      </c>
      <c r="C8556" t="s">
        <v>668</v>
      </c>
      <c r="D8556" t="s">
        <v>1393</v>
      </c>
      <c r="E8556" t="s">
        <v>187</v>
      </c>
      <c r="F8556">
        <v>2016</v>
      </c>
      <c r="G8556">
        <v>32.198113999999997</v>
      </c>
    </row>
    <row r="8557" spans="1:7">
      <c r="A8557" t="s">
        <v>1297</v>
      </c>
      <c r="B8557" t="s">
        <v>1298</v>
      </c>
      <c r="C8557" t="s">
        <v>668</v>
      </c>
      <c r="D8557" t="s">
        <v>1393</v>
      </c>
      <c r="E8557" t="s">
        <v>187</v>
      </c>
      <c r="F8557">
        <v>2020</v>
      </c>
      <c r="G8557">
        <v>31.454042000000001</v>
      </c>
    </row>
    <row r="8558" spans="1:7">
      <c r="A8558" t="s">
        <v>1297</v>
      </c>
      <c r="B8558" t="s">
        <v>1298</v>
      </c>
      <c r="C8558" t="s">
        <v>677</v>
      </c>
      <c r="D8558" t="s">
        <v>1393</v>
      </c>
      <c r="E8558" t="s">
        <v>187</v>
      </c>
      <c r="F8558">
        <v>2005</v>
      </c>
      <c r="G8558">
        <v>1147.5980999999999</v>
      </c>
    </row>
    <row r="8559" spans="1:7">
      <c r="A8559" t="s">
        <v>1297</v>
      </c>
      <c r="B8559" t="s">
        <v>1298</v>
      </c>
      <c r="C8559" t="s">
        <v>677</v>
      </c>
      <c r="D8559" t="s">
        <v>1393</v>
      </c>
      <c r="E8559" t="s">
        <v>187</v>
      </c>
      <c r="F8559">
        <v>2010</v>
      </c>
      <c r="G8559">
        <v>1299.5199</v>
      </c>
    </row>
    <row r="8560" spans="1:7">
      <c r="A8560" t="s">
        <v>1297</v>
      </c>
      <c r="B8560" t="s">
        <v>1298</v>
      </c>
      <c r="C8560" t="s">
        <v>677</v>
      </c>
      <c r="D8560" t="s">
        <v>1393</v>
      </c>
      <c r="E8560" t="s">
        <v>187</v>
      </c>
      <c r="F8560">
        <v>2012</v>
      </c>
      <c r="G8560">
        <v>776.58569999999997</v>
      </c>
    </row>
    <row r="8561" spans="1:7">
      <c r="A8561" t="s">
        <v>1297</v>
      </c>
      <c r="B8561" t="s">
        <v>1298</v>
      </c>
      <c r="C8561" t="s">
        <v>677</v>
      </c>
      <c r="D8561" t="s">
        <v>1393</v>
      </c>
      <c r="E8561" t="s">
        <v>187</v>
      </c>
      <c r="F8561">
        <v>2016</v>
      </c>
      <c r="G8561">
        <v>1059.725711</v>
      </c>
    </row>
    <row r="8562" spans="1:7">
      <c r="A8562" t="s">
        <v>1297</v>
      </c>
      <c r="B8562" t="s">
        <v>1298</v>
      </c>
      <c r="C8562" t="s">
        <v>677</v>
      </c>
      <c r="D8562" t="s">
        <v>1393</v>
      </c>
      <c r="E8562" t="s">
        <v>187</v>
      </c>
      <c r="F8562">
        <v>2020</v>
      </c>
      <c r="G8562">
        <v>966.08793000000003</v>
      </c>
    </row>
    <row r="8563" spans="1:7">
      <c r="A8563" t="s">
        <v>1297</v>
      </c>
      <c r="B8563" t="s">
        <v>1298</v>
      </c>
      <c r="C8563" t="s">
        <v>685</v>
      </c>
      <c r="D8563" t="s">
        <v>1393</v>
      </c>
      <c r="E8563" t="s">
        <v>187</v>
      </c>
      <c r="F8563">
        <v>2005</v>
      </c>
      <c r="G8563">
        <v>0.54720000000000002</v>
      </c>
    </row>
    <row r="8564" spans="1:7">
      <c r="A8564" t="s">
        <v>1297</v>
      </c>
      <c r="B8564" t="s">
        <v>1298</v>
      </c>
      <c r="C8564" t="s">
        <v>685</v>
      </c>
      <c r="D8564" t="s">
        <v>1393</v>
      </c>
      <c r="E8564" t="s">
        <v>187</v>
      </c>
      <c r="F8564">
        <v>2010</v>
      </c>
      <c r="G8564">
        <v>2.2320000000000002</v>
      </c>
    </row>
    <row r="8565" spans="1:7">
      <c r="A8565" t="s">
        <v>1297</v>
      </c>
      <c r="B8565" t="s">
        <v>1298</v>
      </c>
      <c r="C8565" t="s">
        <v>685</v>
      </c>
      <c r="D8565" t="s">
        <v>1393</v>
      </c>
      <c r="E8565" t="s">
        <v>187</v>
      </c>
      <c r="F8565">
        <v>2012</v>
      </c>
      <c r="G8565">
        <v>3.8304</v>
      </c>
    </row>
    <row r="8566" spans="1:7">
      <c r="A8566" t="s">
        <v>1297</v>
      </c>
      <c r="B8566" t="s">
        <v>1298</v>
      </c>
      <c r="C8566" t="s">
        <v>685</v>
      </c>
      <c r="D8566" t="s">
        <v>1393</v>
      </c>
      <c r="E8566" t="s">
        <v>187</v>
      </c>
      <c r="F8566">
        <v>2016</v>
      </c>
      <c r="G8566">
        <v>5.7600819999999997</v>
      </c>
    </row>
    <row r="8567" spans="1:7">
      <c r="A8567" t="s">
        <v>1297</v>
      </c>
      <c r="B8567" t="s">
        <v>1298</v>
      </c>
      <c r="C8567" t="s">
        <v>685</v>
      </c>
      <c r="D8567" t="s">
        <v>1393</v>
      </c>
      <c r="E8567" t="s">
        <v>187</v>
      </c>
      <c r="F8567">
        <v>2020</v>
      </c>
      <c r="G8567">
        <v>8.3598250000000007</v>
      </c>
    </row>
    <row r="8568" spans="1:7">
      <c r="A8568" t="s">
        <v>1297</v>
      </c>
      <c r="B8568" t="s">
        <v>1298</v>
      </c>
      <c r="C8568" t="s">
        <v>661</v>
      </c>
      <c r="D8568" t="s">
        <v>1393</v>
      </c>
      <c r="E8568" t="s">
        <v>187</v>
      </c>
      <c r="F8568">
        <v>2005</v>
      </c>
      <c r="G8568">
        <v>228.71717699999999</v>
      </c>
    </row>
    <row r="8569" spans="1:7">
      <c r="A8569" t="s">
        <v>1297</v>
      </c>
      <c r="B8569" t="s">
        <v>1298</v>
      </c>
      <c r="C8569" t="s">
        <v>661</v>
      </c>
      <c r="D8569" t="s">
        <v>1393</v>
      </c>
      <c r="E8569" t="s">
        <v>187</v>
      </c>
      <c r="F8569">
        <v>2010</v>
      </c>
      <c r="G8569">
        <v>310.57629600000001</v>
      </c>
    </row>
    <row r="8570" spans="1:7">
      <c r="A8570" t="s">
        <v>1297</v>
      </c>
      <c r="B8570" t="s">
        <v>1298</v>
      </c>
      <c r="C8570" t="s">
        <v>661</v>
      </c>
      <c r="D8570" t="s">
        <v>1393</v>
      </c>
      <c r="E8570" t="s">
        <v>187</v>
      </c>
      <c r="F8570">
        <v>2012</v>
      </c>
      <c r="G8570">
        <v>215.72654900000001</v>
      </c>
    </row>
    <row r="8571" spans="1:7">
      <c r="A8571" t="s">
        <v>1297</v>
      </c>
      <c r="B8571" t="s">
        <v>1298</v>
      </c>
      <c r="C8571" t="s">
        <v>661</v>
      </c>
      <c r="D8571" t="s">
        <v>1393</v>
      </c>
      <c r="E8571" t="s">
        <v>187</v>
      </c>
      <c r="F8571">
        <v>2016</v>
      </c>
      <c r="G8571">
        <v>273.45251200000001</v>
      </c>
    </row>
    <row r="8572" spans="1:7">
      <c r="A8572" t="s">
        <v>1297</v>
      </c>
      <c r="B8572" t="s">
        <v>1298</v>
      </c>
      <c r="C8572" t="s">
        <v>661</v>
      </c>
      <c r="D8572" t="s">
        <v>1393</v>
      </c>
      <c r="E8572" t="s">
        <v>187</v>
      </c>
      <c r="F8572">
        <v>2020</v>
      </c>
      <c r="G8572">
        <v>301.18960600000003</v>
      </c>
    </row>
    <row r="8573" spans="1:7">
      <c r="A8573" t="s">
        <v>1297</v>
      </c>
      <c r="B8573" t="s">
        <v>1298</v>
      </c>
      <c r="C8573" t="s">
        <v>663</v>
      </c>
      <c r="D8573" t="s">
        <v>1393</v>
      </c>
      <c r="E8573" t="s">
        <v>187</v>
      </c>
      <c r="F8573">
        <v>2005</v>
      </c>
      <c r="G8573">
        <v>147.09059999999999</v>
      </c>
    </row>
    <row r="8574" spans="1:7">
      <c r="A8574" t="s">
        <v>1297</v>
      </c>
      <c r="B8574" t="s">
        <v>1298</v>
      </c>
      <c r="C8574" t="s">
        <v>663</v>
      </c>
      <c r="D8574" t="s">
        <v>1393</v>
      </c>
      <c r="E8574" t="s">
        <v>187</v>
      </c>
      <c r="F8574">
        <v>2010</v>
      </c>
      <c r="G8574">
        <v>132.09479999999999</v>
      </c>
    </row>
    <row r="8575" spans="1:7">
      <c r="A8575" t="s">
        <v>1297</v>
      </c>
      <c r="B8575" t="s">
        <v>1298</v>
      </c>
      <c r="C8575" t="s">
        <v>663</v>
      </c>
      <c r="D8575" t="s">
        <v>1393</v>
      </c>
      <c r="E8575" t="s">
        <v>187</v>
      </c>
      <c r="F8575">
        <v>2012</v>
      </c>
      <c r="G8575">
        <v>111.8601</v>
      </c>
    </row>
    <row r="8576" spans="1:7">
      <c r="A8576" t="s">
        <v>1297</v>
      </c>
      <c r="B8576" t="s">
        <v>1298</v>
      </c>
      <c r="C8576" t="s">
        <v>663</v>
      </c>
      <c r="D8576" t="s">
        <v>1393</v>
      </c>
      <c r="E8576" t="s">
        <v>187</v>
      </c>
      <c r="F8576">
        <v>2016</v>
      </c>
      <c r="G8576">
        <v>83.402497999999994</v>
      </c>
    </row>
    <row r="8577" spans="1:7">
      <c r="A8577" t="s">
        <v>1297</v>
      </c>
      <c r="B8577" t="s">
        <v>1298</v>
      </c>
      <c r="C8577" t="s">
        <v>663</v>
      </c>
      <c r="D8577" t="s">
        <v>1393</v>
      </c>
      <c r="E8577" t="s">
        <v>187</v>
      </c>
      <c r="F8577">
        <v>2020</v>
      </c>
      <c r="G8577">
        <v>94.062601000000001</v>
      </c>
    </row>
    <row r="8578" spans="1:7">
      <c r="A8578" t="s">
        <v>1297</v>
      </c>
      <c r="B8578" t="s">
        <v>1298</v>
      </c>
      <c r="C8578" t="s">
        <v>659</v>
      </c>
      <c r="D8578" t="s">
        <v>1393</v>
      </c>
      <c r="E8578" t="s">
        <v>187</v>
      </c>
      <c r="F8578">
        <v>2012</v>
      </c>
      <c r="G8578">
        <v>466.10161799999997</v>
      </c>
    </row>
    <row r="8579" spans="1:7">
      <c r="A8579" t="s">
        <v>1297</v>
      </c>
      <c r="B8579" t="s">
        <v>1298</v>
      </c>
      <c r="C8579" t="s">
        <v>659</v>
      </c>
      <c r="D8579" t="s">
        <v>1393</v>
      </c>
      <c r="E8579" t="s">
        <v>187</v>
      </c>
      <c r="F8579">
        <v>2016</v>
      </c>
      <c r="G8579">
        <v>338.548588</v>
      </c>
    </row>
    <row r="8580" spans="1:7">
      <c r="A8580" t="s">
        <v>1297</v>
      </c>
      <c r="B8580" t="s">
        <v>1298</v>
      </c>
      <c r="C8580" t="s">
        <v>659</v>
      </c>
      <c r="D8580" t="s">
        <v>1393</v>
      </c>
      <c r="E8580" t="s">
        <v>187</v>
      </c>
      <c r="F8580">
        <v>2020</v>
      </c>
      <c r="G8580">
        <v>534.25080100000002</v>
      </c>
    </row>
    <row r="8581" spans="1:7">
      <c r="A8581" t="s">
        <v>1297</v>
      </c>
      <c r="B8581" t="s">
        <v>1298</v>
      </c>
      <c r="C8581" t="s">
        <v>655</v>
      </c>
      <c r="D8581" t="s">
        <v>1393</v>
      </c>
      <c r="E8581" t="s">
        <v>187</v>
      </c>
      <c r="F8581">
        <v>2005</v>
      </c>
      <c r="G8581">
        <v>54.409500000000001</v>
      </c>
    </row>
    <row r="8582" spans="1:7">
      <c r="A8582" t="s">
        <v>1297</v>
      </c>
      <c r="B8582" t="s">
        <v>1298</v>
      </c>
      <c r="C8582" t="s">
        <v>655</v>
      </c>
      <c r="D8582" t="s">
        <v>1393</v>
      </c>
      <c r="E8582" t="s">
        <v>187</v>
      </c>
      <c r="F8582">
        <v>2010</v>
      </c>
      <c r="G8582">
        <v>50.139000000000003</v>
      </c>
    </row>
    <row r="8583" spans="1:7">
      <c r="A8583" t="s">
        <v>1297</v>
      </c>
      <c r="B8583" t="s">
        <v>1298</v>
      </c>
      <c r="C8583" t="s">
        <v>655</v>
      </c>
      <c r="D8583" t="s">
        <v>1393</v>
      </c>
      <c r="E8583" t="s">
        <v>187</v>
      </c>
      <c r="F8583">
        <v>2012</v>
      </c>
      <c r="G8583">
        <v>48.286799999999999</v>
      </c>
    </row>
    <row r="8584" spans="1:7">
      <c r="A8584" t="s">
        <v>1297</v>
      </c>
      <c r="B8584" t="s">
        <v>1298</v>
      </c>
      <c r="C8584" t="s">
        <v>655</v>
      </c>
      <c r="D8584" t="s">
        <v>1393</v>
      </c>
      <c r="E8584" t="s">
        <v>187</v>
      </c>
      <c r="F8584">
        <v>2016</v>
      </c>
      <c r="G8584">
        <v>60.390174999999999</v>
      </c>
    </row>
    <row r="8585" spans="1:7">
      <c r="A8585" t="s">
        <v>1297</v>
      </c>
      <c r="B8585" t="s">
        <v>1298</v>
      </c>
      <c r="C8585" t="s">
        <v>655</v>
      </c>
      <c r="D8585" t="s">
        <v>1393</v>
      </c>
      <c r="E8585" t="s">
        <v>187</v>
      </c>
      <c r="F8585">
        <v>2020</v>
      </c>
      <c r="G8585">
        <v>70.706190000000007</v>
      </c>
    </row>
    <row r="8586" spans="1:7">
      <c r="A8586" t="s">
        <v>1297</v>
      </c>
      <c r="B8586" t="s">
        <v>1298</v>
      </c>
      <c r="C8586" t="s">
        <v>1300</v>
      </c>
      <c r="D8586" t="s">
        <v>1393</v>
      </c>
      <c r="E8586" t="s">
        <v>187</v>
      </c>
      <c r="F8586">
        <v>2010</v>
      </c>
      <c r="G8586">
        <v>16.398</v>
      </c>
    </row>
    <row r="8587" spans="1:7">
      <c r="A8587" t="s">
        <v>1297</v>
      </c>
      <c r="B8587" t="s">
        <v>1298</v>
      </c>
      <c r="C8587" t="s">
        <v>1300</v>
      </c>
      <c r="D8587" t="s">
        <v>1393</v>
      </c>
      <c r="E8587" t="s">
        <v>187</v>
      </c>
      <c r="F8587">
        <v>2012</v>
      </c>
      <c r="G8587">
        <v>15.091200000000001</v>
      </c>
    </row>
    <row r="8588" spans="1:7">
      <c r="A8588" t="s">
        <v>1297</v>
      </c>
      <c r="B8588" t="s">
        <v>1298</v>
      </c>
      <c r="C8588" t="s">
        <v>1300</v>
      </c>
      <c r="D8588" t="s">
        <v>1393</v>
      </c>
      <c r="E8588" t="s">
        <v>187</v>
      </c>
      <c r="F8588">
        <v>2016</v>
      </c>
      <c r="G8588">
        <v>13.932</v>
      </c>
    </row>
    <row r="8589" spans="1:7">
      <c r="A8589" t="s">
        <v>1297</v>
      </c>
      <c r="B8589" t="s">
        <v>1298</v>
      </c>
      <c r="C8589" t="s">
        <v>1300</v>
      </c>
      <c r="D8589" t="s">
        <v>1393</v>
      </c>
      <c r="E8589" t="s">
        <v>187</v>
      </c>
      <c r="F8589">
        <v>2020</v>
      </c>
      <c r="G8589">
        <v>12.939228999999999</v>
      </c>
    </row>
    <row r="8590" spans="1:7">
      <c r="A8590" t="s">
        <v>1297</v>
      </c>
      <c r="B8590" t="s">
        <v>1298</v>
      </c>
      <c r="C8590" t="s">
        <v>1299</v>
      </c>
      <c r="D8590" t="s">
        <v>1393</v>
      </c>
      <c r="E8590" t="s">
        <v>187</v>
      </c>
      <c r="F8590">
        <v>2005</v>
      </c>
      <c r="G8590">
        <v>1154.3121000000001</v>
      </c>
    </row>
    <row r="8591" spans="1:7">
      <c r="A8591" t="s">
        <v>1297</v>
      </c>
      <c r="B8591" t="s">
        <v>1298</v>
      </c>
      <c r="C8591" t="s">
        <v>1299</v>
      </c>
      <c r="D8591" t="s">
        <v>1393</v>
      </c>
      <c r="E8591" t="s">
        <v>187</v>
      </c>
      <c r="F8591">
        <v>2010</v>
      </c>
      <c r="G8591">
        <v>649.1952</v>
      </c>
    </row>
    <row r="8592" spans="1:7">
      <c r="A8592" t="s">
        <v>1297</v>
      </c>
      <c r="B8592" t="s">
        <v>1298</v>
      </c>
      <c r="C8592" t="s">
        <v>1299</v>
      </c>
      <c r="D8592" t="s">
        <v>1393</v>
      </c>
      <c r="E8592" t="s">
        <v>187</v>
      </c>
      <c r="F8592">
        <v>2012</v>
      </c>
      <c r="G8592">
        <v>618.46469999999999</v>
      </c>
    </row>
    <row r="8593" spans="1:7">
      <c r="A8593" t="s">
        <v>1297</v>
      </c>
      <c r="B8593" t="s">
        <v>1298</v>
      </c>
      <c r="C8593" t="s">
        <v>1299</v>
      </c>
      <c r="D8593" t="s">
        <v>1393</v>
      </c>
      <c r="E8593" t="s">
        <v>187</v>
      </c>
      <c r="F8593">
        <v>2016</v>
      </c>
      <c r="G8593">
        <v>350.87310000000002</v>
      </c>
    </row>
    <row r="8594" spans="1:7">
      <c r="A8594" t="s">
        <v>1297</v>
      </c>
      <c r="B8594" t="s">
        <v>1298</v>
      </c>
      <c r="C8594" t="s">
        <v>652</v>
      </c>
      <c r="D8594" t="s">
        <v>1394</v>
      </c>
      <c r="E8594" t="s">
        <v>187</v>
      </c>
      <c r="F8594">
        <v>2020</v>
      </c>
      <c r="G8594">
        <v>1.1839000000000001E-2</v>
      </c>
    </row>
    <row r="8595" spans="1:7">
      <c r="A8595" t="s">
        <v>1297</v>
      </c>
      <c r="B8595" t="s">
        <v>1298</v>
      </c>
      <c r="C8595" t="s">
        <v>660</v>
      </c>
      <c r="D8595" t="s">
        <v>1394</v>
      </c>
      <c r="E8595" t="s">
        <v>187</v>
      </c>
      <c r="F8595">
        <v>2012</v>
      </c>
      <c r="G8595">
        <v>1.7100000000000001E-2</v>
      </c>
    </row>
    <row r="8596" spans="1:7">
      <c r="A8596" t="s">
        <v>1297</v>
      </c>
      <c r="B8596" t="s">
        <v>1298</v>
      </c>
      <c r="C8596" t="s">
        <v>660</v>
      </c>
      <c r="D8596" t="s">
        <v>1394</v>
      </c>
      <c r="E8596" t="s">
        <v>187</v>
      </c>
      <c r="F8596">
        <v>2016</v>
      </c>
      <c r="G8596">
        <v>0.29429899999999998</v>
      </c>
    </row>
    <row r="8597" spans="1:7">
      <c r="A8597" t="s">
        <v>1297</v>
      </c>
      <c r="B8597" t="s">
        <v>1298</v>
      </c>
      <c r="C8597" t="s">
        <v>660</v>
      </c>
      <c r="D8597" t="s">
        <v>1394</v>
      </c>
      <c r="E8597" t="s">
        <v>187</v>
      </c>
      <c r="F8597">
        <v>2020</v>
      </c>
      <c r="G8597">
        <v>0.34383000000000002</v>
      </c>
    </row>
    <row r="8598" spans="1:7">
      <c r="A8598" t="s">
        <v>1297</v>
      </c>
      <c r="B8598" t="s">
        <v>1298</v>
      </c>
      <c r="C8598" t="s">
        <v>677</v>
      </c>
      <c r="D8598" t="s">
        <v>1394</v>
      </c>
      <c r="E8598" t="s">
        <v>187</v>
      </c>
      <c r="F8598">
        <v>2016</v>
      </c>
      <c r="G8598">
        <v>6.1829789999999996</v>
      </c>
    </row>
    <row r="8599" spans="1:7">
      <c r="A8599" t="s">
        <v>1297</v>
      </c>
      <c r="B8599" t="s">
        <v>1298</v>
      </c>
      <c r="C8599" t="s">
        <v>677</v>
      </c>
      <c r="D8599" t="s">
        <v>1394</v>
      </c>
      <c r="E8599" t="s">
        <v>187</v>
      </c>
      <c r="F8599">
        <v>2020</v>
      </c>
      <c r="G8599">
        <v>15.83658</v>
      </c>
    </row>
    <row r="8600" spans="1:7">
      <c r="A8600" t="s">
        <v>1297</v>
      </c>
      <c r="B8600" t="s">
        <v>1298</v>
      </c>
      <c r="C8600" t="s">
        <v>670</v>
      </c>
      <c r="D8600" t="s">
        <v>1394</v>
      </c>
      <c r="E8600" t="s">
        <v>187</v>
      </c>
      <c r="F8600">
        <v>2005</v>
      </c>
      <c r="G8600">
        <v>0.44639899999999999</v>
      </c>
    </row>
    <row r="8601" spans="1:7">
      <c r="A8601" t="s">
        <v>1297</v>
      </c>
      <c r="B8601" t="s">
        <v>1298</v>
      </c>
      <c r="C8601" t="s">
        <v>670</v>
      </c>
      <c r="D8601" t="s">
        <v>1394</v>
      </c>
      <c r="E8601" t="s">
        <v>187</v>
      </c>
      <c r="F8601">
        <v>2010</v>
      </c>
      <c r="G8601">
        <v>1.2986960000000001</v>
      </c>
    </row>
    <row r="8602" spans="1:7">
      <c r="A8602" t="s">
        <v>1297</v>
      </c>
      <c r="B8602" t="s">
        <v>1298</v>
      </c>
      <c r="C8602" t="s">
        <v>670</v>
      </c>
      <c r="D8602" t="s">
        <v>1394</v>
      </c>
      <c r="E8602" t="s">
        <v>187</v>
      </c>
      <c r="F8602">
        <v>2012</v>
      </c>
      <c r="G8602">
        <v>2.8286910000000001</v>
      </c>
    </row>
    <row r="8603" spans="1:7">
      <c r="A8603" t="s">
        <v>1297</v>
      </c>
      <c r="B8603" t="s">
        <v>1298</v>
      </c>
      <c r="C8603" t="s">
        <v>670</v>
      </c>
      <c r="D8603" t="s">
        <v>1394</v>
      </c>
      <c r="E8603" t="s">
        <v>187</v>
      </c>
      <c r="F8603">
        <v>2016</v>
      </c>
      <c r="G8603">
        <v>4.0834979999999996</v>
      </c>
    </row>
    <row r="8604" spans="1:7">
      <c r="A8604" t="s">
        <v>1297</v>
      </c>
      <c r="B8604" t="s">
        <v>1298</v>
      </c>
      <c r="C8604" t="s">
        <v>670</v>
      </c>
      <c r="D8604" t="s">
        <v>1394</v>
      </c>
      <c r="E8604" t="s">
        <v>187</v>
      </c>
      <c r="F8604">
        <v>2020</v>
      </c>
      <c r="G8604">
        <v>5.9056509999999998</v>
      </c>
    </row>
    <row r="8605" spans="1:7">
      <c r="A8605" t="s">
        <v>1297</v>
      </c>
      <c r="B8605" t="s">
        <v>1298</v>
      </c>
      <c r="C8605" t="s">
        <v>665</v>
      </c>
      <c r="D8605" t="s">
        <v>1394</v>
      </c>
      <c r="E8605" t="s">
        <v>187</v>
      </c>
      <c r="F8605">
        <v>2020</v>
      </c>
      <c r="G8605">
        <v>1.712936</v>
      </c>
    </row>
    <row r="8606" spans="1:7">
      <c r="A8606" t="s">
        <v>1297</v>
      </c>
      <c r="B8606" t="s">
        <v>1298</v>
      </c>
      <c r="C8606" t="s">
        <v>663</v>
      </c>
      <c r="D8606" t="s">
        <v>1394</v>
      </c>
      <c r="E8606" t="s">
        <v>187</v>
      </c>
      <c r="F8606">
        <v>2020</v>
      </c>
      <c r="G8606">
        <v>0.2016</v>
      </c>
    </row>
    <row r="8607" spans="1:7">
      <c r="A8607" t="s">
        <v>1297</v>
      </c>
      <c r="B8607" t="s">
        <v>1298</v>
      </c>
      <c r="C8607" t="s">
        <v>657</v>
      </c>
      <c r="D8607" t="s">
        <v>1394</v>
      </c>
      <c r="E8607" t="s">
        <v>187</v>
      </c>
      <c r="F8607">
        <v>2016</v>
      </c>
      <c r="G8607">
        <v>3.1062059999999998</v>
      </c>
    </row>
    <row r="8608" spans="1:7">
      <c r="A8608" t="s">
        <v>1297</v>
      </c>
      <c r="B8608" t="s">
        <v>1298</v>
      </c>
      <c r="C8608" t="s">
        <v>657</v>
      </c>
      <c r="D8608" t="s">
        <v>1394</v>
      </c>
      <c r="E8608" t="s">
        <v>187</v>
      </c>
      <c r="F8608">
        <v>2020</v>
      </c>
      <c r="G8608">
        <v>9.6065529999999999</v>
      </c>
    </row>
    <row r="8609" spans="1:7">
      <c r="A8609" t="s">
        <v>1297</v>
      </c>
      <c r="B8609" t="s">
        <v>1298</v>
      </c>
      <c r="C8609" t="s">
        <v>659</v>
      </c>
      <c r="D8609" t="s">
        <v>1394</v>
      </c>
      <c r="E8609" t="s">
        <v>187</v>
      </c>
      <c r="F8609">
        <v>2020</v>
      </c>
      <c r="G8609">
        <v>0.32490000000000002</v>
      </c>
    </row>
    <row r="8610" spans="1:7">
      <c r="A8610" t="s">
        <v>1297</v>
      </c>
      <c r="B8610" t="s">
        <v>1298</v>
      </c>
      <c r="C8610" t="s">
        <v>667</v>
      </c>
      <c r="D8610" t="s">
        <v>1394</v>
      </c>
      <c r="E8610" t="s">
        <v>187</v>
      </c>
      <c r="F8610">
        <v>2012</v>
      </c>
      <c r="G8610">
        <v>0.15167700000000001</v>
      </c>
    </row>
    <row r="8611" spans="1:7">
      <c r="A8611" t="s">
        <v>1297</v>
      </c>
      <c r="B8611" t="s">
        <v>1298</v>
      </c>
      <c r="C8611" t="s">
        <v>667</v>
      </c>
      <c r="D8611" t="s">
        <v>1394</v>
      </c>
      <c r="E8611" t="s">
        <v>187</v>
      </c>
      <c r="F8611">
        <v>2016</v>
      </c>
      <c r="G8611">
        <v>0.19630900000000001</v>
      </c>
    </row>
    <row r="8612" spans="1:7">
      <c r="A8612" t="s">
        <v>1297</v>
      </c>
      <c r="B8612" t="s">
        <v>1298</v>
      </c>
      <c r="C8612" t="s">
        <v>667</v>
      </c>
      <c r="D8612" t="s">
        <v>1394</v>
      </c>
      <c r="E8612" t="s">
        <v>187</v>
      </c>
      <c r="F8612">
        <v>2020</v>
      </c>
      <c r="G8612">
        <v>0.129603</v>
      </c>
    </row>
    <row r="8613" spans="1:7">
      <c r="A8613" t="s">
        <v>1297</v>
      </c>
      <c r="B8613" t="s">
        <v>1298</v>
      </c>
      <c r="C8613" t="s">
        <v>661</v>
      </c>
      <c r="D8613" t="s">
        <v>1394</v>
      </c>
      <c r="E8613" t="s">
        <v>187</v>
      </c>
      <c r="F8613">
        <v>2012</v>
      </c>
      <c r="G8613">
        <v>1.8338E-2</v>
      </c>
    </row>
    <row r="8614" spans="1:7">
      <c r="A8614" t="s">
        <v>1297</v>
      </c>
      <c r="B8614" t="s">
        <v>1298</v>
      </c>
      <c r="C8614" t="s">
        <v>661</v>
      </c>
      <c r="D8614" t="s">
        <v>1394</v>
      </c>
      <c r="E8614" t="s">
        <v>187</v>
      </c>
      <c r="F8614">
        <v>2016</v>
      </c>
      <c r="G8614">
        <v>0.69698800000000005</v>
      </c>
    </row>
    <row r="8615" spans="1:7">
      <c r="A8615" t="s">
        <v>1297</v>
      </c>
      <c r="B8615" t="s">
        <v>1298</v>
      </c>
      <c r="C8615" t="s">
        <v>661</v>
      </c>
      <c r="D8615" t="s">
        <v>1394</v>
      </c>
      <c r="E8615" t="s">
        <v>187</v>
      </c>
      <c r="F8615">
        <v>2020</v>
      </c>
      <c r="G8615">
        <v>4.0022209999999996</v>
      </c>
    </row>
    <row r="8616" spans="1:7">
      <c r="A8616" t="s">
        <v>1297</v>
      </c>
      <c r="B8616" t="s">
        <v>1298</v>
      </c>
      <c r="C8616" t="s">
        <v>1300</v>
      </c>
      <c r="D8616" t="s">
        <v>1395</v>
      </c>
      <c r="E8616" t="s">
        <v>187</v>
      </c>
      <c r="F8616">
        <v>2020</v>
      </c>
      <c r="G8616">
        <v>1.4490000000000001</v>
      </c>
    </row>
    <row r="8617" spans="1:7">
      <c r="A8617" t="s">
        <v>1297</v>
      </c>
      <c r="B8617" t="s">
        <v>1298</v>
      </c>
      <c r="C8617" t="s">
        <v>656</v>
      </c>
      <c r="D8617" t="s">
        <v>1395</v>
      </c>
      <c r="E8617" t="s">
        <v>187</v>
      </c>
      <c r="F8617">
        <v>2005</v>
      </c>
      <c r="G8617">
        <v>39.055999999999997</v>
      </c>
    </row>
    <row r="8618" spans="1:7">
      <c r="A8618" t="s">
        <v>1297</v>
      </c>
      <c r="B8618" t="s">
        <v>1298</v>
      </c>
      <c r="C8618" t="s">
        <v>656</v>
      </c>
      <c r="D8618" t="s">
        <v>1395</v>
      </c>
      <c r="E8618" t="s">
        <v>187</v>
      </c>
      <c r="F8618">
        <v>2010</v>
      </c>
      <c r="G8618">
        <v>39.42</v>
      </c>
    </row>
    <row r="8619" spans="1:7">
      <c r="A8619" t="s">
        <v>1297</v>
      </c>
      <c r="B8619" t="s">
        <v>1298</v>
      </c>
      <c r="C8619" t="s">
        <v>656</v>
      </c>
      <c r="D8619" t="s">
        <v>1395</v>
      </c>
      <c r="E8619" t="s">
        <v>187</v>
      </c>
      <c r="F8619">
        <v>2012</v>
      </c>
      <c r="G8619">
        <v>40.673000000000002</v>
      </c>
    </row>
    <row r="8620" spans="1:7">
      <c r="A8620" t="s">
        <v>1297</v>
      </c>
      <c r="B8620" t="s">
        <v>1298</v>
      </c>
      <c r="C8620" t="s">
        <v>656</v>
      </c>
      <c r="D8620" t="s">
        <v>1395</v>
      </c>
      <c r="E8620" t="s">
        <v>187</v>
      </c>
      <c r="F8620">
        <v>2016</v>
      </c>
      <c r="G8620">
        <v>47.09</v>
      </c>
    </row>
    <row r="8621" spans="1:7">
      <c r="A8621" t="s">
        <v>1297</v>
      </c>
      <c r="B8621" t="s">
        <v>1298</v>
      </c>
      <c r="C8621" t="s">
        <v>656</v>
      </c>
      <c r="D8621" t="s">
        <v>1395</v>
      </c>
      <c r="E8621" t="s">
        <v>187</v>
      </c>
      <c r="F8621">
        <v>2020</v>
      </c>
      <c r="G8621">
        <v>40.771999999999998</v>
      </c>
    </row>
    <row r="8622" spans="1:7">
      <c r="A8622" t="s">
        <v>1297</v>
      </c>
      <c r="B8622" t="s">
        <v>1298</v>
      </c>
      <c r="C8622" t="s">
        <v>665</v>
      </c>
      <c r="D8622" t="s">
        <v>1395</v>
      </c>
      <c r="E8622" t="s">
        <v>187</v>
      </c>
      <c r="F8622">
        <v>2012</v>
      </c>
      <c r="G8622">
        <v>0.86299999999999999</v>
      </c>
    </row>
    <row r="8623" spans="1:7">
      <c r="A8623" t="s">
        <v>1297</v>
      </c>
      <c r="B8623" t="s">
        <v>1298</v>
      </c>
      <c r="C8623" t="s">
        <v>665</v>
      </c>
      <c r="D8623" t="s">
        <v>1395</v>
      </c>
      <c r="E8623" t="s">
        <v>187</v>
      </c>
      <c r="F8623">
        <v>2016</v>
      </c>
      <c r="G8623">
        <v>1.002</v>
      </c>
    </row>
    <row r="8624" spans="1:7">
      <c r="A8624" t="s">
        <v>1297</v>
      </c>
      <c r="B8624" t="s">
        <v>1298</v>
      </c>
      <c r="C8624" t="s">
        <v>665</v>
      </c>
      <c r="D8624" t="s">
        <v>1395</v>
      </c>
      <c r="E8624" t="s">
        <v>187</v>
      </c>
      <c r="F8624">
        <v>2020</v>
      </c>
      <c r="G8624">
        <v>2.529493</v>
      </c>
    </row>
    <row r="8625" spans="1:7">
      <c r="A8625" t="s">
        <v>1297</v>
      </c>
      <c r="B8625" t="s">
        <v>1298</v>
      </c>
      <c r="C8625" t="s">
        <v>666</v>
      </c>
      <c r="D8625" t="s">
        <v>1395</v>
      </c>
      <c r="E8625" t="s">
        <v>187</v>
      </c>
      <c r="F8625">
        <v>2005</v>
      </c>
      <c r="G8625">
        <v>7.4580000000000002</v>
      </c>
    </row>
    <row r="8626" spans="1:7">
      <c r="A8626" t="s">
        <v>1297</v>
      </c>
      <c r="B8626" t="s">
        <v>1298</v>
      </c>
      <c r="C8626" t="s">
        <v>666</v>
      </c>
      <c r="D8626" t="s">
        <v>1395</v>
      </c>
      <c r="E8626" t="s">
        <v>187</v>
      </c>
      <c r="F8626">
        <v>2010</v>
      </c>
      <c r="G8626">
        <v>6.1859999999999999</v>
      </c>
    </row>
    <row r="8627" spans="1:7">
      <c r="A8627" t="s">
        <v>1297</v>
      </c>
      <c r="B8627" t="s">
        <v>1298</v>
      </c>
      <c r="C8627" t="s">
        <v>666</v>
      </c>
      <c r="D8627" t="s">
        <v>1395</v>
      </c>
      <c r="E8627" t="s">
        <v>187</v>
      </c>
      <c r="F8627">
        <v>2012</v>
      </c>
      <c r="G8627">
        <v>5.7060000000000004</v>
      </c>
    </row>
    <row r="8628" spans="1:7">
      <c r="A8628" t="s">
        <v>1297</v>
      </c>
      <c r="B8628" t="s">
        <v>1298</v>
      </c>
      <c r="C8628" t="s">
        <v>666</v>
      </c>
      <c r="D8628" t="s">
        <v>1395</v>
      </c>
      <c r="E8628" t="s">
        <v>187</v>
      </c>
      <c r="F8628">
        <v>2016</v>
      </c>
      <c r="G8628">
        <v>5.0250000000000004</v>
      </c>
    </row>
    <row r="8629" spans="1:7">
      <c r="A8629" t="s">
        <v>1297</v>
      </c>
      <c r="B8629" t="s">
        <v>1298</v>
      </c>
      <c r="C8629" t="s">
        <v>666</v>
      </c>
      <c r="D8629" t="s">
        <v>1395</v>
      </c>
      <c r="E8629" t="s">
        <v>187</v>
      </c>
      <c r="F8629">
        <v>2020</v>
      </c>
      <c r="G8629">
        <v>4.5049999999999999</v>
      </c>
    </row>
    <row r="8630" spans="1:7">
      <c r="A8630" t="s">
        <v>1297</v>
      </c>
      <c r="B8630" t="s">
        <v>1298</v>
      </c>
      <c r="C8630" t="s">
        <v>653</v>
      </c>
      <c r="D8630" t="s">
        <v>1395</v>
      </c>
      <c r="E8630" t="s">
        <v>187</v>
      </c>
      <c r="F8630">
        <v>2005</v>
      </c>
      <c r="G8630">
        <v>4.5990000000000002</v>
      </c>
    </row>
    <row r="8631" spans="1:7">
      <c r="A8631" t="s">
        <v>1297</v>
      </c>
      <c r="B8631" t="s">
        <v>1298</v>
      </c>
      <c r="C8631" t="s">
        <v>653</v>
      </c>
      <c r="D8631" t="s">
        <v>1395</v>
      </c>
      <c r="E8631" t="s">
        <v>187</v>
      </c>
      <c r="F8631">
        <v>2010</v>
      </c>
      <c r="G8631">
        <v>5.8410000000000002</v>
      </c>
    </row>
    <row r="8632" spans="1:7">
      <c r="A8632" t="s">
        <v>1297</v>
      </c>
      <c r="B8632" t="s">
        <v>1298</v>
      </c>
      <c r="C8632" t="s">
        <v>653</v>
      </c>
      <c r="D8632" t="s">
        <v>1395</v>
      </c>
      <c r="E8632" t="s">
        <v>187</v>
      </c>
      <c r="F8632">
        <v>2012</v>
      </c>
      <c r="G8632">
        <v>5.9119999999999999</v>
      </c>
    </row>
    <row r="8633" spans="1:7">
      <c r="A8633" t="s">
        <v>1297</v>
      </c>
      <c r="B8633" t="s">
        <v>1298</v>
      </c>
      <c r="C8633" t="s">
        <v>653</v>
      </c>
      <c r="D8633" t="s">
        <v>1395</v>
      </c>
      <c r="E8633" t="s">
        <v>187</v>
      </c>
      <c r="F8633">
        <v>2016</v>
      </c>
      <c r="G8633">
        <v>6.3310000000000004</v>
      </c>
    </row>
    <row r="8634" spans="1:7">
      <c r="A8634" t="s">
        <v>1297</v>
      </c>
      <c r="B8634" t="s">
        <v>1298</v>
      </c>
      <c r="C8634" t="s">
        <v>653</v>
      </c>
      <c r="D8634" t="s">
        <v>1395</v>
      </c>
      <c r="E8634" t="s">
        <v>187</v>
      </c>
      <c r="F8634">
        <v>2020</v>
      </c>
      <c r="G8634">
        <v>7.2875949999999996</v>
      </c>
    </row>
    <row r="8635" spans="1:7">
      <c r="A8635" t="s">
        <v>1297</v>
      </c>
      <c r="B8635" t="s">
        <v>1298</v>
      </c>
      <c r="C8635" t="s">
        <v>289</v>
      </c>
      <c r="D8635" t="s">
        <v>1395</v>
      </c>
      <c r="E8635" t="s">
        <v>187</v>
      </c>
      <c r="F8635">
        <v>2005</v>
      </c>
      <c r="G8635">
        <v>1.673</v>
      </c>
    </row>
    <row r="8636" spans="1:7">
      <c r="A8636" t="s">
        <v>1297</v>
      </c>
      <c r="B8636" t="s">
        <v>1298</v>
      </c>
      <c r="C8636" t="s">
        <v>289</v>
      </c>
      <c r="D8636" t="s">
        <v>1395</v>
      </c>
      <c r="E8636" t="s">
        <v>187</v>
      </c>
      <c r="F8636">
        <v>2010</v>
      </c>
      <c r="G8636">
        <v>1.5329999999999999</v>
      </c>
    </row>
    <row r="8637" spans="1:7">
      <c r="A8637" t="s">
        <v>1297</v>
      </c>
      <c r="B8637" t="s">
        <v>1298</v>
      </c>
      <c r="C8637" t="s">
        <v>289</v>
      </c>
      <c r="D8637" t="s">
        <v>1395</v>
      </c>
      <c r="E8637" t="s">
        <v>187</v>
      </c>
      <c r="F8637">
        <v>2012</v>
      </c>
      <c r="G8637">
        <v>1.389</v>
      </c>
    </row>
    <row r="8638" spans="1:7">
      <c r="A8638" t="s">
        <v>1297</v>
      </c>
      <c r="B8638" t="s">
        <v>1298</v>
      </c>
      <c r="C8638" t="s">
        <v>289</v>
      </c>
      <c r="D8638" t="s">
        <v>1395</v>
      </c>
      <c r="E8638" t="s">
        <v>187</v>
      </c>
      <c r="F8638">
        <v>2016</v>
      </c>
      <c r="G8638">
        <v>1.4870000000000001</v>
      </c>
    </row>
    <row r="8639" spans="1:7">
      <c r="A8639" t="s">
        <v>1297</v>
      </c>
      <c r="B8639" t="s">
        <v>1298</v>
      </c>
      <c r="C8639" t="s">
        <v>289</v>
      </c>
      <c r="D8639" t="s">
        <v>1395</v>
      </c>
      <c r="E8639" t="s">
        <v>187</v>
      </c>
      <c r="F8639">
        <v>2020</v>
      </c>
      <c r="G8639">
        <v>1.7002999999999999</v>
      </c>
    </row>
    <row r="8640" spans="1:7">
      <c r="A8640" t="s">
        <v>1297</v>
      </c>
      <c r="B8640" t="s">
        <v>1298</v>
      </c>
      <c r="C8640" t="s">
        <v>658</v>
      </c>
      <c r="D8640" t="s">
        <v>1395</v>
      </c>
      <c r="E8640" t="s">
        <v>187</v>
      </c>
      <c r="F8640">
        <v>2005</v>
      </c>
      <c r="G8640">
        <v>3.508</v>
      </c>
    </row>
    <row r="8641" spans="1:7">
      <c r="A8641" t="s">
        <v>1297</v>
      </c>
      <c r="B8641" t="s">
        <v>1298</v>
      </c>
      <c r="C8641" t="s">
        <v>658</v>
      </c>
      <c r="D8641" t="s">
        <v>1395</v>
      </c>
      <c r="E8641" t="s">
        <v>187</v>
      </c>
      <c r="F8641">
        <v>2010</v>
      </c>
      <c r="G8641">
        <v>2.8079999999999998</v>
      </c>
    </row>
    <row r="8642" spans="1:7">
      <c r="A8642" t="s">
        <v>1297</v>
      </c>
      <c r="B8642" t="s">
        <v>1298</v>
      </c>
      <c r="C8642" t="s">
        <v>658</v>
      </c>
      <c r="D8642" t="s">
        <v>1395</v>
      </c>
      <c r="E8642" t="s">
        <v>187</v>
      </c>
      <c r="F8642">
        <v>2012</v>
      </c>
      <c r="G8642">
        <v>3.5350000000000001</v>
      </c>
    </row>
    <row r="8643" spans="1:7">
      <c r="A8643" t="s">
        <v>1297</v>
      </c>
      <c r="B8643" t="s">
        <v>1298</v>
      </c>
      <c r="C8643" t="s">
        <v>658</v>
      </c>
      <c r="D8643" t="s">
        <v>1395</v>
      </c>
      <c r="E8643" t="s">
        <v>187</v>
      </c>
      <c r="F8643">
        <v>2016</v>
      </c>
      <c r="G8643">
        <v>3.2440000000000002</v>
      </c>
    </row>
    <row r="8644" spans="1:7">
      <c r="A8644" t="s">
        <v>1297</v>
      </c>
      <c r="B8644" t="s">
        <v>1298</v>
      </c>
      <c r="C8644" t="s">
        <v>658</v>
      </c>
      <c r="D8644" t="s">
        <v>1395</v>
      </c>
      <c r="E8644" t="s">
        <v>187</v>
      </c>
      <c r="F8644">
        <v>2020</v>
      </c>
      <c r="G8644">
        <v>2.8</v>
      </c>
    </row>
    <row r="8645" spans="1:7">
      <c r="A8645" t="s">
        <v>1297</v>
      </c>
      <c r="B8645" t="s">
        <v>1298</v>
      </c>
      <c r="C8645" t="s">
        <v>670</v>
      </c>
      <c r="D8645" t="s">
        <v>1395</v>
      </c>
      <c r="E8645" t="s">
        <v>187</v>
      </c>
      <c r="F8645">
        <v>2005</v>
      </c>
      <c r="G8645">
        <v>5.0540000000000003</v>
      </c>
    </row>
    <row r="8646" spans="1:7">
      <c r="A8646" t="s">
        <v>1297</v>
      </c>
      <c r="B8646" t="s">
        <v>1298</v>
      </c>
      <c r="C8646" t="s">
        <v>670</v>
      </c>
      <c r="D8646" t="s">
        <v>1395</v>
      </c>
      <c r="E8646" t="s">
        <v>187</v>
      </c>
      <c r="F8646">
        <v>2010</v>
      </c>
      <c r="G8646">
        <v>4.1680000000000001</v>
      </c>
    </row>
    <row r="8647" spans="1:7">
      <c r="A8647" t="s">
        <v>1297</v>
      </c>
      <c r="B8647" t="s">
        <v>1298</v>
      </c>
      <c r="C8647" t="s">
        <v>670</v>
      </c>
      <c r="D8647" t="s">
        <v>1395</v>
      </c>
      <c r="E8647" t="s">
        <v>187</v>
      </c>
      <c r="F8647">
        <v>2012</v>
      </c>
      <c r="G8647">
        <v>3.4390000000000001</v>
      </c>
    </row>
    <row r="8648" spans="1:7">
      <c r="A8648" t="s">
        <v>1297</v>
      </c>
      <c r="B8648" t="s">
        <v>1298</v>
      </c>
      <c r="C8648" t="s">
        <v>670</v>
      </c>
      <c r="D8648" t="s">
        <v>1395</v>
      </c>
      <c r="E8648" t="s">
        <v>187</v>
      </c>
      <c r="F8648">
        <v>2016</v>
      </c>
      <c r="G8648">
        <v>8.6571429999999996</v>
      </c>
    </row>
    <row r="8649" spans="1:7">
      <c r="A8649" t="s">
        <v>1297</v>
      </c>
      <c r="B8649" t="s">
        <v>1298</v>
      </c>
      <c r="C8649" t="s">
        <v>670</v>
      </c>
      <c r="D8649" t="s">
        <v>1395</v>
      </c>
      <c r="E8649" t="s">
        <v>187</v>
      </c>
      <c r="F8649">
        <v>2020</v>
      </c>
      <c r="G8649">
        <v>8.1069809999999993</v>
      </c>
    </row>
    <row r="8650" spans="1:7">
      <c r="A8650" t="s">
        <v>1297</v>
      </c>
      <c r="B8650" t="s">
        <v>1298</v>
      </c>
      <c r="C8650" t="s">
        <v>663</v>
      </c>
      <c r="D8650" t="s">
        <v>1395</v>
      </c>
      <c r="E8650" t="s">
        <v>187</v>
      </c>
      <c r="F8650">
        <v>2005</v>
      </c>
      <c r="G8650">
        <v>5.0529999999999999</v>
      </c>
    </row>
    <row r="8651" spans="1:7">
      <c r="A8651" t="s">
        <v>1297</v>
      </c>
      <c r="B8651" t="s">
        <v>1298</v>
      </c>
      <c r="C8651" t="s">
        <v>663</v>
      </c>
      <c r="D8651" t="s">
        <v>1395</v>
      </c>
      <c r="E8651" t="s">
        <v>187</v>
      </c>
      <c r="F8651">
        <v>2010</v>
      </c>
      <c r="G8651">
        <v>4.2560000000000002</v>
      </c>
    </row>
    <row r="8652" spans="1:7">
      <c r="A8652" t="s">
        <v>1297</v>
      </c>
      <c r="B8652" t="s">
        <v>1298</v>
      </c>
      <c r="C8652" t="s">
        <v>663</v>
      </c>
      <c r="D8652" t="s">
        <v>1395</v>
      </c>
      <c r="E8652" t="s">
        <v>187</v>
      </c>
      <c r="F8652">
        <v>2012</v>
      </c>
      <c r="G8652">
        <v>3.3570000000000002</v>
      </c>
    </row>
    <row r="8653" spans="1:7">
      <c r="A8653" t="s">
        <v>1297</v>
      </c>
      <c r="B8653" t="s">
        <v>1298</v>
      </c>
      <c r="C8653" t="s">
        <v>663</v>
      </c>
      <c r="D8653" t="s">
        <v>1395</v>
      </c>
      <c r="E8653" t="s">
        <v>187</v>
      </c>
      <c r="F8653">
        <v>2016</v>
      </c>
      <c r="G8653">
        <v>4.0179999999999998</v>
      </c>
    </row>
    <row r="8654" spans="1:7">
      <c r="A8654" t="s">
        <v>1297</v>
      </c>
      <c r="B8654" t="s">
        <v>1298</v>
      </c>
      <c r="C8654" t="s">
        <v>663</v>
      </c>
      <c r="D8654" t="s">
        <v>1395</v>
      </c>
      <c r="E8654" t="s">
        <v>187</v>
      </c>
      <c r="F8654">
        <v>2020</v>
      </c>
      <c r="G8654">
        <v>3.2919999999999998</v>
      </c>
    </row>
    <row r="8655" spans="1:7">
      <c r="A8655" t="s">
        <v>1297</v>
      </c>
      <c r="B8655" t="s">
        <v>1298</v>
      </c>
      <c r="C8655" t="s">
        <v>673</v>
      </c>
      <c r="D8655" t="s">
        <v>1395</v>
      </c>
      <c r="E8655" t="s">
        <v>187</v>
      </c>
      <c r="F8655">
        <v>2005</v>
      </c>
      <c r="G8655">
        <v>25.166</v>
      </c>
    </row>
    <row r="8656" spans="1:7">
      <c r="A8656" t="s">
        <v>1297</v>
      </c>
      <c r="B8656" t="s">
        <v>1298</v>
      </c>
      <c r="C8656" t="s">
        <v>673</v>
      </c>
      <c r="D8656" t="s">
        <v>1395</v>
      </c>
      <c r="E8656" t="s">
        <v>187</v>
      </c>
      <c r="F8656">
        <v>2010</v>
      </c>
      <c r="G8656">
        <v>18.542999999999999</v>
      </c>
    </row>
    <row r="8657" spans="1:7">
      <c r="A8657" t="s">
        <v>1297</v>
      </c>
      <c r="B8657" t="s">
        <v>1298</v>
      </c>
      <c r="C8657" t="s">
        <v>673</v>
      </c>
      <c r="D8657" t="s">
        <v>1395</v>
      </c>
      <c r="E8657" t="s">
        <v>187</v>
      </c>
      <c r="F8657">
        <v>2012</v>
      </c>
      <c r="G8657">
        <v>16.032</v>
      </c>
    </row>
    <row r="8658" spans="1:7">
      <c r="A8658" t="s">
        <v>1297</v>
      </c>
      <c r="B8658" t="s">
        <v>1298</v>
      </c>
      <c r="C8658" t="s">
        <v>673</v>
      </c>
      <c r="D8658" t="s">
        <v>1395</v>
      </c>
      <c r="E8658" t="s">
        <v>187</v>
      </c>
      <c r="F8658">
        <v>2016</v>
      </c>
      <c r="G8658">
        <v>14.537000000000001</v>
      </c>
    </row>
    <row r="8659" spans="1:7">
      <c r="A8659" t="s">
        <v>1297</v>
      </c>
      <c r="B8659" t="s">
        <v>1298</v>
      </c>
      <c r="C8659" t="s">
        <v>673</v>
      </c>
      <c r="D8659" t="s">
        <v>1395</v>
      </c>
      <c r="E8659" t="s">
        <v>187</v>
      </c>
      <c r="F8659">
        <v>2020</v>
      </c>
      <c r="G8659">
        <v>9.3978289999999998</v>
      </c>
    </row>
    <row r="8660" spans="1:7">
      <c r="A8660" t="s">
        <v>1297</v>
      </c>
      <c r="B8660" t="s">
        <v>1298</v>
      </c>
      <c r="C8660" t="s">
        <v>660</v>
      </c>
      <c r="D8660" t="s">
        <v>1395</v>
      </c>
      <c r="E8660" t="s">
        <v>187</v>
      </c>
      <c r="F8660">
        <v>2005</v>
      </c>
      <c r="G8660">
        <v>15.362</v>
      </c>
    </row>
    <row r="8661" spans="1:7">
      <c r="A8661" t="s">
        <v>1297</v>
      </c>
      <c r="B8661" t="s">
        <v>1298</v>
      </c>
      <c r="C8661" t="s">
        <v>660</v>
      </c>
      <c r="D8661" t="s">
        <v>1395</v>
      </c>
      <c r="E8661" t="s">
        <v>187</v>
      </c>
      <c r="F8661">
        <v>2010</v>
      </c>
      <c r="G8661">
        <v>16.928999999999998</v>
      </c>
    </row>
    <row r="8662" spans="1:7">
      <c r="A8662" t="s">
        <v>1297</v>
      </c>
      <c r="B8662" t="s">
        <v>1298</v>
      </c>
      <c r="C8662" t="s">
        <v>660</v>
      </c>
      <c r="D8662" t="s">
        <v>1395</v>
      </c>
      <c r="E8662" t="s">
        <v>187</v>
      </c>
      <c r="F8662">
        <v>2012</v>
      </c>
      <c r="G8662">
        <v>16.289000000000001</v>
      </c>
    </row>
    <row r="8663" spans="1:7">
      <c r="A8663" t="s">
        <v>1297</v>
      </c>
      <c r="B8663" t="s">
        <v>1298</v>
      </c>
      <c r="C8663" t="s">
        <v>660</v>
      </c>
      <c r="D8663" t="s">
        <v>1395</v>
      </c>
      <c r="E8663" t="s">
        <v>187</v>
      </c>
      <c r="F8663">
        <v>2016</v>
      </c>
      <c r="G8663">
        <v>16.196999999999999</v>
      </c>
    </row>
    <row r="8664" spans="1:7">
      <c r="A8664" t="s">
        <v>1297</v>
      </c>
      <c r="B8664" t="s">
        <v>1298</v>
      </c>
      <c r="C8664" t="s">
        <v>660</v>
      </c>
      <c r="D8664" t="s">
        <v>1395</v>
      </c>
      <c r="E8664" t="s">
        <v>187</v>
      </c>
      <c r="F8664">
        <v>2020</v>
      </c>
      <c r="G8664">
        <v>13.698</v>
      </c>
    </row>
    <row r="8665" spans="1:7">
      <c r="A8665" t="s">
        <v>1297</v>
      </c>
      <c r="B8665" t="s">
        <v>1298</v>
      </c>
      <c r="C8665" t="s">
        <v>657</v>
      </c>
      <c r="D8665" t="s">
        <v>1395</v>
      </c>
      <c r="E8665" t="s">
        <v>187</v>
      </c>
      <c r="F8665">
        <v>2005</v>
      </c>
      <c r="G8665">
        <v>25.462</v>
      </c>
    </row>
    <row r="8666" spans="1:7">
      <c r="A8666" t="s">
        <v>1297</v>
      </c>
      <c r="B8666" t="s">
        <v>1298</v>
      </c>
      <c r="C8666" t="s">
        <v>657</v>
      </c>
      <c r="D8666" t="s">
        <v>1395</v>
      </c>
      <c r="E8666" t="s">
        <v>187</v>
      </c>
      <c r="F8666">
        <v>2010</v>
      </c>
      <c r="G8666">
        <v>29.872</v>
      </c>
    </row>
    <row r="8667" spans="1:7">
      <c r="A8667" t="s">
        <v>1297</v>
      </c>
      <c r="B8667" t="s">
        <v>1298</v>
      </c>
      <c r="C8667" t="s">
        <v>657</v>
      </c>
      <c r="D8667" t="s">
        <v>1395</v>
      </c>
      <c r="E8667" t="s">
        <v>187</v>
      </c>
      <c r="F8667">
        <v>2012</v>
      </c>
      <c r="G8667">
        <v>27.074999999999999</v>
      </c>
    </row>
    <row r="8668" spans="1:7">
      <c r="A8668" t="s">
        <v>1297</v>
      </c>
      <c r="B8668" t="s">
        <v>1298</v>
      </c>
      <c r="C8668" t="s">
        <v>657</v>
      </c>
      <c r="D8668" t="s">
        <v>1395</v>
      </c>
      <c r="E8668" t="s">
        <v>187</v>
      </c>
      <c r="F8668">
        <v>2016</v>
      </c>
      <c r="G8668">
        <v>26.869185000000002</v>
      </c>
    </row>
    <row r="8669" spans="1:7">
      <c r="A8669" t="s">
        <v>1297</v>
      </c>
      <c r="B8669" t="s">
        <v>1298</v>
      </c>
      <c r="C8669" t="s">
        <v>657</v>
      </c>
      <c r="D8669" t="s">
        <v>1395</v>
      </c>
      <c r="E8669" t="s">
        <v>187</v>
      </c>
      <c r="F8669">
        <v>2020</v>
      </c>
      <c r="G8669">
        <v>26.117533999999999</v>
      </c>
    </row>
    <row r="8670" spans="1:7">
      <c r="A8670" t="s">
        <v>1297</v>
      </c>
      <c r="B8670" t="s">
        <v>1298</v>
      </c>
      <c r="C8670" t="s">
        <v>1302</v>
      </c>
      <c r="D8670" t="s">
        <v>1395</v>
      </c>
      <c r="E8670" t="s">
        <v>187</v>
      </c>
      <c r="F8670">
        <v>2005</v>
      </c>
      <c r="G8670">
        <v>0.14699999999999999</v>
      </c>
    </row>
    <row r="8671" spans="1:7">
      <c r="A8671" t="s">
        <v>1297</v>
      </c>
      <c r="B8671" t="s">
        <v>1298</v>
      </c>
      <c r="C8671" t="s">
        <v>1302</v>
      </c>
      <c r="D8671" t="s">
        <v>1395</v>
      </c>
      <c r="E8671" t="s">
        <v>187</v>
      </c>
      <c r="F8671">
        <v>2010</v>
      </c>
      <c r="G8671">
        <v>4.4999999999999998E-2</v>
      </c>
    </row>
    <row r="8672" spans="1:7">
      <c r="A8672" t="s">
        <v>1297</v>
      </c>
      <c r="B8672" t="s">
        <v>1298</v>
      </c>
      <c r="C8672" t="s">
        <v>1302</v>
      </c>
      <c r="D8672" t="s">
        <v>1395</v>
      </c>
      <c r="E8672" t="s">
        <v>187</v>
      </c>
      <c r="F8672">
        <v>2012</v>
      </c>
      <c r="G8672">
        <v>3.2000000000000001E-2</v>
      </c>
    </row>
    <row r="8673" spans="1:7">
      <c r="A8673" t="s">
        <v>1297</v>
      </c>
      <c r="B8673" t="s">
        <v>1298</v>
      </c>
      <c r="C8673" t="s">
        <v>1302</v>
      </c>
      <c r="D8673" t="s">
        <v>1395</v>
      </c>
      <c r="E8673" t="s">
        <v>187</v>
      </c>
      <c r="F8673">
        <v>2016</v>
      </c>
      <c r="G8673">
        <v>0.125</v>
      </c>
    </row>
    <row r="8674" spans="1:7">
      <c r="A8674" t="s">
        <v>1297</v>
      </c>
      <c r="B8674" t="s">
        <v>1298</v>
      </c>
      <c r="C8674" t="s">
        <v>1302</v>
      </c>
      <c r="D8674" t="s">
        <v>1395</v>
      </c>
      <c r="E8674" t="s">
        <v>187</v>
      </c>
      <c r="F8674">
        <v>2020</v>
      </c>
      <c r="G8674">
        <v>0.101201</v>
      </c>
    </row>
    <row r="8675" spans="1:7">
      <c r="A8675" t="s">
        <v>1297</v>
      </c>
      <c r="B8675" t="s">
        <v>1298</v>
      </c>
      <c r="C8675" t="s">
        <v>668</v>
      </c>
      <c r="D8675" t="s">
        <v>1395</v>
      </c>
      <c r="E8675" t="s">
        <v>187</v>
      </c>
      <c r="F8675">
        <v>2005</v>
      </c>
      <c r="G8675">
        <v>5.0330000000000004</v>
      </c>
    </row>
    <row r="8676" spans="1:7">
      <c r="A8676" t="s">
        <v>1297</v>
      </c>
      <c r="B8676" t="s">
        <v>1298</v>
      </c>
      <c r="C8676" t="s">
        <v>668</v>
      </c>
      <c r="D8676" t="s">
        <v>1395</v>
      </c>
      <c r="E8676" t="s">
        <v>187</v>
      </c>
      <c r="F8676">
        <v>2010</v>
      </c>
      <c r="G8676">
        <v>4.0460000000000003</v>
      </c>
    </row>
    <row r="8677" spans="1:7">
      <c r="A8677" t="s">
        <v>1297</v>
      </c>
      <c r="B8677" t="s">
        <v>1298</v>
      </c>
      <c r="C8677" t="s">
        <v>668</v>
      </c>
      <c r="D8677" t="s">
        <v>1395</v>
      </c>
      <c r="E8677" t="s">
        <v>187</v>
      </c>
      <c r="F8677">
        <v>2012</v>
      </c>
      <c r="G8677">
        <v>3.7839999999999998</v>
      </c>
    </row>
    <row r="8678" spans="1:7">
      <c r="A8678" t="s">
        <v>1297</v>
      </c>
      <c r="B8678" t="s">
        <v>1298</v>
      </c>
      <c r="C8678" t="s">
        <v>668</v>
      </c>
      <c r="D8678" t="s">
        <v>1395</v>
      </c>
      <c r="E8678" t="s">
        <v>187</v>
      </c>
      <c r="F8678">
        <v>2016</v>
      </c>
      <c r="G8678">
        <v>3.4409999999999998</v>
      </c>
    </row>
    <row r="8679" spans="1:7">
      <c r="A8679" t="s">
        <v>1297</v>
      </c>
      <c r="B8679" t="s">
        <v>1298</v>
      </c>
      <c r="C8679" t="s">
        <v>668</v>
      </c>
      <c r="D8679" t="s">
        <v>1395</v>
      </c>
      <c r="E8679" t="s">
        <v>187</v>
      </c>
      <c r="F8679">
        <v>2020</v>
      </c>
      <c r="G8679">
        <v>3.2758910000000001</v>
      </c>
    </row>
    <row r="8680" spans="1:7">
      <c r="A8680" t="s">
        <v>1297</v>
      </c>
      <c r="B8680" t="s">
        <v>1298</v>
      </c>
      <c r="C8680" t="s">
        <v>682</v>
      </c>
      <c r="D8680" t="s">
        <v>1395</v>
      </c>
      <c r="E8680" t="s">
        <v>187</v>
      </c>
      <c r="F8680">
        <v>2016</v>
      </c>
      <c r="G8680">
        <v>0.35599999999999998</v>
      </c>
    </row>
    <row r="8681" spans="1:7">
      <c r="A8681" t="s">
        <v>1297</v>
      </c>
      <c r="B8681" t="s">
        <v>1298</v>
      </c>
      <c r="C8681" t="s">
        <v>682</v>
      </c>
      <c r="D8681" t="s">
        <v>1395</v>
      </c>
      <c r="E8681" t="s">
        <v>187</v>
      </c>
      <c r="F8681">
        <v>2020</v>
      </c>
      <c r="G8681">
        <v>0.42199999999999999</v>
      </c>
    </row>
    <row r="8682" spans="1:7">
      <c r="A8682" t="s">
        <v>1297</v>
      </c>
      <c r="B8682" t="s">
        <v>1298</v>
      </c>
      <c r="C8682" t="s">
        <v>655</v>
      </c>
      <c r="D8682" t="s">
        <v>1395</v>
      </c>
      <c r="E8682" t="s">
        <v>187</v>
      </c>
      <c r="F8682">
        <v>2005</v>
      </c>
      <c r="G8682">
        <v>20.991</v>
      </c>
    </row>
    <row r="8683" spans="1:7">
      <c r="A8683" t="s">
        <v>1297</v>
      </c>
      <c r="B8683" t="s">
        <v>1298</v>
      </c>
      <c r="C8683" t="s">
        <v>655</v>
      </c>
      <c r="D8683" t="s">
        <v>1395</v>
      </c>
      <c r="E8683" t="s">
        <v>187</v>
      </c>
      <c r="F8683">
        <v>2010</v>
      </c>
      <c r="G8683">
        <v>7.2210000000000001</v>
      </c>
    </row>
    <row r="8684" spans="1:7">
      <c r="A8684" t="s">
        <v>1297</v>
      </c>
      <c r="B8684" t="s">
        <v>1298</v>
      </c>
      <c r="C8684" t="s">
        <v>655</v>
      </c>
      <c r="D8684" t="s">
        <v>1395</v>
      </c>
      <c r="E8684" t="s">
        <v>187</v>
      </c>
      <c r="F8684">
        <v>2012</v>
      </c>
      <c r="G8684">
        <v>6.6159999999999997</v>
      </c>
    </row>
    <row r="8685" spans="1:7">
      <c r="A8685" t="s">
        <v>1297</v>
      </c>
      <c r="B8685" t="s">
        <v>1298</v>
      </c>
      <c r="C8685" t="s">
        <v>655</v>
      </c>
      <c r="D8685" t="s">
        <v>1395</v>
      </c>
      <c r="E8685" t="s">
        <v>187</v>
      </c>
      <c r="F8685">
        <v>2016</v>
      </c>
      <c r="G8685">
        <v>7.11</v>
      </c>
    </row>
    <row r="8686" spans="1:7">
      <c r="A8686" t="s">
        <v>1297</v>
      </c>
      <c r="B8686" t="s">
        <v>1298</v>
      </c>
      <c r="C8686" t="s">
        <v>655</v>
      </c>
      <c r="D8686" t="s">
        <v>1395</v>
      </c>
      <c r="E8686" t="s">
        <v>187</v>
      </c>
      <c r="F8686">
        <v>2020</v>
      </c>
      <c r="G8686">
        <v>6.1643610000000004</v>
      </c>
    </row>
    <row r="8687" spans="1:7">
      <c r="A8687" t="s">
        <v>1297</v>
      </c>
      <c r="B8687" t="s">
        <v>1298</v>
      </c>
      <c r="C8687" t="s">
        <v>675</v>
      </c>
      <c r="D8687" t="s">
        <v>1395</v>
      </c>
      <c r="E8687" t="s">
        <v>187</v>
      </c>
      <c r="F8687">
        <v>2005</v>
      </c>
      <c r="G8687">
        <v>1.663</v>
      </c>
    </row>
    <row r="8688" spans="1:7">
      <c r="A8688" t="s">
        <v>1297</v>
      </c>
      <c r="B8688" t="s">
        <v>1298</v>
      </c>
      <c r="C8688" t="s">
        <v>675</v>
      </c>
      <c r="D8688" t="s">
        <v>1395</v>
      </c>
      <c r="E8688" t="s">
        <v>187</v>
      </c>
      <c r="F8688">
        <v>2010</v>
      </c>
      <c r="G8688">
        <v>1.4550000000000001</v>
      </c>
    </row>
    <row r="8689" spans="1:7">
      <c r="A8689" t="s">
        <v>1297</v>
      </c>
      <c r="B8689" t="s">
        <v>1298</v>
      </c>
      <c r="C8689" t="s">
        <v>675</v>
      </c>
      <c r="D8689" t="s">
        <v>1395</v>
      </c>
      <c r="E8689" t="s">
        <v>187</v>
      </c>
      <c r="F8689">
        <v>2012</v>
      </c>
      <c r="G8689">
        <v>1.42</v>
      </c>
    </row>
    <row r="8690" spans="1:7">
      <c r="A8690" t="s">
        <v>1297</v>
      </c>
      <c r="B8690" t="s">
        <v>1298</v>
      </c>
      <c r="C8690" t="s">
        <v>675</v>
      </c>
      <c r="D8690" t="s">
        <v>1395</v>
      </c>
      <c r="E8690" t="s">
        <v>187</v>
      </c>
      <c r="F8690">
        <v>2016</v>
      </c>
      <c r="G8690">
        <v>1.2450000000000001</v>
      </c>
    </row>
    <row r="8691" spans="1:7">
      <c r="A8691" t="s">
        <v>1297</v>
      </c>
      <c r="B8691" t="s">
        <v>1298</v>
      </c>
      <c r="C8691" t="s">
        <v>675</v>
      </c>
      <c r="D8691" t="s">
        <v>1395</v>
      </c>
      <c r="E8691" t="s">
        <v>187</v>
      </c>
      <c r="F8691">
        <v>2020</v>
      </c>
      <c r="G8691">
        <v>1.125599</v>
      </c>
    </row>
    <row r="8692" spans="1:7">
      <c r="A8692" t="s">
        <v>1297</v>
      </c>
      <c r="B8692" t="s">
        <v>1298</v>
      </c>
      <c r="C8692" t="s">
        <v>1299</v>
      </c>
      <c r="D8692" t="s">
        <v>1395</v>
      </c>
      <c r="E8692" t="s">
        <v>187</v>
      </c>
      <c r="F8692">
        <v>2005</v>
      </c>
      <c r="G8692">
        <v>176.911</v>
      </c>
    </row>
    <row r="8693" spans="1:7">
      <c r="A8693" t="s">
        <v>1297</v>
      </c>
      <c r="B8693" t="s">
        <v>1298</v>
      </c>
      <c r="C8693" t="s">
        <v>1299</v>
      </c>
      <c r="D8693" t="s">
        <v>1395</v>
      </c>
      <c r="E8693" t="s">
        <v>187</v>
      </c>
      <c r="F8693">
        <v>2010</v>
      </c>
      <c r="G8693">
        <v>44.378</v>
      </c>
    </row>
    <row r="8694" spans="1:7">
      <c r="A8694" t="s">
        <v>1297</v>
      </c>
      <c r="B8694" t="s">
        <v>1298</v>
      </c>
      <c r="C8694" t="s">
        <v>1299</v>
      </c>
      <c r="D8694" t="s">
        <v>1395</v>
      </c>
      <c r="E8694" t="s">
        <v>187</v>
      </c>
      <c r="F8694">
        <v>2012</v>
      </c>
      <c r="G8694">
        <v>50.575000000000003</v>
      </c>
    </row>
    <row r="8695" spans="1:7">
      <c r="A8695" t="s">
        <v>1297</v>
      </c>
      <c r="B8695" t="s">
        <v>1298</v>
      </c>
      <c r="C8695" t="s">
        <v>1299</v>
      </c>
      <c r="D8695" t="s">
        <v>1395</v>
      </c>
      <c r="E8695" t="s">
        <v>187</v>
      </c>
      <c r="F8695">
        <v>2016</v>
      </c>
      <c r="G8695">
        <v>42.789000000000001</v>
      </c>
    </row>
    <row r="8696" spans="1:7">
      <c r="A8696" t="s">
        <v>1297</v>
      </c>
      <c r="B8696" t="s">
        <v>1298</v>
      </c>
      <c r="C8696" t="s">
        <v>1299</v>
      </c>
      <c r="D8696" t="s">
        <v>1395</v>
      </c>
      <c r="E8696" t="s">
        <v>187</v>
      </c>
      <c r="F8696">
        <v>2020</v>
      </c>
      <c r="G8696">
        <v>41.893000000000001</v>
      </c>
    </row>
    <row r="8697" spans="1:7">
      <c r="A8697" t="s">
        <v>1297</v>
      </c>
      <c r="B8697" t="s">
        <v>1298</v>
      </c>
      <c r="C8697" t="s">
        <v>661</v>
      </c>
      <c r="D8697" t="s">
        <v>1395</v>
      </c>
      <c r="E8697" t="s">
        <v>187</v>
      </c>
      <c r="F8697">
        <v>2010</v>
      </c>
      <c r="G8697">
        <v>33.959687000000002</v>
      </c>
    </row>
    <row r="8698" spans="1:7">
      <c r="A8698" t="s">
        <v>1297</v>
      </c>
      <c r="B8698" t="s">
        <v>1298</v>
      </c>
      <c r="C8698" t="s">
        <v>661</v>
      </c>
      <c r="D8698" t="s">
        <v>1395</v>
      </c>
      <c r="E8698" t="s">
        <v>187</v>
      </c>
      <c r="F8698">
        <v>2012</v>
      </c>
      <c r="G8698">
        <v>10.818031</v>
      </c>
    </row>
    <row r="8699" spans="1:7">
      <c r="A8699" t="s">
        <v>1297</v>
      </c>
      <c r="B8699" t="s">
        <v>1298</v>
      </c>
      <c r="C8699" t="s">
        <v>661</v>
      </c>
      <c r="D8699" t="s">
        <v>1395</v>
      </c>
      <c r="E8699" t="s">
        <v>187</v>
      </c>
      <c r="F8699">
        <v>2016</v>
      </c>
      <c r="G8699">
        <v>12.673204999999999</v>
      </c>
    </row>
    <row r="8700" spans="1:7">
      <c r="A8700" t="s">
        <v>1297</v>
      </c>
      <c r="B8700" t="s">
        <v>1298</v>
      </c>
      <c r="C8700" t="s">
        <v>661</v>
      </c>
      <c r="D8700" t="s">
        <v>1395</v>
      </c>
      <c r="E8700" t="s">
        <v>187</v>
      </c>
      <c r="F8700">
        <v>2020</v>
      </c>
      <c r="G8700">
        <v>13.140389000000001</v>
      </c>
    </row>
    <row r="8701" spans="1:7">
      <c r="A8701" t="s">
        <v>1297</v>
      </c>
      <c r="B8701" t="s">
        <v>1298</v>
      </c>
      <c r="C8701" t="s">
        <v>674</v>
      </c>
      <c r="D8701" t="s">
        <v>1395</v>
      </c>
      <c r="E8701" t="s">
        <v>187</v>
      </c>
      <c r="F8701">
        <v>2005</v>
      </c>
      <c r="G8701">
        <v>16.747</v>
      </c>
    </row>
    <row r="8702" spans="1:7">
      <c r="A8702" t="s">
        <v>1297</v>
      </c>
      <c r="B8702" t="s">
        <v>1298</v>
      </c>
      <c r="C8702" t="s">
        <v>674</v>
      </c>
      <c r="D8702" t="s">
        <v>1395</v>
      </c>
      <c r="E8702" t="s">
        <v>187</v>
      </c>
      <c r="F8702">
        <v>2010</v>
      </c>
      <c r="G8702">
        <v>25.308</v>
      </c>
    </row>
    <row r="8703" spans="1:7">
      <c r="A8703" t="s">
        <v>1297</v>
      </c>
      <c r="B8703" t="s">
        <v>1298</v>
      </c>
      <c r="C8703" t="s">
        <v>674</v>
      </c>
      <c r="D8703" t="s">
        <v>1395</v>
      </c>
      <c r="E8703" t="s">
        <v>187</v>
      </c>
      <c r="F8703">
        <v>2012</v>
      </c>
      <c r="G8703">
        <v>26.928000000000001</v>
      </c>
    </row>
    <row r="8704" spans="1:7">
      <c r="A8704" t="s">
        <v>1297</v>
      </c>
      <c r="B8704" t="s">
        <v>1298</v>
      </c>
      <c r="C8704" t="s">
        <v>674</v>
      </c>
      <c r="D8704" t="s">
        <v>1395</v>
      </c>
      <c r="E8704" t="s">
        <v>187</v>
      </c>
      <c r="F8704">
        <v>2016</v>
      </c>
      <c r="G8704">
        <v>28.404</v>
      </c>
    </row>
    <row r="8705" spans="1:7">
      <c r="A8705" t="s">
        <v>1297</v>
      </c>
      <c r="B8705" t="s">
        <v>1298</v>
      </c>
      <c r="C8705" t="s">
        <v>674</v>
      </c>
      <c r="D8705" t="s">
        <v>1395</v>
      </c>
      <c r="E8705" t="s">
        <v>187</v>
      </c>
      <c r="F8705">
        <v>2020</v>
      </c>
      <c r="G8705">
        <v>26.408999999999999</v>
      </c>
    </row>
    <row r="8706" spans="1:7">
      <c r="A8706" t="s">
        <v>1297</v>
      </c>
      <c r="B8706" t="s">
        <v>1298</v>
      </c>
      <c r="C8706" t="s">
        <v>1300</v>
      </c>
      <c r="D8706" t="s">
        <v>1395</v>
      </c>
      <c r="E8706" t="s">
        <v>187</v>
      </c>
      <c r="F8706">
        <v>2010</v>
      </c>
      <c r="G8706">
        <v>1.994</v>
      </c>
    </row>
    <row r="8707" spans="1:7">
      <c r="A8707" t="s">
        <v>1297</v>
      </c>
      <c r="B8707" t="s">
        <v>1298</v>
      </c>
      <c r="C8707" t="s">
        <v>1300</v>
      </c>
      <c r="D8707" t="s">
        <v>1395</v>
      </c>
      <c r="E8707" t="s">
        <v>187</v>
      </c>
      <c r="F8707">
        <v>2012</v>
      </c>
      <c r="G8707">
        <v>1.738</v>
      </c>
    </row>
    <row r="8708" spans="1:7">
      <c r="A8708" t="s">
        <v>1297</v>
      </c>
      <c r="B8708" t="s">
        <v>1298</v>
      </c>
      <c r="C8708" t="s">
        <v>1300</v>
      </c>
      <c r="D8708" t="s">
        <v>1395</v>
      </c>
      <c r="E8708" t="s">
        <v>187</v>
      </c>
      <c r="F8708">
        <v>2016</v>
      </c>
      <c r="G8708">
        <v>1.5669999999999999</v>
      </c>
    </row>
    <row r="8709" spans="1:7">
      <c r="A8709" t="s">
        <v>1297</v>
      </c>
      <c r="B8709" t="s">
        <v>1298</v>
      </c>
      <c r="C8709" t="s">
        <v>651</v>
      </c>
      <c r="D8709" t="s">
        <v>1395</v>
      </c>
      <c r="E8709" t="s">
        <v>187</v>
      </c>
      <c r="F8709">
        <v>2005</v>
      </c>
      <c r="G8709">
        <v>8.0525649999999995</v>
      </c>
    </row>
    <row r="8710" spans="1:7">
      <c r="A8710" t="s">
        <v>1297</v>
      </c>
      <c r="B8710" t="s">
        <v>1298</v>
      </c>
      <c r="C8710" t="s">
        <v>651</v>
      </c>
      <c r="D8710" t="s">
        <v>1395</v>
      </c>
      <c r="E8710" t="s">
        <v>187</v>
      </c>
      <c r="F8710">
        <v>2010</v>
      </c>
      <c r="G8710">
        <v>12.115053</v>
      </c>
    </row>
    <row r="8711" spans="1:7">
      <c r="A8711" t="s">
        <v>1297</v>
      </c>
      <c r="B8711" t="s">
        <v>1298</v>
      </c>
      <c r="C8711" t="s">
        <v>651</v>
      </c>
      <c r="D8711" t="s">
        <v>1395</v>
      </c>
      <c r="E8711" t="s">
        <v>187</v>
      </c>
      <c r="F8711">
        <v>2012</v>
      </c>
      <c r="G8711">
        <v>12.846543</v>
      </c>
    </row>
    <row r="8712" spans="1:7">
      <c r="A8712" t="s">
        <v>1297</v>
      </c>
      <c r="B8712" t="s">
        <v>1298</v>
      </c>
      <c r="C8712" t="s">
        <v>651</v>
      </c>
      <c r="D8712" t="s">
        <v>1395</v>
      </c>
      <c r="E8712" t="s">
        <v>187</v>
      </c>
      <c r="F8712">
        <v>2016</v>
      </c>
      <c r="G8712">
        <v>12.686951000000001</v>
      </c>
    </row>
    <row r="8713" spans="1:7">
      <c r="A8713" t="s">
        <v>1297</v>
      </c>
      <c r="B8713" t="s">
        <v>1298</v>
      </c>
      <c r="C8713" t="s">
        <v>651</v>
      </c>
      <c r="D8713" t="s">
        <v>1395</v>
      </c>
      <c r="E8713" t="s">
        <v>187</v>
      </c>
      <c r="F8713">
        <v>2020</v>
      </c>
      <c r="G8713">
        <v>12.644909999999999</v>
      </c>
    </row>
    <row r="8714" spans="1:7">
      <c r="A8714" t="s">
        <v>1297</v>
      </c>
      <c r="B8714" t="s">
        <v>1298</v>
      </c>
      <c r="C8714" t="s">
        <v>685</v>
      </c>
      <c r="D8714" t="s">
        <v>1395</v>
      </c>
      <c r="E8714" t="s">
        <v>187</v>
      </c>
      <c r="F8714">
        <v>2005</v>
      </c>
      <c r="G8714">
        <v>0.33800000000000002</v>
      </c>
    </row>
    <row r="8715" spans="1:7">
      <c r="A8715" t="s">
        <v>1297</v>
      </c>
      <c r="B8715" t="s">
        <v>1298</v>
      </c>
      <c r="C8715" t="s">
        <v>685</v>
      </c>
      <c r="D8715" t="s">
        <v>1395</v>
      </c>
      <c r="E8715" t="s">
        <v>187</v>
      </c>
      <c r="F8715">
        <v>2010</v>
      </c>
      <c r="G8715">
        <v>0.38800000000000001</v>
      </c>
    </row>
    <row r="8716" spans="1:7">
      <c r="A8716" t="s">
        <v>1297</v>
      </c>
      <c r="B8716" t="s">
        <v>1298</v>
      </c>
      <c r="C8716" t="s">
        <v>685</v>
      </c>
      <c r="D8716" t="s">
        <v>1395</v>
      </c>
      <c r="E8716" t="s">
        <v>187</v>
      </c>
      <c r="F8716">
        <v>2012</v>
      </c>
      <c r="G8716">
        <v>0.28399999999999997</v>
      </c>
    </row>
    <row r="8717" spans="1:7">
      <c r="A8717" t="s">
        <v>1297</v>
      </c>
      <c r="B8717" t="s">
        <v>1298</v>
      </c>
      <c r="C8717" t="s">
        <v>685</v>
      </c>
      <c r="D8717" t="s">
        <v>1395</v>
      </c>
      <c r="E8717" t="s">
        <v>187</v>
      </c>
      <c r="F8717">
        <v>2016</v>
      </c>
      <c r="G8717">
        <v>0.30381999999999998</v>
      </c>
    </row>
    <row r="8718" spans="1:7">
      <c r="A8718" t="s">
        <v>1297</v>
      </c>
      <c r="B8718" t="s">
        <v>1298</v>
      </c>
      <c r="C8718" t="s">
        <v>685</v>
      </c>
      <c r="D8718" t="s">
        <v>1395</v>
      </c>
      <c r="E8718" t="s">
        <v>187</v>
      </c>
      <c r="F8718">
        <v>2020</v>
      </c>
      <c r="G8718">
        <v>0.23667099999999999</v>
      </c>
    </row>
    <row r="8719" spans="1:7">
      <c r="A8719" t="s">
        <v>1297</v>
      </c>
      <c r="B8719" t="s">
        <v>1298</v>
      </c>
      <c r="C8719" t="s">
        <v>671</v>
      </c>
      <c r="D8719" t="s">
        <v>1395</v>
      </c>
      <c r="E8719" t="s">
        <v>187</v>
      </c>
      <c r="F8719">
        <v>2005</v>
      </c>
      <c r="G8719">
        <v>27.5</v>
      </c>
    </row>
    <row r="8720" spans="1:7">
      <c r="A8720" t="s">
        <v>1297</v>
      </c>
      <c r="B8720" t="s">
        <v>1298</v>
      </c>
      <c r="C8720" t="s">
        <v>671</v>
      </c>
      <c r="D8720" t="s">
        <v>1395</v>
      </c>
      <c r="E8720" t="s">
        <v>187</v>
      </c>
      <c r="F8720">
        <v>2010</v>
      </c>
      <c r="G8720">
        <v>30.2</v>
      </c>
    </row>
    <row r="8721" spans="1:7">
      <c r="A8721" t="s">
        <v>1297</v>
      </c>
      <c r="B8721" t="s">
        <v>1298</v>
      </c>
      <c r="C8721" t="s">
        <v>671</v>
      </c>
      <c r="D8721" t="s">
        <v>1395</v>
      </c>
      <c r="E8721" t="s">
        <v>187</v>
      </c>
      <c r="F8721">
        <v>2012</v>
      </c>
      <c r="G8721">
        <v>27.5</v>
      </c>
    </row>
    <row r="8722" spans="1:7">
      <c r="A8722" t="s">
        <v>1297</v>
      </c>
      <c r="B8722" t="s">
        <v>1298</v>
      </c>
      <c r="C8722" t="s">
        <v>671</v>
      </c>
      <c r="D8722" t="s">
        <v>1395</v>
      </c>
      <c r="E8722" t="s">
        <v>187</v>
      </c>
      <c r="F8722">
        <v>2016</v>
      </c>
      <c r="G8722">
        <v>27.8</v>
      </c>
    </row>
    <row r="8723" spans="1:7">
      <c r="A8723" t="s">
        <v>1297</v>
      </c>
      <c r="B8723" t="s">
        <v>1298</v>
      </c>
      <c r="C8723" t="s">
        <v>671</v>
      </c>
      <c r="D8723" t="s">
        <v>1395</v>
      </c>
      <c r="E8723" t="s">
        <v>187</v>
      </c>
      <c r="F8723">
        <v>2020</v>
      </c>
      <c r="G8723">
        <v>26.786042999999999</v>
      </c>
    </row>
    <row r="8724" spans="1:7">
      <c r="A8724" t="s">
        <v>1297</v>
      </c>
      <c r="B8724" t="s">
        <v>1298</v>
      </c>
      <c r="C8724" t="s">
        <v>686</v>
      </c>
      <c r="D8724" t="s">
        <v>1395</v>
      </c>
      <c r="E8724" t="s">
        <v>187</v>
      </c>
      <c r="F8724">
        <v>2005</v>
      </c>
      <c r="G8724">
        <v>2.927</v>
      </c>
    </row>
    <row r="8725" spans="1:7">
      <c r="A8725" t="s">
        <v>1297</v>
      </c>
      <c r="B8725" t="s">
        <v>1298</v>
      </c>
      <c r="C8725" t="s">
        <v>686</v>
      </c>
      <c r="D8725" t="s">
        <v>1395</v>
      </c>
      <c r="E8725" t="s">
        <v>187</v>
      </c>
      <c r="F8725">
        <v>2010</v>
      </c>
      <c r="G8725">
        <v>2.895</v>
      </c>
    </row>
    <row r="8726" spans="1:7">
      <c r="A8726" t="s">
        <v>1297</v>
      </c>
      <c r="B8726" t="s">
        <v>1298</v>
      </c>
      <c r="C8726" t="s">
        <v>686</v>
      </c>
      <c r="D8726" t="s">
        <v>1395</v>
      </c>
      <c r="E8726" t="s">
        <v>187</v>
      </c>
      <c r="F8726">
        <v>2012</v>
      </c>
      <c r="G8726">
        <v>2.94</v>
      </c>
    </row>
    <row r="8727" spans="1:7">
      <c r="A8727" t="s">
        <v>1297</v>
      </c>
      <c r="B8727" t="s">
        <v>1298</v>
      </c>
      <c r="C8727" t="s">
        <v>686</v>
      </c>
      <c r="D8727" t="s">
        <v>1395</v>
      </c>
      <c r="E8727" t="s">
        <v>187</v>
      </c>
      <c r="F8727">
        <v>2016</v>
      </c>
      <c r="G8727">
        <v>3.4060000000000001</v>
      </c>
    </row>
    <row r="8728" spans="1:7">
      <c r="A8728" t="s">
        <v>1297</v>
      </c>
      <c r="B8728" t="s">
        <v>1298</v>
      </c>
      <c r="C8728" t="s">
        <v>686</v>
      </c>
      <c r="D8728" t="s">
        <v>1395</v>
      </c>
      <c r="E8728" t="s">
        <v>187</v>
      </c>
      <c r="F8728">
        <v>2020</v>
      </c>
      <c r="G8728">
        <v>2.8857930000000001</v>
      </c>
    </row>
    <row r="8729" spans="1:7">
      <c r="A8729" t="s">
        <v>1297</v>
      </c>
      <c r="B8729" t="s">
        <v>1298</v>
      </c>
      <c r="C8729" t="s">
        <v>679</v>
      </c>
      <c r="D8729" t="s">
        <v>1395</v>
      </c>
      <c r="E8729" t="s">
        <v>187</v>
      </c>
      <c r="F8729">
        <v>2005</v>
      </c>
      <c r="G8729">
        <v>1.5349999999999999</v>
      </c>
    </row>
    <row r="8730" spans="1:7">
      <c r="A8730" t="s">
        <v>1297</v>
      </c>
      <c r="B8730" t="s">
        <v>1298</v>
      </c>
      <c r="C8730" t="s">
        <v>679</v>
      </c>
      <c r="D8730" t="s">
        <v>1395</v>
      </c>
      <c r="E8730" t="s">
        <v>187</v>
      </c>
      <c r="F8730">
        <v>2010</v>
      </c>
      <c r="G8730">
        <v>1.9770000000000001</v>
      </c>
    </row>
    <row r="8731" spans="1:7">
      <c r="A8731" t="s">
        <v>1297</v>
      </c>
      <c r="B8731" t="s">
        <v>1298</v>
      </c>
      <c r="C8731" t="s">
        <v>679</v>
      </c>
      <c r="D8731" t="s">
        <v>1395</v>
      </c>
      <c r="E8731" t="s">
        <v>187</v>
      </c>
      <c r="F8731">
        <v>2012</v>
      </c>
      <c r="G8731">
        <v>1.88</v>
      </c>
    </row>
    <row r="8732" spans="1:7">
      <c r="A8732" t="s">
        <v>1297</v>
      </c>
      <c r="B8732" t="s">
        <v>1298</v>
      </c>
      <c r="C8732" t="s">
        <v>679</v>
      </c>
      <c r="D8732" t="s">
        <v>1395</v>
      </c>
      <c r="E8732" t="s">
        <v>187</v>
      </c>
      <c r="F8732">
        <v>2016</v>
      </c>
      <c r="G8732">
        <v>2.456</v>
      </c>
    </row>
    <row r="8733" spans="1:7">
      <c r="A8733" t="s">
        <v>1297</v>
      </c>
      <c r="B8733" t="s">
        <v>1298</v>
      </c>
      <c r="C8733" t="s">
        <v>679</v>
      </c>
      <c r="D8733" t="s">
        <v>1395</v>
      </c>
      <c r="E8733" t="s">
        <v>187</v>
      </c>
      <c r="F8733">
        <v>2020</v>
      </c>
      <c r="G8733">
        <v>2.6469999999999998</v>
      </c>
    </row>
    <row r="8734" spans="1:7">
      <c r="A8734" t="s">
        <v>1297</v>
      </c>
      <c r="B8734" t="s">
        <v>1298</v>
      </c>
      <c r="C8734" t="s">
        <v>680</v>
      </c>
      <c r="D8734" t="s">
        <v>1395</v>
      </c>
      <c r="E8734" t="s">
        <v>187</v>
      </c>
      <c r="F8734">
        <v>2005</v>
      </c>
      <c r="G8734">
        <v>2.1659999999999999</v>
      </c>
    </row>
    <row r="8735" spans="1:7">
      <c r="A8735" t="s">
        <v>1297</v>
      </c>
      <c r="B8735" t="s">
        <v>1298</v>
      </c>
      <c r="C8735" t="s">
        <v>680</v>
      </c>
      <c r="D8735" t="s">
        <v>1395</v>
      </c>
      <c r="E8735" t="s">
        <v>187</v>
      </c>
      <c r="F8735">
        <v>2010</v>
      </c>
      <c r="G8735">
        <v>2.363</v>
      </c>
    </row>
    <row r="8736" spans="1:7">
      <c r="A8736" t="s">
        <v>1297</v>
      </c>
      <c r="B8736" t="s">
        <v>1298</v>
      </c>
      <c r="C8736" t="s">
        <v>680</v>
      </c>
      <c r="D8736" t="s">
        <v>1395</v>
      </c>
      <c r="E8736" t="s">
        <v>187</v>
      </c>
      <c r="F8736">
        <v>2012</v>
      </c>
      <c r="G8736">
        <v>2.6339999999999999</v>
      </c>
    </row>
    <row r="8737" spans="1:7">
      <c r="A8737" t="s">
        <v>1297</v>
      </c>
      <c r="B8737" t="s">
        <v>1298</v>
      </c>
      <c r="C8737" t="s">
        <v>680</v>
      </c>
      <c r="D8737" t="s">
        <v>1395</v>
      </c>
      <c r="E8737" t="s">
        <v>187</v>
      </c>
      <c r="F8737">
        <v>2016</v>
      </c>
      <c r="G8737">
        <v>3.0425</v>
      </c>
    </row>
    <row r="8738" spans="1:7">
      <c r="A8738" t="s">
        <v>1297</v>
      </c>
      <c r="B8738" t="s">
        <v>1298</v>
      </c>
      <c r="C8738" t="s">
        <v>680</v>
      </c>
      <c r="D8738" t="s">
        <v>1395</v>
      </c>
      <c r="E8738" t="s">
        <v>187</v>
      </c>
      <c r="F8738">
        <v>2020</v>
      </c>
      <c r="G8738">
        <v>3.4445070000000002</v>
      </c>
    </row>
    <row r="8739" spans="1:7">
      <c r="A8739" t="s">
        <v>1297</v>
      </c>
      <c r="B8739" t="s">
        <v>1298</v>
      </c>
      <c r="C8739" t="s">
        <v>652</v>
      </c>
      <c r="D8739" t="s">
        <v>1395</v>
      </c>
      <c r="E8739" t="s">
        <v>187</v>
      </c>
      <c r="F8739">
        <v>2005</v>
      </c>
      <c r="G8739">
        <v>1.524</v>
      </c>
    </row>
    <row r="8740" spans="1:7">
      <c r="A8740" t="s">
        <v>1297</v>
      </c>
      <c r="B8740" t="s">
        <v>1298</v>
      </c>
      <c r="C8740" t="s">
        <v>652</v>
      </c>
      <c r="D8740" t="s">
        <v>1395</v>
      </c>
      <c r="E8740" t="s">
        <v>187</v>
      </c>
      <c r="F8740">
        <v>2010</v>
      </c>
      <c r="G8740">
        <v>0.25369999999999998</v>
      </c>
    </row>
    <row r="8741" spans="1:7">
      <c r="A8741" t="s">
        <v>1297</v>
      </c>
      <c r="B8741" t="s">
        <v>1298</v>
      </c>
      <c r="C8741" t="s">
        <v>652</v>
      </c>
      <c r="D8741" t="s">
        <v>1395</v>
      </c>
      <c r="E8741" t="s">
        <v>187</v>
      </c>
      <c r="F8741">
        <v>2012</v>
      </c>
      <c r="G8741">
        <v>0.2271</v>
      </c>
    </row>
    <row r="8742" spans="1:7">
      <c r="A8742" t="s">
        <v>1297</v>
      </c>
      <c r="B8742" t="s">
        <v>1298</v>
      </c>
      <c r="C8742" t="s">
        <v>652</v>
      </c>
      <c r="D8742" t="s">
        <v>1395</v>
      </c>
      <c r="E8742" t="s">
        <v>187</v>
      </c>
      <c r="F8742">
        <v>2016</v>
      </c>
      <c r="G8742">
        <v>0.29599999999999999</v>
      </c>
    </row>
    <row r="8743" spans="1:7">
      <c r="A8743" t="s">
        <v>1297</v>
      </c>
      <c r="B8743" t="s">
        <v>1298</v>
      </c>
      <c r="C8743" t="s">
        <v>652</v>
      </c>
      <c r="D8743" t="s">
        <v>1395</v>
      </c>
      <c r="E8743" t="s">
        <v>187</v>
      </c>
      <c r="F8743">
        <v>2020</v>
      </c>
      <c r="G8743">
        <v>0.29920000000000002</v>
      </c>
    </row>
    <row r="8744" spans="1:7">
      <c r="A8744" t="s">
        <v>1297</v>
      </c>
      <c r="B8744" t="s">
        <v>1298</v>
      </c>
      <c r="C8744" t="s">
        <v>667</v>
      </c>
      <c r="D8744" t="s">
        <v>1395</v>
      </c>
      <c r="E8744" t="s">
        <v>187</v>
      </c>
      <c r="F8744">
        <v>2005</v>
      </c>
      <c r="G8744">
        <v>0.116887</v>
      </c>
    </row>
    <row r="8745" spans="1:7">
      <c r="A8745" t="s">
        <v>1297</v>
      </c>
      <c r="B8745" t="s">
        <v>1298</v>
      </c>
      <c r="C8745" t="s">
        <v>667</v>
      </c>
      <c r="D8745" t="s">
        <v>1395</v>
      </c>
      <c r="E8745" t="s">
        <v>187</v>
      </c>
      <c r="F8745">
        <v>2010</v>
      </c>
      <c r="G8745">
        <v>0.157109</v>
      </c>
    </row>
    <row r="8746" spans="1:7">
      <c r="A8746" t="s">
        <v>1297</v>
      </c>
      <c r="B8746" t="s">
        <v>1298</v>
      </c>
      <c r="C8746" t="s">
        <v>667</v>
      </c>
      <c r="D8746" t="s">
        <v>1395</v>
      </c>
      <c r="E8746" t="s">
        <v>187</v>
      </c>
      <c r="F8746">
        <v>2012</v>
      </c>
      <c r="G8746">
        <v>0.180256</v>
      </c>
    </row>
    <row r="8747" spans="1:7">
      <c r="A8747" t="s">
        <v>1297</v>
      </c>
      <c r="B8747" t="s">
        <v>1298</v>
      </c>
      <c r="C8747" t="s">
        <v>667</v>
      </c>
      <c r="D8747" t="s">
        <v>1395</v>
      </c>
      <c r="E8747" t="s">
        <v>187</v>
      </c>
      <c r="F8747">
        <v>2016</v>
      </c>
      <c r="G8747">
        <v>0.230383</v>
      </c>
    </row>
    <row r="8748" spans="1:7">
      <c r="A8748" t="s">
        <v>1297</v>
      </c>
      <c r="B8748" t="s">
        <v>1298</v>
      </c>
      <c r="C8748" t="s">
        <v>667</v>
      </c>
      <c r="D8748" t="s">
        <v>1395</v>
      </c>
      <c r="E8748" t="s">
        <v>187</v>
      </c>
      <c r="F8748">
        <v>2020</v>
      </c>
      <c r="G8748">
        <v>0.451017</v>
      </c>
    </row>
    <row r="8749" spans="1:7">
      <c r="A8749" t="s">
        <v>1297</v>
      </c>
      <c r="B8749" t="s">
        <v>1298</v>
      </c>
      <c r="C8749" t="s">
        <v>676</v>
      </c>
      <c r="D8749" t="s">
        <v>1395</v>
      </c>
      <c r="E8749" t="s">
        <v>187</v>
      </c>
      <c r="F8749">
        <v>2005</v>
      </c>
      <c r="G8749">
        <v>5.9249999999999998</v>
      </c>
    </row>
    <row r="8750" spans="1:7">
      <c r="A8750" t="s">
        <v>1297</v>
      </c>
      <c r="B8750" t="s">
        <v>1298</v>
      </c>
      <c r="C8750" t="s">
        <v>676</v>
      </c>
      <c r="D8750" t="s">
        <v>1395</v>
      </c>
      <c r="E8750" t="s">
        <v>187</v>
      </c>
      <c r="F8750">
        <v>2010</v>
      </c>
      <c r="G8750">
        <v>5.7919999999999998</v>
      </c>
    </row>
    <row r="8751" spans="1:7">
      <c r="A8751" t="s">
        <v>1297</v>
      </c>
      <c r="B8751" t="s">
        <v>1298</v>
      </c>
      <c r="C8751" t="s">
        <v>676</v>
      </c>
      <c r="D8751" t="s">
        <v>1395</v>
      </c>
      <c r="E8751" t="s">
        <v>187</v>
      </c>
      <c r="F8751">
        <v>2012</v>
      </c>
      <c r="G8751">
        <v>6.0439999999999996</v>
      </c>
    </row>
    <row r="8752" spans="1:7">
      <c r="A8752" t="s">
        <v>1297</v>
      </c>
      <c r="B8752" t="s">
        <v>1298</v>
      </c>
      <c r="C8752" t="s">
        <v>676</v>
      </c>
      <c r="D8752" t="s">
        <v>1395</v>
      </c>
      <c r="E8752" t="s">
        <v>187</v>
      </c>
      <c r="F8752">
        <v>2016</v>
      </c>
      <c r="G8752">
        <v>4.8869999999999996</v>
      </c>
    </row>
    <row r="8753" spans="1:7">
      <c r="A8753" t="s">
        <v>1297</v>
      </c>
      <c r="B8753" t="s">
        <v>1298</v>
      </c>
      <c r="C8753" t="s">
        <v>676</v>
      </c>
      <c r="D8753" t="s">
        <v>1395</v>
      </c>
      <c r="E8753" t="s">
        <v>187</v>
      </c>
      <c r="F8753">
        <v>2020</v>
      </c>
      <c r="G8753">
        <v>4.2809999999999997</v>
      </c>
    </row>
    <row r="8754" spans="1:7">
      <c r="A8754" t="s">
        <v>1297</v>
      </c>
      <c r="B8754" t="s">
        <v>1298</v>
      </c>
      <c r="C8754" t="s">
        <v>656</v>
      </c>
      <c r="D8754" t="s">
        <v>1396</v>
      </c>
      <c r="E8754" t="s">
        <v>187</v>
      </c>
      <c r="F8754">
        <v>2005</v>
      </c>
      <c r="G8754">
        <v>0.252</v>
      </c>
    </row>
    <row r="8755" spans="1:7">
      <c r="A8755" t="s">
        <v>1297</v>
      </c>
      <c r="B8755" t="s">
        <v>1298</v>
      </c>
      <c r="C8755" t="s">
        <v>656</v>
      </c>
      <c r="D8755" t="s">
        <v>1396</v>
      </c>
      <c r="E8755" t="s">
        <v>187</v>
      </c>
      <c r="F8755">
        <v>2010</v>
      </c>
      <c r="G8755">
        <v>0.26600000000000001</v>
      </c>
    </row>
    <row r="8756" spans="1:7">
      <c r="A8756" t="s">
        <v>1297</v>
      </c>
      <c r="B8756" t="s">
        <v>1298</v>
      </c>
      <c r="C8756" t="s">
        <v>656</v>
      </c>
      <c r="D8756" t="s">
        <v>1396</v>
      </c>
      <c r="E8756" t="s">
        <v>187</v>
      </c>
      <c r="F8756">
        <v>2012</v>
      </c>
      <c r="G8756">
        <v>0.251</v>
      </c>
    </row>
    <row r="8757" spans="1:7">
      <c r="A8757" t="s">
        <v>1297</v>
      </c>
      <c r="B8757" t="s">
        <v>1298</v>
      </c>
      <c r="C8757" t="s">
        <v>656</v>
      </c>
      <c r="D8757" t="s">
        <v>1396</v>
      </c>
      <c r="E8757" t="s">
        <v>187</v>
      </c>
      <c r="F8757">
        <v>2016</v>
      </c>
      <c r="G8757">
        <v>0.13</v>
      </c>
    </row>
    <row r="8758" spans="1:7">
      <c r="A8758" t="s">
        <v>1297</v>
      </c>
      <c r="B8758" t="s">
        <v>1298</v>
      </c>
      <c r="C8758" t="s">
        <v>655</v>
      </c>
      <c r="D8758" t="s">
        <v>1396</v>
      </c>
      <c r="E8758" t="s">
        <v>187</v>
      </c>
      <c r="F8758">
        <v>2005</v>
      </c>
      <c r="G8758">
        <v>0.129</v>
      </c>
    </row>
    <row r="8759" spans="1:7">
      <c r="A8759" t="s">
        <v>1297</v>
      </c>
      <c r="B8759" t="s">
        <v>1298</v>
      </c>
      <c r="C8759" t="s">
        <v>655</v>
      </c>
      <c r="D8759" t="s">
        <v>1396</v>
      </c>
      <c r="E8759" t="s">
        <v>187</v>
      </c>
      <c r="F8759">
        <v>2010</v>
      </c>
      <c r="G8759">
        <v>0.108</v>
      </c>
    </row>
    <row r="8760" spans="1:7">
      <c r="A8760" t="s">
        <v>1297</v>
      </c>
      <c r="B8760" t="s">
        <v>1298</v>
      </c>
      <c r="C8760" t="s">
        <v>655</v>
      </c>
      <c r="D8760" t="s">
        <v>1396</v>
      </c>
      <c r="E8760" t="s">
        <v>187</v>
      </c>
      <c r="F8760">
        <v>2012</v>
      </c>
      <c r="G8760">
        <v>8.7999999999999995E-2</v>
      </c>
    </row>
    <row r="8761" spans="1:7">
      <c r="A8761" t="s">
        <v>1297</v>
      </c>
      <c r="B8761" t="s">
        <v>1298</v>
      </c>
      <c r="C8761" t="s">
        <v>655</v>
      </c>
      <c r="D8761" t="s">
        <v>1396</v>
      </c>
      <c r="E8761" t="s">
        <v>187</v>
      </c>
      <c r="F8761">
        <v>2016</v>
      </c>
      <c r="G8761">
        <v>8.3000000000000004E-2</v>
      </c>
    </row>
    <row r="8762" spans="1:7">
      <c r="A8762" t="s">
        <v>1297</v>
      </c>
      <c r="B8762" t="s">
        <v>1298</v>
      </c>
      <c r="C8762" t="s">
        <v>655</v>
      </c>
      <c r="D8762" t="s">
        <v>1396</v>
      </c>
      <c r="E8762" t="s">
        <v>187</v>
      </c>
      <c r="F8762">
        <v>2020</v>
      </c>
      <c r="G8762">
        <v>7.4084999999999998E-2</v>
      </c>
    </row>
    <row r="8763" spans="1:7">
      <c r="A8763" t="s">
        <v>1297</v>
      </c>
      <c r="B8763" t="s">
        <v>1298</v>
      </c>
      <c r="C8763" t="s">
        <v>665</v>
      </c>
      <c r="D8763" t="s">
        <v>1397</v>
      </c>
      <c r="E8763" t="s">
        <v>187</v>
      </c>
      <c r="F8763">
        <v>2005</v>
      </c>
      <c r="G8763">
        <v>119.41800000000001</v>
      </c>
    </row>
    <row r="8764" spans="1:7">
      <c r="A8764" t="s">
        <v>1297</v>
      </c>
      <c r="B8764" t="s">
        <v>1298</v>
      </c>
      <c r="C8764" t="s">
        <v>665</v>
      </c>
      <c r="D8764" t="s">
        <v>1397</v>
      </c>
      <c r="E8764" t="s">
        <v>187</v>
      </c>
      <c r="F8764">
        <v>2010</v>
      </c>
      <c r="G8764">
        <v>131.02199999999999</v>
      </c>
    </row>
    <row r="8765" spans="1:7">
      <c r="A8765" t="s">
        <v>1297</v>
      </c>
      <c r="B8765" t="s">
        <v>1298</v>
      </c>
      <c r="C8765" t="s">
        <v>665</v>
      </c>
      <c r="D8765" t="s">
        <v>1397</v>
      </c>
      <c r="E8765" t="s">
        <v>187</v>
      </c>
      <c r="F8765">
        <v>2012</v>
      </c>
      <c r="G8765">
        <v>108.14700000000001</v>
      </c>
    </row>
    <row r="8766" spans="1:7">
      <c r="A8766" t="s">
        <v>1297</v>
      </c>
      <c r="B8766" t="s">
        <v>1298</v>
      </c>
      <c r="C8766" t="s">
        <v>665</v>
      </c>
      <c r="D8766" t="s">
        <v>1397</v>
      </c>
      <c r="E8766" t="s">
        <v>187</v>
      </c>
      <c r="F8766">
        <v>2016</v>
      </c>
      <c r="G8766">
        <v>114.536</v>
      </c>
    </row>
    <row r="8767" spans="1:7">
      <c r="A8767" t="s">
        <v>1297</v>
      </c>
      <c r="B8767" t="s">
        <v>1298</v>
      </c>
      <c r="C8767" t="s">
        <v>665</v>
      </c>
      <c r="D8767" t="s">
        <v>1397</v>
      </c>
      <c r="E8767" t="s">
        <v>187</v>
      </c>
      <c r="F8767">
        <v>2020</v>
      </c>
      <c r="G8767">
        <v>123.190735</v>
      </c>
    </row>
    <row r="8768" spans="1:7">
      <c r="A8768" t="s">
        <v>1297</v>
      </c>
      <c r="B8768" t="s">
        <v>1298</v>
      </c>
      <c r="C8768" t="s">
        <v>685</v>
      </c>
      <c r="D8768" t="s">
        <v>1397</v>
      </c>
      <c r="E8768" t="s">
        <v>187</v>
      </c>
      <c r="F8768">
        <v>2005</v>
      </c>
      <c r="G8768">
        <v>0.41199999999999998</v>
      </c>
    </row>
    <row r="8769" spans="1:7">
      <c r="A8769" t="s">
        <v>1297</v>
      </c>
      <c r="B8769" t="s">
        <v>1298</v>
      </c>
      <c r="C8769" t="s">
        <v>685</v>
      </c>
      <c r="D8769" t="s">
        <v>1397</v>
      </c>
      <c r="E8769" t="s">
        <v>187</v>
      </c>
      <c r="F8769">
        <v>2010</v>
      </c>
      <c r="G8769">
        <v>0.30499999999999999</v>
      </c>
    </row>
    <row r="8770" spans="1:7">
      <c r="A8770" t="s">
        <v>1297</v>
      </c>
      <c r="B8770" t="s">
        <v>1298</v>
      </c>
      <c r="C8770" t="s">
        <v>685</v>
      </c>
      <c r="D8770" t="s">
        <v>1397</v>
      </c>
      <c r="E8770" t="s">
        <v>187</v>
      </c>
      <c r="F8770">
        <v>2012</v>
      </c>
      <c r="G8770">
        <v>0.124</v>
      </c>
    </row>
    <row r="8771" spans="1:7">
      <c r="A8771" t="s">
        <v>1297</v>
      </c>
      <c r="B8771" t="s">
        <v>1298</v>
      </c>
      <c r="C8771" t="s">
        <v>685</v>
      </c>
      <c r="D8771" t="s">
        <v>1397</v>
      </c>
      <c r="E8771" t="s">
        <v>187</v>
      </c>
      <c r="F8771">
        <v>2016</v>
      </c>
      <c r="G8771">
        <v>6.4657000000000006E-2</v>
      </c>
    </row>
    <row r="8772" spans="1:7">
      <c r="A8772" t="s">
        <v>1297</v>
      </c>
      <c r="B8772" t="s">
        <v>1298</v>
      </c>
      <c r="C8772" t="s">
        <v>685</v>
      </c>
      <c r="D8772" t="s">
        <v>1397</v>
      </c>
      <c r="E8772" t="s">
        <v>187</v>
      </c>
      <c r="F8772">
        <v>2020</v>
      </c>
      <c r="G8772">
        <v>1.6768000000000002E-2</v>
      </c>
    </row>
    <row r="8773" spans="1:7">
      <c r="A8773" t="s">
        <v>1297</v>
      </c>
      <c r="B8773" t="s">
        <v>1298</v>
      </c>
      <c r="C8773" t="s">
        <v>668</v>
      </c>
      <c r="D8773" t="s">
        <v>1397</v>
      </c>
      <c r="E8773" t="s">
        <v>187</v>
      </c>
      <c r="F8773">
        <v>2005</v>
      </c>
      <c r="G8773">
        <v>0.68400000000000005</v>
      </c>
    </row>
    <row r="8774" spans="1:7">
      <c r="A8774" t="s">
        <v>1297</v>
      </c>
      <c r="B8774" t="s">
        <v>1298</v>
      </c>
      <c r="C8774" t="s">
        <v>668</v>
      </c>
      <c r="D8774" t="s">
        <v>1397</v>
      </c>
      <c r="E8774" t="s">
        <v>187</v>
      </c>
      <c r="F8774">
        <v>2010</v>
      </c>
      <c r="G8774">
        <v>0.38700000000000001</v>
      </c>
    </row>
    <row r="8775" spans="1:7">
      <c r="A8775" t="s">
        <v>1297</v>
      </c>
      <c r="B8775" t="s">
        <v>1298</v>
      </c>
      <c r="C8775" t="s">
        <v>668</v>
      </c>
      <c r="D8775" t="s">
        <v>1397</v>
      </c>
      <c r="E8775" t="s">
        <v>187</v>
      </c>
      <c r="F8775">
        <v>2012</v>
      </c>
      <c r="G8775">
        <v>0.25900000000000001</v>
      </c>
    </row>
    <row r="8776" spans="1:7">
      <c r="A8776" t="s">
        <v>1297</v>
      </c>
      <c r="B8776" t="s">
        <v>1298</v>
      </c>
      <c r="C8776" t="s">
        <v>668</v>
      </c>
      <c r="D8776" t="s">
        <v>1397</v>
      </c>
      <c r="E8776" t="s">
        <v>187</v>
      </c>
      <c r="F8776">
        <v>2016</v>
      </c>
      <c r="G8776">
        <v>2.5059999999999998</v>
      </c>
    </row>
    <row r="8777" spans="1:7">
      <c r="A8777" t="s">
        <v>1297</v>
      </c>
      <c r="B8777" t="s">
        <v>1298</v>
      </c>
      <c r="C8777" t="s">
        <v>668</v>
      </c>
      <c r="D8777" t="s">
        <v>1397</v>
      </c>
      <c r="E8777" t="s">
        <v>187</v>
      </c>
      <c r="F8777">
        <v>2020</v>
      </c>
      <c r="G8777">
        <v>3.3236460000000001</v>
      </c>
    </row>
    <row r="8778" spans="1:7">
      <c r="A8778" t="s">
        <v>1297</v>
      </c>
      <c r="B8778" t="s">
        <v>1298</v>
      </c>
      <c r="C8778" t="s">
        <v>686</v>
      </c>
      <c r="D8778" t="s">
        <v>1397</v>
      </c>
      <c r="E8778" t="s">
        <v>187</v>
      </c>
      <c r="F8778">
        <v>2005</v>
      </c>
      <c r="G8778">
        <v>25.181000000000001</v>
      </c>
    </row>
    <row r="8779" spans="1:7">
      <c r="A8779" t="s">
        <v>1297</v>
      </c>
      <c r="B8779" t="s">
        <v>1298</v>
      </c>
      <c r="C8779" t="s">
        <v>686</v>
      </c>
      <c r="D8779" t="s">
        <v>1397</v>
      </c>
      <c r="E8779" t="s">
        <v>187</v>
      </c>
      <c r="F8779">
        <v>2010</v>
      </c>
      <c r="G8779">
        <v>14.473000000000001</v>
      </c>
    </row>
    <row r="8780" spans="1:7">
      <c r="A8780" t="s">
        <v>1297</v>
      </c>
      <c r="B8780" t="s">
        <v>1298</v>
      </c>
      <c r="C8780" t="s">
        <v>686</v>
      </c>
      <c r="D8780" t="s">
        <v>1397</v>
      </c>
      <c r="E8780" t="s">
        <v>187</v>
      </c>
      <c r="F8780">
        <v>2012</v>
      </c>
      <c r="G8780">
        <v>10.355</v>
      </c>
    </row>
    <row r="8781" spans="1:7">
      <c r="A8781" t="s">
        <v>1297</v>
      </c>
      <c r="B8781" t="s">
        <v>1298</v>
      </c>
      <c r="C8781" t="s">
        <v>686</v>
      </c>
      <c r="D8781" t="s">
        <v>1397</v>
      </c>
      <c r="E8781" t="s">
        <v>187</v>
      </c>
      <c r="F8781">
        <v>2016</v>
      </c>
      <c r="G8781">
        <v>8.359</v>
      </c>
    </row>
    <row r="8782" spans="1:7">
      <c r="A8782" t="s">
        <v>1297</v>
      </c>
      <c r="B8782" t="s">
        <v>1298</v>
      </c>
      <c r="C8782" t="s">
        <v>686</v>
      </c>
      <c r="D8782" t="s">
        <v>1397</v>
      </c>
      <c r="E8782" t="s">
        <v>187</v>
      </c>
      <c r="F8782">
        <v>2020</v>
      </c>
      <c r="G8782">
        <v>8.34436</v>
      </c>
    </row>
    <row r="8783" spans="1:7">
      <c r="A8783" t="s">
        <v>1297</v>
      </c>
      <c r="B8783" t="s">
        <v>1298</v>
      </c>
      <c r="C8783" t="s">
        <v>672</v>
      </c>
      <c r="D8783" t="s">
        <v>1397</v>
      </c>
      <c r="E8783" t="s">
        <v>187</v>
      </c>
      <c r="F8783">
        <v>2005</v>
      </c>
      <c r="G8783">
        <v>13.176</v>
      </c>
    </row>
    <row r="8784" spans="1:7">
      <c r="A8784" t="s">
        <v>1297</v>
      </c>
      <c r="B8784" t="s">
        <v>1298</v>
      </c>
      <c r="C8784" t="s">
        <v>672</v>
      </c>
      <c r="D8784" t="s">
        <v>1397</v>
      </c>
      <c r="E8784" t="s">
        <v>187</v>
      </c>
      <c r="F8784">
        <v>2010</v>
      </c>
      <c r="G8784">
        <v>13.371</v>
      </c>
    </row>
    <row r="8785" spans="1:7">
      <c r="A8785" t="s">
        <v>1297</v>
      </c>
      <c r="B8785" t="s">
        <v>1298</v>
      </c>
      <c r="C8785" t="s">
        <v>672</v>
      </c>
      <c r="D8785" t="s">
        <v>1397</v>
      </c>
      <c r="E8785" t="s">
        <v>187</v>
      </c>
      <c r="F8785">
        <v>2012</v>
      </c>
      <c r="G8785">
        <v>13.358000000000001</v>
      </c>
    </row>
    <row r="8786" spans="1:7">
      <c r="A8786" t="s">
        <v>1297</v>
      </c>
      <c r="B8786" t="s">
        <v>1298</v>
      </c>
      <c r="C8786" t="s">
        <v>672</v>
      </c>
      <c r="D8786" t="s">
        <v>1397</v>
      </c>
      <c r="E8786" t="s">
        <v>187</v>
      </c>
      <c r="F8786">
        <v>2016</v>
      </c>
      <c r="G8786">
        <v>7.8550000000000004</v>
      </c>
    </row>
    <row r="8787" spans="1:7">
      <c r="A8787" t="s">
        <v>1297</v>
      </c>
      <c r="B8787" t="s">
        <v>1298</v>
      </c>
      <c r="C8787" t="s">
        <v>672</v>
      </c>
      <c r="D8787" t="s">
        <v>1397</v>
      </c>
      <c r="E8787" t="s">
        <v>187</v>
      </c>
      <c r="F8787">
        <v>2020</v>
      </c>
      <c r="G8787">
        <v>9.3149420000000003</v>
      </c>
    </row>
    <row r="8788" spans="1:7">
      <c r="A8788" t="s">
        <v>1297</v>
      </c>
      <c r="B8788" t="s">
        <v>1298</v>
      </c>
      <c r="C8788" t="s">
        <v>651</v>
      </c>
      <c r="D8788" t="s">
        <v>1397</v>
      </c>
      <c r="E8788" t="s">
        <v>187</v>
      </c>
      <c r="F8788">
        <v>2005</v>
      </c>
      <c r="G8788">
        <v>7.6749179999999999</v>
      </c>
    </row>
    <row r="8789" spans="1:7">
      <c r="A8789" t="s">
        <v>1297</v>
      </c>
      <c r="B8789" t="s">
        <v>1298</v>
      </c>
      <c r="C8789" t="s">
        <v>651</v>
      </c>
      <c r="D8789" t="s">
        <v>1397</v>
      </c>
      <c r="E8789" t="s">
        <v>187</v>
      </c>
      <c r="F8789">
        <v>2010</v>
      </c>
      <c r="G8789">
        <v>10.367235000000001</v>
      </c>
    </row>
    <row r="8790" spans="1:7">
      <c r="A8790" t="s">
        <v>1297</v>
      </c>
      <c r="B8790" t="s">
        <v>1298</v>
      </c>
      <c r="C8790" t="s">
        <v>651</v>
      </c>
      <c r="D8790" t="s">
        <v>1397</v>
      </c>
      <c r="E8790" t="s">
        <v>187</v>
      </c>
      <c r="F8790">
        <v>2012</v>
      </c>
      <c r="G8790">
        <v>12.164859999999999</v>
      </c>
    </row>
    <row r="8791" spans="1:7">
      <c r="A8791" t="s">
        <v>1297</v>
      </c>
      <c r="B8791" t="s">
        <v>1298</v>
      </c>
      <c r="C8791" t="s">
        <v>651</v>
      </c>
      <c r="D8791" t="s">
        <v>1397</v>
      </c>
      <c r="E8791" t="s">
        <v>187</v>
      </c>
      <c r="F8791">
        <v>2016</v>
      </c>
      <c r="G8791">
        <v>10.204991</v>
      </c>
    </row>
    <row r="8792" spans="1:7">
      <c r="A8792" t="s">
        <v>1297</v>
      </c>
      <c r="B8792" t="s">
        <v>1298</v>
      </c>
      <c r="C8792" t="s">
        <v>651</v>
      </c>
      <c r="D8792" t="s">
        <v>1397</v>
      </c>
      <c r="E8792" t="s">
        <v>187</v>
      </c>
      <c r="F8792">
        <v>2020</v>
      </c>
      <c r="G8792">
        <v>10.56718</v>
      </c>
    </row>
    <row r="8793" spans="1:7">
      <c r="A8793" t="s">
        <v>1297</v>
      </c>
      <c r="B8793" t="s">
        <v>1298</v>
      </c>
      <c r="C8793" t="s">
        <v>671</v>
      </c>
      <c r="D8793" t="s">
        <v>1397</v>
      </c>
      <c r="E8793" t="s">
        <v>187</v>
      </c>
      <c r="F8793">
        <v>2005</v>
      </c>
      <c r="G8793">
        <v>47.555999999999997</v>
      </c>
    </row>
    <row r="8794" spans="1:7">
      <c r="A8794" t="s">
        <v>1297</v>
      </c>
      <c r="B8794" t="s">
        <v>1298</v>
      </c>
      <c r="C8794" t="s">
        <v>671</v>
      </c>
      <c r="D8794" t="s">
        <v>1397</v>
      </c>
      <c r="E8794" t="s">
        <v>187</v>
      </c>
      <c r="F8794">
        <v>2010</v>
      </c>
      <c r="G8794">
        <v>28.047000000000001</v>
      </c>
    </row>
    <row r="8795" spans="1:7">
      <c r="A8795" t="s">
        <v>1297</v>
      </c>
      <c r="B8795" t="s">
        <v>1298</v>
      </c>
      <c r="C8795" t="s">
        <v>671</v>
      </c>
      <c r="D8795" t="s">
        <v>1397</v>
      </c>
      <c r="E8795" t="s">
        <v>187</v>
      </c>
      <c r="F8795">
        <v>2012</v>
      </c>
      <c r="G8795">
        <v>26.349</v>
      </c>
    </row>
    <row r="8796" spans="1:7">
      <c r="A8796" t="s">
        <v>1297</v>
      </c>
      <c r="B8796" t="s">
        <v>1298</v>
      </c>
      <c r="C8796" t="s">
        <v>671</v>
      </c>
      <c r="D8796" t="s">
        <v>1397</v>
      </c>
      <c r="E8796" t="s">
        <v>187</v>
      </c>
      <c r="F8796">
        <v>2016</v>
      </c>
      <c r="G8796">
        <v>28.669</v>
      </c>
    </row>
    <row r="8797" spans="1:7">
      <c r="A8797" t="s">
        <v>1297</v>
      </c>
      <c r="B8797" t="s">
        <v>1298</v>
      </c>
      <c r="C8797" t="s">
        <v>671</v>
      </c>
      <c r="D8797" t="s">
        <v>1397</v>
      </c>
      <c r="E8797" t="s">
        <v>187</v>
      </c>
      <c r="F8797">
        <v>2020</v>
      </c>
      <c r="G8797">
        <v>36.310536999999997</v>
      </c>
    </row>
    <row r="8798" spans="1:7">
      <c r="A8798" t="s">
        <v>1297</v>
      </c>
      <c r="B8798" t="s">
        <v>1298</v>
      </c>
      <c r="C8798" t="s">
        <v>663</v>
      </c>
      <c r="D8798" t="s">
        <v>1397</v>
      </c>
      <c r="E8798" t="s">
        <v>187</v>
      </c>
      <c r="F8798">
        <v>2005</v>
      </c>
      <c r="G8798">
        <v>15.76</v>
      </c>
    </row>
    <row r="8799" spans="1:7">
      <c r="A8799" t="s">
        <v>1297</v>
      </c>
      <c r="B8799" t="s">
        <v>1298</v>
      </c>
      <c r="C8799" t="s">
        <v>663</v>
      </c>
      <c r="D8799" t="s">
        <v>1397</v>
      </c>
      <c r="E8799" t="s">
        <v>187</v>
      </c>
      <c r="F8799">
        <v>2010</v>
      </c>
      <c r="G8799">
        <v>12.583</v>
      </c>
    </row>
    <row r="8800" spans="1:7">
      <c r="A8800" t="s">
        <v>1297</v>
      </c>
      <c r="B8800" t="s">
        <v>1298</v>
      </c>
      <c r="C8800" t="s">
        <v>663</v>
      </c>
      <c r="D8800" t="s">
        <v>1397</v>
      </c>
      <c r="E8800" t="s">
        <v>187</v>
      </c>
      <c r="F8800">
        <v>2012</v>
      </c>
      <c r="G8800">
        <v>12.872999999999999</v>
      </c>
    </row>
    <row r="8801" spans="1:7">
      <c r="A8801" t="s">
        <v>1297</v>
      </c>
      <c r="B8801" t="s">
        <v>1298</v>
      </c>
      <c r="C8801" t="s">
        <v>663</v>
      </c>
      <c r="D8801" t="s">
        <v>1397</v>
      </c>
      <c r="E8801" t="s">
        <v>187</v>
      </c>
      <c r="F8801">
        <v>2016</v>
      </c>
      <c r="G8801">
        <v>16.474</v>
      </c>
    </row>
    <row r="8802" spans="1:7">
      <c r="A8802" t="s">
        <v>1297</v>
      </c>
      <c r="B8802" t="s">
        <v>1298</v>
      </c>
      <c r="C8802" t="s">
        <v>663</v>
      </c>
      <c r="D8802" t="s">
        <v>1397</v>
      </c>
      <c r="E8802" t="s">
        <v>187</v>
      </c>
      <c r="F8802">
        <v>2020</v>
      </c>
      <c r="G8802">
        <v>14.444000000000001</v>
      </c>
    </row>
    <row r="8803" spans="1:7">
      <c r="A8803" t="s">
        <v>1297</v>
      </c>
      <c r="B8803" t="s">
        <v>1298</v>
      </c>
      <c r="C8803" t="s">
        <v>289</v>
      </c>
      <c r="D8803" t="s">
        <v>1397</v>
      </c>
      <c r="E8803" t="s">
        <v>187</v>
      </c>
      <c r="F8803">
        <v>2005</v>
      </c>
      <c r="G8803">
        <v>0.83760400000000002</v>
      </c>
    </row>
    <row r="8804" spans="1:7">
      <c r="A8804" t="s">
        <v>1297</v>
      </c>
      <c r="B8804" t="s">
        <v>1298</v>
      </c>
      <c r="C8804" t="s">
        <v>289</v>
      </c>
      <c r="D8804" t="s">
        <v>1397</v>
      </c>
      <c r="E8804" t="s">
        <v>187</v>
      </c>
      <c r="F8804">
        <v>2010</v>
      </c>
      <c r="G8804">
        <v>0.73189400000000004</v>
      </c>
    </row>
    <row r="8805" spans="1:7">
      <c r="A8805" t="s">
        <v>1297</v>
      </c>
      <c r="B8805" t="s">
        <v>1298</v>
      </c>
      <c r="C8805" t="s">
        <v>289</v>
      </c>
      <c r="D8805" t="s">
        <v>1397</v>
      </c>
      <c r="E8805" t="s">
        <v>187</v>
      </c>
      <c r="F8805">
        <v>2012</v>
      </c>
      <c r="G8805">
        <v>0.81277100000000002</v>
      </c>
    </row>
    <row r="8806" spans="1:7">
      <c r="A8806" t="s">
        <v>1297</v>
      </c>
      <c r="B8806" t="s">
        <v>1298</v>
      </c>
      <c r="C8806" t="s">
        <v>1301</v>
      </c>
      <c r="D8806" t="s">
        <v>1397</v>
      </c>
      <c r="E8806" t="s">
        <v>187</v>
      </c>
      <c r="F8806">
        <v>2010</v>
      </c>
      <c r="G8806">
        <v>51.33</v>
      </c>
    </row>
    <row r="8807" spans="1:7">
      <c r="A8807" t="s">
        <v>1297</v>
      </c>
      <c r="B8807" t="s">
        <v>1298</v>
      </c>
      <c r="C8807" t="s">
        <v>1301</v>
      </c>
      <c r="D8807" t="s">
        <v>1397</v>
      </c>
      <c r="E8807" t="s">
        <v>187</v>
      </c>
      <c r="F8807">
        <v>2012</v>
      </c>
      <c r="G8807">
        <v>51.317</v>
      </c>
    </row>
    <row r="8808" spans="1:7">
      <c r="A8808" t="s">
        <v>1297</v>
      </c>
      <c r="B8808" t="s">
        <v>1298</v>
      </c>
      <c r="C8808" t="s">
        <v>1301</v>
      </c>
      <c r="D8808" t="s">
        <v>1397</v>
      </c>
      <c r="E8808" t="s">
        <v>187</v>
      </c>
      <c r="F8808">
        <v>2016</v>
      </c>
      <c r="G8808">
        <v>38.838999999999999</v>
      </c>
    </row>
    <row r="8809" spans="1:7">
      <c r="A8809" t="s">
        <v>1297</v>
      </c>
      <c r="B8809" t="s">
        <v>1298</v>
      </c>
      <c r="C8809" t="s">
        <v>1301</v>
      </c>
      <c r="D8809" t="s">
        <v>1397</v>
      </c>
      <c r="E8809" t="s">
        <v>187</v>
      </c>
      <c r="F8809">
        <v>2020</v>
      </c>
      <c r="G8809">
        <v>42.990614999999998</v>
      </c>
    </row>
    <row r="8810" spans="1:7">
      <c r="A8810" t="s">
        <v>1297</v>
      </c>
      <c r="B8810" t="s">
        <v>1298</v>
      </c>
      <c r="C8810" t="s">
        <v>670</v>
      </c>
      <c r="D8810" t="s">
        <v>1397</v>
      </c>
      <c r="E8810" t="s">
        <v>187</v>
      </c>
      <c r="F8810">
        <v>2005</v>
      </c>
      <c r="G8810">
        <v>133.08500000000001</v>
      </c>
    </row>
    <row r="8811" spans="1:7">
      <c r="A8811" t="s">
        <v>1297</v>
      </c>
      <c r="B8811" t="s">
        <v>1298</v>
      </c>
      <c r="C8811" t="s">
        <v>670</v>
      </c>
      <c r="D8811" t="s">
        <v>1397</v>
      </c>
      <c r="E8811" t="s">
        <v>187</v>
      </c>
      <c r="F8811">
        <v>2010</v>
      </c>
      <c r="G8811">
        <v>95.123999999999995</v>
      </c>
    </row>
    <row r="8812" spans="1:7">
      <c r="A8812" t="s">
        <v>1297</v>
      </c>
      <c r="B8812" t="s">
        <v>1298</v>
      </c>
      <c r="C8812" t="s">
        <v>670</v>
      </c>
      <c r="D8812" t="s">
        <v>1397</v>
      </c>
      <c r="E8812" t="s">
        <v>187</v>
      </c>
      <c r="F8812">
        <v>2012</v>
      </c>
      <c r="G8812">
        <v>89.091999999999999</v>
      </c>
    </row>
    <row r="8813" spans="1:7">
      <c r="A8813" t="s">
        <v>1297</v>
      </c>
      <c r="B8813" t="s">
        <v>1298</v>
      </c>
      <c r="C8813" t="s">
        <v>670</v>
      </c>
      <c r="D8813" t="s">
        <v>1397</v>
      </c>
      <c r="E8813" t="s">
        <v>187</v>
      </c>
      <c r="F8813">
        <v>2016</v>
      </c>
      <c r="G8813">
        <v>72.493778000000006</v>
      </c>
    </row>
    <row r="8814" spans="1:7">
      <c r="A8814" t="s">
        <v>1297</v>
      </c>
      <c r="B8814" t="s">
        <v>1298</v>
      </c>
      <c r="C8814" t="s">
        <v>670</v>
      </c>
      <c r="D8814" t="s">
        <v>1397</v>
      </c>
      <c r="E8814" t="s">
        <v>187</v>
      </c>
      <c r="F8814">
        <v>2020</v>
      </c>
      <c r="G8814">
        <v>64.283432000000005</v>
      </c>
    </row>
    <row r="8815" spans="1:7">
      <c r="A8815" t="s">
        <v>1297</v>
      </c>
      <c r="B8815" t="s">
        <v>1298</v>
      </c>
      <c r="C8815" t="s">
        <v>679</v>
      </c>
      <c r="D8815" t="s">
        <v>1397</v>
      </c>
      <c r="E8815" t="s">
        <v>187</v>
      </c>
      <c r="F8815">
        <v>2005</v>
      </c>
      <c r="G8815">
        <v>1.0780000000000001</v>
      </c>
    </row>
    <row r="8816" spans="1:7">
      <c r="A8816" t="s">
        <v>1297</v>
      </c>
      <c r="B8816" t="s">
        <v>1298</v>
      </c>
      <c r="C8816" t="s">
        <v>679</v>
      </c>
      <c r="D8816" t="s">
        <v>1397</v>
      </c>
      <c r="E8816" t="s">
        <v>187</v>
      </c>
      <c r="F8816">
        <v>2010</v>
      </c>
      <c r="G8816">
        <v>1.9270640000000001</v>
      </c>
    </row>
    <row r="8817" spans="1:7">
      <c r="A8817" t="s">
        <v>1297</v>
      </c>
      <c r="B8817" t="s">
        <v>1298</v>
      </c>
      <c r="C8817" t="s">
        <v>679</v>
      </c>
      <c r="D8817" t="s">
        <v>1397</v>
      </c>
      <c r="E8817" t="s">
        <v>187</v>
      </c>
      <c r="F8817">
        <v>2012</v>
      </c>
      <c r="G8817">
        <v>1.9601599999999999</v>
      </c>
    </row>
    <row r="8818" spans="1:7">
      <c r="A8818" t="s">
        <v>1297</v>
      </c>
      <c r="B8818" t="s">
        <v>1298</v>
      </c>
      <c r="C8818" t="s">
        <v>679</v>
      </c>
      <c r="D8818" t="s">
        <v>1397</v>
      </c>
      <c r="E8818" t="s">
        <v>187</v>
      </c>
      <c r="F8818">
        <v>2016</v>
      </c>
      <c r="G8818">
        <v>1.9630000000000001</v>
      </c>
    </row>
    <row r="8819" spans="1:7">
      <c r="A8819" t="s">
        <v>1297</v>
      </c>
      <c r="B8819" t="s">
        <v>1298</v>
      </c>
      <c r="C8819" t="s">
        <v>679</v>
      </c>
      <c r="D8819" t="s">
        <v>1397</v>
      </c>
      <c r="E8819" t="s">
        <v>187</v>
      </c>
      <c r="F8819">
        <v>2020</v>
      </c>
      <c r="G8819">
        <v>2.0859999999999999</v>
      </c>
    </row>
    <row r="8820" spans="1:7">
      <c r="A8820" t="s">
        <v>1297</v>
      </c>
      <c r="B8820" t="s">
        <v>1298</v>
      </c>
      <c r="C8820" t="s">
        <v>673</v>
      </c>
      <c r="D8820" t="s">
        <v>1397</v>
      </c>
      <c r="E8820" t="s">
        <v>187</v>
      </c>
      <c r="F8820">
        <v>2005</v>
      </c>
      <c r="G8820">
        <v>14.867000000000001</v>
      </c>
    </row>
    <row r="8821" spans="1:7">
      <c r="A8821" t="s">
        <v>1297</v>
      </c>
      <c r="B8821" t="s">
        <v>1298</v>
      </c>
      <c r="C8821" t="s">
        <v>673</v>
      </c>
      <c r="D8821" t="s">
        <v>1397</v>
      </c>
      <c r="E8821" t="s">
        <v>187</v>
      </c>
      <c r="F8821">
        <v>2010</v>
      </c>
      <c r="G8821">
        <v>11.834</v>
      </c>
    </row>
    <row r="8822" spans="1:7">
      <c r="A8822" t="s">
        <v>1297</v>
      </c>
      <c r="B8822" t="s">
        <v>1298</v>
      </c>
      <c r="C8822" t="s">
        <v>673</v>
      </c>
      <c r="D8822" t="s">
        <v>1397</v>
      </c>
      <c r="E8822" t="s">
        <v>187</v>
      </c>
      <c r="F8822">
        <v>2012</v>
      </c>
      <c r="G8822">
        <v>11.667999999999999</v>
      </c>
    </row>
    <row r="8823" spans="1:7">
      <c r="A8823" t="s">
        <v>1297</v>
      </c>
      <c r="B8823" t="s">
        <v>1298</v>
      </c>
      <c r="C8823" t="s">
        <v>673</v>
      </c>
      <c r="D8823" t="s">
        <v>1397</v>
      </c>
      <c r="E8823" t="s">
        <v>187</v>
      </c>
      <c r="F8823">
        <v>2016</v>
      </c>
      <c r="G8823">
        <v>11.507</v>
      </c>
    </row>
    <row r="8824" spans="1:7">
      <c r="A8824" t="s">
        <v>1297</v>
      </c>
      <c r="B8824" t="s">
        <v>1298</v>
      </c>
      <c r="C8824" t="s">
        <v>673</v>
      </c>
      <c r="D8824" t="s">
        <v>1397</v>
      </c>
      <c r="E8824" t="s">
        <v>187</v>
      </c>
      <c r="F8824">
        <v>2020</v>
      </c>
      <c r="G8824">
        <v>10.154443000000001</v>
      </c>
    </row>
    <row r="8825" spans="1:7">
      <c r="A8825" t="s">
        <v>1297</v>
      </c>
      <c r="B8825" t="s">
        <v>1298</v>
      </c>
      <c r="C8825" t="s">
        <v>666</v>
      </c>
      <c r="D8825" t="s">
        <v>1397</v>
      </c>
      <c r="E8825" t="s">
        <v>187</v>
      </c>
      <c r="F8825">
        <v>2005</v>
      </c>
      <c r="G8825">
        <v>7.2210000000000001</v>
      </c>
    </row>
    <row r="8826" spans="1:7">
      <c r="A8826" t="s">
        <v>1297</v>
      </c>
      <c r="B8826" t="s">
        <v>1298</v>
      </c>
      <c r="C8826" t="s">
        <v>666</v>
      </c>
      <c r="D8826" t="s">
        <v>1397</v>
      </c>
      <c r="E8826" t="s">
        <v>187</v>
      </c>
      <c r="F8826">
        <v>2010</v>
      </c>
      <c r="G8826">
        <v>7.5679999999999996</v>
      </c>
    </row>
    <row r="8827" spans="1:7">
      <c r="A8827" t="s">
        <v>1297</v>
      </c>
      <c r="B8827" t="s">
        <v>1298</v>
      </c>
      <c r="C8827" t="s">
        <v>666</v>
      </c>
      <c r="D8827" t="s">
        <v>1397</v>
      </c>
      <c r="E8827" t="s">
        <v>187</v>
      </c>
      <c r="F8827">
        <v>2012</v>
      </c>
      <c r="G8827">
        <v>8.8919999999999995</v>
      </c>
    </row>
    <row r="8828" spans="1:7">
      <c r="A8828" t="s">
        <v>1297</v>
      </c>
      <c r="B8828" t="s">
        <v>1298</v>
      </c>
      <c r="C8828" t="s">
        <v>666</v>
      </c>
      <c r="D8828" t="s">
        <v>1397</v>
      </c>
      <c r="E8828" t="s">
        <v>187</v>
      </c>
      <c r="F8828">
        <v>2016</v>
      </c>
      <c r="G8828">
        <v>7.9089999999999998</v>
      </c>
    </row>
    <row r="8829" spans="1:7">
      <c r="A8829" t="s">
        <v>1297</v>
      </c>
      <c r="B8829" t="s">
        <v>1298</v>
      </c>
      <c r="C8829" t="s">
        <v>666</v>
      </c>
      <c r="D8829" t="s">
        <v>1397</v>
      </c>
      <c r="E8829" t="s">
        <v>187</v>
      </c>
      <c r="F8829">
        <v>2020</v>
      </c>
      <c r="G8829">
        <v>9.2729999999999997</v>
      </c>
    </row>
    <row r="8830" spans="1:7">
      <c r="A8830" t="s">
        <v>1297</v>
      </c>
      <c r="B8830" t="s">
        <v>1298</v>
      </c>
      <c r="C8830" t="s">
        <v>660</v>
      </c>
      <c r="D8830" t="s">
        <v>1397</v>
      </c>
      <c r="E8830" t="s">
        <v>187</v>
      </c>
      <c r="F8830">
        <v>2005</v>
      </c>
      <c r="G8830">
        <v>64.475999999999999</v>
      </c>
    </row>
    <row r="8831" spans="1:7">
      <c r="A8831" t="s">
        <v>1297</v>
      </c>
      <c r="B8831" t="s">
        <v>1298</v>
      </c>
      <c r="C8831" t="s">
        <v>660</v>
      </c>
      <c r="D8831" t="s">
        <v>1397</v>
      </c>
      <c r="E8831" t="s">
        <v>187</v>
      </c>
      <c r="F8831">
        <v>2010</v>
      </c>
      <c r="G8831">
        <v>65.834000000000003</v>
      </c>
    </row>
    <row r="8832" spans="1:7">
      <c r="A8832" t="s">
        <v>1297</v>
      </c>
      <c r="B8832" t="s">
        <v>1298</v>
      </c>
      <c r="C8832" t="s">
        <v>660</v>
      </c>
      <c r="D8832" t="s">
        <v>1397</v>
      </c>
      <c r="E8832" t="s">
        <v>187</v>
      </c>
      <c r="F8832">
        <v>2012</v>
      </c>
      <c r="G8832">
        <v>62.933</v>
      </c>
    </row>
    <row r="8833" spans="1:7">
      <c r="A8833" t="s">
        <v>1297</v>
      </c>
      <c r="B8833" t="s">
        <v>1298</v>
      </c>
      <c r="C8833" t="s">
        <v>660</v>
      </c>
      <c r="D8833" t="s">
        <v>1397</v>
      </c>
      <c r="E8833" t="s">
        <v>187</v>
      </c>
      <c r="F8833">
        <v>2016</v>
      </c>
      <c r="G8833">
        <v>54.877000000000002</v>
      </c>
    </row>
    <row r="8834" spans="1:7">
      <c r="A8834" t="s">
        <v>1297</v>
      </c>
      <c r="B8834" t="s">
        <v>1298</v>
      </c>
      <c r="C8834" t="s">
        <v>660</v>
      </c>
      <c r="D8834" t="s">
        <v>1397</v>
      </c>
      <c r="E8834" t="s">
        <v>187</v>
      </c>
      <c r="F8834">
        <v>2020</v>
      </c>
      <c r="G8834">
        <v>51.872</v>
      </c>
    </row>
    <row r="8835" spans="1:7">
      <c r="A8835" t="s">
        <v>1297</v>
      </c>
      <c r="B8835" t="s">
        <v>1298</v>
      </c>
      <c r="C8835" t="s">
        <v>682</v>
      </c>
      <c r="D8835" t="s">
        <v>1397</v>
      </c>
      <c r="E8835" t="s">
        <v>187</v>
      </c>
      <c r="F8835">
        <v>2016</v>
      </c>
      <c r="G8835">
        <v>2.1999999999999999E-2</v>
      </c>
    </row>
    <row r="8836" spans="1:7">
      <c r="A8836" t="s">
        <v>1297</v>
      </c>
      <c r="B8836" t="s">
        <v>1298</v>
      </c>
      <c r="C8836" t="s">
        <v>682</v>
      </c>
      <c r="D8836" t="s">
        <v>1397</v>
      </c>
      <c r="E8836" t="s">
        <v>187</v>
      </c>
      <c r="F8836">
        <v>2020</v>
      </c>
      <c r="G8836">
        <v>2.5000000000000001E-2</v>
      </c>
    </row>
    <row r="8837" spans="1:7">
      <c r="A8837" t="s">
        <v>1297</v>
      </c>
      <c r="B8837" t="s">
        <v>1298</v>
      </c>
      <c r="C8837" t="s">
        <v>1300</v>
      </c>
      <c r="D8837" t="s">
        <v>1397</v>
      </c>
      <c r="E8837" t="s">
        <v>187</v>
      </c>
      <c r="F8837">
        <v>2010</v>
      </c>
      <c r="G8837">
        <v>2.2080000000000002</v>
      </c>
    </row>
    <row r="8838" spans="1:7">
      <c r="A8838" t="s">
        <v>1297</v>
      </c>
      <c r="B8838" t="s">
        <v>1298</v>
      </c>
      <c r="C8838" t="s">
        <v>1300</v>
      </c>
      <c r="D8838" t="s">
        <v>1397</v>
      </c>
      <c r="E8838" t="s">
        <v>187</v>
      </c>
      <c r="F8838">
        <v>2012</v>
      </c>
      <c r="G8838">
        <v>1.845</v>
      </c>
    </row>
    <row r="8839" spans="1:7">
      <c r="A8839" t="s">
        <v>1297</v>
      </c>
      <c r="B8839" t="s">
        <v>1298</v>
      </c>
      <c r="C8839" t="s">
        <v>1300</v>
      </c>
      <c r="D8839" t="s">
        <v>1397</v>
      </c>
      <c r="E8839" t="s">
        <v>187</v>
      </c>
      <c r="F8839">
        <v>2016</v>
      </c>
      <c r="G8839">
        <v>1.8879999999999999</v>
      </c>
    </row>
    <row r="8840" spans="1:7">
      <c r="A8840" t="s">
        <v>1297</v>
      </c>
      <c r="B8840" t="s">
        <v>1298</v>
      </c>
      <c r="C8840" t="s">
        <v>1300</v>
      </c>
      <c r="D8840" t="s">
        <v>1397</v>
      </c>
      <c r="E8840" t="s">
        <v>187</v>
      </c>
      <c r="F8840">
        <v>2020</v>
      </c>
      <c r="G8840">
        <v>2.032</v>
      </c>
    </row>
    <row r="8841" spans="1:7">
      <c r="A8841" t="s">
        <v>1297</v>
      </c>
      <c r="B8841" t="s">
        <v>1298</v>
      </c>
      <c r="C8841" t="s">
        <v>674</v>
      </c>
      <c r="D8841" t="s">
        <v>1397</v>
      </c>
      <c r="E8841" t="s">
        <v>187</v>
      </c>
      <c r="F8841">
        <v>2005</v>
      </c>
      <c r="G8841">
        <v>15.894</v>
      </c>
    </row>
    <row r="8842" spans="1:7">
      <c r="A8842" t="s">
        <v>1297</v>
      </c>
      <c r="B8842" t="s">
        <v>1298</v>
      </c>
      <c r="C8842" t="s">
        <v>674</v>
      </c>
      <c r="D8842" t="s">
        <v>1397</v>
      </c>
      <c r="E8842" t="s">
        <v>187</v>
      </c>
      <c r="F8842">
        <v>2010</v>
      </c>
      <c r="G8842">
        <v>18.795999999999999</v>
      </c>
    </row>
    <row r="8843" spans="1:7">
      <c r="A8843" t="s">
        <v>1297</v>
      </c>
      <c r="B8843" t="s">
        <v>1298</v>
      </c>
      <c r="C8843" t="s">
        <v>674</v>
      </c>
      <c r="D8843" t="s">
        <v>1397</v>
      </c>
      <c r="E8843" t="s">
        <v>187</v>
      </c>
      <c r="F8843">
        <v>2012</v>
      </c>
      <c r="G8843">
        <v>17.042000000000002</v>
      </c>
    </row>
    <row r="8844" spans="1:7">
      <c r="A8844" t="s">
        <v>1297</v>
      </c>
      <c r="B8844" t="s">
        <v>1298</v>
      </c>
      <c r="C8844" t="s">
        <v>674</v>
      </c>
      <c r="D8844" t="s">
        <v>1397</v>
      </c>
      <c r="E8844" t="s">
        <v>187</v>
      </c>
      <c r="F8844">
        <v>2016</v>
      </c>
      <c r="G8844">
        <v>20.988</v>
      </c>
    </row>
    <row r="8845" spans="1:7">
      <c r="A8845" t="s">
        <v>1297</v>
      </c>
      <c r="B8845" t="s">
        <v>1298</v>
      </c>
      <c r="C8845" t="s">
        <v>674</v>
      </c>
      <c r="D8845" t="s">
        <v>1397</v>
      </c>
      <c r="E8845" t="s">
        <v>187</v>
      </c>
      <c r="F8845">
        <v>2020</v>
      </c>
      <c r="G8845">
        <v>21.006</v>
      </c>
    </row>
    <row r="8846" spans="1:7">
      <c r="A8846" t="s">
        <v>1297</v>
      </c>
      <c r="B8846" t="s">
        <v>1298</v>
      </c>
      <c r="C8846" t="s">
        <v>676</v>
      </c>
      <c r="D8846" t="s">
        <v>1397</v>
      </c>
      <c r="E8846" t="s">
        <v>187</v>
      </c>
      <c r="F8846">
        <v>2005</v>
      </c>
      <c r="G8846">
        <v>3.4329999999999998</v>
      </c>
    </row>
    <row r="8847" spans="1:7">
      <c r="A8847" t="s">
        <v>1297</v>
      </c>
      <c r="B8847" t="s">
        <v>1298</v>
      </c>
      <c r="C8847" t="s">
        <v>676</v>
      </c>
      <c r="D8847" t="s">
        <v>1397</v>
      </c>
      <c r="E8847" t="s">
        <v>187</v>
      </c>
      <c r="F8847">
        <v>2010</v>
      </c>
      <c r="G8847">
        <v>4.4589999999999996</v>
      </c>
    </row>
    <row r="8848" spans="1:7">
      <c r="A8848" t="s">
        <v>1297</v>
      </c>
      <c r="B8848" t="s">
        <v>1298</v>
      </c>
      <c r="C8848" t="s">
        <v>676</v>
      </c>
      <c r="D8848" t="s">
        <v>1397</v>
      </c>
      <c r="E8848" t="s">
        <v>187</v>
      </c>
      <c r="F8848">
        <v>2012</v>
      </c>
      <c r="G8848">
        <v>6.5659999999999998</v>
      </c>
    </row>
    <row r="8849" spans="1:7">
      <c r="A8849" t="s">
        <v>1297</v>
      </c>
      <c r="B8849" t="s">
        <v>1298</v>
      </c>
      <c r="C8849" t="s">
        <v>1299</v>
      </c>
      <c r="D8849" t="s">
        <v>1397</v>
      </c>
      <c r="E8849" t="s">
        <v>187</v>
      </c>
      <c r="F8849">
        <v>2016</v>
      </c>
      <c r="G8849">
        <v>131.071</v>
      </c>
    </row>
    <row r="8850" spans="1:7">
      <c r="A8850" t="s">
        <v>1297</v>
      </c>
      <c r="B8850" t="s">
        <v>1298</v>
      </c>
      <c r="C8850" t="s">
        <v>1299</v>
      </c>
      <c r="D8850" t="s">
        <v>1397</v>
      </c>
      <c r="E8850" t="s">
        <v>187</v>
      </c>
      <c r="F8850">
        <v>2020</v>
      </c>
      <c r="G8850">
        <v>146.928</v>
      </c>
    </row>
    <row r="8851" spans="1:7">
      <c r="A8851" t="s">
        <v>1297</v>
      </c>
      <c r="B8851" t="s">
        <v>1298</v>
      </c>
      <c r="C8851" t="s">
        <v>677</v>
      </c>
      <c r="D8851" t="s">
        <v>1397</v>
      </c>
      <c r="E8851" t="s">
        <v>187</v>
      </c>
      <c r="F8851">
        <v>2005</v>
      </c>
      <c r="G8851">
        <v>34.771999999999998</v>
      </c>
    </row>
    <row r="8852" spans="1:7">
      <c r="A8852" t="s">
        <v>1297</v>
      </c>
      <c r="B8852" t="s">
        <v>1298</v>
      </c>
      <c r="C8852" t="s">
        <v>677</v>
      </c>
      <c r="D8852" t="s">
        <v>1397</v>
      </c>
      <c r="E8852" t="s">
        <v>187</v>
      </c>
      <c r="F8852">
        <v>2010</v>
      </c>
      <c r="G8852">
        <v>34.417999999999999</v>
      </c>
    </row>
    <row r="8853" spans="1:7">
      <c r="A8853" t="s">
        <v>1297</v>
      </c>
      <c r="B8853" t="s">
        <v>1298</v>
      </c>
      <c r="C8853" t="s">
        <v>677</v>
      </c>
      <c r="D8853" t="s">
        <v>1397</v>
      </c>
      <c r="E8853" t="s">
        <v>187</v>
      </c>
      <c r="F8853">
        <v>2012</v>
      </c>
      <c r="G8853">
        <v>32.340000000000003</v>
      </c>
    </row>
    <row r="8854" spans="1:7">
      <c r="A8854" t="s">
        <v>1297</v>
      </c>
      <c r="B8854" t="s">
        <v>1298</v>
      </c>
      <c r="C8854" t="s">
        <v>677</v>
      </c>
      <c r="D8854" t="s">
        <v>1397</v>
      </c>
      <c r="E8854" t="s">
        <v>187</v>
      </c>
      <c r="F8854">
        <v>2016</v>
      </c>
      <c r="G8854">
        <v>27.924361000000001</v>
      </c>
    </row>
    <row r="8855" spans="1:7">
      <c r="A8855" t="s">
        <v>1297</v>
      </c>
      <c r="B8855" t="s">
        <v>1298</v>
      </c>
      <c r="C8855" t="s">
        <v>677</v>
      </c>
      <c r="D8855" t="s">
        <v>1397</v>
      </c>
      <c r="E8855" t="s">
        <v>187</v>
      </c>
      <c r="F8855">
        <v>2020</v>
      </c>
      <c r="G8855">
        <v>28.167736000000001</v>
      </c>
    </row>
    <row r="8856" spans="1:7">
      <c r="A8856" t="s">
        <v>1297</v>
      </c>
      <c r="B8856" t="s">
        <v>1298</v>
      </c>
      <c r="C8856" t="s">
        <v>653</v>
      </c>
      <c r="D8856" t="s">
        <v>1397</v>
      </c>
      <c r="E8856" t="s">
        <v>187</v>
      </c>
      <c r="F8856">
        <v>2005</v>
      </c>
      <c r="G8856">
        <v>14.03</v>
      </c>
    </row>
    <row r="8857" spans="1:7">
      <c r="A8857" t="s">
        <v>1297</v>
      </c>
      <c r="B8857" t="s">
        <v>1298</v>
      </c>
      <c r="C8857" t="s">
        <v>653</v>
      </c>
      <c r="D8857" t="s">
        <v>1397</v>
      </c>
      <c r="E8857" t="s">
        <v>187</v>
      </c>
      <c r="F8857">
        <v>2010</v>
      </c>
      <c r="G8857">
        <v>20.164999999999999</v>
      </c>
    </row>
    <row r="8858" spans="1:7">
      <c r="A8858" t="s">
        <v>1297</v>
      </c>
      <c r="B8858" t="s">
        <v>1298</v>
      </c>
      <c r="C8858" t="s">
        <v>653</v>
      </c>
      <c r="D8858" t="s">
        <v>1397</v>
      </c>
      <c r="E8858" t="s">
        <v>187</v>
      </c>
      <c r="F8858">
        <v>2012</v>
      </c>
      <c r="G8858">
        <v>21.818000000000001</v>
      </c>
    </row>
    <row r="8859" spans="1:7">
      <c r="A8859" t="s">
        <v>1297</v>
      </c>
      <c r="B8859" t="s">
        <v>1298</v>
      </c>
      <c r="C8859" t="s">
        <v>653</v>
      </c>
      <c r="D8859" t="s">
        <v>1397</v>
      </c>
      <c r="E8859" t="s">
        <v>187</v>
      </c>
      <c r="F8859">
        <v>2016</v>
      </c>
      <c r="G8859">
        <v>12.717000000000001</v>
      </c>
    </row>
    <row r="8860" spans="1:7">
      <c r="A8860" t="s">
        <v>1297</v>
      </c>
      <c r="B8860" t="s">
        <v>1298</v>
      </c>
      <c r="C8860" t="s">
        <v>653</v>
      </c>
      <c r="D8860" t="s">
        <v>1397</v>
      </c>
      <c r="E8860" t="s">
        <v>187</v>
      </c>
      <c r="F8860">
        <v>2020</v>
      </c>
      <c r="G8860">
        <v>4.286206</v>
      </c>
    </row>
    <row r="8861" spans="1:7">
      <c r="A8861" t="s">
        <v>1297</v>
      </c>
      <c r="B8861" t="s">
        <v>1298</v>
      </c>
      <c r="C8861" t="s">
        <v>1301</v>
      </c>
      <c r="D8861" t="s">
        <v>1397</v>
      </c>
      <c r="E8861" t="s">
        <v>187</v>
      </c>
      <c r="F8861">
        <v>2005</v>
      </c>
      <c r="G8861">
        <v>35.597000000000001</v>
      </c>
    </row>
    <row r="8862" spans="1:7">
      <c r="A8862" t="s">
        <v>1297</v>
      </c>
      <c r="B8862" t="s">
        <v>1298</v>
      </c>
      <c r="C8862" t="s">
        <v>289</v>
      </c>
      <c r="D8862" t="s">
        <v>1397</v>
      </c>
      <c r="E8862" t="s">
        <v>187</v>
      </c>
      <c r="F8862">
        <v>2016</v>
      </c>
      <c r="G8862">
        <v>1.517107</v>
      </c>
    </row>
    <row r="8863" spans="1:7">
      <c r="A8863" t="s">
        <v>1297</v>
      </c>
      <c r="B8863" t="s">
        <v>1298</v>
      </c>
      <c r="C8863" t="s">
        <v>289</v>
      </c>
      <c r="D8863" t="s">
        <v>1397</v>
      </c>
      <c r="E8863" t="s">
        <v>187</v>
      </c>
      <c r="F8863">
        <v>2020</v>
      </c>
      <c r="G8863">
        <v>2.81467</v>
      </c>
    </row>
    <row r="8864" spans="1:7">
      <c r="A8864" t="s">
        <v>1297</v>
      </c>
      <c r="B8864" t="s">
        <v>1298</v>
      </c>
      <c r="C8864" t="s">
        <v>675</v>
      </c>
      <c r="D8864" t="s">
        <v>1397</v>
      </c>
      <c r="E8864" t="s">
        <v>187</v>
      </c>
      <c r="F8864">
        <v>2005</v>
      </c>
      <c r="G8864">
        <v>2.5920000000000001</v>
      </c>
    </row>
    <row r="8865" spans="1:7">
      <c r="A8865" t="s">
        <v>1297</v>
      </c>
      <c r="B8865" t="s">
        <v>1298</v>
      </c>
      <c r="C8865" t="s">
        <v>675</v>
      </c>
      <c r="D8865" t="s">
        <v>1397</v>
      </c>
      <c r="E8865" t="s">
        <v>187</v>
      </c>
      <c r="F8865">
        <v>2010</v>
      </c>
      <c r="G8865">
        <v>2.2490000000000001</v>
      </c>
    </row>
    <row r="8866" spans="1:7">
      <c r="A8866" t="s">
        <v>1297</v>
      </c>
      <c r="B8866" t="s">
        <v>1298</v>
      </c>
      <c r="C8866" t="s">
        <v>675</v>
      </c>
      <c r="D8866" t="s">
        <v>1397</v>
      </c>
      <c r="E8866" t="s">
        <v>187</v>
      </c>
      <c r="F8866">
        <v>2012</v>
      </c>
      <c r="G8866">
        <v>2.29</v>
      </c>
    </row>
    <row r="8867" spans="1:7">
      <c r="A8867" t="s">
        <v>1297</v>
      </c>
      <c r="B8867" t="s">
        <v>1298</v>
      </c>
      <c r="C8867" t="s">
        <v>675</v>
      </c>
      <c r="D8867" t="s">
        <v>1397</v>
      </c>
      <c r="E8867" t="s">
        <v>187</v>
      </c>
      <c r="F8867">
        <v>2016</v>
      </c>
      <c r="G8867">
        <v>2.129</v>
      </c>
    </row>
    <row r="8868" spans="1:7">
      <c r="A8868" t="s">
        <v>1297</v>
      </c>
      <c r="B8868" t="s">
        <v>1298</v>
      </c>
      <c r="C8868" t="s">
        <v>675</v>
      </c>
      <c r="D8868" t="s">
        <v>1397</v>
      </c>
      <c r="E8868" t="s">
        <v>187</v>
      </c>
      <c r="F8868">
        <v>2020</v>
      </c>
      <c r="G8868">
        <v>2.1455579999999999</v>
      </c>
    </row>
    <row r="8869" spans="1:7">
      <c r="A8869" t="s">
        <v>1297</v>
      </c>
      <c r="B8869" t="s">
        <v>1298</v>
      </c>
      <c r="C8869" t="s">
        <v>652</v>
      </c>
      <c r="D8869" t="s">
        <v>1397</v>
      </c>
      <c r="E8869" t="s">
        <v>187</v>
      </c>
      <c r="F8869">
        <v>2005</v>
      </c>
      <c r="G8869">
        <v>15.58</v>
      </c>
    </row>
    <row r="8870" spans="1:7">
      <c r="A8870" t="s">
        <v>1297</v>
      </c>
      <c r="B8870" t="s">
        <v>1298</v>
      </c>
      <c r="C8870" t="s">
        <v>652</v>
      </c>
      <c r="D8870" t="s">
        <v>1397</v>
      </c>
      <c r="E8870" t="s">
        <v>187</v>
      </c>
      <c r="F8870">
        <v>2010</v>
      </c>
      <c r="G8870">
        <v>23.043199999999999</v>
      </c>
    </row>
    <row r="8871" spans="1:7">
      <c r="A8871" t="s">
        <v>1297</v>
      </c>
      <c r="B8871" t="s">
        <v>1298</v>
      </c>
      <c r="C8871" t="s">
        <v>652</v>
      </c>
      <c r="D8871" t="s">
        <v>1397</v>
      </c>
      <c r="E8871" t="s">
        <v>187</v>
      </c>
      <c r="F8871">
        <v>2012</v>
      </c>
      <c r="G8871">
        <v>22.922899999999998</v>
      </c>
    </row>
    <row r="8872" spans="1:7">
      <c r="A8872" t="s">
        <v>1297</v>
      </c>
      <c r="B8872" t="s">
        <v>1298</v>
      </c>
      <c r="C8872" t="s">
        <v>652</v>
      </c>
      <c r="D8872" t="s">
        <v>1397</v>
      </c>
      <c r="E8872" t="s">
        <v>187</v>
      </c>
      <c r="F8872">
        <v>2016</v>
      </c>
      <c r="G8872">
        <v>17.742999999999999</v>
      </c>
    </row>
    <row r="8873" spans="1:7">
      <c r="A8873" t="s">
        <v>1297</v>
      </c>
      <c r="B8873" t="s">
        <v>1298</v>
      </c>
      <c r="C8873" t="s">
        <v>652</v>
      </c>
      <c r="D8873" t="s">
        <v>1397</v>
      </c>
      <c r="E8873" t="s">
        <v>187</v>
      </c>
      <c r="F8873">
        <v>2020</v>
      </c>
      <c r="G8873">
        <v>17.387599999999999</v>
      </c>
    </row>
    <row r="8874" spans="1:7">
      <c r="A8874" t="s">
        <v>1297</v>
      </c>
      <c r="B8874" t="s">
        <v>1298</v>
      </c>
      <c r="C8874" t="s">
        <v>658</v>
      </c>
      <c r="D8874" t="s">
        <v>1397</v>
      </c>
      <c r="E8874" t="s">
        <v>187</v>
      </c>
      <c r="F8874">
        <v>2005</v>
      </c>
      <c r="G8874">
        <v>2.4980000000000002</v>
      </c>
    </row>
    <row r="8875" spans="1:7">
      <c r="A8875" t="s">
        <v>1297</v>
      </c>
      <c r="B8875" t="s">
        <v>1298</v>
      </c>
      <c r="C8875" t="s">
        <v>658</v>
      </c>
      <c r="D8875" t="s">
        <v>1397</v>
      </c>
      <c r="E8875" t="s">
        <v>187</v>
      </c>
      <c r="F8875">
        <v>2010</v>
      </c>
      <c r="G8875">
        <v>1.823</v>
      </c>
    </row>
    <row r="8876" spans="1:7">
      <c r="A8876" t="s">
        <v>1297</v>
      </c>
      <c r="B8876" t="s">
        <v>1298</v>
      </c>
      <c r="C8876" t="s">
        <v>658</v>
      </c>
      <c r="D8876" t="s">
        <v>1397</v>
      </c>
      <c r="E8876" t="s">
        <v>187</v>
      </c>
      <c r="F8876">
        <v>2012</v>
      </c>
      <c r="G8876">
        <v>1.5</v>
      </c>
    </row>
    <row r="8877" spans="1:7">
      <c r="A8877" t="s">
        <v>1297</v>
      </c>
      <c r="B8877" t="s">
        <v>1298</v>
      </c>
      <c r="C8877" t="s">
        <v>658</v>
      </c>
      <c r="D8877" t="s">
        <v>1397</v>
      </c>
      <c r="E8877" t="s">
        <v>187</v>
      </c>
      <c r="F8877">
        <v>2016</v>
      </c>
      <c r="G8877">
        <v>1.5820000000000001</v>
      </c>
    </row>
    <row r="8878" spans="1:7">
      <c r="A8878" t="s">
        <v>1297</v>
      </c>
      <c r="B8878" t="s">
        <v>1298</v>
      </c>
      <c r="C8878" t="s">
        <v>658</v>
      </c>
      <c r="D8878" t="s">
        <v>1397</v>
      </c>
      <c r="E8878" t="s">
        <v>187</v>
      </c>
      <c r="F8878">
        <v>2020</v>
      </c>
      <c r="G8878">
        <v>1.401</v>
      </c>
    </row>
    <row r="8879" spans="1:7">
      <c r="A8879" t="s">
        <v>1297</v>
      </c>
      <c r="B8879" t="s">
        <v>1298</v>
      </c>
      <c r="C8879" t="s">
        <v>655</v>
      </c>
      <c r="D8879" t="s">
        <v>1397</v>
      </c>
      <c r="E8879" t="s">
        <v>187</v>
      </c>
      <c r="F8879">
        <v>2005</v>
      </c>
      <c r="G8879">
        <v>28.952000000000002</v>
      </c>
    </row>
    <row r="8880" spans="1:7">
      <c r="A8880" t="s">
        <v>1297</v>
      </c>
      <c r="B8880" t="s">
        <v>1298</v>
      </c>
      <c r="C8880" t="s">
        <v>655</v>
      </c>
      <c r="D8880" t="s">
        <v>1397</v>
      </c>
      <c r="E8880" t="s">
        <v>187</v>
      </c>
      <c r="F8880">
        <v>2010</v>
      </c>
      <c r="G8880">
        <v>26.521999999999998</v>
      </c>
    </row>
    <row r="8881" spans="1:7">
      <c r="A8881" t="s">
        <v>1297</v>
      </c>
      <c r="B8881" t="s">
        <v>1298</v>
      </c>
      <c r="C8881" t="s">
        <v>655</v>
      </c>
      <c r="D8881" t="s">
        <v>1397</v>
      </c>
      <c r="E8881" t="s">
        <v>187</v>
      </c>
      <c r="F8881">
        <v>2012</v>
      </c>
      <c r="G8881">
        <v>27.015000000000001</v>
      </c>
    </row>
    <row r="8882" spans="1:7">
      <c r="A8882" t="s">
        <v>1297</v>
      </c>
      <c r="B8882" t="s">
        <v>1298</v>
      </c>
      <c r="C8882" t="s">
        <v>655</v>
      </c>
      <c r="D8882" t="s">
        <v>1397</v>
      </c>
      <c r="E8882" t="s">
        <v>187</v>
      </c>
      <c r="F8882">
        <v>2016</v>
      </c>
      <c r="G8882">
        <v>23.39</v>
      </c>
    </row>
    <row r="8883" spans="1:7">
      <c r="A8883" t="s">
        <v>1297</v>
      </c>
      <c r="B8883" t="s">
        <v>1298</v>
      </c>
      <c r="C8883" t="s">
        <v>655</v>
      </c>
      <c r="D8883" t="s">
        <v>1397</v>
      </c>
      <c r="E8883" t="s">
        <v>187</v>
      </c>
      <c r="F8883">
        <v>2020</v>
      </c>
      <c r="G8883">
        <v>24.119325</v>
      </c>
    </row>
    <row r="8884" spans="1:7">
      <c r="A8884" t="s">
        <v>1297</v>
      </c>
      <c r="B8884" t="s">
        <v>1298</v>
      </c>
      <c r="C8884" t="s">
        <v>667</v>
      </c>
      <c r="D8884" t="s">
        <v>1397</v>
      </c>
      <c r="E8884" t="s">
        <v>187</v>
      </c>
      <c r="F8884">
        <v>2005</v>
      </c>
      <c r="G8884">
        <v>0.48594700000000002</v>
      </c>
    </row>
    <row r="8885" spans="1:7">
      <c r="A8885" t="s">
        <v>1297</v>
      </c>
      <c r="B8885" t="s">
        <v>1298</v>
      </c>
      <c r="C8885" t="s">
        <v>667</v>
      </c>
      <c r="D8885" t="s">
        <v>1397</v>
      </c>
      <c r="E8885" t="s">
        <v>187</v>
      </c>
      <c r="F8885">
        <v>2010</v>
      </c>
      <c r="G8885">
        <v>0.51956000000000002</v>
      </c>
    </row>
    <row r="8886" spans="1:7">
      <c r="A8886" t="s">
        <v>1297</v>
      </c>
      <c r="B8886" t="s">
        <v>1298</v>
      </c>
      <c r="C8886" t="s">
        <v>667</v>
      </c>
      <c r="D8886" t="s">
        <v>1397</v>
      </c>
      <c r="E8886" t="s">
        <v>187</v>
      </c>
      <c r="F8886">
        <v>2012</v>
      </c>
      <c r="G8886">
        <v>0.48526599999999998</v>
      </c>
    </row>
    <row r="8887" spans="1:7">
      <c r="A8887" t="s">
        <v>1297</v>
      </c>
      <c r="B8887" t="s">
        <v>1298</v>
      </c>
      <c r="C8887" t="s">
        <v>667</v>
      </c>
      <c r="D8887" t="s">
        <v>1397</v>
      </c>
      <c r="E8887" t="s">
        <v>187</v>
      </c>
      <c r="F8887">
        <v>2016</v>
      </c>
      <c r="G8887">
        <v>2.0969000000000002E-2</v>
      </c>
    </row>
    <row r="8888" spans="1:7">
      <c r="A8888" t="s">
        <v>1297</v>
      </c>
      <c r="B8888" t="s">
        <v>1298</v>
      </c>
      <c r="C8888" t="s">
        <v>667</v>
      </c>
      <c r="D8888" t="s">
        <v>1397</v>
      </c>
      <c r="E8888" t="s">
        <v>187</v>
      </c>
      <c r="F8888">
        <v>2020</v>
      </c>
      <c r="G8888">
        <v>2.2370999999999999E-2</v>
      </c>
    </row>
    <row r="8889" spans="1:7">
      <c r="A8889" t="s">
        <v>1297</v>
      </c>
      <c r="B8889" t="s">
        <v>1298</v>
      </c>
      <c r="C8889" t="s">
        <v>661</v>
      </c>
      <c r="D8889" t="s">
        <v>1397</v>
      </c>
      <c r="E8889" t="s">
        <v>187</v>
      </c>
      <c r="F8889">
        <v>2010</v>
      </c>
      <c r="G8889">
        <v>33.144950000000001</v>
      </c>
    </row>
    <row r="8890" spans="1:7">
      <c r="A8890" t="s">
        <v>1297</v>
      </c>
      <c r="B8890" t="s">
        <v>1298</v>
      </c>
      <c r="C8890" t="s">
        <v>661</v>
      </c>
      <c r="D8890" t="s">
        <v>1397</v>
      </c>
      <c r="E8890" t="s">
        <v>187</v>
      </c>
      <c r="F8890">
        <v>2012</v>
      </c>
      <c r="G8890">
        <v>58.519736999999999</v>
      </c>
    </row>
    <row r="8891" spans="1:7">
      <c r="A8891" t="s">
        <v>1297</v>
      </c>
      <c r="B8891" t="s">
        <v>1298</v>
      </c>
      <c r="C8891" t="s">
        <v>661</v>
      </c>
      <c r="D8891" t="s">
        <v>1397</v>
      </c>
      <c r="E8891" t="s">
        <v>187</v>
      </c>
      <c r="F8891">
        <v>2016</v>
      </c>
      <c r="G8891">
        <v>69.034186000000005</v>
      </c>
    </row>
    <row r="8892" spans="1:7">
      <c r="A8892" t="s">
        <v>1297</v>
      </c>
      <c r="B8892" t="s">
        <v>1298</v>
      </c>
      <c r="C8892" t="s">
        <v>661</v>
      </c>
      <c r="D8892" t="s">
        <v>1397</v>
      </c>
      <c r="E8892" t="s">
        <v>187</v>
      </c>
      <c r="F8892">
        <v>2020</v>
      </c>
      <c r="G8892">
        <v>67.891413</v>
      </c>
    </row>
    <row r="8893" spans="1:7">
      <c r="A8893" t="s">
        <v>1297</v>
      </c>
      <c r="B8893" t="s">
        <v>1298</v>
      </c>
      <c r="C8893" t="s">
        <v>657</v>
      </c>
      <c r="D8893" t="s">
        <v>1397</v>
      </c>
      <c r="E8893" t="s">
        <v>187</v>
      </c>
      <c r="F8893">
        <v>2005</v>
      </c>
      <c r="G8893">
        <v>6.3719999999999999</v>
      </c>
    </row>
    <row r="8894" spans="1:7">
      <c r="A8894" t="s">
        <v>1297</v>
      </c>
      <c r="B8894" t="s">
        <v>1298</v>
      </c>
      <c r="C8894" t="s">
        <v>657</v>
      </c>
      <c r="D8894" t="s">
        <v>1397</v>
      </c>
      <c r="E8894" t="s">
        <v>187</v>
      </c>
      <c r="F8894">
        <v>2010</v>
      </c>
      <c r="G8894">
        <v>4.6900000000000004</v>
      </c>
    </row>
    <row r="8895" spans="1:7">
      <c r="A8895" t="s">
        <v>1297</v>
      </c>
      <c r="B8895" t="s">
        <v>1298</v>
      </c>
      <c r="C8895" t="s">
        <v>657</v>
      </c>
      <c r="D8895" t="s">
        <v>1397</v>
      </c>
      <c r="E8895" t="s">
        <v>187</v>
      </c>
      <c r="F8895">
        <v>2012</v>
      </c>
      <c r="G8895">
        <v>4.9989999999999997</v>
      </c>
    </row>
    <row r="8896" spans="1:7">
      <c r="A8896" t="s">
        <v>1297</v>
      </c>
      <c r="B8896" t="s">
        <v>1298</v>
      </c>
      <c r="C8896" t="s">
        <v>657</v>
      </c>
      <c r="D8896" t="s">
        <v>1397</v>
      </c>
      <c r="E8896" t="s">
        <v>187</v>
      </c>
      <c r="F8896">
        <v>2016</v>
      </c>
      <c r="G8896">
        <v>3.2592569999999998</v>
      </c>
    </row>
    <row r="8897" spans="1:7">
      <c r="A8897" t="s">
        <v>1297</v>
      </c>
      <c r="B8897" t="s">
        <v>1298</v>
      </c>
      <c r="C8897" t="s">
        <v>657</v>
      </c>
      <c r="D8897" t="s">
        <v>1397</v>
      </c>
      <c r="E8897" t="s">
        <v>187</v>
      </c>
      <c r="F8897">
        <v>2020</v>
      </c>
      <c r="G8897">
        <v>3.1824050000000002</v>
      </c>
    </row>
    <row r="8898" spans="1:7">
      <c r="A8898" t="s">
        <v>1297</v>
      </c>
      <c r="B8898" t="s">
        <v>1298</v>
      </c>
      <c r="C8898" t="s">
        <v>1299</v>
      </c>
      <c r="D8898" t="s">
        <v>1397</v>
      </c>
      <c r="E8898" t="s">
        <v>187</v>
      </c>
      <c r="F8898">
        <v>2005</v>
      </c>
      <c r="G8898">
        <v>283.05799999999999</v>
      </c>
    </row>
    <row r="8899" spans="1:7">
      <c r="A8899" t="s">
        <v>1297</v>
      </c>
      <c r="B8899" t="s">
        <v>1298</v>
      </c>
      <c r="C8899" t="s">
        <v>1299</v>
      </c>
      <c r="D8899" t="s">
        <v>1397</v>
      </c>
      <c r="E8899" t="s">
        <v>187</v>
      </c>
      <c r="F8899">
        <v>2010</v>
      </c>
      <c r="G8899">
        <v>193.69300000000001</v>
      </c>
    </row>
    <row r="8900" spans="1:7">
      <c r="A8900" t="s">
        <v>1297</v>
      </c>
      <c r="B8900" t="s">
        <v>1298</v>
      </c>
      <c r="C8900" t="s">
        <v>1299</v>
      </c>
      <c r="D8900" t="s">
        <v>1397</v>
      </c>
      <c r="E8900" t="s">
        <v>187</v>
      </c>
      <c r="F8900">
        <v>2012</v>
      </c>
      <c r="G8900">
        <v>190.244</v>
      </c>
    </row>
    <row r="8901" spans="1:7">
      <c r="A8901" t="s">
        <v>1297</v>
      </c>
      <c r="B8901" t="s">
        <v>1298</v>
      </c>
      <c r="C8901" t="s">
        <v>676</v>
      </c>
      <c r="D8901" t="s">
        <v>1397</v>
      </c>
      <c r="E8901" t="s">
        <v>187</v>
      </c>
      <c r="F8901">
        <v>2016</v>
      </c>
      <c r="G8901">
        <v>5.34</v>
      </c>
    </row>
    <row r="8902" spans="1:7">
      <c r="A8902" t="s">
        <v>1297</v>
      </c>
      <c r="B8902" t="s">
        <v>1298</v>
      </c>
      <c r="C8902" t="s">
        <v>676</v>
      </c>
      <c r="D8902" t="s">
        <v>1397</v>
      </c>
      <c r="E8902" t="s">
        <v>187</v>
      </c>
      <c r="F8902">
        <v>2020</v>
      </c>
      <c r="G8902">
        <v>2.8969999999999998</v>
      </c>
    </row>
    <row r="8903" spans="1:7">
      <c r="A8903" t="s">
        <v>1297</v>
      </c>
      <c r="B8903" t="s">
        <v>1298</v>
      </c>
      <c r="C8903" t="s">
        <v>656</v>
      </c>
      <c r="D8903" t="s">
        <v>1397</v>
      </c>
      <c r="E8903" t="s">
        <v>187</v>
      </c>
      <c r="F8903">
        <v>2005</v>
      </c>
      <c r="G8903">
        <v>113.57299999999999</v>
      </c>
    </row>
    <row r="8904" spans="1:7">
      <c r="A8904" t="s">
        <v>1297</v>
      </c>
      <c r="B8904" t="s">
        <v>1298</v>
      </c>
      <c r="C8904" t="s">
        <v>656</v>
      </c>
      <c r="D8904" t="s">
        <v>1397</v>
      </c>
      <c r="E8904" t="s">
        <v>187</v>
      </c>
      <c r="F8904">
        <v>2010</v>
      </c>
      <c r="G8904">
        <v>146.02199999999999</v>
      </c>
    </row>
    <row r="8905" spans="1:7">
      <c r="A8905" t="s">
        <v>1297</v>
      </c>
      <c r="B8905" t="s">
        <v>1298</v>
      </c>
      <c r="C8905" t="s">
        <v>656</v>
      </c>
      <c r="D8905" t="s">
        <v>1397</v>
      </c>
      <c r="E8905" t="s">
        <v>187</v>
      </c>
      <c r="F8905">
        <v>2012</v>
      </c>
      <c r="G8905">
        <v>188.33</v>
      </c>
    </row>
    <row r="8906" spans="1:7">
      <c r="A8906" t="s">
        <v>1297</v>
      </c>
      <c r="B8906" t="s">
        <v>1298</v>
      </c>
      <c r="C8906" t="s">
        <v>656</v>
      </c>
      <c r="D8906" t="s">
        <v>1397</v>
      </c>
      <c r="E8906" t="s">
        <v>187</v>
      </c>
      <c r="F8906">
        <v>2016</v>
      </c>
      <c r="G8906">
        <v>178.911</v>
      </c>
    </row>
    <row r="8907" spans="1:7">
      <c r="A8907" t="s">
        <v>1297</v>
      </c>
      <c r="B8907" t="s">
        <v>1298</v>
      </c>
      <c r="C8907" t="s">
        <v>656</v>
      </c>
      <c r="D8907" t="s">
        <v>1397</v>
      </c>
      <c r="E8907" t="s">
        <v>187</v>
      </c>
      <c r="F8907">
        <v>2020</v>
      </c>
      <c r="G8907">
        <v>179.21299999999999</v>
      </c>
    </row>
    <row r="8908" spans="1:7">
      <c r="A8908" t="s">
        <v>1297</v>
      </c>
      <c r="B8908" t="s">
        <v>1298</v>
      </c>
      <c r="C8908" t="s">
        <v>652</v>
      </c>
      <c r="D8908" t="s">
        <v>1398</v>
      </c>
      <c r="E8908" t="s">
        <v>187</v>
      </c>
      <c r="F8908">
        <v>2012</v>
      </c>
      <c r="G8908">
        <v>8.9700000000000002E-2</v>
      </c>
    </row>
    <row r="8909" spans="1:7">
      <c r="A8909" t="s">
        <v>1297</v>
      </c>
      <c r="B8909" t="s">
        <v>1298</v>
      </c>
      <c r="C8909" t="s">
        <v>652</v>
      </c>
      <c r="D8909" t="s">
        <v>1398</v>
      </c>
      <c r="E8909" t="s">
        <v>187</v>
      </c>
      <c r="F8909">
        <v>2016</v>
      </c>
      <c r="G8909">
        <v>0.20330000000000001</v>
      </c>
    </row>
    <row r="8910" spans="1:7">
      <c r="A8910" t="s">
        <v>1297</v>
      </c>
      <c r="B8910" t="s">
        <v>1298</v>
      </c>
      <c r="C8910" t="s">
        <v>652</v>
      </c>
      <c r="D8910" t="s">
        <v>1398</v>
      </c>
      <c r="E8910" t="s">
        <v>187</v>
      </c>
      <c r="F8910">
        <v>2020</v>
      </c>
      <c r="G8910">
        <v>0.2445</v>
      </c>
    </row>
    <row r="8911" spans="1:7">
      <c r="A8911" t="s">
        <v>1297</v>
      </c>
      <c r="B8911" t="s">
        <v>1298</v>
      </c>
      <c r="C8911" t="s">
        <v>654</v>
      </c>
      <c r="D8911" t="s">
        <v>1398</v>
      </c>
      <c r="E8911" t="s">
        <v>187</v>
      </c>
      <c r="F8911">
        <v>2010</v>
      </c>
      <c r="G8911">
        <v>5.0000000000000001E-3</v>
      </c>
    </row>
    <row r="8912" spans="1:7">
      <c r="A8912" t="s">
        <v>1297</v>
      </c>
      <c r="B8912" t="s">
        <v>1298</v>
      </c>
      <c r="C8912" t="s">
        <v>654</v>
      </c>
      <c r="D8912" t="s">
        <v>1398</v>
      </c>
      <c r="E8912" t="s">
        <v>187</v>
      </c>
      <c r="F8912">
        <v>2012</v>
      </c>
      <c r="G8912">
        <v>3.1E-2</v>
      </c>
    </row>
    <row r="8913" spans="1:7">
      <c r="A8913" t="s">
        <v>1297</v>
      </c>
      <c r="B8913" t="s">
        <v>1298</v>
      </c>
      <c r="C8913" t="s">
        <v>654</v>
      </c>
      <c r="D8913" t="s">
        <v>1398</v>
      </c>
      <c r="E8913" t="s">
        <v>187</v>
      </c>
      <c r="F8913">
        <v>2016</v>
      </c>
      <c r="G8913">
        <v>0.05</v>
      </c>
    </row>
    <row r="8914" spans="1:7">
      <c r="A8914" t="s">
        <v>1297</v>
      </c>
      <c r="B8914" t="s">
        <v>1298</v>
      </c>
      <c r="C8914" t="s">
        <v>654</v>
      </c>
      <c r="D8914" t="s">
        <v>1398</v>
      </c>
      <c r="E8914" t="s">
        <v>187</v>
      </c>
      <c r="F8914">
        <v>2020</v>
      </c>
      <c r="G8914">
        <v>5.1471999999999997E-2</v>
      </c>
    </row>
    <row r="8915" spans="1:7">
      <c r="A8915" t="s">
        <v>1297</v>
      </c>
      <c r="B8915" t="s">
        <v>1298</v>
      </c>
      <c r="C8915" t="s">
        <v>657</v>
      </c>
      <c r="D8915" t="s">
        <v>1398</v>
      </c>
      <c r="E8915" t="s">
        <v>187</v>
      </c>
      <c r="F8915">
        <v>2005</v>
      </c>
      <c r="G8915">
        <v>1.9850000000000001</v>
      </c>
    </row>
    <row r="8916" spans="1:7">
      <c r="A8916" t="s">
        <v>1297</v>
      </c>
      <c r="B8916" t="s">
        <v>1298</v>
      </c>
      <c r="C8916" t="s">
        <v>657</v>
      </c>
      <c r="D8916" t="s">
        <v>1398</v>
      </c>
      <c r="E8916" t="s">
        <v>187</v>
      </c>
      <c r="F8916">
        <v>2010</v>
      </c>
      <c r="G8916">
        <v>1.9850000000000001</v>
      </c>
    </row>
    <row r="8917" spans="1:7">
      <c r="A8917" t="s">
        <v>1297</v>
      </c>
      <c r="B8917" t="s">
        <v>1298</v>
      </c>
      <c r="C8917" t="s">
        <v>657</v>
      </c>
      <c r="D8917" t="s">
        <v>1398</v>
      </c>
      <c r="E8917" t="s">
        <v>187</v>
      </c>
      <c r="F8917">
        <v>2012</v>
      </c>
      <c r="G8917">
        <v>1.585</v>
      </c>
    </row>
    <row r="8918" spans="1:7">
      <c r="A8918" t="s">
        <v>1297</v>
      </c>
      <c r="B8918" t="s">
        <v>1298</v>
      </c>
      <c r="C8918" t="s">
        <v>657</v>
      </c>
      <c r="D8918" t="s">
        <v>1398</v>
      </c>
      <c r="E8918" t="s">
        <v>187</v>
      </c>
      <c r="F8918">
        <v>2016</v>
      </c>
      <c r="G8918">
        <v>1.585</v>
      </c>
    </row>
    <row r="8919" spans="1:7">
      <c r="A8919" t="s">
        <v>1297</v>
      </c>
      <c r="B8919" t="s">
        <v>1298</v>
      </c>
      <c r="C8919" t="s">
        <v>657</v>
      </c>
      <c r="D8919" t="s">
        <v>1398</v>
      </c>
      <c r="E8919" t="s">
        <v>187</v>
      </c>
      <c r="F8919">
        <v>2020</v>
      </c>
      <c r="G8919">
        <v>1.547625</v>
      </c>
    </row>
    <row r="8920" spans="1:7">
      <c r="A8920" t="s">
        <v>1297</v>
      </c>
      <c r="B8920" t="s">
        <v>1298</v>
      </c>
      <c r="C8920" t="s">
        <v>674</v>
      </c>
      <c r="D8920" t="s">
        <v>1398</v>
      </c>
      <c r="E8920" t="s">
        <v>187</v>
      </c>
      <c r="F8920">
        <v>2005</v>
      </c>
      <c r="G8920">
        <v>0.3</v>
      </c>
    </row>
    <row r="8921" spans="1:7">
      <c r="A8921" t="s">
        <v>1297</v>
      </c>
      <c r="B8921" t="s">
        <v>1298</v>
      </c>
      <c r="C8921" t="s">
        <v>674</v>
      </c>
      <c r="D8921" t="s">
        <v>1398</v>
      </c>
      <c r="E8921" t="s">
        <v>187</v>
      </c>
      <c r="F8921">
        <v>2010</v>
      </c>
      <c r="G8921">
        <v>0.3</v>
      </c>
    </row>
    <row r="8922" spans="1:7">
      <c r="A8922" t="s">
        <v>1297</v>
      </c>
      <c r="B8922" t="s">
        <v>1298</v>
      </c>
      <c r="C8922" t="s">
        <v>674</v>
      </c>
      <c r="D8922" t="s">
        <v>1398</v>
      </c>
      <c r="E8922" t="s">
        <v>187</v>
      </c>
      <c r="F8922">
        <v>2012</v>
      </c>
      <c r="G8922">
        <v>0.3</v>
      </c>
    </row>
    <row r="8923" spans="1:7">
      <c r="A8923" t="s">
        <v>1297</v>
      </c>
      <c r="B8923" t="s">
        <v>1298</v>
      </c>
      <c r="C8923" t="s">
        <v>674</v>
      </c>
      <c r="D8923" t="s">
        <v>1398</v>
      </c>
      <c r="E8923" t="s">
        <v>187</v>
      </c>
      <c r="F8923">
        <v>2016</v>
      </c>
      <c r="G8923">
        <v>0.3</v>
      </c>
    </row>
    <row r="8924" spans="1:7">
      <c r="A8924" t="s">
        <v>1297</v>
      </c>
      <c r="B8924" t="s">
        <v>1298</v>
      </c>
      <c r="C8924" t="s">
        <v>674</v>
      </c>
      <c r="D8924" t="s">
        <v>1398</v>
      </c>
      <c r="E8924" t="s">
        <v>187</v>
      </c>
      <c r="F8924">
        <v>2020</v>
      </c>
      <c r="G8924">
        <v>0.3</v>
      </c>
    </row>
    <row r="8925" spans="1:7">
      <c r="A8925" t="s">
        <v>1297</v>
      </c>
      <c r="B8925" t="s">
        <v>1298</v>
      </c>
      <c r="C8925" t="s">
        <v>676</v>
      </c>
      <c r="D8925" t="s">
        <v>1398</v>
      </c>
      <c r="E8925" t="s">
        <v>187</v>
      </c>
      <c r="F8925">
        <v>2005</v>
      </c>
      <c r="G8925">
        <v>0.17899999999999999</v>
      </c>
    </row>
    <row r="8926" spans="1:7">
      <c r="A8926" t="s">
        <v>1297</v>
      </c>
      <c r="B8926" t="s">
        <v>1298</v>
      </c>
      <c r="C8926" t="s">
        <v>676</v>
      </c>
      <c r="D8926" t="s">
        <v>1398</v>
      </c>
      <c r="E8926" t="s">
        <v>187</v>
      </c>
      <c r="F8926">
        <v>2010</v>
      </c>
      <c r="G8926">
        <v>0.14199999999999999</v>
      </c>
    </row>
    <row r="8927" spans="1:7">
      <c r="A8927" t="s">
        <v>1297</v>
      </c>
      <c r="B8927" t="s">
        <v>1298</v>
      </c>
      <c r="C8927" t="s">
        <v>676</v>
      </c>
      <c r="D8927" t="s">
        <v>1398</v>
      </c>
      <c r="E8927" t="s">
        <v>187</v>
      </c>
      <c r="F8927">
        <v>2012</v>
      </c>
      <c r="G8927">
        <v>4.3999999999999997E-2</v>
      </c>
    </row>
    <row r="8928" spans="1:7">
      <c r="A8928" t="s">
        <v>1297</v>
      </c>
      <c r="B8928" t="s">
        <v>1298</v>
      </c>
      <c r="C8928" t="s">
        <v>676</v>
      </c>
      <c r="D8928" t="s">
        <v>1398</v>
      </c>
      <c r="E8928" t="s">
        <v>187</v>
      </c>
      <c r="F8928">
        <v>2016</v>
      </c>
      <c r="G8928">
        <v>2.9000000000000001E-2</v>
      </c>
    </row>
    <row r="8929" spans="1:7">
      <c r="A8929" t="s">
        <v>1297</v>
      </c>
      <c r="B8929" t="s">
        <v>1298</v>
      </c>
      <c r="C8929" t="s">
        <v>676</v>
      </c>
      <c r="D8929" t="s">
        <v>1398</v>
      </c>
      <c r="E8929" t="s">
        <v>187</v>
      </c>
      <c r="F8929">
        <v>2020</v>
      </c>
      <c r="G8929">
        <v>3.6999999999999998E-2</v>
      </c>
    </row>
    <row r="8930" spans="1:7">
      <c r="A8930" t="s">
        <v>1297</v>
      </c>
      <c r="B8930" t="s">
        <v>1298</v>
      </c>
      <c r="C8930" t="s">
        <v>672</v>
      </c>
      <c r="D8930" t="s">
        <v>1398</v>
      </c>
      <c r="E8930" t="s">
        <v>187</v>
      </c>
      <c r="F8930">
        <v>2005</v>
      </c>
      <c r="G8930">
        <v>1.7999999999999999E-2</v>
      </c>
    </row>
    <row r="8931" spans="1:7">
      <c r="A8931" t="s">
        <v>1297</v>
      </c>
      <c r="B8931" t="s">
        <v>1298</v>
      </c>
      <c r="C8931" t="s">
        <v>672</v>
      </c>
      <c r="D8931" t="s">
        <v>1398</v>
      </c>
      <c r="E8931" t="s">
        <v>187</v>
      </c>
      <c r="F8931">
        <v>2010</v>
      </c>
      <c r="G8931">
        <v>1.7999999999999999E-2</v>
      </c>
    </row>
    <row r="8932" spans="1:7">
      <c r="A8932" t="s">
        <v>1297</v>
      </c>
      <c r="B8932" t="s">
        <v>1298</v>
      </c>
      <c r="C8932" t="s">
        <v>672</v>
      </c>
      <c r="D8932" t="s">
        <v>1398</v>
      </c>
      <c r="E8932" t="s">
        <v>187</v>
      </c>
      <c r="F8932">
        <v>2012</v>
      </c>
      <c r="G8932">
        <v>1.7999999999999999E-2</v>
      </c>
    </row>
    <row r="8933" spans="1:7">
      <c r="A8933" t="s">
        <v>1297</v>
      </c>
      <c r="B8933" t="s">
        <v>1298</v>
      </c>
      <c r="C8933" t="s">
        <v>1299</v>
      </c>
      <c r="D8933" t="s">
        <v>1398</v>
      </c>
      <c r="E8933" t="s">
        <v>187</v>
      </c>
      <c r="F8933">
        <v>2010</v>
      </c>
      <c r="G8933">
        <v>13.763999999999999</v>
      </c>
    </row>
    <row r="8934" spans="1:7">
      <c r="A8934" t="s">
        <v>1297</v>
      </c>
      <c r="B8934" t="s">
        <v>1298</v>
      </c>
      <c r="C8934" t="s">
        <v>1299</v>
      </c>
      <c r="D8934" t="s">
        <v>1398</v>
      </c>
      <c r="E8934" t="s">
        <v>187</v>
      </c>
      <c r="F8934">
        <v>2012</v>
      </c>
      <c r="G8934">
        <v>13.076000000000001</v>
      </c>
    </row>
    <row r="8935" spans="1:7">
      <c r="A8935" t="s">
        <v>1297</v>
      </c>
      <c r="B8935" t="s">
        <v>1298</v>
      </c>
      <c r="C8935" t="s">
        <v>1299</v>
      </c>
      <c r="D8935" t="s">
        <v>1398</v>
      </c>
      <c r="E8935" t="s">
        <v>187</v>
      </c>
      <c r="F8935">
        <v>2016</v>
      </c>
      <c r="G8935">
        <v>10.210000000000001</v>
      </c>
    </row>
    <row r="8936" spans="1:7">
      <c r="A8936" t="s">
        <v>1297</v>
      </c>
      <c r="B8936" t="s">
        <v>1298</v>
      </c>
      <c r="C8936" t="s">
        <v>1299</v>
      </c>
      <c r="D8936" t="s">
        <v>1398</v>
      </c>
      <c r="E8936" t="s">
        <v>187</v>
      </c>
      <c r="F8936">
        <v>2020</v>
      </c>
      <c r="G8936">
        <v>7.8540000000000001</v>
      </c>
    </row>
    <row r="8937" spans="1:7">
      <c r="A8937" t="s">
        <v>1297</v>
      </c>
      <c r="B8937" t="s">
        <v>1298</v>
      </c>
      <c r="C8937" t="s">
        <v>658</v>
      </c>
      <c r="D8937" t="s">
        <v>1398</v>
      </c>
      <c r="E8937" t="s">
        <v>187</v>
      </c>
      <c r="F8937">
        <v>2005</v>
      </c>
      <c r="G8937">
        <v>9.6000000000000002E-2</v>
      </c>
    </row>
    <row r="8938" spans="1:7">
      <c r="A8938" t="s">
        <v>1297</v>
      </c>
      <c r="B8938" t="s">
        <v>1298</v>
      </c>
      <c r="C8938" t="s">
        <v>658</v>
      </c>
      <c r="D8938" t="s">
        <v>1398</v>
      </c>
      <c r="E8938" t="s">
        <v>187</v>
      </c>
      <c r="F8938">
        <v>2010</v>
      </c>
      <c r="G8938">
        <v>7.0000000000000007E-2</v>
      </c>
    </row>
    <row r="8939" spans="1:7">
      <c r="A8939" t="s">
        <v>1297</v>
      </c>
      <c r="B8939" t="s">
        <v>1298</v>
      </c>
      <c r="C8939" t="s">
        <v>658</v>
      </c>
      <c r="D8939" t="s">
        <v>1398</v>
      </c>
      <c r="E8939" t="s">
        <v>187</v>
      </c>
      <c r="F8939">
        <v>2012</v>
      </c>
      <c r="G8939">
        <v>6.8000000000000005E-2</v>
      </c>
    </row>
    <row r="8940" spans="1:7">
      <c r="A8940" t="s">
        <v>1297</v>
      </c>
      <c r="B8940" t="s">
        <v>1298</v>
      </c>
      <c r="C8940" t="s">
        <v>658</v>
      </c>
      <c r="D8940" t="s">
        <v>1398</v>
      </c>
      <c r="E8940" t="s">
        <v>187</v>
      </c>
      <c r="F8940">
        <v>2016</v>
      </c>
      <c r="G8940">
        <v>7.8E-2</v>
      </c>
    </row>
    <row r="8941" spans="1:7">
      <c r="A8941" t="s">
        <v>1297</v>
      </c>
      <c r="B8941" t="s">
        <v>1298</v>
      </c>
      <c r="C8941" t="s">
        <v>658</v>
      </c>
      <c r="D8941" t="s">
        <v>1398</v>
      </c>
      <c r="E8941" t="s">
        <v>187</v>
      </c>
      <c r="F8941">
        <v>2020</v>
      </c>
      <c r="G8941">
        <v>6.5000000000000002E-2</v>
      </c>
    </row>
    <row r="8942" spans="1:7">
      <c r="A8942" t="s">
        <v>1297</v>
      </c>
      <c r="B8942" t="s">
        <v>1298</v>
      </c>
      <c r="C8942" t="s">
        <v>679</v>
      </c>
      <c r="D8942" t="s">
        <v>1398</v>
      </c>
      <c r="E8942" t="s">
        <v>187</v>
      </c>
      <c r="F8942">
        <v>2020</v>
      </c>
      <c r="G8942">
        <v>3.1E-2</v>
      </c>
    </row>
    <row r="8943" spans="1:7">
      <c r="A8943" t="s">
        <v>1297</v>
      </c>
      <c r="B8943" t="s">
        <v>1298</v>
      </c>
      <c r="C8943" t="s">
        <v>686</v>
      </c>
      <c r="D8943" t="s">
        <v>1398</v>
      </c>
      <c r="E8943" t="s">
        <v>187</v>
      </c>
      <c r="F8943">
        <v>2005</v>
      </c>
      <c r="G8943">
        <v>0.219</v>
      </c>
    </row>
    <row r="8944" spans="1:7">
      <c r="A8944" t="s">
        <v>1297</v>
      </c>
      <c r="B8944" t="s">
        <v>1298</v>
      </c>
      <c r="C8944" t="s">
        <v>653</v>
      </c>
      <c r="D8944" t="s">
        <v>1398</v>
      </c>
      <c r="E8944" t="s">
        <v>187</v>
      </c>
      <c r="F8944">
        <v>2005</v>
      </c>
      <c r="G8944">
        <v>1.2999999999999999E-2</v>
      </c>
    </row>
    <row r="8945" spans="1:7">
      <c r="A8945" t="s">
        <v>1297</v>
      </c>
      <c r="B8945" t="s">
        <v>1298</v>
      </c>
      <c r="C8945" t="s">
        <v>653</v>
      </c>
      <c r="D8945" t="s">
        <v>1398</v>
      </c>
      <c r="E8945" t="s">
        <v>187</v>
      </c>
      <c r="F8945">
        <v>2010</v>
      </c>
      <c r="G8945">
        <v>0.371</v>
      </c>
    </row>
    <row r="8946" spans="1:7">
      <c r="A8946" t="s">
        <v>1297</v>
      </c>
      <c r="B8946" t="s">
        <v>1298</v>
      </c>
      <c r="C8946" t="s">
        <v>653</v>
      </c>
      <c r="D8946" t="s">
        <v>1398</v>
      </c>
      <c r="E8946" t="s">
        <v>187</v>
      </c>
      <c r="F8946">
        <v>2012</v>
      </c>
      <c r="G8946">
        <v>0.44500000000000001</v>
      </c>
    </row>
    <row r="8947" spans="1:7">
      <c r="A8947" t="s">
        <v>1297</v>
      </c>
      <c r="B8947" t="s">
        <v>1298</v>
      </c>
      <c r="C8947" t="s">
        <v>653</v>
      </c>
      <c r="D8947" t="s">
        <v>1398</v>
      </c>
      <c r="E8947" t="s">
        <v>187</v>
      </c>
      <c r="F8947">
        <v>2016</v>
      </c>
      <c r="G8947">
        <v>0.33200000000000002</v>
      </c>
    </row>
    <row r="8948" spans="1:7">
      <c r="A8948" t="s">
        <v>1297</v>
      </c>
      <c r="B8948" t="s">
        <v>1298</v>
      </c>
      <c r="C8948" t="s">
        <v>653</v>
      </c>
      <c r="D8948" t="s">
        <v>1398</v>
      </c>
      <c r="E8948" t="s">
        <v>187</v>
      </c>
      <c r="F8948">
        <v>2020</v>
      </c>
      <c r="G8948">
        <v>0.43399500000000002</v>
      </c>
    </row>
    <row r="8949" spans="1:7">
      <c r="A8949" t="s">
        <v>1297</v>
      </c>
      <c r="B8949" t="s">
        <v>1298</v>
      </c>
      <c r="C8949" t="s">
        <v>666</v>
      </c>
      <c r="D8949" t="s">
        <v>1398</v>
      </c>
      <c r="E8949" t="s">
        <v>187</v>
      </c>
      <c r="F8949">
        <v>2005</v>
      </c>
      <c r="G8949">
        <v>0.433</v>
      </c>
    </row>
    <row r="8950" spans="1:7">
      <c r="A8950" t="s">
        <v>1297</v>
      </c>
      <c r="B8950" t="s">
        <v>1298</v>
      </c>
      <c r="C8950" t="s">
        <v>666</v>
      </c>
      <c r="D8950" t="s">
        <v>1398</v>
      </c>
      <c r="E8950" t="s">
        <v>187</v>
      </c>
      <c r="F8950">
        <v>2010</v>
      </c>
      <c r="G8950">
        <v>0.33700000000000002</v>
      </c>
    </row>
    <row r="8951" spans="1:7">
      <c r="A8951" t="s">
        <v>1297</v>
      </c>
      <c r="B8951" t="s">
        <v>1298</v>
      </c>
      <c r="C8951" t="s">
        <v>666</v>
      </c>
      <c r="D8951" t="s">
        <v>1398</v>
      </c>
      <c r="E8951" t="s">
        <v>187</v>
      </c>
      <c r="F8951">
        <v>2012</v>
      </c>
      <c r="G8951">
        <v>0.22600000000000001</v>
      </c>
    </row>
    <row r="8952" spans="1:7">
      <c r="A8952" t="s">
        <v>1297</v>
      </c>
      <c r="B8952" t="s">
        <v>1298</v>
      </c>
      <c r="C8952" t="s">
        <v>666</v>
      </c>
      <c r="D8952" t="s">
        <v>1398</v>
      </c>
      <c r="E8952" t="s">
        <v>187</v>
      </c>
      <c r="F8952">
        <v>2016</v>
      </c>
      <c r="G8952">
        <v>0.20300000000000001</v>
      </c>
    </row>
    <row r="8953" spans="1:7">
      <c r="A8953" t="s">
        <v>1297</v>
      </c>
      <c r="B8953" t="s">
        <v>1298</v>
      </c>
      <c r="C8953" t="s">
        <v>666</v>
      </c>
      <c r="D8953" t="s">
        <v>1398</v>
      </c>
      <c r="E8953" t="s">
        <v>187</v>
      </c>
      <c r="F8953">
        <v>2020</v>
      </c>
      <c r="G8953">
        <v>0.151</v>
      </c>
    </row>
    <row r="8954" spans="1:7">
      <c r="A8954" t="s">
        <v>1297</v>
      </c>
      <c r="B8954" t="s">
        <v>1298</v>
      </c>
      <c r="C8954" t="s">
        <v>660</v>
      </c>
      <c r="D8954" t="s">
        <v>1398</v>
      </c>
      <c r="E8954" t="s">
        <v>187</v>
      </c>
      <c r="F8954">
        <v>2005</v>
      </c>
      <c r="G8954">
        <v>0.44</v>
      </c>
    </row>
    <row r="8955" spans="1:7">
      <c r="A8955" t="s">
        <v>1297</v>
      </c>
      <c r="B8955" t="s">
        <v>1298</v>
      </c>
      <c r="C8955" t="s">
        <v>660</v>
      </c>
      <c r="D8955" t="s">
        <v>1398</v>
      </c>
      <c r="E8955" t="s">
        <v>187</v>
      </c>
      <c r="F8955">
        <v>2010</v>
      </c>
      <c r="G8955">
        <v>0.55600000000000005</v>
      </c>
    </row>
    <row r="8956" spans="1:7">
      <c r="A8956" t="s">
        <v>1297</v>
      </c>
      <c r="B8956" t="s">
        <v>1298</v>
      </c>
      <c r="C8956" t="s">
        <v>660</v>
      </c>
      <c r="D8956" t="s">
        <v>1398</v>
      </c>
      <c r="E8956" t="s">
        <v>187</v>
      </c>
      <c r="F8956">
        <v>2012</v>
      </c>
      <c r="G8956">
        <v>0.53900000000000003</v>
      </c>
    </row>
    <row r="8957" spans="1:7">
      <c r="A8957" t="s">
        <v>1297</v>
      </c>
      <c r="B8957" t="s">
        <v>1298</v>
      </c>
      <c r="C8957" t="s">
        <v>660</v>
      </c>
      <c r="D8957" t="s">
        <v>1398</v>
      </c>
      <c r="E8957" t="s">
        <v>187</v>
      </c>
      <c r="F8957">
        <v>2016</v>
      </c>
      <c r="G8957">
        <v>0.54900000000000004</v>
      </c>
    </row>
    <row r="8958" spans="1:7">
      <c r="A8958" t="s">
        <v>1297</v>
      </c>
      <c r="B8958" t="s">
        <v>1298</v>
      </c>
      <c r="C8958" t="s">
        <v>660</v>
      </c>
      <c r="D8958" t="s">
        <v>1398</v>
      </c>
      <c r="E8958" t="s">
        <v>187</v>
      </c>
      <c r="F8958">
        <v>2020</v>
      </c>
      <c r="G8958">
        <v>0.59199999999999997</v>
      </c>
    </row>
    <row r="8959" spans="1:7">
      <c r="A8959" t="s">
        <v>1297</v>
      </c>
      <c r="B8959" t="s">
        <v>1298</v>
      </c>
      <c r="C8959" t="s">
        <v>677</v>
      </c>
      <c r="D8959" t="s">
        <v>1398</v>
      </c>
      <c r="E8959" t="s">
        <v>187</v>
      </c>
      <c r="F8959">
        <v>2020</v>
      </c>
      <c r="G8959">
        <v>0.165046</v>
      </c>
    </row>
    <row r="8960" spans="1:7">
      <c r="A8960" t="s">
        <v>1297</v>
      </c>
      <c r="B8960" t="s">
        <v>1298</v>
      </c>
      <c r="C8960" t="s">
        <v>680</v>
      </c>
      <c r="D8960" t="s">
        <v>1398</v>
      </c>
      <c r="E8960" t="s">
        <v>187</v>
      </c>
      <c r="F8960">
        <v>2005</v>
      </c>
      <c r="G8960">
        <v>0.14599999999999999</v>
      </c>
    </row>
    <row r="8961" spans="1:7">
      <c r="A8961" t="s">
        <v>1297</v>
      </c>
      <c r="B8961" t="s">
        <v>1298</v>
      </c>
      <c r="C8961" t="s">
        <v>680</v>
      </c>
      <c r="D8961" t="s">
        <v>1398</v>
      </c>
      <c r="E8961" t="s">
        <v>187</v>
      </c>
      <c r="F8961">
        <v>2010</v>
      </c>
      <c r="G8961">
        <v>0.16</v>
      </c>
    </row>
    <row r="8962" spans="1:7">
      <c r="A8962" t="s">
        <v>1297</v>
      </c>
      <c r="B8962" t="s">
        <v>1298</v>
      </c>
      <c r="C8962" t="s">
        <v>680</v>
      </c>
      <c r="D8962" t="s">
        <v>1398</v>
      </c>
      <c r="E8962" t="s">
        <v>187</v>
      </c>
      <c r="F8962">
        <v>2012</v>
      </c>
      <c r="G8962">
        <v>0.17899999999999999</v>
      </c>
    </row>
    <row r="8963" spans="1:7">
      <c r="A8963" t="s">
        <v>1297</v>
      </c>
      <c r="B8963" t="s">
        <v>1298</v>
      </c>
      <c r="C8963" t="s">
        <v>680</v>
      </c>
      <c r="D8963" t="s">
        <v>1398</v>
      </c>
      <c r="E8963" t="s">
        <v>187</v>
      </c>
      <c r="F8963">
        <v>2016</v>
      </c>
      <c r="G8963">
        <v>0.37380000000000002</v>
      </c>
    </row>
    <row r="8964" spans="1:7">
      <c r="A8964" t="s">
        <v>1297</v>
      </c>
      <c r="B8964" t="s">
        <v>1298</v>
      </c>
      <c r="C8964" t="s">
        <v>680</v>
      </c>
      <c r="D8964" t="s">
        <v>1398</v>
      </c>
      <c r="E8964" t="s">
        <v>187</v>
      </c>
      <c r="F8964">
        <v>2020</v>
      </c>
      <c r="G8964">
        <v>0.43919799999999998</v>
      </c>
    </row>
    <row r="8965" spans="1:7">
      <c r="A8965" t="s">
        <v>1297</v>
      </c>
      <c r="B8965" t="s">
        <v>1298</v>
      </c>
      <c r="C8965" t="s">
        <v>661</v>
      </c>
      <c r="D8965" t="s">
        <v>1398</v>
      </c>
      <c r="E8965" t="s">
        <v>187</v>
      </c>
      <c r="F8965">
        <v>2016</v>
      </c>
      <c r="G8965">
        <v>0.36919600000000002</v>
      </c>
    </row>
    <row r="8966" spans="1:7">
      <c r="A8966" t="s">
        <v>1297</v>
      </c>
      <c r="B8966" t="s">
        <v>1298</v>
      </c>
      <c r="C8966" t="s">
        <v>661</v>
      </c>
      <c r="D8966" t="s">
        <v>1398</v>
      </c>
      <c r="E8966" t="s">
        <v>187</v>
      </c>
      <c r="F8966">
        <v>2020</v>
      </c>
      <c r="G8966">
        <v>0.77969200000000005</v>
      </c>
    </row>
    <row r="8967" spans="1:7">
      <c r="A8967" t="s">
        <v>1297</v>
      </c>
      <c r="B8967" t="s">
        <v>1298</v>
      </c>
      <c r="C8967" t="s">
        <v>663</v>
      </c>
      <c r="D8967" t="s">
        <v>1398</v>
      </c>
      <c r="E8967" t="s">
        <v>187</v>
      </c>
      <c r="F8967">
        <v>2005</v>
      </c>
      <c r="G8967">
        <v>0.01</v>
      </c>
    </row>
    <row r="8968" spans="1:7">
      <c r="A8968" t="s">
        <v>1297</v>
      </c>
      <c r="B8968" t="s">
        <v>1298</v>
      </c>
      <c r="C8968" t="s">
        <v>663</v>
      </c>
      <c r="D8968" t="s">
        <v>1398</v>
      </c>
      <c r="E8968" t="s">
        <v>187</v>
      </c>
      <c r="F8968">
        <v>2010</v>
      </c>
      <c r="G8968">
        <v>8.9999999999999993E-3</v>
      </c>
    </row>
    <row r="8969" spans="1:7">
      <c r="A8969" t="s">
        <v>1297</v>
      </c>
      <c r="B8969" t="s">
        <v>1298</v>
      </c>
      <c r="C8969" t="s">
        <v>663</v>
      </c>
      <c r="D8969" t="s">
        <v>1398</v>
      </c>
      <c r="E8969" t="s">
        <v>187</v>
      </c>
      <c r="F8969">
        <v>2012</v>
      </c>
      <c r="G8969">
        <v>1.4E-2</v>
      </c>
    </row>
    <row r="8970" spans="1:7">
      <c r="A8970" t="s">
        <v>1297</v>
      </c>
      <c r="B8970" t="s">
        <v>1298</v>
      </c>
      <c r="C8970" t="s">
        <v>663</v>
      </c>
      <c r="D8970" t="s">
        <v>1398</v>
      </c>
      <c r="E8970" t="s">
        <v>187</v>
      </c>
      <c r="F8970">
        <v>2016</v>
      </c>
      <c r="G8970">
        <v>1.4999999999999999E-2</v>
      </c>
    </row>
    <row r="8971" spans="1:7">
      <c r="A8971" t="s">
        <v>1297</v>
      </c>
      <c r="B8971" t="s">
        <v>1298</v>
      </c>
      <c r="C8971" t="s">
        <v>663</v>
      </c>
      <c r="D8971" t="s">
        <v>1398</v>
      </c>
      <c r="E8971" t="s">
        <v>187</v>
      </c>
      <c r="F8971">
        <v>2020</v>
      </c>
      <c r="G8971">
        <v>1.6E-2</v>
      </c>
    </row>
    <row r="8972" spans="1:7">
      <c r="A8972" t="s">
        <v>1297</v>
      </c>
      <c r="B8972" t="s">
        <v>1298</v>
      </c>
      <c r="C8972" t="s">
        <v>673</v>
      </c>
      <c r="D8972" t="s">
        <v>1398</v>
      </c>
      <c r="E8972" t="s">
        <v>187</v>
      </c>
      <c r="F8972">
        <v>2005</v>
      </c>
      <c r="G8972">
        <v>1.1120000000000001</v>
      </c>
    </row>
    <row r="8973" spans="1:7">
      <c r="A8973" t="s">
        <v>1297</v>
      </c>
      <c r="B8973" t="s">
        <v>1298</v>
      </c>
      <c r="C8973" t="s">
        <v>673</v>
      </c>
      <c r="D8973" t="s">
        <v>1398</v>
      </c>
      <c r="E8973" t="s">
        <v>187</v>
      </c>
      <c r="F8973">
        <v>2010</v>
      </c>
      <c r="G8973">
        <v>0.755</v>
      </c>
    </row>
    <row r="8974" spans="1:7">
      <c r="A8974" t="s">
        <v>1297</v>
      </c>
      <c r="B8974" t="s">
        <v>1298</v>
      </c>
      <c r="C8974" t="s">
        <v>673</v>
      </c>
      <c r="D8974" t="s">
        <v>1398</v>
      </c>
      <c r="E8974" t="s">
        <v>187</v>
      </c>
      <c r="F8974">
        <v>2012</v>
      </c>
      <c r="G8974">
        <v>1.27</v>
      </c>
    </row>
    <row r="8975" spans="1:7">
      <c r="A8975" t="s">
        <v>1297</v>
      </c>
      <c r="B8975" t="s">
        <v>1298</v>
      </c>
      <c r="C8975" t="s">
        <v>673</v>
      </c>
      <c r="D8975" t="s">
        <v>1398</v>
      </c>
      <c r="E8975" t="s">
        <v>187</v>
      </c>
      <c r="F8975">
        <v>2016</v>
      </c>
      <c r="G8975">
        <v>0.55100000000000005</v>
      </c>
    </row>
    <row r="8976" spans="1:7">
      <c r="A8976" t="s">
        <v>1297</v>
      </c>
      <c r="B8976" t="s">
        <v>1298</v>
      </c>
      <c r="C8976" t="s">
        <v>673</v>
      </c>
      <c r="D8976" t="s">
        <v>1398</v>
      </c>
      <c r="E8976" t="s">
        <v>187</v>
      </c>
      <c r="F8976">
        <v>2020</v>
      </c>
      <c r="G8976">
        <v>0.33724300000000001</v>
      </c>
    </row>
    <row r="8977" spans="1:7">
      <c r="A8977" t="s">
        <v>1297</v>
      </c>
      <c r="B8977" t="s">
        <v>1298</v>
      </c>
      <c r="C8977" t="s">
        <v>652</v>
      </c>
      <c r="D8977" t="s">
        <v>1398</v>
      </c>
      <c r="E8977" t="s">
        <v>187</v>
      </c>
      <c r="F8977">
        <v>2010</v>
      </c>
      <c r="G8977">
        <v>0.1993</v>
      </c>
    </row>
    <row r="8978" spans="1:7">
      <c r="A8978" t="s">
        <v>1297</v>
      </c>
      <c r="B8978" t="s">
        <v>1298</v>
      </c>
      <c r="C8978" t="s">
        <v>671</v>
      </c>
      <c r="D8978" t="s">
        <v>1398</v>
      </c>
      <c r="E8978" t="s">
        <v>187</v>
      </c>
      <c r="F8978">
        <v>2005</v>
      </c>
      <c r="G8978">
        <v>0.82299999999999995</v>
      </c>
    </row>
    <row r="8979" spans="1:7">
      <c r="A8979" t="s">
        <v>1297</v>
      </c>
      <c r="B8979" t="s">
        <v>1298</v>
      </c>
      <c r="C8979" t="s">
        <v>671</v>
      </c>
      <c r="D8979" t="s">
        <v>1398</v>
      </c>
      <c r="E8979" t="s">
        <v>187</v>
      </c>
      <c r="F8979">
        <v>2010</v>
      </c>
      <c r="G8979">
        <v>1.1000000000000001</v>
      </c>
    </row>
    <row r="8980" spans="1:7">
      <c r="A8980" t="s">
        <v>1297</v>
      </c>
      <c r="B8980" t="s">
        <v>1298</v>
      </c>
      <c r="C8980" t="s">
        <v>671</v>
      </c>
      <c r="D8980" t="s">
        <v>1398</v>
      </c>
      <c r="E8980" t="s">
        <v>187</v>
      </c>
      <c r="F8980">
        <v>2012</v>
      </c>
      <c r="G8980">
        <v>1</v>
      </c>
    </row>
    <row r="8981" spans="1:7">
      <c r="A8981" t="s">
        <v>1297</v>
      </c>
      <c r="B8981" t="s">
        <v>1298</v>
      </c>
      <c r="C8981" t="s">
        <v>671</v>
      </c>
      <c r="D8981" t="s">
        <v>1398</v>
      </c>
      <c r="E8981" t="s">
        <v>187</v>
      </c>
      <c r="F8981">
        <v>2016</v>
      </c>
      <c r="G8981">
        <v>0.9</v>
      </c>
    </row>
    <row r="8982" spans="1:7">
      <c r="A8982" t="s">
        <v>1297</v>
      </c>
      <c r="B8982" t="s">
        <v>1298</v>
      </c>
      <c r="C8982" t="s">
        <v>671</v>
      </c>
      <c r="D8982" t="s">
        <v>1398</v>
      </c>
      <c r="E8982" t="s">
        <v>187</v>
      </c>
      <c r="F8982">
        <v>2020</v>
      </c>
      <c r="G8982">
        <v>0.77</v>
      </c>
    </row>
    <row r="8983" spans="1:7">
      <c r="A8983" t="s">
        <v>1297</v>
      </c>
      <c r="B8983" t="s">
        <v>1298</v>
      </c>
      <c r="C8983" t="s">
        <v>670</v>
      </c>
      <c r="D8983" t="s">
        <v>1398</v>
      </c>
      <c r="E8983" t="s">
        <v>187</v>
      </c>
      <c r="F8983">
        <v>2005</v>
      </c>
      <c r="G8983">
        <v>9.27</v>
      </c>
    </row>
    <row r="8984" spans="1:7">
      <c r="A8984" t="s">
        <v>1297</v>
      </c>
      <c r="B8984" t="s">
        <v>1298</v>
      </c>
      <c r="C8984" t="s">
        <v>670</v>
      </c>
      <c r="D8984" t="s">
        <v>1398</v>
      </c>
      <c r="E8984" t="s">
        <v>187</v>
      </c>
      <c r="F8984">
        <v>2010</v>
      </c>
      <c r="G8984">
        <v>5.49</v>
      </c>
    </row>
    <row r="8985" spans="1:7">
      <c r="A8985" t="s">
        <v>1297</v>
      </c>
      <c r="B8985" t="s">
        <v>1298</v>
      </c>
      <c r="C8985" t="s">
        <v>670</v>
      </c>
      <c r="D8985" t="s">
        <v>1398</v>
      </c>
      <c r="E8985" t="s">
        <v>187</v>
      </c>
      <c r="F8985">
        <v>2012</v>
      </c>
      <c r="G8985">
        <v>4.49</v>
      </c>
    </row>
    <row r="8986" spans="1:7">
      <c r="A8986" t="s">
        <v>1297</v>
      </c>
      <c r="B8986" t="s">
        <v>1298</v>
      </c>
      <c r="C8986" t="s">
        <v>670</v>
      </c>
      <c r="D8986" t="s">
        <v>1398</v>
      </c>
      <c r="E8986" t="s">
        <v>187</v>
      </c>
      <c r="F8986">
        <v>2016</v>
      </c>
      <c r="G8986">
        <v>3.7</v>
      </c>
    </row>
    <row r="8987" spans="1:7">
      <c r="A8987" t="s">
        <v>1297</v>
      </c>
      <c r="B8987" t="s">
        <v>1298</v>
      </c>
      <c r="C8987" t="s">
        <v>670</v>
      </c>
      <c r="D8987" t="s">
        <v>1398</v>
      </c>
      <c r="E8987" t="s">
        <v>187</v>
      </c>
      <c r="F8987">
        <v>2020</v>
      </c>
      <c r="G8987">
        <v>3.399527</v>
      </c>
    </row>
    <row r="8988" spans="1:7">
      <c r="A8988" t="s">
        <v>1297</v>
      </c>
      <c r="B8988" t="s">
        <v>1298</v>
      </c>
      <c r="C8988" t="s">
        <v>651</v>
      </c>
      <c r="D8988" t="s">
        <v>1398</v>
      </c>
      <c r="E8988" t="s">
        <v>187</v>
      </c>
      <c r="F8988">
        <v>2005</v>
      </c>
      <c r="G8988">
        <v>0.28323799999999999</v>
      </c>
    </row>
    <row r="8989" spans="1:7">
      <c r="A8989" t="s">
        <v>1297</v>
      </c>
      <c r="B8989" t="s">
        <v>1298</v>
      </c>
      <c r="C8989" t="s">
        <v>651</v>
      </c>
      <c r="D8989" t="s">
        <v>1398</v>
      </c>
      <c r="E8989" t="s">
        <v>187</v>
      </c>
      <c r="F8989">
        <v>2010</v>
      </c>
      <c r="G8989">
        <v>0.35324299999999997</v>
      </c>
    </row>
    <row r="8990" spans="1:7">
      <c r="A8990" t="s">
        <v>1297</v>
      </c>
      <c r="B8990" t="s">
        <v>1298</v>
      </c>
      <c r="C8990" t="s">
        <v>651</v>
      </c>
      <c r="D8990" t="s">
        <v>1398</v>
      </c>
      <c r="E8990" t="s">
        <v>187</v>
      </c>
      <c r="F8990">
        <v>2012</v>
      </c>
      <c r="G8990">
        <v>0.39005800000000002</v>
      </c>
    </row>
    <row r="8991" spans="1:7">
      <c r="A8991" t="s">
        <v>1297</v>
      </c>
      <c r="B8991" t="s">
        <v>1298</v>
      </c>
      <c r="C8991" t="s">
        <v>651</v>
      </c>
      <c r="D8991" t="s">
        <v>1398</v>
      </c>
      <c r="E8991" t="s">
        <v>187</v>
      </c>
      <c r="F8991">
        <v>2016</v>
      </c>
      <c r="G8991">
        <v>0.46110200000000001</v>
      </c>
    </row>
    <row r="8992" spans="1:7">
      <c r="A8992" t="s">
        <v>1297</v>
      </c>
      <c r="B8992" t="s">
        <v>1298</v>
      </c>
      <c r="C8992" t="s">
        <v>651</v>
      </c>
      <c r="D8992" t="s">
        <v>1398</v>
      </c>
      <c r="E8992" t="s">
        <v>187</v>
      </c>
      <c r="F8992">
        <v>2020</v>
      </c>
      <c r="G8992">
        <v>0.45674300000000001</v>
      </c>
    </row>
    <row r="8993" spans="1:7">
      <c r="A8993" t="s">
        <v>1297</v>
      </c>
      <c r="B8993" t="s">
        <v>1298</v>
      </c>
      <c r="C8993" t="s">
        <v>665</v>
      </c>
      <c r="D8993" t="s">
        <v>1398</v>
      </c>
      <c r="E8993" t="s">
        <v>187</v>
      </c>
      <c r="F8993">
        <v>2005</v>
      </c>
      <c r="G8993">
        <v>5.0999999999999997E-2</v>
      </c>
    </row>
    <row r="8994" spans="1:7">
      <c r="A8994" t="s">
        <v>1297</v>
      </c>
      <c r="B8994" t="s">
        <v>1298</v>
      </c>
      <c r="C8994" t="s">
        <v>665</v>
      </c>
      <c r="D8994" t="s">
        <v>1398</v>
      </c>
      <c r="E8994" t="s">
        <v>187</v>
      </c>
      <c r="F8994">
        <v>2010</v>
      </c>
      <c r="G8994">
        <v>5.5E-2</v>
      </c>
    </row>
    <row r="8995" spans="1:7">
      <c r="A8995" t="s">
        <v>1297</v>
      </c>
      <c r="B8995" t="s">
        <v>1298</v>
      </c>
      <c r="C8995" t="s">
        <v>665</v>
      </c>
      <c r="D8995" t="s">
        <v>1398</v>
      </c>
      <c r="E8995" t="s">
        <v>187</v>
      </c>
      <c r="F8995">
        <v>2012</v>
      </c>
      <c r="G8995">
        <v>0.64700000000000002</v>
      </c>
    </row>
    <row r="8996" spans="1:7">
      <c r="A8996" t="s">
        <v>1297</v>
      </c>
      <c r="B8996" t="s">
        <v>1298</v>
      </c>
      <c r="C8996" t="s">
        <v>665</v>
      </c>
      <c r="D8996" t="s">
        <v>1398</v>
      </c>
      <c r="E8996" t="s">
        <v>187</v>
      </c>
      <c r="F8996">
        <v>2016</v>
      </c>
      <c r="G8996">
        <v>0.45400000000000001</v>
      </c>
    </row>
    <row r="8997" spans="1:7">
      <c r="A8997" t="s">
        <v>1297</v>
      </c>
      <c r="B8997" t="s">
        <v>1298</v>
      </c>
      <c r="C8997" t="s">
        <v>665</v>
      </c>
      <c r="D8997" t="s">
        <v>1398</v>
      </c>
      <c r="E8997" t="s">
        <v>187</v>
      </c>
      <c r="F8997">
        <v>2020</v>
      </c>
      <c r="G8997">
        <v>0.57438900000000004</v>
      </c>
    </row>
    <row r="8998" spans="1:7">
      <c r="A8998" t="s">
        <v>1297</v>
      </c>
      <c r="B8998" t="s">
        <v>1298</v>
      </c>
      <c r="C8998" t="s">
        <v>289</v>
      </c>
      <c r="D8998" t="s">
        <v>1398</v>
      </c>
      <c r="E8998" t="s">
        <v>187</v>
      </c>
      <c r="F8998">
        <v>2010</v>
      </c>
      <c r="G8998">
        <v>4.9000000000000002E-2</v>
      </c>
    </row>
    <row r="8999" spans="1:7">
      <c r="A8999" t="s">
        <v>1297</v>
      </c>
      <c r="B8999" t="s">
        <v>1298</v>
      </c>
      <c r="C8999" t="s">
        <v>289</v>
      </c>
      <c r="D8999" t="s">
        <v>1398</v>
      </c>
      <c r="E8999" t="s">
        <v>187</v>
      </c>
      <c r="F8999">
        <v>2012</v>
      </c>
      <c r="G8999">
        <v>9.5000000000000001E-2</v>
      </c>
    </row>
    <row r="9000" spans="1:7">
      <c r="A9000" t="s">
        <v>1297</v>
      </c>
      <c r="B9000" t="s">
        <v>1298</v>
      </c>
      <c r="C9000" t="s">
        <v>289</v>
      </c>
      <c r="D9000" t="s">
        <v>1398</v>
      </c>
      <c r="E9000" t="s">
        <v>187</v>
      </c>
      <c r="F9000">
        <v>2016</v>
      </c>
      <c r="G9000">
        <v>0.19500000000000001</v>
      </c>
    </row>
    <row r="9001" spans="1:7">
      <c r="A9001" t="s">
        <v>1297</v>
      </c>
      <c r="B9001" t="s">
        <v>1298</v>
      </c>
      <c r="C9001" t="s">
        <v>289</v>
      </c>
      <c r="D9001" t="s">
        <v>1398</v>
      </c>
      <c r="E9001" t="s">
        <v>187</v>
      </c>
      <c r="F9001">
        <v>2020</v>
      </c>
      <c r="G9001">
        <v>0.26889999999999997</v>
      </c>
    </row>
    <row r="9002" spans="1:7">
      <c r="A9002" t="s">
        <v>1297</v>
      </c>
      <c r="B9002" t="s">
        <v>1298</v>
      </c>
      <c r="C9002" t="s">
        <v>668</v>
      </c>
      <c r="D9002" t="s">
        <v>1398</v>
      </c>
      <c r="E9002" t="s">
        <v>187</v>
      </c>
      <c r="F9002">
        <v>2005</v>
      </c>
      <c r="G9002">
        <v>0.154</v>
      </c>
    </row>
    <row r="9003" spans="1:7">
      <c r="A9003" t="s">
        <v>1297</v>
      </c>
      <c r="B9003" t="s">
        <v>1298</v>
      </c>
      <c r="C9003" t="s">
        <v>668</v>
      </c>
      <c r="D9003" t="s">
        <v>1398</v>
      </c>
      <c r="E9003" t="s">
        <v>187</v>
      </c>
      <c r="F9003">
        <v>2010</v>
      </c>
      <c r="G9003">
        <v>0.34599999999999997</v>
      </c>
    </row>
    <row r="9004" spans="1:7">
      <c r="A9004" t="s">
        <v>1297</v>
      </c>
      <c r="B9004" t="s">
        <v>1298</v>
      </c>
      <c r="C9004" t="s">
        <v>668</v>
      </c>
      <c r="D9004" t="s">
        <v>1398</v>
      </c>
      <c r="E9004" t="s">
        <v>187</v>
      </c>
      <c r="F9004">
        <v>2012</v>
      </c>
      <c r="G9004">
        <v>0.26600000000000001</v>
      </c>
    </row>
    <row r="9005" spans="1:7">
      <c r="A9005" t="s">
        <v>1297</v>
      </c>
      <c r="B9005" t="s">
        <v>1298</v>
      </c>
      <c r="C9005" t="s">
        <v>668</v>
      </c>
      <c r="D9005" t="s">
        <v>1398</v>
      </c>
      <c r="E9005" t="s">
        <v>187</v>
      </c>
      <c r="F9005">
        <v>2016</v>
      </c>
      <c r="G9005">
        <v>0.42799999999999999</v>
      </c>
    </row>
    <row r="9006" spans="1:7">
      <c r="A9006" t="s">
        <v>1297</v>
      </c>
      <c r="B9006" t="s">
        <v>1298</v>
      </c>
      <c r="C9006" t="s">
        <v>668</v>
      </c>
      <c r="D9006" t="s">
        <v>1398</v>
      </c>
      <c r="E9006" t="s">
        <v>187</v>
      </c>
      <c r="F9006">
        <v>2020</v>
      </c>
      <c r="G9006">
        <v>0.411443</v>
      </c>
    </row>
    <row r="9007" spans="1:7">
      <c r="A9007" t="s">
        <v>1297</v>
      </c>
      <c r="B9007" t="s">
        <v>1298</v>
      </c>
      <c r="C9007" t="s">
        <v>1300</v>
      </c>
      <c r="D9007" t="s">
        <v>1398</v>
      </c>
      <c r="E9007" t="s">
        <v>187</v>
      </c>
      <c r="F9007">
        <v>2010</v>
      </c>
      <c r="G9007">
        <v>3.5000000000000003E-2</v>
      </c>
    </row>
    <row r="9008" spans="1:7">
      <c r="A9008" t="s">
        <v>1297</v>
      </c>
      <c r="B9008" t="s">
        <v>1298</v>
      </c>
      <c r="C9008" t="s">
        <v>1300</v>
      </c>
      <c r="D9008" t="s">
        <v>1398</v>
      </c>
      <c r="E9008" t="s">
        <v>187</v>
      </c>
      <c r="F9008">
        <v>2012</v>
      </c>
      <c r="G9008">
        <v>4.2999999999999997E-2</v>
      </c>
    </row>
    <row r="9009" spans="1:7">
      <c r="A9009" t="s">
        <v>1297</v>
      </c>
      <c r="B9009" t="s">
        <v>1298</v>
      </c>
      <c r="C9009" t="s">
        <v>1300</v>
      </c>
      <c r="D9009" t="s">
        <v>1398</v>
      </c>
      <c r="E9009" t="s">
        <v>187</v>
      </c>
      <c r="F9009">
        <v>2016</v>
      </c>
      <c r="G9009">
        <v>2E-3</v>
      </c>
    </row>
    <row r="9010" spans="1:7">
      <c r="A9010" t="s">
        <v>1297</v>
      </c>
      <c r="B9010" t="s">
        <v>1298</v>
      </c>
      <c r="C9010" t="s">
        <v>1300</v>
      </c>
      <c r="D9010" t="s">
        <v>1398</v>
      </c>
      <c r="E9010" t="s">
        <v>187</v>
      </c>
      <c r="F9010">
        <v>2020</v>
      </c>
      <c r="G9010">
        <v>1E-3</v>
      </c>
    </row>
    <row r="9011" spans="1:7">
      <c r="A9011" t="s">
        <v>1297</v>
      </c>
      <c r="B9011" t="s">
        <v>1298</v>
      </c>
      <c r="C9011" t="s">
        <v>655</v>
      </c>
      <c r="D9011" t="s">
        <v>1398</v>
      </c>
      <c r="E9011" t="s">
        <v>187</v>
      </c>
      <c r="F9011">
        <v>2005</v>
      </c>
      <c r="G9011">
        <v>0.56100000000000005</v>
      </c>
    </row>
    <row r="9012" spans="1:7">
      <c r="A9012" t="s">
        <v>1297</v>
      </c>
      <c r="B9012" t="s">
        <v>1298</v>
      </c>
      <c r="C9012" t="s">
        <v>655</v>
      </c>
      <c r="D9012" t="s">
        <v>1398</v>
      </c>
      <c r="E9012" t="s">
        <v>187</v>
      </c>
      <c r="F9012">
        <v>2010</v>
      </c>
      <c r="G9012">
        <v>0.54300000000000004</v>
      </c>
    </row>
    <row r="9013" spans="1:7">
      <c r="A9013" t="s">
        <v>1297</v>
      </c>
      <c r="B9013" t="s">
        <v>1298</v>
      </c>
      <c r="C9013" t="s">
        <v>655</v>
      </c>
      <c r="D9013" t="s">
        <v>1398</v>
      </c>
      <c r="E9013" t="s">
        <v>187</v>
      </c>
      <c r="F9013">
        <v>2012</v>
      </c>
      <c r="G9013">
        <v>0.35299999999999998</v>
      </c>
    </row>
    <row r="9014" spans="1:7">
      <c r="A9014" t="s">
        <v>1297</v>
      </c>
      <c r="B9014" t="s">
        <v>1298</v>
      </c>
      <c r="C9014" t="s">
        <v>655</v>
      </c>
      <c r="D9014" t="s">
        <v>1398</v>
      </c>
      <c r="E9014" t="s">
        <v>187</v>
      </c>
      <c r="F9014">
        <v>2016</v>
      </c>
      <c r="G9014">
        <v>0.3</v>
      </c>
    </row>
    <row r="9015" spans="1:7">
      <c r="A9015" t="s">
        <v>1297</v>
      </c>
      <c r="B9015" t="s">
        <v>1298</v>
      </c>
      <c r="C9015" t="s">
        <v>655</v>
      </c>
      <c r="D9015" t="s">
        <v>1398</v>
      </c>
      <c r="E9015" t="s">
        <v>187</v>
      </c>
      <c r="F9015">
        <v>2020</v>
      </c>
      <c r="G9015">
        <v>0.36893700000000001</v>
      </c>
    </row>
    <row r="9016" spans="1:7">
      <c r="A9016" t="s">
        <v>1297</v>
      </c>
      <c r="B9016" t="s">
        <v>1298</v>
      </c>
      <c r="C9016" t="s">
        <v>679</v>
      </c>
      <c r="D9016" t="s">
        <v>1398</v>
      </c>
      <c r="E9016" t="s">
        <v>187</v>
      </c>
      <c r="F9016">
        <v>2005</v>
      </c>
      <c r="G9016">
        <v>4.0000000000000001E-3</v>
      </c>
    </row>
    <row r="9017" spans="1:7">
      <c r="A9017" t="s">
        <v>1297</v>
      </c>
      <c r="B9017" t="s">
        <v>1298</v>
      </c>
      <c r="C9017" t="s">
        <v>679</v>
      </c>
      <c r="D9017" t="s">
        <v>1398</v>
      </c>
      <c r="E9017" t="s">
        <v>187</v>
      </c>
      <c r="F9017">
        <v>2010</v>
      </c>
      <c r="G9017">
        <v>8.9999999999999993E-3</v>
      </c>
    </row>
    <row r="9018" spans="1:7">
      <c r="A9018" t="s">
        <v>1297</v>
      </c>
      <c r="B9018" t="s">
        <v>1298</v>
      </c>
      <c r="C9018" t="s">
        <v>679</v>
      </c>
      <c r="D9018" t="s">
        <v>1398</v>
      </c>
      <c r="E9018" t="s">
        <v>187</v>
      </c>
      <c r="F9018">
        <v>2012</v>
      </c>
      <c r="G9018">
        <v>2.1000000000000001E-2</v>
      </c>
    </row>
    <row r="9019" spans="1:7">
      <c r="A9019" t="s">
        <v>1297</v>
      </c>
      <c r="B9019" t="s">
        <v>1298</v>
      </c>
      <c r="C9019" t="s">
        <v>679</v>
      </c>
      <c r="D9019" t="s">
        <v>1398</v>
      </c>
      <c r="E9019" t="s">
        <v>187</v>
      </c>
      <c r="F9019">
        <v>2016</v>
      </c>
      <c r="G9019">
        <v>3.4000000000000002E-2</v>
      </c>
    </row>
    <row r="9020" spans="1:7">
      <c r="A9020" t="s">
        <v>1297</v>
      </c>
      <c r="B9020" t="s">
        <v>1298</v>
      </c>
      <c r="C9020" t="s">
        <v>656</v>
      </c>
      <c r="D9020" t="s">
        <v>1399</v>
      </c>
      <c r="E9020" t="s">
        <v>187</v>
      </c>
      <c r="F9020">
        <v>2010</v>
      </c>
      <c r="G9020">
        <v>136.24199999999999</v>
      </c>
    </row>
    <row r="9021" spans="1:7">
      <c r="A9021" t="s">
        <v>1297</v>
      </c>
      <c r="B9021" t="s">
        <v>1298</v>
      </c>
      <c r="C9021" t="s">
        <v>656</v>
      </c>
      <c r="D9021" t="s">
        <v>1399</v>
      </c>
      <c r="E9021" t="s">
        <v>187</v>
      </c>
      <c r="F9021">
        <v>2012</v>
      </c>
      <c r="G9021">
        <v>98.281000000000006</v>
      </c>
    </row>
    <row r="9022" spans="1:7">
      <c r="A9022" t="s">
        <v>1297</v>
      </c>
      <c r="B9022" t="s">
        <v>1298</v>
      </c>
      <c r="C9022" t="s">
        <v>656</v>
      </c>
      <c r="D9022" t="s">
        <v>1399</v>
      </c>
      <c r="E9022" t="s">
        <v>187</v>
      </c>
      <c r="F9022">
        <v>2016</v>
      </c>
      <c r="G9022">
        <v>42.994</v>
      </c>
    </row>
    <row r="9023" spans="1:7">
      <c r="A9023" t="s">
        <v>1297</v>
      </c>
      <c r="B9023" t="s">
        <v>1298</v>
      </c>
      <c r="C9023" t="s">
        <v>656</v>
      </c>
      <c r="D9023" t="s">
        <v>1399</v>
      </c>
      <c r="E9023" t="s">
        <v>187</v>
      </c>
      <c r="F9023">
        <v>2020</v>
      </c>
      <c r="G9023">
        <v>57.747</v>
      </c>
    </row>
    <row r="9024" spans="1:7">
      <c r="A9024" t="s">
        <v>1297</v>
      </c>
      <c r="B9024" t="s">
        <v>1298</v>
      </c>
      <c r="C9024" t="s">
        <v>680</v>
      </c>
      <c r="D9024" t="s">
        <v>1399</v>
      </c>
      <c r="E9024" t="s">
        <v>187</v>
      </c>
      <c r="F9024">
        <v>2005</v>
      </c>
      <c r="G9024">
        <v>6.7329999999999997</v>
      </c>
    </row>
    <row r="9025" spans="1:7">
      <c r="A9025" t="s">
        <v>1297</v>
      </c>
      <c r="B9025" t="s">
        <v>1298</v>
      </c>
      <c r="C9025" t="s">
        <v>680</v>
      </c>
      <c r="D9025" t="s">
        <v>1399</v>
      </c>
      <c r="E9025" t="s">
        <v>187</v>
      </c>
      <c r="F9025">
        <v>2010</v>
      </c>
      <c r="G9025">
        <v>7.3479999999999999</v>
      </c>
    </row>
    <row r="9026" spans="1:7">
      <c r="A9026" t="s">
        <v>1297</v>
      </c>
      <c r="B9026" t="s">
        <v>1298</v>
      </c>
      <c r="C9026" t="s">
        <v>680</v>
      </c>
      <c r="D9026" t="s">
        <v>1399</v>
      </c>
      <c r="E9026" t="s">
        <v>187</v>
      </c>
      <c r="F9026">
        <v>2012</v>
      </c>
      <c r="G9026">
        <v>8.1890000000000001</v>
      </c>
    </row>
    <row r="9027" spans="1:7">
      <c r="A9027" t="s">
        <v>1297</v>
      </c>
      <c r="B9027" t="s">
        <v>1298</v>
      </c>
      <c r="C9027" t="s">
        <v>680</v>
      </c>
      <c r="D9027" t="s">
        <v>1399</v>
      </c>
      <c r="E9027" t="s">
        <v>187</v>
      </c>
      <c r="F9027">
        <v>2016</v>
      </c>
      <c r="G9027">
        <v>11.534599999999999</v>
      </c>
    </row>
    <row r="9028" spans="1:7">
      <c r="A9028" t="s">
        <v>1297</v>
      </c>
      <c r="B9028" t="s">
        <v>1298</v>
      </c>
      <c r="C9028" t="s">
        <v>680</v>
      </c>
      <c r="D9028" t="s">
        <v>1399</v>
      </c>
      <c r="E9028" t="s">
        <v>187</v>
      </c>
      <c r="F9028">
        <v>2020</v>
      </c>
      <c r="G9028">
        <v>12.853386</v>
      </c>
    </row>
    <row r="9029" spans="1:7">
      <c r="A9029" t="s">
        <v>1297</v>
      </c>
      <c r="B9029" t="s">
        <v>1298</v>
      </c>
      <c r="C9029" t="s">
        <v>665</v>
      </c>
      <c r="D9029" t="s">
        <v>1399</v>
      </c>
      <c r="E9029" t="s">
        <v>187</v>
      </c>
      <c r="F9029">
        <v>2005</v>
      </c>
      <c r="G9029">
        <v>2.931</v>
      </c>
    </row>
    <row r="9030" spans="1:7">
      <c r="A9030" t="s">
        <v>1297</v>
      </c>
      <c r="B9030" t="s">
        <v>1298</v>
      </c>
      <c r="C9030" t="s">
        <v>665</v>
      </c>
      <c r="D9030" t="s">
        <v>1399</v>
      </c>
      <c r="E9030" t="s">
        <v>187</v>
      </c>
      <c r="F9030">
        <v>2010</v>
      </c>
      <c r="G9030">
        <v>2.0649999999999999</v>
      </c>
    </row>
    <row r="9031" spans="1:7">
      <c r="A9031" t="s">
        <v>1297</v>
      </c>
      <c r="B9031" t="s">
        <v>1298</v>
      </c>
      <c r="C9031" t="s">
        <v>665</v>
      </c>
      <c r="D9031" t="s">
        <v>1399</v>
      </c>
      <c r="E9031" t="s">
        <v>187</v>
      </c>
      <c r="F9031">
        <v>2012</v>
      </c>
      <c r="G9031">
        <v>4.3949999999999996</v>
      </c>
    </row>
    <row r="9032" spans="1:7">
      <c r="A9032" t="s">
        <v>1297</v>
      </c>
      <c r="B9032" t="s">
        <v>1298</v>
      </c>
      <c r="C9032" t="s">
        <v>665</v>
      </c>
      <c r="D9032" t="s">
        <v>1399</v>
      </c>
      <c r="E9032" t="s">
        <v>187</v>
      </c>
      <c r="F9032">
        <v>2016</v>
      </c>
      <c r="G9032">
        <v>10.275</v>
      </c>
    </row>
    <row r="9033" spans="1:7">
      <c r="A9033" t="s">
        <v>1297</v>
      </c>
      <c r="B9033" t="s">
        <v>1298</v>
      </c>
      <c r="C9033" t="s">
        <v>665</v>
      </c>
      <c r="D9033" t="s">
        <v>1399</v>
      </c>
      <c r="E9033" t="s">
        <v>187</v>
      </c>
      <c r="F9033">
        <v>2020</v>
      </c>
      <c r="G9033">
        <v>12.412594</v>
      </c>
    </row>
    <row r="9034" spans="1:7">
      <c r="A9034" t="s">
        <v>1297</v>
      </c>
      <c r="B9034" t="s">
        <v>1298</v>
      </c>
      <c r="C9034" t="s">
        <v>1300</v>
      </c>
      <c r="D9034" t="s">
        <v>1399</v>
      </c>
      <c r="E9034" t="s">
        <v>187</v>
      </c>
      <c r="F9034">
        <v>2010</v>
      </c>
      <c r="G9034">
        <v>2.2330000000000001</v>
      </c>
    </row>
    <row r="9035" spans="1:7">
      <c r="A9035" t="s">
        <v>1297</v>
      </c>
      <c r="B9035" t="s">
        <v>1298</v>
      </c>
      <c r="C9035" t="s">
        <v>1300</v>
      </c>
      <c r="D9035" t="s">
        <v>1399</v>
      </c>
      <c r="E9035" t="s">
        <v>187</v>
      </c>
      <c r="F9035">
        <v>2012</v>
      </c>
      <c r="G9035">
        <v>2.2759999999999998</v>
      </c>
    </row>
    <row r="9036" spans="1:7">
      <c r="A9036" t="s">
        <v>1297</v>
      </c>
      <c r="B9036" t="s">
        <v>1298</v>
      </c>
      <c r="C9036" t="s">
        <v>1300</v>
      </c>
      <c r="D9036" t="s">
        <v>1399</v>
      </c>
      <c r="E9036" t="s">
        <v>187</v>
      </c>
      <c r="F9036">
        <v>2016</v>
      </c>
      <c r="G9036">
        <v>1.9259999999999999</v>
      </c>
    </row>
    <row r="9037" spans="1:7">
      <c r="A9037" t="s">
        <v>1297</v>
      </c>
      <c r="B9037" t="s">
        <v>1298</v>
      </c>
      <c r="C9037" t="s">
        <v>1300</v>
      </c>
      <c r="D9037" t="s">
        <v>1399</v>
      </c>
      <c r="E9037" t="s">
        <v>187</v>
      </c>
      <c r="F9037">
        <v>2020</v>
      </c>
      <c r="G9037">
        <v>1.591</v>
      </c>
    </row>
    <row r="9038" spans="1:7">
      <c r="A9038" t="s">
        <v>1297</v>
      </c>
      <c r="B9038" t="s">
        <v>1298</v>
      </c>
      <c r="C9038" t="s">
        <v>657</v>
      </c>
      <c r="D9038" t="s">
        <v>1399</v>
      </c>
      <c r="E9038" t="s">
        <v>187</v>
      </c>
      <c r="F9038">
        <v>2005</v>
      </c>
      <c r="G9038">
        <v>29.602</v>
      </c>
    </row>
    <row r="9039" spans="1:7">
      <c r="A9039" t="s">
        <v>1297</v>
      </c>
      <c r="B9039" t="s">
        <v>1298</v>
      </c>
      <c r="C9039" t="s">
        <v>657</v>
      </c>
      <c r="D9039" t="s">
        <v>1399</v>
      </c>
      <c r="E9039" t="s">
        <v>187</v>
      </c>
      <c r="F9039">
        <v>2010</v>
      </c>
      <c r="G9039">
        <v>35.591999999999999</v>
      </c>
    </row>
    <row r="9040" spans="1:7">
      <c r="A9040" t="s">
        <v>1297</v>
      </c>
      <c r="B9040" t="s">
        <v>1298</v>
      </c>
      <c r="C9040" t="s">
        <v>657</v>
      </c>
      <c r="D9040" t="s">
        <v>1399</v>
      </c>
      <c r="E9040" t="s">
        <v>187</v>
      </c>
      <c r="F9040">
        <v>2012</v>
      </c>
      <c r="G9040">
        <v>32.078000000000003</v>
      </c>
    </row>
    <row r="9041" spans="1:7">
      <c r="A9041" t="s">
        <v>1297</v>
      </c>
      <c r="B9041" t="s">
        <v>1298</v>
      </c>
      <c r="C9041" t="s">
        <v>657</v>
      </c>
      <c r="D9041" t="s">
        <v>1399</v>
      </c>
      <c r="E9041" t="s">
        <v>187</v>
      </c>
      <c r="F9041">
        <v>2016</v>
      </c>
      <c r="G9041">
        <v>32.343241999999996</v>
      </c>
    </row>
    <row r="9042" spans="1:7">
      <c r="A9042" t="s">
        <v>1297</v>
      </c>
      <c r="B9042" t="s">
        <v>1298</v>
      </c>
      <c r="C9042" t="s">
        <v>657</v>
      </c>
      <c r="D9042" t="s">
        <v>1399</v>
      </c>
      <c r="E9042" t="s">
        <v>187</v>
      </c>
      <c r="F9042">
        <v>2020</v>
      </c>
      <c r="G9042">
        <v>31.431277999999999</v>
      </c>
    </row>
    <row r="9043" spans="1:7">
      <c r="A9043" t="s">
        <v>1297</v>
      </c>
      <c r="B9043" t="s">
        <v>1298</v>
      </c>
      <c r="C9043" t="s">
        <v>655</v>
      </c>
      <c r="D9043" t="s">
        <v>1399</v>
      </c>
      <c r="E9043" t="s">
        <v>187</v>
      </c>
      <c r="F9043">
        <v>2005</v>
      </c>
      <c r="G9043">
        <v>25.335000000000001</v>
      </c>
    </row>
    <row r="9044" spans="1:7">
      <c r="A9044" t="s">
        <v>1297</v>
      </c>
      <c r="B9044" t="s">
        <v>1298</v>
      </c>
      <c r="C9044" t="s">
        <v>655</v>
      </c>
      <c r="D9044" t="s">
        <v>1399</v>
      </c>
      <c r="E9044" t="s">
        <v>187</v>
      </c>
      <c r="F9044">
        <v>2010</v>
      </c>
      <c r="G9044">
        <v>22.7</v>
      </c>
    </row>
    <row r="9045" spans="1:7">
      <c r="A9045" t="s">
        <v>1297</v>
      </c>
      <c r="B9045" t="s">
        <v>1298</v>
      </c>
      <c r="C9045" t="s">
        <v>655</v>
      </c>
      <c r="D9045" t="s">
        <v>1399</v>
      </c>
      <c r="E9045" t="s">
        <v>187</v>
      </c>
      <c r="F9045">
        <v>2012</v>
      </c>
      <c r="G9045">
        <v>20.867999999999999</v>
      </c>
    </row>
    <row r="9046" spans="1:7">
      <c r="A9046" t="s">
        <v>1297</v>
      </c>
      <c r="B9046" t="s">
        <v>1298</v>
      </c>
      <c r="C9046" t="s">
        <v>655</v>
      </c>
      <c r="D9046" t="s">
        <v>1399</v>
      </c>
      <c r="E9046" t="s">
        <v>187</v>
      </c>
      <c r="F9046">
        <v>2016</v>
      </c>
      <c r="G9046">
        <v>20.201000000000001</v>
      </c>
    </row>
    <row r="9047" spans="1:7">
      <c r="A9047" t="s">
        <v>1297</v>
      </c>
      <c r="B9047" t="s">
        <v>1298</v>
      </c>
      <c r="C9047" t="s">
        <v>655</v>
      </c>
      <c r="D9047" t="s">
        <v>1399</v>
      </c>
      <c r="E9047" t="s">
        <v>187</v>
      </c>
      <c r="F9047">
        <v>2020</v>
      </c>
      <c r="G9047">
        <v>19.818546000000001</v>
      </c>
    </row>
    <row r="9048" spans="1:7">
      <c r="A9048" t="s">
        <v>1297</v>
      </c>
      <c r="B9048" t="s">
        <v>1298</v>
      </c>
      <c r="C9048" t="s">
        <v>676</v>
      </c>
      <c r="D9048" t="s">
        <v>1399</v>
      </c>
      <c r="E9048" t="s">
        <v>187</v>
      </c>
      <c r="F9048">
        <v>2005</v>
      </c>
      <c r="G9048">
        <v>10.026999999999999</v>
      </c>
    </row>
    <row r="9049" spans="1:7">
      <c r="A9049" t="s">
        <v>1297</v>
      </c>
      <c r="B9049" t="s">
        <v>1298</v>
      </c>
      <c r="C9049" t="s">
        <v>676</v>
      </c>
      <c r="D9049" t="s">
        <v>1399</v>
      </c>
      <c r="E9049" t="s">
        <v>187</v>
      </c>
      <c r="F9049">
        <v>2010</v>
      </c>
      <c r="G9049">
        <v>10.484999999999999</v>
      </c>
    </row>
    <row r="9050" spans="1:7">
      <c r="A9050" t="s">
        <v>1297</v>
      </c>
      <c r="B9050" t="s">
        <v>1298</v>
      </c>
      <c r="C9050" t="s">
        <v>676</v>
      </c>
      <c r="D9050" t="s">
        <v>1399</v>
      </c>
      <c r="E9050" t="s">
        <v>187</v>
      </c>
      <c r="F9050">
        <v>2012</v>
      </c>
      <c r="G9050">
        <v>5.1559999999999997</v>
      </c>
    </row>
    <row r="9051" spans="1:7">
      <c r="A9051" t="s">
        <v>1297</v>
      </c>
      <c r="B9051" t="s">
        <v>1298</v>
      </c>
      <c r="C9051" t="s">
        <v>676</v>
      </c>
      <c r="D9051" t="s">
        <v>1399</v>
      </c>
      <c r="E9051" t="s">
        <v>187</v>
      </c>
      <c r="F9051">
        <v>2016</v>
      </c>
      <c r="G9051">
        <v>3.8879999999999999</v>
      </c>
    </row>
    <row r="9052" spans="1:7">
      <c r="A9052" t="s">
        <v>1297</v>
      </c>
      <c r="B9052" t="s">
        <v>1298</v>
      </c>
      <c r="C9052" t="s">
        <v>676</v>
      </c>
      <c r="D9052" t="s">
        <v>1399</v>
      </c>
      <c r="E9052" t="s">
        <v>187</v>
      </c>
      <c r="F9052">
        <v>2020</v>
      </c>
      <c r="G9052">
        <v>3.0659999999999998</v>
      </c>
    </row>
    <row r="9053" spans="1:7">
      <c r="A9053" t="s">
        <v>1297</v>
      </c>
      <c r="B9053" t="s">
        <v>1298</v>
      </c>
      <c r="C9053" t="s">
        <v>682</v>
      </c>
      <c r="D9053" t="s">
        <v>1399</v>
      </c>
      <c r="E9053" t="s">
        <v>187</v>
      </c>
      <c r="F9053">
        <v>2016</v>
      </c>
      <c r="G9053">
        <v>1.2669999999999999</v>
      </c>
    </row>
    <row r="9054" spans="1:7">
      <c r="A9054" t="s">
        <v>1297</v>
      </c>
      <c r="B9054" t="s">
        <v>1298</v>
      </c>
      <c r="C9054" t="s">
        <v>682</v>
      </c>
      <c r="D9054" t="s">
        <v>1399</v>
      </c>
      <c r="E9054" t="s">
        <v>187</v>
      </c>
      <c r="F9054">
        <v>2020</v>
      </c>
      <c r="G9054">
        <v>1.202</v>
      </c>
    </row>
    <row r="9055" spans="1:7">
      <c r="A9055" t="s">
        <v>1297</v>
      </c>
      <c r="B9055" t="s">
        <v>1298</v>
      </c>
      <c r="C9055" t="s">
        <v>666</v>
      </c>
      <c r="D9055" t="s">
        <v>1399</v>
      </c>
      <c r="E9055" t="s">
        <v>187</v>
      </c>
      <c r="F9055">
        <v>2005</v>
      </c>
      <c r="G9055">
        <v>7.9909999999999997</v>
      </c>
    </row>
    <row r="9056" spans="1:7">
      <c r="A9056" t="s">
        <v>1297</v>
      </c>
      <c r="B9056" t="s">
        <v>1298</v>
      </c>
      <c r="C9056" t="s">
        <v>666</v>
      </c>
      <c r="D9056" t="s">
        <v>1399</v>
      </c>
      <c r="E9056" t="s">
        <v>187</v>
      </c>
      <c r="F9056">
        <v>2010</v>
      </c>
      <c r="G9056">
        <v>8.5969999999999995</v>
      </c>
    </row>
    <row r="9057" spans="1:7">
      <c r="A9057" t="s">
        <v>1297</v>
      </c>
      <c r="B9057" t="s">
        <v>1298</v>
      </c>
      <c r="C9057" t="s">
        <v>666</v>
      </c>
      <c r="D9057" t="s">
        <v>1399</v>
      </c>
      <c r="E9057" t="s">
        <v>187</v>
      </c>
      <c r="F9057">
        <v>2012</v>
      </c>
      <c r="G9057">
        <v>8.3559999999999999</v>
      </c>
    </row>
    <row r="9058" spans="1:7">
      <c r="A9058" t="s">
        <v>1297</v>
      </c>
      <c r="B9058" t="s">
        <v>1298</v>
      </c>
      <c r="C9058" t="s">
        <v>666</v>
      </c>
      <c r="D9058" t="s">
        <v>1399</v>
      </c>
      <c r="E9058" t="s">
        <v>187</v>
      </c>
      <c r="F9058">
        <v>2016</v>
      </c>
      <c r="G9058">
        <v>7.2729999999999997</v>
      </c>
    </row>
    <row r="9059" spans="1:7">
      <c r="A9059" t="s">
        <v>1297</v>
      </c>
      <c r="B9059" t="s">
        <v>1298</v>
      </c>
      <c r="C9059" t="s">
        <v>666</v>
      </c>
      <c r="D9059" t="s">
        <v>1399</v>
      </c>
      <c r="E9059" t="s">
        <v>187</v>
      </c>
      <c r="F9059">
        <v>2020</v>
      </c>
      <c r="G9059">
        <v>7.3319999999999999</v>
      </c>
    </row>
    <row r="9060" spans="1:7">
      <c r="A9060" t="s">
        <v>1297</v>
      </c>
      <c r="B9060" t="s">
        <v>1298</v>
      </c>
      <c r="C9060" t="s">
        <v>673</v>
      </c>
      <c r="D9060" t="s">
        <v>1399</v>
      </c>
      <c r="E9060" t="s">
        <v>187</v>
      </c>
      <c r="F9060">
        <v>2005</v>
      </c>
      <c r="G9060">
        <v>12.054</v>
      </c>
    </row>
    <row r="9061" spans="1:7">
      <c r="A9061" t="s">
        <v>1297</v>
      </c>
      <c r="B9061" t="s">
        <v>1298</v>
      </c>
      <c r="C9061" t="s">
        <v>673</v>
      </c>
      <c r="D9061" t="s">
        <v>1399</v>
      </c>
      <c r="E9061" t="s">
        <v>187</v>
      </c>
      <c r="F9061">
        <v>2010</v>
      </c>
      <c r="G9061">
        <v>8.9629999999999992</v>
      </c>
    </row>
    <row r="9062" spans="1:7">
      <c r="A9062" t="s">
        <v>1297</v>
      </c>
      <c r="B9062" t="s">
        <v>1298</v>
      </c>
      <c r="C9062" t="s">
        <v>673</v>
      </c>
      <c r="D9062" t="s">
        <v>1399</v>
      </c>
      <c r="E9062" t="s">
        <v>187</v>
      </c>
      <c r="F9062">
        <v>2012</v>
      </c>
      <c r="G9062">
        <v>9.8089999999999993</v>
      </c>
    </row>
    <row r="9063" spans="1:7">
      <c r="A9063" t="s">
        <v>1297</v>
      </c>
      <c r="B9063" t="s">
        <v>1298</v>
      </c>
      <c r="C9063" t="s">
        <v>673</v>
      </c>
      <c r="D9063" t="s">
        <v>1399</v>
      </c>
      <c r="E9063" t="s">
        <v>187</v>
      </c>
      <c r="F9063">
        <v>2016</v>
      </c>
      <c r="G9063">
        <v>8.0180000000000007</v>
      </c>
    </row>
    <row r="9064" spans="1:7">
      <c r="A9064" t="s">
        <v>1297</v>
      </c>
      <c r="B9064" t="s">
        <v>1298</v>
      </c>
      <c r="C9064" t="s">
        <v>673</v>
      </c>
      <c r="D9064" t="s">
        <v>1399</v>
      </c>
      <c r="E9064" t="s">
        <v>187</v>
      </c>
      <c r="F9064">
        <v>2020</v>
      </c>
      <c r="G9064">
        <v>6.2021069999999998</v>
      </c>
    </row>
    <row r="9065" spans="1:7">
      <c r="A9065" t="s">
        <v>1297</v>
      </c>
      <c r="B9065" t="s">
        <v>1298</v>
      </c>
      <c r="C9065" t="s">
        <v>686</v>
      </c>
      <c r="D9065" t="s">
        <v>1399</v>
      </c>
      <c r="E9065" t="s">
        <v>187</v>
      </c>
      <c r="F9065">
        <v>2005</v>
      </c>
      <c r="G9065">
        <v>3.0569999999999999</v>
      </c>
    </row>
    <row r="9066" spans="1:7">
      <c r="A9066" t="s">
        <v>1297</v>
      </c>
      <c r="B9066" t="s">
        <v>1298</v>
      </c>
      <c r="C9066" t="s">
        <v>686</v>
      </c>
      <c r="D9066" t="s">
        <v>1399</v>
      </c>
      <c r="E9066" t="s">
        <v>187</v>
      </c>
      <c r="F9066">
        <v>2010</v>
      </c>
      <c r="G9066">
        <v>3.8380000000000001</v>
      </c>
    </row>
    <row r="9067" spans="1:7">
      <c r="A9067" t="s">
        <v>1297</v>
      </c>
      <c r="B9067" t="s">
        <v>1298</v>
      </c>
      <c r="C9067" t="s">
        <v>686</v>
      </c>
      <c r="D9067" t="s">
        <v>1399</v>
      </c>
      <c r="E9067" t="s">
        <v>187</v>
      </c>
      <c r="F9067">
        <v>2012</v>
      </c>
      <c r="G9067">
        <v>3.2679999999999998</v>
      </c>
    </row>
    <row r="9068" spans="1:7">
      <c r="A9068" t="s">
        <v>1297</v>
      </c>
      <c r="B9068" t="s">
        <v>1298</v>
      </c>
      <c r="C9068" t="s">
        <v>686</v>
      </c>
      <c r="D9068" t="s">
        <v>1399</v>
      </c>
      <c r="E9068" t="s">
        <v>187</v>
      </c>
      <c r="F9068">
        <v>2016</v>
      </c>
      <c r="G9068">
        <v>5.2619999999999996</v>
      </c>
    </row>
    <row r="9069" spans="1:7">
      <c r="A9069" t="s">
        <v>1297</v>
      </c>
      <c r="B9069" t="s">
        <v>1298</v>
      </c>
      <c r="C9069" t="s">
        <v>686</v>
      </c>
      <c r="D9069" t="s">
        <v>1399</v>
      </c>
      <c r="E9069" t="s">
        <v>187</v>
      </c>
      <c r="F9069">
        <v>2020</v>
      </c>
      <c r="G9069">
        <v>4.5978779999999997</v>
      </c>
    </row>
    <row r="9070" spans="1:7">
      <c r="A9070" t="s">
        <v>1297</v>
      </c>
      <c r="B9070" t="s">
        <v>1298</v>
      </c>
      <c r="C9070" t="s">
        <v>667</v>
      </c>
      <c r="D9070" t="s">
        <v>1399</v>
      </c>
      <c r="E9070" t="s">
        <v>187</v>
      </c>
      <c r="F9070">
        <v>2005</v>
      </c>
      <c r="G9070">
        <v>2.552508</v>
      </c>
    </row>
    <row r="9071" spans="1:7">
      <c r="A9071" t="s">
        <v>1297</v>
      </c>
      <c r="B9071" t="s">
        <v>1298</v>
      </c>
      <c r="C9071" t="s">
        <v>667</v>
      </c>
      <c r="D9071" t="s">
        <v>1399</v>
      </c>
      <c r="E9071" t="s">
        <v>187</v>
      </c>
      <c r="F9071">
        <v>2010</v>
      </c>
      <c r="G9071">
        <v>2.4323299999999999</v>
      </c>
    </row>
    <row r="9072" spans="1:7">
      <c r="A9072" t="s">
        <v>1297</v>
      </c>
      <c r="B9072" t="s">
        <v>1298</v>
      </c>
      <c r="C9072" t="s">
        <v>667</v>
      </c>
      <c r="D9072" t="s">
        <v>1399</v>
      </c>
      <c r="E9072" t="s">
        <v>187</v>
      </c>
      <c r="F9072">
        <v>2012</v>
      </c>
      <c r="G9072">
        <v>2.4270399999999999</v>
      </c>
    </row>
    <row r="9073" spans="1:7">
      <c r="A9073" t="s">
        <v>1297</v>
      </c>
      <c r="B9073" t="s">
        <v>1298</v>
      </c>
      <c r="C9073" t="s">
        <v>667</v>
      </c>
      <c r="D9073" t="s">
        <v>1399</v>
      </c>
      <c r="E9073" t="s">
        <v>187</v>
      </c>
      <c r="F9073">
        <v>2016</v>
      </c>
      <c r="G9073">
        <v>2.1801089999999999</v>
      </c>
    </row>
    <row r="9074" spans="1:7">
      <c r="A9074" t="s">
        <v>1297</v>
      </c>
      <c r="B9074" t="s">
        <v>1298</v>
      </c>
      <c r="C9074" t="s">
        <v>667</v>
      </c>
      <c r="D9074" t="s">
        <v>1399</v>
      </c>
      <c r="E9074" t="s">
        <v>187</v>
      </c>
      <c r="F9074">
        <v>2020</v>
      </c>
      <c r="G9074">
        <v>3.5527850000000001</v>
      </c>
    </row>
    <row r="9075" spans="1:7">
      <c r="A9075" t="s">
        <v>1297</v>
      </c>
      <c r="B9075" t="s">
        <v>1298</v>
      </c>
      <c r="C9075" t="s">
        <v>660</v>
      </c>
      <c r="D9075" t="s">
        <v>1399</v>
      </c>
      <c r="E9075" t="s">
        <v>187</v>
      </c>
      <c r="F9075">
        <v>2005</v>
      </c>
      <c r="G9075">
        <v>36.176000000000002</v>
      </c>
    </row>
    <row r="9076" spans="1:7">
      <c r="A9076" t="s">
        <v>1297</v>
      </c>
      <c r="B9076" t="s">
        <v>1298</v>
      </c>
      <c r="C9076" t="s">
        <v>660</v>
      </c>
      <c r="D9076" t="s">
        <v>1399</v>
      </c>
      <c r="E9076" t="s">
        <v>187</v>
      </c>
      <c r="F9076">
        <v>2010</v>
      </c>
      <c r="G9076">
        <v>47.015999999999998</v>
      </c>
    </row>
    <row r="9077" spans="1:7">
      <c r="A9077" t="s">
        <v>1297</v>
      </c>
      <c r="B9077" t="s">
        <v>1298</v>
      </c>
      <c r="C9077" t="s">
        <v>660</v>
      </c>
      <c r="D9077" t="s">
        <v>1399</v>
      </c>
      <c r="E9077" t="s">
        <v>187</v>
      </c>
      <c r="F9077">
        <v>2012</v>
      </c>
      <c r="G9077">
        <v>44.442999999999998</v>
      </c>
    </row>
    <row r="9078" spans="1:7">
      <c r="A9078" t="s">
        <v>1297</v>
      </c>
      <c r="B9078" t="s">
        <v>1298</v>
      </c>
      <c r="C9078" t="s">
        <v>660</v>
      </c>
      <c r="D9078" t="s">
        <v>1399</v>
      </c>
      <c r="E9078" t="s">
        <v>187</v>
      </c>
      <c r="F9078">
        <v>2016</v>
      </c>
      <c r="G9078">
        <v>41.27</v>
      </c>
    </row>
    <row r="9079" spans="1:7">
      <c r="A9079" t="s">
        <v>1297</v>
      </c>
      <c r="B9079" t="s">
        <v>1298</v>
      </c>
      <c r="C9079" t="s">
        <v>660</v>
      </c>
      <c r="D9079" t="s">
        <v>1399</v>
      </c>
      <c r="E9079" t="s">
        <v>187</v>
      </c>
      <c r="F9079">
        <v>2020</v>
      </c>
      <c r="G9079">
        <v>43.823999999999998</v>
      </c>
    </row>
    <row r="9080" spans="1:7">
      <c r="A9080" t="s">
        <v>1297</v>
      </c>
      <c r="B9080" t="s">
        <v>1298</v>
      </c>
      <c r="C9080" t="s">
        <v>662</v>
      </c>
      <c r="D9080" t="s">
        <v>1399</v>
      </c>
      <c r="E9080" t="s">
        <v>187</v>
      </c>
      <c r="F9080">
        <v>2012</v>
      </c>
      <c r="G9080">
        <v>2E-3</v>
      </c>
    </row>
    <row r="9081" spans="1:7">
      <c r="A9081" t="s">
        <v>1297</v>
      </c>
      <c r="B9081" t="s">
        <v>1298</v>
      </c>
      <c r="C9081" t="s">
        <v>669</v>
      </c>
      <c r="D9081" t="s">
        <v>1399</v>
      </c>
      <c r="E9081" t="s">
        <v>187</v>
      </c>
      <c r="F9081">
        <v>2012</v>
      </c>
      <c r="G9081">
        <v>8.0000000000000002E-3</v>
      </c>
    </row>
    <row r="9082" spans="1:7">
      <c r="A9082" t="s">
        <v>1297</v>
      </c>
      <c r="B9082" t="s">
        <v>1298</v>
      </c>
      <c r="C9082" t="s">
        <v>669</v>
      </c>
      <c r="D9082" t="s">
        <v>1399</v>
      </c>
      <c r="E9082" t="s">
        <v>187</v>
      </c>
      <c r="F9082">
        <v>2016</v>
      </c>
      <c r="G9082">
        <v>3.0000000000000001E-3</v>
      </c>
    </row>
    <row r="9083" spans="1:7">
      <c r="A9083" t="s">
        <v>1297</v>
      </c>
      <c r="B9083" t="s">
        <v>1298</v>
      </c>
      <c r="C9083" t="s">
        <v>669</v>
      </c>
      <c r="D9083" t="s">
        <v>1399</v>
      </c>
      <c r="E9083" t="s">
        <v>187</v>
      </c>
      <c r="F9083">
        <v>2020</v>
      </c>
      <c r="G9083">
        <v>8.8099999999999995E-4</v>
      </c>
    </row>
    <row r="9084" spans="1:7">
      <c r="A9084" t="s">
        <v>1297</v>
      </c>
      <c r="B9084" t="s">
        <v>1298</v>
      </c>
      <c r="C9084" t="s">
        <v>672</v>
      </c>
      <c r="D9084" t="s">
        <v>1399</v>
      </c>
      <c r="E9084" t="s">
        <v>187</v>
      </c>
      <c r="F9084">
        <v>2005</v>
      </c>
      <c r="G9084">
        <v>0.47499999999999998</v>
      </c>
    </row>
    <row r="9085" spans="1:7">
      <c r="A9085" t="s">
        <v>1297</v>
      </c>
      <c r="B9085" t="s">
        <v>1298</v>
      </c>
      <c r="C9085" t="s">
        <v>672</v>
      </c>
      <c r="D9085" t="s">
        <v>1399</v>
      </c>
      <c r="E9085" t="s">
        <v>187</v>
      </c>
      <c r="F9085">
        <v>2010</v>
      </c>
      <c r="G9085">
        <v>0.71</v>
      </c>
    </row>
    <row r="9086" spans="1:7">
      <c r="A9086" t="s">
        <v>1297</v>
      </c>
      <c r="B9086" t="s">
        <v>1298</v>
      </c>
      <c r="C9086" t="s">
        <v>672</v>
      </c>
      <c r="D9086" t="s">
        <v>1399</v>
      </c>
      <c r="E9086" t="s">
        <v>187</v>
      </c>
      <c r="F9086">
        <v>2012</v>
      </c>
      <c r="G9086">
        <v>1.028</v>
      </c>
    </row>
    <row r="9087" spans="1:7">
      <c r="A9087" t="s">
        <v>1297</v>
      </c>
      <c r="B9087" t="s">
        <v>1298</v>
      </c>
      <c r="C9087" t="s">
        <v>672</v>
      </c>
      <c r="D9087" t="s">
        <v>1399</v>
      </c>
      <c r="E9087" t="s">
        <v>187</v>
      </c>
      <c r="F9087">
        <v>2016</v>
      </c>
      <c r="G9087">
        <v>0.95599999999999996</v>
      </c>
    </row>
    <row r="9088" spans="1:7">
      <c r="A9088" t="s">
        <v>1297</v>
      </c>
      <c r="B9088" t="s">
        <v>1298</v>
      </c>
      <c r="C9088" t="s">
        <v>672</v>
      </c>
      <c r="D9088" t="s">
        <v>1399</v>
      </c>
      <c r="E9088" t="s">
        <v>187</v>
      </c>
      <c r="F9088">
        <v>2020</v>
      </c>
      <c r="G9088">
        <v>0.99962300000000004</v>
      </c>
    </row>
    <row r="9089" spans="1:7">
      <c r="A9089" t="s">
        <v>1297</v>
      </c>
      <c r="B9089" t="s">
        <v>1298</v>
      </c>
      <c r="C9089" t="s">
        <v>677</v>
      </c>
      <c r="D9089" t="s">
        <v>1399</v>
      </c>
      <c r="E9089" t="s">
        <v>187</v>
      </c>
      <c r="F9089">
        <v>2005</v>
      </c>
      <c r="G9089">
        <v>16.141999999999999</v>
      </c>
    </row>
    <row r="9090" spans="1:7">
      <c r="A9090" t="s">
        <v>1297</v>
      </c>
      <c r="B9090" t="s">
        <v>1298</v>
      </c>
      <c r="C9090" t="s">
        <v>677</v>
      </c>
      <c r="D9090" t="s">
        <v>1399</v>
      </c>
      <c r="E9090" t="s">
        <v>187</v>
      </c>
      <c r="F9090">
        <v>2010</v>
      </c>
      <c r="G9090">
        <v>16.425000000000001</v>
      </c>
    </row>
    <row r="9091" spans="1:7">
      <c r="A9091" t="s">
        <v>1297</v>
      </c>
      <c r="B9091" t="s">
        <v>1298</v>
      </c>
      <c r="C9091" t="s">
        <v>677</v>
      </c>
      <c r="D9091" t="s">
        <v>1399</v>
      </c>
      <c r="E9091" t="s">
        <v>187</v>
      </c>
      <c r="F9091">
        <v>2012</v>
      </c>
      <c r="G9091">
        <v>16.655000000000001</v>
      </c>
    </row>
    <row r="9092" spans="1:7">
      <c r="A9092" t="s">
        <v>1297</v>
      </c>
      <c r="B9092" t="s">
        <v>1298</v>
      </c>
      <c r="C9092" t="s">
        <v>677</v>
      </c>
      <c r="D9092" t="s">
        <v>1399</v>
      </c>
      <c r="E9092" t="s">
        <v>187</v>
      </c>
      <c r="F9092">
        <v>2016</v>
      </c>
      <c r="G9092">
        <v>13.059939</v>
      </c>
    </row>
    <row r="9093" spans="1:7">
      <c r="A9093" t="s">
        <v>1297</v>
      </c>
      <c r="B9093" t="s">
        <v>1298</v>
      </c>
      <c r="C9093" t="s">
        <v>677</v>
      </c>
      <c r="D9093" t="s">
        <v>1399</v>
      </c>
      <c r="E9093" t="s">
        <v>187</v>
      </c>
      <c r="F9093">
        <v>2020</v>
      </c>
      <c r="G9093">
        <v>12.490802</v>
      </c>
    </row>
    <row r="9094" spans="1:7">
      <c r="A9094" t="s">
        <v>1297</v>
      </c>
      <c r="B9094" t="s">
        <v>1298</v>
      </c>
      <c r="C9094" t="s">
        <v>674</v>
      </c>
      <c r="D9094" t="s">
        <v>1399</v>
      </c>
      <c r="E9094" t="s">
        <v>187</v>
      </c>
      <c r="F9094">
        <v>2005</v>
      </c>
      <c r="G9094">
        <v>53.351999999999997</v>
      </c>
    </row>
    <row r="9095" spans="1:7">
      <c r="A9095" t="s">
        <v>1297</v>
      </c>
      <c r="B9095" t="s">
        <v>1298</v>
      </c>
      <c r="C9095" t="s">
        <v>674</v>
      </c>
      <c r="D9095" t="s">
        <v>1399</v>
      </c>
      <c r="E9095" t="s">
        <v>187</v>
      </c>
      <c r="F9095">
        <v>2010</v>
      </c>
      <c r="G9095">
        <v>60.777000000000001</v>
      </c>
    </row>
    <row r="9096" spans="1:7">
      <c r="A9096" t="s">
        <v>1297</v>
      </c>
      <c r="B9096" t="s">
        <v>1298</v>
      </c>
      <c r="C9096" t="s">
        <v>674</v>
      </c>
      <c r="D9096" t="s">
        <v>1399</v>
      </c>
      <c r="E9096" t="s">
        <v>187</v>
      </c>
      <c r="F9096">
        <v>2012</v>
      </c>
      <c r="G9096">
        <v>56.555</v>
      </c>
    </row>
    <row r="9097" spans="1:7">
      <c r="A9097" t="s">
        <v>1297</v>
      </c>
      <c r="B9097" t="s">
        <v>1298</v>
      </c>
      <c r="C9097" t="s">
        <v>674</v>
      </c>
      <c r="D9097" t="s">
        <v>1399</v>
      </c>
      <c r="E9097" t="s">
        <v>187</v>
      </c>
      <c r="F9097">
        <v>2016</v>
      </c>
      <c r="G9097">
        <v>55.076000000000001</v>
      </c>
    </row>
    <row r="9098" spans="1:7">
      <c r="A9098" t="s">
        <v>1297</v>
      </c>
      <c r="B9098" t="s">
        <v>1298</v>
      </c>
      <c r="C9098" t="s">
        <v>674</v>
      </c>
      <c r="D9098" t="s">
        <v>1399</v>
      </c>
      <c r="E9098" t="s">
        <v>187</v>
      </c>
      <c r="F9098">
        <v>2020</v>
      </c>
      <c r="G9098">
        <v>52.387</v>
      </c>
    </row>
    <row r="9099" spans="1:7">
      <c r="A9099" t="s">
        <v>1297</v>
      </c>
      <c r="B9099" t="s">
        <v>1298</v>
      </c>
      <c r="C9099" t="s">
        <v>652</v>
      </c>
      <c r="D9099" t="s">
        <v>1399</v>
      </c>
      <c r="E9099" t="s">
        <v>187</v>
      </c>
      <c r="F9099">
        <v>2005</v>
      </c>
      <c r="G9099">
        <v>0.54900000000000004</v>
      </c>
    </row>
    <row r="9100" spans="1:7">
      <c r="A9100" t="s">
        <v>1297</v>
      </c>
      <c r="B9100" t="s">
        <v>1298</v>
      </c>
      <c r="C9100" t="s">
        <v>652</v>
      </c>
      <c r="D9100" t="s">
        <v>1399</v>
      </c>
      <c r="E9100" t="s">
        <v>187</v>
      </c>
      <c r="F9100">
        <v>2010</v>
      </c>
      <c r="G9100">
        <v>2.0634000000000001</v>
      </c>
    </row>
    <row r="9101" spans="1:7">
      <c r="A9101" t="s">
        <v>1297</v>
      </c>
      <c r="B9101" t="s">
        <v>1298</v>
      </c>
      <c r="C9101" t="s">
        <v>652</v>
      </c>
      <c r="D9101" t="s">
        <v>1399</v>
      </c>
      <c r="E9101" t="s">
        <v>187</v>
      </c>
      <c r="F9101">
        <v>2012</v>
      </c>
      <c r="G9101">
        <v>1.5920000000000001</v>
      </c>
    </row>
    <row r="9102" spans="1:7">
      <c r="A9102" t="s">
        <v>1297</v>
      </c>
      <c r="B9102" t="s">
        <v>1298</v>
      </c>
      <c r="C9102" t="s">
        <v>652</v>
      </c>
      <c r="D9102" t="s">
        <v>1399</v>
      </c>
      <c r="E9102" t="s">
        <v>187</v>
      </c>
      <c r="F9102">
        <v>2016</v>
      </c>
      <c r="G9102">
        <v>2.4207999999999998</v>
      </c>
    </row>
    <row r="9103" spans="1:7">
      <c r="A9103" t="s">
        <v>1297</v>
      </c>
      <c r="B9103" t="s">
        <v>1298</v>
      </c>
      <c r="C9103" t="s">
        <v>652</v>
      </c>
      <c r="D9103" t="s">
        <v>1399</v>
      </c>
      <c r="E9103" t="s">
        <v>187</v>
      </c>
      <c r="F9103">
        <v>2020</v>
      </c>
      <c r="G9103">
        <v>1.9762</v>
      </c>
    </row>
    <row r="9104" spans="1:7">
      <c r="A9104" t="s">
        <v>1297</v>
      </c>
      <c r="B9104" t="s">
        <v>1298</v>
      </c>
      <c r="C9104" t="s">
        <v>671</v>
      </c>
      <c r="D9104" t="s">
        <v>1399</v>
      </c>
      <c r="E9104" t="s">
        <v>187</v>
      </c>
      <c r="F9104">
        <v>2005</v>
      </c>
      <c r="G9104">
        <v>39.359000000000002</v>
      </c>
    </row>
    <row r="9105" spans="1:7">
      <c r="A9105" t="s">
        <v>1297</v>
      </c>
      <c r="B9105" t="s">
        <v>1298</v>
      </c>
      <c r="C9105" t="s">
        <v>671</v>
      </c>
      <c r="D9105" t="s">
        <v>1399</v>
      </c>
      <c r="E9105" t="s">
        <v>187</v>
      </c>
      <c r="F9105">
        <v>2010</v>
      </c>
      <c r="G9105">
        <v>49.959000000000003</v>
      </c>
    </row>
    <row r="9106" spans="1:7">
      <c r="A9106" t="s">
        <v>1297</v>
      </c>
      <c r="B9106" t="s">
        <v>1298</v>
      </c>
      <c r="C9106" t="s">
        <v>671</v>
      </c>
      <c r="D9106" t="s">
        <v>1399</v>
      </c>
      <c r="E9106" t="s">
        <v>187</v>
      </c>
      <c r="F9106">
        <v>2012</v>
      </c>
      <c r="G9106">
        <v>43.182000000000002</v>
      </c>
    </row>
    <row r="9107" spans="1:7">
      <c r="A9107" t="s">
        <v>1297</v>
      </c>
      <c r="B9107" t="s">
        <v>1298</v>
      </c>
      <c r="C9107" t="s">
        <v>671</v>
      </c>
      <c r="D9107" t="s">
        <v>1399</v>
      </c>
      <c r="E9107" t="s">
        <v>187</v>
      </c>
      <c r="F9107">
        <v>2016</v>
      </c>
      <c r="G9107">
        <v>44.786000000000001</v>
      </c>
    </row>
    <row r="9108" spans="1:7">
      <c r="A9108" t="s">
        <v>1297</v>
      </c>
      <c r="B9108" t="s">
        <v>1298</v>
      </c>
      <c r="C9108" t="s">
        <v>671</v>
      </c>
      <c r="D9108" t="s">
        <v>1399</v>
      </c>
      <c r="E9108" t="s">
        <v>187</v>
      </c>
      <c r="F9108">
        <v>2020</v>
      </c>
      <c r="G9108">
        <v>44.431437000000003</v>
      </c>
    </row>
    <row r="9109" spans="1:7">
      <c r="A9109" t="s">
        <v>1297</v>
      </c>
      <c r="B9109" t="s">
        <v>1298</v>
      </c>
      <c r="C9109" t="s">
        <v>661</v>
      </c>
      <c r="D9109" t="s">
        <v>1399</v>
      </c>
      <c r="E9109" t="s">
        <v>187</v>
      </c>
      <c r="F9109">
        <v>2010</v>
      </c>
      <c r="G9109">
        <v>31.658868999999999</v>
      </c>
    </row>
    <row r="9110" spans="1:7">
      <c r="A9110" t="s">
        <v>1297</v>
      </c>
      <c r="B9110" t="s">
        <v>1298</v>
      </c>
      <c r="C9110" t="s">
        <v>661</v>
      </c>
      <c r="D9110" t="s">
        <v>1399</v>
      </c>
      <c r="E9110" t="s">
        <v>187</v>
      </c>
      <c r="F9110">
        <v>2012</v>
      </c>
      <c r="G9110">
        <v>27.38777</v>
      </c>
    </row>
    <row r="9111" spans="1:7">
      <c r="A9111" t="s">
        <v>1297</v>
      </c>
      <c r="B9111" t="s">
        <v>1298</v>
      </c>
      <c r="C9111" t="s">
        <v>661</v>
      </c>
      <c r="D9111" t="s">
        <v>1399</v>
      </c>
      <c r="E9111" t="s">
        <v>187</v>
      </c>
      <c r="F9111">
        <v>2016</v>
      </c>
      <c r="G9111">
        <v>32.589038000000002</v>
      </c>
    </row>
    <row r="9112" spans="1:7">
      <c r="A9112" t="s">
        <v>1297</v>
      </c>
      <c r="B9112" t="s">
        <v>1298</v>
      </c>
      <c r="C9112" t="s">
        <v>661</v>
      </c>
      <c r="D9112" t="s">
        <v>1399</v>
      </c>
      <c r="E9112" t="s">
        <v>187</v>
      </c>
      <c r="F9112">
        <v>2020</v>
      </c>
      <c r="G9112">
        <v>33.478498999999999</v>
      </c>
    </row>
    <row r="9113" spans="1:7">
      <c r="A9113" t="s">
        <v>1297</v>
      </c>
      <c r="B9113" t="s">
        <v>1298</v>
      </c>
      <c r="C9113" t="s">
        <v>685</v>
      </c>
      <c r="D9113" t="s">
        <v>1399</v>
      </c>
      <c r="E9113" t="s">
        <v>187</v>
      </c>
      <c r="F9113">
        <v>2005</v>
      </c>
      <c r="G9113">
        <v>0.79600000000000004</v>
      </c>
    </row>
    <row r="9114" spans="1:7">
      <c r="A9114" t="s">
        <v>1297</v>
      </c>
      <c r="B9114" t="s">
        <v>1298</v>
      </c>
      <c r="C9114" t="s">
        <v>685</v>
      </c>
      <c r="D9114" t="s">
        <v>1399</v>
      </c>
      <c r="E9114" t="s">
        <v>187</v>
      </c>
      <c r="F9114">
        <v>2010</v>
      </c>
      <c r="G9114">
        <v>0.53200000000000003</v>
      </c>
    </row>
    <row r="9115" spans="1:7">
      <c r="A9115" t="s">
        <v>1297</v>
      </c>
      <c r="B9115" t="s">
        <v>1298</v>
      </c>
      <c r="C9115" t="s">
        <v>685</v>
      </c>
      <c r="D9115" t="s">
        <v>1399</v>
      </c>
      <c r="E9115" t="s">
        <v>187</v>
      </c>
      <c r="F9115">
        <v>2012</v>
      </c>
      <c r="G9115">
        <v>0.61499999999999999</v>
      </c>
    </row>
    <row r="9116" spans="1:7">
      <c r="A9116" t="s">
        <v>1297</v>
      </c>
      <c r="B9116" t="s">
        <v>1298</v>
      </c>
      <c r="C9116" t="s">
        <v>685</v>
      </c>
      <c r="D9116" t="s">
        <v>1399</v>
      </c>
      <c r="E9116" t="s">
        <v>187</v>
      </c>
      <c r="F9116">
        <v>2016</v>
      </c>
      <c r="G9116">
        <v>0.49486200000000002</v>
      </c>
    </row>
    <row r="9117" spans="1:7">
      <c r="A9117" t="s">
        <v>1297</v>
      </c>
      <c r="B9117" t="s">
        <v>1298</v>
      </c>
      <c r="C9117" t="s">
        <v>685</v>
      </c>
      <c r="D9117" t="s">
        <v>1399</v>
      </c>
      <c r="E9117" t="s">
        <v>187</v>
      </c>
      <c r="F9117">
        <v>2020</v>
      </c>
      <c r="G9117">
        <v>0.46428900000000001</v>
      </c>
    </row>
    <row r="9118" spans="1:7">
      <c r="A9118" t="s">
        <v>1297</v>
      </c>
      <c r="B9118" t="s">
        <v>1298</v>
      </c>
      <c r="C9118" t="s">
        <v>651</v>
      </c>
      <c r="D9118" t="s">
        <v>1399</v>
      </c>
      <c r="E9118" t="s">
        <v>187</v>
      </c>
      <c r="F9118">
        <v>2005</v>
      </c>
      <c r="G9118">
        <v>23.013116</v>
      </c>
    </row>
    <row r="9119" spans="1:7">
      <c r="A9119" t="s">
        <v>1297</v>
      </c>
      <c r="B9119" t="s">
        <v>1298</v>
      </c>
      <c r="C9119" t="s">
        <v>651</v>
      </c>
      <c r="D9119" t="s">
        <v>1399</v>
      </c>
      <c r="E9119" t="s">
        <v>187</v>
      </c>
      <c r="F9119">
        <v>2010</v>
      </c>
      <c r="G9119">
        <v>30.391369999999998</v>
      </c>
    </row>
    <row r="9120" spans="1:7">
      <c r="A9120" t="s">
        <v>1297</v>
      </c>
      <c r="B9120" t="s">
        <v>1298</v>
      </c>
      <c r="C9120" t="s">
        <v>651</v>
      </c>
      <c r="D9120" t="s">
        <v>1399</v>
      </c>
      <c r="E9120" t="s">
        <v>187</v>
      </c>
      <c r="F9120">
        <v>2012</v>
      </c>
      <c r="G9120">
        <v>30.862069999999999</v>
      </c>
    </row>
    <row r="9121" spans="1:7">
      <c r="A9121" t="s">
        <v>1297</v>
      </c>
      <c r="B9121" t="s">
        <v>1298</v>
      </c>
      <c r="C9121" t="s">
        <v>651</v>
      </c>
      <c r="D9121" t="s">
        <v>1399</v>
      </c>
      <c r="E9121" t="s">
        <v>187</v>
      </c>
      <c r="F9121">
        <v>2016</v>
      </c>
      <c r="G9121">
        <v>29.231774000000001</v>
      </c>
    </row>
    <row r="9122" spans="1:7">
      <c r="A9122" t="s">
        <v>1297</v>
      </c>
      <c r="B9122" t="s">
        <v>1298</v>
      </c>
      <c r="C9122" t="s">
        <v>651</v>
      </c>
      <c r="D9122" t="s">
        <v>1399</v>
      </c>
      <c r="E9122" t="s">
        <v>187</v>
      </c>
      <c r="F9122">
        <v>2020</v>
      </c>
      <c r="G9122">
        <v>28.902597</v>
      </c>
    </row>
    <row r="9123" spans="1:7">
      <c r="A9123" t="s">
        <v>1297</v>
      </c>
      <c r="B9123" t="s">
        <v>1298</v>
      </c>
      <c r="C9123" t="s">
        <v>656</v>
      </c>
      <c r="D9123" t="s">
        <v>1399</v>
      </c>
      <c r="E9123" t="s">
        <v>187</v>
      </c>
      <c r="F9123">
        <v>2005</v>
      </c>
      <c r="G9123">
        <v>108.739</v>
      </c>
    </row>
    <row r="9124" spans="1:7">
      <c r="A9124" t="s">
        <v>1297</v>
      </c>
      <c r="B9124" t="s">
        <v>1298</v>
      </c>
      <c r="C9124" t="s">
        <v>670</v>
      </c>
      <c r="D9124" t="s">
        <v>1399</v>
      </c>
      <c r="E9124" t="s">
        <v>187</v>
      </c>
      <c r="F9124">
        <v>2005</v>
      </c>
      <c r="G9124">
        <v>10</v>
      </c>
    </row>
    <row r="9125" spans="1:7">
      <c r="A9125" t="s">
        <v>1297</v>
      </c>
      <c r="B9125" t="s">
        <v>1298</v>
      </c>
      <c r="C9125" t="s">
        <v>658</v>
      </c>
      <c r="D9125" t="s">
        <v>1399</v>
      </c>
      <c r="E9125" t="s">
        <v>187</v>
      </c>
      <c r="F9125">
        <v>2010</v>
      </c>
      <c r="G9125">
        <v>5.3890000000000002</v>
      </c>
    </row>
    <row r="9126" spans="1:7">
      <c r="A9126" t="s">
        <v>1297</v>
      </c>
      <c r="B9126" t="s">
        <v>1298</v>
      </c>
      <c r="C9126" t="s">
        <v>658</v>
      </c>
      <c r="D9126" t="s">
        <v>1399</v>
      </c>
      <c r="E9126" t="s">
        <v>187</v>
      </c>
      <c r="F9126">
        <v>2012</v>
      </c>
      <c r="G9126">
        <v>4.7409999999999997</v>
      </c>
    </row>
    <row r="9127" spans="1:7">
      <c r="A9127" t="s">
        <v>1297</v>
      </c>
      <c r="B9127" t="s">
        <v>1298</v>
      </c>
      <c r="C9127" t="s">
        <v>658</v>
      </c>
      <c r="D9127" t="s">
        <v>1399</v>
      </c>
      <c r="E9127" t="s">
        <v>187</v>
      </c>
      <c r="F9127">
        <v>2016</v>
      </c>
      <c r="G9127">
        <v>5.0599999999999996</v>
      </c>
    </row>
    <row r="9128" spans="1:7">
      <c r="A9128" t="s">
        <v>1297</v>
      </c>
      <c r="B9128" t="s">
        <v>1298</v>
      </c>
      <c r="C9128" t="s">
        <v>658</v>
      </c>
      <c r="D9128" t="s">
        <v>1399</v>
      </c>
      <c r="E9128" t="s">
        <v>187</v>
      </c>
      <c r="F9128">
        <v>2020</v>
      </c>
      <c r="G9128">
        <v>4.3</v>
      </c>
    </row>
    <row r="9129" spans="1:7">
      <c r="A9129" t="s">
        <v>1297</v>
      </c>
      <c r="B9129" t="s">
        <v>1298</v>
      </c>
      <c r="C9129" t="s">
        <v>679</v>
      </c>
      <c r="D9129" t="s">
        <v>1399</v>
      </c>
      <c r="E9129" t="s">
        <v>187</v>
      </c>
      <c r="F9129">
        <v>2005</v>
      </c>
      <c r="G9129">
        <v>6.1109999999999998</v>
      </c>
    </row>
    <row r="9130" spans="1:7">
      <c r="A9130" t="s">
        <v>1297</v>
      </c>
      <c r="B9130" t="s">
        <v>1298</v>
      </c>
      <c r="C9130" t="s">
        <v>679</v>
      </c>
      <c r="D9130" t="s">
        <v>1399</v>
      </c>
      <c r="E9130" t="s">
        <v>187</v>
      </c>
      <c r="F9130">
        <v>2010</v>
      </c>
      <c r="G9130">
        <v>10.497999999999999</v>
      </c>
    </row>
    <row r="9131" spans="1:7">
      <c r="A9131" t="s">
        <v>1297</v>
      </c>
      <c r="B9131" t="s">
        <v>1298</v>
      </c>
      <c r="C9131" t="s">
        <v>679</v>
      </c>
      <c r="D9131" t="s">
        <v>1399</v>
      </c>
      <c r="E9131" t="s">
        <v>187</v>
      </c>
      <c r="F9131">
        <v>2012</v>
      </c>
      <c r="G9131">
        <v>10.638999999999999</v>
      </c>
    </row>
    <row r="9132" spans="1:7">
      <c r="A9132" t="s">
        <v>1297</v>
      </c>
      <c r="B9132" t="s">
        <v>1298</v>
      </c>
      <c r="C9132" t="s">
        <v>679</v>
      </c>
      <c r="D9132" t="s">
        <v>1399</v>
      </c>
      <c r="E9132" t="s">
        <v>187</v>
      </c>
      <c r="F9132">
        <v>2016</v>
      </c>
      <c r="G9132">
        <v>12.728999999999999</v>
      </c>
    </row>
    <row r="9133" spans="1:7">
      <c r="A9133" t="s">
        <v>1297</v>
      </c>
      <c r="B9133" t="s">
        <v>1298</v>
      </c>
      <c r="C9133" t="s">
        <v>679</v>
      </c>
      <c r="D9133" t="s">
        <v>1399</v>
      </c>
      <c r="E9133" t="s">
        <v>187</v>
      </c>
      <c r="F9133">
        <v>2020</v>
      </c>
      <c r="G9133">
        <v>13.667</v>
      </c>
    </row>
    <row r="9134" spans="1:7">
      <c r="A9134" t="s">
        <v>1297</v>
      </c>
      <c r="B9134" t="s">
        <v>1298</v>
      </c>
      <c r="C9134" t="s">
        <v>663</v>
      </c>
      <c r="D9134" t="s">
        <v>1399</v>
      </c>
      <c r="E9134" t="s">
        <v>187</v>
      </c>
      <c r="F9134">
        <v>2005</v>
      </c>
      <c r="G9134">
        <v>9.5609999999999999</v>
      </c>
    </row>
    <row r="9135" spans="1:7">
      <c r="A9135" t="s">
        <v>1297</v>
      </c>
      <c r="B9135" t="s">
        <v>1298</v>
      </c>
      <c r="C9135" t="s">
        <v>663</v>
      </c>
      <c r="D9135" t="s">
        <v>1399</v>
      </c>
      <c r="E9135" t="s">
        <v>187</v>
      </c>
      <c r="F9135">
        <v>2010</v>
      </c>
      <c r="G9135">
        <v>9.1820000000000004</v>
      </c>
    </row>
    <row r="9136" spans="1:7">
      <c r="A9136" t="s">
        <v>1297</v>
      </c>
      <c r="B9136" t="s">
        <v>1298</v>
      </c>
      <c r="C9136" t="s">
        <v>663</v>
      </c>
      <c r="D9136" t="s">
        <v>1399</v>
      </c>
      <c r="E9136" t="s">
        <v>187</v>
      </c>
      <c r="F9136">
        <v>2012</v>
      </c>
      <c r="G9136">
        <v>6.0910000000000002</v>
      </c>
    </row>
    <row r="9137" spans="1:7">
      <c r="A9137" t="s">
        <v>1297</v>
      </c>
      <c r="B9137" t="s">
        <v>1298</v>
      </c>
      <c r="C9137" t="s">
        <v>663</v>
      </c>
      <c r="D9137" t="s">
        <v>1399</v>
      </c>
      <c r="E9137" t="s">
        <v>187</v>
      </c>
      <c r="F9137">
        <v>2016</v>
      </c>
      <c r="G9137">
        <v>7.407</v>
      </c>
    </row>
    <row r="9138" spans="1:7">
      <c r="A9138" t="s">
        <v>1297</v>
      </c>
      <c r="B9138" t="s">
        <v>1298</v>
      </c>
      <c r="C9138" t="s">
        <v>663</v>
      </c>
      <c r="D9138" t="s">
        <v>1399</v>
      </c>
      <c r="E9138" t="s">
        <v>187</v>
      </c>
      <c r="F9138">
        <v>2020</v>
      </c>
      <c r="G9138">
        <v>6.7850000000000001</v>
      </c>
    </row>
    <row r="9139" spans="1:7">
      <c r="A9139" t="s">
        <v>1297</v>
      </c>
      <c r="B9139" t="s">
        <v>1298</v>
      </c>
      <c r="C9139" t="s">
        <v>670</v>
      </c>
      <c r="D9139" t="s">
        <v>1399</v>
      </c>
      <c r="E9139" t="s">
        <v>187</v>
      </c>
      <c r="F9139">
        <v>2010</v>
      </c>
      <c r="G9139">
        <v>12.82</v>
      </c>
    </row>
    <row r="9140" spans="1:7">
      <c r="A9140" t="s">
        <v>1297</v>
      </c>
      <c r="B9140" t="s">
        <v>1298</v>
      </c>
      <c r="C9140" t="s">
        <v>670</v>
      </c>
      <c r="D9140" t="s">
        <v>1399</v>
      </c>
      <c r="E9140" t="s">
        <v>187</v>
      </c>
      <c r="F9140">
        <v>2012</v>
      </c>
      <c r="G9140">
        <v>6.8719999999999999</v>
      </c>
    </row>
    <row r="9141" spans="1:7">
      <c r="A9141" t="s">
        <v>1297</v>
      </c>
      <c r="B9141" t="s">
        <v>1298</v>
      </c>
      <c r="C9141" t="s">
        <v>670</v>
      </c>
      <c r="D9141" t="s">
        <v>1399</v>
      </c>
      <c r="E9141" t="s">
        <v>187</v>
      </c>
      <c r="F9141">
        <v>2016</v>
      </c>
      <c r="G9141">
        <v>6.1672950000000002</v>
      </c>
    </row>
    <row r="9142" spans="1:7">
      <c r="A9142" t="s">
        <v>1297</v>
      </c>
      <c r="B9142" t="s">
        <v>1298</v>
      </c>
      <c r="C9142" t="s">
        <v>670</v>
      </c>
      <c r="D9142" t="s">
        <v>1399</v>
      </c>
      <c r="E9142" t="s">
        <v>187</v>
      </c>
      <c r="F9142">
        <v>2020</v>
      </c>
      <c r="G9142">
        <v>9.2525569999999995</v>
      </c>
    </row>
    <row r="9143" spans="1:7">
      <c r="A9143" t="s">
        <v>1297</v>
      </c>
      <c r="B9143" t="s">
        <v>1298</v>
      </c>
      <c r="C9143" t="s">
        <v>653</v>
      </c>
      <c r="D9143" t="s">
        <v>1399</v>
      </c>
      <c r="E9143" t="s">
        <v>187</v>
      </c>
      <c r="F9143">
        <v>2005</v>
      </c>
      <c r="G9143">
        <v>6.9530000000000003</v>
      </c>
    </row>
    <row r="9144" spans="1:7">
      <c r="A9144" t="s">
        <v>1297</v>
      </c>
      <c r="B9144" t="s">
        <v>1298</v>
      </c>
      <c r="C9144" t="s">
        <v>653</v>
      </c>
      <c r="D9144" t="s">
        <v>1399</v>
      </c>
      <c r="E9144" t="s">
        <v>187</v>
      </c>
      <c r="F9144">
        <v>2010</v>
      </c>
      <c r="G9144">
        <v>4.8029999999999999</v>
      </c>
    </row>
    <row r="9145" spans="1:7">
      <c r="A9145" t="s">
        <v>1297</v>
      </c>
      <c r="B9145" t="s">
        <v>1298</v>
      </c>
      <c r="C9145" t="s">
        <v>653</v>
      </c>
      <c r="D9145" t="s">
        <v>1399</v>
      </c>
      <c r="E9145" t="s">
        <v>187</v>
      </c>
      <c r="F9145">
        <v>2012</v>
      </c>
      <c r="G9145">
        <v>4.585</v>
      </c>
    </row>
    <row r="9146" spans="1:7">
      <c r="A9146" t="s">
        <v>1297</v>
      </c>
      <c r="B9146" t="s">
        <v>1298</v>
      </c>
      <c r="C9146" t="s">
        <v>653</v>
      </c>
      <c r="D9146" t="s">
        <v>1399</v>
      </c>
      <c r="E9146" t="s">
        <v>187</v>
      </c>
      <c r="F9146">
        <v>2016</v>
      </c>
      <c r="G9146">
        <v>6.1440000000000001</v>
      </c>
    </row>
    <row r="9147" spans="1:7">
      <c r="A9147" t="s">
        <v>1297</v>
      </c>
      <c r="B9147" t="s">
        <v>1298</v>
      </c>
      <c r="C9147" t="s">
        <v>653</v>
      </c>
      <c r="D9147" t="s">
        <v>1399</v>
      </c>
      <c r="E9147" t="s">
        <v>187</v>
      </c>
      <c r="F9147">
        <v>2020</v>
      </c>
      <c r="G9147">
        <v>5.0489810000000004</v>
      </c>
    </row>
    <row r="9148" spans="1:7">
      <c r="A9148" t="s">
        <v>1297</v>
      </c>
      <c r="B9148" t="s">
        <v>1298</v>
      </c>
      <c r="C9148" t="s">
        <v>1299</v>
      </c>
      <c r="D9148" t="s">
        <v>1399</v>
      </c>
      <c r="E9148" t="s">
        <v>187</v>
      </c>
      <c r="F9148">
        <v>2010</v>
      </c>
      <c r="G9148">
        <v>99.96</v>
      </c>
    </row>
    <row r="9149" spans="1:7">
      <c r="A9149" t="s">
        <v>1297</v>
      </c>
      <c r="B9149" t="s">
        <v>1298</v>
      </c>
      <c r="C9149" t="s">
        <v>1299</v>
      </c>
      <c r="D9149" t="s">
        <v>1399</v>
      </c>
      <c r="E9149" t="s">
        <v>187</v>
      </c>
      <c r="F9149">
        <v>2012</v>
      </c>
      <c r="G9149">
        <v>97.498000000000005</v>
      </c>
    </row>
    <row r="9150" spans="1:7">
      <c r="A9150" t="s">
        <v>1297</v>
      </c>
      <c r="B9150" t="s">
        <v>1298</v>
      </c>
      <c r="C9150" t="s">
        <v>1299</v>
      </c>
      <c r="D9150" t="s">
        <v>1399</v>
      </c>
      <c r="E9150" t="s">
        <v>187</v>
      </c>
      <c r="F9150">
        <v>2016</v>
      </c>
      <c r="G9150">
        <v>78.828999999999994</v>
      </c>
    </row>
    <row r="9151" spans="1:7">
      <c r="A9151" t="s">
        <v>1297</v>
      </c>
      <c r="B9151" t="s">
        <v>1298</v>
      </c>
      <c r="C9151" t="s">
        <v>1299</v>
      </c>
      <c r="D9151" t="s">
        <v>1399</v>
      </c>
      <c r="E9151" t="s">
        <v>187</v>
      </c>
      <c r="F9151">
        <v>2020</v>
      </c>
      <c r="G9151">
        <v>62.905000000000001</v>
      </c>
    </row>
    <row r="9152" spans="1:7">
      <c r="A9152" t="s">
        <v>1297</v>
      </c>
      <c r="B9152" t="s">
        <v>1298</v>
      </c>
      <c r="C9152" t="s">
        <v>289</v>
      </c>
      <c r="D9152" t="s">
        <v>1399</v>
      </c>
      <c r="E9152" t="s">
        <v>187</v>
      </c>
      <c r="F9152">
        <v>2005</v>
      </c>
      <c r="G9152">
        <v>3.067396</v>
      </c>
    </row>
    <row r="9153" spans="1:7">
      <c r="A9153" t="s">
        <v>1297</v>
      </c>
      <c r="B9153" t="s">
        <v>1298</v>
      </c>
      <c r="C9153" t="s">
        <v>289</v>
      </c>
      <c r="D9153" t="s">
        <v>1399</v>
      </c>
      <c r="E9153" t="s">
        <v>187</v>
      </c>
      <c r="F9153">
        <v>2010</v>
      </c>
      <c r="G9153">
        <v>3.0521060000000002</v>
      </c>
    </row>
    <row r="9154" spans="1:7">
      <c r="A9154" t="s">
        <v>1297</v>
      </c>
      <c r="B9154" t="s">
        <v>1298</v>
      </c>
      <c r="C9154" t="s">
        <v>289</v>
      </c>
      <c r="D9154" t="s">
        <v>1399</v>
      </c>
      <c r="E9154" t="s">
        <v>187</v>
      </c>
      <c r="F9154">
        <v>2012</v>
      </c>
      <c r="G9154">
        <v>2.9092289999999998</v>
      </c>
    </row>
    <row r="9155" spans="1:7">
      <c r="A9155" t="s">
        <v>1297</v>
      </c>
      <c r="B9155" t="s">
        <v>1298</v>
      </c>
      <c r="C9155" t="s">
        <v>289</v>
      </c>
      <c r="D9155" t="s">
        <v>1399</v>
      </c>
      <c r="E9155" t="s">
        <v>187</v>
      </c>
      <c r="F9155">
        <v>2016</v>
      </c>
      <c r="G9155">
        <v>2.6108929999999999</v>
      </c>
    </row>
    <row r="9156" spans="1:7">
      <c r="A9156" t="s">
        <v>1297</v>
      </c>
      <c r="B9156" t="s">
        <v>1298</v>
      </c>
      <c r="C9156" t="s">
        <v>289</v>
      </c>
      <c r="D9156" t="s">
        <v>1399</v>
      </c>
      <c r="E9156" t="s">
        <v>187</v>
      </c>
      <c r="F9156">
        <v>2020</v>
      </c>
      <c r="G9156">
        <v>2.3414299999999999</v>
      </c>
    </row>
    <row r="9157" spans="1:7">
      <c r="A9157" t="s">
        <v>1297</v>
      </c>
      <c r="B9157" t="s">
        <v>1298</v>
      </c>
      <c r="C9157" t="s">
        <v>668</v>
      </c>
      <c r="D9157" t="s">
        <v>1399</v>
      </c>
      <c r="E9157" t="s">
        <v>187</v>
      </c>
      <c r="F9157">
        <v>2005</v>
      </c>
      <c r="G9157">
        <v>6.0129999999999999</v>
      </c>
    </row>
    <row r="9158" spans="1:7">
      <c r="A9158" t="s">
        <v>1297</v>
      </c>
      <c r="B9158" t="s">
        <v>1298</v>
      </c>
      <c r="C9158" t="s">
        <v>668</v>
      </c>
      <c r="D9158" t="s">
        <v>1399</v>
      </c>
      <c r="E9158" t="s">
        <v>187</v>
      </c>
      <c r="F9158">
        <v>2010</v>
      </c>
      <c r="G9158">
        <v>5.7130000000000001</v>
      </c>
    </row>
    <row r="9159" spans="1:7">
      <c r="A9159" t="s">
        <v>1297</v>
      </c>
      <c r="B9159" t="s">
        <v>1298</v>
      </c>
      <c r="C9159" t="s">
        <v>668</v>
      </c>
      <c r="D9159" t="s">
        <v>1399</v>
      </c>
      <c r="E9159" t="s">
        <v>187</v>
      </c>
      <c r="F9159">
        <v>2012</v>
      </c>
      <c r="G9159">
        <v>5.7450000000000001</v>
      </c>
    </row>
    <row r="9160" spans="1:7">
      <c r="A9160" t="s">
        <v>1297</v>
      </c>
      <c r="B9160" t="s">
        <v>1298</v>
      </c>
      <c r="C9160" t="s">
        <v>668</v>
      </c>
      <c r="D9160" t="s">
        <v>1399</v>
      </c>
      <c r="E9160" t="s">
        <v>187</v>
      </c>
      <c r="F9160">
        <v>2016</v>
      </c>
      <c r="G9160">
        <v>5.9249999999999998</v>
      </c>
    </row>
    <row r="9161" spans="1:7">
      <c r="A9161" t="s">
        <v>1297</v>
      </c>
      <c r="B9161" t="s">
        <v>1298</v>
      </c>
      <c r="C9161" t="s">
        <v>668</v>
      </c>
      <c r="D9161" t="s">
        <v>1399</v>
      </c>
      <c r="E9161" t="s">
        <v>187</v>
      </c>
      <c r="F9161">
        <v>2020</v>
      </c>
      <c r="G9161">
        <v>5.206143</v>
      </c>
    </row>
    <row r="9162" spans="1:7">
      <c r="A9162" t="s">
        <v>1297</v>
      </c>
      <c r="B9162" t="s">
        <v>1298</v>
      </c>
      <c r="C9162" t="s">
        <v>675</v>
      </c>
      <c r="D9162" t="s">
        <v>1399</v>
      </c>
      <c r="E9162" t="s">
        <v>187</v>
      </c>
      <c r="F9162">
        <v>2005</v>
      </c>
      <c r="G9162">
        <v>1.0489999999999999</v>
      </c>
    </row>
    <row r="9163" spans="1:7">
      <c r="A9163" t="s">
        <v>1297</v>
      </c>
      <c r="B9163" t="s">
        <v>1298</v>
      </c>
      <c r="C9163" t="s">
        <v>675</v>
      </c>
      <c r="D9163" t="s">
        <v>1399</v>
      </c>
      <c r="E9163" t="s">
        <v>187</v>
      </c>
      <c r="F9163">
        <v>2010</v>
      </c>
      <c r="G9163">
        <v>1.536</v>
      </c>
    </row>
    <row r="9164" spans="1:7">
      <c r="A9164" t="s">
        <v>1297</v>
      </c>
      <c r="B9164" t="s">
        <v>1298</v>
      </c>
      <c r="C9164" t="s">
        <v>675</v>
      </c>
      <c r="D9164" t="s">
        <v>1399</v>
      </c>
      <c r="E9164" t="s">
        <v>187</v>
      </c>
      <c r="F9164">
        <v>2012</v>
      </c>
      <c r="G9164">
        <v>1.921</v>
      </c>
    </row>
    <row r="9165" spans="1:7">
      <c r="A9165" t="s">
        <v>1297</v>
      </c>
      <c r="B9165" t="s">
        <v>1298</v>
      </c>
      <c r="C9165" t="s">
        <v>675</v>
      </c>
      <c r="D9165" t="s">
        <v>1399</v>
      </c>
      <c r="E9165" t="s">
        <v>187</v>
      </c>
      <c r="F9165">
        <v>2016</v>
      </c>
      <c r="G9165">
        <v>1.742</v>
      </c>
    </row>
    <row r="9166" spans="1:7">
      <c r="A9166" t="s">
        <v>1297</v>
      </c>
      <c r="B9166" t="s">
        <v>1298</v>
      </c>
      <c r="C9166" t="s">
        <v>675</v>
      </c>
      <c r="D9166" t="s">
        <v>1399</v>
      </c>
      <c r="E9166" t="s">
        <v>187</v>
      </c>
      <c r="F9166">
        <v>2020</v>
      </c>
      <c r="G9166">
        <v>1.9509620000000001</v>
      </c>
    </row>
    <row r="9167" spans="1:7">
      <c r="A9167" t="s">
        <v>1297</v>
      </c>
      <c r="B9167" t="s">
        <v>1298</v>
      </c>
      <c r="C9167" t="s">
        <v>1302</v>
      </c>
      <c r="D9167" t="s">
        <v>1399</v>
      </c>
      <c r="E9167" t="s">
        <v>187</v>
      </c>
      <c r="F9167">
        <v>2005</v>
      </c>
      <c r="G9167">
        <v>0.16600000000000001</v>
      </c>
    </row>
    <row r="9168" spans="1:7">
      <c r="A9168" t="s">
        <v>1297</v>
      </c>
      <c r="B9168" t="s">
        <v>1298</v>
      </c>
      <c r="C9168" t="s">
        <v>1302</v>
      </c>
      <c r="D9168" t="s">
        <v>1399</v>
      </c>
      <c r="E9168" t="s">
        <v>187</v>
      </c>
      <c r="F9168">
        <v>2010</v>
      </c>
      <c r="G9168">
        <v>7.9000000000000001E-2</v>
      </c>
    </row>
    <row r="9169" spans="1:8">
      <c r="A9169" t="s">
        <v>1297</v>
      </c>
      <c r="B9169" t="s">
        <v>1298</v>
      </c>
      <c r="C9169" t="s">
        <v>1302</v>
      </c>
      <c r="D9169" t="s">
        <v>1399</v>
      </c>
      <c r="E9169" t="s">
        <v>187</v>
      </c>
      <c r="F9169">
        <v>2012</v>
      </c>
      <c r="G9169">
        <v>0.05</v>
      </c>
    </row>
    <row r="9170" spans="1:8">
      <c r="A9170" t="s">
        <v>1297</v>
      </c>
      <c r="B9170" t="s">
        <v>1298</v>
      </c>
      <c r="C9170" t="s">
        <v>1302</v>
      </c>
      <c r="D9170" t="s">
        <v>1399</v>
      </c>
      <c r="E9170" t="s">
        <v>187</v>
      </c>
      <c r="F9170">
        <v>2016</v>
      </c>
      <c r="G9170">
        <v>0.19600000000000001</v>
      </c>
    </row>
    <row r="9171" spans="1:8">
      <c r="A9171" t="s">
        <v>1297</v>
      </c>
      <c r="B9171" t="s">
        <v>1298</v>
      </c>
      <c r="C9171" t="s">
        <v>1302</v>
      </c>
      <c r="D9171" t="s">
        <v>1399</v>
      </c>
      <c r="E9171" t="s">
        <v>187</v>
      </c>
      <c r="F9171">
        <v>2020</v>
      </c>
      <c r="G9171">
        <v>0.21762100000000001</v>
      </c>
    </row>
    <row r="9172" spans="1:8">
      <c r="A9172" t="s">
        <v>1297</v>
      </c>
      <c r="B9172" t="s">
        <v>1298</v>
      </c>
      <c r="C9172" t="s">
        <v>658</v>
      </c>
      <c r="D9172" t="s">
        <v>1399</v>
      </c>
      <c r="E9172" t="s">
        <v>187</v>
      </c>
      <c r="F9172">
        <v>2005</v>
      </c>
      <c r="G9172">
        <v>4.524</v>
      </c>
    </row>
    <row r="9173" spans="1:8">
      <c r="A9173" t="s">
        <v>1297</v>
      </c>
      <c r="B9173" t="s">
        <v>1298</v>
      </c>
      <c r="C9173" t="s">
        <v>680</v>
      </c>
      <c r="D9173" t="s">
        <v>1400</v>
      </c>
      <c r="E9173" t="s">
        <v>187</v>
      </c>
      <c r="F9173">
        <v>2005</v>
      </c>
      <c r="G9173">
        <v>0.161</v>
      </c>
    </row>
    <row r="9174" spans="1:8">
      <c r="A9174" t="s">
        <v>1297</v>
      </c>
      <c r="B9174" t="s">
        <v>1298</v>
      </c>
      <c r="C9174" t="s">
        <v>680</v>
      </c>
      <c r="D9174" t="s">
        <v>1400</v>
      </c>
      <c r="E9174" t="s">
        <v>187</v>
      </c>
      <c r="F9174">
        <v>2010</v>
      </c>
      <c r="G9174">
        <v>0.17599999999999999</v>
      </c>
    </row>
    <row r="9175" spans="1:8">
      <c r="A9175" t="s">
        <v>1297</v>
      </c>
      <c r="B9175" t="s">
        <v>1298</v>
      </c>
      <c r="C9175" t="s">
        <v>680</v>
      </c>
      <c r="D9175" t="s">
        <v>1400</v>
      </c>
      <c r="E9175" t="s">
        <v>187</v>
      </c>
      <c r="F9175">
        <v>2012</v>
      </c>
      <c r="G9175">
        <v>0.19700000000000001</v>
      </c>
    </row>
    <row r="9176" spans="1:8">
      <c r="A9176" t="s">
        <v>1297</v>
      </c>
      <c r="B9176" t="s">
        <v>1298</v>
      </c>
      <c r="C9176" t="s">
        <v>680</v>
      </c>
      <c r="D9176" t="s">
        <v>1400</v>
      </c>
      <c r="E9176" t="s">
        <v>187</v>
      </c>
      <c r="F9176">
        <v>2016</v>
      </c>
      <c r="G9176">
        <v>1.4746999999999999</v>
      </c>
    </row>
    <row r="9177" spans="1:8">
      <c r="A9177" t="s">
        <v>1297</v>
      </c>
      <c r="B9177" t="s">
        <v>1298</v>
      </c>
      <c r="C9177" t="s">
        <v>680</v>
      </c>
      <c r="D9177" t="s">
        <v>1400</v>
      </c>
      <c r="E9177" t="s">
        <v>187</v>
      </c>
      <c r="F9177">
        <v>2020</v>
      </c>
      <c r="G9177">
        <v>1.404112</v>
      </c>
    </row>
    <row r="9178" spans="1:8">
      <c r="A9178" t="s">
        <v>1297</v>
      </c>
      <c r="B9178" t="s">
        <v>1298</v>
      </c>
      <c r="C9178" t="s">
        <v>655</v>
      </c>
      <c r="D9178" t="s">
        <v>1400</v>
      </c>
      <c r="E9178" t="s">
        <v>187</v>
      </c>
      <c r="F9178">
        <v>2005</v>
      </c>
      <c r="G9178">
        <v>1E-3</v>
      </c>
    </row>
    <row r="9179" spans="1:8">
      <c r="A9179" t="s">
        <v>1297</v>
      </c>
      <c r="B9179" t="s">
        <v>1298</v>
      </c>
      <c r="C9179" t="s">
        <v>668</v>
      </c>
      <c r="D9179" t="s">
        <v>1400</v>
      </c>
      <c r="E9179" t="s">
        <v>187</v>
      </c>
      <c r="F9179">
        <v>2005</v>
      </c>
      <c r="G9179">
        <v>1E-3</v>
      </c>
    </row>
    <row r="9180" spans="1:8">
      <c r="A9180" t="s">
        <v>1297</v>
      </c>
      <c r="B9180" t="s">
        <v>1298</v>
      </c>
      <c r="C9180" t="s">
        <v>653</v>
      </c>
      <c r="D9180" t="s">
        <v>1400</v>
      </c>
      <c r="E9180" t="s">
        <v>187</v>
      </c>
      <c r="F9180">
        <v>2020</v>
      </c>
      <c r="G9180" s="14">
        <v>2.5000000000000001E-5</v>
      </c>
    </row>
    <row r="9181" spans="1:8">
      <c r="A9181" t="s">
        <v>1297</v>
      </c>
      <c r="B9181" t="s">
        <v>1298</v>
      </c>
      <c r="C9181" t="s">
        <v>1299</v>
      </c>
      <c r="D9181" t="s">
        <v>1400</v>
      </c>
      <c r="E9181" t="s">
        <v>187</v>
      </c>
      <c r="F9181">
        <v>2010</v>
      </c>
      <c r="G9181">
        <v>0.01</v>
      </c>
    </row>
    <row r="9182" spans="1:8">
      <c r="A9182" t="s">
        <v>1297</v>
      </c>
      <c r="B9182" t="s">
        <v>1298</v>
      </c>
      <c r="C9182" t="s">
        <v>1299</v>
      </c>
      <c r="D9182" t="s">
        <v>1400</v>
      </c>
      <c r="E9182" t="s">
        <v>187</v>
      </c>
      <c r="F9182">
        <v>2012</v>
      </c>
      <c r="G9182">
        <v>1E-3</v>
      </c>
    </row>
    <row r="9183" spans="1:8">
      <c r="A9183" t="s">
        <v>1297</v>
      </c>
      <c r="B9183" t="s">
        <v>1298</v>
      </c>
      <c r="C9183" t="s">
        <v>1299</v>
      </c>
      <c r="D9183" t="s">
        <v>1400</v>
      </c>
      <c r="E9183" t="s">
        <v>187</v>
      </c>
      <c r="F9183">
        <v>2020</v>
      </c>
      <c r="G9183" s="14">
        <v>4.0000000000000001E-3</v>
      </c>
      <c r="H9183" s="14"/>
    </row>
    <row r="9184" spans="1:8">
      <c r="A9184" t="s">
        <v>1297</v>
      </c>
      <c r="B9184" t="s">
        <v>1298</v>
      </c>
      <c r="C9184" t="s">
        <v>671</v>
      </c>
      <c r="D9184" t="s">
        <v>1400</v>
      </c>
      <c r="E9184" t="s">
        <v>187</v>
      </c>
      <c r="F9184">
        <v>2005</v>
      </c>
      <c r="G9184">
        <v>2.7E-2</v>
      </c>
    </row>
    <row r="9185" spans="1:7">
      <c r="A9185" t="s">
        <v>1297</v>
      </c>
      <c r="B9185" t="s">
        <v>1298</v>
      </c>
      <c r="C9185" t="s">
        <v>289</v>
      </c>
      <c r="D9185" t="s">
        <v>1401</v>
      </c>
      <c r="E9185" t="s">
        <v>187</v>
      </c>
      <c r="F9185">
        <v>2005</v>
      </c>
      <c r="G9185">
        <v>6.8760000000000003</v>
      </c>
    </row>
    <row r="9186" spans="1:7">
      <c r="A9186" t="s">
        <v>1297</v>
      </c>
      <c r="B9186" t="s">
        <v>1298</v>
      </c>
      <c r="C9186" t="s">
        <v>289</v>
      </c>
      <c r="D9186" t="s">
        <v>1401</v>
      </c>
      <c r="E9186" t="s">
        <v>187</v>
      </c>
      <c r="F9186">
        <v>2010</v>
      </c>
      <c r="G9186">
        <v>6.444</v>
      </c>
    </row>
    <row r="9187" spans="1:7">
      <c r="A9187" t="s">
        <v>1297</v>
      </c>
      <c r="B9187" t="s">
        <v>1298</v>
      </c>
      <c r="C9187" t="s">
        <v>289</v>
      </c>
      <c r="D9187" t="s">
        <v>1401</v>
      </c>
      <c r="E9187" t="s">
        <v>187</v>
      </c>
      <c r="F9187">
        <v>2012</v>
      </c>
      <c r="G9187">
        <v>5.7679999999999998</v>
      </c>
    </row>
    <row r="9188" spans="1:7">
      <c r="A9188" t="s">
        <v>1297</v>
      </c>
      <c r="B9188" t="s">
        <v>1298</v>
      </c>
      <c r="C9188" t="s">
        <v>289</v>
      </c>
      <c r="D9188" t="s">
        <v>1401</v>
      </c>
      <c r="E9188" t="s">
        <v>187</v>
      </c>
      <c r="F9188">
        <v>2016</v>
      </c>
      <c r="G9188">
        <v>4.9909999999999997</v>
      </c>
    </row>
    <row r="9189" spans="1:7">
      <c r="A9189" t="s">
        <v>1297</v>
      </c>
      <c r="B9189" t="s">
        <v>1298</v>
      </c>
      <c r="C9189" t="s">
        <v>289</v>
      </c>
      <c r="D9189" t="s">
        <v>1401</v>
      </c>
      <c r="E9189" t="s">
        <v>187</v>
      </c>
      <c r="F9189">
        <v>2020</v>
      </c>
      <c r="G9189">
        <v>4.5898000000000003</v>
      </c>
    </row>
    <row r="9190" spans="1:7">
      <c r="A9190" t="s">
        <v>1297</v>
      </c>
      <c r="B9190" t="s">
        <v>1298</v>
      </c>
      <c r="C9190" t="s">
        <v>1300</v>
      </c>
      <c r="D9190" t="s">
        <v>1401</v>
      </c>
      <c r="E9190" t="s">
        <v>187</v>
      </c>
      <c r="F9190">
        <v>2010</v>
      </c>
      <c r="G9190">
        <v>5.548</v>
      </c>
    </row>
    <row r="9191" spans="1:7">
      <c r="A9191" t="s">
        <v>1297</v>
      </c>
      <c r="B9191" t="s">
        <v>1298</v>
      </c>
      <c r="C9191" t="s">
        <v>1300</v>
      </c>
      <c r="D9191" t="s">
        <v>1401</v>
      </c>
      <c r="E9191" t="s">
        <v>187</v>
      </c>
      <c r="F9191">
        <v>2012</v>
      </c>
      <c r="G9191">
        <v>4.9560000000000004</v>
      </c>
    </row>
    <row r="9192" spans="1:7">
      <c r="A9192" t="s">
        <v>1297</v>
      </c>
      <c r="B9192" t="s">
        <v>1298</v>
      </c>
      <c r="C9192" t="s">
        <v>1300</v>
      </c>
      <c r="D9192" t="s">
        <v>1401</v>
      </c>
      <c r="E9192" t="s">
        <v>187</v>
      </c>
      <c r="F9192">
        <v>2016</v>
      </c>
      <c r="G9192">
        <v>5.1470000000000002</v>
      </c>
    </row>
    <row r="9193" spans="1:7">
      <c r="A9193" t="s">
        <v>1297</v>
      </c>
      <c r="B9193" t="s">
        <v>1298</v>
      </c>
      <c r="C9193" t="s">
        <v>1300</v>
      </c>
      <c r="D9193" t="s">
        <v>1401</v>
      </c>
      <c r="E9193" t="s">
        <v>187</v>
      </c>
      <c r="F9193">
        <v>2020</v>
      </c>
      <c r="G9193">
        <v>4.5519999999999996</v>
      </c>
    </row>
    <row r="9194" spans="1:7">
      <c r="A9194" t="s">
        <v>1297</v>
      </c>
      <c r="B9194" t="s">
        <v>1298</v>
      </c>
      <c r="C9194" t="s">
        <v>685</v>
      </c>
      <c r="D9194" t="s">
        <v>1401</v>
      </c>
      <c r="E9194" t="s">
        <v>187</v>
      </c>
      <c r="F9194">
        <v>2005</v>
      </c>
      <c r="G9194">
        <v>1.8049999999999999</v>
      </c>
    </row>
    <row r="9195" spans="1:7">
      <c r="A9195" t="s">
        <v>1297</v>
      </c>
      <c r="B9195" t="s">
        <v>1298</v>
      </c>
      <c r="C9195" t="s">
        <v>685</v>
      </c>
      <c r="D9195" t="s">
        <v>1401</v>
      </c>
      <c r="E9195" t="s">
        <v>187</v>
      </c>
      <c r="F9195">
        <v>2010</v>
      </c>
      <c r="G9195">
        <v>1.423</v>
      </c>
    </row>
    <row r="9196" spans="1:7">
      <c r="A9196" t="s">
        <v>1297</v>
      </c>
      <c r="B9196" t="s">
        <v>1298</v>
      </c>
      <c r="C9196" t="s">
        <v>685</v>
      </c>
      <c r="D9196" t="s">
        <v>1401</v>
      </c>
      <c r="E9196" t="s">
        <v>187</v>
      </c>
      <c r="F9196">
        <v>2012</v>
      </c>
      <c r="G9196">
        <v>1.431</v>
      </c>
    </row>
    <row r="9197" spans="1:7">
      <c r="A9197" t="s">
        <v>1297</v>
      </c>
      <c r="B9197" t="s">
        <v>1298</v>
      </c>
      <c r="C9197" t="s">
        <v>685</v>
      </c>
      <c r="D9197" t="s">
        <v>1401</v>
      </c>
      <c r="E9197" t="s">
        <v>187</v>
      </c>
      <c r="F9197">
        <v>2016</v>
      </c>
      <c r="G9197">
        <v>1.3685039999999999</v>
      </c>
    </row>
    <row r="9198" spans="1:7">
      <c r="A9198" t="s">
        <v>1297</v>
      </c>
      <c r="B9198" t="s">
        <v>1298</v>
      </c>
      <c r="C9198" t="s">
        <v>685</v>
      </c>
      <c r="D9198" t="s">
        <v>1401</v>
      </c>
      <c r="E9198" t="s">
        <v>187</v>
      </c>
      <c r="F9198">
        <v>2020</v>
      </c>
      <c r="G9198">
        <v>1.319053</v>
      </c>
    </row>
    <row r="9199" spans="1:7">
      <c r="A9199" t="s">
        <v>1297</v>
      </c>
      <c r="B9199" t="s">
        <v>1298</v>
      </c>
      <c r="C9199" t="s">
        <v>658</v>
      </c>
      <c r="D9199" t="s">
        <v>1401</v>
      </c>
      <c r="E9199" t="s">
        <v>187</v>
      </c>
      <c r="F9199">
        <v>2005</v>
      </c>
      <c r="G9199">
        <v>15.801</v>
      </c>
    </row>
    <row r="9200" spans="1:7">
      <c r="A9200" t="s">
        <v>1297</v>
      </c>
      <c r="B9200" t="s">
        <v>1298</v>
      </c>
      <c r="C9200" t="s">
        <v>658</v>
      </c>
      <c r="D9200" t="s">
        <v>1401</v>
      </c>
      <c r="E9200" t="s">
        <v>187</v>
      </c>
      <c r="F9200">
        <v>2010</v>
      </c>
      <c r="G9200">
        <v>14.972</v>
      </c>
    </row>
    <row r="9201" spans="1:7">
      <c r="A9201" t="s">
        <v>1297</v>
      </c>
      <c r="B9201" t="s">
        <v>1298</v>
      </c>
      <c r="C9201" t="s">
        <v>658</v>
      </c>
      <c r="D9201" t="s">
        <v>1401</v>
      </c>
      <c r="E9201" t="s">
        <v>187</v>
      </c>
      <c r="F9201">
        <v>2012</v>
      </c>
      <c r="G9201">
        <v>14.231</v>
      </c>
    </row>
    <row r="9202" spans="1:7">
      <c r="A9202" t="s">
        <v>1297</v>
      </c>
      <c r="B9202" t="s">
        <v>1298</v>
      </c>
      <c r="C9202" t="s">
        <v>658</v>
      </c>
      <c r="D9202" t="s">
        <v>1401</v>
      </c>
      <c r="E9202" t="s">
        <v>187</v>
      </c>
      <c r="F9202">
        <v>2016</v>
      </c>
      <c r="G9202">
        <v>13.057</v>
      </c>
    </row>
    <row r="9203" spans="1:7">
      <c r="A9203" t="s">
        <v>1297</v>
      </c>
      <c r="B9203" t="s">
        <v>1298</v>
      </c>
      <c r="C9203" t="s">
        <v>658</v>
      </c>
      <c r="D9203" t="s">
        <v>1401</v>
      </c>
      <c r="E9203" t="s">
        <v>187</v>
      </c>
      <c r="F9203">
        <v>2020</v>
      </c>
      <c r="G9203">
        <v>13.68</v>
      </c>
    </row>
    <row r="9204" spans="1:7">
      <c r="A9204" t="s">
        <v>1297</v>
      </c>
      <c r="B9204" t="s">
        <v>1298</v>
      </c>
      <c r="C9204" t="s">
        <v>661</v>
      </c>
      <c r="D9204" t="s">
        <v>1401</v>
      </c>
      <c r="E9204" t="s">
        <v>187</v>
      </c>
      <c r="F9204">
        <v>2010</v>
      </c>
      <c r="G9204">
        <v>54.502020000000002</v>
      </c>
    </row>
    <row r="9205" spans="1:7">
      <c r="A9205" t="s">
        <v>1297</v>
      </c>
      <c r="B9205" t="s">
        <v>1298</v>
      </c>
      <c r="C9205" t="s">
        <v>661</v>
      </c>
      <c r="D9205" t="s">
        <v>1401</v>
      </c>
      <c r="E9205" t="s">
        <v>187</v>
      </c>
      <c r="F9205">
        <v>2012</v>
      </c>
      <c r="G9205">
        <v>49.284630999999997</v>
      </c>
    </row>
    <row r="9206" spans="1:7">
      <c r="A9206" t="s">
        <v>1297</v>
      </c>
      <c r="B9206" t="s">
        <v>1298</v>
      </c>
      <c r="C9206" t="s">
        <v>651</v>
      </c>
      <c r="D9206" t="s">
        <v>1401</v>
      </c>
      <c r="E9206" t="s">
        <v>187</v>
      </c>
      <c r="F9206">
        <v>2005</v>
      </c>
      <c r="G9206">
        <v>20.036434</v>
      </c>
    </row>
    <row r="9207" spans="1:7">
      <c r="A9207" t="s">
        <v>1297</v>
      </c>
      <c r="B9207" t="s">
        <v>1298</v>
      </c>
      <c r="C9207" t="s">
        <v>651</v>
      </c>
      <c r="D9207" t="s">
        <v>1401</v>
      </c>
      <c r="E9207" t="s">
        <v>187</v>
      </c>
      <c r="F9207">
        <v>2010</v>
      </c>
      <c r="G9207">
        <v>24.988633</v>
      </c>
    </row>
    <row r="9208" spans="1:7">
      <c r="A9208" t="s">
        <v>1297</v>
      </c>
      <c r="B9208" t="s">
        <v>1298</v>
      </c>
      <c r="C9208" t="s">
        <v>651</v>
      </c>
      <c r="D9208" t="s">
        <v>1401</v>
      </c>
      <c r="E9208" t="s">
        <v>187</v>
      </c>
      <c r="F9208">
        <v>2012</v>
      </c>
      <c r="G9208">
        <v>27.395399999999999</v>
      </c>
    </row>
    <row r="9209" spans="1:7">
      <c r="A9209" t="s">
        <v>1297</v>
      </c>
      <c r="B9209" t="s">
        <v>1298</v>
      </c>
      <c r="C9209" t="s">
        <v>651</v>
      </c>
      <c r="D9209" t="s">
        <v>1401</v>
      </c>
      <c r="E9209" t="s">
        <v>187</v>
      </c>
      <c r="F9209">
        <v>2016</v>
      </c>
      <c r="G9209">
        <v>32.618673999999999</v>
      </c>
    </row>
    <row r="9210" spans="1:7">
      <c r="A9210" t="s">
        <v>1297</v>
      </c>
      <c r="B9210" t="s">
        <v>1298</v>
      </c>
      <c r="C9210" t="s">
        <v>651</v>
      </c>
      <c r="D9210" t="s">
        <v>1401</v>
      </c>
      <c r="E9210" t="s">
        <v>187</v>
      </c>
      <c r="F9210">
        <v>2020</v>
      </c>
      <c r="G9210">
        <v>32.310270000000003</v>
      </c>
    </row>
    <row r="9211" spans="1:7">
      <c r="A9211" t="s">
        <v>1297</v>
      </c>
      <c r="B9211" t="s">
        <v>1298</v>
      </c>
      <c r="C9211" t="s">
        <v>652</v>
      </c>
      <c r="D9211" t="s">
        <v>1401</v>
      </c>
      <c r="E9211" t="s">
        <v>187</v>
      </c>
      <c r="F9211">
        <v>2005</v>
      </c>
      <c r="G9211">
        <v>0.58699999999999997</v>
      </c>
    </row>
    <row r="9212" spans="1:7">
      <c r="A9212" t="s">
        <v>1297</v>
      </c>
      <c r="B9212" t="s">
        <v>1298</v>
      </c>
      <c r="C9212" t="s">
        <v>652</v>
      </c>
      <c r="D9212" t="s">
        <v>1401</v>
      </c>
      <c r="E9212" t="s">
        <v>187</v>
      </c>
      <c r="F9212">
        <v>2010</v>
      </c>
      <c r="G9212">
        <v>0.46600000000000003</v>
      </c>
    </row>
    <row r="9213" spans="1:7">
      <c r="A9213" t="s">
        <v>1297</v>
      </c>
      <c r="B9213" t="s">
        <v>1298</v>
      </c>
      <c r="C9213" t="s">
        <v>652</v>
      </c>
      <c r="D9213" t="s">
        <v>1401</v>
      </c>
      <c r="E9213" t="s">
        <v>187</v>
      </c>
      <c r="F9213">
        <v>2012</v>
      </c>
      <c r="G9213">
        <v>0.58919999999999995</v>
      </c>
    </row>
    <row r="9214" spans="1:7">
      <c r="A9214" t="s">
        <v>1297</v>
      </c>
      <c r="B9214" t="s">
        <v>1298</v>
      </c>
      <c r="C9214" t="s">
        <v>652</v>
      </c>
      <c r="D9214" t="s">
        <v>1401</v>
      </c>
      <c r="E9214" t="s">
        <v>187</v>
      </c>
      <c r="F9214">
        <v>2016</v>
      </c>
      <c r="G9214">
        <v>0.26979999999999998</v>
      </c>
    </row>
    <row r="9215" spans="1:7">
      <c r="A9215" t="s">
        <v>1297</v>
      </c>
      <c r="B9215" t="s">
        <v>1298</v>
      </c>
      <c r="C9215" t="s">
        <v>652</v>
      </c>
      <c r="D9215" t="s">
        <v>1401</v>
      </c>
      <c r="E9215" t="s">
        <v>187</v>
      </c>
      <c r="F9215">
        <v>2020</v>
      </c>
      <c r="G9215">
        <v>0.68389999999999995</v>
      </c>
    </row>
    <row r="9216" spans="1:7">
      <c r="A9216" t="s">
        <v>1297</v>
      </c>
      <c r="B9216" t="s">
        <v>1298</v>
      </c>
      <c r="C9216" t="s">
        <v>653</v>
      </c>
      <c r="D9216" t="s">
        <v>1401</v>
      </c>
      <c r="E9216" t="s">
        <v>187</v>
      </c>
      <c r="F9216">
        <v>2005</v>
      </c>
      <c r="G9216">
        <v>18.327999999999999</v>
      </c>
    </row>
    <row r="9217" spans="1:7">
      <c r="A9217" t="s">
        <v>1297</v>
      </c>
      <c r="B9217" t="s">
        <v>1298</v>
      </c>
      <c r="C9217" t="s">
        <v>653</v>
      </c>
      <c r="D9217" t="s">
        <v>1401</v>
      </c>
      <c r="E9217" t="s">
        <v>187</v>
      </c>
      <c r="F9217">
        <v>2010</v>
      </c>
      <c r="G9217">
        <v>14.84</v>
      </c>
    </row>
    <row r="9218" spans="1:7">
      <c r="A9218" t="s">
        <v>1297</v>
      </c>
      <c r="B9218" t="s">
        <v>1298</v>
      </c>
      <c r="C9218" t="s">
        <v>653</v>
      </c>
      <c r="D9218" t="s">
        <v>1401</v>
      </c>
      <c r="E9218" t="s">
        <v>187</v>
      </c>
      <c r="F9218">
        <v>2012</v>
      </c>
      <c r="G9218">
        <v>14.401</v>
      </c>
    </row>
    <row r="9219" spans="1:7">
      <c r="A9219" t="s">
        <v>1297</v>
      </c>
      <c r="B9219" t="s">
        <v>1298</v>
      </c>
      <c r="C9219" t="s">
        <v>653</v>
      </c>
      <c r="D9219" t="s">
        <v>1401</v>
      </c>
      <c r="E9219" t="s">
        <v>187</v>
      </c>
      <c r="F9219">
        <v>2016</v>
      </c>
      <c r="G9219">
        <v>13.590999999999999</v>
      </c>
    </row>
    <row r="9220" spans="1:7">
      <c r="A9220" t="s">
        <v>1297</v>
      </c>
      <c r="B9220" t="s">
        <v>1298</v>
      </c>
      <c r="C9220" t="s">
        <v>653</v>
      </c>
      <c r="D9220" t="s">
        <v>1401</v>
      </c>
      <c r="E9220" t="s">
        <v>187</v>
      </c>
      <c r="F9220">
        <v>2020</v>
      </c>
      <c r="G9220">
        <v>12.877288999999999</v>
      </c>
    </row>
    <row r="9221" spans="1:7">
      <c r="A9221" t="s">
        <v>1297</v>
      </c>
      <c r="B9221" t="s">
        <v>1298</v>
      </c>
      <c r="C9221" t="s">
        <v>665</v>
      </c>
      <c r="D9221" t="s">
        <v>1401</v>
      </c>
      <c r="E9221" t="s">
        <v>187</v>
      </c>
      <c r="F9221">
        <v>2005</v>
      </c>
      <c r="G9221">
        <v>6.6509999999999998</v>
      </c>
    </row>
    <row r="9222" spans="1:7">
      <c r="A9222" t="s">
        <v>1297</v>
      </c>
      <c r="B9222" t="s">
        <v>1298</v>
      </c>
      <c r="C9222" t="s">
        <v>665</v>
      </c>
      <c r="D9222" t="s">
        <v>1401</v>
      </c>
      <c r="E9222" t="s">
        <v>187</v>
      </c>
      <c r="F9222">
        <v>2010</v>
      </c>
      <c r="G9222">
        <v>5.133</v>
      </c>
    </row>
    <row r="9223" spans="1:7">
      <c r="A9223" t="s">
        <v>1297</v>
      </c>
      <c r="B9223" t="s">
        <v>1298</v>
      </c>
      <c r="C9223" t="s">
        <v>665</v>
      </c>
      <c r="D9223" t="s">
        <v>1401</v>
      </c>
      <c r="E9223" t="s">
        <v>187</v>
      </c>
      <c r="F9223">
        <v>2012</v>
      </c>
      <c r="G9223">
        <v>29.07</v>
      </c>
    </row>
    <row r="9224" spans="1:7">
      <c r="A9224" t="s">
        <v>1297</v>
      </c>
      <c r="B9224" t="s">
        <v>1298</v>
      </c>
      <c r="C9224" t="s">
        <v>665</v>
      </c>
      <c r="D9224" t="s">
        <v>1401</v>
      </c>
      <c r="E9224" t="s">
        <v>187</v>
      </c>
      <c r="F9224">
        <v>2016</v>
      </c>
      <c r="G9224">
        <v>39.634999999999998</v>
      </c>
    </row>
    <row r="9225" spans="1:7">
      <c r="A9225" t="s">
        <v>1297</v>
      </c>
      <c r="B9225" t="s">
        <v>1298</v>
      </c>
      <c r="C9225" t="s">
        <v>665</v>
      </c>
      <c r="D9225" t="s">
        <v>1401</v>
      </c>
      <c r="E9225" t="s">
        <v>187</v>
      </c>
      <c r="F9225">
        <v>2020</v>
      </c>
      <c r="G9225">
        <v>37.173876</v>
      </c>
    </row>
    <row r="9226" spans="1:7">
      <c r="A9226" t="s">
        <v>1297</v>
      </c>
      <c r="B9226" t="s">
        <v>1298</v>
      </c>
      <c r="C9226" t="s">
        <v>674</v>
      </c>
      <c r="D9226" t="s">
        <v>1401</v>
      </c>
      <c r="E9226" t="s">
        <v>187</v>
      </c>
      <c r="F9226">
        <v>2005</v>
      </c>
      <c r="G9226">
        <v>105.209</v>
      </c>
    </row>
    <row r="9227" spans="1:7">
      <c r="A9227" t="s">
        <v>1297</v>
      </c>
      <c r="B9227" t="s">
        <v>1298</v>
      </c>
      <c r="C9227" t="s">
        <v>674</v>
      </c>
      <c r="D9227" t="s">
        <v>1401</v>
      </c>
      <c r="E9227" t="s">
        <v>187</v>
      </c>
      <c r="F9227">
        <v>2010</v>
      </c>
      <c r="G9227">
        <v>135.38900000000001</v>
      </c>
    </row>
    <row r="9228" spans="1:7">
      <c r="A9228" t="s">
        <v>1297</v>
      </c>
      <c r="B9228" t="s">
        <v>1298</v>
      </c>
      <c r="C9228" t="s">
        <v>674</v>
      </c>
      <c r="D9228" t="s">
        <v>1401</v>
      </c>
      <c r="E9228" t="s">
        <v>187</v>
      </c>
      <c r="F9228">
        <v>2012</v>
      </c>
      <c r="G9228">
        <v>114.46899999999999</v>
      </c>
    </row>
    <row r="9229" spans="1:7">
      <c r="A9229" t="s">
        <v>1297</v>
      </c>
      <c r="B9229" t="s">
        <v>1298</v>
      </c>
      <c r="C9229" t="s">
        <v>674</v>
      </c>
      <c r="D9229" t="s">
        <v>1401</v>
      </c>
      <c r="E9229" t="s">
        <v>187</v>
      </c>
      <c r="F9229">
        <v>2016</v>
      </c>
      <c r="G9229">
        <v>109.12</v>
      </c>
    </row>
    <row r="9230" spans="1:7">
      <c r="A9230" t="s">
        <v>1297</v>
      </c>
      <c r="B9230" t="s">
        <v>1298</v>
      </c>
      <c r="C9230" t="s">
        <v>674</v>
      </c>
      <c r="D9230" t="s">
        <v>1401</v>
      </c>
      <c r="E9230" t="s">
        <v>187</v>
      </c>
      <c r="F9230">
        <v>2020</v>
      </c>
      <c r="G9230">
        <v>107.485</v>
      </c>
    </row>
    <row r="9231" spans="1:7">
      <c r="A9231" t="s">
        <v>1297</v>
      </c>
      <c r="B9231" t="s">
        <v>1298</v>
      </c>
      <c r="C9231" t="s">
        <v>686</v>
      </c>
      <c r="D9231" t="s">
        <v>1401</v>
      </c>
      <c r="E9231" t="s">
        <v>187</v>
      </c>
      <c r="F9231">
        <v>2005</v>
      </c>
      <c r="G9231">
        <v>16.396999999999998</v>
      </c>
    </row>
    <row r="9232" spans="1:7">
      <c r="A9232" t="s">
        <v>1297</v>
      </c>
      <c r="B9232" t="s">
        <v>1298</v>
      </c>
      <c r="C9232" t="s">
        <v>686</v>
      </c>
      <c r="D9232" t="s">
        <v>1401</v>
      </c>
      <c r="E9232" t="s">
        <v>187</v>
      </c>
      <c r="F9232">
        <v>2010</v>
      </c>
      <c r="G9232">
        <v>15.946999999999999</v>
      </c>
    </row>
    <row r="9233" spans="1:7">
      <c r="A9233" t="s">
        <v>1297</v>
      </c>
      <c r="B9233" t="s">
        <v>1298</v>
      </c>
      <c r="C9233" t="s">
        <v>686</v>
      </c>
      <c r="D9233" t="s">
        <v>1401</v>
      </c>
      <c r="E9233" t="s">
        <v>187</v>
      </c>
      <c r="F9233">
        <v>2012</v>
      </c>
      <c r="G9233">
        <v>16.917000000000002</v>
      </c>
    </row>
    <row r="9234" spans="1:7">
      <c r="A9234" t="s">
        <v>1297</v>
      </c>
      <c r="B9234" t="s">
        <v>1298</v>
      </c>
      <c r="C9234" t="s">
        <v>686</v>
      </c>
      <c r="D9234" t="s">
        <v>1401</v>
      </c>
      <c r="E9234" t="s">
        <v>187</v>
      </c>
      <c r="F9234">
        <v>2016</v>
      </c>
      <c r="G9234">
        <v>16.928999999999998</v>
      </c>
    </row>
    <row r="9235" spans="1:7">
      <c r="A9235" t="s">
        <v>1297</v>
      </c>
      <c r="B9235" t="s">
        <v>1298</v>
      </c>
      <c r="C9235" t="s">
        <v>686</v>
      </c>
      <c r="D9235" t="s">
        <v>1401</v>
      </c>
      <c r="E9235" t="s">
        <v>187</v>
      </c>
      <c r="F9235">
        <v>2020</v>
      </c>
      <c r="G9235">
        <v>15.761763</v>
      </c>
    </row>
    <row r="9236" spans="1:7">
      <c r="A9236" t="s">
        <v>1297</v>
      </c>
      <c r="B9236" t="s">
        <v>1298</v>
      </c>
      <c r="C9236" t="s">
        <v>682</v>
      </c>
      <c r="D9236" t="s">
        <v>1401</v>
      </c>
      <c r="E9236" t="s">
        <v>187</v>
      </c>
      <c r="F9236">
        <v>2016</v>
      </c>
      <c r="G9236">
        <v>3.9910000000000001</v>
      </c>
    </row>
    <row r="9237" spans="1:7">
      <c r="A9237" t="s">
        <v>1297</v>
      </c>
      <c r="B9237" t="s">
        <v>1298</v>
      </c>
      <c r="C9237" t="s">
        <v>682</v>
      </c>
      <c r="D9237" t="s">
        <v>1401</v>
      </c>
      <c r="E9237" t="s">
        <v>187</v>
      </c>
      <c r="F9237">
        <v>2020</v>
      </c>
      <c r="G9237">
        <v>3.9009999999999998</v>
      </c>
    </row>
    <row r="9238" spans="1:7">
      <c r="A9238" t="s">
        <v>1297</v>
      </c>
      <c r="B9238" t="s">
        <v>1298</v>
      </c>
      <c r="C9238" t="s">
        <v>657</v>
      </c>
      <c r="D9238" t="s">
        <v>1401</v>
      </c>
      <c r="E9238" t="s">
        <v>187</v>
      </c>
      <c r="F9238">
        <v>2005</v>
      </c>
      <c r="G9238">
        <v>63.472000000000001</v>
      </c>
    </row>
    <row r="9239" spans="1:7">
      <c r="A9239" t="s">
        <v>1297</v>
      </c>
      <c r="B9239" t="s">
        <v>1298</v>
      </c>
      <c r="C9239" t="s">
        <v>657</v>
      </c>
      <c r="D9239" t="s">
        <v>1401</v>
      </c>
      <c r="E9239" t="s">
        <v>187</v>
      </c>
      <c r="F9239">
        <v>2010</v>
      </c>
      <c r="G9239">
        <v>76.638000000000005</v>
      </c>
    </row>
    <row r="9240" spans="1:7">
      <c r="A9240" t="s">
        <v>1297</v>
      </c>
      <c r="B9240" t="s">
        <v>1298</v>
      </c>
      <c r="C9240" t="s">
        <v>657</v>
      </c>
      <c r="D9240" t="s">
        <v>1401</v>
      </c>
      <c r="E9240" t="s">
        <v>187</v>
      </c>
      <c r="F9240">
        <v>2012</v>
      </c>
      <c r="G9240">
        <v>69.05</v>
      </c>
    </row>
    <row r="9241" spans="1:7">
      <c r="A9241" t="s">
        <v>1297</v>
      </c>
      <c r="B9241" t="s">
        <v>1298</v>
      </c>
      <c r="C9241" t="s">
        <v>657</v>
      </c>
      <c r="D9241" t="s">
        <v>1401</v>
      </c>
      <c r="E9241" t="s">
        <v>187</v>
      </c>
      <c r="F9241">
        <v>2016</v>
      </c>
      <c r="G9241">
        <v>69.675240000000002</v>
      </c>
    </row>
    <row r="9242" spans="1:7">
      <c r="A9242" t="s">
        <v>1297</v>
      </c>
      <c r="B9242" t="s">
        <v>1298</v>
      </c>
      <c r="C9242" t="s">
        <v>657</v>
      </c>
      <c r="D9242" t="s">
        <v>1401</v>
      </c>
      <c r="E9242" t="s">
        <v>187</v>
      </c>
      <c r="F9242">
        <v>2020</v>
      </c>
      <c r="G9242">
        <v>67.709307999999993</v>
      </c>
    </row>
    <row r="9243" spans="1:7">
      <c r="A9243" t="s">
        <v>1297</v>
      </c>
      <c r="B9243" t="s">
        <v>1298</v>
      </c>
      <c r="C9243" t="s">
        <v>671</v>
      </c>
      <c r="D9243" t="s">
        <v>1401</v>
      </c>
      <c r="E9243" t="s">
        <v>187</v>
      </c>
      <c r="F9243">
        <v>2005</v>
      </c>
      <c r="G9243">
        <v>190</v>
      </c>
    </row>
    <row r="9244" spans="1:7">
      <c r="A9244" t="s">
        <v>1297</v>
      </c>
      <c r="B9244" t="s">
        <v>1298</v>
      </c>
      <c r="C9244" t="s">
        <v>671</v>
      </c>
      <c r="D9244" t="s">
        <v>1401</v>
      </c>
      <c r="E9244" t="s">
        <v>187</v>
      </c>
      <c r="F9244">
        <v>2010</v>
      </c>
      <c r="G9244">
        <v>195</v>
      </c>
    </row>
    <row r="9245" spans="1:7">
      <c r="A9245" t="s">
        <v>1297</v>
      </c>
      <c r="B9245" t="s">
        <v>1298</v>
      </c>
      <c r="C9245" t="s">
        <v>671</v>
      </c>
      <c r="D9245" t="s">
        <v>1401</v>
      </c>
      <c r="E9245" t="s">
        <v>187</v>
      </c>
      <c r="F9245">
        <v>2012</v>
      </c>
      <c r="G9245">
        <v>180</v>
      </c>
    </row>
    <row r="9246" spans="1:7">
      <c r="A9246" t="s">
        <v>1297</v>
      </c>
      <c r="B9246" t="s">
        <v>1298</v>
      </c>
      <c r="C9246" t="s">
        <v>671</v>
      </c>
      <c r="D9246" t="s">
        <v>1401</v>
      </c>
      <c r="E9246" t="s">
        <v>187</v>
      </c>
      <c r="F9246">
        <v>2016</v>
      </c>
      <c r="G9246">
        <v>163</v>
      </c>
    </row>
    <row r="9247" spans="1:7">
      <c r="A9247" t="s">
        <v>1297</v>
      </c>
      <c r="B9247" t="s">
        <v>1298</v>
      </c>
      <c r="C9247" t="s">
        <v>671</v>
      </c>
      <c r="D9247" t="s">
        <v>1401</v>
      </c>
      <c r="E9247" t="s">
        <v>187</v>
      </c>
      <c r="F9247">
        <v>2020</v>
      </c>
      <c r="G9247">
        <v>152</v>
      </c>
    </row>
    <row r="9248" spans="1:7">
      <c r="A9248" t="s">
        <v>1297</v>
      </c>
      <c r="B9248" t="s">
        <v>1298</v>
      </c>
      <c r="C9248" t="s">
        <v>672</v>
      </c>
      <c r="D9248" t="s">
        <v>1401</v>
      </c>
      <c r="E9248" t="s">
        <v>187</v>
      </c>
      <c r="F9248">
        <v>2005</v>
      </c>
      <c r="G9248">
        <v>4.2999999999999997E-2</v>
      </c>
    </row>
    <row r="9249" spans="1:7">
      <c r="A9249" t="s">
        <v>1297</v>
      </c>
      <c r="B9249" t="s">
        <v>1298</v>
      </c>
      <c r="C9249" t="s">
        <v>672</v>
      </c>
      <c r="D9249" t="s">
        <v>1401</v>
      </c>
      <c r="E9249" t="s">
        <v>187</v>
      </c>
      <c r="F9249">
        <v>2010</v>
      </c>
      <c r="G9249">
        <v>4.2999999999999997E-2</v>
      </c>
    </row>
    <row r="9250" spans="1:7">
      <c r="A9250" t="s">
        <v>1297</v>
      </c>
      <c r="B9250" t="s">
        <v>1298</v>
      </c>
      <c r="C9250" t="s">
        <v>672</v>
      </c>
      <c r="D9250" t="s">
        <v>1401</v>
      </c>
      <c r="E9250" t="s">
        <v>187</v>
      </c>
      <c r="F9250">
        <v>2012</v>
      </c>
      <c r="G9250">
        <v>4.4999999999999998E-2</v>
      </c>
    </row>
    <row r="9251" spans="1:7">
      <c r="A9251" t="s">
        <v>1297</v>
      </c>
      <c r="B9251" t="s">
        <v>1298</v>
      </c>
      <c r="C9251" t="s">
        <v>672</v>
      </c>
      <c r="D9251" t="s">
        <v>1401</v>
      </c>
      <c r="E9251" t="s">
        <v>187</v>
      </c>
      <c r="F9251">
        <v>2016</v>
      </c>
      <c r="G9251">
        <v>3.5999999999999997E-2</v>
      </c>
    </row>
    <row r="9252" spans="1:7">
      <c r="A9252" t="s">
        <v>1297</v>
      </c>
      <c r="B9252" t="s">
        <v>1298</v>
      </c>
      <c r="C9252" t="s">
        <v>672</v>
      </c>
      <c r="D9252" t="s">
        <v>1401</v>
      </c>
      <c r="E9252" t="s">
        <v>187</v>
      </c>
      <c r="F9252">
        <v>2020</v>
      </c>
      <c r="G9252">
        <v>3.5999999999999997E-2</v>
      </c>
    </row>
    <row r="9253" spans="1:7">
      <c r="A9253" t="s">
        <v>1297</v>
      </c>
      <c r="B9253" t="s">
        <v>1298</v>
      </c>
      <c r="C9253" t="s">
        <v>663</v>
      </c>
      <c r="D9253" t="s">
        <v>1401</v>
      </c>
      <c r="E9253" t="s">
        <v>187</v>
      </c>
      <c r="F9253">
        <v>2005</v>
      </c>
      <c r="G9253">
        <v>29.44</v>
      </c>
    </row>
    <row r="9254" spans="1:7">
      <c r="A9254" t="s">
        <v>1297</v>
      </c>
      <c r="B9254" t="s">
        <v>1298</v>
      </c>
      <c r="C9254" t="s">
        <v>663</v>
      </c>
      <c r="D9254" t="s">
        <v>1401</v>
      </c>
      <c r="E9254" t="s">
        <v>187</v>
      </c>
      <c r="F9254">
        <v>2010</v>
      </c>
      <c r="G9254">
        <v>23.850999999999999</v>
      </c>
    </row>
    <row r="9255" spans="1:7">
      <c r="A9255" t="s">
        <v>1297</v>
      </c>
      <c r="B9255" t="s">
        <v>1298</v>
      </c>
      <c r="C9255" t="s">
        <v>663</v>
      </c>
      <c r="D9255" t="s">
        <v>1401</v>
      </c>
      <c r="E9255" t="s">
        <v>187</v>
      </c>
      <c r="F9255">
        <v>2012</v>
      </c>
      <c r="G9255">
        <v>22.497</v>
      </c>
    </row>
    <row r="9256" spans="1:7">
      <c r="A9256" t="s">
        <v>1297</v>
      </c>
      <c r="B9256" t="s">
        <v>1298</v>
      </c>
      <c r="C9256" t="s">
        <v>663</v>
      </c>
      <c r="D9256" t="s">
        <v>1401</v>
      </c>
      <c r="E9256" t="s">
        <v>187</v>
      </c>
      <c r="F9256">
        <v>2016</v>
      </c>
      <c r="G9256">
        <v>20.558</v>
      </c>
    </row>
    <row r="9257" spans="1:7">
      <c r="A9257" t="s">
        <v>1297</v>
      </c>
      <c r="B9257" t="s">
        <v>1298</v>
      </c>
      <c r="C9257" t="s">
        <v>663</v>
      </c>
      <c r="D9257" t="s">
        <v>1401</v>
      </c>
      <c r="E9257" t="s">
        <v>187</v>
      </c>
      <c r="F9257">
        <v>2020</v>
      </c>
      <c r="G9257">
        <v>19.05</v>
      </c>
    </row>
    <row r="9258" spans="1:7">
      <c r="A9258" t="s">
        <v>1297</v>
      </c>
      <c r="B9258" t="s">
        <v>1298</v>
      </c>
      <c r="C9258" t="s">
        <v>660</v>
      </c>
      <c r="D9258" t="s">
        <v>1401</v>
      </c>
      <c r="E9258" t="s">
        <v>187</v>
      </c>
      <c r="F9258">
        <v>2005</v>
      </c>
      <c r="G9258">
        <v>59.904000000000003</v>
      </c>
    </row>
    <row r="9259" spans="1:7">
      <c r="A9259" t="s">
        <v>1297</v>
      </c>
      <c r="B9259" t="s">
        <v>1298</v>
      </c>
      <c r="C9259" t="s">
        <v>660</v>
      </c>
      <c r="D9259" t="s">
        <v>1401</v>
      </c>
      <c r="E9259" t="s">
        <v>187</v>
      </c>
      <c r="F9259">
        <v>2010</v>
      </c>
      <c r="G9259">
        <v>72.882000000000005</v>
      </c>
    </row>
    <row r="9260" spans="1:7">
      <c r="A9260" t="s">
        <v>1297</v>
      </c>
      <c r="B9260" t="s">
        <v>1298</v>
      </c>
      <c r="C9260" t="s">
        <v>660</v>
      </c>
      <c r="D9260" t="s">
        <v>1401</v>
      </c>
      <c r="E9260" t="s">
        <v>187</v>
      </c>
      <c r="F9260">
        <v>2012</v>
      </c>
      <c r="G9260">
        <v>69.522999999999996</v>
      </c>
    </row>
    <row r="9261" spans="1:7">
      <c r="A9261" t="s">
        <v>1297</v>
      </c>
      <c r="B9261" t="s">
        <v>1298</v>
      </c>
      <c r="C9261" t="s">
        <v>660</v>
      </c>
      <c r="D9261" t="s">
        <v>1401</v>
      </c>
      <c r="E9261" t="s">
        <v>187</v>
      </c>
      <c r="F9261">
        <v>2016</v>
      </c>
      <c r="G9261">
        <v>70.539000000000001</v>
      </c>
    </row>
    <row r="9262" spans="1:7">
      <c r="A9262" t="s">
        <v>1297</v>
      </c>
      <c r="B9262" t="s">
        <v>1298</v>
      </c>
      <c r="C9262" t="s">
        <v>660</v>
      </c>
      <c r="D9262" t="s">
        <v>1401</v>
      </c>
      <c r="E9262" t="s">
        <v>187</v>
      </c>
      <c r="F9262">
        <v>2020</v>
      </c>
      <c r="G9262">
        <v>66.66</v>
      </c>
    </row>
    <row r="9263" spans="1:7">
      <c r="A9263" t="s">
        <v>1297</v>
      </c>
      <c r="B9263" t="s">
        <v>1298</v>
      </c>
      <c r="C9263" t="s">
        <v>661</v>
      </c>
      <c r="D9263" t="s">
        <v>1401</v>
      </c>
      <c r="E9263" t="s">
        <v>187</v>
      </c>
      <c r="F9263">
        <v>2016</v>
      </c>
      <c r="G9263">
        <v>52.848199999999999</v>
      </c>
    </row>
    <row r="9264" spans="1:7">
      <c r="A9264" t="s">
        <v>1297</v>
      </c>
      <c r="B9264" t="s">
        <v>1298</v>
      </c>
      <c r="C9264" t="s">
        <v>661</v>
      </c>
      <c r="D9264" t="s">
        <v>1401</v>
      </c>
      <c r="E9264" t="s">
        <v>187</v>
      </c>
      <c r="F9264">
        <v>2020</v>
      </c>
      <c r="G9264">
        <v>53.904501000000003</v>
      </c>
    </row>
    <row r="9265" spans="1:7">
      <c r="A9265" t="s">
        <v>1297</v>
      </c>
      <c r="B9265" t="s">
        <v>1298</v>
      </c>
      <c r="C9265" t="s">
        <v>666</v>
      </c>
      <c r="D9265" t="s">
        <v>1401</v>
      </c>
      <c r="E9265" t="s">
        <v>187</v>
      </c>
      <c r="F9265">
        <v>2005</v>
      </c>
      <c r="G9265">
        <v>22.254999999999999</v>
      </c>
    </row>
    <row r="9266" spans="1:7">
      <c r="A9266" t="s">
        <v>1297</v>
      </c>
      <c r="B9266" t="s">
        <v>1298</v>
      </c>
      <c r="C9266" t="s">
        <v>666</v>
      </c>
      <c r="D9266" t="s">
        <v>1401</v>
      </c>
      <c r="E9266" t="s">
        <v>187</v>
      </c>
      <c r="F9266">
        <v>2010</v>
      </c>
      <c r="G9266">
        <v>22.08</v>
      </c>
    </row>
    <row r="9267" spans="1:7">
      <c r="A9267" t="s">
        <v>1297</v>
      </c>
      <c r="B9267" t="s">
        <v>1298</v>
      </c>
      <c r="C9267" t="s">
        <v>666</v>
      </c>
      <c r="D9267" t="s">
        <v>1401</v>
      </c>
      <c r="E9267" t="s">
        <v>187</v>
      </c>
      <c r="F9267">
        <v>2012</v>
      </c>
      <c r="G9267">
        <v>20.411999999999999</v>
      </c>
    </row>
    <row r="9268" spans="1:7">
      <c r="A9268" t="s">
        <v>1297</v>
      </c>
      <c r="B9268" t="s">
        <v>1298</v>
      </c>
      <c r="C9268" t="s">
        <v>666</v>
      </c>
      <c r="D9268" t="s">
        <v>1401</v>
      </c>
      <c r="E9268" t="s">
        <v>187</v>
      </c>
      <c r="F9268">
        <v>2016</v>
      </c>
      <c r="G9268">
        <v>19.524999999999999</v>
      </c>
    </row>
    <row r="9269" spans="1:7">
      <c r="A9269" t="s">
        <v>1297</v>
      </c>
      <c r="B9269" t="s">
        <v>1298</v>
      </c>
      <c r="C9269" t="s">
        <v>666</v>
      </c>
      <c r="D9269" t="s">
        <v>1401</v>
      </c>
      <c r="E9269" t="s">
        <v>187</v>
      </c>
      <c r="F9269">
        <v>2020</v>
      </c>
      <c r="G9269">
        <v>18.658999999999999</v>
      </c>
    </row>
    <row r="9270" spans="1:7">
      <c r="A9270" t="s">
        <v>1297</v>
      </c>
      <c r="B9270" t="s">
        <v>1298</v>
      </c>
      <c r="C9270" t="s">
        <v>673</v>
      </c>
      <c r="D9270" t="s">
        <v>1401</v>
      </c>
      <c r="E9270" t="s">
        <v>187</v>
      </c>
      <c r="F9270">
        <v>2005</v>
      </c>
      <c r="G9270">
        <v>61.375</v>
      </c>
    </row>
    <row r="9271" spans="1:7">
      <c r="A9271" t="s">
        <v>1297</v>
      </c>
      <c r="B9271" t="s">
        <v>1298</v>
      </c>
      <c r="C9271" t="s">
        <v>673</v>
      </c>
      <c r="D9271" t="s">
        <v>1401</v>
      </c>
      <c r="E9271" t="s">
        <v>187</v>
      </c>
      <c r="F9271">
        <v>2010</v>
      </c>
      <c r="G9271">
        <v>47.511000000000003</v>
      </c>
    </row>
    <row r="9272" spans="1:7">
      <c r="A9272" t="s">
        <v>1297</v>
      </c>
      <c r="B9272" t="s">
        <v>1298</v>
      </c>
      <c r="C9272" t="s">
        <v>673</v>
      </c>
      <c r="D9272" t="s">
        <v>1401</v>
      </c>
      <c r="E9272" t="s">
        <v>187</v>
      </c>
      <c r="F9272">
        <v>2012</v>
      </c>
      <c r="G9272">
        <v>40.174999999999997</v>
      </c>
    </row>
    <row r="9273" spans="1:7">
      <c r="A9273" t="s">
        <v>1297</v>
      </c>
      <c r="B9273" t="s">
        <v>1298</v>
      </c>
      <c r="C9273" t="s">
        <v>673</v>
      </c>
      <c r="D9273" t="s">
        <v>1401</v>
      </c>
      <c r="E9273" t="s">
        <v>187</v>
      </c>
      <c r="F9273">
        <v>2016</v>
      </c>
      <c r="G9273">
        <v>33.661000000000001</v>
      </c>
    </row>
    <row r="9274" spans="1:7">
      <c r="A9274" t="s">
        <v>1297</v>
      </c>
      <c r="B9274" t="s">
        <v>1298</v>
      </c>
      <c r="C9274" t="s">
        <v>673</v>
      </c>
      <c r="D9274" t="s">
        <v>1401</v>
      </c>
      <c r="E9274" t="s">
        <v>187</v>
      </c>
      <c r="F9274">
        <v>2020</v>
      </c>
      <c r="G9274">
        <v>29.485088000000001</v>
      </c>
    </row>
    <row r="9275" spans="1:7">
      <c r="A9275" t="s">
        <v>1297</v>
      </c>
      <c r="B9275" t="s">
        <v>1298</v>
      </c>
      <c r="C9275" t="s">
        <v>662</v>
      </c>
      <c r="D9275" t="s">
        <v>1401</v>
      </c>
      <c r="E9275" t="s">
        <v>187</v>
      </c>
      <c r="F9275">
        <v>2005</v>
      </c>
      <c r="G9275">
        <v>2.0489999999999999</v>
      </c>
    </row>
    <row r="9276" spans="1:7">
      <c r="A9276" t="s">
        <v>1297</v>
      </c>
      <c r="B9276" t="s">
        <v>1298</v>
      </c>
      <c r="C9276" t="s">
        <v>662</v>
      </c>
      <c r="D9276" t="s">
        <v>1401</v>
      </c>
      <c r="E9276" t="s">
        <v>187</v>
      </c>
      <c r="F9276">
        <v>2010</v>
      </c>
      <c r="G9276">
        <v>1.9410000000000001</v>
      </c>
    </row>
    <row r="9277" spans="1:7">
      <c r="A9277" t="s">
        <v>1297</v>
      </c>
      <c r="B9277" t="s">
        <v>1298</v>
      </c>
      <c r="C9277" t="s">
        <v>662</v>
      </c>
      <c r="D9277" t="s">
        <v>1401</v>
      </c>
      <c r="E9277" t="s">
        <v>187</v>
      </c>
      <c r="F9277">
        <v>2012</v>
      </c>
      <c r="G9277">
        <v>1.887</v>
      </c>
    </row>
    <row r="9278" spans="1:7">
      <c r="A9278" t="s">
        <v>1297</v>
      </c>
      <c r="B9278" t="s">
        <v>1298</v>
      </c>
      <c r="C9278" t="s">
        <v>662</v>
      </c>
      <c r="D9278" t="s">
        <v>1401</v>
      </c>
      <c r="E9278" t="s">
        <v>187</v>
      </c>
      <c r="F9278">
        <v>2016</v>
      </c>
      <c r="G9278">
        <v>2.1339999999999999</v>
      </c>
    </row>
    <row r="9279" spans="1:7">
      <c r="A9279" t="s">
        <v>1297</v>
      </c>
      <c r="B9279" t="s">
        <v>1298</v>
      </c>
      <c r="C9279" t="s">
        <v>662</v>
      </c>
      <c r="D9279" t="s">
        <v>1401</v>
      </c>
      <c r="E9279" t="s">
        <v>187</v>
      </c>
      <c r="F9279">
        <v>2020</v>
      </c>
      <c r="G9279">
        <v>2.2028799999999999</v>
      </c>
    </row>
    <row r="9280" spans="1:7">
      <c r="A9280" t="s">
        <v>1297</v>
      </c>
      <c r="B9280" t="s">
        <v>1298</v>
      </c>
      <c r="C9280" t="s">
        <v>1302</v>
      </c>
      <c r="D9280" t="s">
        <v>1401</v>
      </c>
      <c r="E9280" t="s">
        <v>187</v>
      </c>
      <c r="F9280">
        <v>2005</v>
      </c>
      <c r="G9280">
        <v>0.25</v>
      </c>
    </row>
    <row r="9281" spans="1:7">
      <c r="A9281" t="s">
        <v>1297</v>
      </c>
      <c r="B9281" t="s">
        <v>1298</v>
      </c>
      <c r="C9281" t="s">
        <v>1302</v>
      </c>
      <c r="D9281" t="s">
        <v>1401</v>
      </c>
      <c r="E9281" t="s">
        <v>187</v>
      </c>
      <c r="F9281">
        <v>2010</v>
      </c>
      <c r="G9281">
        <v>0.14599999999999999</v>
      </c>
    </row>
    <row r="9282" spans="1:7">
      <c r="A9282" t="s">
        <v>1297</v>
      </c>
      <c r="B9282" t="s">
        <v>1298</v>
      </c>
      <c r="C9282" t="s">
        <v>1302</v>
      </c>
      <c r="D9282" t="s">
        <v>1401</v>
      </c>
      <c r="E9282" t="s">
        <v>187</v>
      </c>
      <c r="F9282">
        <v>2012</v>
      </c>
      <c r="G9282">
        <v>9.4E-2</v>
      </c>
    </row>
    <row r="9283" spans="1:7">
      <c r="A9283" t="s">
        <v>1297</v>
      </c>
      <c r="B9283" t="s">
        <v>1298</v>
      </c>
      <c r="C9283" t="s">
        <v>1302</v>
      </c>
      <c r="D9283" t="s">
        <v>1401</v>
      </c>
      <c r="E9283" t="s">
        <v>187</v>
      </c>
      <c r="F9283">
        <v>2016</v>
      </c>
      <c r="G9283">
        <v>0.36699999999999999</v>
      </c>
    </row>
    <row r="9284" spans="1:7">
      <c r="A9284" t="s">
        <v>1297</v>
      </c>
      <c r="B9284" t="s">
        <v>1298</v>
      </c>
      <c r="C9284" t="s">
        <v>1302</v>
      </c>
      <c r="D9284" t="s">
        <v>1401</v>
      </c>
      <c r="E9284" t="s">
        <v>187</v>
      </c>
      <c r="F9284">
        <v>2020</v>
      </c>
      <c r="G9284">
        <v>0.40121400000000002</v>
      </c>
    </row>
    <row r="9285" spans="1:7">
      <c r="A9285" t="s">
        <v>1297</v>
      </c>
      <c r="B9285" t="s">
        <v>1298</v>
      </c>
      <c r="C9285" t="s">
        <v>676</v>
      </c>
      <c r="D9285" t="s">
        <v>1401</v>
      </c>
      <c r="E9285" t="s">
        <v>187</v>
      </c>
      <c r="F9285">
        <v>2005</v>
      </c>
      <c r="G9285">
        <v>26.187000000000001</v>
      </c>
    </row>
    <row r="9286" spans="1:7">
      <c r="A9286" t="s">
        <v>1297</v>
      </c>
      <c r="B9286" t="s">
        <v>1298</v>
      </c>
      <c r="C9286" t="s">
        <v>676</v>
      </c>
      <c r="D9286" t="s">
        <v>1401</v>
      </c>
      <c r="E9286" t="s">
        <v>187</v>
      </c>
      <c r="F9286">
        <v>2010</v>
      </c>
      <c r="G9286">
        <v>20.562999999999999</v>
      </c>
    </row>
    <row r="9287" spans="1:7">
      <c r="A9287" t="s">
        <v>1297</v>
      </c>
      <c r="B9287" t="s">
        <v>1298</v>
      </c>
      <c r="C9287" t="s">
        <v>676</v>
      </c>
      <c r="D9287" t="s">
        <v>1401</v>
      </c>
      <c r="E9287" t="s">
        <v>187</v>
      </c>
      <c r="F9287">
        <v>2012</v>
      </c>
      <c r="G9287">
        <v>20.177</v>
      </c>
    </row>
    <row r="9288" spans="1:7">
      <c r="A9288" t="s">
        <v>1297</v>
      </c>
      <c r="B9288" t="s">
        <v>1298</v>
      </c>
      <c r="C9288" t="s">
        <v>676</v>
      </c>
      <c r="D9288" t="s">
        <v>1401</v>
      </c>
      <c r="E9288" t="s">
        <v>187</v>
      </c>
      <c r="F9288">
        <v>2016</v>
      </c>
      <c r="G9288">
        <v>18.774999999999999</v>
      </c>
    </row>
    <row r="9289" spans="1:7">
      <c r="A9289" t="s">
        <v>1297</v>
      </c>
      <c r="B9289" t="s">
        <v>1298</v>
      </c>
      <c r="C9289" t="s">
        <v>676</v>
      </c>
      <c r="D9289" t="s">
        <v>1401</v>
      </c>
      <c r="E9289" t="s">
        <v>187</v>
      </c>
      <c r="F9289">
        <v>2020</v>
      </c>
      <c r="G9289">
        <v>16.913</v>
      </c>
    </row>
    <row r="9290" spans="1:7">
      <c r="A9290" t="s">
        <v>1297</v>
      </c>
      <c r="B9290" t="s">
        <v>1298</v>
      </c>
      <c r="C9290" t="s">
        <v>668</v>
      </c>
      <c r="D9290" t="s">
        <v>1401</v>
      </c>
      <c r="E9290" t="s">
        <v>187</v>
      </c>
      <c r="F9290">
        <v>2005</v>
      </c>
      <c r="G9290">
        <v>18.36</v>
      </c>
    </row>
    <row r="9291" spans="1:7">
      <c r="A9291" t="s">
        <v>1297</v>
      </c>
      <c r="B9291" t="s">
        <v>1298</v>
      </c>
      <c r="C9291" t="s">
        <v>668</v>
      </c>
      <c r="D9291" t="s">
        <v>1401</v>
      </c>
      <c r="E9291" t="s">
        <v>187</v>
      </c>
      <c r="F9291">
        <v>2010</v>
      </c>
      <c r="G9291">
        <v>17.622</v>
      </c>
    </row>
    <row r="9292" spans="1:7">
      <c r="A9292" t="s">
        <v>1297</v>
      </c>
      <c r="B9292" t="s">
        <v>1298</v>
      </c>
      <c r="C9292" t="s">
        <v>668</v>
      </c>
      <c r="D9292" t="s">
        <v>1401</v>
      </c>
      <c r="E9292" t="s">
        <v>187</v>
      </c>
      <c r="F9292">
        <v>2012</v>
      </c>
      <c r="G9292">
        <v>16.117000000000001</v>
      </c>
    </row>
    <row r="9293" spans="1:7">
      <c r="A9293" t="s">
        <v>1297</v>
      </c>
      <c r="B9293" t="s">
        <v>1298</v>
      </c>
      <c r="C9293" t="s">
        <v>668</v>
      </c>
      <c r="D9293" t="s">
        <v>1401</v>
      </c>
      <c r="E9293" t="s">
        <v>187</v>
      </c>
      <c r="F9293">
        <v>2016</v>
      </c>
      <c r="G9293">
        <v>15.468999999999999</v>
      </c>
    </row>
    <row r="9294" spans="1:7">
      <c r="A9294" t="s">
        <v>1297</v>
      </c>
      <c r="B9294" t="s">
        <v>1298</v>
      </c>
      <c r="C9294" t="s">
        <v>668</v>
      </c>
      <c r="D9294" t="s">
        <v>1401</v>
      </c>
      <c r="E9294" t="s">
        <v>187</v>
      </c>
      <c r="F9294">
        <v>2020</v>
      </c>
      <c r="G9294">
        <v>15.378069999999999</v>
      </c>
    </row>
    <row r="9295" spans="1:7">
      <c r="A9295" t="s">
        <v>1297</v>
      </c>
      <c r="B9295" t="s">
        <v>1298</v>
      </c>
      <c r="C9295" t="s">
        <v>675</v>
      </c>
      <c r="D9295" t="s">
        <v>1401</v>
      </c>
      <c r="E9295" t="s">
        <v>187</v>
      </c>
      <c r="F9295">
        <v>2005</v>
      </c>
      <c r="G9295">
        <v>4.5529999999999999</v>
      </c>
    </row>
    <row r="9296" spans="1:7">
      <c r="A9296" t="s">
        <v>1297</v>
      </c>
      <c r="B9296" t="s">
        <v>1298</v>
      </c>
      <c r="C9296" t="s">
        <v>675</v>
      </c>
      <c r="D9296" t="s">
        <v>1401</v>
      </c>
      <c r="E9296" t="s">
        <v>187</v>
      </c>
      <c r="F9296">
        <v>2010</v>
      </c>
      <c r="G9296">
        <v>4.2450000000000001</v>
      </c>
    </row>
    <row r="9297" spans="1:7">
      <c r="A9297" t="s">
        <v>1297</v>
      </c>
      <c r="B9297" t="s">
        <v>1298</v>
      </c>
      <c r="C9297" t="s">
        <v>675</v>
      </c>
      <c r="D9297" t="s">
        <v>1401</v>
      </c>
      <c r="E9297" t="s">
        <v>187</v>
      </c>
      <c r="F9297">
        <v>2012</v>
      </c>
      <c r="G9297">
        <v>3.4329999999999998</v>
      </c>
    </row>
    <row r="9298" spans="1:7">
      <c r="A9298" t="s">
        <v>1297</v>
      </c>
      <c r="B9298" t="s">
        <v>1298</v>
      </c>
      <c r="C9298" t="s">
        <v>675</v>
      </c>
      <c r="D9298" t="s">
        <v>1401</v>
      </c>
      <c r="E9298" t="s">
        <v>187</v>
      </c>
      <c r="F9298">
        <v>2016</v>
      </c>
      <c r="G9298">
        <v>3.4350000000000001</v>
      </c>
    </row>
    <row r="9299" spans="1:7">
      <c r="A9299" t="s">
        <v>1297</v>
      </c>
      <c r="B9299" t="s">
        <v>1298</v>
      </c>
      <c r="C9299" t="s">
        <v>675</v>
      </c>
      <c r="D9299" t="s">
        <v>1401</v>
      </c>
      <c r="E9299" t="s">
        <v>187</v>
      </c>
      <c r="F9299">
        <v>2020</v>
      </c>
      <c r="G9299">
        <v>3.0938720000000002</v>
      </c>
    </row>
    <row r="9300" spans="1:7">
      <c r="A9300" t="s">
        <v>1297</v>
      </c>
      <c r="B9300" t="s">
        <v>1298</v>
      </c>
      <c r="C9300" t="s">
        <v>655</v>
      </c>
      <c r="D9300" t="s">
        <v>1401</v>
      </c>
      <c r="E9300" t="s">
        <v>187</v>
      </c>
      <c r="F9300">
        <v>2005</v>
      </c>
      <c r="G9300">
        <v>48.890999999999998</v>
      </c>
    </row>
    <row r="9301" spans="1:7">
      <c r="A9301" t="s">
        <v>1297</v>
      </c>
      <c r="B9301" t="s">
        <v>1298</v>
      </c>
      <c r="C9301" t="s">
        <v>655</v>
      </c>
      <c r="D9301" t="s">
        <v>1401</v>
      </c>
      <c r="E9301" t="s">
        <v>187</v>
      </c>
      <c r="F9301">
        <v>2010</v>
      </c>
      <c r="G9301">
        <v>51.792999999999999</v>
      </c>
    </row>
    <row r="9302" spans="1:7">
      <c r="A9302" t="s">
        <v>1297</v>
      </c>
      <c r="B9302" t="s">
        <v>1298</v>
      </c>
      <c r="C9302" t="s">
        <v>655</v>
      </c>
      <c r="D9302" t="s">
        <v>1401</v>
      </c>
      <c r="E9302" t="s">
        <v>187</v>
      </c>
      <c r="F9302">
        <v>2012</v>
      </c>
      <c r="G9302">
        <v>48.985999999999997</v>
      </c>
    </row>
    <row r="9303" spans="1:7">
      <c r="A9303" t="s">
        <v>1297</v>
      </c>
      <c r="B9303" t="s">
        <v>1298</v>
      </c>
      <c r="C9303" t="s">
        <v>655</v>
      </c>
      <c r="D9303" t="s">
        <v>1401</v>
      </c>
      <c r="E9303" t="s">
        <v>187</v>
      </c>
      <c r="F9303">
        <v>2016</v>
      </c>
      <c r="G9303">
        <v>44.253</v>
      </c>
    </row>
    <row r="9304" spans="1:7">
      <c r="A9304" t="s">
        <v>1297</v>
      </c>
      <c r="B9304" t="s">
        <v>1298</v>
      </c>
      <c r="C9304" t="s">
        <v>655</v>
      </c>
      <c r="D9304" t="s">
        <v>1401</v>
      </c>
      <c r="E9304" t="s">
        <v>187</v>
      </c>
      <c r="F9304">
        <v>2020</v>
      </c>
      <c r="G9304">
        <v>40.663541000000002</v>
      </c>
    </row>
    <row r="9305" spans="1:7">
      <c r="A9305" t="s">
        <v>1297</v>
      </c>
      <c r="B9305" t="s">
        <v>1298</v>
      </c>
      <c r="C9305" t="s">
        <v>680</v>
      </c>
      <c r="D9305" t="s">
        <v>1401</v>
      </c>
      <c r="E9305" t="s">
        <v>187</v>
      </c>
      <c r="F9305">
        <v>2005</v>
      </c>
      <c r="G9305">
        <v>10.249000000000001</v>
      </c>
    </row>
    <row r="9306" spans="1:7">
      <c r="A9306" t="s">
        <v>1297</v>
      </c>
      <c r="B9306" t="s">
        <v>1298</v>
      </c>
      <c r="C9306" t="s">
        <v>680</v>
      </c>
      <c r="D9306" t="s">
        <v>1401</v>
      </c>
      <c r="E9306" t="s">
        <v>187</v>
      </c>
      <c r="F9306">
        <v>2010</v>
      </c>
      <c r="G9306">
        <v>11.186</v>
      </c>
    </row>
    <row r="9307" spans="1:7">
      <c r="A9307" t="s">
        <v>1297</v>
      </c>
      <c r="B9307" t="s">
        <v>1298</v>
      </c>
      <c r="C9307" t="s">
        <v>680</v>
      </c>
      <c r="D9307" t="s">
        <v>1401</v>
      </c>
      <c r="E9307" t="s">
        <v>187</v>
      </c>
      <c r="F9307">
        <v>2012</v>
      </c>
      <c r="G9307">
        <v>12.465999999999999</v>
      </c>
    </row>
    <row r="9308" spans="1:7">
      <c r="A9308" t="s">
        <v>1297</v>
      </c>
      <c r="B9308" t="s">
        <v>1298</v>
      </c>
      <c r="C9308" t="s">
        <v>680</v>
      </c>
      <c r="D9308" t="s">
        <v>1401</v>
      </c>
      <c r="E9308" t="s">
        <v>187</v>
      </c>
      <c r="F9308">
        <v>2016</v>
      </c>
      <c r="G9308">
        <v>14.0922</v>
      </c>
    </row>
    <row r="9309" spans="1:7">
      <c r="A9309" t="s">
        <v>1297</v>
      </c>
      <c r="B9309" t="s">
        <v>1298</v>
      </c>
      <c r="C9309" t="s">
        <v>680</v>
      </c>
      <c r="D9309" t="s">
        <v>1401</v>
      </c>
      <c r="E9309" t="s">
        <v>187</v>
      </c>
      <c r="F9309">
        <v>2020</v>
      </c>
      <c r="G9309">
        <v>15.423683</v>
      </c>
    </row>
    <row r="9310" spans="1:7">
      <c r="A9310" t="s">
        <v>1297</v>
      </c>
      <c r="B9310" t="s">
        <v>1298</v>
      </c>
      <c r="C9310" t="s">
        <v>656</v>
      </c>
      <c r="D9310" t="s">
        <v>1401</v>
      </c>
      <c r="E9310" t="s">
        <v>187</v>
      </c>
      <c r="F9310">
        <v>2005</v>
      </c>
      <c r="G9310">
        <v>223.375</v>
      </c>
    </row>
    <row r="9311" spans="1:7">
      <c r="A9311" t="s">
        <v>1297</v>
      </c>
      <c r="B9311" t="s">
        <v>1298</v>
      </c>
      <c r="C9311" t="s">
        <v>656</v>
      </c>
      <c r="D9311" t="s">
        <v>1401</v>
      </c>
      <c r="E9311" t="s">
        <v>187</v>
      </c>
      <c r="F9311">
        <v>2010</v>
      </c>
      <c r="G9311">
        <v>188.88399999999999</v>
      </c>
    </row>
    <row r="9312" spans="1:7">
      <c r="A9312" t="s">
        <v>1297</v>
      </c>
      <c r="B9312" t="s">
        <v>1298</v>
      </c>
      <c r="C9312" t="s">
        <v>656</v>
      </c>
      <c r="D9312" t="s">
        <v>1401</v>
      </c>
      <c r="E9312" t="s">
        <v>187</v>
      </c>
      <c r="F9312">
        <v>2012</v>
      </c>
      <c r="G9312">
        <v>141.352</v>
      </c>
    </row>
    <row r="9313" spans="1:7">
      <c r="A9313" t="s">
        <v>1297</v>
      </c>
      <c r="B9313" t="s">
        <v>1298</v>
      </c>
      <c r="C9313" t="s">
        <v>656</v>
      </c>
      <c r="D9313" t="s">
        <v>1401</v>
      </c>
      <c r="E9313" t="s">
        <v>187</v>
      </c>
      <c r="F9313">
        <v>2016</v>
      </c>
      <c r="G9313">
        <v>185.04400000000001</v>
      </c>
    </row>
    <row r="9314" spans="1:7">
      <c r="A9314" t="s">
        <v>1297</v>
      </c>
      <c r="B9314" t="s">
        <v>1298</v>
      </c>
      <c r="C9314" t="s">
        <v>656</v>
      </c>
      <c r="D9314" t="s">
        <v>1401</v>
      </c>
      <c r="E9314" t="s">
        <v>187</v>
      </c>
      <c r="F9314">
        <v>2020</v>
      </c>
      <c r="G9314">
        <v>166.09800000000001</v>
      </c>
    </row>
    <row r="9315" spans="1:7">
      <c r="A9315" t="s">
        <v>1297</v>
      </c>
      <c r="B9315" t="s">
        <v>1298</v>
      </c>
      <c r="C9315" t="s">
        <v>677</v>
      </c>
      <c r="D9315" t="s">
        <v>1401</v>
      </c>
      <c r="E9315" t="s">
        <v>187</v>
      </c>
      <c r="F9315">
        <v>2005</v>
      </c>
      <c r="G9315">
        <v>2.1739999999999999</v>
      </c>
    </row>
    <row r="9316" spans="1:7">
      <c r="A9316" t="s">
        <v>1297</v>
      </c>
      <c r="B9316" t="s">
        <v>1298</v>
      </c>
      <c r="C9316" t="s">
        <v>677</v>
      </c>
      <c r="D9316" t="s">
        <v>1401</v>
      </c>
      <c r="E9316" t="s">
        <v>187</v>
      </c>
      <c r="F9316">
        <v>2010</v>
      </c>
      <c r="G9316">
        <v>2.1739999999999999</v>
      </c>
    </row>
    <row r="9317" spans="1:7">
      <c r="A9317" t="s">
        <v>1297</v>
      </c>
      <c r="B9317" t="s">
        <v>1298</v>
      </c>
      <c r="C9317" t="s">
        <v>677</v>
      </c>
      <c r="D9317" t="s">
        <v>1401</v>
      </c>
      <c r="E9317" t="s">
        <v>187</v>
      </c>
      <c r="F9317">
        <v>2012</v>
      </c>
      <c r="G9317">
        <v>2.1739999999999999</v>
      </c>
    </row>
    <row r="9318" spans="1:7">
      <c r="A9318" t="s">
        <v>1297</v>
      </c>
      <c r="B9318" t="s">
        <v>1298</v>
      </c>
      <c r="C9318" t="s">
        <v>677</v>
      </c>
      <c r="D9318" t="s">
        <v>1401</v>
      </c>
      <c r="E9318" t="s">
        <v>187</v>
      </c>
      <c r="F9318">
        <v>2016</v>
      </c>
      <c r="G9318">
        <v>10.904187</v>
      </c>
    </row>
    <row r="9319" spans="1:7">
      <c r="A9319" t="s">
        <v>1297</v>
      </c>
      <c r="B9319" t="s">
        <v>1298</v>
      </c>
      <c r="C9319" t="s">
        <v>677</v>
      </c>
      <c r="D9319" t="s">
        <v>1401</v>
      </c>
      <c r="E9319" t="s">
        <v>187</v>
      </c>
      <c r="F9319">
        <v>2020</v>
      </c>
      <c r="G9319">
        <v>11.269747000000001</v>
      </c>
    </row>
    <row r="9320" spans="1:7">
      <c r="A9320" t="s">
        <v>1297</v>
      </c>
      <c r="B9320" t="s">
        <v>1298</v>
      </c>
      <c r="C9320" t="s">
        <v>679</v>
      </c>
      <c r="D9320" t="s">
        <v>1401</v>
      </c>
      <c r="E9320" t="s">
        <v>187</v>
      </c>
      <c r="F9320">
        <v>2005</v>
      </c>
      <c r="G9320">
        <v>1.5369999999999999</v>
      </c>
    </row>
    <row r="9321" spans="1:7">
      <c r="A9321" t="s">
        <v>1297</v>
      </c>
      <c r="B9321" t="s">
        <v>1298</v>
      </c>
      <c r="C9321" t="s">
        <v>679</v>
      </c>
      <c r="D9321" t="s">
        <v>1401</v>
      </c>
      <c r="E9321" t="s">
        <v>187</v>
      </c>
      <c r="F9321">
        <v>2010</v>
      </c>
      <c r="G9321">
        <v>3.9020000000000001</v>
      </c>
    </row>
    <row r="9322" spans="1:7">
      <c r="A9322" t="s">
        <v>1297</v>
      </c>
      <c r="B9322" t="s">
        <v>1298</v>
      </c>
      <c r="C9322" t="s">
        <v>679</v>
      </c>
      <c r="D9322" t="s">
        <v>1401</v>
      </c>
      <c r="E9322" t="s">
        <v>187</v>
      </c>
      <c r="F9322">
        <v>2012</v>
      </c>
      <c r="G9322">
        <v>3.4209999999999998</v>
      </c>
    </row>
    <row r="9323" spans="1:7">
      <c r="A9323" t="s">
        <v>1297</v>
      </c>
      <c r="B9323" t="s">
        <v>1298</v>
      </c>
      <c r="C9323" t="s">
        <v>679</v>
      </c>
      <c r="D9323" t="s">
        <v>1401</v>
      </c>
      <c r="E9323" t="s">
        <v>187</v>
      </c>
      <c r="F9323">
        <v>2016</v>
      </c>
      <c r="G9323">
        <v>4.7939999999999996</v>
      </c>
    </row>
    <row r="9324" spans="1:7">
      <c r="A9324" t="s">
        <v>1297</v>
      </c>
      <c r="B9324" t="s">
        <v>1298</v>
      </c>
      <c r="C9324" t="s">
        <v>679</v>
      </c>
      <c r="D9324" t="s">
        <v>1401</v>
      </c>
      <c r="E9324" t="s">
        <v>187</v>
      </c>
      <c r="F9324">
        <v>2020</v>
      </c>
      <c r="G9324">
        <v>5.5739999999999998</v>
      </c>
    </row>
    <row r="9325" spans="1:7">
      <c r="A9325" t="s">
        <v>1297</v>
      </c>
      <c r="B9325" t="s">
        <v>1298</v>
      </c>
      <c r="C9325" t="s">
        <v>670</v>
      </c>
      <c r="D9325" t="s">
        <v>1401</v>
      </c>
      <c r="E9325" t="s">
        <v>187</v>
      </c>
      <c r="F9325">
        <v>2005</v>
      </c>
      <c r="G9325">
        <v>8.8059999999999992</v>
      </c>
    </row>
    <row r="9326" spans="1:7">
      <c r="A9326" t="s">
        <v>1297</v>
      </c>
      <c r="B9326" t="s">
        <v>1298</v>
      </c>
      <c r="C9326" t="s">
        <v>670</v>
      </c>
      <c r="D9326" t="s">
        <v>1401</v>
      </c>
      <c r="E9326" t="s">
        <v>187</v>
      </c>
      <c r="F9326">
        <v>2010</v>
      </c>
      <c r="G9326">
        <v>12.173</v>
      </c>
    </row>
    <row r="9327" spans="1:7">
      <c r="A9327" t="s">
        <v>1297</v>
      </c>
      <c r="B9327" t="s">
        <v>1298</v>
      </c>
      <c r="C9327" t="s">
        <v>670</v>
      </c>
      <c r="D9327" t="s">
        <v>1401</v>
      </c>
      <c r="E9327" t="s">
        <v>187</v>
      </c>
      <c r="F9327">
        <v>2012</v>
      </c>
      <c r="G9327">
        <v>12.105</v>
      </c>
    </row>
    <row r="9328" spans="1:7">
      <c r="A9328" t="s">
        <v>1297</v>
      </c>
      <c r="B9328" t="s">
        <v>1298</v>
      </c>
      <c r="C9328" t="s">
        <v>670</v>
      </c>
      <c r="D9328" t="s">
        <v>1401</v>
      </c>
      <c r="E9328" t="s">
        <v>187</v>
      </c>
      <c r="F9328">
        <v>2016</v>
      </c>
      <c r="G9328">
        <v>12.274649999999999</v>
      </c>
    </row>
    <row r="9329" spans="1:8">
      <c r="A9329" t="s">
        <v>1297</v>
      </c>
      <c r="B9329" t="s">
        <v>1298</v>
      </c>
      <c r="C9329" t="s">
        <v>670</v>
      </c>
      <c r="D9329" t="s">
        <v>1401</v>
      </c>
      <c r="E9329" t="s">
        <v>187</v>
      </c>
      <c r="F9329">
        <v>2020</v>
      </c>
      <c r="G9329">
        <v>12.081065000000001</v>
      </c>
    </row>
    <row r="9330" spans="1:8">
      <c r="A9330" t="s">
        <v>1297</v>
      </c>
      <c r="B9330" t="s">
        <v>1298</v>
      </c>
      <c r="C9330" t="s">
        <v>1299</v>
      </c>
      <c r="D9330" t="s">
        <v>1401</v>
      </c>
      <c r="E9330" t="s">
        <v>187</v>
      </c>
      <c r="F9330">
        <v>2005</v>
      </c>
      <c r="G9330">
        <v>243.011</v>
      </c>
    </row>
    <row r="9331" spans="1:8">
      <c r="A9331" t="s">
        <v>1297</v>
      </c>
      <c r="B9331" t="s">
        <v>1298</v>
      </c>
      <c r="C9331" t="s">
        <v>1299</v>
      </c>
      <c r="D9331" t="s">
        <v>1401</v>
      </c>
      <c r="E9331" t="s">
        <v>187</v>
      </c>
      <c r="F9331">
        <v>2010</v>
      </c>
      <c r="G9331">
        <v>215.24799999999999</v>
      </c>
    </row>
    <row r="9332" spans="1:8">
      <c r="A9332" t="s">
        <v>1297</v>
      </c>
      <c r="B9332" t="s">
        <v>1298</v>
      </c>
      <c r="C9332" t="s">
        <v>1299</v>
      </c>
      <c r="D9332" t="s">
        <v>1401</v>
      </c>
      <c r="E9332" t="s">
        <v>187</v>
      </c>
      <c r="F9332">
        <v>2012</v>
      </c>
      <c r="G9332">
        <v>196.04900000000001</v>
      </c>
    </row>
    <row r="9333" spans="1:8">
      <c r="A9333" t="s">
        <v>1297</v>
      </c>
      <c r="B9333" t="s">
        <v>1298</v>
      </c>
      <c r="C9333" t="s">
        <v>1299</v>
      </c>
      <c r="D9333" t="s">
        <v>1401</v>
      </c>
      <c r="E9333" t="s">
        <v>187</v>
      </c>
      <c r="F9333">
        <v>2016</v>
      </c>
      <c r="G9333">
        <v>128.90199999999999</v>
      </c>
    </row>
    <row r="9334" spans="1:8">
      <c r="A9334" t="s">
        <v>1297</v>
      </c>
      <c r="B9334" t="s">
        <v>1298</v>
      </c>
      <c r="C9334" t="s">
        <v>1299</v>
      </c>
      <c r="D9334" t="s">
        <v>1401</v>
      </c>
      <c r="E9334" t="s">
        <v>187</v>
      </c>
      <c r="F9334">
        <v>2020</v>
      </c>
      <c r="G9334">
        <v>82.891599999999997</v>
      </c>
    </row>
    <row r="9335" spans="1:8">
      <c r="A9335" t="s">
        <v>1297</v>
      </c>
      <c r="B9335" t="s">
        <v>1298</v>
      </c>
      <c r="C9335" t="s">
        <v>655</v>
      </c>
      <c r="D9335" t="s">
        <v>1402</v>
      </c>
      <c r="E9335" t="s">
        <v>187</v>
      </c>
      <c r="F9335">
        <v>2005</v>
      </c>
      <c r="G9335" s="14">
        <v>2E-3</v>
      </c>
      <c r="H9335" s="14"/>
    </row>
    <row r="9336" spans="1:8">
      <c r="A9336" t="s">
        <v>1297</v>
      </c>
      <c r="B9336" t="s">
        <v>1298</v>
      </c>
      <c r="C9336" t="s">
        <v>660</v>
      </c>
      <c r="D9336" t="s">
        <v>1402</v>
      </c>
      <c r="E9336" t="s">
        <v>187</v>
      </c>
      <c r="F9336">
        <v>2010</v>
      </c>
      <c r="G9336">
        <v>4.3869999999999996</v>
      </c>
    </row>
    <row r="9337" spans="1:8">
      <c r="A9337" t="s">
        <v>1297</v>
      </c>
      <c r="B9337" t="s">
        <v>1298</v>
      </c>
      <c r="C9337" t="s">
        <v>660</v>
      </c>
      <c r="D9337" t="s">
        <v>1402</v>
      </c>
      <c r="E9337" t="s">
        <v>187</v>
      </c>
      <c r="F9337">
        <v>2012</v>
      </c>
      <c r="G9337">
        <v>2.27</v>
      </c>
    </row>
    <row r="9338" spans="1:8">
      <c r="A9338" t="s">
        <v>1297</v>
      </c>
      <c r="B9338" t="s">
        <v>1298</v>
      </c>
      <c r="C9338" t="s">
        <v>660</v>
      </c>
      <c r="D9338" t="s">
        <v>1402</v>
      </c>
      <c r="E9338" t="s">
        <v>187</v>
      </c>
      <c r="F9338">
        <v>2016</v>
      </c>
      <c r="G9338">
        <v>4.9969999999999999</v>
      </c>
    </row>
    <row r="9339" spans="1:8">
      <c r="A9339" t="s">
        <v>1297</v>
      </c>
      <c r="B9339" t="s">
        <v>1298</v>
      </c>
      <c r="C9339" t="s">
        <v>660</v>
      </c>
      <c r="D9339" t="s">
        <v>1402</v>
      </c>
      <c r="E9339" t="s">
        <v>187</v>
      </c>
      <c r="F9339">
        <v>2020</v>
      </c>
      <c r="G9339">
        <v>1.3620000000000001</v>
      </c>
    </row>
    <row r="9340" spans="1:8">
      <c r="A9340" t="s">
        <v>1297</v>
      </c>
      <c r="B9340" t="s">
        <v>1298</v>
      </c>
      <c r="C9340" t="s">
        <v>665</v>
      </c>
      <c r="D9340" t="s">
        <v>1402</v>
      </c>
      <c r="E9340" t="s">
        <v>187</v>
      </c>
      <c r="F9340">
        <v>2010</v>
      </c>
      <c r="G9340">
        <v>1.228</v>
      </c>
    </row>
    <row r="9341" spans="1:8">
      <c r="A9341" t="s">
        <v>1297</v>
      </c>
      <c r="B9341" t="s">
        <v>1298</v>
      </c>
      <c r="C9341" t="s">
        <v>665</v>
      </c>
      <c r="D9341" t="s">
        <v>1402</v>
      </c>
      <c r="E9341" t="s">
        <v>187</v>
      </c>
      <c r="F9341">
        <v>2012</v>
      </c>
      <c r="G9341">
        <v>1.462</v>
      </c>
    </row>
    <row r="9342" spans="1:8">
      <c r="A9342" t="s">
        <v>1297</v>
      </c>
      <c r="B9342" t="s">
        <v>1298</v>
      </c>
      <c r="C9342" t="s">
        <v>665</v>
      </c>
      <c r="D9342" t="s">
        <v>1402</v>
      </c>
      <c r="E9342" t="s">
        <v>187</v>
      </c>
      <c r="F9342">
        <v>2016</v>
      </c>
      <c r="G9342">
        <v>0.47899999999999998</v>
      </c>
    </row>
    <row r="9343" spans="1:8">
      <c r="A9343" t="s">
        <v>1297</v>
      </c>
      <c r="B9343" t="s">
        <v>1298</v>
      </c>
      <c r="C9343" t="s">
        <v>665</v>
      </c>
      <c r="D9343" t="s">
        <v>1402</v>
      </c>
      <c r="E9343" t="s">
        <v>187</v>
      </c>
      <c r="F9343">
        <v>2020</v>
      </c>
      <c r="G9343">
        <v>0.60919800000000002</v>
      </c>
    </row>
    <row r="9344" spans="1:8">
      <c r="A9344" t="s">
        <v>1297</v>
      </c>
      <c r="B9344" t="s">
        <v>1298</v>
      </c>
      <c r="C9344" t="s">
        <v>667</v>
      </c>
      <c r="D9344" t="s">
        <v>1402</v>
      </c>
      <c r="E9344" t="s">
        <v>187</v>
      </c>
      <c r="F9344">
        <v>2016</v>
      </c>
      <c r="G9344" s="14">
        <v>5.1E-5</v>
      </c>
    </row>
    <row r="9345" spans="1:8">
      <c r="A9345" t="s">
        <v>1297</v>
      </c>
      <c r="B9345" t="s">
        <v>1298</v>
      </c>
      <c r="C9345" t="s">
        <v>667</v>
      </c>
      <c r="D9345" t="s">
        <v>1402</v>
      </c>
      <c r="E9345" t="s">
        <v>187</v>
      </c>
      <c r="F9345">
        <v>2020</v>
      </c>
      <c r="G9345" s="14">
        <v>6.4999999999999994E-5</v>
      </c>
    </row>
    <row r="9346" spans="1:8">
      <c r="A9346" t="s">
        <v>1297</v>
      </c>
      <c r="B9346" t="s">
        <v>1298</v>
      </c>
      <c r="C9346" t="s">
        <v>663</v>
      </c>
      <c r="D9346" t="s">
        <v>1402</v>
      </c>
      <c r="E9346" t="s">
        <v>187</v>
      </c>
      <c r="F9346">
        <v>2016</v>
      </c>
      <c r="G9346">
        <v>0.107</v>
      </c>
    </row>
    <row r="9347" spans="1:8">
      <c r="A9347" t="s">
        <v>1297</v>
      </c>
      <c r="B9347" t="s">
        <v>1298</v>
      </c>
      <c r="C9347" t="s">
        <v>663</v>
      </c>
      <c r="D9347" t="s">
        <v>1402</v>
      </c>
      <c r="E9347" t="s">
        <v>187</v>
      </c>
      <c r="F9347">
        <v>2020</v>
      </c>
      <c r="G9347">
        <v>0.10299999999999999</v>
      </c>
    </row>
    <row r="9348" spans="1:8">
      <c r="A9348" t="s">
        <v>1297</v>
      </c>
      <c r="B9348" t="s">
        <v>1298</v>
      </c>
      <c r="C9348" t="s">
        <v>652</v>
      </c>
      <c r="D9348" t="s">
        <v>1402</v>
      </c>
      <c r="E9348" t="s">
        <v>187</v>
      </c>
      <c r="F9348">
        <v>2005</v>
      </c>
      <c r="G9348">
        <v>1.224</v>
      </c>
    </row>
    <row r="9349" spans="1:8">
      <c r="A9349" t="s">
        <v>1297</v>
      </c>
      <c r="B9349" t="s">
        <v>1298</v>
      </c>
      <c r="C9349" t="s">
        <v>680</v>
      </c>
      <c r="D9349" t="s">
        <v>1402</v>
      </c>
      <c r="E9349" t="s">
        <v>187</v>
      </c>
      <c r="F9349">
        <v>2005</v>
      </c>
      <c r="G9349">
        <v>0.28999999999999998</v>
      </c>
    </row>
    <row r="9350" spans="1:8">
      <c r="A9350" t="s">
        <v>1297</v>
      </c>
      <c r="B9350" t="s">
        <v>1298</v>
      </c>
      <c r="C9350" t="s">
        <v>680</v>
      </c>
      <c r="D9350" t="s">
        <v>1402</v>
      </c>
      <c r="E9350" t="s">
        <v>187</v>
      </c>
      <c r="F9350">
        <v>2010</v>
      </c>
      <c r="G9350">
        <v>0.315</v>
      </c>
    </row>
    <row r="9351" spans="1:8">
      <c r="A9351" t="s">
        <v>1297</v>
      </c>
      <c r="B9351" t="s">
        <v>1298</v>
      </c>
      <c r="C9351" t="s">
        <v>680</v>
      </c>
      <c r="D9351" t="s">
        <v>1402</v>
      </c>
      <c r="E9351" t="s">
        <v>187</v>
      </c>
      <c r="F9351">
        <v>2012</v>
      </c>
      <c r="G9351">
        <v>0.35099999999999998</v>
      </c>
    </row>
    <row r="9352" spans="1:8">
      <c r="A9352" t="s">
        <v>1297</v>
      </c>
      <c r="B9352" t="s">
        <v>1298</v>
      </c>
      <c r="C9352" t="s">
        <v>680</v>
      </c>
      <c r="D9352" t="s">
        <v>1402</v>
      </c>
      <c r="E9352" t="s">
        <v>187</v>
      </c>
      <c r="F9352">
        <v>2016</v>
      </c>
      <c r="G9352">
        <v>0.42480000000000001</v>
      </c>
    </row>
    <row r="9353" spans="1:8">
      <c r="A9353" t="s">
        <v>1297</v>
      </c>
      <c r="B9353" t="s">
        <v>1298</v>
      </c>
      <c r="C9353" t="s">
        <v>680</v>
      </c>
      <c r="D9353" t="s">
        <v>1402</v>
      </c>
      <c r="E9353" t="s">
        <v>187</v>
      </c>
      <c r="F9353">
        <v>2020</v>
      </c>
      <c r="G9353">
        <v>0.437469</v>
      </c>
    </row>
    <row r="9354" spans="1:8">
      <c r="A9354" t="s">
        <v>1297</v>
      </c>
      <c r="B9354" t="s">
        <v>1298</v>
      </c>
      <c r="C9354" t="s">
        <v>668</v>
      </c>
      <c r="D9354" t="s">
        <v>1402</v>
      </c>
      <c r="E9354" t="s">
        <v>187</v>
      </c>
      <c r="F9354">
        <v>2005</v>
      </c>
      <c r="G9354">
        <v>4.5999999999999999E-2</v>
      </c>
    </row>
    <row r="9355" spans="1:8">
      <c r="A9355" t="s">
        <v>1297</v>
      </c>
      <c r="B9355" t="s">
        <v>1298</v>
      </c>
      <c r="C9355" t="s">
        <v>668</v>
      </c>
      <c r="D9355" t="s">
        <v>1402</v>
      </c>
      <c r="E9355" t="s">
        <v>187</v>
      </c>
      <c r="F9355">
        <v>2010</v>
      </c>
      <c r="G9355">
        <v>4.0000000000000001E-3</v>
      </c>
    </row>
    <row r="9356" spans="1:8">
      <c r="A9356" t="s">
        <v>1297</v>
      </c>
      <c r="B9356" t="s">
        <v>1298</v>
      </c>
      <c r="C9356" t="s">
        <v>668</v>
      </c>
      <c r="D9356" t="s">
        <v>1402</v>
      </c>
      <c r="E9356" t="s">
        <v>187</v>
      </c>
      <c r="F9356">
        <v>2012</v>
      </c>
      <c r="G9356">
        <v>6.0000000000000001E-3</v>
      </c>
    </row>
    <row r="9357" spans="1:8">
      <c r="A9357" t="s">
        <v>1297</v>
      </c>
      <c r="B9357" t="s">
        <v>1298</v>
      </c>
      <c r="C9357" t="s">
        <v>668</v>
      </c>
      <c r="D9357" t="s">
        <v>1402</v>
      </c>
      <c r="E9357" t="s">
        <v>187</v>
      </c>
      <c r="F9357">
        <v>2016</v>
      </c>
      <c r="G9357">
        <v>4.0000000000000001E-3</v>
      </c>
    </row>
    <row r="9358" spans="1:8">
      <c r="A9358" t="s">
        <v>1297</v>
      </c>
      <c r="B9358" t="s">
        <v>1298</v>
      </c>
      <c r="C9358" t="s">
        <v>668</v>
      </c>
      <c r="D9358" t="s">
        <v>1402</v>
      </c>
      <c r="E9358" t="s">
        <v>187</v>
      </c>
      <c r="F9358">
        <v>2020</v>
      </c>
      <c r="G9358">
        <v>5.0130000000000001E-3</v>
      </c>
    </row>
    <row r="9359" spans="1:8">
      <c r="A9359" t="s">
        <v>1297</v>
      </c>
      <c r="B9359" t="s">
        <v>1298</v>
      </c>
      <c r="C9359" t="s">
        <v>661</v>
      </c>
      <c r="D9359" t="s">
        <v>1402</v>
      </c>
      <c r="E9359" t="s">
        <v>187</v>
      </c>
      <c r="F9359">
        <v>2005</v>
      </c>
      <c r="G9359" s="14">
        <v>174.304</v>
      </c>
      <c r="H9359" s="14"/>
    </row>
    <row r="9360" spans="1:8">
      <c r="A9360" t="s">
        <v>1297</v>
      </c>
      <c r="B9360" t="s">
        <v>1298</v>
      </c>
      <c r="C9360" t="s">
        <v>657</v>
      </c>
      <c r="D9360" t="s">
        <v>1403</v>
      </c>
      <c r="E9360" t="s">
        <v>187</v>
      </c>
      <c r="F9360">
        <v>2005</v>
      </c>
      <c r="G9360">
        <v>0.153</v>
      </c>
    </row>
    <row r="9361" spans="1:7">
      <c r="A9361" t="s">
        <v>1297</v>
      </c>
      <c r="B9361" t="s">
        <v>1298</v>
      </c>
      <c r="C9361" t="s">
        <v>657</v>
      </c>
      <c r="D9361" t="s">
        <v>1403</v>
      </c>
      <c r="E9361" t="s">
        <v>187</v>
      </c>
      <c r="F9361">
        <v>2010</v>
      </c>
      <c r="G9361">
        <v>0.17399999999999999</v>
      </c>
    </row>
    <row r="9362" spans="1:7">
      <c r="A9362" t="s">
        <v>1297</v>
      </c>
      <c r="B9362" t="s">
        <v>1298</v>
      </c>
      <c r="C9362" t="s">
        <v>676</v>
      </c>
      <c r="D9362" t="s">
        <v>1403</v>
      </c>
      <c r="E9362" t="s">
        <v>187</v>
      </c>
      <c r="F9362">
        <v>2016</v>
      </c>
      <c r="G9362">
        <v>8.3000000000000004E-2</v>
      </c>
    </row>
    <row r="9363" spans="1:7">
      <c r="A9363" t="s">
        <v>1297</v>
      </c>
      <c r="B9363" t="s">
        <v>1298</v>
      </c>
      <c r="C9363" t="s">
        <v>676</v>
      </c>
      <c r="D9363" t="s">
        <v>1403</v>
      </c>
      <c r="E9363" t="s">
        <v>187</v>
      </c>
      <c r="F9363">
        <v>2020</v>
      </c>
      <c r="G9363">
        <v>7.3999999999999996E-2</v>
      </c>
    </row>
    <row r="9364" spans="1:7">
      <c r="A9364" t="s">
        <v>1297</v>
      </c>
      <c r="B9364" t="s">
        <v>1298</v>
      </c>
      <c r="C9364" t="s">
        <v>657</v>
      </c>
      <c r="D9364" t="s">
        <v>1403</v>
      </c>
      <c r="E9364" t="s">
        <v>187</v>
      </c>
      <c r="F9364">
        <v>2012</v>
      </c>
      <c r="G9364">
        <v>0.16</v>
      </c>
    </row>
    <row r="9365" spans="1:7">
      <c r="A9365" t="s">
        <v>1297</v>
      </c>
      <c r="B9365" t="s">
        <v>1298</v>
      </c>
      <c r="C9365" t="s">
        <v>657</v>
      </c>
      <c r="D9365" t="s">
        <v>1403</v>
      </c>
      <c r="E9365" t="s">
        <v>187</v>
      </c>
      <c r="F9365">
        <v>2016</v>
      </c>
      <c r="G9365">
        <v>0.12814900000000001</v>
      </c>
    </row>
    <row r="9366" spans="1:7">
      <c r="A9366" t="s">
        <v>1297</v>
      </c>
      <c r="B9366" t="s">
        <v>1298</v>
      </c>
      <c r="C9366" t="s">
        <v>657</v>
      </c>
      <c r="D9366" t="s">
        <v>1403</v>
      </c>
      <c r="E9366" t="s">
        <v>187</v>
      </c>
      <c r="F9366">
        <v>2020</v>
      </c>
      <c r="G9366">
        <v>0.10664999999999999</v>
      </c>
    </row>
    <row r="9367" spans="1:7">
      <c r="A9367" t="s">
        <v>1297</v>
      </c>
      <c r="B9367" t="s">
        <v>1298</v>
      </c>
      <c r="C9367" t="s">
        <v>655</v>
      </c>
      <c r="D9367" t="s">
        <v>1403</v>
      </c>
      <c r="E9367" t="s">
        <v>187</v>
      </c>
      <c r="F9367">
        <v>2010</v>
      </c>
      <c r="G9367">
        <v>1.9E-2</v>
      </c>
    </row>
    <row r="9368" spans="1:7">
      <c r="A9368" t="s">
        <v>1297</v>
      </c>
      <c r="B9368" t="s">
        <v>1298</v>
      </c>
      <c r="C9368" t="s">
        <v>655</v>
      </c>
      <c r="D9368" t="s">
        <v>1403</v>
      </c>
      <c r="E9368" t="s">
        <v>187</v>
      </c>
      <c r="F9368">
        <v>2012</v>
      </c>
      <c r="G9368">
        <v>1.7000000000000001E-2</v>
      </c>
    </row>
    <row r="9369" spans="1:7">
      <c r="A9369" t="s">
        <v>1297</v>
      </c>
      <c r="B9369" t="s">
        <v>1298</v>
      </c>
      <c r="C9369" t="s">
        <v>655</v>
      </c>
      <c r="D9369" t="s">
        <v>1403</v>
      </c>
      <c r="E9369" t="s">
        <v>187</v>
      </c>
      <c r="F9369">
        <v>2016</v>
      </c>
      <c r="G9369">
        <v>3.3000000000000002E-2</v>
      </c>
    </row>
    <row r="9370" spans="1:7">
      <c r="A9370" t="s">
        <v>1297</v>
      </c>
      <c r="B9370" t="s">
        <v>1298</v>
      </c>
      <c r="C9370" t="s">
        <v>655</v>
      </c>
      <c r="D9370" t="s">
        <v>1403</v>
      </c>
      <c r="E9370" t="s">
        <v>187</v>
      </c>
      <c r="F9370">
        <v>2020</v>
      </c>
      <c r="G9370">
        <v>4.6427000000000003E-2</v>
      </c>
    </row>
    <row r="9371" spans="1:7">
      <c r="A9371" t="s">
        <v>1297</v>
      </c>
      <c r="B9371" t="s">
        <v>1298</v>
      </c>
      <c r="C9371" t="s">
        <v>671</v>
      </c>
      <c r="D9371" t="s">
        <v>1404</v>
      </c>
      <c r="E9371" t="s">
        <v>187</v>
      </c>
      <c r="F9371">
        <v>2016</v>
      </c>
      <c r="G9371">
        <v>27.111000000000001</v>
      </c>
    </row>
    <row r="9372" spans="1:7">
      <c r="A9372" t="s">
        <v>1297</v>
      </c>
      <c r="B9372" t="s">
        <v>1298</v>
      </c>
      <c r="C9372" t="s">
        <v>671</v>
      </c>
      <c r="D9372" t="s">
        <v>1404</v>
      </c>
      <c r="E9372" t="s">
        <v>187</v>
      </c>
      <c r="F9372">
        <v>2020</v>
      </c>
      <c r="G9372">
        <v>25.938849000000001</v>
      </c>
    </row>
    <row r="9373" spans="1:7">
      <c r="A9373" t="s">
        <v>1297</v>
      </c>
      <c r="B9373" t="s">
        <v>1298</v>
      </c>
      <c r="C9373" t="s">
        <v>677</v>
      </c>
      <c r="D9373" t="s">
        <v>1404</v>
      </c>
      <c r="E9373" t="s">
        <v>187</v>
      </c>
      <c r="F9373">
        <v>2005</v>
      </c>
      <c r="G9373">
        <v>4.0960000000000001</v>
      </c>
    </row>
    <row r="9374" spans="1:7">
      <c r="A9374" t="s">
        <v>1297</v>
      </c>
      <c r="B9374" t="s">
        <v>1298</v>
      </c>
      <c r="C9374" t="s">
        <v>677</v>
      </c>
      <c r="D9374" t="s">
        <v>1404</v>
      </c>
      <c r="E9374" t="s">
        <v>187</v>
      </c>
      <c r="F9374">
        <v>2010</v>
      </c>
      <c r="G9374">
        <v>3.9449999999999998</v>
      </c>
    </row>
    <row r="9375" spans="1:7">
      <c r="A9375" t="s">
        <v>1297</v>
      </c>
      <c r="B9375" t="s">
        <v>1298</v>
      </c>
      <c r="C9375" t="s">
        <v>677</v>
      </c>
      <c r="D9375" t="s">
        <v>1404</v>
      </c>
      <c r="E9375" t="s">
        <v>187</v>
      </c>
      <c r="F9375">
        <v>2012</v>
      </c>
      <c r="G9375">
        <v>7.1559999999999997</v>
      </c>
    </row>
    <row r="9376" spans="1:7">
      <c r="A9376" t="s">
        <v>1297</v>
      </c>
      <c r="B9376" t="s">
        <v>1298</v>
      </c>
      <c r="C9376" t="s">
        <v>677</v>
      </c>
      <c r="D9376" t="s">
        <v>1404</v>
      </c>
      <c r="E9376" t="s">
        <v>187</v>
      </c>
      <c r="F9376">
        <v>2016</v>
      </c>
      <c r="G9376">
        <v>13.240148</v>
      </c>
    </row>
    <row r="9377" spans="1:7">
      <c r="A9377" t="s">
        <v>1297</v>
      </c>
      <c r="B9377" t="s">
        <v>1298</v>
      </c>
      <c r="C9377" t="s">
        <v>677</v>
      </c>
      <c r="D9377" t="s">
        <v>1404</v>
      </c>
      <c r="E9377" t="s">
        <v>187</v>
      </c>
      <c r="F9377">
        <v>2020</v>
      </c>
      <c r="G9377">
        <v>13.341279</v>
      </c>
    </row>
    <row r="9378" spans="1:7">
      <c r="A9378" t="s">
        <v>1297</v>
      </c>
      <c r="B9378" t="s">
        <v>1298</v>
      </c>
      <c r="C9378" t="s">
        <v>676</v>
      </c>
      <c r="D9378" t="s">
        <v>1404</v>
      </c>
      <c r="E9378" t="s">
        <v>187</v>
      </c>
      <c r="F9378">
        <v>2005</v>
      </c>
      <c r="G9378">
        <v>6.7939999999999996</v>
      </c>
    </row>
    <row r="9379" spans="1:7">
      <c r="A9379" t="s">
        <v>1297</v>
      </c>
      <c r="B9379" t="s">
        <v>1298</v>
      </c>
      <c r="C9379" t="s">
        <v>676</v>
      </c>
      <c r="D9379" t="s">
        <v>1404</v>
      </c>
      <c r="E9379" t="s">
        <v>187</v>
      </c>
      <c r="F9379">
        <v>2010</v>
      </c>
      <c r="G9379">
        <v>7.141</v>
      </c>
    </row>
    <row r="9380" spans="1:7">
      <c r="A9380" t="s">
        <v>1297</v>
      </c>
      <c r="B9380" t="s">
        <v>1298</v>
      </c>
      <c r="C9380" t="s">
        <v>676</v>
      </c>
      <c r="D9380" t="s">
        <v>1404</v>
      </c>
      <c r="E9380" t="s">
        <v>187</v>
      </c>
      <c r="F9380">
        <v>2012</v>
      </c>
      <c r="G9380">
        <v>5.1840000000000002</v>
      </c>
    </row>
    <row r="9381" spans="1:7">
      <c r="A9381" t="s">
        <v>1297</v>
      </c>
      <c r="B9381" t="s">
        <v>1298</v>
      </c>
      <c r="C9381" t="s">
        <v>676</v>
      </c>
      <c r="D9381" t="s">
        <v>1404</v>
      </c>
      <c r="E9381" t="s">
        <v>187</v>
      </c>
      <c r="F9381">
        <v>2016</v>
      </c>
      <c r="G9381">
        <v>4.68</v>
      </c>
    </row>
    <row r="9382" spans="1:7">
      <c r="A9382" t="s">
        <v>1297</v>
      </c>
      <c r="B9382" t="s">
        <v>1298</v>
      </c>
      <c r="C9382" t="s">
        <v>676</v>
      </c>
      <c r="D9382" t="s">
        <v>1404</v>
      </c>
      <c r="E9382" t="s">
        <v>187</v>
      </c>
      <c r="F9382">
        <v>2020</v>
      </c>
      <c r="G9382">
        <v>4.1509999999999998</v>
      </c>
    </row>
    <row r="9383" spans="1:7">
      <c r="A9383" t="s">
        <v>1297</v>
      </c>
      <c r="B9383" t="s">
        <v>1298</v>
      </c>
      <c r="C9383" t="s">
        <v>1300</v>
      </c>
      <c r="D9383" t="s">
        <v>1404</v>
      </c>
      <c r="E9383" t="s">
        <v>187</v>
      </c>
      <c r="F9383">
        <v>2010</v>
      </c>
      <c r="G9383">
        <v>2.1000000000000001E-2</v>
      </c>
    </row>
    <row r="9384" spans="1:7">
      <c r="A9384" t="s">
        <v>1297</v>
      </c>
      <c r="B9384" t="s">
        <v>1298</v>
      </c>
      <c r="C9384" t="s">
        <v>1300</v>
      </c>
      <c r="D9384" t="s">
        <v>1404</v>
      </c>
      <c r="E9384" t="s">
        <v>187</v>
      </c>
      <c r="F9384">
        <v>2012</v>
      </c>
      <c r="G9384">
        <v>1.7999999999999999E-2</v>
      </c>
    </row>
    <row r="9385" spans="1:7">
      <c r="A9385" t="s">
        <v>1297</v>
      </c>
      <c r="B9385" t="s">
        <v>1298</v>
      </c>
      <c r="C9385" t="s">
        <v>1300</v>
      </c>
      <c r="D9385" t="s">
        <v>1404</v>
      </c>
      <c r="E9385" t="s">
        <v>187</v>
      </c>
      <c r="F9385">
        <v>2016</v>
      </c>
      <c r="G9385">
        <v>7.5999999999999998E-2</v>
      </c>
    </row>
    <row r="9386" spans="1:7">
      <c r="A9386" t="s">
        <v>1297</v>
      </c>
      <c r="B9386" t="s">
        <v>1298</v>
      </c>
      <c r="C9386" t="s">
        <v>1300</v>
      </c>
      <c r="D9386" t="s">
        <v>1404</v>
      </c>
      <c r="E9386" t="s">
        <v>187</v>
      </c>
      <c r="F9386">
        <v>2020</v>
      </c>
      <c r="G9386">
        <v>4.4999999999999998E-2</v>
      </c>
    </row>
    <row r="9387" spans="1:7">
      <c r="A9387" t="s">
        <v>1297</v>
      </c>
      <c r="B9387" t="s">
        <v>1298</v>
      </c>
      <c r="C9387" t="s">
        <v>666</v>
      </c>
      <c r="D9387" t="s">
        <v>1404</v>
      </c>
      <c r="E9387" t="s">
        <v>187</v>
      </c>
      <c r="F9387">
        <v>2005</v>
      </c>
      <c r="G9387">
        <v>2.6269999999999998</v>
      </c>
    </row>
    <row r="9388" spans="1:7">
      <c r="A9388" t="s">
        <v>1297</v>
      </c>
      <c r="B9388" t="s">
        <v>1298</v>
      </c>
      <c r="C9388" t="s">
        <v>666</v>
      </c>
      <c r="D9388" t="s">
        <v>1404</v>
      </c>
      <c r="E9388" t="s">
        <v>187</v>
      </c>
      <c r="F9388">
        <v>2010</v>
      </c>
      <c r="G9388">
        <v>1.2649999999999999</v>
      </c>
    </row>
    <row r="9389" spans="1:7">
      <c r="A9389" t="s">
        <v>1297</v>
      </c>
      <c r="B9389" t="s">
        <v>1298</v>
      </c>
      <c r="C9389" t="s">
        <v>666</v>
      </c>
      <c r="D9389" t="s">
        <v>1404</v>
      </c>
      <c r="E9389" t="s">
        <v>187</v>
      </c>
      <c r="F9389">
        <v>2012</v>
      </c>
      <c r="G9389">
        <v>0.32900000000000001</v>
      </c>
    </row>
    <row r="9390" spans="1:7">
      <c r="A9390" t="s">
        <v>1297</v>
      </c>
      <c r="B9390" t="s">
        <v>1298</v>
      </c>
      <c r="C9390" t="s">
        <v>666</v>
      </c>
      <c r="D9390" t="s">
        <v>1404</v>
      </c>
      <c r="E9390" t="s">
        <v>187</v>
      </c>
      <c r="F9390">
        <v>2016</v>
      </c>
      <c r="G9390">
        <v>0.29599999999999999</v>
      </c>
    </row>
    <row r="9391" spans="1:7">
      <c r="A9391" t="s">
        <v>1297</v>
      </c>
      <c r="B9391" t="s">
        <v>1298</v>
      </c>
      <c r="C9391" t="s">
        <v>666</v>
      </c>
      <c r="D9391" t="s">
        <v>1404</v>
      </c>
      <c r="E9391" t="s">
        <v>187</v>
      </c>
      <c r="F9391">
        <v>2020</v>
      </c>
      <c r="G9391">
        <v>0.41699999999999998</v>
      </c>
    </row>
    <row r="9392" spans="1:7">
      <c r="A9392" t="s">
        <v>1297</v>
      </c>
      <c r="B9392" t="s">
        <v>1298</v>
      </c>
      <c r="C9392" t="s">
        <v>1302</v>
      </c>
      <c r="D9392" t="s">
        <v>1404</v>
      </c>
      <c r="E9392" t="s">
        <v>187</v>
      </c>
      <c r="F9392">
        <v>2005</v>
      </c>
      <c r="G9392">
        <v>2.5000000000000001E-2</v>
      </c>
    </row>
    <row r="9393" spans="1:7">
      <c r="A9393" t="s">
        <v>1297</v>
      </c>
      <c r="B9393" t="s">
        <v>1298</v>
      </c>
      <c r="C9393" t="s">
        <v>1302</v>
      </c>
      <c r="D9393" t="s">
        <v>1404</v>
      </c>
      <c r="E9393" t="s">
        <v>187</v>
      </c>
      <c r="F9393">
        <v>2010</v>
      </c>
      <c r="G9393">
        <v>2.9000000000000001E-2</v>
      </c>
    </row>
    <row r="9394" spans="1:7">
      <c r="A9394" t="s">
        <v>1297</v>
      </c>
      <c r="B9394" t="s">
        <v>1298</v>
      </c>
      <c r="C9394" t="s">
        <v>1302</v>
      </c>
      <c r="D9394" t="s">
        <v>1404</v>
      </c>
      <c r="E9394" t="s">
        <v>187</v>
      </c>
      <c r="F9394">
        <v>2012</v>
      </c>
      <c r="G9394">
        <v>1.9E-2</v>
      </c>
    </row>
    <row r="9395" spans="1:7">
      <c r="A9395" t="s">
        <v>1297</v>
      </c>
      <c r="B9395" t="s">
        <v>1298</v>
      </c>
      <c r="C9395" t="s">
        <v>1302</v>
      </c>
      <c r="D9395" t="s">
        <v>1404</v>
      </c>
      <c r="E9395" t="s">
        <v>187</v>
      </c>
      <c r="F9395">
        <v>2016</v>
      </c>
      <c r="G9395">
        <v>9.5000000000000001E-2</v>
      </c>
    </row>
    <row r="9396" spans="1:7">
      <c r="A9396" t="s">
        <v>1297</v>
      </c>
      <c r="B9396" t="s">
        <v>1298</v>
      </c>
      <c r="C9396" t="s">
        <v>1302</v>
      </c>
      <c r="D9396" t="s">
        <v>1404</v>
      </c>
      <c r="E9396" t="s">
        <v>187</v>
      </c>
      <c r="F9396">
        <v>2020</v>
      </c>
      <c r="G9396">
        <v>0.12266000000000001</v>
      </c>
    </row>
    <row r="9397" spans="1:7">
      <c r="A9397" t="s">
        <v>1297</v>
      </c>
      <c r="B9397" t="s">
        <v>1298</v>
      </c>
      <c r="C9397" t="s">
        <v>655</v>
      </c>
      <c r="D9397" t="s">
        <v>1404</v>
      </c>
      <c r="E9397" t="s">
        <v>187</v>
      </c>
      <c r="F9397">
        <v>2005</v>
      </c>
      <c r="G9397">
        <v>11.316000000000001</v>
      </c>
    </row>
    <row r="9398" spans="1:7">
      <c r="A9398" t="s">
        <v>1297</v>
      </c>
      <c r="B9398" t="s">
        <v>1298</v>
      </c>
      <c r="C9398" t="s">
        <v>655</v>
      </c>
      <c r="D9398" t="s">
        <v>1404</v>
      </c>
      <c r="E9398" t="s">
        <v>187</v>
      </c>
      <c r="F9398">
        <v>2010</v>
      </c>
      <c r="G9398">
        <v>35.081299999999999</v>
      </c>
    </row>
    <row r="9399" spans="1:7">
      <c r="A9399" t="s">
        <v>1297</v>
      </c>
      <c r="B9399" t="s">
        <v>1298</v>
      </c>
      <c r="C9399" t="s">
        <v>655</v>
      </c>
      <c r="D9399" t="s">
        <v>1404</v>
      </c>
      <c r="E9399" t="s">
        <v>187</v>
      </c>
      <c r="F9399">
        <v>2012</v>
      </c>
      <c r="G9399">
        <v>31.7194</v>
      </c>
    </row>
    <row r="9400" spans="1:7">
      <c r="A9400" t="s">
        <v>1297</v>
      </c>
      <c r="B9400" t="s">
        <v>1298</v>
      </c>
      <c r="C9400" t="s">
        <v>655</v>
      </c>
      <c r="D9400" t="s">
        <v>1404</v>
      </c>
      <c r="E9400" t="s">
        <v>187</v>
      </c>
      <c r="F9400">
        <v>2016</v>
      </c>
      <c r="G9400">
        <v>27.383299999999998</v>
      </c>
    </row>
    <row r="9401" spans="1:7">
      <c r="A9401" t="s">
        <v>1297</v>
      </c>
      <c r="B9401" t="s">
        <v>1298</v>
      </c>
      <c r="C9401" t="s">
        <v>655</v>
      </c>
      <c r="D9401" t="s">
        <v>1404</v>
      </c>
      <c r="E9401" t="s">
        <v>187</v>
      </c>
      <c r="F9401">
        <v>2020</v>
      </c>
      <c r="G9401">
        <v>21.537020999999999</v>
      </c>
    </row>
    <row r="9402" spans="1:7">
      <c r="A9402" t="s">
        <v>1297</v>
      </c>
      <c r="B9402" t="s">
        <v>1298</v>
      </c>
      <c r="C9402" t="s">
        <v>652</v>
      </c>
      <c r="D9402" t="s">
        <v>1404</v>
      </c>
      <c r="E9402" t="s">
        <v>187</v>
      </c>
      <c r="F9402">
        <v>2020</v>
      </c>
      <c r="G9402">
        <v>0.13139999999999999</v>
      </c>
    </row>
    <row r="9403" spans="1:7">
      <c r="A9403" t="s">
        <v>1297</v>
      </c>
      <c r="B9403" t="s">
        <v>1298</v>
      </c>
      <c r="C9403" t="s">
        <v>665</v>
      </c>
      <c r="D9403" t="s">
        <v>1404</v>
      </c>
      <c r="E9403" t="s">
        <v>187</v>
      </c>
      <c r="F9403">
        <v>2005</v>
      </c>
      <c r="G9403">
        <v>64.013999999999996</v>
      </c>
    </row>
    <row r="9404" spans="1:7">
      <c r="A9404" t="s">
        <v>1297</v>
      </c>
      <c r="B9404" t="s">
        <v>1298</v>
      </c>
      <c r="C9404" t="s">
        <v>665</v>
      </c>
      <c r="D9404" t="s">
        <v>1404</v>
      </c>
      <c r="E9404" t="s">
        <v>187</v>
      </c>
      <c r="F9404">
        <v>2010</v>
      </c>
      <c r="G9404">
        <v>65.838999999999999</v>
      </c>
    </row>
    <row r="9405" spans="1:7">
      <c r="A9405" t="s">
        <v>1297</v>
      </c>
      <c r="B9405" t="s">
        <v>1298</v>
      </c>
      <c r="C9405" t="s">
        <v>665</v>
      </c>
      <c r="D9405" t="s">
        <v>1404</v>
      </c>
      <c r="E9405" t="s">
        <v>187</v>
      </c>
      <c r="F9405">
        <v>2012</v>
      </c>
      <c r="G9405">
        <v>62.402999999999999</v>
      </c>
    </row>
    <row r="9406" spans="1:7">
      <c r="A9406" t="s">
        <v>1297</v>
      </c>
      <c r="B9406" t="s">
        <v>1298</v>
      </c>
      <c r="C9406" t="s">
        <v>665</v>
      </c>
      <c r="D9406" t="s">
        <v>1404</v>
      </c>
      <c r="E9406" t="s">
        <v>187</v>
      </c>
      <c r="F9406">
        <v>2016</v>
      </c>
      <c r="G9406">
        <v>57.469000000000001</v>
      </c>
    </row>
    <row r="9407" spans="1:7">
      <c r="A9407" t="s">
        <v>1297</v>
      </c>
      <c r="B9407" t="s">
        <v>1298</v>
      </c>
      <c r="C9407" t="s">
        <v>665</v>
      </c>
      <c r="D9407" t="s">
        <v>1404</v>
      </c>
      <c r="E9407" t="s">
        <v>187</v>
      </c>
      <c r="F9407">
        <v>2020</v>
      </c>
      <c r="G9407">
        <v>54.911633000000002</v>
      </c>
    </row>
    <row r="9408" spans="1:7">
      <c r="A9408" t="s">
        <v>1297</v>
      </c>
      <c r="B9408" t="s">
        <v>1298</v>
      </c>
      <c r="C9408" t="s">
        <v>656</v>
      </c>
      <c r="D9408" t="s">
        <v>1404</v>
      </c>
      <c r="E9408" t="s">
        <v>187</v>
      </c>
      <c r="F9408">
        <v>2005</v>
      </c>
      <c r="G9408">
        <v>4.5549999999999997</v>
      </c>
    </row>
    <row r="9409" spans="1:7">
      <c r="A9409" t="s">
        <v>1297</v>
      </c>
      <c r="B9409" t="s">
        <v>1298</v>
      </c>
      <c r="C9409" t="s">
        <v>656</v>
      </c>
      <c r="D9409" t="s">
        <v>1404</v>
      </c>
      <c r="E9409" t="s">
        <v>187</v>
      </c>
      <c r="F9409">
        <v>2010</v>
      </c>
      <c r="G9409">
        <v>3.7149999999999999</v>
      </c>
    </row>
    <row r="9410" spans="1:7">
      <c r="A9410" t="s">
        <v>1297</v>
      </c>
      <c r="B9410" t="s">
        <v>1298</v>
      </c>
      <c r="C9410" t="s">
        <v>656</v>
      </c>
      <c r="D9410" t="s">
        <v>1404</v>
      </c>
      <c r="E9410" t="s">
        <v>187</v>
      </c>
      <c r="F9410">
        <v>2012</v>
      </c>
      <c r="G9410">
        <v>10.749000000000001</v>
      </c>
    </row>
    <row r="9411" spans="1:7">
      <c r="A9411" t="s">
        <v>1297</v>
      </c>
      <c r="B9411" t="s">
        <v>1298</v>
      </c>
      <c r="C9411" t="s">
        <v>656</v>
      </c>
      <c r="D9411" t="s">
        <v>1404</v>
      </c>
      <c r="E9411" t="s">
        <v>187</v>
      </c>
      <c r="F9411">
        <v>2016</v>
      </c>
      <c r="G9411">
        <v>12.5</v>
      </c>
    </row>
    <row r="9412" spans="1:7">
      <c r="A9412" t="s">
        <v>1297</v>
      </c>
      <c r="B9412" t="s">
        <v>1298</v>
      </c>
      <c r="C9412" t="s">
        <v>656</v>
      </c>
      <c r="D9412" t="s">
        <v>1404</v>
      </c>
      <c r="E9412" t="s">
        <v>187</v>
      </c>
      <c r="F9412">
        <v>2020</v>
      </c>
      <c r="G9412">
        <v>13.651</v>
      </c>
    </row>
    <row r="9413" spans="1:7">
      <c r="A9413" t="s">
        <v>1297</v>
      </c>
      <c r="B9413" t="s">
        <v>1298</v>
      </c>
      <c r="C9413" t="s">
        <v>679</v>
      </c>
      <c r="D9413" t="s">
        <v>1404</v>
      </c>
      <c r="E9413" t="s">
        <v>187</v>
      </c>
      <c r="F9413">
        <v>2005</v>
      </c>
      <c r="G9413">
        <v>0.44</v>
      </c>
    </row>
    <row r="9414" spans="1:7">
      <c r="A9414" t="s">
        <v>1297</v>
      </c>
      <c r="B9414" t="s">
        <v>1298</v>
      </c>
      <c r="C9414" t="s">
        <v>679</v>
      </c>
      <c r="D9414" t="s">
        <v>1404</v>
      </c>
      <c r="E9414" t="s">
        <v>187</v>
      </c>
      <c r="F9414">
        <v>2010</v>
      </c>
      <c r="G9414">
        <v>1.2999999999999999E-2</v>
      </c>
    </row>
    <row r="9415" spans="1:7">
      <c r="A9415" t="s">
        <v>1297</v>
      </c>
      <c r="B9415" t="s">
        <v>1298</v>
      </c>
      <c r="C9415" t="s">
        <v>679</v>
      </c>
      <c r="D9415" t="s">
        <v>1404</v>
      </c>
      <c r="E9415" t="s">
        <v>187</v>
      </c>
      <c r="F9415">
        <v>2012</v>
      </c>
      <c r="G9415">
        <v>1E-3</v>
      </c>
    </row>
    <row r="9416" spans="1:7">
      <c r="A9416" t="s">
        <v>1297</v>
      </c>
      <c r="B9416" t="s">
        <v>1298</v>
      </c>
      <c r="C9416" t="s">
        <v>660</v>
      </c>
      <c r="D9416" t="s">
        <v>1404</v>
      </c>
      <c r="E9416" t="s">
        <v>187</v>
      </c>
      <c r="F9416">
        <v>2010</v>
      </c>
      <c r="G9416">
        <v>1.5549999999999999</v>
      </c>
    </row>
    <row r="9417" spans="1:7">
      <c r="A9417" t="s">
        <v>1297</v>
      </c>
      <c r="B9417" t="s">
        <v>1298</v>
      </c>
      <c r="C9417" t="s">
        <v>660</v>
      </c>
      <c r="D9417" t="s">
        <v>1404</v>
      </c>
      <c r="E9417" t="s">
        <v>187</v>
      </c>
      <c r="F9417">
        <v>2012</v>
      </c>
      <c r="G9417">
        <v>1.5860000000000001</v>
      </c>
    </row>
    <row r="9418" spans="1:7">
      <c r="A9418" t="s">
        <v>1297</v>
      </c>
      <c r="B9418" t="s">
        <v>1298</v>
      </c>
      <c r="C9418" t="s">
        <v>660</v>
      </c>
      <c r="D9418" t="s">
        <v>1404</v>
      </c>
      <c r="E9418" t="s">
        <v>187</v>
      </c>
      <c r="F9418">
        <v>2016</v>
      </c>
      <c r="G9418">
        <v>5.5</v>
      </c>
    </row>
    <row r="9419" spans="1:7">
      <c r="A9419" t="s">
        <v>1297</v>
      </c>
      <c r="B9419" t="s">
        <v>1298</v>
      </c>
      <c r="C9419" t="s">
        <v>660</v>
      </c>
      <c r="D9419" t="s">
        <v>1404</v>
      </c>
      <c r="E9419" t="s">
        <v>187</v>
      </c>
      <c r="F9419">
        <v>2020</v>
      </c>
      <c r="G9419">
        <v>5.4489999999999998</v>
      </c>
    </row>
    <row r="9420" spans="1:7">
      <c r="A9420" t="s">
        <v>1297</v>
      </c>
      <c r="B9420" t="s">
        <v>1298</v>
      </c>
      <c r="C9420" t="s">
        <v>682</v>
      </c>
      <c r="D9420" t="s">
        <v>1404</v>
      </c>
      <c r="E9420" t="s">
        <v>187</v>
      </c>
      <c r="F9420">
        <v>2016</v>
      </c>
      <c r="G9420">
        <v>2.1000000000000001E-2</v>
      </c>
    </row>
    <row r="9421" spans="1:7">
      <c r="A9421" t="s">
        <v>1297</v>
      </c>
      <c r="B9421" t="s">
        <v>1298</v>
      </c>
      <c r="C9421" t="s">
        <v>682</v>
      </c>
      <c r="D9421" t="s">
        <v>1404</v>
      </c>
      <c r="E9421" t="s">
        <v>187</v>
      </c>
      <c r="F9421">
        <v>2020</v>
      </c>
      <c r="G9421">
        <v>2.1000000000000001E-2</v>
      </c>
    </row>
    <row r="9422" spans="1:7">
      <c r="A9422" t="s">
        <v>1297</v>
      </c>
      <c r="B9422" t="s">
        <v>1298</v>
      </c>
      <c r="C9422" t="s">
        <v>670</v>
      </c>
      <c r="D9422" t="s">
        <v>1404</v>
      </c>
      <c r="E9422" t="s">
        <v>187</v>
      </c>
      <c r="F9422">
        <v>2005</v>
      </c>
      <c r="G9422">
        <v>4.0990000000000002</v>
      </c>
    </row>
    <row r="9423" spans="1:7">
      <c r="A9423" t="s">
        <v>1297</v>
      </c>
      <c r="B9423" t="s">
        <v>1298</v>
      </c>
      <c r="C9423" t="s">
        <v>670</v>
      </c>
      <c r="D9423" t="s">
        <v>1404</v>
      </c>
      <c r="E9423" t="s">
        <v>187</v>
      </c>
      <c r="F9423">
        <v>2010</v>
      </c>
      <c r="G9423">
        <v>16.992999999999999</v>
      </c>
    </row>
    <row r="9424" spans="1:7">
      <c r="A9424" t="s">
        <v>1297</v>
      </c>
      <c r="B9424" t="s">
        <v>1298</v>
      </c>
      <c r="C9424" t="s">
        <v>670</v>
      </c>
      <c r="D9424" t="s">
        <v>1404</v>
      </c>
      <c r="E9424" t="s">
        <v>187</v>
      </c>
      <c r="F9424">
        <v>2012</v>
      </c>
      <c r="G9424">
        <v>16.856000000000002</v>
      </c>
    </row>
    <row r="9425" spans="1:7">
      <c r="A9425" t="s">
        <v>1297</v>
      </c>
      <c r="B9425" t="s">
        <v>1298</v>
      </c>
      <c r="C9425" t="s">
        <v>670</v>
      </c>
      <c r="D9425" t="s">
        <v>1404</v>
      </c>
      <c r="E9425" t="s">
        <v>187</v>
      </c>
      <c r="F9425">
        <v>2016</v>
      </c>
      <c r="G9425">
        <v>9.2002550000000003</v>
      </c>
    </row>
    <row r="9426" spans="1:7">
      <c r="A9426" t="s">
        <v>1297</v>
      </c>
      <c r="B9426" t="s">
        <v>1298</v>
      </c>
      <c r="C9426" t="s">
        <v>670</v>
      </c>
      <c r="D9426" t="s">
        <v>1404</v>
      </c>
      <c r="E9426" t="s">
        <v>187</v>
      </c>
      <c r="F9426">
        <v>2020</v>
      </c>
      <c r="G9426">
        <v>11.325116</v>
      </c>
    </row>
    <row r="9427" spans="1:7">
      <c r="A9427" t="s">
        <v>1297</v>
      </c>
      <c r="B9427" t="s">
        <v>1298</v>
      </c>
      <c r="C9427" t="s">
        <v>686</v>
      </c>
      <c r="D9427" t="s">
        <v>1404</v>
      </c>
      <c r="E9427" t="s">
        <v>187</v>
      </c>
      <c r="F9427">
        <v>2005</v>
      </c>
      <c r="G9427">
        <v>1.018</v>
      </c>
    </row>
    <row r="9428" spans="1:7">
      <c r="A9428" t="s">
        <v>1297</v>
      </c>
      <c r="B9428" t="s">
        <v>1298</v>
      </c>
      <c r="C9428" t="s">
        <v>686</v>
      </c>
      <c r="D9428" t="s">
        <v>1404</v>
      </c>
      <c r="E9428" t="s">
        <v>187</v>
      </c>
      <c r="F9428">
        <v>2010</v>
      </c>
      <c r="G9428">
        <v>1.034</v>
      </c>
    </row>
    <row r="9429" spans="1:7">
      <c r="A9429" t="s">
        <v>1297</v>
      </c>
      <c r="B9429" t="s">
        <v>1298</v>
      </c>
      <c r="C9429" t="s">
        <v>686</v>
      </c>
      <c r="D9429" t="s">
        <v>1404</v>
      </c>
      <c r="E9429" t="s">
        <v>187</v>
      </c>
      <c r="F9429">
        <v>2012</v>
      </c>
      <c r="G9429">
        <v>1.7230000000000001</v>
      </c>
    </row>
    <row r="9430" spans="1:7">
      <c r="A9430" t="s">
        <v>1297</v>
      </c>
      <c r="B9430" t="s">
        <v>1298</v>
      </c>
      <c r="C9430" t="s">
        <v>686</v>
      </c>
      <c r="D9430" t="s">
        <v>1404</v>
      </c>
      <c r="E9430" t="s">
        <v>187</v>
      </c>
      <c r="F9430">
        <v>2016</v>
      </c>
      <c r="G9430">
        <v>2.141</v>
      </c>
    </row>
    <row r="9431" spans="1:7">
      <c r="A9431" t="s">
        <v>1297</v>
      </c>
      <c r="B9431" t="s">
        <v>1298</v>
      </c>
      <c r="C9431" t="s">
        <v>686</v>
      </c>
      <c r="D9431" t="s">
        <v>1404</v>
      </c>
      <c r="E9431" t="s">
        <v>187</v>
      </c>
      <c r="F9431">
        <v>2020</v>
      </c>
      <c r="G9431">
        <v>1.9144730000000001</v>
      </c>
    </row>
    <row r="9432" spans="1:7">
      <c r="A9432" t="s">
        <v>1297</v>
      </c>
      <c r="B9432" t="s">
        <v>1298</v>
      </c>
      <c r="C9432" t="s">
        <v>1299</v>
      </c>
      <c r="D9432" t="s">
        <v>1404</v>
      </c>
      <c r="E9432" t="s">
        <v>187</v>
      </c>
      <c r="F9432">
        <v>2005</v>
      </c>
      <c r="G9432">
        <v>4.665</v>
      </c>
    </row>
    <row r="9433" spans="1:7">
      <c r="A9433" t="s">
        <v>1297</v>
      </c>
      <c r="B9433" t="s">
        <v>1298</v>
      </c>
      <c r="C9433" t="s">
        <v>1299</v>
      </c>
      <c r="D9433" t="s">
        <v>1404</v>
      </c>
      <c r="E9433" t="s">
        <v>187</v>
      </c>
      <c r="F9433">
        <v>2010</v>
      </c>
      <c r="G9433">
        <v>52.128</v>
      </c>
    </row>
    <row r="9434" spans="1:7">
      <c r="A9434" t="s">
        <v>1297</v>
      </c>
      <c r="B9434" t="s">
        <v>1298</v>
      </c>
      <c r="C9434" t="s">
        <v>1299</v>
      </c>
      <c r="D9434" t="s">
        <v>1404</v>
      </c>
      <c r="E9434" t="s">
        <v>187</v>
      </c>
      <c r="F9434">
        <v>2012</v>
      </c>
      <c r="G9434">
        <v>48.901000000000003</v>
      </c>
    </row>
    <row r="9435" spans="1:7">
      <c r="A9435" t="s">
        <v>1297</v>
      </c>
      <c r="B9435" t="s">
        <v>1298</v>
      </c>
      <c r="C9435" t="s">
        <v>1299</v>
      </c>
      <c r="D9435" t="s">
        <v>1404</v>
      </c>
      <c r="E9435" t="s">
        <v>187</v>
      </c>
      <c r="F9435">
        <v>2016</v>
      </c>
      <c r="G9435">
        <v>46.322000000000003</v>
      </c>
    </row>
    <row r="9436" spans="1:7">
      <c r="A9436" t="s">
        <v>1297</v>
      </c>
      <c r="B9436" t="s">
        <v>1298</v>
      </c>
      <c r="C9436" t="s">
        <v>1299</v>
      </c>
      <c r="D9436" t="s">
        <v>1404</v>
      </c>
      <c r="E9436" t="s">
        <v>187</v>
      </c>
      <c r="F9436">
        <v>2020</v>
      </c>
      <c r="G9436">
        <v>37.54</v>
      </c>
    </row>
    <row r="9437" spans="1:7">
      <c r="A9437" t="s">
        <v>1297</v>
      </c>
      <c r="B9437" t="s">
        <v>1298</v>
      </c>
      <c r="C9437" t="s">
        <v>289</v>
      </c>
      <c r="D9437" t="s">
        <v>1404</v>
      </c>
      <c r="E9437" t="s">
        <v>187</v>
      </c>
      <c r="F9437">
        <v>2005</v>
      </c>
      <c r="G9437">
        <v>0.871</v>
      </c>
    </row>
    <row r="9438" spans="1:7">
      <c r="A9438" t="s">
        <v>1297</v>
      </c>
      <c r="B9438" t="s">
        <v>1298</v>
      </c>
      <c r="C9438" t="s">
        <v>289</v>
      </c>
      <c r="D9438" t="s">
        <v>1404</v>
      </c>
      <c r="E9438" t="s">
        <v>187</v>
      </c>
      <c r="F9438">
        <v>2010</v>
      </c>
      <c r="G9438">
        <v>0.69299999999999995</v>
      </c>
    </row>
    <row r="9439" spans="1:7">
      <c r="A9439" t="s">
        <v>1297</v>
      </c>
      <c r="B9439" t="s">
        <v>1298</v>
      </c>
      <c r="C9439" t="s">
        <v>289</v>
      </c>
      <c r="D9439" t="s">
        <v>1404</v>
      </c>
      <c r="E9439" t="s">
        <v>187</v>
      </c>
      <c r="F9439">
        <v>2012</v>
      </c>
      <c r="G9439">
        <v>0.65100000000000002</v>
      </c>
    </row>
    <row r="9440" spans="1:7">
      <c r="A9440" t="s">
        <v>1297</v>
      </c>
      <c r="B9440" t="s">
        <v>1298</v>
      </c>
      <c r="C9440" t="s">
        <v>289</v>
      </c>
      <c r="D9440" t="s">
        <v>1404</v>
      </c>
      <c r="E9440" t="s">
        <v>187</v>
      </c>
      <c r="F9440">
        <v>2016</v>
      </c>
      <c r="G9440">
        <v>0.61</v>
      </c>
    </row>
    <row r="9441" spans="1:7">
      <c r="A9441" t="s">
        <v>1297</v>
      </c>
      <c r="B9441" t="s">
        <v>1298</v>
      </c>
      <c r="C9441" t="s">
        <v>289</v>
      </c>
      <c r="D9441" t="s">
        <v>1404</v>
      </c>
      <c r="E9441" t="s">
        <v>187</v>
      </c>
      <c r="F9441">
        <v>2020</v>
      </c>
      <c r="G9441">
        <v>1.4664999999999999</v>
      </c>
    </row>
    <row r="9442" spans="1:7">
      <c r="A9442" t="s">
        <v>1297</v>
      </c>
      <c r="B9442" t="s">
        <v>1298</v>
      </c>
      <c r="C9442" t="s">
        <v>671</v>
      </c>
      <c r="D9442" t="s">
        <v>1404</v>
      </c>
      <c r="E9442" t="s">
        <v>187</v>
      </c>
      <c r="F9442">
        <v>2005</v>
      </c>
      <c r="G9442">
        <v>29.236999999999998</v>
      </c>
    </row>
    <row r="9443" spans="1:7">
      <c r="A9443" t="s">
        <v>1297</v>
      </c>
      <c r="B9443" t="s">
        <v>1298</v>
      </c>
      <c r="C9443" t="s">
        <v>671</v>
      </c>
      <c r="D9443" t="s">
        <v>1404</v>
      </c>
      <c r="E9443" t="s">
        <v>187</v>
      </c>
      <c r="F9443">
        <v>2010</v>
      </c>
      <c r="G9443">
        <v>30.904</v>
      </c>
    </row>
    <row r="9444" spans="1:7">
      <c r="A9444" t="s">
        <v>1297</v>
      </c>
      <c r="B9444" t="s">
        <v>1298</v>
      </c>
      <c r="C9444" t="s">
        <v>671</v>
      </c>
      <c r="D9444" t="s">
        <v>1404</v>
      </c>
      <c r="E9444" t="s">
        <v>187</v>
      </c>
      <c r="F9444">
        <v>2012</v>
      </c>
      <c r="G9444">
        <v>30.297999999999998</v>
      </c>
    </row>
    <row r="9445" spans="1:7">
      <c r="A9445" t="s">
        <v>1297</v>
      </c>
      <c r="B9445" t="s">
        <v>1298</v>
      </c>
      <c r="C9445" t="s">
        <v>668</v>
      </c>
      <c r="D9445" t="s">
        <v>1404</v>
      </c>
      <c r="E9445" t="s">
        <v>187</v>
      </c>
      <c r="F9445">
        <v>2005</v>
      </c>
      <c r="G9445">
        <v>0.85299999999999998</v>
      </c>
    </row>
    <row r="9446" spans="1:7">
      <c r="A9446" t="s">
        <v>1297</v>
      </c>
      <c r="B9446" t="s">
        <v>1298</v>
      </c>
      <c r="C9446" t="s">
        <v>668</v>
      </c>
      <c r="D9446" t="s">
        <v>1404</v>
      </c>
      <c r="E9446" t="s">
        <v>187</v>
      </c>
      <c r="F9446">
        <v>2010</v>
      </c>
      <c r="G9446">
        <v>0.54400000000000004</v>
      </c>
    </row>
    <row r="9447" spans="1:7">
      <c r="A9447" t="s">
        <v>1297</v>
      </c>
      <c r="B9447" t="s">
        <v>1298</v>
      </c>
      <c r="C9447" t="s">
        <v>668</v>
      </c>
      <c r="D9447" t="s">
        <v>1404</v>
      </c>
      <c r="E9447" t="s">
        <v>187</v>
      </c>
      <c r="F9447">
        <v>2012</v>
      </c>
      <c r="G9447">
        <v>0.68</v>
      </c>
    </row>
    <row r="9448" spans="1:7">
      <c r="A9448" t="s">
        <v>1297</v>
      </c>
      <c r="B9448" t="s">
        <v>1298</v>
      </c>
      <c r="C9448" t="s">
        <v>668</v>
      </c>
      <c r="D9448" t="s">
        <v>1404</v>
      </c>
      <c r="E9448" t="s">
        <v>187</v>
      </c>
      <c r="F9448">
        <v>2016</v>
      </c>
      <c r="G9448">
        <v>1.194</v>
      </c>
    </row>
    <row r="9449" spans="1:7">
      <c r="A9449" t="s">
        <v>1297</v>
      </c>
      <c r="B9449" t="s">
        <v>1298</v>
      </c>
      <c r="C9449" t="s">
        <v>668</v>
      </c>
      <c r="D9449" t="s">
        <v>1404</v>
      </c>
      <c r="E9449" t="s">
        <v>187</v>
      </c>
      <c r="F9449">
        <v>2020</v>
      </c>
      <c r="G9449">
        <v>1.0119689999999999</v>
      </c>
    </row>
    <row r="9450" spans="1:7">
      <c r="A9450" t="s">
        <v>1297</v>
      </c>
      <c r="B9450" t="s">
        <v>1298</v>
      </c>
      <c r="C9450" t="s">
        <v>653</v>
      </c>
      <c r="D9450" t="s">
        <v>1404</v>
      </c>
      <c r="E9450" t="s">
        <v>187</v>
      </c>
      <c r="F9450">
        <v>2005</v>
      </c>
      <c r="G9450">
        <v>8.1880000000000006</v>
      </c>
    </row>
    <row r="9451" spans="1:7">
      <c r="A9451" t="s">
        <v>1297</v>
      </c>
      <c r="B9451" t="s">
        <v>1298</v>
      </c>
      <c r="C9451" t="s">
        <v>653</v>
      </c>
      <c r="D9451" t="s">
        <v>1404</v>
      </c>
      <c r="E9451" t="s">
        <v>187</v>
      </c>
      <c r="F9451">
        <v>2010</v>
      </c>
      <c r="G9451">
        <v>12.932</v>
      </c>
    </row>
    <row r="9452" spans="1:7">
      <c r="A9452" t="s">
        <v>1297</v>
      </c>
      <c r="B9452" t="s">
        <v>1298</v>
      </c>
      <c r="C9452" t="s">
        <v>653</v>
      </c>
      <c r="D9452" t="s">
        <v>1404</v>
      </c>
      <c r="E9452" t="s">
        <v>187</v>
      </c>
      <c r="F9452">
        <v>2012</v>
      </c>
      <c r="G9452">
        <v>10.432</v>
      </c>
    </row>
    <row r="9453" spans="1:7">
      <c r="A9453" t="s">
        <v>1297</v>
      </c>
      <c r="B9453" t="s">
        <v>1298</v>
      </c>
      <c r="C9453" t="s">
        <v>653</v>
      </c>
      <c r="D9453" t="s">
        <v>1404</v>
      </c>
      <c r="E9453" t="s">
        <v>187</v>
      </c>
      <c r="F9453">
        <v>2016</v>
      </c>
      <c r="G9453">
        <v>8.4450000000000003</v>
      </c>
    </row>
    <row r="9454" spans="1:7">
      <c r="A9454" t="s">
        <v>1297</v>
      </c>
      <c r="B9454" t="s">
        <v>1298</v>
      </c>
      <c r="C9454" t="s">
        <v>653</v>
      </c>
      <c r="D9454" t="s">
        <v>1404</v>
      </c>
      <c r="E9454" t="s">
        <v>187</v>
      </c>
      <c r="F9454">
        <v>2020</v>
      </c>
      <c r="G9454">
        <v>8.6236719999999991</v>
      </c>
    </row>
    <row r="9455" spans="1:7">
      <c r="A9455" t="s">
        <v>1297</v>
      </c>
      <c r="B9455" t="s">
        <v>1298</v>
      </c>
      <c r="C9455" t="s">
        <v>658</v>
      </c>
      <c r="D9455" t="s">
        <v>1404</v>
      </c>
      <c r="E9455" t="s">
        <v>187</v>
      </c>
      <c r="F9455">
        <v>2005</v>
      </c>
      <c r="G9455">
        <v>0.35</v>
      </c>
    </row>
    <row r="9456" spans="1:7">
      <c r="A9456" t="s">
        <v>1297</v>
      </c>
      <c r="B9456" t="s">
        <v>1298</v>
      </c>
      <c r="C9456" t="s">
        <v>658</v>
      </c>
      <c r="D9456" t="s">
        <v>1404</v>
      </c>
      <c r="E9456" t="s">
        <v>187</v>
      </c>
      <c r="F9456">
        <v>2010</v>
      </c>
      <c r="G9456">
        <v>0.48599999999999999</v>
      </c>
    </row>
    <row r="9457" spans="1:7">
      <c r="A9457" t="s">
        <v>1297</v>
      </c>
      <c r="B9457" t="s">
        <v>1298</v>
      </c>
      <c r="C9457" t="s">
        <v>658</v>
      </c>
      <c r="D9457" t="s">
        <v>1404</v>
      </c>
      <c r="E9457" t="s">
        <v>187</v>
      </c>
      <c r="F9457">
        <v>2012</v>
      </c>
      <c r="G9457">
        <v>0.39800000000000002</v>
      </c>
    </row>
    <row r="9458" spans="1:7">
      <c r="A9458" t="s">
        <v>1297</v>
      </c>
      <c r="B9458" t="s">
        <v>1298</v>
      </c>
      <c r="C9458" t="s">
        <v>658</v>
      </c>
      <c r="D9458" t="s">
        <v>1404</v>
      </c>
      <c r="E9458" t="s">
        <v>187</v>
      </c>
      <c r="F9458">
        <v>2016</v>
      </c>
      <c r="G9458">
        <v>0.373</v>
      </c>
    </row>
    <row r="9459" spans="1:7">
      <c r="A9459" t="s">
        <v>1297</v>
      </c>
      <c r="B9459" t="s">
        <v>1298</v>
      </c>
      <c r="C9459" t="s">
        <v>658</v>
      </c>
      <c r="D9459" t="s">
        <v>1404</v>
      </c>
      <c r="E9459" t="s">
        <v>187</v>
      </c>
      <c r="F9459">
        <v>2020</v>
      </c>
      <c r="G9459">
        <v>0.32400000000000001</v>
      </c>
    </row>
    <row r="9460" spans="1:7">
      <c r="A9460" t="s">
        <v>1297</v>
      </c>
      <c r="B9460" t="s">
        <v>1298</v>
      </c>
      <c r="C9460" t="s">
        <v>673</v>
      </c>
      <c r="D9460" t="s">
        <v>1404</v>
      </c>
      <c r="E9460" t="s">
        <v>187</v>
      </c>
      <c r="F9460">
        <v>2005</v>
      </c>
      <c r="G9460">
        <v>13.1</v>
      </c>
    </row>
    <row r="9461" spans="1:7">
      <c r="A9461" t="s">
        <v>1297</v>
      </c>
      <c r="B9461" t="s">
        <v>1298</v>
      </c>
      <c r="C9461" t="s">
        <v>673</v>
      </c>
      <c r="D9461" t="s">
        <v>1404</v>
      </c>
      <c r="E9461" t="s">
        <v>187</v>
      </c>
      <c r="F9461">
        <v>2010</v>
      </c>
      <c r="G9461">
        <v>10.188000000000001</v>
      </c>
    </row>
    <row r="9462" spans="1:7">
      <c r="A9462" t="s">
        <v>1297</v>
      </c>
      <c r="B9462" t="s">
        <v>1298</v>
      </c>
      <c r="C9462" t="s">
        <v>673</v>
      </c>
      <c r="D9462" t="s">
        <v>1404</v>
      </c>
      <c r="E9462" t="s">
        <v>187</v>
      </c>
      <c r="F9462">
        <v>2012</v>
      </c>
      <c r="G9462">
        <v>11.194000000000001</v>
      </c>
    </row>
    <row r="9463" spans="1:7">
      <c r="A9463" t="s">
        <v>1297</v>
      </c>
      <c r="B9463" t="s">
        <v>1298</v>
      </c>
      <c r="C9463" t="s">
        <v>673</v>
      </c>
      <c r="D9463" t="s">
        <v>1404</v>
      </c>
      <c r="E9463" t="s">
        <v>187</v>
      </c>
      <c r="F9463">
        <v>2016</v>
      </c>
      <c r="G9463">
        <v>10.753</v>
      </c>
    </row>
    <row r="9464" spans="1:7">
      <c r="A9464" t="s">
        <v>1297</v>
      </c>
      <c r="B9464" t="s">
        <v>1298</v>
      </c>
      <c r="C9464" t="s">
        <v>673</v>
      </c>
      <c r="D9464" t="s">
        <v>1404</v>
      </c>
      <c r="E9464" t="s">
        <v>187</v>
      </c>
      <c r="F9464">
        <v>2020</v>
      </c>
      <c r="G9464">
        <v>7.28817</v>
      </c>
    </row>
    <row r="9465" spans="1:7">
      <c r="A9465" t="s">
        <v>1297</v>
      </c>
      <c r="B9465" t="s">
        <v>1298</v>
      </c>
      <c r="C9465" t="s">
        <v>663</v>
      </c>
      <c r="D9465" t="s">
        <v>1404</v>
      </c>
      <c r="E9465" t="s">
        <v>187</v>
      </c>
      <c r="F9465">
        <v>2005</v>
      </c>
      <c r="G9465">
        <v>3.7730000000000001</v>
      </c>
    </row>
    <row r="9466" spans="1:7">
      <c r="A9466" t="s">
        <v>1297</v>
      </c>
      <c r="B9466" t="s">
        <v>1298</v>
      </c>
      <c r="C9466" t="s">
        <v>663</v>
      </c>
      <c r="D9466" t="s">
        <v>1404</v>
      </c>
      <c r="E9466" t="s">
        <v>187</v>
      </c>
      <c r="F9466">
        <v>2010</v>
      </c>
      <c r="G9466">
        <v>3.145</v>
      </c>
    </row>
    <row r="9467" spans="1:7">
      <c r="A9467" t="s">
        <v>1297</v>
      </c>
      <c r="B9467" t="s">
        <v>1298</v>
      </c>
      <c r="C9467" t="s">
        <v>663</v>
      </c>
      <c r="D9467" t="s">
        <v>1404</v>
      </c>
      <c r="E9467" t="s">
        <v>187</v>
      </c>
      <c r="F9467">
        <v>2012</v>
      </c>
      <c r="G9467">
        <v>2.1960000000000002</v>
      </c>
    </row>
    <row r="9468" spans="1:7">
      <c r="A9468" t="s">
        <v>1297</v>
      </c>
      <c r="B9468" t="s">
        <v>1298</v>
      </c>
      <c r="C9468" t="s">
        <v>663</v>
      </c>
      <c r="D9468" t="s">
        <v>1404</v>
      </c>
      <c r="E9468" t="s">
        <v>187</v>
      </c>
      <c r="F9468">
        <v>2016</v>
      </c>
      <c r="G9468">
        <v>5.1219999999999999</v>
      </c>
    </row>
    <row r="9469" spans="1:7">
      <c r="A9469" t="s">
        <v>1297</v>
      </c>
      <c r="B9469" t="s">
        <v>1298</v>
      </c>
      <c r="C9469" t="s">
        <v>663</v>
      </c>
      <c r="D9469" t="s">
        <v>1404</v>
      </c>
      <c r="E9469" t="s">
        <v>187</v>
      </c>
      <c r="F9469">
        <v>2020</v>
      </c>
      <c r="G9469">
        <v>4.7679999999999998</v>
      </c>
    </row>
    <row r="9470" spans="1:7">
      <c r="A9470" t="s">
        <v>1297</v>
      </c>
      <c r="B9470" t="s">
        <v>1298</v>
      </c>
      <c r="C9470" t="s">
        <v>675</v>
      </c>
      <c r="D9470" t="s">
        <v>1404</v>
      </c>
      <c r="E9470" t="s">
        <v>187</v>
      </c>
      <c r="F9470">
        <v>2005</v>
      </c>
      <c r="G9470">
        <v>0.247</v>
      </c>
    </row>
    <row r="9471" spans="1:7">
      <c r="A9471" t="s">
        <v>1297</v>
      </c>
      <c r="B9471" t="s">
        <v>1298</v>
      </c>
      <c r="C9471" t="s">
        <v>675</v>
      </c>
      <c r="D9471" t="s">
        <v>1404</v>
      </c>
      <c r="E9471" t="s">
        <v>187</v>
      </c>
      <c r="F9471">
        <v>2010</v>
      </c>
      <c r="G9471">
        <v>0.29599999999999999</v>
      </c>
    </row>
    <row r="9472" spans="1:7">
      <c r="A9472" t="s">
        <v>1297</v>
      </c>
      <c r="B9472" t="s">
        <v>1298</v>
      </c>
      <c r="C9472" t="s">
        <v>675</v>
      </c>
      <c r="D9472" t="s">
        <v>1404</v>
      </c>
      <c r="E9472" t="s">
        <v>187</v>
      </c>
      <c r="F9472">
        <v>2012</v>
      </c>
      <c r="G9472">
        <v>0.435</v>
      </c>
    </row>
    <row r="9473" spans="1:7">
      <c r="A9473" t="s">
        <v>1297</v>
      </c>
      <c r="B9473" t="s">
        <v>1298</v>
      </c>
      <c r="C9473" t="s">
        <v>675</v>
      </c>
      <c r="D9473" t="s">
        <v>1404</v>
      </c>
      <c r="E9473" t="s">
        <v>187</v>
      </c>
      <c r="F9473">
        <v>2016</v>
      </c>
      <c r="G9473">
        <v>0.44900000000000001</v>
      </c>
    </row>
    <row r="9474" spans="1:7">
      <c r="A9474" t="s">
        <v>1297</v>
      </c>
      <c r="B9474" t="s">
        <v>1298</v>
      </c>
      <c r="C9474" t="s">
        <v>675</v>
      </c>
      <c r="D9474" t="s">
        <v>1404</v>
      </c>
      <c r="E9474" t="s">
        <v>187</v>
      </c>
      <c r="F9474">
        <v>2020</v>
      </c>
      <c r="G9474">
        <v>0.82763299999999995</v>
      </c>
    </row>
    <row r="9475" spans="1:7">
      <c r="A9475" t="s">
        <v>1297</v>
      </c>
      <c r="B9475" t="s">
        <v>1298</v>
      </c>
      <c r="C9475" t="s">
        <v>685</v>
      </c>
      <c r="D9475" t="s">
        <v>1404</v>
      </c>
      <c r="E9475" t="s">
        <v>187</v>
      </c>
      <c r="F9475">
        <v>2005</v>
      </c>
      <c r="G9475">
        <v>0.10100000000000001</v>
      </c>
    </row>
    <row r="9476" spans="1:7">
      <c r="A9476" t="s">
        <v>1297</v>
      </c>
      <c r="B9476" t="s">
        <v>1298</v>
      </c>
      <c r="C9476" t="s">
        <v>685</v>
      </c>
      <c r="D9476" t="s">
        <v>1404</v>
      </c>
      <c r="E9476" t="s">
        <v>187</v>
      </c>
      <c r="F9476">
        <v>2010</v>
      </c>
      <c r="G9476">
        <v>8.3000000000000004E-2</v>
      </c>
    </row>
    <row r="9477" spans="1:7">
      <c r="A9477" t="s">
        <v>1297</v>
      </c>
      <c r="B9477" t="s">
        <v>1298</v>
      </c>
      <c r="C9477" t="s">
        <v>685</v>
      </c>
      <c r="D9477" t="s">
        <v>1404</v>
      </c>
      <c r="E9477" t="s">
        <v>187</v>
      </c>
      <c r="F9477">
        <v>2012</v>
      </c>
      <c r="G9477">
        <v>0.01</v>
      </c>
    </row>
    <row r="9478" spans="1:7">
      <c r="A9478" t="s">
        <v>1297</v>
      </c>
      <c r="B9478" t="s">
        <v>1298</v>
      </c>
      <c r="C9478" t="s">
        <v>685</v>
      </c>
      <c r="D9478" t="s">
        <v>1404</v>
      </c>
      <c r="E9478" t="s">
        <v>187</v>
      </c>
      <c r="F9478">
        <v>2016</v>
      </c>
      <c r="G9478">
        <v>6.9410000000000001E-3</v>
      </c>
    </row>
    <row r="9479" spans="1:7">
      <c r="A9479" t="s">
        <v>1297</v>
      </c>
      <c r="B9479" t="s">
        <v>1298</v>
      </c>
      <c r="C9479" t="s">
        <v>685</v>
      </c>
      <c r="D9479" t="s">
        <v>1404</v>
      </c>
      <c r="E9479" t="s">
        <v>187</v>
      </c>
      <c r="F9479">
        <v>2020</v>
      </c>
      <c r="G9479">
        <v>1.4315E-2</v>
      </c>
    </row>
    <row r="9480" spans="1:7">
      <c r="A9480" t="s">
        <v>1297</v>
      </c>
      <c r="B9480" t="s">
        <v>1298</v>
      </c>
      <c r="C9480" t="s">
        <v>672</v>
      </c>
      <c r="D9480" t="s">
        <v>1404</v>
      </c>
      <c r="E9480" t="s">
        <v>187</v>
      </c>
      <c r="F9480">
        <v>2010</v>
      </c>
      <c r="G9480">
        <v>6.9359999999999999</v>
      </c>
    </row>
    <row r="9481" spans="1:7">
      <c r="A9481" t="s">
        <v>1297</v>
      </c>
      <c r="B9481" t="s">
        <v>1298</v>
      </c>
      <c r="C9481" t="s">
        <v>672</v>
      </c>
      <c r="D9481" t="s">
        <v>1404</v>
      </c>
      <c r="E9481" t="s">
        <v>187</v>
      </c>
      <c r="F9481">
        <v>2012</v>
      </c>
      <c r="G9481">
        <v>6.97</v>
      </c>
    </row>
    <row r="9482" spans="1:7">
      <c r="A9482" t="s">
        <v>1297</v>
      </c>
      <c r="B9482" t="s">
        <v>1298</v>
      </c>
      <c r="C9482" t="s">
        <v>672</v>
      </c>
      <c r="D9482" t="s">
        <v>1404</v>
      </c>
      <c r="E9482" t="s">
        <v>187</v>
      </c>
      <c r="F9482">
        <v>2016</v>
      </c>
      <c r="G9482">
        <v>9.9990000000000006</v>
      </c>
    </row>
    <row r="9483" spans="1:7">
      <c r="A9483" t="s">
        <v>1297</v>
      </c>
      <c r="B9483" t="s">
        <v>1298</v>
      </c>
      <c r="C9483" t="s">
        <v>672</v>
      </c>
      <c r="D9483" t="s">
        <v>1404</v>
      </c>
      <c r="E9483" t="s">
        <v>187</v>
      </c>
      <c r="F9483">
        <v>2020</v>
      </c>
      <c r="G9483">
        <v>10.576577</v>
      </c>
    </row>
    <row r="9484" spans="1:7">
      <c r="A9484" t="s">
        <v>1297</v>
      </c>
      <c r="B9484" t="s">
        <v>1298</v>
      </c>
      <c r="C9484" t="s">
        <v>657</v>
      </c>
      <c r="D9484" t="s">
        <v>1404</v>
      </c>
      <c r="E9484" t="s">
        <v>187</v>
      </c>
      <c r="F9484">
        <v>2005</v>
      </c>
      <c r="G9484">
        <v>2.0390000000000001</v>
      </c>
    </row>
    <row r="9485" spans="1:7">
      <c r="A9485" t="s">
        <v>1297</v>
      </c>
      <c r="B9485" t="s">
        <v>1298</v>
      </c>
      <c r="C9485" t="s">
        <v>657</v>
      </c>
      <c r="D9485" t="s">
        <v>1404</v>
      </c>
      <c r="E9485" t="s">
        <v>187</v>
      </c>
      <c r="F9485">
        <v>2010</v>
      </c>
      <c r="G9485">
        <v>1.791137</v>
      </c>
    </row>
    <row r="9486" spans="1:7">
      <c r="A9486" t="s">
        <v>1297</v>
      </c>
      <c r="B9486" t="s">
        <v>1298</v>
      </c>
      <c r="C9486" t="s">
        <v>657</v>
      </c>
      <c r="D9486" t="s">
        <v>1404</v>
      </c>
      <c r="E9486" t="s">
        <v>187</v>
      </c>
      <c r="F9486">
        <v>2012</v>
      </c>
      <c r="G9486">
        <v>1.283908</v>
      </c>
    </row>
    <row r="9487" spans="1:7">
      <c r="A9487" t="s">
        <v>1297</v>
      </c>
      <c r="B9487" t="s">
        <v>1298</v>
      </c>
      <c r="C9487" t="s">
        <v>657</v>
      </c>
      <c r="D9487" t="s">
        <v>1404</v>
      </c>
      <c r="E9487" t="s">
        <v>187</v>
      </c>
      <c r="F9487">
        <v>2016</v>
      </c>
      <c r="G9487">
        <v>1.3388720000000001</v>
      </c>
    </row>
    <row r="9488" spans="1:7">
      <c r="A9488" t="s">
        <v>1297</v>
      </c>
      <c r="B9488" t="s">
        <v>1298</v>
      </c>
      <c r="C9488" t="s">
        <v>657</v>
      </c>
      <c r="D9488" t="s">
        <v>1404</v>
      </c>
      <c r="E9488" t="s">
        <v>187</v>
      </c>
      <c r="F9488">
        <v>2020</v>
      </c>
      <c r="G9488">
        <v>1.4963820000000001</v>
      </c>
    </row>
    <row r="9489" spans="1:7">
      <c r="A9489" t="s">
        <v>1297</v>
      </c>
      <c r="B9489" t="s">
        <v>1298</v>
      </c>
      <c r="C9489" t="s">
        <v>652</v>
      </c>
      <c r="D9489" t="s">
        <v>1404</v>
      </c>
      <c r="E9489" t="s">
        <v>187</v>
      </c>
      <c r="F9489">
        <v>2010</v>
      </c>
      <c r="G9489">
        <v>7.0244</v>
      </c>
    </row>
    <row r="9490" spans="1:7">
      <c r="A9490" t="s">
        <v>1297</v>
      </c>
      <c r="B9490" t="s">
        <v>1298</v>
      </c>
      <c r="C9490" t="s">
        <v>652</v>
      </c>
      <c r="D9490" t="s">
        <v>1404</v>
      </c>
      <c r="E9490" t="s">
        <v>187</v>
      </c>
      <c r="F9490">
        <v>2012</v>
      </c>
      <c r="G9490">
        <v>6.7526000000000002</v>
      </c>
    </row>
    <row r="9491" spans="1:7">
      <c r="A9491" t="s">
        <v>1297</v>
      </c>
      <c r="B9491" t="s">
        <v>1298</v>
      </c>
      <c r="C9491" t="s">
        <v>652</v>
      </c>
      <c r="D9491" t="s">
        <v>1404</v>
      </c>
      <c r="E9491" t="s">
        <v>187</v>
      </c>
      <c r="F9491">
        <v>2016</v>
      </c>
      <c r="G9491">
        <v>4.3571</v>
      </c>
    </row>
    <row r="9492" spans="1:7">
      <c r="A9492" t="s">
        <v>1297</v>
      </c>
      <c r="B9492" t="s">
        <v>1298</v>
      </c>
      <c r="C9492" t="s">
        <v>655</v>
      </c>
      <c r="D9492" t="s">
        <v>1405</v>
      </c>
      <c r="E9492" t="s">
        <v>187</v>
      </c>
      <c r="F9492">
        <v>2016</v>
      </c>
      <c r="G9492">
        <v>0.4546</v>
      </c>
    </row>
    <row r="9493" spans="1:7">
      <c r="A9493" t="s">
        <v>1297</v>
      </c>
      <c r="B9493" t="s">
        <v>1298</v>
      </c>
      <c r="C9493" t="s">
        <v>655</v>
      </c>
      <c r="D9493" t="s">
        <v>1405</v>
      </c>
      <c r="E9493" t="s">
        <v>187</v>
      </c>
      <c r="F9493">
        <v>2020</v>
      </c>
      <c r="G9493">
        <v>0.93292900000000001</v>
      </c>
    </row>
    <row r="9494" spans="1:7">
      <c r="A9494" t="s">
        <v>1297</v>
      </c>
      <c r="B9494" t="s">
        <v>1298</v>
      </c>
      <c r="C9494" t="s">
        <v>652</v>
      </c>
      <c r="D9494" t="s">
        <v>1405</v>
      </c>
      <c r="E9494" t="s">
        <v>187</v>
      </c>
      <c r="F9494">
        <v>2005</v>
      </c>
      <c r="G9494">
        <v>4.8171999999999997</v>
      </c>
    </row>
    <row r="9495" spans="1:7">
      <c r="A9495" t="s">
        <v>1297</v>
      </c>
      <c r="B9495" t="s">
        <v>1298</v>
      </c>
      <c r="C9495" t="s">
        <v>652</v>
      </c>
      <c r="D9495" t="s">
        <v>1405</v>
      </c>
      <c r="E9495" t="s">
        <v>187</v>
      </c>
      <c r="F9495">
        <v>2010</v>
      </c>
      <c r="G9495">
        <v>10.075200000000001</v>
      </c>
    </row>
    <row r="9496" spans="1:7">
      <c r="A9496" t="s">
        <v>1297</v>
      </c>
      <c r="B9496" t="s">
        <v>1298</v>
      </c>
      <c r="C9496" t="s">
        <v>652</v>
      </c>
      <c r="D9496" t="s">
        <v>1405</v>
      </c>
      <c r="E9496" t="s">
        <v>187</v>
      </c>
      <c r="F9496">
        <v>2012</v>
      </c>
      <c r="G9496">
        <v>10.34844</v>
      </c>
    </row>
    <row r="9497" spans="1:7">
      <c r="A9497" t="s">
        <v>1297</v>
      </c>
      <c r="B9497" t="s">
        <v>1298</v>
      </c>
      <c r="C9497" t="s">
        <v>652</v>
      </c>
      <c r="D9497" t="s">
        <v>1405</v>
      </c>
      <c r="E9497" t="s">
        <v>187</v>
      </c>
      <c r="F9497">
        <v>2016</v>
      </c>
      <c r="G9497">
        <v>15.01318</v>
      </c>
    </row>
    <row r="9498" spans="1:7">
      <c r="A9498" t="s">
        <v>1297</v>
      </c>
      <c r="B9498" t="s">
        <v>1298</v>
      </c>
      <c r="C9498" t="s">
        <v>652</v>
      </c>
      <c r="D9498" t="s">
        <v>1405</v>
      </c>
      <c r="E9498" t="s">
        <v>187</v>
      </c>
      <c r="F9498">
        <v>2020</v>
      </c>
      <c r="G9498">
        <v>12.960279999999999</v>
      </c>
    </row>
    <row r="9499" spans="1:7">
      <c r="A9499" t="s">
        <v>1297</v>
      </c>
      <c r="B9499" t="s">
        <v>1298</v>
      </c>
      <c r="C9499" t="s">
        <v>660</v>
      </c>
      <c r="D9499" t="s">
        <v>1405</v>
      </c>
      <c r="E9499" t="s">
        <v>187</v>
      </c>
      <c r="F9499">
        <v>2005</v>
      </c>
      <c r="G9499">
        <v>5.4665999999999997</v>
      </c>
    </row>
    <row r="9500" spans="1:7">
      <c r="A9500" t="s">
        <v>1297</v>
      </c>
      <c r="B9500" t="s">
        <v>1298</v>
      </c>
      <c r="C9500" t="s">
        <v>660</v>
      </c>
      <c r="D9500" t="s">
        <v>1405</v>
      </c>
      <c r="E9500" t="s">
        <v>187</v>
      </c>
      <c r="F9500">
        <v>2010</v>
      </c>
      <c r="G9500">
        <v>5.1816000000000004</v>
      </c>
    </row>
    <row r="9501" spans="1:7">
      <c r="A9501" t="s">
        <v>1297</v>
      </c>
      <c r="B9501" t="s">
        <v>1298</v>
      </c>
      <c r="C9501" t="s">
        <v>660</v>
      </c>
      <c r="D9501" t="s">
        <v>1405</v>
      </c>
      <c r="E9501" t="s">
        <v>187</v>
      </c>
      <c r="F9501">
        <v>2012</v>
      </c>
      <c r="G9501">
        <v>5.7572000000000001</v>
      </c>
    </row>
    <row r="9502" spans="1:7">
      <c r="A9502" t="s">
        <v>1297</v>
      </c>
      <c r="B9502" t="s">
        <v>1298</v>
      </c>
      <c r="C9502" t="s">
        <v>660</v>
      </c>
      <c r="D9502" t="s">
        <v>1405</v>
      </c>
      <c r="E9502" t="s">
        <v>187</v>
      </c>
      <c r="F9502">
        <v>2016</v>
      </c>
      <c r="G9502">
        <v>6.9016000000000002</v>
      </c>
    </row>
    <row r="9503" spans="1:7">
      <c r="A9503" t="s">
        <v>1297</v>
      </c>
      <c r="B9503" t="s">
        <v>1298</v>
      </c>
      <c r="C9503" t="s">
        <v>660</v>
      </c>
      <c r="D9503" t="s">
        <v>1405</v>
      </c>
      <c r="E9503" t="s">
        <v>187</v>
      </c>
      <c r="F9503">
        <v>2020</v>
      </c>
      <c r="G9503">
        <v>6.3886000000000003</v>
      </c>
    </row>
    <row r="9504" spans="1:7">
      <c r="A9504" t="s">
        <v>1297</v>
      </c>
      <c r="B9504" t="s">
        <v>1298</v>
      </c>
      <c r="C9504" t="s">
        <v>651</v>
      </c>
      <c r="D9504" t="s">
        <v>1405</v>
      </c>
      <c r="E9504" t="s">
        <v>187</v>
      </c>
      <c r="F9504">
        <v>2005</v>
      </c>
      <c r="G9504">
        <v>5.4123999999999999E-2</v>
      </c>
    </row>
    <row r="9505" spans="1:7">
      <c r="A9505" t="s">
        <v>1297</v>
      </c>
      <c r="B9505" t="s">
        <v>1298</v>
      </c>
      <c r="C9505" t="s">
        <v>651</v>
      </c>
      <c r="D9505" t="s">
        <v>1405</v>
      </c>
      <c r="E9505" t="s">
        <v>187</v>
      </c>
      <c r="F9505">
        <v>2010</v>
      </c>
      <c r="G9505">
        <v>0.28427999999999998</v>
      </c>
    </row>
    <row r="9506" spans="1:7">
      <c r="A9506" t="s">
        <v>1297</v>
      </c>
      <c r="B9506" t="s">
        <v>1298</v>
      </c>
      <c r="C9506" t="s">
        <v>651</v>
      </c>
      <c r="D9506" t="s">
        <v>1405</v>
      </c>
      <c r="E9506" t="s">
        <v>187</v>
      </c>
      <c r="F9506">
        <v>2012</v>
      </c>
      <c r="G9506">
        <v>0.182146</v>
      </c>
    </row>
    <row r="9507" spans="1:7">
      <c r="A9507" t="s">
        <v>1297</v>
      </c>
      <c r="B9507" t="s">
        <v>1298</v>
      </c>
      <c r="C9507" t="s">
        <v>651</v>
      </c>
      <c r="D9507" t="s">
        <v>1405</v>
      </c>
      <c r="E9507" t="s">
        <v>187</v>
      </c>
      <c r="F9507">
        <v>2016</v>
      </c>
      <c r="G9507">
        <v>0.22135299999999999</v>
      </c>
    </row>
    <row r="9508" spans="1:7">
      <c r="A9508" t="s">
        <v>1297</v>
      </c>
      <c r="B9508" t="s">
        <v>1298</v>
      </c>
      <c r="C9508" t="s">
        <v>651</v>
      </c>
      <c r="D9508" t="s">
        <v>1405</v>
      </c>
      <c r="E9508" t="s">
        <v>187</v>
      </c>
      <c r="F9508">
        <v>2020</v>
      </c>
      <c r="G9508">
        <v>0.18267900000000001</v>
      </c>
    </row>
    <row r="9509" spans="1:7">
      <c r="A9509" t="s">
        <v>1297</v>
      </c>
      <c r="B9509" t="s">
        <v>1298</v>
      </c>
      <c r="C9509" t="s">
        <v>679</v>
      </c>
      <c r="D9509" t="s">
        <v>1405</v>
      </c>
      <c r="E9509" t="s">
        <v>187</v>
      </c>
      <c r="F9509">
        <v>2005</v>
      </c>
      <c r="G9509">
        <v>1.7392000000000001</v>
      </c>
    </row>
    <row r="9510" spans="1:7">
      <c r="A9510" t="s">
        <v>1297</v>
      </c>
      <c r="B9510" t="s">
        <v>1298</v>
      </c>
      <c r="C9510" t="s">
        <v>679</v>
      </c>
      <c r="D9510" t="s">
        <v>1405</v>
      </c>
      <c r="E9510" t="s">
        <v>187</v>
      </c>
      <c r="F9510">
        <v>2010</v>
      </c>
      <c r="G9510">
        <v>2.2822</v>
      </c>
    </row>
    <row r="9511" spans="1:7">
      <c r="A9511" t="s">
        <v>1297</v>
      </c>
      <c r="B9511" t="s">
        <v>1298</v>
      </c>
      <c r="C9511" t="s">
        <v>679</v>
      </c>
      <c r="D9511" t="s">
        <v>1405</v>
      </c>
      <c r="E9511" t="s">
        <v>187</v>
      </c>
      <c r="F9511">
        <v>2012</v>
      </c>
      <c r="G9511">
        <v>0.54300000000000004</v>
      </c>
    </row>
    <row r="9512" spans="1:7">
      <c r="A9512" t="s">
        <v>1297</v>
      </c>
      <c r="B9512" t="s">
        <v>1298</v>
      </c>
      <c r="C9512" t="s">
        <v>679</v>
      </c>
      <c r="D9512" t="s">
        <v>1405</v>
      </c>
      <c r="E9512" t="s">
        <v>187</v>
      </c>
      <c r="F9512">
        <v>2016</v>
      </c>
      <c r="G9512">
        <v>5.5776000000000003</v>
      </c>
    </row>
    <row r="9513" spans="1:7">
      <c r="A9513" t="s">
        <v>1297</v>
      </c>
      <c r="B9513" t="s">
        <v>1298</v>
      </c>
      <c r="C9513" t="s">
        <v>679</v>
      </c>
      <c r="D9513" t="s">
        <v>1405</v>
      </c>
      <c r="E9513" t="s">
        <v>187</v>
      </c>
      <c r="F9513">
        <v>2020</v>
      </c>
      <c r="G9513">
        <v>5.9443999999999999</v>
      </c>
    </row>
    <row r="9514" spans="1:7">
      <c r="A9514" t="s">
        <v>1297</v>
      </c>
      <c r="B9514" t="s">
        <v>1298</v>
      </c>
      <c r="C9514" t="s">
        <v>670</v>
      </c>
      <c r="D9514" t="s">
        <v>1405</v>
      </c>
      <c r="E9514" t="s">
        <v>187</v>
      </c>
      <c r="F9514">
        <v>2016</v>
      </c>
      <c r="G9514">
        <v>8.5592869999999994</v>
      </c>
    </row>
    <row r="9515" spans="1:7">
      <c r="A9515" t="s">
        <v>1297</v>
      </c>
      <c r="B9515" t="s">
        <v>1298</v>
      </c>
      <c r="C9515" t="s">
        <v>670</v>
      </c>
      <c r="D9515" t="s">
        <v>1405</v>
      </c>
      <c r="E9515" t="s">
        <v>187</v>
      </c>
      <c r="F9515">
        <v>2020</v>
      </c>
      <c r="G9515">
        <v>9.0311660000000007</v>
      </c>
    </row>
    <row r="9516" spans="1:7">
      <c r="A9516" t="s">
        <v>1297</v>
      </c>
      <c r="B9516" t="s">
        <v>1298</v>
      </c>
      <c r="C9516" t="s">
        <v>1299</v>
      </c>
      <c r="D9516" t="s">
        <v>1405</v>
      </c>
      <c r="E9516" t="s">
        <v>187</v>
      </c>
      <c r="F9516">
        <v>2016</v>
      </c>
      <c r="G9516">
        <v>25.6508</v>
      </c>
    </row>
    <row r="9517" spans="1:7">
      <c r="A9517" t="s">
        <v>1297</v>
      </c>
      <c r="B9517" t="s">
        <v>1298</v>
      </c>
      <c r="C9517" t="s">
        <v>1299</v>
      </c>
      <c r="D9517" t="s">
        <v>1405</v>
      </c>
      <c r="E9517" t="s">
        <v>187</v>
      </c>
      <c r="F9517">
        <v>2020</v>
      </c>
      <c r="G9517">
        <v>28.794519999999999</v>
      </c>
    </row>
    <row r="9518" spans="1:7">
      <c r="A9518" t="s">
        <v>1297</v>
      </c>
      <c r="B9518" t="s">
        <v>1298</v>
      </c>
      <c r="C9518" t="s">
        <v>666</v>
      </c>
      <c r="D9518" t="s">
        <v>1405</v>
      </c>
      <c r="E9518" t="s">
        <v>187</v>
      </c>
      <c r="F9518">
        <v>2005</v>
      </c>
      <c r="G9518">
        <v>8.4369999999999994</v>
      </c>
    </row>
    <row r="9519" spans="1:7">
      <c r="A9519" t="s">
        <v>1297</v>
      </c>
      <c r="B9519" t="s">
        <v>1298</v>
      </c>
      <c r="C9519" t="s">
        <v>666</v>
      </c>
      <c r="D9519" t="s">
        <v>1405</v>
      </c>
      <c r="E9519" t="s">
        <v>187</v>
      </c>
      <c r="F9519">
        <v>2010</v>
      </c>
      <c r="G9519">
        <v>10.566000000000001</v>
      </c>
    </row>
    <row r="9520" spans="1:7">
      <c r="A9520" t="s">
        <v>1297</v>
      </c>
      <c r="B9520" t="s">
        <v>1298</v>
      </c>
      <c r="C9520" t="s">
        <v>666</v>
      </c>
      <c r="D9520" t="s">
        <v>1405</v>
      </c>
      <c r="E9520" t="s">
        <v>187</v>
      </c>
      <c r="F9520">
        <v>2012</v>
      </c>
      <c r="G9520">
        <v>11.5114</v>
      </c>
    </row>
    <row r="9521" spans="1:7">
      <c r="A9521" t="s">
        <v>1297</v>
      </c>
      <c r="B9521" t="s">
        <v>1298</v>
      </c>
      <c r="C9521" t="s">
        <v>666</v>
      </c>
      <c r="D9521" t="s">
        <v>1405</v>
      </c>
      <c r="E9521" t="s">
        <v>187</v>
      </c>
      <c r="F9521">
        <v>2016</v>
      </c>
      <c r="G9521">
        <v>11.39</v>
      </c>
    </row>
    <row r="9522" spans="1:7">
      <c r="A9522" t="s">
        <v>1297</v>
      </c>
      <c r="B9522" t="s">
        <v>1298</v>
      </c>
      <c r="C9522" t="s">
        <v>666</v>
      </c>
      <c r="D9522" t="s">
        <v>1405</v>
      </c>
      <c r="E9522" t="s">
        <v>187</v>
      </c>
      <c r="F9522">
        <v>2020</v>
      </c>
      <c r="G9522">
        <v>12.6396</v>
      </c>
    </row>
    <row r="9523" spans="1:7">
      <c r="A9523" t="s">
        <v>1297</v>
      </c>
      <c r="B9523" t="s">
        <v>1298</v>
      </c>
      <c r="C9523" t="s">
        <v>672</v>
      </c>
      <c r="D9523" t="s">
        <v>1405</v>
      </c>
      <c r="E9523" t="s">
        <v>187</v>
      </c>
      <c r="F9523">
        <v>2010</v>
      </c>
      <c r="G9523">
        <v>5.5599999999999997E-2</v>
      </c>
    </row>
    <row r="9524" spans="1:7">
      <c r="A9524" t="s">
        <v>1297</v>
      </c>
      <c r="B9524" t="s">
        <v>1298</v>
      </c>
      <c r="C9524" t="s">
        <v>672</v>
      </c>
      <c r="D9524" t="s">
        <v>1405</v>
      </c>
      <c r="E9524" t="s">
        <v>187</v>
      </c>
      <c r="F9524">
        <v>2012</v>
      </c>
      <c r="G9524">
        <v>9.0999999999999998E-2</v>
      </c>
    </row>
    <row r="9525" spans="1:7">
      <c r="A9525" t="s">
        <v>1297</v>
      </c>
      <c r="B9525" t="s">
        <v>1298</v>
      </c>
      <c r="C9525" t="s">
        <v>653</v>
      </c>
      <c r="D9525" t="s">
        <v>1405</v>
      </c>
      <c r="E9525" t="s">
        <v>187</v>
      </c>
      <c r="F9525">
        <v>2010</v>
      </c>
      <c r="G9525">
        <v>2.3837999999999999</v>
      </c>
    </row>
    <row r="9526" spans="1:7">
      <c r="A9526" t="s">
        <v>1297</v>
      </c>
      <c r="B9526" t="s">
        <v>1298</v>
      </c>
      <c r="C9526" t="s">
        <v>653</v>
      </c>
      <c r="D9526" t="s">
        <v>1405</v>
      </c>
      <c r="E9526" t="s">
        <v>187</v>
      </c>
      <c r="F9526">
        <v>2012</v>
      </c>
      <c r="G9526">
        <v>2.343</v>
      </c>
    </row>
    <row r="9527" spans="1:7">
      <c r="A9527" t="s">
        <v>1297</v>
      </c>
      <c r="B9527" t="s">
        <v>1298</v>
      </c>
      <c r="C9527" t="s">
        <v>653</v>
      </c>
      <c r="D9527" t="s">
        <v>1405</v>
      </c>
      <c r="E9527" t="s">
        <v>187</v>
      </c>
      <c r="F9527">
        <v>2016</v>
      </c>
      <c r="G9527">
        <v>2.1718000000000002</v>
      </c>
    </row>
    <row r="9528" spans="1:7">
      <c r="A9528" t="s">
        <v>1297</v>
      </c>
      <c r="B9528" t="s">
        <v>1298</v>
      </c>
      <c r="C9528" t="s">
        <v>653</v>
      </c>
      <c r="D9528" t="s">
        <v>1405</v>
      </c>
      <c r="E9528" t="s">
        <v>187</v>
      </c>
      <c r="F9528">
        <v>2020</v>
      </c>
      <c r="G9528">
        <v>2.439727</v>
      </c>
    </row>
    <row r="9529" spans="1:7">
      <c r="A9529" t="s">
        <v>1297</v>
      </c>
      <c r="B9529" t="s">
        <v>1298</v>
      </c>
      <c r="C9529" t="s">
        <v>671</v>
      </c>
      <c r="D9529" t="s">
        <v>1405</v>
      </c>
      <c r="E9529" t="s">
        <v>187</v>
      </c>
      <c r="F9529">
        <v>2005</v>
      </c>
      <c r="G9529">
        <v>0.91720000000000002</v>
      </c>
    </row>
    <row r="9530" spans="1:7">
      <c r="A9530" t="s">
        <v>1297</v>
      </c>
      <c r="B9530" t="s">
        <v>1298</v>
      </c>
      <c r="C9530" t="s">
        <v>671</v>
      </c>
      <c r="D9530" t="s">
        <v>1405</v>
      </c>
      <c r="E9530" t="s">
        <v>187</v>
      </c>
      <c r="F9530">
        <v>2010</v>
      </c>
      <c r="G9530">
        <v>1.1422000000000001</v>
      </c>
    </row>
    <row r="9531" spans="1:7">
      <c r="A9531" t="s">
        <v>1297</v>
      </c>
      <c r="B9531" t="s">
        <v>1298</v>
      </c>
      <c r="C9531" t="s">
        <v>671</v>
      </c>
      <c r="D9531" t="s">
        <v>1405</v>
      </c>
      <c r="E9531" t="s">
        <v>187</v>
      </c>
      <c r="F9531">
        <v>2012</v>
      </c>
      <c r="G9531">
        <v>1.2105999999999999</v>
      </c>
    </row>
    <row r="9532" spans="1:7">
      <c r="A9532" t="s">
        <v>1297</v>
      </c>
      <c r="B9532" t="s">
        <v>1298</v>
      </c>
      <c r="C9532" t="s">
        <v>671</v>
      </c>
      <c r="D9532" t="s">
        <v>1405</v>
      </c>
      <c r="E9532" t="s">
        <v>187</v>
      </c>
      <c r="F9532">
        <v>2016</v>
      </c>
      <c r="G9532">
        <v>0.90539999999999998</v>
      </c>
    </row>
    <row r="9533" spans="1:7">
      <c r="A9533" t="s">
        <v>1297</v>
      </c>
      <c r="B9533" t="s">
        <v>1298</v>
      </c>
      <c r="C9533" t="s">
        <v>671</v>
      </c>
      <c r="D9533" t="s">
        <v>1405</v>
      </c>
      <c r="E9533" t="s">
        <v>187</v>
      </c>
      <c r="F9533">
        <v>2020</v>
      </c>
      <c r="G9533">
        <v>0.93932199999999999</v>
      </c>
    </row>
    <row r="9534" spans="1:7">
      <c r="A9534" t="s">
        <v>1297</v>
      </c>
      <c r="B9534" t="s">
        <v>1298</v>
      </c>
      <c r="C9534" t="s">
        <v>655</v>
      </c>
      <c r="D9534" t="s">
        <v>1405</v>
      </c>
      <c r="E9534" t="s">
        <v>187</v>
      </c>
      <c r="F9534">
        <v>2005</v>
      </c>
      <c r="G9534">
        <v>2.7199999999999998E-2</v>
      </c>
    </row>
    <row r="9535" spans="1:7">
      <c r="A9535" t="s">
        <v>1297</v>
      </c>
      <c r="B9535" t="s">
        <v>1298</v>
      </c>
      <c r="C9535" t="s">
        <v>655</v>
      </c>
      <c r="D9535" t="s">
        <v>1405</v>
      </c>
      <c r="E9535" t="s">
        <v>187</v>
      </c>
      <c r="F9535">
        <v>2010</v>
      </c>
      <c r="G9535">
        <v>8.8999999999999996E-2</v>
      </c>
    </row>
    <row r="9536" spans="1:7">
      <c r="A9536" t="s">
        <v>1297</v>
      </c>
      <c r="B9536" t="s">
        <v>1298</v>
      </c>
      <c r="C9536" t="s">
        <v>655</v>
      </c>
      <c r="D9536" t="s">
        <v>1405</v>
      </c>
      <c r="E9536" t="s">
        <v>187</v>
      </c>
      <c r="F9536">
        <v>2012</v>
      </c>
      <c r="G9536">
        <v>0.13400000000000001</v>
      </c>
    </row>
    <row r="9537" spans="1:7">
      <c r="A9537" t="s">
        <v>1297</v>
      </c>
      <c r="B9537" t="s">
        <v>1298</v>
      </c>
      <c r="C9537" t="s">
        <v>655</v>
      </c>
      <c r="D9537" t="s">
        <v>1406</v>
      </c>
      <c r="E9537" t="s">
        <v>187</v>
      </c>
      <c r="F9537">
        <v>2005</v>
      </c>
      <c r="G9537">
        <v>0.25219999999999998</v>
      </c>
    </row>
    <row r="9538" spans="1:7">
      <c r="A9538" t="s">
        <v>1297</v>
      </c>
      <c r="B9538" t="s">
        <v>1298</v>
      </c>
      <c r="C9538" t="s">
        <v>655</v>
      </c>
      <c r="D9538" t="s">
        <v>1406</v>
      </c>
      <c r="E9538" t="s">
        <v>187</v>
      </c>
      <c r="F9538">
        <v>2010</v>
      </c>
      <c r="G9538">
        <v>0.40400000000000003</v>
      </c>
    </row>
    <row r="9539" spans="1:7">
      <c r="A9539" t="s">
        <v>1297</v>
      </c>
      <c r="B9539" t="s">
        <v>1298</v>
      </c>
      <c r="C9539" t="s">
        <v>655</v>
      </c>
      <c r="D9539" t="s">
        <v>1406</v>
      </c>
      <c r="E9539" t="s">
        <v>187</v>
      </c>
      <c r="F9539">
        <v>2012</v>
      </c>
      <c r="G9539">
        <v>0.56699999999999995</v>
      </c>
    </row>
    <row r="9540" spans="1:7">
      <c r="A9540" t="s">
        <v>1297</v>
      </c>
      <c r="B9540" t="s">
        <v>1298</v>
      </c>
      <c r="C9540" t="s">
        <v>655</v>
      </c>
      <c r="D9540" t="s">
        <v>1406</v>
      </c>
      <c r="E9540" t="s">
        <v>187</v>
      </c>
      <c r="F9540">
        <v>2016</v>
      </c>
      <c r="G9540">
        <v>0.60660000000000003</v>
      </c>
    </row>
    <row r="9541" spans="1:7">
      <c r="A9541" t="s">
        <v>1297</v>
      </c>
      <c r="B9541" t="s">
        <v>1298</v>
      </c>
      <c r="C9541" t="s">
        <v>655</v>
      </c>
      <c r="D9541" t="s">
        <v>1406</v>
      </c>
      <c r="E9541" t="s">
        <v>187</v>
      </c>
      <c r="F9541">
        <v>2020</v>
      </c>
      <c r="G9541">
        <v>1.327617</v>
      </c>
    </row>
    <row r="9542" spans="1:7">
      <c r="A9542" t="s">
        <v>1297</v>
      </c>
      <c r="B9542" t="s">
        <v>1298</v>
      </c>
      <c r="C9542" t="s">
        <v>1299</v>
      </c>
      <c r="D9542" t="s">
        <v>1406</v>
      </c>
      <c r="E9542" t="s">
        <v>187</v>
      </c>
      <c r="F9542">
        <v>2016</v>
      </c>
      <c r="G9542">
        <v>33.441800000000001</v>
      </c>
    </row>
    <row r="9543" spans="1:7">
      <c r="A9543" t="s">
        <v>1297</v>
      </c>
      <c r="B9543" t="s">
        <v>1298</v>
      </c>
      <c r="C9543" t="s">
        <v>1299</v>
      </c>
      <c r="D9543" t="s">
        <v>1406</v>
      </c>
      <c r="E9543" t="s">
        <v>187</v>
      </c>
      <c r="F9543">
        <v>2020</v>
      </c>
      <c r="G9543">
        <v>30.861519999999999</v>
      </c>
    </row>
    <row r="9544" spans="1:7">
      <c r="A9544" t="s">
        <v>1297</v>
      </c>
      <c r="B9544" t="s">
        <v>1298</v>
      </c>
      <c r="C9544" t="s">
        <v>660</v>
      </c>
      <c r="D9544" t="s">
        <v>1406</v>
      </c>
      <c r="E9544" t="s">
        <v>187</v>
      </c>
      <c r="F9544">
        <v>2005</v>
      </c>
      <c r="G9544">
        <v>7.2396000000000003</v>
      </c>
    </row>
    <row r="9545" spans="1:7">
      <c r="A9545" t="s">
        <v>1297</v>
      </c>
      <c r="B9545" t="s">
        <v>1298</v>
      </c>
      <c r="C9545" t="s">
        <v>660</v>
      </c>
      <c r="D9545" t="s">
        <v>1406</v>
      </c>
      <c r="E9545" t="s">
        <v>187</v>
      </c>
      <c r="F9545">
        <v>2010</v>
      </c>
      <c r="G9545">
        <v>7.0125999999999999</v>
      </c>
    </row>
    <row r="9546" spans="1:7">
      <c r="A9546" t="s">
        <v>1297</v>
      </c>
      <c r="B9546" t="s">
        <v>1298</v>
      </c>
      <c r="C9546" t="s">
        <v>660</v>
      </c>
      <c r="D9546" t="s">
        <v>1406</v>
      </c>
      <c r="E9546" t="s">
        <v>187</v>
      </c>
      <c r="F9546">
        <v>2012</v>
      </c>
      <c r="G9546">
        <v>7.7991999999999999</v>
      </c>
    </row>
    <row r="9547" spans="1:7">
      <c r="A9547" t="s">
        <v>1297</v>
      </c>
      <c r="B9547" t="s">
        <v>1298</v>
      </c>
      <c r="C9547" t="s">
        <v>660</v>
      </c>
      <c r="D9547" t="s">
        <v>1406</v>
      </c>
      <c r="E9547" t="s">
        <v>187</v>
      </c>
      <c r="F9547">
        <v>2016</v>
      </c>
      <c r="G9547">
        <v>8.7596000000000007</v>
      </c>
    </row>
    <row r="9548" spans="1:7">
      <c r="A9548" t="s">
        <v>1297</v>
      </c>
      <c r="B9548" t="s">
        <v>1298</v>
      </c>
      <c r="C9548" t="s">
        <v>660</v>
      </c>
      <c r="D9548" t="s">
        <v>1406</v>
      </c>
      <c r="E9548" t="s">
        <v>187</v>
      </c>
      <c r="F9548">
        <v>2020</v>
      </c>
      <c r="G9548">
        <v>8.2026000000000003</v>
      </c>
    </row>
    <row r="9549" spans="1:7">
      <c r="A9549" t="s">
        <v>1297</v>
      </c>
      <c r="B9549" t="s">
        <v>1298</v>
      </c>
      <c r="C9549" t="s">
        <v>666</v>
      </c>
      <c r="D9549" t="s">
        <v>1406</v>
      </c>
      <c r="E9549" t="s">
        <v>187</v>
      </c>
      <c r="F9549">
        <v>2005</v>
      </c>
      <c r="G9549">
        <v>10.352</v>
      </c>
    </row>
    <row r="9550" spans="1:7">
      <c r="A9550" t="s">
        <v>1297</v>
      </c>
      <c r="B9550" t="s">
        <v>1298</v>
      </c>
      <c r="C9550" t="s">
        <v>666</v>
      </c>
      <c r="D9550" t="s">
        <v>1406</v>
      </c>
      <c r="E9550" t="s">
        <v>187</v>
      </c>
      <c r="F9550">
        <v>2010</v>
      </c>
      <c r="G9550">
        <v>13.339</v>
      </c>
    </row>
    <row r="9551" spans="1:7">
      <c r="A9551" t="s">
        <v>1297</v>
      </c>
      <c r="B9551" t="s">
        <v>1298</v>
      </c>
      <c r="C9551" t="s">
        <v>666</v>
      </c>
      <c r="D9551" t="s">
        <v>1406</v>
      </c>
      <c r="E9551" t="s">
        <v>187</v>
      </c>
      <c r="F9551">
        <v>2012</v>
      </c>
      <c r="G9551">
        <v>14.045400000000001</v>
      </c>
    </row>
    <row r="9552" spans="1:7">
      <c r="A9552" t="s">
        <v>1297</v>
      </c>
      <c r="B9552" t="s">
        <v>1298</v>
      </c>
      <c r="C9552" t="s">
        <v>666</v>
      </c>
      <c r="D9552" t="s">
        <v>1406</v>
      </c>
      <c r="E9552" t="s">
        <v>187</v>
      </c>
      <c r="F9552">
        <v>2016</v>
      </c>
      <c r="G9552">
        <v>14.307</v>
      </c>
    </row>
    <row r="9553" spans="1:7">
      <c r="A9553" t="s">
        <v>1297</v>
      </c>
      <c r="B9553" t="s">
        <v>1298</v>
      </c>
      <c r="C9553" t="s">
        <v>666</v>
      </c>
      <c r="D9553" t="s">
        <v>1406</v>
      </c>
      <c r="E9553" t="s">
        <v>187</v>
      </c>
      <c r="F9553">
        <v>2020</v>
      </c>
      <c r="G9553">
        <v>15.0806</v>
      </c>
    </row>
    <row r="9554" spans="1:7">
      <c r="A9554" t="s">
        <v>1297</v>
      </c>
      <c r="B9554" t="s">
        <v>1298</v>
      </c>
      <c r="C9554" t="s">
        <v>679</v>
      </c>
      <c r="D9554" t="s">
        <v>1406</v>
      </c>
      <c r="E9554" t="s">
        <v>187</v>
      </c>
      <c r="F9554">
        <v>2005</v>
      </c>
      <c r="G9554">
        <v>3.7612000000000001</v>
      </c>
    </row>
    <row r="9555" spans="1:7">
      <c r="A9555" t="s">
        <v>1297</v>
      </c>
      <c r="B9555" t="s">
        <v>1298</v>
      </c>
      <c r="C9555" t="s">
        <v>679</v>
      </c>
      <c r="D9555" t="s">
        <v>1406</v>
      </c>
      <c r="E9555" t="s">
        <v>187</v>
      </c>
      <c r="F9555">
        <v>2010</v>
      </c>
      <c r="G9555">
        <v>3.6572</v>
      </c>
    </row>
    <row r="9556" spans="1:7">
      <c r="A9556" t="s">
        <v>1297</v>
      </c>
      <c r="B9556" t="s">
        <v>1298</v>
      </c>
      <c r="C9556" t="s">
        <v>679</v>
      </c>
      <c r="D9556" t="s">
        <v>1406</v>
      </c>
      <c r="E9556" t="s">
        <v>187</v>
      </c>
      <c r="F9556">
        <v>2012</v>
      </c>
      <c r="G9556">
        <v>0.87</v>
      </c>
    </row>
    <row r="9557" spans="1:7">
      <c r="A9557" t="s">
        <v>1297</v>
      </c>
      <c r="B9557" t="s">
        <v>1298</v>
      </c>
      <c r="C9557" t="s">
        <v>679</v>
      </c>
      <c r="D9557" t="s">
        <v>1406</v>
      </c>
      <c r="E9557" t="s">
        <v>187</v>
      </c>
      <c r="F9557">
        <v>2016</v>
      </c>
      <c r="G9557">
        <v>8.9375999999999998</v>
      </c>
    </row>
    <row r="9558" spans="1:7">
      <c r="A9558" t="s">
        <v>1297</v>
      </c>
      <c r="B9558" t="s">
        <v>1298</v>
      </c>
      <c r="C9558" t="s">
        <v>679</v>
      </c>
      <c r="D9558" t="s">
        <v>1406</v>
      </c>
      <c r="E9558" t="s">
        <v>187</v>
      </c>
      <c r="F9558">
        <v>2020</v>
      </c>
      <c r="G9558">
        <v>9.5253999999999994</v>
      </c>
    </row>
    <row r="9559" spans="1:7">
      <c r="A9559" t="s">
        <v>1297</v>
      </c>
      <c r="B9559" t="s">
        <v>1298</v>
      </c>
      <c r="C9559" t="s">
        <v>672</v>
      </c>
      <c r="D9559" t="s">
        <v>1406</v>
      </c>
      <c r="E9559" t="s">
        <v>187</v>
      </c>
      <c r="F9559">
        <v>2010</v>
      </c>
      <c r="G9559">
        <v>8.8599999999999998E-2</v>
      </c>
    </row>
    <row r="9560" spans="1:7">
      <c r="A9560" t="s">
        <v>1297</v>
      </c>
      <c r="B9560" t="s">
        <v>1298</v>
      </c>
      <c r="C9560" t="s">
        <v>672</v>
      </c>
      <c r="D9560" t="s">
        <v>1406</v>
      </c>
      <c r="E9560" t="s">
        <v>187</v>
      </c>
      <c r="F9560">
        <v>2012</v>
      </c>
      <c r="G9560">
        <v>0.14599999999999999</v>
      </c>
    </row>
    <row r="9561" spans="1:7">
      <c r="A9561" t="s">
        <v>1297</v>
      </c>
      <c r="B9561" t="s">
        <v>1298</v>
      </c>
      <c r="C9561" t="s">
        <v>652</v>
      </c>
      <c r="D9561" t="s">
        <v>1406</v>
      </c>
      <c r="E9561" t="s">
        <v>187</v>
      </c>
      <c r="F9561">
        <v>2005</v>
      </c>
      <c r="G9561">
        <v>7.7191999999999998</v>
      </c>
    </row>
    <row r="9562" spans="1:7">
      <c r="A9562" t="s">
        <v>1297</v>
      </c>
      <c r="B9562" t="s">
        <v>1298</v>
      </c>
      <c r="C9562" t="s">
        <v>652</v>
      </c>
      <c r="D9562" t="s">
        <v>1406</v>
      </c>
      <c r="E9562" t="s">
        <v>187</v>
      </c>
      <c r="F9562">
        <v>2010</v>
      </c>
      <c r="G9562">
        <v>18.314399999999999</v>
      </c>
    </row>
    <row r="9563" spans="1:7">
      <c r="A9563" t="s">
        <v>1297</v>
      </c>
      <c r="B9563" t="s">
        <v>1298</v>
      </c>
      <c r="C9563" t="s">
        <v>652</v>
      </c>
      <c r="D9563" t="s">
        <v>1406</v>
      </c>
      <c r="E9563" t="s">
        <v>187</v>
      </c>
      <c r="F9563">
        <v>2012</v>
      </c>
      <c r="G9563">
        <v>18.611039999999999</v>
      </c>
    </row>
    <row r="9564" spans="1:7">
      <c r="A9564" t="s">
        <v>1297</v>
      </c>
      <c r="B9564" t="s">
        <v>1298</v>
      </c>
      <c r="C9564" t="s">
        <v>652</v>
      </c>
      <c r="D9564" t="s">
        <v>1406</v>
      </c>
      <c r="E9564" t="s">
        <v>187</v>
      </c>
      <c r="F9564">
        <v>2016</v>
      </c>
      <c r="G9564">
        <v>26.333480000000002</v>
      </c>
    </row>
    <row r="9565" spans="1:7">
      <c r="A9565" t="s">
        <v>1297</v>
      </c>
      <c r="B9565" t="s">
        <v>1298</v>
      </c>
      <c r="C9565" t="s">
        <v>652</v>
      </c>
      <c r="D9565" t="s">
        <v>1406</v>
      </c>
      <c r="E9565" t="s">
        <v>187</v>
      </c>
      <c r="F9565">
        <v>2020</v>
      </c>
      <c r="G9565">
        <v>22.861280000000001</v>
      </c>
    </row>
    <row r="9566" spans="1:7">
      <c r="A9566" t="s">
        <v>1297</v>
      </c>
      <c r="B9566" t="s">
        <v>1298</v>
      </c>
      <c r="C9566" t="s">
        <v>651</v>
      </c>
      <c r="D9566" t="s">
        <v>1406</v>
      </c>
      <c r="E9566" t="s">
        <v>187</v>
      </c>
      <c r="F9566">
        <v>2005</v>
      </c>
      <c r="G9566">
        <v>8.6726999999999999E-2</v>
      </c>
    </row>
    <row r="9567" spans="1:7">
      <c r="A9567" t="s">
        <v>1297</v>
      </c>
      <c r="B9567" t="s">
        <v>1298</v>
      </c>
      <c r="C9567" t="s">
        <v>651</v>
      </c>
      <c r="D9567" t="s">
        <v>1406</v>
      </c>
      <c r="E9567" t="s">
        <v>187</v>
      </c>
      <c r="F9567">
        <v>2010</v>
      </c>
      <c r="G9567">
        <v>0.439442</v>
      </c>
    </row>
    <row r="9568" spans="1:7">
      <c r="A9568" t="s">
        <v>1297</v>
      </c>
      <c r="B9568" t="s">
        <v>1298</v>
      </c>
      <c r="C9568" t="s">
        <v>651</v>
      </c>
      <c r="D9568" t="s">
        <v>1406</v>
      </c>
      <c r="E9568" t="s">
        <v>187</v>
      </c>
      <c r="F9568">
        <v>2012</v>
      </c>
      <c r="G9568">
        <v>0.281607</v>
      </c>
    </row>
    <row r="9569" spans="1:7">
      <c r="A9569" t="s">
        <v>1297</v>
      </c>
      <c r="B9569" t="s">
        <v>1298</v>
      </c>
      <c r="C9569" t="s">
        <v>651</v>
      </c>
      <c r="D9569" t="s">
        <v>1406</v>
      </c>
      <c r="E9569" t="s">
        <v>187</v>
      </c>
      <c r="F9569">
        <v>2016</v>
      </c>
      <c r="G9569">
        <v>0.33129999999999998</v>
      </c>
    </row>
    <row r="9570" spans="1:7">
      <c r="A9570" t="s">
        <v>1297</v>
      </c>
      <c r="B9570" t="s">
        <v>1298</v>
      </c>
      <c r="C9570" t="s">
        <v>651</v>
      </c>
      <c r="D9570" t="s">
        <v>1406</v>
      </c>
      <c r="E9570" t="s">
        <v>187</v>
      </c>
      <c r="F9570">
        <v>2020</v>
      </c>
      <c r="G9570">
        <v>0.27341399999999999</v>
      </c>
    </row>
    <row r="9571" spans="1:7">
      <c r="A9571" t="s">
        <v>1297</v>
      </c>
      <c r="B9571" t="s">
        <v>1298</v>
      </c>
      <c r="C9571" t="s">
        <v>671</v>
      </c>
      <c r="D9571" t="s">
        <v>1406</v>
      </c>
      <c r="E9571" t="s">
        <v>187</v>
      </c>
      <c r="F9571">
        <v>2005</v>
      </c>
      <c r="G9571">
        <v>2.7061999999999999</v>
      </c>
    </row>
    <row r="9572" spans="1:7">
      <c r="A9572" t="s">
        <v>1297</v>
      </c>
      <c r="B9572" t="s">
        <v>1298</v>
      </c>
      <c r="C9572" t="s">
        <v>671</v>
      </c>
      <c r="D9572" t="s">
        <v>1406</v>
      </c>
      <c r="E9572" t="s">
        <v>187</v>
      </c>
      <c r="F9572">
        <v>2010</v>
      </c>
      <c r="G9572">
        <v>1.7662</v>
      </c>
    </row>
    <row r="9573" spans="1:7">
      <c r="A9573" t="s">
        <v>1297</v>
      </c>
      <c r="B9573" t="s">
        <v>1298</v>
      </c>
      <c r="C9573" t="s">
        <v>671</v>
      </c>
      <c r="D9573" t="s">
        <v>1406</v>
      </c>
      <c r="E9573" t="s">
        <v>187</v>
      </c>
      <c r="F9573">
        <v>2012</v>
      </c>
      <c r="G9573">
        <v>1.9306000000000001</v>
      </c>
    </row>
    <row r="9574" spans="1:7">
      <c r="A9574" t="s">
        <v>1297</v>
      </c>
      <c r="B9574" t="s">
        <v>1298</v>
      </c>
      <c r="C9574" t="s">
        <v>671</v>
      </c>
      <c r="D9574" t="s">
        <v>1406</v>
      </c>
      <c r="E9574" t="s">
        <v>187</v>
      </c>
      <c r="F9574">
        <v>2016</v>
      </c>
      <c r="G9574">
        <v>1.4394</v>
      </c>
    </row>
    <row r="9575" spans="1:7">
      <c r="A9575" t="s">
        <v>1297</v>
      </c>
      <c r="B9575" t="s">
        <v>1298</v>
      </c>
      <c r="C9575" t="s">
        <v>671</v>
      </c>
      <c r="D9575" t="s">
        <v>1406</v>
      </c>
      <c r="E9575" t="s">
        <v>187</v>
      </c>
      <c r="F9575">
        <v>2020</v>
      </c>
      <c r="G9575">
        <v>1.753571</v>
      </c>
    </row>
    <row r="9576" spans="1:7">
      <c r="A9576" t="s">
        <v>1297</v>
      </c>
      <c r="B9576" t="s">
        <v>1298</v>
      </c>
      <c r="C9576" t="s">
        <v>670</v>
      </c>
      <c r="D9576" t="s">
        <v>1406</v>
      </c>
      <c r="E9576" t="s">
        <v>187</v>
      </c>
      <c r="F9576">
        <v>2005</v>
      </c>
      <c r="G9576">
        <v>8.1920000000000002</v>
      </c>
    </row>
    <row r="9577" spans="1:7">
      <c r="A9577" t="s">
        <v>1297</v>
      </c>
      <c r="B9577" t="s">
        <v>1298</v>
      </c>
      <c r="C9577" t="s">
        <v>670</v>
      </c>
      <c r="D9577" t="s">
        <v>1406</v>
      </c>
      <c r="E9577" t="s">
        <v>187</v>
      </c>
      <c r="F9577">
        <v>2010</v>
      </c>
      <c r="G9577">
        <v>13.987</v>
      </c>
    </row>
    <row r="9578" spans="1:7">
      <c r="A9578" t="s">
        <v>1297</v>
      </c>
      <c r="B9578" t="s">
        <v>1298</v>
      </c>
      <c r="C9578" t="s">
        <v>670</v>
      </c>
      <c r="D9578" t="s">
        <v>1406</v>
      </c>
      <c r="E9578" t="s">
        <v>187</v>
      </c>
      <c r="F9578">
        <v>2012</v>
      </c>
      <c r="G9578">
        <v>17.63</v>
      </c>
    </row>
    <row r="9579" spans="1:7">
      <c r="A9579" t="s">
        <v>1297</v>
      </c>
      <c r="B9579" t="s">
        <v>1298</v>
      </c>
      <c r="C9579" t="s">
        <v>670</v>
      </c>
      <c r="D9579" t="s">
        <v>1406</v>
      </c>
      <c r="E9579" t="s">
        <v>187</v>
      </c>
      <c r="F9579">
        <v>2016</v>
      </c>
      <c r="G9579">
        <v>23.068968000000002</v>
      </c>
    </row>
    <row r="9580" spans="1:7">
      <c r="A9580" t="s">
        <v>1297</v>
      </c>
      <c r="B9580" t="s">
        <v>1298</v>
      </c>
      <c r="C9580" t="s">
        <v>670</v>
      </c>
      <c r="D9580" t="s">
        <v>1406</v>
      </c>
      <c r="E9580" t="s">
        <v>187</v>
      </c>
      <c r="F9580">
        <v>2020</v>
      </c>
      <c r="G9580">
        <v>15.033986000000001</v>
      </c>
    </row>
    <row r="9581" spans="1:7">
      <c r="A9581" t="s">
        <v>1297</v>
      </c>
      <c r="B9581" t="s">
        <v>1298</v>
      </c>
      <c r="C9581" t="s">
        <v>653</v>
      </c>
      <c r="D9581" t="s">
        <v>1406</v>
      </c>
      <c r="E9581" t="s">
        <v>187</v>
      </c>
      <c r="F9581">
        <v>2010</v>
      </c>
      <c r="G9581">
        <v>2.5838000000000001</v>
      </c>
    </row>
    <row r="9582" spans="1:7">
      <c r="A9582" t="s">
        <v>1297</v>
      </c>
      <c r="B9582" t="s">
        <v>1298</v>
      </c>
      <c r="C9582" t="s">
        <v>653</v>
      </c>
      <c r="D9582" t="s">
        <v>1406</v>
      </c>
      <c r="E9582" t="s">
        <v>187</v>
      </c>
      <c r="F9582">
        <v>2012</v>
      </c>
      <c r="G9582">
        <v>2.5539999999999998</v>
      </c>
    </row>
    <row r="9583" spans="1:7">
      <c r="A9583" t="s">
        <v>1297</v>
      </c>
      <c r="B9583" t="s">
        <v>1298</v>
      </c>
      <c r="C9583" t="s">
        <v>653</v>
      </c>
      <c r="D9583" t="s">
        <v>1406</v>
      </c>
      <c r="E9583" t="s">
        <v>187</v>
      </c>
      <c r="F9583">
        <v>2016</v>
      </c>
      <c r="G9583">
        <v>2.8448000000000002</v>
      </c>
    </row>
    <row r="9584" spans="1:7">
      <c r="A9584" t="s">
        <v>1297</v>
      </c>
      <c r="B9584" t="s">
        <v>1298</v>
      </c>
      <c r="C9584" t="s">
        <v>653</v>
      </c>
      <c r="D9584" t="s">
        <v>1406</v>
      </c>
      <c r="E9584" t="s">
        <v>187</v>
      </c>
      <c r="F9584">
        <v>2020</v>
      </c>
      <c r="G9584">
        <v>2.8625400000000001</v>
      </c>
    </row>
    <row r="9585" spans="1:7">
      <c r="A9585" t="s">
        <v>1297</v>
      </c>
      <c r="B9585" t="s">
        <v>1298</v>
      </c>
      <c r="C9585" t="s">
        <v>1301</v>
      </c>
      <c r="D9585" t="s">
        <v>1406</v>
      </c>
      <c r="E9585" t="s">
        <v>187</v>
      </c>
      <c r="F9585">
        <v>2005</v>
      </c>
      <c r="G9585">
        <v>1.04</v>
      </c>
    </row>
    <row r="9586" spans="1:7">
      <c r="A9586" t="s">
        <v>1297</v>
      </c>
      <c r="B9586" t="s">
        <v>1298</v>
      </c>
      <c r="C9586" t="s">
        <v>1301</v>
      </c>
      <c r="D9586" t="s">
        <v>1406</v>
      </c>
      <c r="E9586" t="s">
        <v>187</v>
      </c>
      <c r="F9586">
        <v>2010</v>
      </c>
      <c r="G9586">
        <v>1.48</v>
      </c>
    </row>
    <row r="9587" spans="1:7">
      <c r="A9587" t="s">
        <v>1297</v>
      </c>
      <c r="B9587" t="s">
        <v>1298</v>
      </c>
      <c r="C9587" t="s">
        <v>1301</v>
      </c>
      <c r="D9587" t="s">
        <v>1406</v>
      </c>
      <c r="E9587" t="s">
        <v>187</v>
      </c>
      <c r="F9587">
        <v>2012</v>
      </c>
      <c r="G9587">
        <v>1.4930000000000001</v>
      </c>
    </row>
    <row r="9588" spans="1:7">
      <c r="A9588" t="s">
        <v>1297</v>
      </c>
      <c r="B9588" t="s">
        <v>1298</v>
      </c>
      <c r="C9588" t="s">
        <v>1301</v>
      </c>
      <c r="D9588" t="s">
        <v>1406</v>
      </c>
      <c r="E9588" t="s">
        <v>187</v>
      </c>
      <c r="F9588">
        <v>2016</v>
      </c>
      <c r="G9588">
        <v>14.06</v>
      </c>
    </row>
    <row r="9589" spans="1:7">
      <c r="A9589" t="s">
        <v>1297</v>
      </c>
      <c r="B9589" t="s">
        <v>1298</v>
      </c>
      <c r="C9589" t="s">
        <v>1301</v>
      </c>
      <c r="D9589" t="s">
        <v>1406</v>
      </c>
      <c r="E9589" t="s">
        <v>187</v>
      </c>
      <c r="F9589">
        <v>2020</v>
      </c>
      <c r="G9589">
        <v>17.623481999999999</v>
      </c>
    </row>
    <row r="9590" spans="1:7">
      <c r="A9590" t="s">
        <v>1297</v>
      </c>
      <c r="B9590" t="s">
        <v>1298</v>
      </c>
      <c r="C9590" t="s">
        <v>651</v>
      </c>
      <c r="D9590" t="s">
        <v>1407</v>
      </c>
      <c r="E9590" t="s">
        <v>187</v>
      </c>
      <c r="F9590">
        <v>2005</v>
      </c>
      <c r="G9590">
        <v>59.092874000000002</v>
      </c>
    </row>
    <row r="9591" spans="1:7">
      <c r="A9591" t="s">
        <v>1297</v>
      </c>
      <c r="B9591" t="s">
        <v>1298</v>
      </c>
      <c r="C9591" t="s">
        <v>651</v>
      </c>
      <c r="D9591" t="s">
        <v>1407</v>
      </c>
      <c r="E9591" t="s">
        <v>187</v>
      </c>
      <c r="F9591">
        <v>2010</v>
      </c>
      <c r="G9591">
        <v>78.370695999999995</v>
      </c>
    </row>
    <row r="9592" spans="1:7">
      <c r="A9592" t="s">
        <v>1297</v>
      </c>
      <c r="B9592" t="s">
        <v>1298</v>
      </c>
      <c r="C9592" t="s">
        <v>651</v>
      </c>
      <c r="D9592" t="s">
        <v>1407</v>
      </c>
      <c r="E9592" t="s">
        <v>187</v>
      </c>
      <c r="F9592">
        <v>2012</v>
      </c>
      <c r="G9592">
        <v>83.758392000000001</v>
      </c>
    </row>
    <row r="9593" spans="1:7">
      <c r="A9593" t="s">
        <v>1297</v>
      </c>
      <c r="B9593" t="s">
        <v>1298</v>
      </c>
      <c r="C9593" t="s">
        <v>651</v>
      </c>
      <c r="D9593" t="s">
        <v>1407</v>
      </c>
      <c r="E9593" t="s">
        <v>187</v>
      </c>
      <c r="F9593">
        <v>2016</v>
      </c>
      <c r="G9593">
        <v>85.313439000000002</v>
      </c>
    </row>
    <row r="9594" spans="1:7">
      <c r="A9594" t="s">
        <v>1297</v>
      </c>
      <c r="B9594" t="s">
        <v>1298</v>
      </c>
      <c r="C9594" t="s">
        <v>651</v>
      </c>
      <c r="D9594" t="s">
        <v>1407</v>
      </c>
      <c r="E9594" t="s">
        <v>187</v>
      </c>
      <c r="F9594">
        <v>2020</v>
      </c>
      <c r="G9594">
        <v>84.972435000000004</v>
      </c>
    </row>
    <row r="9595" spans="1:7">
      <c r="A9595" t="s">
        <v>1297</v>
      </c>
      <c r="B9595" t="s">
        <v>1298</v>
      </c>
      <c r="C9595" t="s">
        <v>677</v>
      </c>
      <c r="D9595" t="s">
        <v>1407</v>
      </c>
      <c r="E9595" t="s">
        <v>187</v>
      </c>
      <c r="F9595">
        <v>2005</v>
      </c>
      <c r="G9595">
        <v>57.183999999999997</v>
      </c>
    </row>
    <row r="9596" spans="1:7">
      <c r="A9596" t="s">
        <v>1297</v>
      </c>
      <c r="B9596" t="s">
        <v>1298</v>
      </c>
      <c r="C9596" t="s">
        <v>661</v>
      </c>
      <c r="D9596" t="s">
        <v>1407</v>
      </c>
      <c r="E9596" t="s">
        <v>187</v>
      </c>
      <c r="F9596">
        <v>2005</v>
      </c>
      <c r="G9596">
        <v>178.28</v>
      </c>
    </row>
    <row r="9597" spans="1:7">
      <c r="A9597" t="s">
        <v>1297</v>
      </c>
      <c r="B9597" t="s">
        <v>1298</v>
      </c>
      <c r="C9597" t="s">
        <v>661</v>
      </c>
      <c r="D9597" t="s">
        <v>1407</v>
      </c>
      <c r="E9597" t="s">
        <v>187</v>
      </c>
      <c r="F9597">
        <v>2010</v>
      </c>
      <c r="G9597">
        <v>153.26552599999999</v>
      </c>
    </row>
    <row r="9598" spans="1:7">
      <c r="A9598" t="s">
        <v>1297</v>
      </c>
      <c r="B9598" t="s">
        <v>1298</v>
      </c>
      <c r="C9598" t="s">
        <v>661</v>
      </c>
      <c r="D9598" t="s">
        <v>1407</v>
      </c>
      <c r="E9598" t="s">
        <v>187</v>
      </c>
      <c r="F9598">
        <v>2012</v>
      </c>
      <c r="G9598">
        <v>146.01016799999999</v>
      </c>
    </row>
    <row r="9599" spans="1:7">
      <c r="A9599" t="s">
        <v>1297</v>
      </c>
      <c r="B9599" t="s">
        <v>1298</v>
      </c>
      <c r="C9599" t="s">
        <v>661</v>
      </c>
      <c r="D9599" t="s">
        <v>1407</v>
      </c>
      <c r="E9599" t="s">
        <v>187</v>
      </c>
      <c r="F9599">
        <v>2016</v>
      </c>
      <c r="G9599">
        <v>167.513822</v>
      </c>
    </row>
    <row r="9600" spans="1:7">
      <c r="A9600" t="s">
        <v>1297</v>
      </c>
      <c r="B9600" t="s">
        <v>1298</v>
      </c>
      <c r="C9600" t="s">
        <v>661</v>
      </c>
      <c r="D9600" t="s">
        <v>1407</v>
      </c>
      <c r="E9600" t="s">
        <v>187</v>
      </c>
      <c r="F9600">
        <v>2020</v>
      </c>
      <c r="G9600">
        <v>169.19415000000001</v>
      </c>
    </row>
    <row r="9601" spans="1:7">
      <c r="A9601" t="s">
        <v>1297</v>
      </c>
      <c r="B9601" t="s">
        <v>1298</v>
      </c>
      <c r="C9601" t="s">
        <v>289</v>
      </c>
      <c r="D9601" t="s">
        <v>1407</v>
      </c>
      <c r="E9601" t="s">
        <v>187</v>
      </c>
      <c r="F9601">
        <v>2005</v>
      </c>
      <c r="G9601">
        <v>13.324999999999999</v>
      </c>
    </row>
    <row r="9602" spans="1:7">
      <c r="A9602" t="s">
        <v>1297</v>
      </c>
      <c r="B9602" t="s">
        <v>1298</v>
      </c>
      <c r="C9602" t="s">
        <v>289</v>
      </c>
      <c r="D9602" t="s">
        <v>1407</v>
      </c>
      <c r="E9602" t="s">
        <v>187</v>
      </c>
      <c r="F9602">
        <v>2010</v>
      </c>
      <c r="G9602">
        <v>12.503</v>
      </c>
    </row>
    <row r="9603" spans="1:7">
      <c r="A9603" t="s">
        <v>1297</v>
      </c>
      <c r="B9603" t="s">
        <v>1298</v>
      </c>
      <c r="C9603" t="s">
        <v>289</v>
      </c>
      <c r="D9603" t="s">
        <v>1407</v>
      </c>
      <c r="E9603" t="s">
        <v>187</v>
      </c>
      <c r="F9603">
        <v>2012</v>
      </c>
      <c r="G9603">
        <v>11.625</v>
      </c>
    </row>
    <row r="9604" spans="1:7">
      <c r="A9604" t="s">
        <v>1297</v>
      </c>
      <c r="B9604" t="s">
        <v>1298</v>
      </c>
      <c r="C9604" t="s">
        <v>289</v>
      </c>
      <c r="D9604" t="s">
        <v>1407</v>
      </c>
      <c r="E9604" t="s">
        <v>187</v>
      </c>
      <c r="F9604">
        <v>2016</v>
      </c>
      <c r="G9604">
        <v>11.411</v>
      </c>
    </row>
    <row r="9605" spans="1:7">
      <c r="A9605" t="s">
        <v>1297</v>
      </c>
      <c r="B9605" t="s">
        <v>1298</v>
      </c>
      <c r="C9605" t="s">
        <v>289</v>
      </c>
      <c r="D9605" t="s">
        <v>1407</v>
      </c>
      <c r="E9605" t="s">
        <v>187</v>
      </c>
      <c r="F9605">
        <v>2020</v>
      </c>
      <c r="G9605">
        <v>13.1816</v>
      </c>
    </row>
    <row r="9606" spans="1:7">
      <c r="A9606" t="s">
        <v>1297</v>
      </c>
      <c r="B9606" t="s">
        <v>1298</v>
      </c>
      <c r="C9606" t="s">
        <v>677</v>
      </c>
      <c r="D9606" t="s">
        <v>1407</v>
      </c>
      <c r="E9606" t="s">
        <v>187</v>
      </c>
      <c r="F9606">
        <v>2010</v>
      </c>
      <c r="G9606">
        <v>56.962000000000003</v>
      </c>
    </row>
    <row r="9607" spans="1:7">
      <c r="A9607" t="s">
        <v>1297</v>
      </c>
      <c r="B9607" t="s">
        <v>1298</v>
      </c>
      <c r="C9607" t="s">
        <v>677</v>
      </c>
      <c r="D9607" t="s">
        <v>1407</v>
      </c>
      <c r="E9607" t="s">
        <v>187</v>
      </c>
      <c r="F9607">
        <v>2012</v>
      </c>
      <c r="G9607">
        <v>58.325000000000003</v>
      </c>
    </row>
    <row r="9608" spans="1:7">
      <c r="A9608" t="s">
        <v>1297</v>
      </c>
      <c r="B9608" t="s">
        <v>1298</v>
      </c>
      <c r="C9608" t="s">
        <v>677</v>
      </c>
      <c r="D9608" t="s">
        <v>1407</v>
      </c>
      <c r="E9608" t="s">
        <v>187</v>
      </c>
      <c r="F9608">
        <v>2016</v>
      </c>
      <c r="G9608">
        <v>65.128635000000003</v>
      </c>
    </row>
    <row r="9609" spans="1:7">
      <c r="A9609" t="s">
        <v>1297</v>
      </c>
      <c r="B9609" t="s">
        <v>1298</v>
      </c>
      <c r="C9609" t="s">
        <v>677</v>
      </c>
      <c r="D9609" t="s">
        <v>1407</v>
      </c>
      <c r="E9609" t="s">
        <v>187</v>
      </c>
      <c r="F9609">
        <v>2020</v>
      </c>
      <c r="G9609">
        <v>65.434610000000006</v>
      </c>
    </row>
    <row r="9610" spans="1:7">
      <c r="A9610" t="s">
        <v>1297</v>
      </c>
      <c r="B9610" t="s">
        <v>1298</v>
      </c>
      <c r="C9610" t="s">
        <v>1300</v>
      </c>
      <c r="D9610" t="s">
        <v>1407</v>
      </c>
      <c r="E9610" t="s">
        <v>187</v>
      </c>
      <c r="F9610">
        <v>2010</v>
      </c>
      <c r="G9610">
        <v>12.039</v>
      </c>
    </row>
    <row r="9611" spans="1:7">
      <c r="A9611" t="s">
        <v>1297</v>
      </c>
      <c r="B9611" t="s">
        <v>1298</v>
      </c>
      <c r="C9611" t="s">
        <v>1300</v>
      </c>
      <c r="D9611" t="s">
        <v>1407</v>
      </c>
      <c r="E9611" t="s">
        <v>187</v>
      </c>
      <c r="F9611">
        <v>2012</v>
      </c>
      <c r="G9611">
        <v>10.875999999999999</v>
      </c>
    </row>
    <row r="9612" spans="1:7">
      <c r="A9612" t="s">
        <v>1297</v>
      </c>
      <c r="B9612" t="s">
        <v>1298</v>
      </c>
      <c r="C9612" t="s">
        <v>1300</v>
      </c>
      <c r="D9612" t="s">
        <v>1407</v>
      </c>
      <c r="E9612" t="s">
        <v>187</v>
      </c>
      <c r="F9612">
        <v>2016</v>
      </c>
      <c r="G9612">
        <v>10.606</v>
      </c>
    </row>
    <row r="9613" spans="1:7">
      <c r="A9613" t="s">
        <v>1297</v>
      </c>
      <c r="B9613" t="s">
        <v>1298</v>
      </c>
      <c r="C9613" t="s">
        <v>1300</v>
      </c>
      <c r="D9613" t="s">
        <v>1407</v>
      </c>
      <c r="E9613" t="s">
        <v>187</v>
      </c>
      <c r="F9613">
        <v>2020</v>
      </c>
      <c r="G9613">
        <v>9.67</v>
      </c>
    </row>
    <row r="9614" spans="1:7">
      <c r="A9614" t="s">
        <v>1297</v>
      </c>
      <c r="B9614" t="s">
        <v>1298</v>
      </c>
      <c r="C9614" t="s">
        <v>667</v>
      </c>
      <c r="D9614" t="s">
        <v>1407</v>
      </c>
      <c r="E9614" t="s">
        <v>187</v>
      </c>
      <c r="F9614">
        <v>2005</v>
      </c>
      <c r="G9614">
        <v>3.1553399999999998</v>
      </c>
    </row>
    <row r="9615" spans="1:7">
      <c r="A9615" t="s">
        <v>1297</v>
      </c>
      <c r="B9615" t="s">
        <v>1298</v>
      </c>
      <c r="C9615" t="s">
        <v>667</v>
      </c>
      <c r="D9615" t="s">
        <v>1407</v>
      </c>
      <c r="E9615" t="s">
        <v>187</v>
      </c>
      <c r="F9615">
        <v>2010</v>
      </c>
      <c r="G9615">
        <v>3.1089989999999998</v>
      </c>
    </row>
    <row r="9616" spans="1:7">
      <c r="A9616" t="s">
        <v>1297</v>
      </c>
      <c r="B9616" t="s">
        <v>1298</v>
      </c>
      <c r="C9616" t="s">
        <v>667</v>
      </c>
      <c r="D9616" t="s">
        <v>1407</v>
      </c>
      <c r="E9616" t="s">
        <v>187</v>
      </c>
      <c r="F9616">
        <v>2012</v>
      </c>
      <c r="G9616">
        <v>3.092562</v>
      </c>
    </row>
    <row r="9617" spans="1:7">
      <c r="A9617" t="s">
        <v>1297</v>
      </c>
      <c r="B9617" t="s">
        <v>1298</v>
      </c>
      <c r="C9617" t="s">
        <v>667</v>
      </c>
      <c r="D9617" t="s">
        <v>1407</v>
      </c>
      <c r="E9617" t="s">
        <v>187</v>
      </c>
      <c r="F9617">
        <v>2016</v>
      </c>
      <c r="G9617">
        <v>2.4315120000000001</v>
      </c>
    </row>
    <row r="9618" spans="1:7">
      <c r="A9618" t="s">
        <v>1297</v>
      </c>
      <c r="B9618" t="s">
        <v>1298</v>
      </c>
      <c r="C9618" t="s">
        <v>667</v>
      </c>
      <c r="D9618" t="s">
        <v>1407</v>
      </c>
      <c r="E9618" t="s">
        <v>187</v>
      </c>
      <c r="F9618">
        <v>2020</v>
      </c>
      <c r="G9618">
        <v>4.0262390000000003</v>
      </c>
    </row>
    <row r="9619" spans="1:7">
      <c r="A9619" t="s">
        <v>1297</v>
      </c>
      <c r="B9619" t="s">
        <v>1298</v>
      </c>
      <c r="C9619" t="s">
        <v>679</v>
      </c>
      <c r="D9619" t="s">
        <v>1407</v>
      </c>
      <c r="E9619" t="s">
        <v>187</v>
      </c>
      <c r="F9619">
        <v>2005</v>
      </c>
      <c r="G9619">
        <v>12.727</v>
      </c>
    </row>
    <row r="9620" spans="1:7">
      <c r="A9620" t="s">
        <v>1297</v>
      </c>
      <c r="B9620" t="s">
        <v>1298</v>
      </c>
      <c r="C9620" t="s">
        <v>679</v>
      </c>
      <c r="D9620" t="s">
        <v>1407</v>
      </c>
      <c r="E9620" t="s">
        <v>187</v>
      </c>
      <c r="F9620">
        <v>2010</v>
      </c>
      <c r="G9620">
        <v>19.498000000000001</v>
      </c>
    </row>
    <row r="9621" spans="1:7">
      <c r="A9621" t="s">
        <v>1297</v>
      </c>
      <c r="B9621" t="s">
        <v>1298</v>
      </c>
      <c r="C9621" t="s">
        <v>679</v>
      </c>
      <c r="D9621" t="s">
        <v>1407</v>
      </c>
      <c r="E9621" t="s">
        <v>187</v>
      </c>
      <c r="F9621">
        <v>2012</v>
      </c>
      <c r="G9621">
        <v>18.094000000000001</v>
      </c>
    </row>
    <row r="9622" spans="1:7">
      <c r="A9622" t="s">
        <v>1297</v>
      </c>
      <c r="B9622" t="s">
        <v>1298</v>
      </c>
      <c r="C9622" t="s">
        <v>679</v>
      </c>
      <c r="D9622" t="s">
        <v>1407</v>
      </c>
      <c r="E9622" t="s">
        <v>187</v>
      </c>
      <c r="F9622">
        <v>2016</v>
      </c>
      <c r="G9622">
        <v>25.558</v>
      </c>
    </row>
    <row r="9623" spans="1:7">
      <c r="A9623" t="s">
        <v>1297</v>
      </c>
      <c r="B9623" t="s">
        <v>1298</v>
      </c>
      <c r="C9623" t="s">
        <v>679</v>
      </c>
      <c r="D9623" t="s">
        <v>1407</v>
      </c>
      <c r="E9623" t="s">
        <v>187</v>
      </c>
      <c r="F9623">
        <v>2020</v>
      </c>
      <c r="G9623">
        <v>27.586147</v>
      </c>
    </row>
    <row r="9624" spans="1:7">
      <c r="A9624" t="s">
        <v>1297</v>
      </c>
      <c r="B9624" t="s">
        <v>1298</v>
      </c>
      <c r="C9624" t="s">
        <v>675</v>
      </c>
      <c r="D9624" t="s">
        <v>1407</v>
      </c>
      <c r="E9624" t="s">
        <v>187</v>
      </c>
      <c r="F9624">
        <v>2005</v>
      </c>
      <c r="G9624">
        <v>10.103999999999999</v>
      </c>
    </row>
    <row r="9625" spans="1:7">
      <c r="A9625" t="s">
        <v>1297</v>
      </c>
      <c r="B9625" t="s">
        <v>1298</v>
      </c>
      <c r="C9625" t="s">
        <v>675</v>
      </c>
      <c r="D9625" t="s">
        <v>1407</v>
      </c>
      <c r="E9625" t="s">
        <v>187</v>
      </c>
      <c r="F9625">
        <v>2010</v>
      </c>
      <c r="G9625">
        <v>9.7810000000000006</v>
      </c>
    </row>
    <row r="9626" spans="1:7">
      <c r="A9626" t="s">
        <v>1297</v>
      </c>
      <c r="B9626" t="s">
        <v>1298</v>
      </c>
      <c r="C9626" t="s">
        <v>675</v>
      </c>
      <c r="D9626" t="s">
        <v>1407</v>
      </c>
      <c r="E9626" t="s">
        <v>187</v>
      </c>
      <c r="F9626">
        <v>2012</v>
      </c>
      <c r="G9626">
        <v>9.4990000000000006</v>
      </c>
    </row>
    <row r="9627" spans="1:7">
      <c r="A9627" t="s">
        <v>1297</v>
      </c>
      <c r="B9627" t="s">
        <v>1298</v>
      </c>
      <c r="C9627" t="s">
        <v>675</v>
      </c>
      <c r="D9627" t="s">
        <v>1407</v>
      </c>
      <c r="E9627" t="s">
        <v>187</v>
      </c>
      <c r="F9627">
        <v>2016</v>
      </c>
      <c r="G9627">
        <v>9</v>
      </c>
    </row>
    <row r="9628" spans="1:7">
      <c r="A9628" t="s">
        <v>1297</v>
      </c>
      <c r="B9628" t="s">
        <v>1298</v>
      </c>
      <c r="C9628" t="s">
        <v>675</v>
      </c>
      <c r="D9628" t="s">
        <v>1407</v>
      </c>
      <c r="E9628" t="s">
        <v>187</v>
      </c>
      <c r="F9628">
        <v>2020</v>
      </c>
      <c r="G9628">
        <v>9.1436240000000009</v>
      </c>
    </row>
    <row r="9629" spans="1:7">
      <c r="A9629" t="s">
        <v>1297</v>
      </c>
      <c r="B9629" t="s">
        <v>1298</v>
      </c>
      <c r="C9629" t="s">
        <v>673</v>
      </c>
      <c r="D9629" t="s">
        <v>1407</v>
      </c>
      <c r="E9629" t="s">
        <v>187</v>
      </c>
      <c r="F9629">
        <v>2005</v>
      </c>
      <c r="G9629">
        <v>127.67400000000001</v>
      </c>
    </row>
    <row r="9630" spans="1:7">
      <c r="A9630" t="s">
        <v>1297</v>
      </c>
      <c r="B9630" t="s">
        <v>1298</v>
      </c>
      <c r="C9630" t="s">
        <v>673</v>
      </c>
      <c r="D9630" t="s">
        <v>1407</v>
      </c>
      <c r="E9630" t="s">
        <v>187</v>
      </c>
      <c r="F9630">
        <v>2010</v>
      </c>
      <c r="G9630">
        <v>99.105999999999995</v>
      </c>
    </row>
    <row r="9631" spans="1:7">
      <c r="A9631" t="s">
        <v>1297</v>
      </c>
      <c r="B9631" t="s">
        <v>1298</v>
      </c>
      <c r="C9631" t="s">
        <v>673</v>
      </c>
      <c r="D9631" t="s">
        <v>1407</v>
      </c>
      <c r="E9631" t="s">
        <v>187</v>
      </c>
      <c r="F9631">
        <v>2012</v>
      </c>
      <c r="G9631">
        <v>89.341999999999999</v>
      </c>
    </row>
    <row r="9632" spans="1:7">
      <c r="A9632" t="s">
        <v>1297</v>
      </c>
      <c r="B9632" t="s">
        <v>1298</v>
      </c>
      <c r="C9632" t="s">
        <v>673</v>
      </c>
      <c r="D9632" t="s">
        <v>1407</v>
      </c>
      <c r="E9632" t="s">
        <v>187</v>
      </c>
      <c r="F9632">
        <v>2016</v>
      </c>
      <c r="G9632">
        <v>76.760999999999996</v>
      </c>
    </row>
    <row r="9633" spans="1:7">
      <c r="A9633" t="s">
        <v>1297</v>
      </c>
      <c r="B9633" t="s">
        <v>1298</v>
      </c>
      <c r="C9633" t="s">
        <v>673</v>
      </c>
      <c r="D9633" t="s">
        <v>1407</v>
      </c>
      <c r="E9633" t="s">
        <v>187</v>
      </c>
      <c r="F9633">
        <v>2020</v>
      </c>
      <c r="G9633">
        <v>61.446055000000001</v>
      </c>
    </row>
    <row r="9634" spans="1:7">
      <c r="A9634" t="s">
        <v>1297</v>
      </c>
      <c r="B9634" t="s">
        <v>1298</v>
      </c>
      <c r="C9634" t="s">
        <v>1299</v>
      </c>
      <c r="D9634" t="s">
        <v>1407</v>
      </c>
      <c r="E9634" t="s">
        <v>187</v>
      </c>
      <c r="F9634">
        <v>2005</v>
      </c>
      <c r="G9634">
        <v>707.64499999999998</v>
      </c>
    </row>
    <row r="9635" spans="1:7">
      <c r="A9635" t="s">
        <v>1297</v>
      </c>
      <c r="B9635" t="s">
        <v>1298</v>
      </c>
      <c r="C9635" t="s">
        <v>1299</v>
      </c>
      <c r="D9635" t="s">
        <v>1407</v>
      </c>
      <c r="E9635" t="s">
        <v>187</v>
      </c>
      <c r="F9635">
        <v>2010</v>
      </c>
      <c r="G9635">
        <v>622.30899999999997</v>
      </c>
    </row>
    <row r="9636" spans="1:7">
      <c r="A9636" t="s">
        <v>1297</v>
      </c>
      <c r="B9636" t="s">
        <v>1298</v>
      </c>
      <c r="C9636" t="s">
        <v>1299</v>
      </c>
      <c r="D9636" t="s">
        <v>1407</v>
      </c>
      <c r="E9636" t="s">
        <v>187</v>
      </c>
      <c r="F9636">
        <v>2012</v>
      </c>
      <c r="G9636">
        <v>599.42899999999997</v>
      </c>
    </row>
    <row r="9637" spans="1:7">
      <c r="A9637" t="s">
        <v>1297</v>
      </c>
      <c r="B9637" t="s">
        <v>1298</v>
      </c>
      <c r="C9637" t="s">
        <v>1299</v>
      </c>
      <c r="D9637" t="s">
        <v>1407</v>
      </c>
      <c r="E9637" t="s">
        <v>187</v>
      </c>
      <c r="F9637">
        <v>2016</v>
      </c>
      <c r="G9637">
        <v>447.52600000000001</v>
      </c>
    </row>
    <row r="9638" spans="1:7">
      <c r="A9638" t="s">
        <v>1297</v>
      </c>
      <c r="B9638" t="s">
        <v>1298</v>
      </c>
      <c r="C9638" t="s">
        <v>1299</v>
      </c>
      <c r="D9638" t="s">
        <v>1407</v>
      </c>
      <c r="E9638" t="s">
        <v>187</v>
      </c>
      <c r="F9638">
        <v>2020</v>
      </c>
      <c r="G9638">
        <v>382.08260000000001</v>
      </c>
    </row>
    <row r="9639" spans="1:7">
      <c r="A9639" t="s">
        <v>1297</v>
      </c>
      <c r="B9639" t="s">
        <v>1298</v>
      </c>
      <c r="C9639" t="s">
        <v>666</v>
      </c>
      <c r="D9639" t="s">
        <v>1407</v>
      </c>
      <c r="E9639" t="s">
        <v>187</v>
      </c>
      <c r="F9639">
        <v>2005</v>
      </c>
      <c r="G9639">
        <v>49.9</v>
      </c>
    </row>
    <row r="9640" spans="1:7">
      <c r="A9640" t="s">
        <v>1297</v>
      </c>
      <c r="B9640" t="s">
        <v>1298</v>
      </c>
      <c r="C9640" t="s">
        <v>666</v>
      </c>
      <c r="D9640" t="s">
        <v>1407</v>
      </c>
      <c r="E9640" t="s">
        <v>187</v>
      </c>
      <c r="F9640">
        <v>2010</v>
      </c>
      <c r="G9640">
        <v>48.805999999999997</v>
      </c>
    </row>
    <row r="9641" spans="1:7">
      <c r="A9641" t="s">
        <v>1297</v>
      </c>
      <c r="B9641" t="s">
        <v>1298</v>
      </c>
      <c r="C9641" t="s">
        <v>666</v>
      </c>
      <c r="D9641" t="s">
        <v>1407</v>
      </c>
      <c r="E9641" t="s">
        <v>187</v>
      </c>
      <c r="F9641">
        <v>2012</v>
      </c>
      <c r="G9641">
        <v>46.454999999999998</v>
      </c>
    </row>
    <row r="9642" spans="1:7">
      <c r="A9642" t="s">
        <v>1297</v>
      </c>
      <c r="B9642" t="s">
        <v>1298</v>
      </c>
      <c r="C9642" t="s">
        <v>666</v>
      </c>
      <c r="D9642" t="s">
        <v>1407</v>
      </c>
      <c r="E9642" t="s">
        <v>187</v>
      </c>
      <c r="F9642">
        <v>2016</v>
      </c>
      <c r="G9642">
        <v>43.148000000000003</v>
      </c>
    </row>
    <row r="9643" spans="1:7">
      <c r="A9643" t="s">
        <v>1297</v>
      </c>
      <c r="B9643" t="s">
        <v>1298</v>
      </c>
      <c r="C9643" t="s">
        <v>666</v>
      </c>
      <c r="D9643" t="s">
        <v>1407</v>
      </c>
      <c r="E9643" t="s">
        <v>187</v>
      </c>
      <c r="F9643">
        <v>2020</v>
      </c>
      <c r="G9643">
        <v>42.777999999999999</v>
      </c>
    </row>
    <row r="9644" spans="1:7">
      <c r="A9644" t="s">
        <v>1297</v>
      </c>
      <c r="B9644" t="s">
        <v>1298</v>
      </c>
      <c r="C9644" t="s">
        <v>674</v>
      </c>
      <c r="D9644" t="s">
        <v>1407</v>
      </c>
      <c r="E9644" t="s">
        <v>187</v>
      </c>
      <c r="F9644">
        <v>2005</v>
      </c>
      <c r="G9644">
        <v>191.50200000000001</v>
      </c>
    </row>
    <row r="9645" spans="1:7">
      <c r="A9645" t="s">
        <v>1297</v>
      </c>
      <c r="B9645" t="s">
        <v>1298</v>
      </c>
      <c r="C9645" t="s">
        <v>674</v>
      </c>
      <c r="D9645" t="s">
        <v>1407</v>
      </c>
      <c r="E9645" t="s">
        <v>187</v>
      </c>
      <c r="F9645">
        <v>2010</v>
      </c>
      <c r="G9645">
        <v>240.57</v>
      </c>
    </row>
    <row r="9646" spans="1:7">
      <c r="A9646" t="s">
        <v>1297</v>
      </c>
      <c r="B9646" t="s">
        <v>1298</v>
      </c>
      <c r="C9646" t="s">
        <v>674</v>
      </c>
      <c r="D9646" t="s">
        <v>1407</v>
      </c>
      <c r="E9646" t="s">
        <v>187</v>
      </c>
      <c r="F9646">
        <v>2012</v>
      </c>
      <c r="G9646">
        <v>215.29400000000001</v>
      </c>
    </row>
    <row r="9647" spans="1:7">
      <c r="A9647" t="s">
        <v>1297</v>
      </c>
      <c r="B9647" t="s">
        <v>1298</v>
      </c>
      <c r="C9647" t="s">
        <v>674</v>
      </c>
      <c r="D9647" t="s">
        <v>1407</v>
      </c>
      <c r="E9647" t="s">
        <v>187</v>
      </c>
      <c r="F9647">
        <v>2016</v>
      </c>
      <c r="G9647">
        <v>213.88800000000001</v>
      </c>
    </row>
    <row r="9648" spans="1:7">
      <c r="A9648" t="s">
        <v>1297</v>
      </c>
      <c r="B9648" t="s">
        <v>1298</v>
      </c>
      <c r="C9648" t="s">
        <v>674</v>
      </c>
      <c r="D9648" t="s">
        <v>1407</v>
      </c>
      <c r="E9648" t="s">
        <v>187</v>
      </c>
      <c r="F9648">
        <v>2020</v>
      </c>
      <c r="G9648">
        <v>207.58699999999999</v>
      </c>
    </row>
    <row r="9649" spans="1:7">
      <c r="A9649" t="s">
        <v>1297</v>
      </c>
      <c r="B9649" t="s">
        <v>1298</v>
      </c>
      <c r="C9649" t="s">
        <v>685</v>
      </c>
      <c r="D9649" t="s">
        <v>1407</v>
      </c>
      <c r="E9649" t="s">
        <v>187</v>
      </c>
      <c r="F9649">
        <v>2005</v>
      </c>
      <c r="G9649">
        <v>3.452</v>
      </c>
    </row>
    <row r="9650" spans="1:7">
      <c r="A9650" t="s">
        <v>1297</v>
      </c>
      <c r="B9650" t="s">
        <v>1298</v>
      </c>
      <c r="C9650" t="s">
        <v>685</v>
      </c>
      <c r="D9650" t="s">
        <v>1407</v>
      </c>
      <c r="E9650" t="s">
        <v>187</v>
      </c>
      <c r="F9650">
        <v>2010</v>
      </c>
      <c r="G9650">
        <v>2.7309999999999999</v>
      </c>
    </row>
    <row r="9651" spans="1:7">
      <c r="A9651" t="s">
        <v>1297</v>
      </c>
      <c r="B9651" t="s">
        <v>1298</v>
      </c>
      <c r="C9651" t="s">
        <v>685</v>
      </c>
      <c r="D9651" t="s">
        <v>1407</v>
      </c>
      <c r="E9651" t="s">
        <v>187</v>
      </c>
      <c r="F9651">
        <v>2012</v>
      </c>
      <c r="G9651">
        <v>2.464</v>
      </c>
    </row>
    <row r="9652" spans="1:7">
      <c r="A9652" t="s">
        <v>1297</v>
      </c>
      <c r="B9652" t="s">
        <v>1298</v>
      </c>
      <c r="C9652" t="s">
        <v>685</v>
      </c>
      <c r="D9652" t="s">
        <v>1407</v>
      </c>
      <c r="E9652" t="s">
        <v>187</v>
      </c>
      <c r="F9652">
        <v>2016</v>
      </c>
      <c r="G9652">
        <v>2.2387839999999999</v>
      </c>
    </row>
    <row r="9653" spans="1:7">
      <c r="A9653" t="s">
        <v>1297</v>
      </c>
      <c r="B9653" t="s">
        <v>1298</v>
      </c>
      <c r="C9653" t="s">
        <v>685</v>
      </c>
      <c r="D9653" t="s">
        <v>1407</v>
      </c>
      <c r="E9653" t="s">
        <v>187</v>
      </c>
      <c r="F9653">
        <v>2020</v>
      </c>
      <c r="G9653">
        <v>2.0510959999999998</v>
      </c>
    </row>
    <row r="9654" spans="1:7">
      <c r="A9654" t="s">
        <v>1297</v>
      </c>
      <c r="B9654" t="s">
        <v>1298</v>
      </c>
      <c r="C9654" t="s">
        <v>672</v>
      </c>
      <c r="D9654" t="s">
        <v>1407</v>
      </c>
      <c r="E9654" t="s">
        <v>187</v>
      </c>
      <c r="F9654">
        <v>2005</v>
      </c>
      <c r="G9654">
        <v>13.712</v>
      </c>
    </row>
    <row r="9655" spans="1:7">
      <c r="A9655" t="s">
        <v>1297</v>
      </c>
      <c r="B9655" t="s">
        <v>1298</v>
      </c>
      <c r="C9655" t="s">
        <v>672</v>
      </c>
      <c r="D9655" t="s">
        <v>1407</v>
      </c>
      <c r="E9655" t="s">
        <v>187</v>
      </c>
      <c r="F9655">
        <v>2010</v>
      </c>
      <c r="G9655">
        <v>21.111000000000001</v>
      </c>
    </row>
    <row r="9656" spans="1:7">
      <c r="A9656" t="s">
        <v>1297</v>
      </c>
      <c r="B9656" t="s">
        <v>1298</v>
      </c>
      <c r="C9656" t="s">
        <v>672</v>
      </c>
      <c r="D9656" t="s">
        <v>1407</v>
      </c>
      <c r="E9656" t="s">
        <v>187</v>
      </c>
      <c r="F9656">
        <v>2012</v>
      </c>
      <c r="G9656">
        <v>21.474</v>
      </c>
    </row>
    <row r="9657" spans="1:7">
      <c r="A9657" t="s">
        <v>1297</v>
      </c>
      <c r="B9657" t="s">
        <v>1298</v>
      </c>
      <c r="C9657" t="s">
        <v>672</v>
      </c>
      <c r="D9657" t="s">
        <v>1407</v>
      </c>
      <c r="E9657" t="s">
        <v>187</v>
      </c>
      <c r="F9657">
        <v>2016</v>
      </c>
      <c r="G9657">
        <v>18.846</v>
      </c>
    </row>
    <row r="9658" spans="1:7">
      <c r="A9658" t="s">
        <v>1297</v>
      </c>
      <c r="B9658" t="s">
        <v>1298</v>
      </c>
      <c r="C9658" t="s">
        <v>672</v>
      </c>
      <c r="D9658" t="s">
        <v>1407</v>
      </c>
      <c r="E9658" t="s">
        <v>187</v>
      </c>
      <c r="F9658">
        <v>2020</v>
      </c>
      <c r="G9658">
        <v>20.926577000000002</v>
      </c>
    </row>
    <row r="9659" spans="1:7">
      <c r="A9659" t="s">
        <v>1297</v>
      </c>
      <c r="B9659" t="s">
        <v>1298</v>
      </c>
      <c r="C9659" t="s">
        <v>670</v>
      </c>
      <c r="D9659" t="s">
        <v>1407</v>
      </c>
      <c r="E9659" t="s">
        <v>187</v>
      </c>
      <c r="F9659">
        <v>2005</v>
      </c>
      <c r="G9659">
        <v>178.49600000000001</v>
      </c>
    </row>
    <row r="9660" spans="1:7">
      <c r="A9660" t="s">
        <v>1297</v>
      </c>
      <c r="B9660" t="s">
        <v>1298</v>
      </c>
      <c r="C9660" t="s">
        <v>670</v>
      </c>
      <c r="D9660" t="s">
        <v>1407</v>
      </c>
      <c r="E9660" t="s">
        <v>187</v>
      </c>
      <c r="F9660">
        <v>2010</v>
      </c>
      <c r="G9660">
        <v>159.87799999999999</v>
      </c>
    </row>
    <row r="9661" spans="1:7">
      <c r="A9661" t="s">
        <v>1297</v>
      </c>
      <c r="B9661" t="s">
        <v>1298</v>
      </c>
      <c r="C9661" t="s">
        <v>670</v>
      </c>
      <c r="D9661" t="s">
        <v>1407</v>
      </c>
      <c r="E9661" t="s">
        <v>187</v>
      </c>
      <c r="F9661">
        <v>2012</v>
      </c>
      <c r="G9661">
        <v>149.11699999999999</v>
      </c>
    </row>
    <row r="9662" spans="1:7">
      <c r="A9662" t="s">
        <v>1297</v>
      </c>
      <c r="B9662" t="s">
        <v>1298</v>
      </c>
      <c r="C9662" t="s">
        <v>670</v>
      </c>
      <c r="D9662" t="s">
        <v>1407</v>
      </c>
      <c r="E9662" t="s">
        <v>187</v>
      </c>
      <c r="F9662">
        <v>2016</v>
      </c>
      <c r="G9662">
        <v>127.001847</v>
      </c>
    </row>
    <row r="9663" spans="1:7">
      <c r="A9663" t="s">
        <v>1297</v>
      </c>
      <c r="B9663" t="s">
        <v>1298</v>
      </c>
      <c r="C9663" t="s">
        <v>670</v>
      </c>
      <c r="D9663" t="s">
        <v>1407</v>
      </c>
      <c r="E9663" t="s">
        <v>187</v>
      </c>
      <c r="F9663">
        <v>2020</v>
      </c>
      <c r="G9663">
        <v>114.112465</v>
      </c>
    </row>
    <row r="9664" spans="1:7">
      <c r="A9664" t="s">
        <v>1297</v>
      </c>
      <c r="B9664" t="s">
        <v>1298</v>
      </c>
      <c r="C9664" t="s">
        <v>671</v>
      </c>
      <c r="D9664" t="s">
        <v>1407</v>
      </c>
      <c r="E9664" t="s">
        <v>187</v>
      </c>
      <c r="F9664">
        <v>2005</v>
      </c>
      <c r="G9664">
        <v>336.291</v>
      </c>
    </row>
    <row r="9665" spans="1:7">
      <c r="A9665" t="s">
        <v>1297</v>
      </c>
      <c r="B9665" t="s">
        <v>1298</v>
      </c>
      <c r="C9665" t="s">
        <v>671</v>
      </c>
      <c r="D9665" t="s">
        <v>1407</v>
      </c>
      <c r="E9665" t="s">
        <v>187</v>
      </c>
      <c r="F9665">
        <v>2010</v>
      </c>
      <c r="G9665">
        <v>335.834</v>
      </c>
    </row>
    <row r="9666" spans="1:7">
      <c r="A9666" t="s">
        <v>1297</v>
      </c>
      <c r="B9666" t="s">
        <v>1298</v>
      </c>
      <c r="C9666" t="s">
        <v>671</v>
      </c>
      <c r="D9666" t="s">
        <v>1407</v>
      </c>
      <c r="E9666" t="s">
        <v>187</v>
      </c>
      <c r="F9666">
        <v>2012</v>
      </c>
      <c r="G9666">
        <v>309.04899999999998</v>
      </c>
    </row>
    <row r="9667" spans="1:7">
      <c r="A9667" t="s">
        <v>1297</v>
      </c>
      <c r="B9667" t="s">
        <v>1298</v>
      </c>
      <c r="C9667" t="s">
        <v>671</v>
      </c>
      <c r="D9667" t="s">
        <v>1407</v>
      </c>
      <c r="E9667" t="s">
        <v>187</v>
      </c>
      <c r="F9667">
        <v>2016</v>
      </c>
      <c r="G9667">
        <v>292.8</v>
      </c>
    </row>
    <row r="9668" spans="1:7">
      <c r="A9668" t="s">
        <v>1297</v>
      </c>
      <c r="B9668" t="s">
        <v>1298</v>
      </c>
      <c r="C9668" t="s">
        <v>671</v>
      </c>
      <c r="D9668" t="s">
        <v>1407</v>
      </c>
      <c r="E9668" t="s">
        <v>187</v>
      </c>
      <c r="F9668">
        <v>2020</v>
      </c>
      <c r="G9668">
        <v>287.05111499999998</v>
      </c>
    </row>
    <row r="9669" spans="1:7">
      <c r="A9669" t="s">
        <v>1297</v>
      </c>
      <c r="B9669" t="s">
        <v>1298</v>
      </c>
      <c r="C9669" t="s">
        <v>1301</v>
      </c>
      <c r="D9669" t="s">
        <v>1407</v>
      </c>
      <c r="E9669" t="s">
        <v>187</v>
      </c>
      <c r="F9669">
        <v>2005</v>
      </c>
      <c r="G9669">
        <v>36.637</v>
      </c>
    </row>
    <row r="9670" spans="1:7">
      <c r="A9670" t="s">
        <v>1297</v>
      </c>
      <c r="B9670" t="s">
        <v>1298</v>
      </c>
      <c r="C9670" t="s">
        <v>1301</v>
      </c>
      <c r="D9670" t="s">
        <v>1407</v>
      </c>
      <c r="E9670" t="s">
        <v>187</v>
      </c>
      <c r="F9670">
        <v>2010</v>
      </c>
      <c r="G9670">
        <v>52.81</v>
      </c>
    </row>
    <row r="9671" spans="1:7">
      <c r="A9671" t="s">
        <v>1297</v>
      </c>
      <c r="B9671" t="s">
        <v>1298</v>
      </c>
      <c r="C9671" t="s">
        <v>1301</v>
      </c>
      <c r="D9671" t="s">
        <v>1407</v>
      </c>
      <c r="E9671" t="s">
        <v>187</v>
      </c>
      <c r="F9671">
        <v>2012</v>
      </c>
      <c r="G9671">
        <v>52.81</v>
      </c>
    </row>
    <row r="9672" spans="1:7">
      <c r="A9672" t="s">
        <v>1297</v>
      </c>
      <c r="B9672" t="s">
        <v>1298</v>
      </c>
      <c r="C9672" t="s">
        <v>1301</v>
      </c>
      <c r="D9672" t="s">
        <v>1407</v>
      </c>
      <c r="E9672" t="s">
        <v>187</v>
      </c>
      <c r="F9672">
        <v>2016</v>
      </c>
      <c r="G9672">
        <v>52.899000000000001</v>
      </c>
    </row>
    <row r="9673" spans="1:7">
      <c r="A9673" t="s">
        <v>1297</v>
      </c>
      <c r="B9673" t="s">
        <v>1298</v>
      </c>
      <c r="C9673" t="s">
        <v>1301</v>
      </c>
      <c r="D9673" t="s">
        <v>1407</v>
      </c>
      <c r="E9673" t="s">
        <v>187</v>
      </c>
      <c r="F9673">
        <v>2020</v>
      </c>
      <c r="G9673">
        <v>56.375486000000002</v>
      </c>
    </row>
    <row r="9674" spans="1:7">
      <c r="A9674" t="s">
        <v>1297</v>
      </c>
      <c r="B9674" t="s">
        <v>1298</v>
      </c>
      <c r="C9674" t="s">
        <v>656</v>
      </c>
      <c r="D9674" t="s">
        <v>1407</v>
      </c>
      <c r="E9674" t="s">
        <v>187</v>
      </c>
      <c r="F9674">
        <v>2005</v>
      </c>
      <c r="G9674">
        <v>489.86599999999999</v>
      </c>
    </row>
    <row r="9675" spans="1:7">
      <c r="A9675" t="s">
        <v>1297</v>
      </c>
      <c r="B9675" t="s">
        <v>1298</v>
      </c>
      <c r="C9675" t="s">
        <v>656</v>
      </c>
      <c r="D9675" t="s">
        <v>1407</v>
      </c>
      <c r="E9675" t="s">
        <v>187</v>
      </c>
      <c r="F9675">
        <v>2010</v>
      </c>
      <c r="G9675">
        <v>515.16499999999996</v>
      </c>
    </row>
    <row r="9676" spans="1:7">
      <c r="A9676" t="s">
        <v>1297</v>
      </c>
      <c r="B9676" t="s">
        <v>1298</v>
      </c>
      <c r="C9676" t="s">
        <v>656</v>
      </c>
      <c r="D9676" t="s">
        <v>1407</v>
      </c>
      <c r="E9676" t="s">
        <v>187</v>
      </c>
      <c r="F9676">
        <v>2012</v>
      </c>
      <c r="G9676">
        <v>480.81599999999997</v>
      </c>
    </row>
    <row r="9677" spans="1:7">
      <c r="A9677" t="s">
        <v>1297</v>
      </c>
      <c r="B9677" t="s">
        <v>1298</v>
      </c>
      <c r="C9677" t="s">
        <v>656</v>
      </c>
      <c r="D9677" t="s">
        <v>1407</v>
      </c>
      <c r="E9677" t="s">
        <v>187</v>
      </c>
      <c r="F9677">
        <v>2016</v>
      </c>
      <c r="G9677">
        <v>469.22800000000001</v>
      </c>
    </row>
    <row r="9678" spans="1:7">
      <c r="A9678" t="s">
        <v>1297</v>
      </c>
      <c r="B9678" t="s">
        <v>1298</v>
      </c>
      <c r="C9678" t="s">
        <v>656</v>
      </c>
      <c r="D9678" t="s">
        <v>1407</v>
      </c>
      <c r="E9678" t="s">
        <v>187</v>
      </c>
      <c r="F9678">
        <v>2020</v>
      </c>
      <c r="G9678">
        <v>457.48099999999999</v>
      </c>
    </row>
    <row r="9679" spans="1:7">
      <c r="A9679" t="s">
        <v>1297</v>
      </c>
      <c r="B9679" t="s">
        <v>1298</v>
      </c>
      <c r="C9679" t="s">
        <v>669</v>
      </c>
      <c r="D9679" t="s">
        <v>1407</v>
      </c>
      <c r="E9679" t="s">
        <v>187</v>
      </c>
      <c r="F9679">
        <v>2016</v>
      </c>
      <c r="G9679">
        <v>3.0000000000000001E-3</v>
      </c>
    </row>
    <row r="9680" spans="1:7">
      <c r="A9680" t="s">
        <v>1297</v>
      </c>
      <c r="B9680" t="s">
        <v>1298</v>
      </c>
      <c r="C9680" t="s">
        <v>669</v>
      </c>
      <c r="D9680" t="s">
        <v>1407</v>
      </c>
      <c r="E9680" t="s">
        <v>187</v>
      </c>
      <c r="F9680">
        <v>2020</v>
      </c>
      <c r="G9680">
        <v>8.8099999999999995E-4</v>
      </c>
    </row>
    <row r="9681" spans="1:7">
      <c r="A9681" t="s">
        <v>1297</v>
      </c>
      <c r="B9681" t="s">
        <v>1298</v>
      </c>
      <c r="C9681" t="s">
        <v>676</v>
      </c>
      <c r="D9681" t="s">
        <v>1407</v>
      </c>
      <c r="E9681" t="s">
        <v>187</v>
      </c>
      <c r="F9681">
        <v>2005</v>
      </c>
      <c r="G9681">
        <v>52.545000000000002</v>
      </c>
    </row>
    <row r="9682" spans="1:7">
      <c r="A9682" t="s">
        <v>1297</v>
      </c>
      <c r="B9682" t="s">
        <v>1298</v>
      </c>
      <c r="C9682" t="s">
        <v>676</v>
      </c>
      <c r="D9682" t="s">
        <v>1407</v>
      </c>
      <c r="E9682" t="s">
        <v>187</v>
      </c>
      <c r="F9682">
        <v>2010</v>
      </c>
      <c r="G9682">
        <v>48.582000000000001</v>
      </c>
    </row>
    <row r="9683" spans="1:7">
      <c r="A9683" t="s">
        <v>1297</v>
      </c>
      <c r="B9683" t="s">
        <v>1298</v>
      </c>
      <c r="C9683" t="s">
        <v>676</v>
      </c>
      <c r="D9683" t="s">
        <v>1407</v>
      </c>
      <c r="E9683" t="s">
        <v>187</v>
      </c>
      <c r="F9683">
        <v>2012</v>
      </c>
      <c r="G9683">
        <v>43.170999999999999</v>
      </c>
    </row>
    <row r="9684" spans="1:7">
      <c r="A9684" t="s">
        <v>1297</v>
      </c>
      <c r="B9684" t="s">
        <v>1298</v>
      </c>
      <c r="C9684" t="s">
        <v>676</v>
      </c>
      <c r="D9684" t="s">
        <v>1407</v>
      </c>
      <c r="E9684" t="s">
        <v>187</v>
      </c>
      <c r="F9684">
        <v>2016</v>
      </c>
      <c r="G9684">
        <v>37.515999999999998</v>
      </c>
    </row>
    <row r="9685" spans="1:7">
      <c r="A9685" t="s">
        <v>1297</v>
      </c>
      <c r="B9685" t="s">
        <v>1298</v>
      </c>
      <c r="C9685" t="s">
        <v>676</v>
      </c>
      <c r="D9685" t="s">
        <v>1407</v>
      </c>
      <c r="E9685" t="s">
        <v>187</v>
      </c>
      <c r="F9685">
        <v>2020</v>
      </c>
      <c r="G9685">
        <v>31.271000000000001</v>
      </c>
    </row>
    <row r="9686" spans="1:7">
      <c r="A9686" t="s">
        <v>1297</v>
      </c>
      <c r="B9686" t="s">
        <v>1298</v>
      </c>
      <c r="C9686" t="s">
        <v>657</v>
      </c>
      <c r="D9686" t="s">
        <v>1407</v>
      </c>
      <c r="E9686" t="s">
        <v>187</v>
      </c>
      <c r="F9686">
        <v>2005</v>
      </c>
      <c r="G9686">
        <v>129.029</v>
      </c>
    </row>
    <row r="9687" spans="1:7">
      <c r="A9687" t="s">
        <v>1297</v>
      </c>
      <c r="B9687" t="s">
        <v>1298</v>
      </c>
      <c r="C9687" t="s">
        <v>657</v>
      </c>
      <c r="D9687" t="s">
        <v>1407</v>
      </c>
      <c r="E9687" t="s">
        <v>187</v>
      </c>
      <c r="F9687">
        <v>2010</v>
      </c>
      <c r="G9687">
        <v>150.39782500000001</v>
      </c>
    </row>
    <row r="9688" spans="1:7">
      <c r="A9688" t="s">
        <v>1297</v>
      </c>
      <c r="B9688" t="s">
        <v>1298</v>
      </c>
      <c r="C9688" t="s">
        <v>657</v>
      </c>
      <c r="D9688" t="s">
        <v>1407</v>
      </c>
      <c r="E9688" t="s">
        <v>187</v>
      </c>
      <c r="F9688">
        <v>2012</v>
      </c>
      <c r="G9688">
        <v>135.92032</v>
      </c>
    </row>
    <row r="9689" spans="1:7">
      <c r="A9689" t="s">
        <v>1297</v>
      </c>
      <c r="B9689" t="s">
        <v>1298</v>
      </c>
      <c r="C9689" t="s">
        <v>657</v>
      </c>
      <c r="D9689" t="s">
        <v>1407</v>
      </c>
      <c r="E9689" t="s">
        <v>187</v>
      </c>
      <c r="F9689">
        <v>2016</v>
      </c>
      <c r="G9689">
        <v>134.933953</v>
      </c>
    </row>
    <row r="9690" spans="1:7">
      <c r="A9690" t="s">
        <v>1297</v>
      </c>
      <c r="B9690" t="s">
        <v>1298</v>
      </c>
      <c r="C9690" t="s">
        <v>657</v>
      </c>
      <c r="D9690" t="s">
        <v>1407</v>
      </c>
      <c r="E9690" t="s">
        <v>187</v>
      </c>
      <c r="F9690">
        <v>2020</v>
      </c>
      <c r="G9690">
        <v>131.38262900000001</v>
      </c>
    </row>
    <row r="9691" spans="1:7">
      <c r="A9691" t="s">
        <v>1297</v>
      </c>
      <c r="B9691" t="s">
        <v>1298</v>
      </c>
      <c r="C9691" t="s">
        <v>682</v>
      </c>
      <c r="D9691" t="s">
        <v>1407</v>
      </c>
      <c r="E9691" t="s">
        <v>187</v>
      </c>
      <c r="F9691">
        <v>2016</v>
      </c>
      <c r="G9691">
        <v>5.657</v>
      </c>
    </row>
    <row r="9692" spans="1:7">
      <c r="A9692" t="s">
        <v>1297</v>
      </c>
      <c r="B9692" t="s">
        <v>1298</v>
      </c>
      <c r="C9692" t="s">
        <v>682</v>
      </c>
      <c r="D9692" t="s">
        <v>1407</v>
      </c>
      <c r="E9692" t="s">
        <v>187</v>
      </c>
      <c r="F9692">
        <v>2020</v>
      </c>
      <c r="G9692">
        <v>5.5709999999999997</v>
      </c>
    </row>
    <row r="9693" spans="1:7">
      <c r="A9693" t="s">
        <v>1297</v>
      </c>
      <c r="B9693" t="s">
        <v>1298</v>
      </c>
      <c r="C9693" t="s">
        <v>660</v>
      </c>
      <c r="D9693" t="s">
        <v>1407</v>
      </c>
      <c r="E9693" t="s">
        <v>187</v>
      </c>
      <c r="F9693">
        <v>2005</v>
      </c>
      <c r="G9693">
        <v>179.26499999999999</v>
      </c>
    </row>
    <row r="9694" spans="1:7">
      <c r="A9694" t="s">
        <v>1297</v>
      </c>
      <c r="B9694" t="s">
        <v>1298</v>
      </c>
      <c r="C9694" t="s">
        <v>660</v>
      </c>
      <c r="D9694" t="s">
        <v>1407</v>
      </c>
      <c r="E9694" t="s">
        <v>187</v>
      </c>
      <c r="F9694">
        <v>2010</v>
      </c>
      <c r="G9694">
        <v>210.97300000000001</v>
      </c>
    </row>
    <row r="9695" spans="1:7">
      <c r="A9695" t="s">
        <v>1297</v>
      </c>
      <c r="B9695" t="s">
        <v>1298</v>
      </c>
      <c r="C9695" t="s">
        <v>660</v>
      </c>
      <c r="D9695" t="s">
        <v>1407</v>
      </c>
      <c r="E9695" t="s">
        <v>187</v>
      </c>
      <c r="F9695">
        <v>2012</v>
      </c>
      <c r="G9695">
        <v>199.64400000000001</v>
      </c>
    </row>
    <row r="9696" spans="1:7">
      <c r="A9696" t="s">
        <v>1297</v>
      </c>
      <c r="B9696" t="s">
        <v>1298</v>
      </c>
      <c r="C9696" t="s">
        <v>660</v>
      </c>
      <c r="D9696" t="s">
        <v>1407</v>
      </c>
      <c r="E9696" t="s">
        <v>187</v>
      </c>
      <c r="F9696">
        <v>2016</v>
      </c>
      <c r="G9696">
        <v>195.78800000000001</v>
      </c>
    </row>
    <row r="9697" spans="1:7">
      <c r="A9697" t="s">
        <v>1297</v>
      </c>
      <c r="B9697" t="s">
        <v>1298</v>
      </c>
      <c r="C9697" t="s">
        <v>660</v>
      </c>
      <c r="D9697" t="s">
        <v>1407</v>
      </c>
      <c r="E9697" t="s">
        <v>187</v>
      </c>
      <c r="F9697">
        <v>2020</v>
      </c>
      <c r="G9697">
        <v>185.27500000000001</v>
      </c>
    </row>
    <row r="9698" spans="1:7">
      <c r="A9698" t="s">
        <v>1297</v>
      </c>
      <c r="B9698" t="s">
        <v>1298</v>
      </c>
      <c r="C9698" t="s">
        <v>686</v>
      </c>
      <c r="D9698" t="s">
        <v>1407</v>
      </c>
      <c r="E9698" t="s">
        <v>187</v>
      </c>
      <c r="F9698">
        <v>2005</v>
      </c>
      <c r="G9698">
        <v>48.798999999999999</v>
      </c>
    </row>
    <row r="9699" spans="1:7">
      <c r="A9699" t="s">
        <v>1297</v>
      </c>
      <c r="B9699" t="s">
        <v>1298</v>
      </c>
      <c r="C9699" t="s">
        <v>686</v>
      </c>
      <c r="D9699" t="s">
        <v>1407</v>
      </c>
      <c r="E9699" t="s">
        <v>187</v>
      </c>
      <c r="F9699">
        <v>2010</v>
      </c>
      <c r="G9699">
        <v>38.186999999999998</v>
      </c>
    </row>
    <row r="9700" spans="1:7">
      <c r="A9700" t="s">
        <v>1297</v>
      </c>
      <c r="B9700" t="s">
        <v>1298</v>
      </c>
      <c r="C9700" t="s">
        <v>686</v>
      </c>
      <c r="D9700" t="s">
        <v>1407</v>
      </c>
      <c r="E9700" t="s">
        <v>187</v>
      </c>
      <c r="F9700">
        <v>2012</v>
      </c>
      <c r="G9700">
        <v>35.203000000000003</v>
      </c>
    </row>
    <row r="9701" spans="1:7">
      <c r="A9701" t="s">
        <v>1297</v>
      </c>
      <c r="B9701" t="s">
        <v>1298</v>
      </c>
      <c r="C9701" t="s">
        <v>686</v>
      </c>
      <c r="D9701" t="s">
        <v>1407</v>
      </c>
      <c r="E9701" t="s">
        <v>187</v>
      </c>
      <c r="F9701">
        <v>2016</v>
      </c>
      <c r="G9701">
        <v>36.097000000000001</v>
      </c>
    </row>
    <row r="9702" spans="1:7">
      <c r="A9702" t="s">
        <v>1297</v>
      </c>
      <c r="B9702" t="s">
        <v>1298</v>
      </c>
      <c r="C9702" t="s">
        <v>686</v>
      </c>
      <c r="D9702" t="s">
        <v>1407</v>
      </c>
      <c r="E9702" t="s">
        <v>187</v>
      </c>
      <c r="F9702">
        <v>2020</v>
      </c>
      <c r="G9702">
        <v>33.504266999999999</v>
      </c>
    </row>
    <row r="9703" spans="1:7">
      <c r="A9703" t="s">
        <v>1297</v>
      </c>
      <c r="B9703" t="s">
        <v>1298</v>
      </c>
      <c r="C9703" t="s">
        <v>665</v>
      </c>
      <c r="D9703" t="s">
        <v>1407</v>
      </c>
      <c r="E9703" t="s">
        <v>187</v>
      </c>
      <c r="F9703">
        <v>2005</v>
      </c>
      <c r="G9703">
        <v>193.06399999999999</v>
      </c>
    </row>
    <row r="9704" spans="1:7">
      <c r="A9704" t="s">
        <v>1297</v>
      </c>
      <c r="B9704" t="s">
        <v>1298</v>
      </c>
      <c r="C9704" t="s">
        <v>665</v>
      </c>
      <c r="D9704" t="s">
        <v>1407</v>
      </c>
      <c r="E9704" t="s">
        <v>187</v>
      </c>
      <c r="F9704">
        <v>2010</v>
      </c>
      <c r="G9704">
        <v>205.34100000000001</v>
      </c>
    </row>
    <row r="9705" spans="1:7">
      <c r="A9705" t="s">
        <v>1297</v>
      </c>
      <c r="B9705" t="s">
        <v>1298</v>
      </c>
      <c r="C9705" t="s">
        <v>665</v>
      </c>
      <c r="D9705" t="s">
        <v>1407</v>
      </c>
      <c r="E9705" t="s">
        <v>187</v>
      </c>
      <c r="F9705">
        <v>2012</v>
      </c>
      <c r="G9705">
        <v>206.98599999999999</v>
      </c>
    </row>
    <row r="9706" spans="1:7">
      <c r="A9706" t="s">
        <v>1297</v>
      </c>
      <c r="B9706" t="s">
        <v>1298</v>
      </c>
      <c r="C9706" t="s">
        <v>665</v>
      </c>
      <c r="D9706" t="s">
        <v>1407</v>
      </c>
      <c r="E9706" t="s">
        <v>187</v>
      </c>
      <c r="F9706">
        <v>2016</v>
      </c>
      <c r="G9706">
        <v>223.85</v>
      </c>
    </row>
    <row r="9707" spans="1:7">
      <c r="A9707" t="s">
        <v>1297</v>
      </c>
      <c r="B9707" t="s">
        <v>1298</v>
      </c>
      <c r="C9707" t="s">
        <v>665</v>
      </c>
      <c r="D9707" t="s">
        <v>1407</v>
      </c>
      <c r="E9707" t="s">
        <v>187</v>
      </c>
      <c r="F9707">
        <v>2020</v>
      </c>
      <c r="G9707">
        <v>231.40117499999999</v>
      </c>
    </row>
    <row r="9708" spans="1:7">
      <c r="A9708" t="s">
        <v>1297</v>
      </c>
      <c r="B9708" t="s">
        <v>1298</v>
      </c>
      <c r="C9708" t="s">
        <v>1302</v>
      </c>
      <c r="D9708" t="s">
        <v>1407</v>
      </c>
      <c r="E9708" t="s">
        <v>187</v>
      </c>
      <c r="F9708">
        <v>2005</v>
      </c>
      <c r="G9708">
        <v>0.41099999999999998</v>
      </c>
    </row>
    <row r="9709" spans="1:7">
      <c r="A9709" t="s">
        <v>1297</v>
      </c>
      <c r="B9709" t="s">
        <v>1298</v>
      </c>
      <c r="C9709" t="s">
        <v>1302</v>
      </c>
      <c r="D9709" t="s">
        <v>1407</v>
      </c>
      <c r="E9709" t="s">
        <v>187</v>
      </c>
      <c r="F9709">
        <v>2010</v>
      </c>
      <c r="G9709">
        <v>0.23100000000000001</v>
      </c>
    </row>
    <row r="9710" spans="1:7">
      <c r="A9710" t="s">
        <v>1297</v>
      </c>
      <c r="B9710" t="s">
        <v>1298</v>
      </c>
      <c r="C9710" t="s">
        <v>1302</v>
      </c>
      <c r="D9710" t="s">
        <v>1407</v>
      </c>
      <c r="E9710" t="s">
        <v>187</v>
      </c>
      <c r="F9710">
        <v>2012</v>
      </c>
      <c r="G9710">
        <v>0.19500000000000001</v>
      </c>
    </row>
    <row r="9711" spans="1:7">
      <c r="A9711" t="s">
        <v>1297</v>
      </c>
      <c r="B9711" t="s">
        <v>1298</v>
      </c>
      <c r="C9711" t="s">
        <v>1302</v>
      </c>
      <c r="D9711" t="s">
        <v>1407</v>
      </c>
      <c r="E9711" t="s">
        <v>187</v>
      </c>
      <c r="F9711">
        <v>2016</v>
      </c>
      <c r="G9711">
        <v>0.79500000000000004</v>
      </c>
    </row>
    <row r="9712" spans="1:7">
      <c r="A9712" t="s">
        <v>1297</v>
      </c>
      <c r="B9712" t="s">
        <v>1298</v>
      </c>
      <c r="C9712" t="s">
        <v>1302</v>
      </c>
      <c r="D9712" t="s">
        <v>1407</v>
      </c>
      <c r="E9712" t="s">
        <v>187</v>
      </c>
      <c r="F9712">
        <v>2020</v>
      </c>
      <c r="G9712">
        <v>0.85804499999999995</v>
      </c>
    </row>
    <row r="9713" spans="1:7">
      <c r="A9713" t="s">
        <v>1297</v>
      </c>
      <c r="B9713" t="s">
        <v>1298</v>
      </c>
      <c r="C9713" t="s">
        <v>654</v>
      </c>
      <c r="D9713" t="s">
        <v>1407</v>
      </c>
      <c r="E9713" t="s">
        <v>187</v>
      </c>
      <c r="F9713">
        <v>2010</v>
      </c>
      <c r="G9713">
        <v>5.0000000000000001E-3</v>
      </c>
    </row>
    <row r="9714" spans="1:7">
      <c r="A9714" t="s">
        <v>1297</v>
      </c>
      <c r="B9714" t="s">
        <v>1298</v>
      </c>
      <c r="C9714" t="s">
        <v>654</v>
      </c>
      <c r="D9714" t="s">
        <v>1407</v>
      </c>
      <c r="E9714" t="s">
        <v>187</v>
      </c>
      <c r="F9714">
        <v>2012</v>
      </c>
      <c r="G9714">
        <v>3.1E-2</v>
      </c>
    </row>
    <row r="9715" spans="1:7">
      <c r="A9715" t="s">
        <v>1297</v>
      </c>
      <c r="B9715" t="s">
        <v>1298</v>
      </c>
      <c r="C9715" t="s">
        <v>654</v>
      </c>
      <c r="D9715" t="s">
        <v>1407</v>
      </c>
      <c r="E9715" t="s">
        <v>187</v>
      </c>
      <c r="F9715">
        <v>2016</v>
      </c>
      <c r="G9715">
        <v>0.05</v>
      </c>
    </row>
    <row r="9716" spans="1:7">
      <c r="A9716" t="s">
        <v>1297</v>
      </c>
      <c r="B9716" t="s">
        <v>1298</v>
      </c>
      <c r="C9716" t="s">
        <v>654</v>
      </c>
      <c r="D9716" t="s">
        <v>1407</v>
      </c>
      <c r="E9716" t="s">
        <v>187</v>
      </c>
      <c r="F9716">
        <v>2020</v>
      </c>
      <c r="G9716">
        <v>5.1471999999999997E-2</v>
      </c>
    </row>
    <row r="9717" spans="1:7">
      <c r="A9717" t="s">
        <v>1297</v>
      </c>
      <c r="B9717" t="s">
        <v>1298</v>
      </c>
      <c r="C9717" t="s">
        <v>669</v>
      </c>
      <c r="D9717" t="s">
        <v>1407</v>
      </c>
      <c r="E9717" t="s">
        <v>187</v>
      </c>
      <c r="F9717">
        <v>2012</v>
      </c>
      <c r="G9717">
        <v>8.0000000000000002E-3</v>
      </c>
    </row>
    <row r="9718" spans="1:7">
      <c r="A9718" t="s">
        <v>1297</v>
      </c>
      <c r="B9718" t="s">
        <v>1298</v>
      </c>
      <c r="C9718" t="s">
        <v>658</v>
      </c>
      <c r="D9718" t="s">
        <v>1407</v>
      </c>
      <c r="E9718" t="s">
        <v>187</v>
      </c>
      <c r="F9718">
        <v>2005</v>
      </c>
      <c r="G9718">
        <v>26.777000000000001</v>
      </c>
    </row>
    <row r="9719" spans="1:7">
      <c r="A9719" t="s">
        <v>1297</v>
      </c>
      <c r="B9719" t="s">
        <v>1298</v>
      </c>
      <c r="C9719" t="s">
        <v>658</v>
      </c>
      <c r="D9719" t="s">
        <v>1407</v>
      </c>
      <c r="E9719" t="s">
        <v>187</v>
      </c>
      <c r="F9719">
        <v>2010</v>
      </c>
      <c r="G9719">
        <v>25.547999999999998</v>
      </c>
    </row>
    <row r="9720" spans="1:7">
      <c r="A9720" t="s">
        <v>1297</v>
      </c>
      <c r="B9720" t="s">
        <v>1298</v>
      </c>
      <c r="C9720" t="s">
        <v>658</v>
      </c>
      <c r="D9720" t="s">
        <v>1407</v>
      </c>
      <c r="E9720" t="s">
        <v>187</v>
      </c>
      <c r="F9720">
        <v>2012</v>
      </c>
      <c r="G9720">
        <v>24.472999999999999</v>
      </c>
    </row>
    <row r="9721" spans="1:7">
      <c r="A9721" t="s">
        <v>1297</v>
      </c>
      <c r="B9721" t="s">
        <v>1298</v>
      </c>
      <c r="C9721" t="s">
        <v>658</v>
      </c>
      <c r="D9721" t="s">
        <v>1407</v>
      </c>
      <c r="E9721" t="s">
        <v>187</v>
      </c>
      <c r="F9721">
        <v>2016</v>
      </c>
      <c r="G9721">
        <v>24.141680999999998</v>
      </c>
    </row>
    <row r="9722" spans="1:7">
      <c r="A9722" t="s">
        <v>1297</v>
      </c>
      <c r="B9722" t="s">
        <v>1298</v>
      </c>
      <c r="C9722" t="s">
        <v>658</v>
      </c>
      <c r="D9722" t="s">
        <v>1407</v>
      </c>
      <c r="E9722" t="s">
        <v>187</v>
      </c>
      <c r="F9722">
        <v>2020</v>
      </c>
      <c r="G9722">
        <v>21.958181</v>
      </c>
    </row>
    <row r="9723" spans="1:7">
      <c r="A9723" t="s">
        <v>1297</v>
      </c>
      <c r="B9723" t="s">
        <v>1298</v>
      </c>
      <c r="C9723" t="s">
        <v>668</v>
      </c>
      <c r="D9723" t="s">
        <v>1407</v>
      </c>
      <c r="E9723" t="s">
        <v>187</v>
      </c>
      <c r="F9723">
        <v>2005</v>
      </c>
      <c r="G9723">
        <v>31.143999999999998</v>
      </c>
    </row>
    <row r="9724" spans="1:7">
      <c r="A9724" t="s">
        <v>1297</v>
      </c>
      <c r="B9724" t="s">
        <v>1298</v>
      </c>
      <c r="C9724" t="s">
        <v>668</v>
      </c>
      <c r="D9724" t="s">
        <v>1407</v>
      </c>
      <c r="E9724" t="s">
        <v>187</v>
      </c>
      <c r="F9724">
        <v>2010</v>
      </c>
      <c r="G9724">
        <v>28.661999999999999</v>
      </c>
    </row>
    <row r="9725" spans="1:7">
      <c r="A9725" t="s">
        <v>1297</v>
      </c>
      <c r="B9725" t="s">
        <v>1298</v>
      </c>
      <c r="C9725" t="s">
        <v>668</v>
      </c>
      <c r="D9725" t="s">
        <v>1407</v>
      </c>
      <c r="E9725" t="s">
        <v>187</v>
      </c>
      <c r="F9725">
        <v>2012</v>
      </c>
      <c r="G9725">
        <v>26.856999999999999</v>
      </c>
    </row>
    <row r="9726" spans="1:7">
      <c r="A9726" t="s">
        <v>1297</v>
      </c>
      <c r="B9726" t="s">
        <v>1298</v>
      </c>
      <c r="C9726" t="s">
        <v>668</v>
      </c>
      <c r="D9726" t="s">
        <v>1407</v>
      </c>
      <c r="E9726" t="s">
        <v>187</v>
      </c>
      <c r="F9726">
        <v>2016</v>
      </c>
      <c r="G9726">
        <v>28.966999999999999</v>
      </c>
    </row>
    <row r="9727" spans="1:7">
      <c r="A9727" t="s">
        <v>1297</v>
      </c>
      <c r="B9727" t="s">
        <v>1298</v>
      </c>
      <c r="C9727" t="s">
        <v>668</v>
      </c>
      <c r="D9727" t="s">
        <v>1407</v>
      </c>
      <c r="E9727" t="s">
        <v>187</v>
      </c>
      <c r="F9727">
        <v>2020</v>
      </c>
      <c r="G9727">
        <v>28.612175000000001</v>
      </c>
    </row>
    <row r="9728" spans="1:7">
      <c r="A9728" t="s">
        <v>1297</v>
      </c>
      <c r="B9728" t="s">
        <v>1298</v>
      </c>
      <c r="C9728" t="s">
        <v>653</v>
      </c>
      <c r="D9728" t="s">
        <v>1407</v>
      </c>
      <c r="E9728" t="s">
        <v>187</v>
      </c>
      <c r="F9728">
        <v>2005</v>
      </c>
      <c r="G9728">
        <v>52.110999999999997</v>
      </c>
    </row>
    <row r="9729" spans="1:7">
      <c r="A9729" t="s">
        <v>1297</v>
      </c>
      <c r="B9729" t="s">
        <v>1298</v>
      </c>
      <c r="C9729" t="s">
        <v>653</v>
      </c>
      <c r="D9729" t="s">
        <v>1407</v>
      </c>
      <c r="E9729" t="s">
        <v>187</v>
      </c>
      <c r="F9729">
        <v>2010</v>
      </c>
      <c r="G9729">
        <v>59.35</v>
      </c>
    </row>
    <row r="9730" spans="1:7">
      <c r="A9730" t="s">
        <v>1297</v>
      </c>
      <c r="B9730" t="s">
        <v>1298</v>
      </c>
      <c r="C9730" t="s">
        <v>653</v>
      </c>
      <c r="D9730" t="s">
        <v>1407</v>
      </c>
      <c r="E9730" t="s">
        <v>187</v>
      </c>
      <c r="F9730">
        <v>2012</v>
      </c>
      <c r="G9730">
        <v>57.823999999999998</v>
      </c>
    </row>
    <row r="9731" spans="1:7">
      <c r="A9731" t="s">
        <v>1297</v>
      </c>
      <c r="B9731" t="s">
        <v>1298</v>
      </c>
      <c r="C9731" t="s">
        <v>653</v>
      </c>
      <c r="D9731" t="s">
        <v>1407</v>
      </c>
      <c r="E9731" t="s">
        <v>187</v>
      </c>
      <c r="F9731">
        <v>2016</v>
      </c>
      <c r="G9731">
        <v>48.201999999999998</v>
      </c>
    </row>
    <row r="9732" spans="1:7">
      <c r="A9732" t="s">
        <v>1297</v>
      </c>
      <c r="B9732" t="s">
        <v>1298</v>
      </c>
      <c r="C9732" t="s">
        <v>653</v>
      </c>
      <c r="D9732" t="s">
        <v>1407</v>
      </c>
      <c r="E9732" t="s">
        <v>187</v>
      </c>
      <c r="F9732">
        <v>2020</v>
      </c>
      <c r="G9732">
        <v>38.797072</v>
      </c>
    </row>
    <row r="9733" spans="1:7">
      <c r="A9733" t="s">
        <v>1297</v>
      </c>
      <c r="B9733" t="s">
        <v>1298</v>
      </c>
      <c r="C9733" t="s">
        <v>680</v>
      </c>
      <c r="D9733" t="s">
        <v>1407</v>
      </c>
      <c r="E9733" t="s">
        <v>187</v>
      </c>
      <c r="F9733">
        <v>2005</v>
      </c>
      <c r="G9733">
        <v>19.744</v>
      </c>
    </row>
    <row r="9734" spans="1:7">
      <c r="A9734" t="s">
        <v>1297</v>
      </c>
      <c r="B9734" t="s">
        <v>1298</v>
      </c>
      <c r="C9734" t="s">
        <v>680</v>
      </c>
      <c r="D9734" t="s">
        <v>1407</v>
      </c>
      <c r="E9734" t="s">
        <v>187</v>
      </c>
      <c r="F9734">
        <v>2010</v>
      </c>
      <c r="G9734">
        <v>21.548999999999999</v>
      </c>
    </row>
    <row r="9735" spans="1:7">
      <c r="A9735" t="s">
        <v>1297</v>
      </c>
      <c r="B9735" t="s">
        <v>1298</v>
      </c>
      <c r="C9735" t="s">
        <v>680</v>
      </c>
      <c r="D9735" t="s">
        <v>1407</v>
      </c>
      <c r="E9735" t="s">
        <v>187</v>
      </c>
      <c r="F9735">
        <v>2012</v>
      </c>
      <c r="G9735">
        <v>22.933</v>
      </c>
    </row>
    <row r="9736" spans="1:7">
      <c r="A9736" t="s">
        <v>1297</v>
      </c>
      <c r="B9736" t="s">
        <v>1298</v>
      </c>
      <c r="C9736" t="s">
        <v>680</v>
      </c>
      <c r="D9736" t="s">
        <v>1407</v>
      </c>
      <c r="E9736" t="s">
        <v>187</v>
      </c>
      <c r="F9736">
        <v>2016</v>
      </c>
      <c r="G9736">
        <v>27.900200000000002</v>
      </c>
    </row>
    <row r="9737" spans="1:7">
      <c r="A9737" t="s">
        <v>1297</v>
      </c>
      <c r="B9737" t="s">
        <v>1298</v>
      </c>
      <c r="C9737" t="s">
        <v>680</v>
      </c>
      <c r="D9737" t="s">
        <v>1407</v>
      </c>
      <c r="E9737" t="s">
        <v>187</v>
      </c>
      <c r="F9737">
        <v>2020</v>
      </c>
      <c r="G9737">
        <v>34.002353999999997</v>
      </c>
    </row>
    <row r="9738" spans="1:7">
      <c r="A9738" t="s">
        <v>1297</v>
      </c>
      <c r="B9738" t="s">
        <v>1298</v>
      </c>
      <c r="C9738" t="s">
        <v>663</v>
      </c>
      <c r="D9738" t="s">
        <v>1407</v>
      </c>
      <c r="E9738" t="s">
        <v>187</v>
      </c>
      <c r="F9738">
        <v>2005</v>
      </c>
      <c r="G9738">
        <v>63.597000000000001</v>
      </c>
    </row>
    <row r="9739" spans="1:7">
      <c r="A9739" t="s">
        <v>1297</v>
      </c>
      <c r="B9739" t="s">
        <v>1298</v>
      </c>
      <c r="C9739" t="s">
        <v>663</v>
      </c>
      <c r="D9739" t="s">
        <v>1407</v>
      </c>
      <c r="E9739" t="s">
        <v>187</v>
      </c>
      <c r="F9739">
        <v>2010</v>
      </c>
      <c r="G9739">
        <v>52.984000000000002</v>
      </c>
    </row>
    <row r="9740" spans="1:7">
      <c r="A9740" t="s">
        <v>1297</v>
      </c>
      <c r="B9740" t="s">
        <v>1298</v>
      </c>
      <c r="C9740" t="s">
        <v>663</v>
      </c>
      <c r="D9740" t="s">
        <v>1407</v>
      </c>
      <c r="E9740" t="s">
        <v>187</v>
      </c>
      <c r="F9740">
        <v>2012</v>
      </c>
      <c r="G9740">
        <v>49.502000000000002</v>
      </c>
    </row>
    <row r="9741" spans="1:7">
      <c r="A9741" t="s">
        <v>1297</v>
      </c>
      <c r="B9741" t="s">
        <v>1298</v>
      </c>
      <c r="C9741" t="s">
        <v>663</v>
      </c>
      <c r="D9741" t="s">
        <v>1407</v>
      </c>
      <c r="E9741" t="s">
        <v>187</v>
      </c>
      <c r="F9741">
        <v>2016</v>
      </c>
      <c r="G9741">
        <v>53.765999999999998</v>
      </c>
    </row>
    <row r="9742" spans="1:7">
      <c r="A9742" t="s">
        <v>1297</v>
      </c>
      <c r="B9742" t="s">
        <v>1298</v>
      </c>
      <c r="C9742" t="s">
        <v>663</v>
      </c>
      <c r="D9742" t="s">
        <v>1407</v>
      </c>
      <c r="E9742" t="s">
        <v>187</v>
      </c>
      <c r="F9742">
        <v>2020</v>
      </c>
      <c r="G9742">
        <v>48.453000000000003</v>
      </c>
    </row>
    <row r="9743" spans="1:7">
      <c r="A9743" t="s">
        <v>1297</v>
      </c>
      <c r="B9743" t="s">
        <v>1298</v>
      </c>
      <c r="C9743" t="s">
        <v>652</v>
      </c>
      <c r="D9743" t="s">
        <v>1407</v>
      </c>
      <c r="E9743" t="s">
        <v>187</v>
      </c>
      <c r="F9743">
        <v>2005</v>
      </c>
      <c r="G9743">
        <v>22.366</v>
      </c>
    </row>
    <row r="9744" spans="1:7">
      <c r="A9744" t="s">
        <v>1297</v>
      </c>
      <c r="B9744" t="s">
        <v>1298</v>
      </c>
      <c r="C9744" t="s">
        <v>652</v>
      </c>
      <c r="D9744" t="s">
        <v>1407</v>
      </c>
      <c r="E9744" t="s">
        <v>187</v>
      </c>
      <c r="F9744">
        <v>2010</v>
      </c>
      <c r="G9744">
        <v>42.498600000000003</v>
      </c>
    </row>
    <row r="9745" spans="1:7">
      <c r="A9745" t="s">
        <v>1297</v>
      </c>
      <c r="B9745" t="s">
        <v>1298</v>
      </c>
      <c r="C9745" t="s">
        <v>652</v>
      </c>
      <c r="D9745" t="s">
        <v>1407</v>
      </c>
      <c r="E9745" t="s">
        <v>187</v>
      </c>
      <c r="F9745">
        <v>2012</v>
      </c>
      <c r="G9745">
        <v>40.487099999999998</v>
      </c>
    </row>
    <row r="9746" spans="1:7">
      <c r="A9746" t="s">
        <v>1297</v>
      </c>
      <c r="B9746" t="s">
        <v>1298</v>
      </c>
      <c r="C9746" t="s">
        <v>652</v>
      </c>
      <c r="D9746" t="s">
        <v>1407</v>
      </c>
      <c r="E9746" t="s">
        <v>187</v>
      </c>
      <c r="F9746">
        <v>2016</v>
      </c>
      <c r="G9746">
        <v>36.765099999999997</v>
      </c>
    </row>
    <row r="9747" spans="1:7">
      <c r="A9747" t="s">
        <v>1297</v>
      </c>
      <c r="B9747" t="s">
        <v>1298</v>
      </c>
      <c r="C9747" t="s">
        <v>652</v>
      </c>
      <c r="D9747" t="s">
        <v>1407</v>
      </c>
      <c r="E9747" t="s">
        <v>187</v>
      </c>
      <c r="F9747">
        <v>2020</v>
      </c>
      <c r="G9747">
        <v>30.8721</v>
      </c>
    </row>
    <row r="9748" spans="1:7">
      <c r="A9748" t="s">
        <v>1297</v>
      </c>
      <c r="B9748" t="s">
        <v>1298</v>
      </c>
      <c r="C9748" t="s">
        <v>662</v>
      </c>
      <c r="D9748" t="s">
        <v>1407</v>
      </c>
      <c r="E9748" t="s">
        <v>187</v>
      </c>
      <c r="F9748">
        <v>2005</v>
      </c>
      <c r="G9748">
        <v>2.0489999999999999</v>
      </c>
    </row>
    <row r="9749" spans="1:7">
      <c r="A9749" t="s">
        <v>1297</v>
      </c>
      <c r="B9749" t="s">
        <v>1298</v>
      </c>
      <c r="C9749" t="s">
        <v>662</v>
      </c>
      <c r="D9749" t="s">
        <v>1407</v>
      </c>
      <c r="E9749" t="s">
        <v>187</v>
      </c>
      <c r="F9749">
        <v>2010</v>
      </c>
      <c r="G9749">
        <v>1.9410000000000001</v>
      </c>
    </row>
    <row r="9750" spans="1:7">
      <c r="A9750" t="s">
        <v>1297</v>
      </c>
      <c r="B9750" t="s">
        <v>1298</v>
      </c>
      <c r="C9750" t="s">
        <v>662</v>
      </c>
      <c r="D9750" t="s">
        <v>1407</v>
      </c>
      <c r="E9750" t="s">
        <v>187</v>
      </c>
      <c r="F9750">
        <v>2012</v>
      </c>
      <c r="G9750">
        <v>1.889</v>
      </c>
    </row>
    <row r="9751" spans="1:7">
      <c r="A9751" t="s">
        <v>1297</v>
      </c>
      <c r="B9751" t="s">
        <v>1298</v>
      </c>
      <c r="C9751" t="s">
        <v>662</v>
      </c>
      <c r="D9751" t="s">
        <v>1407</v>
      </c>
      <c r="E9751" t="s">
        <v>187</v>
      </c>
      <c r="F9751">
        <v>2016</v>
      </c>
      <c r="G9751">
        <v>2.1339999999999999</v>
      </c>
    </row>
    <row r="9752" spans="1:7">
      <c r="A9752" t="s">
        <v>1297</v>
      </c>
      <c r="B9752" t="s">
        <v>1298</v>
      </c>
      <c r="C9752" t="s">
        <v>662</v>
      </c>
      <c r="D9752" t="s">
        <v>1407</v>
      </c>
      <c r="E9752" t="s">
        <v>187</v>
      </c>
      <c r="F9752">
        <v>2020</v>
      </c>
      <c r="G9752">
        <v>2.2028799999999999</v>
      </c>
    </row>
    <row r="9753" spans="1:7">
      <c r="A9753" t="s">
        <v>1297</v>
      </c>
      <c r="B9753" t="s">
        <v>1298</v>
      </c>
      <c r="C9753" t="s">
        <v>655</v>
      </c>
      <c r="D9753" t="s">
        <v>1407</v>
      </c>
      <c r="E9753" t="s">
        <v>187</v>
      </c>
      <c r="F9753">
        <v>2005</v>
      </c>
      <c r="G9753">
        <v>139.23599999999999</v>
      </c>
    </row>
    <row r="9754" spans="1:7">
      <c r="A9754" t="s">
        <v>1297</v>
      </c>
      <c r="B9754" t="s">
        <v>1298</v>
      </c>
      <c r="C9754" t="s">
        <v>655</v>
      </c>
      <c r="D9754" t="s">
        <v>1407</v>
      </c>
      <c r="E9754" t="s">
        <v>187</v>
      </c>
      <c r="F9754">
        <v>2010</v>
      </c>
      <c r="G9754">
        <v>148.6</v>
      </c>
    </row>
    <row r="9755" spans="1:7">
      <c r="A9755" t="s">
        <v>1297</v>
      </c>
      <c r="B9755" t="s">
        <v>1298</v>
      </c>
      <c r="C9755" t="s">
        <v>655</v>
      </c>
      <c r="D9755" t="s">
        <v>1407</v>
      </c>
      <c r="E9755" t="s">
        <v>187</v>
      </c>
      <c r="F9755">
        <v>2012</v>
      </c>
      <c r="G9755">
        <v>136.203</v>
      </c>
    </row>
    <row r="9756" spans="1:7">
      <c r="A9756" t="s">
        <v>1297</v>
      </c>
      <c r="B9756" t="s">
        <v>1298</v>
      </c>
      <c r="C9756" t="s">
        <v>655</v>
      </c>
      <c r="D9756" t="s">
        <v>1407</v>
      </c>
      <c r="E9756" t="s">
        <v>187</v>
      </c>
      <c r="F9756">
        <v>2016</v>
      </c>
      <c r="G9756">
        <v>127.586</v>
      </c>
    </row>
    <row r="9757" spans="1:7">
      <c r="A9757" t="s">
        <v>1297</v>
      </c>
      <c r="B9757" t="s">
        <v>1298</v>
      </c>
      <c r="C9757" t="s">
        <v>655</v>
      </c>
      <c r="D9757" t="s">
        <v>1407</v>
      </c>
      <c r="E9757" t="s">
        <v>187</v>
      </c>
      <c r="F9757">
        <v>2020</v>
      </c>
      <c r="G9757">
        <v>116.390342</v>
      </c>
    </row>
    <row r="9758" spans="1:7">
      <c r="A9758" t="s">
        <v>1297</v>
      </c>
      <c r="B9758" t="s">
        <v>1298</v>
      </c>
      <c r="C9758" t="s">
        <v>655</v>
      </c>
      <c r="D9758" t="s">
        <v>1408</v>
      </c>
      <c r="E9758" t="s">
        <v>187</v>
      </c>
      <c r="F9758">
        <v>2005</v>
      </c>
      <c r="G9758">
        <v>89.020799999999994</v>
      </c>
    </row>
    <row r="9759" spans="1:7">
      <c r="A9759" t="s">
        <v>1297</v>
      </c>
      <c r="B9759" t="s">
        <v>1298</v>
      </c>
      <c r="C9759" t="s">
        <v>655</v>
      </c>
      <c r="D9759" t="s">
        <v>1408</v>
      </c>
      <c r="E9759" t="s">
        <v>187</v>
      </c>
      <c r="F9759">
        <v>2010</v>
      </c>
      <c r="G9759">
        <v>100.7928</v>
      </c>
    </row>
    <row r="9760" spans="1:7">
      <c r="A9760" t="s">
        <v>1297</v>
      </c>
      <c r="B9760" t="s">
        <v>1298</v>
      </c>
      <c r="C9760" t="s">
        <v>655</v>
      </c>
      <c r="D9760" t="s">
        <v>1408</v>
      </c>
      <c r="E9760" t="s">
        <v>187</v>
      </c>
      <c r="F9760">
        <v>2012</v>
      </c>
      <c r="G9760">
        <v>109.1664</v>
      </c>
    </row>
    <row r="9761" spans="1:7">
      <c r="A9761" t="s">
        <v>1297</v>
      </c>
      <c r="B9761" t="s">
        <v>1298</v>
      </c>
      <c r="C9761" t="s">
        <v>655</v>
      </c>
      <c r="D9761" t="s">
        <v>1408</v>
      </c>
      <c r="E9761" t="s">
        <v>187</v>
      </c>
      <c r="F9761">
        <v>2016</v>
      </c>
      <c r="G9761">
        <v>86.7744</v>
      </c>
    </row>
    <row r="9762" spans="1:7">
      <c r="A9762" t="s">
        <v>1297</v>
      </c>
      <c r="B9762" t="s">
        <v>1298</v>
      </c>
      <c r="C9762" t="s">
        <v>655</v>
      </c>
      <c r="D9762" t="s">
        <v>1408</v>
      </c>
      <c r="E9762" t="s">
        <v>187</v>
      </c>
      <c r="F9762">
        <v>2020</v>
      </c>
      <c r="G9762">
        <v>108.886352</v>
      </c>
    </row>
    <row r="9763" spans="1:7">
      <c r="A9763" t="s">
        <v>1297</v>
      </c>
      <c r="B9763" t="s">
        <v>1298</v>
      </c>
      <c r="C9763" t="s">
        <v>675</v>
      </c>
      <c r="D9763" t="s">
        <v>1408</v>
      </c>
      <c r="E9763" t="s">
        <v>187</v>
      </c>
      <c r="F9763">
        <v>2005</v>
      </c>
      <c r="G9763">
        <v>21.182400000000001</v>
      </c>
    </row>
    <row r="9764" spans="1:7">
      <c r="A9764" t="s">
        <v>1297</v>
      </c>
      <c r="B9764" t="s">
        <v>1298</v>
      </c>
      <c r="C9764" t="s">
        <v>675</v>
      </c>
      <c r="D9764" t="s">
        <v>1408</v>
      </c>
      <c r="E9764" t="s">
        <v>187</v>
      </c>
      <c r="F9764">
        <v>2010</v>
      </c>
      <c r="G9764">
        <v>20.365200000000002</v>
      </c>
    </row>
    <row r="9765" spans="1:7">
      <c r="A9765" t="s">
        <v>1297</v>
      </c>
      <c r="B9765" t="s">
        <v>1298</v>
      </c>
      <c r="C9765" t="s">
        <v>675</v>
      </c>
      <c r="D9765" t="s">
        <v>1408</v>
      </c>
      <c r="E9765" t="s">
        <v>187</v>
      </c>
      <c r="F9765">
        <v>2012</v>
      </c>
      <c r="G9765">
        <v>19.9008</v>
      </c>
    </row>
    <row r="9766" spans="1:7">
      <c r="A9766" t="s">
        <v>1297</v>
      </c>
      <c r="B9766" t="s">
        <v>1298</v>
      </c>
      <c r="C9766" t="s">
        <v>675</v>
      </c>
      <c r="D9766" t="s">
        <v>1408</v>
      </c>
      <c r="E9766" t="s">
        <v>187</v>
      </c>
      <c r="F9766">
        <v>2016</v>
      </c>
      <c r="G9766">
        <v>20.574000000000002</v>
      </c>
    </row>
    <row r="9767" spans="1:7">
      <c r="A9767" t="s">
        <v>1297</v>
      </c>
      <c r="B9767" t="s">
        <v>1298</v>
      </c>
      <c r="C9767" t="s">
        <v>675</v>
      </c>
      <c r="D9767" t="s">
        <v>1408</v>
      </c>
      <c r="E9767" t="s">
        <v>187</v>
      </c>
      <c r="F9767">
        <v>2020</v>
      </c>
      <c r="G9767">
        <v>20.956524999999999</v>
      </c>
    </row>
    <row r="9768" spans="1:7">
      <c r="A9768" t="s">
        <v>1297</v>
      </c>
      <c r="B9768" t="s">
        <v>1298</v>
      </c>
      <c r="C9768" t="s">
        <v>676</v>
      </c>
      <c r="D9768" t="s">
        <v>1408</v>
      </c>
      <c r="E9768" t="s">
        <v>187</v>
      </c>
      <c r="F9768">
        <v>2005</v>
      </c>
      <c r="G9768">
        <v>63.8172</v>
      </c>
    </row>
    <row r="9769" spans="1:7">
      <c r="A9769" t="s">
        <v>1297</v>
      </c>
      <c r="B9769" t="s">
        <v>1298</v>
      </c>
      <c r="C9769" t="s">
        <v>676</v>
      </c>
      <c r="D9769" t="s">
        <v>1408</v>
      </c>
      <c r="E9769" t="s">
        <v>187</v>
      </c>
      <c r="F9769">
        <v>2010</v>
      </c>
      <c r="G9769">
        <v>52.4664</v>
      </c>
    </row>
    <row r="9770" spans="1:7">
      <c r="A9770" t="s">
        <v>1297</v>
      </c>
      <c r="B9770" t="s">
        <v>1298</v>
      </c>
      <c r="C9770" t="s">
        <v>676</v>
      </c>
      <c r="D9770" t="s">
        <v>1408</v>
      </c>
      <c r="E9770" t="s">
        <v>187</v>
      </c>
      <c r="F9770">
        <v>2012</v>
      </c>
      <c r="G9770">
        <v>55.781999999999996</v>
      </c>
    </row>
    <row r="9771" spans="1:7">
      <c r="A9771" t="s">
        <v>1297</v>
      </c>
      <c r="B9771" t="s">
        <v>1298</v>
      </c>
      <c r="C9771" t="s">
        <v>676</v>
      </c>
      <c r="D9771" t="s">
        <v>1408</v>
      </c>
      <c r="E9771" t="s">
        <v>187</v>
      </c>
      <c r="F9771">
        <v>2016</v>
      </c>
      <c r="G9771">
        <v>53.186399999999999</v>
      </c>
    </row>
    <row r="9772" spans="1:7">
      <c r="A9772" t="s">
        <v>1297</v>
      </c>
      <c r="B9772" t="s">
        <v>1298</v>
      </c>
      <c r="C9772" t="s">
        <v>676</v>
      </c>
      <c r="D9772" t="s">
        <v>1408</v>
      </c>
      <c r="E9772" t="s">
        <v>187</v>
      </c>
      <c r="F9772">
        <v>2020</v>
      </c>
      <c r="G9772">
        <v>55.0152</v>
      </c>
    </row>
    <row r="9773" spans="1:7">
      <c r="A9773" t="s">
        <v>1297</v>
      </c>
      <c r="B9773" t="s">
        <v>1298</v>
      </c>
      <c r="C9773" t="s">
        <v>659</v>
      </c>
      <c r="D9773" t="s">
        <v>1408</v>
      </c>
      <c r="E9773" t="s">
        <v>187</v>
      </c>
      <c r="F9773">
        <v>2005</v>
      </c>
      <c r="G9773">
        <v>207.1404</v>
      </c>
    </row>
    <row r="9774" spans="1:7">
      <c r="A9774" t="s">
        <v>1297</v>
      </c>
      <c r="B9774" t="s">
        <v>1298</v>
      </c>
      <c r="C9774" t="s">
        <v>659</v>
      </c>
      <c r="D9774" t="s">
        <v>1408</v>
      </c>
      <c r="E9774" t="s">
        <v>187</v>
      </c>
      <c r="F9774">
        <v>2010</v>
      </c>
      <c r="G9774">
        <v>223.16399999999999</v>
      </c>
    </row>
    <row r="9775" spans="1:7">
      <c r="A9775" t="s">
        <v>1297</v>
      </c>
      <c r="B9775" t="s">
        <v>1298</v>
      </c>
      <c r="C9775" t="s">
        <v>659</v>
      </c>
      <c r="D9775" t="s">
        <v>1408</v>
      </c>
      <c r="E9775" t="s">
        <v>187</v>
      </c>
      <c r="F9775">
        <v>2012</v>
      </c>
      <c r="G9775">
        <v>221.292</v>
      </c>
    </row>
    <row r="9776" spans="1:7">
      <c r="A9776" t="s">
        <v>1297</v>
      </c>
      <c r="B9776" t="s">
        <v>1298</v>
      </c>
      <c r="C9776" t="s">
        <v>659</v>
      </c>
      <c r="D9776" t="s">
        <v>1408</v>
      </c>
      <c r="E9776" t="s">
        <v>187</v>
      </c>
      <c r="F9776">
        <v>2016</v>
      </c>
      <c r="G9776">
        <v>211.0788</v>
      </c>
    </row>
    <row r="9777" spans="1:7">
      <c r="A9777" t="s">
        <v>1297</v>
      </c>
      <c r="B9777" t="s">
        <v>1298</v>
      </c>
      <c r="C9777" t="s">
        <v>659</v>
      </c>
      <c r="D9777" t="s">
        <v>1408</v>
      </c>
      <c r="E9777" t="s">
        <v>187</v>
      </c>
      <c r="F9777">
        <v>2020</v>
      </c>
      <c r="G9777">
        <v>210.0564</v>
      </c>
    </row>
    <row r="9778" spans="1:7">
      <c r="A9778" t="s">
        <v>1297</v>
      </c>
      <c r="B9778" t="s">
        <v>1298</v>
      </c>
      <c r="C9778" t="s">
        <v>652</v>
      </c>
      <c r="D9778" t="s">
        <v>1408</v>
      </c>
      <c r="E9778" t="s">
        <v>187</v>
      </c>
      <c r="F9778">
        <v>2005</v>
      </c>
      <c r="G9778">
        <v>171.34200000000001</v>
      </c>
    </row>
    <row r="9779" spans="1:7">
      <c r="A9779" t="s">
        <v>1297</v>
      </c>
      <c r="B9779" t="s">
        <v>1298</v>
      </c>
      <c r="C9779" t="s">
        <v>652</v>
      </c>
      <c r="D9779" t="s">
        <v>1408</v>
      </c>
      <c r="E9779" t="s">
        <v>187</v>
      </c>
      <c r="F9779">
        <v>2010</v>
      </c>
      <c r="G9779">
        <v>172.5984</v>
      </c>
    </row>
    <row r="9780" spans="1:7">
      <c r="A9780" t="s">
        <v>1297</v>
      </c>
      <c r="B9780" t="s">
        <v>1298</v>
      </c>
      <c r="C9780" t="s">
        <v>652</v>
      </c>
      <c r="D9780" t="s">
        <v>1408</v>
      </c>
      <c r="E9780" t="s">
        <v>187</v>
      </c>
      <c r="F9780">
        <v>2012</v>
      </c>
      <c r="G9780">
        <v>145.06200000000001</v>
      </c>
    </row>
    <row r="9781" spans="1:7">
      <c r="A9781" t="s">
        <v>1297</v>
      </c>
      <c r="B9781" t="s">
        <v>1298</v>
      </c>
      <c r="C9781" t="s">
        <v>652</v>
      </c>
      <c r="D9781" t="s">
        <v>1408</v>
      </c>
      <c r="E9781" t="s">
        <v>187</v>
      </c>
      <c r="F9781">
        <v>2016</v>
      </c>
      <c r="G9781">
        <v>156.68279999999999</v>
      </c>
    </row>
    <row r="9782" spans="1:7">
      <c r="A9782" t="s">
        <v>1297</v>
      </c>
      <c r="B9782" t="s">
        <v>1298</v>
      </c>
      <c r="C9782" t="s">
        <v>652</v>
      </c>
      <c r="D9782" t="s">
        <v>1408</v>
      </c>
      <c r="E9782" t="s">
        <v>187</v>
      </c>
      <c r="F9782">
        <v>2020</v>
      </c>
      <c r="G9782">
        <v>156.68495999999999</v>
      </c>
    </row>
    <row r="9783" spans="1:7">
      <c r="A9783" t="s">
        <v>1297</v>
      </c>
      <c r="B9783" t="s">
        <v>1298</v>
      </c>
      <c r="C9783" t="s">
        <v>656</v>
      </c>
      <c r="D9783" t="s">
        <v>1408</v>
      </c>
      <c r="E9783" t="s">
        <v>187</v>
      </c>
      <c r="F9783">
        <v>2005</v>
      </c>
      <c r="G9783">
        <v>586.99800000000005</v>
      </c>
    </row>
    <row r="9784" spans="1:7">
      <c r="A9784" t="s">
        <v>1297</v>
      </c>
      <c r="B9784" t="s">
        <v>1298</v>
      </c>
      <c r="C9784" t="s">
        <v>656</v>
      </c>
      <c r="D9784" t="s">
        <v>1408</v>
      </c>
      <c r="E9784" t="s">
        <v>187</v>
      </c>
      <c r="F9784">
        <v>2010</v>
      </c>
      <c r="G9784">
        <v>506.0016</v>
      </c>
    </row>
    <row r="9785" spans="1:7">
      <c r="A9785" t="s">
        <v>1297</v>
      </c>
      <c r="B9785" t="s">
        <v>1298</v>
      </c>
      <c r="C9785" t="s">
        <v>656</v>
      </c>
      <c r="D9785" t="s">
        <v>1408</v>
      </c>
      <c r="E9785" t="s">
        <v>187</v>
      </c>
      <c r="F9785">
        <v>2012</v>
      </c>
      <c r="G9785">
        <v>358.05599999999998</v>
      </c>
    </row>
    <row r="9786" spans="1:7">
      <c r="A9786" t="s">
        <v>1297</v>
      </c>
      <c r="B9786" t="s">
        <v>1298</v>
      </c>
      <c r="C9786" t="s">
        <v>656</v>
      </c>
      <c r="D9786" t="s">
        <v>1408</v>
      </c>
      <c r="E9786" t="s">
        <v>187</v>
      </c>
      <c r="F9786">
        <v>2016</v>
      </c>
      <c r="G9786">
        <v>304.68239999999997</v>
      </c>
    </row>
    <row r="9787" spans="1:7">
      <c r="A9787" t="s">
        <v>1297</v>
      </c>
      <c r="B9787" t="s">
        <v>1298</v>
      </c>
      <c r="C9787" t="s">
        <v>656</v>
      </c>
      <c r="D9787" t="s">
        <v>1408</v>
      </c>
      <c r="E9787" t="s">
        <v>187</v>
      </c>
      <c r="F9787">
        <v>2020</v>
      </c>
      <c r="G9787">
        <v>270.25560000000002</v>
      </c>
    </row>
    <row r="9788" spans="1:7">
      <c r="A9788" t="s">
        <v>1297</v>
      </c>
      <c r="B9788" t="s">
        <v>1298</v>
      </c>
      <c r="C9788" t="s">
        <v>670</v>
      </c>
      <c r="D9788" t="s">
        <v>1408</v>
      </c>
      <c r="E9788" t="s">
        <v>187</v>
      </c>
      <c r="F9788">
        <v>2005</v>
      </c>
      <c r="G9788">
        <v>14.389200000000001</v>
      </c>
    </row>
    <row r="9789" spans="1:7">
      <c r="A9789" t="s">
        <v>1297</v>
      </c>
      <c r="B9789" t="s">
        <v>1298</v>
      </c>
      <c r="C9789" t="s">
        <v>670</v>
      </c>
      <c r="D9789" t="s">
        <v>1408</v>
      </c>
      <c r="E9789" t="s">
        <v>187</v>
      </c>
      <c r="F9789">
        <v>2010</v>
      </c>
      <c r="G9789">
        <v>14.288399999999999</v>
      </c>
    </row>
    <row r="9790" spans="1:7">
      <c r="A9790" t="s">
        <v>1297</v>
      </c>
      <c r="B9790" t="s">
        <v>1298</v>
      </c>
      <c r="C9790" t="s">
        <v>670</v>
      </c>
      <c r="D9790" t="s">
        <v>1408</v>
      </c>
      <c r="E9790" t="s">
        <v>187</v>
      </c>
      <c r="F9790">
        <v>2012</v>
      </c>
      <c r="G9790">
        <v>14.093999999999999</v>
      </c>
    </row>
    <row r="9791" spans="1:7">
      <c r="A9791" t="s">
        <v>1297</v>
      </c>
      <c r="B9791" t="s">
        <v>1298</v>
      </c>
      <c r="C9791" t="s">
        <v>670</v>
      </c>
      <c r="D9791" t="s">
        <v>1408</v>
      </c>
      <c r="E9791" t="s">
        <v>187</v>
      </c>
      <c r="F9791">
        <v>2016</v>
      </c>
      <c r="G9791">
        <v>14.257001000000001</v>
      </c>
    </row>
    <row r="9792" spans="1:7">
      <c r="A9792" t="s">
        <v>1297</v>
      </c>
      <c r="B9792" t="s">
        <v>1298</v>
      </c>
      <c r="C9792" t="s">
        <v>670</v>
      </c>
      <c r="D9792" t="s">
        <v>1408</v>
      </c>
      <c r="E9792" t="s">
        <v>187</v>
      </c>
      <c r="F9792">
        <v>2020</v>
      </c>
      <c r="G9792">
        <v>14.075093000000001</v>
      </c>
    </row>
    <row r="9793" spans="1:7">
      <c r="A9793" t="s">
        <v>1297</v>
      </c>
      <c r="B9793" t="s">
        <v>1298</v>
      </c>
      <c r="C9793" t="s">
        <v>677</v>
      </c>
      <c r="D9793" t="s">
        <v>1408</v>
      </c>
      <c r="E9793" t="s">
        <v>187</v>
      </c>
      <c r="F9793">
        <v>2005</v>
      </c>
      <c r="G9793">
        <v>293.82479999999998</v>
      </c>
    </row>
    <row r="9794" spans="1:7">
      <c r="A9794" t="s">
        <v>1297</v>
      </c>
      <c r="B9794" t="s">
        <v>1298</v>
      </c>
      <c r="C9794" t="s">
        <v>677</v>
      </c>
      <c r="D9794" t="s">
        <v>1408</v>
      </c>
      <c r="E9794" t="s">
        <v>187</v>
      </c>
      <c r="F9794">
        <v>2010</v>
      </c>
      <c r="G9794">
        <v>223.70400000000001</v>
      </c>
    </row>
    <row r="9795" spans="1:7">
      <c r="A9795" t="s">
        <v>1297</v>
      </c>
      <c r="B9795" t="s">
        <v>1298</v>
      </c>
      <c r="C9795" t="s">
        <v>677</v>
      </c>
      <c r="D9795" t="s">
        <v>1408</v>
      </c>
      <c r="E9795" t="s">
        <v>187</v>
      </c>
      <c r="F9795">
        <v>2012</v>
      </c>
      <c r="G9795">
        <v>253.458</v>
      </c>
    </row>
    <row r="9796" spans="1:7">
      <c r="A9796" t="s">
        <v>1297</v>
      </c>
      <c r="B9796" t="s">
        <v>1298</v>
      </c>
      <c r="C9796" t="s">
        <v>677</v>
      </c>
      <c r="D9796" t="s">
        <v>1408</v>
      </c>
      <c r="E9796" t="s">
        <v>187</v>
      </c>
      <c r="F9796">
        <v>2016</v>
      </c>
      <c r="G9796">
        <v>258.21389199999999</v>
      </c>
    </row>
    <row r="9797" spans="1:7">
      <c r="A9797" t="s">
        <v>1297</v>
      </c>
      <c r="B9797" t="s">
        <v>1298</v>
      </c>
      <c r="C9797" t="s">
        <v>677</v>
      </c>
      <c r="D9797" t="s">
        <v>1408</v>
      </c>
      <c r="E9797" t="s">
        <v>187</v>
      </c>
      <c r="F9797">
        <v>2020</v>
      </c>
      <c r="G9797">
        <v>202.26216199999999</v>
      </c>
    </row>
    <row r="9798" spans="1:7">
      <c r="A9798" t="s">
        <v>1297</v>
      </c>
      <c r="B9798" t="s">
        <v>1298</v>
      </c>
      <c r="C9798" t="s">
        <v>1299</v>
      </c>
      <c r="D9798" t="s">
        <v>1408</v>
      </c>
      <c r="E9798" t="s">
        <v>187</v>
      </c>
      <c r="F9798">
        <v>2005</v>
      </c>
      <c r="G9798">
        <v>319.52159999999998</v>
      </c>
    </row>
    <row r="9799" spans="1:7">
      <c r="A9799" t="s">
        <v>1297</v>
      </c>
      <c r="B9799" t="s">
        <v>1298</v>
      </c>
      <c r="C9799" t="s">
        <v>1299</v>
      </c>
      <c r="D9799" t="s">
        <v>1408</v>
      </c>
      <c r="E9799" t="s">
        <v>187</v>
      </c>
      <c r="F9799">
        <v>2010</v>
      </c>
      <c r="G9799">
        <v>320.94720000000001</v>
      </c>
    </row>
    <row r="9800" spans="1:7">
      <c r="A9800" t="s">
        <v>1297</v>
      </c>
      <c r="B9800" t="s">
        <v>1298</v>
      </c>
      <c r="C9800" t="s">
        <v>1299</v>
      </c>
      <c r="D9800" t="s">
        <v>1408</v>
      </c>
      <c r="E9800" t="s">
        <v>187</v>
      </c>
      <c r="F9800">
        <v>2012</v>
      </c>
      <c r="G9800">
        <v>324.4932</v>
      </c>
    </row>
    <row r="9801" spans="1:7">
      <c r="A9801" t="s">
        <v>1297</v>
      </c>
      <c r="B9801" t="s">
        <v>1298</v>
      </c>
      <c r="C9801" t="s">
        <v>1299</v>
      </c>
      <c r="D9801" t="s">
        <v>1408</v>
      </c>
      <c r="E9801" t="s">
        <v>187</v>
      </c>
      <c r="F9801">
        <v>2016</v>
      </c>
      <c r="G9801">
        <v>291.42</v>
      </c>
    </row>
    <row r="9802" spans="1:7">
      <c r="A9802" t="s">
        <v>1297</v>
      </c>
      <c r="B9802" t="s">
        <v>1298</v>
      </c>
      <c r="C9802" t="s">
        <v>1299</v>
      </c>
      <c r="D9802" t="s">
        <v>1408</v>
      </c>
      <c r="E9802" t="s">
        <v>187</v>
      </c>
      <c r="F9802">
        <v>2020</v>
      </c>
      <c r="G9802">
        <v>298.80972000000003</v>
      </c>
    </row>
    <row r="9803" spans="1:7">
      <c r="A9803" t="s">
        <v>1297</v>
      </c>
      <c r="B9803" t="s">
        <v>1298</v>
      </c>
      <c r="C9803" t="s">
        <v>666</v>
      </c>
      <c r="D9803" t="s">
        <v>1408</v>
      </c>
      <c r="E9803" t="s">
        <v>187</v>
      </c>
      <c r="F9803">
        <v>2005</v>
      </c>
      <c r="G9803">
        <v>37.213200000000001</v>
      </c>
    </row>
    <row r="9804" spans="1:7">
      <c r="A9804" t="s">
        <v>1297</v>
      </c>
      <c r="B9804" t="s">
        <v>1298</v>
      </c>
      <c r="C9804" t="s">
        <v>653</v>
      </c>
      <c r="D9804" t="s">
        <v>1408</v>
      </c>
      <c r="E9804" t="s">
        <v>187</v>
      </c>
      <c r="F9804">
        <v>2005</v>
      </c>
      <c r="G9804">
        <v>67.150800000000004</v>
      </c>
    </row>
    <row r="9805" spans="1:7">
      <c r="A9805" t="s">
        <v>1297</v>
      </c>
      <c r="B9805" t="s">
        <v>1298</v>
      </c>
      <c r="C9805" t="s">
        <v>653</v>
      </c>
      <c r="D9805" t="s">
        <v>1408</v>
      </c>
      <c r="E9805" t="s">
        <v>187</v>
      </c>
      <c r="F9805">
        <v>2010</v>
      </c>
      <c r="G9805">
        <v>54.8964</v>
      </c>
    </row>
    <row r="9806" spans="1:7">
      <c r="A9806" t="s">
        <v>1297</v>
      </c>
      <c r="B9806" t="s">
        <v>1298</v>
      </c>
      <c r="C9806" t="s">
        <v>653</v>
      </c>
      <c r="D9806" t="s">
        <v>1408</v>
      </c>
      <c r="E9806" t="s">
        <v>187</v>
      </c>
      <c r="F9806">
        <v>2012</v>
      </c>
      <c r="G9806">
        <v>56.826000000000001</v>
      </c>
    </row>
    <row r="9807" spans="1:7">
      <c r="A9807" t="s">
        <v>1297</v>
      </c>
      <c r="B9807" t="s">
        <v>1298</v>
      </c>
      <c r="C9807" t="s">
        <v>653</v>
      </c>
      <c r="D9807" t="s">
        <v>1408</v>
      </c>
      <c r="E9807" t="s">
        <v>187</v>
      </c>
      <c r="F9807">
        <v>2016</v>
      </c>
      <c r="G9807">
        <v>56.793599999999998</v>
      </c>
    </row>
    <row r="9808" spans="1:7">
      <c r="A9808" t="s">
        <v>1297</v>
      </c>
      <c r="B9808" t="s">
        <v>1298</v>
      </c>
      <c r="C9808" t="s">
        <v>653</v>
      </c>
      <c r="D9808" t="s">
        <v>1408</v>
      </c>
      <c r="E9808" t="s">
        <v>187</v>
      </c>
      <c r="F9808">
        <v>2020</v>
      </c>
      <c r="G9808">
        <v>59.599037000000003</v>
      </c>
    </row>
    <row r="9809" spans="1:7">
      <c r="A9809" t="s">
        <v>1297</v>
      </c>
      <c r="B9809" t="s">
        <v>1298</v>
      </c>
      <c r="C9809" t="s">
        <v>660</v>
      </c>
      <c r="D9809" t="s">
        <v>1408</v>
      </c>
      <c r="E9809" t="s">
        <v>187</v>
      </c>
      <c r="F9809">
        <v>2005</v>
      </c>
      <c r="G9809">
        <v>83.775599999999997</v>
      </c>
    </row>
    <row r="9810" spans="1:7">
      <c r="A9810" t="s">
        <v>1297</v>
      </c>
      <c r="B9810" t="s">
        <v>1298</v>
      </c>
      <c r="C9810" t="s">
        <v>660</v>
      </c>
      <c r="D9810" t="s">
        <v>1408</v>
      </c>
      <c r="E9810" t="s">
        <v>187</v>
      </c>
      <c r="F9810">
        <v>2010</v>
      </c>
      <c r="G9810">
        <v>82.08</v>
      </c>
    </row>
    <row r="9811" spans="1:7">
      <c r="A9811" t="s">
        <v>1297</v>
      </c>
      <c r="B9811" t="s">
        <v>1298</v>
      </c>
      <c r="C9811" t="s">
        <v>660</v>
      </c>
      <c r="D9811" t="s">
        <v>1408</v>
      </c>
      <c r="E9811" t="s">
        <v>187</v>
      </c>
      <c r="F9811">
        <v>2012</v>
      </c>
      <c r="G9811">
        <v>82.753200000000007</v>
      </c>
    </row>
    <row r="9812" spans="1:7">
      <c r="A9812" t="s">
        <v>1297</v>
      </c>
      <c r="B9812" t="s">
        <v>1298</v>
      </c>
      <c r="C9812" t="s">
        <v>660</v>
      </c>
      <c r="D9812" t="s">
        <v>1408</v>
      </c>
      <c r="E9812" t="s">
        <v>187</v>
      </c>
      <c r="F9812">
        <v>2016</v>
      </c>
      <c r="G9812">
        <v>83.530799999999999</v>
      </c>
    </row>
    <row r="9813" spans="1:7">
      <c r="A9813" t="s">
        <v>1297</v>
      </c>
      <c r="B9813" t="s">
        <v>1298</v>
      </c>
      <c r="C9813" t="s">
        <v>660</v>
      </c>
      <c r="D9813" t="s">
        <v>1408</v>
      </c>
      <c r="E9813" t="s">
        <v>187</v>
      </c>
      <c r="F9813">
        <v>2020</v>
      </c>
      <c r="G9813">
        <v>85.932000000000002</v>
      </c>
    </row>
    <row r="9814" spans="1:7">
      <c r="A9814" t="s">
        <v>1297</v>
      </c>
      <c r="B9814" t="s">
        <v>1298</v>
      </c>
      <c r="C9814" t="s">
        <v>674</v>
      </c>
      <c r="D9814" t="s">
        <v>1408</v>
      </c>
      <c r="E9814" t="s">
        <v>187</v>
      </c>
      <c r="F9814">
        <v>2005</v>
      </c>
      <c r="G9814">
        <v>260.55720000000002</v>
      </c>
    </row>
    <row r="9815" spans="1:7">
      <c r="A9815" t="s">
        <v>1297</v>
      </c>
      <c r="B9815" t="s">
        <v>1298</v>
      </c>
      <c r="C9815" t="s">
        <v>674</v>
      </c>
      <c r="D9815" t="s">
        <v>1408</v>
      </c>
      <c r="E9815" t="s">
        <v>187</v>
      </c>
      <c r="F9815">
        <v>2010</v>
      </c>
      <c r="G9815">
        <v>208.1808</v>
      </c>
    </row>
    <row r="9816" spans="1:7">
      <c r="A9816" t="s">
        <v>1297</v>
      </c>
      <c r="B9816" t="s">
        <v>1298</v>
      </c>
      <c r="C9816" t="s">
        <v>674</v>
      </c>
      <c r="D9816" t="s">
        <v>1408</v>
      </c>
      <c r="E9816" t="s">
        <v>187</v>
      </c>
      <c r="F9816">
        <v>2012</v>
      </c>
      <c r="G9816">
        <v>230.53319999999999</v>
      </c>
    </row>
    <row r="9817" spans="1:7">
      <c r="A9817" t="s">
        <v>1297</v>
      </c>
      <c r="B9817" t="s">
        <v>1298</v>
      </c>
      <c r="C9817" t="s">
        <v>674</v>
      </c>
      <c r="D9817" t="s">
        <v>1408</v>
      </c>
      <c r="E9817" t="s">
        <v>187</v>
      </c>
      <c r="F9817">
        <v>2016</v>
      </c>
      <c r="G9817">
        <v>227.1636</v>
      </c>
    </row>
    <row r="9818" spans="1:7">
      <c r="A9818" t="s">
        <v>1297</v>
      </c>
      <c r="B9818" t="s">
        <v>1298</v>
      </c>
      <c r="C9818" t="s">
        <v>674</v>
      </c>
      <c r="D9818" t="s">
        <v>1408</v>
      </c>
      <c r="E9818" t="s">
        <v>187</v>
      </c>
      <c r="F9818">
        <v>2020</v>
      </c>
      <c r="G9818">
        <v>238.06800000000001</v>
      </c>
    </row>
    <row r="9819" spans="1:7">
      <c r="A9819" t="s">
        <v>1297</v>
      </c>
      <c r="B9819" t="s">
        <v>1298</v>
      </c>
      <c r="C9819" t="s">
        <v>673</v>
      </c>
      <c r="D9819" t="s">
        <v>1408</v>
      </c>
      <c r="E9819" t="s">
        <v>187</v>
      </c>
      <c r="F9819">
        <v>2005</v>
      </c>
      <c r="G9819">
        <v>19.998000000000001</v>
      </c>
    </row>
    <row r="9820" spans="1:7">
      <c r="A9820" t="s">
        <v>1297</v>
      </c>
      <c r="B9820" t="s">
        <v>1298</v>
      </c>
      <c r="C9820" t="s">
        <v>673</v>
      </c>
      <c r="D9820" t="s">
        <v>1408</v>
      </c>
      <c r="E9820" t="s">
        <v>187</v>
      </c>
      <c r="F9820">
        <v>2010</v>
      </c>
      <c r="G9820">
        <v>41.842799999999997</v>
      </c>
    </row>
    <row r="9821" spans="1:7">
      <c r="A9821" t="s">
        <v>1297</v>
      </c>
      <c r="B9821" t="s">
        <v>1298</v>
      </c>
      <c r="C9821" t="s">
        <v>673</v>
      </c>
      <c r="D9821" t="s">
        <v>1408</v>
      </c>
      <c r="E9821" t="s">
        <v>187</v>
      </c>
      <c r="F9821">
        <v>2012</v>
      </c>
      <c r="G9821">
        <v>41.2776</v>
      </c>
    </row>
    <row r="9822" spans="1:7">
      <c r="A9822" t="s">
        <v>1297</v>
      </c>
      <c r="B9822" t="s">
        <v>1298</v>
      </c>
      <c r="C9822" t="s">
        <v>673</v>
      </c>
      <c r="D9822" t="s">
        <v>1408</v>
      </c>
      <c r="E9822" t="s">
        <v>187</v>
      </c>
      <c r="F9822">
        <v>2016</v>
      </c>
      <c r="G9822">
        <v>40.629600000000003</v>
      </c>
    </row>
    <row r="9823" spans="1:7">
      <c r="A9823" t="s">
        <v>1297</v>
      </c>
      <c r="B9823" t="s">
        <v>1298</v>
      </c>
      <c r="C9823" t="s">
        <v>673</v>
      </c>
      <c r="D9823" t="s">
        <v>1408</v>
      </c>
      <c r="E9823" t="s">
        <v>187</v>
      </c>
      <c r="F9823">
        <v>2020</v>
      </c>
      <c r="G9823">
        <v>40.608601</v>
      </c>
    </row>
    <row r="9824" spans="1:7">
      <c r="A9824" t="s">
        <v>1297</v>
      </c>
      <c r="B9824" t="s">
        <v>1298</v>
      </c>
      <c r="C9824" t="s">
        <v>663</v>
      </c>
      <c r="D9824" t="s">
        <v>1408</v>
      </c>
      <c r="E9824" t="s">
        <v>187</v>
      </c>
      <c r="F9824">
        <v>2005</v>
      </c>
      <c r="G9824">
        <v>49.802399999999999</v>
      </c>
    </row>
    <row r="9825" spans="1:7">
      <c r="A9825" t="s">
        <v>1297</v>
      </c>
      <c r="B9825" t="s">
        <v>1298</v>
      </c>
      <c r="C9825" t="s">
        <v>663</v>
      </c>
      <c r="D9825" t="s">
        <v>1408</v>
      </c>
      <c r="E9825" t="s">
        <v>187</v>
      </c>
      <c r="F9825">
        <v>2010</v>
      </c>
      <c r="G9825">
        <v>56.739600000000003</v>
      </c>
    </row>
    <row r="9826" spans="1:7">
      <c r="A9826" t="s">
        <v>1297</v>
      </c>
      <c r="B9826" t="s">
        <v>1298</v>
      </c>
      <c r="C9826" t="s">
        <v>663</v>
      </c>
      <c r="D9826" t="s">
        <v>1408</v>
      </c>
      <c r="E9826" t="s">
        <v>187</v>
      </c>
      <c r="F9826">
        <v>2012</v>
      </c>
      <c r="G9826">
        <v>56.854799999999997</v>
      </c>
    </row>
    <row r="9827" spans="1:7">
      <c r="A9827" t="s">
        <v>1297</v>
      </c>
      <c r="B9827" t="s">
        <v>1298</v>
      </c>
      <c r="C9827" t="s">
        <v>663</v>
      </c>
      <c r="D9827" t="s">
        <v>1408</v>
      </c>
      <c r="E9827" t="s">
        <v>187</v>
      </c>
      <c r="F9827">
        <v>2016</v>
      </c>
      <c r="G9827">
        <v>57.794400000000003</v>
      </c>
    </row>
    <row r="9828" spans="1:7">
      <c r="A9828" t="s">
        <v>1297</v>
      </c>
      <c r="B9828" t="s">
        <v>1298</v>
      </c>
      <c r="C9828" t="s">
        <v>663</v>
      </c>
      <c r="D9828" t="s">
        <v>1408</v>
      </c>
      <c r="E9828" t="s">
        <v>187</v>
      </c>
      <c r="F9828">
        <v>2020</v>
      </c>
      <c r="G9828">
        <v>58.636800000000001</v>
      </c>
    </row>
    <row r="9829" spans="1:7">
      <c r="A9829" t="s">
        <v>1297</v>
      </c>
      <c r="B9829" t="s">
        <v>1298</v>
      </c>
      <c r="C9829" t="s">
        <v>661</v>
      </c>
      <c r="D9829" t="s">
        <v>1408</v>
      </c>
      <c r="E9829" t="s">
        <v>187</v>
      </c>
      <c r="F9829">
        <v>2005</v>
      </c>
      <c r="G9829">
        <v>1625.5044</v>
      </c>
    </row>
    <row r="9830" spans="1:7">
      <c r="A9830" t="s">
        <v>1297</v>
      </c>
      <c r="B9830" t="s">
        <v>1298</v>
      </c>
      <c r="C9830" t="s">
        <v>661</v>
      </c>
      <c r="D9830" t="s">
        <v>1408</v>
      </c>
      <c r="E9830" t="s">
        <v>187</v>
      </c>
      <c r="F9830">
        <v>2010</v>
      </c>
      <c r="G9830">
        <v>1542.6756</v>
      </c>
    </row>
    <row r="9831" spans="1:7">
      <c r="A9831" t="s">
        <v>1297</v>
      </c>
      <c r="B9831" t="s">
        <v>1298</v>
      </c>
      <c r="C9831" t="s">
        <v>661</v>
      </c>
      <c r="D9831" t="s">
        <v>1408</v>
      </c>
      <c r="E9831" t="s">
        <v>187</v>
      </c>
      <c r="F9831">
        <v>2012</v>
      </c>
      <c r="G9831">
        <v>1531.461661</v>
      </c>
    </row>
    <row r="9832" spans="1:7">
      <c r="A9832" t="s">
        <v>1297</v>
      </c>
      <c r="B9832" t="s">
        <v>1298</v>
      </c>
      <c r="C9832" t="s">
        <v>661</v>
      </c>
      <c r="D9832" t="s">
        <v>1408</v>
      </c>
      <c r="E9832" t="s">
        <v>187</v>
      </c>
      <c r="F9832">
        <v>2016</v>
      </c>
      <c r="G9832">
        <v>1451.503735</v>
      </c>
    </row>
    <row r="9833" spans="1:7">
      <c r="A9833" t="s">
        <v>1297</v>
      </c>
      <c r="B9833" t="s">
        <v>1298</v>
      </c>
      <c r="C9833" t="s">
        <v>661</v>
      </c>
      <c r="D9833" t="s">
        <v>1408</v>
      </c>
      <c r="E9833" t="s">
        <v>187</v>
      </c>
      <c r="F9833">
        <v>2020</v>
      </c>
      <c r="G9833">
        <v>1436.4417129999999</v>
      </c>
    </row>
    <row r="9834" spans="1:7">
      <c r="A9834" t="s">
        <v>1297</v>
      </c>
      <c r="B9834" t="s">
        <v>1298</v>
      </c>
      <c r="C9834" t="s">
        <v>653</v>
      </c>
      <c r="D9834" t="s">
        <v>1409</v>
      </c>
      <c r="E9834" t="s">
        <v>187</v>
      </c>
      <c r="F9834">
        <v>2010</v>
      </c>
      <c r="G9834">
        <v>0.94299999999999995</v>
      </c>
    </row>
    <row r="9835" spans="1:7">
      <c r="A9835" t="s">
        <v>1297</v>
      </c>
      <c r="B9835" t="s">
        <v>1298</v>
      </c>
      <c r="C9835" t="s">
        <v>653</v>
      </c>
      <c r="D9835" t="s">
        <v>1409</v>
      </c>
      <c r="E9835" t="s">
        <v>187</v>
      </c>
      <c r="F9835">
        <v>2012</v>
      </c>
      <c r="G9835">
        <v>0.94</v>
      </c>
    </row>
    <row r="9836" spans="1:7">
      <c r="A9836" t="s">
        <v>1297</v>
      </c>
      <c r="B9836" t="s">
        <v>1298</v>
      </c>
      <c r="C9836" t="s">
        <v>653</v>
      </c>
      <c r="D9836" t="s">
        <v>1409</v>
      </c>
      <c r="E9836" t="s">
        <v>187</v>
      </c>
      <c r="F9836">
        <v>2016</v>
      </c>
      <c r="G9836">
        <v>0.61199999999999999</v>
      </c>
    </row>
    <row r="9837" spans="1:7">
      <c r="A9837" t="s">
        <v>1297</v>
      </c>
      <c r="B9837" t="s">
        <v>1298</v>
      </c>
      <c r="C9837" t="s">
        <v>653</v>
      </c>
      <c r="D9837" t="s">
        <v>1409</v>
      </c>
      <c r="E9837" t="s">
        <v>187</v>
      </c>
      <c r="F9837">
        <v>2020</v>
      </c>
      <c r="G9837">
        <v>0.66008900000000004</v>
      </c>
    </row>
    <row r="9838" spans="1:7">
      <c r="A9838" t="s">
        <v>1297</v>
      </c>
      <c r="B9838" t="s">
        <v>1298</v>
      </c>
      <c r="C9838" t="s">
        <v>663</v>
      </c>
      <c r="D9838" t="s">
        <v>1409</v>
      </c>
      <c r="E9838" t="s">
        <v>187</v>
      </c>
      <c r="F9838">
        <v>2005</v>
      </c>
      <c r="G9838">
        <v>0.66900000000000004</v>
      </c>
    </row>
    <row r="9839" spans="1:7">
      <c r="A9839" t="s">
        <v>1297</v>
      </c>
      <c r="B9839" t="s">
        <v>1298</v>
      </c>
      <c r="C9839" t="s">
        <v>663</v>
      </c>
      <c r="D9839" t="s">
        <v>1409</v>
      </c>
      <c r="E9839" t="s">
        <v>187</v>
      </c>
      <c r="F9839">
        <v>2010</v>
      </c>
      <c r="G9839">
        <v>0.502</v>
      </c>
    </row>
    <row r="9840" spans="1:7">
      <c r="A9840" t="s">
        <v>1297</v>
      </c>
      <c r="B9840" t="s">
        <v>1298</v>
      </c>
      <c r="C9840" t="s">
        <v>663</v>
      </c>
      <c r="D9840" t="s">
        <v>1409</v>
      </c>
      <c r="E9840" t="s">
        <v>187</v>
      </c>
      <c r="F9840">
        <v>2012</v>
      </c>
      <c r="G9840">
        <v>0.52800000000000002</v>
      </c>
    </row>
    <row r="9841" spans="1:7">
      <c r="A9841" t="s">
        <v>1297</v>
      </c>
      <c r="B9841" t="s">
        <v>1298</v>
      </c>
      <c r="C9841" t="s">
        <v>663</v>
      </c>
      <c r="D9841" t="s">
        <v>1409</v>
      </c>
      <c r="E9841" t="s">
        <v>187</v>
      </c>
      <c r="F9841">
        <v>2016</v>
      </c>
      <c r="G9841">
        <v>0.64900000000000002</v>
      </c>
    </row>
    <row r="9842" spans="1:7">
      <c r="A9842" t="s">
        <v>1297</v>
      </c>
      <c r="B9842" t="s">
        <v>1298</v>
      </c>
      <c r="C9842" t="s">
        <v>663</v>
      </c>
      <c r="D9842" t="s">
        <v>1409</v>
      </c>
      <c r="E9842" t="s">
        <v>187</v>
      </c>
      <c r="F9842">
        <v>2020</v>
      </c>
      <c r="G9842">
        <v>0.58499999999999996</v>
      </c>
    </row>
    <row r="9843" spans="1:7">
      <c r="A9843" t="s">
        <v>1297</v>
      </c>
      <c r="B9843" t="s">
        <v>1298</v>
      </c>
      <c r="C9843" t="s">
        <v>666</v>
      </c>
      <c r="D9843" t="s">
        <v>1409</v>
      </c>
      <c r="E9843" t="s">
        <v>187</v>
      </c>
      <c r="F9843">
        <v>2005</v>
      </c>
      <c r="G9843">
        <v>1.93</v>
      </c>
    </row>
    <row r="9844" spans="1:7">
      <c r="A9844" t="s">
        <v>1297</v>
      </c>
      <c r="B9844" t="s">
        <v>1298</v>
      </c>
      <c r="C9844" t="s">
        <v>653</v>
      </c>
      <c r="D9844" t="s">
        <v>1409</v>
      </c>
      <c r="E9844" t="s">
        <v>187</v>
      </c>
      <c r="F9844">
        <v>2005</v>
      </c>
      <c r="G9844">
        <v>0.60199999999999998</v>
      </c>
    </row>
    <row r="9845" spans="1:7">
      <c r="A9845" t="s">
        <v>1297</v>
      </c>
      <c r="B9845" t="s">
        <v>1298</v>
      </c>
      <c r="C9845" t="s">
        <v>655</v>
      </c>
      <c r="D9845" t="s">
        <v>1409</v>
      </c>
      <c r="E9845" t="s">
        <v>187</v>
      </c>
      <c r="F9845">
        <v>2005</v>
      </c>
      <c r="G9845">
        <v>1.0960000000000001</v>
      </c>
    </row>
    <row r="9846" spans="1:7">
      <c r="A9846" t="s">
        <v>1297</v>
      </c>
      <c r="B9846" t="s">
        <v>1298</v>
      </c>
      <c r="C9846" t="s">
        <v>655</v>
      </c>
      <c r="D9846" t="s">
        <v>1409</v>
      </c>
      <c r="E9846" t="s">
        <v>187</v>
      </c>
      <c r="F9846">
        <v>2010</v>
      </c>
      <c r="G9846">
        <v>1.0620000000000001</v>
      </c>
    </row>
    <row r="9847" spans="1:7">
      <c r="A9847" t="s">
        <v>1297</v>
      </c>
      <c r="B9847" t="s">
        <v>1298</v>
      </c>
      <c r="C9847" t="s">
        <v>655</v>
      </c>
      <c r="D9847" t="s">
        <v>1409</v>
      </c>
      <c r="E9847" t="s">
        <v>187</v>
      </c>
      <c r="F9847">
        <v>2012</v>
      </c>
      <c r="G9847">
        <v>0.98299999999999998</v>
      </c>
    </row>
    <row r="9848" spans="1:7">
      <c r="A9848" t="s">
        <v>1297</v>
      </c>
      <c r="B9848" t="s">
        <v>1298</v>
      </c>
      <c r="C9848" t="s">
        <v>676</v>
      </c>
      <c r="D9848" t="s">
        <v>1409</v>
      </c>
      <c r="E9848" t="s">
        <v>187</v>
      </c>
      <c r="F9848">
        <v>2005</v>
      </c>
      <c r="G9848">
        <v>2.2330000000000001</v>
      </c>
    </row>
    <row r="9849" spans="1:7">
      <c r="A9849" t="s">
        <v>1297</v>
      </c>
      <c r="B9849" t="s">
        <v>1298</v>
      </c>
      <c r="C9849" t="s">
        <v>676</v>
      </c>
      <c r="D9849" t="s">
        <v>1409</v>
      </c>
      <c r="E9849" t="s">
        <v>187</v>
      </c>
      <c r="F9849">
        <v>2010</v>
      </c>
      <c r="G9849">
        <v>2.4990000000000001</v>
      </c>
    </row>
    <row r="9850" spans="1:7">
      <c r="A9850" t="s">
        <v>1297</v>
      </c>
      <c r="B9850" t="s">
        <v>1298</v>
      </c>
      <c r="C9850" t="s">
        <v>676</v>
      </c>
      <c r="D9850" t="s">
        <v>1409</v>
      </c>
      <c r="E9850" t="s">
        <v>187</v>
      </c>
      <c r="F9850">
        <v>2012</v>
      </c>
      <c r="G9850">
        <v>2.1150000000000002</v>
      </c>
    </row>
    <row r="9851" spans="1:7">
      <c r="A9851" t="s">
        <v>1297</v>
      </c>
      <c r="B9851" t="s">
        <v>1298</v>
      </c>
      <c r="C9851" t="s">
        <v>676</v>
      </c>
      <c r="D9851" t="s">
        <v>1409</v>
      </c>
      <c r="E9851" t="s">
        <v>187</v>
      </c>
      <c r="F9851">
        <v>2016</v>
      </c>
      <c r="G9851">
        <v>1.976</v>
      </c>
    </row>
    <row r="9852" spans="1:7">
      <c r="A9852" t="s">
        <v>1297</v>
      </c>
      <c r="B9852" t="s">
        <v>1298</v>
      </c>
      <c r="C9852" t="s">
        <v>676</v>
      </c>
      <c r="D9852" t="s">
        <v>1409</v>
      </c>
      <c r="E9852" t="s">
        <v>187</v>
      </c>
      <c r="F9852">
        <v>2020</v>
      </c>
      <c r="G9852">
        <v>1.8819999999999999</v>
      </c>
    </row>
    <row r="9853" spans="1:7">
      <c r="A9853" t="s">
        <v>1297</v>
      </c>
      <c r="B9853" t="s">
        <v>1298</v>
      </c>
      <c r="C9853" t="s">
        <v>1299</v>
      </c>
      <c r="D9853" t="s">
        <v>1409</v>
      </c>
      <c r="E9853" t="s">
        <v>187</v>
      </c>
      <c r="F9853">
        <v>2010</v>
      </c>
      <c r="G9853">
        <v>6.4130000000000003</v>
      </c>
    </row>
    <row r="9854" spans="1:7">
      <c r="A9854" t="s">
        <v>1297</v>
      </c>
      <c r="B9854" t="s">
        <v>1298</v>
      </c>
      <c r="C9854" t="s">
        <v>1299</v>
      </c>
      <c r="D9854" t="s">
        <v>1409</v>
      </c>
      <c r="E9854" t="s">
        <v>187</v>
      </c>
      <c r="F9854">
        <v>2012</v>
      </c>
      <c r="G9854">
        <v>6.8049999999999997</v>
      </c>
    </row>
    <row r="9855" spans="1:7">
      <c r="A9855" t="s">
        <v>1297</v>
      </c>
      <c r="B9855" t="s">
        <v>1298</v>
      </c>
      <c r="C9855" t="s">
        <v>1299</v>
      </c>
      <c r="D9855" t="s">
        <v>1409</v>
      </c>
      <c r="E9855" t="s">
        <v>187</v>
      </c>
      <c r="F9855">
        <v>2016</v>
      </c>
      <c r="G9855">
        <v>6.3390000000000004</v>
      </c>
    </row>
    <row r="9856" spans="1:7">
      <c r="A9856" t="s">
        <v>1297</v>
      </c>
      <c r="B9856" t="s">
        <v>1298</v>
      </c>
      <c r="C9856" t="s">
        <v>1299</v>
      </c>
      <c r="D9856" t="s">
        <v>1409</v>
      </c>
      <c r="E9856" t="s">
        <v>187</v>
      </c>
      <c r="F9856">
        <v>2020</v>
      </c>
      <c r="G9856">
        <v>6.0410000000000004</v>
      </c>
    </row>
    <row r="9857" spans="1:7">
      <c r="A9857" t="s">
        <v>1297</v>
      </c>
      <c r="B9857" t="s">
        <v>1298</v>
      </c>
      <c r="C9857" t="s">
        <v>655</v>
      </c>
      <c r="D9857" t="s">
        <v>1409</v>
      </c>
      <c r="E9857" t="s">
        <v>187</v>
      </c>
      <c r="F9857">
        <v>2016</v>
      </c>
      <c r="G9857">
        <v>0.88300000000000001</v>
      </c>
    </row>
    <row r="9858" spans="1:7">
      <c r="A9858" t="s">
        <v>1297</v>
      </c>
      <c r="B9858" t="s">
        <v>1298</v>
      </c>
      <c r="C9858" t="s">
        <v>655</v>
      </c>
      <c r="D9858" t="s">
        <v>1409</v>
      </c>
      <c r="E9858" t="s">
        <v>187</v>
      </c>
      <c r="F9858">
        <v>2020</v>
      </c>
      <c r="G9858">
        <v>0.85288299999999995</v>
      </c>
    </row>
    <row r="9859" spans="1:7">
      <c r="A9859" t="s">
        <v>1297</v>
      </c>
      <c r="B9859" t="s">
        <v>1298</v>
      </c>
      <c r="C9859" t="s">
        <v>677</v>
      </c>
      <c r="D9859" t="s">
        <v>1410</v>
      </c>
      <c r="E9859" t="s">
        <v>187</v>
      </c>
      <c r="F9859">
        <v>2012</v>
      </c>
      <c r="G9859">
        <v>636.64480800000001</v>
      </c>
    </row>
    <row r="9860" spans="1:7">
      <c r="A9860" t="s">
        <v>1297</v>
      </c>
      <c r="B9860" t="s">
        <v>1298</v>
      </c>
      <c r="C9860" t="s">
        <v>677</v>
      </c>
      <c r="D9860" t="s">
        <v>1410</v>
      </c>
      <c r="E9860" t="s">
        <v>187</v>
      </c>
      <c r="F9860">
        <v>2016</v>
      </c>
      <c r="G9860">
        <v>645.346092</v>
      </c>
    </row>
    <row r="9861" spans="1:7">
      <c r="A9861" t="s">
        <v>1297</v>
      </c>
      <c r="B9861" t="s">
        <v>1298</v>
      </c>
      <c r="C9861" t="s">
        <v>677</v>
      </c>
      <c r="D9861" t="s">
        <v>1410</v>
      </c>
      <c r="E9861" t="s">
        <v>187</v>
      </c>
      <c r="F9861">
        <v>2020</v>
      </c>
      <c r="G9861">
        <v>554.85567000000003</v>
      </c>
    </row>
    <row r="9862" spans="1:7">
      <c r="A9862" t="s">
        <v>1297</v>
      </c>
      <c r="B9862" t="s">
        <v>1298</v>
      </c>
      <c r="C9862" t="s">
        <v>655</v>
      </c>
      <c r="D9862" t="s">
        <v>1410</v>
      </c>
      <c r="E9862" t="s">
        <v>187</v>
      </c>
      <c r="F9862">
        <v>2005</v>
      </c>
      <c r="G9862">
        <v>270.35039999999998</v>
      </c>
    </row>
    <row r="9863" spans="1:7">
      <c r="A9863" t="s">
        <v>1297</v>
      </c>
      <c r="B9863" t="s">
        <v>1298</v>
      </c>
      <c r="C9863" t="s">
        <v>655</v>
      </c>
      <c r="D9863" t="s">
        <v>1410</v>
      </c>
      <c r="E9863" t="s">
        <v>187</v>
      </c>
      <c r="F9863">
        <v>2010</v>
      </c>
      <c r="G9863">
        <v>299.79139800000002</v>
      </c>
    </row>
    <row r="9864" spans="1:7">
      <c r="A9864" t="s">
        <v>1297</v>
      </c>
      <c r="B9864" t="s">
        <v>1298</v>
      </c>
      <c r="C9864" t="s">
        <v>655</v>
      </c>
      <c r="D9864" t="s">
        <v>1410</v>
      </c>
      <c r="E9864" t="s">
        <v>187</v>
      </c>
      <c r="F9864">
        <v>2012</v>
      </c>
      <c r="G9864">
        <v>321.294422</v>
      </c>
    </row>
    <row r="9865" spans="1:7">
      <c r="A9865" t="s">
        <v>1297</v>
      </c>
      <c r="B9865" t="s">
        <v>1298</v>
      </c>
      <c r="C9865" t="s">
        <v>655</v>
      </c>
      <c r="D9865" t="s">
        <v>1410</v>
      </c>
      <c r="E9865" t="s">
        <v>187</v>
      </c>
      <c r="F9865">
        <v>2016</v>
      </c>
      <c r="G9865">
        <v>250.265873</v>
      </c>
    </row>
    <row r="9866" spans="1:7">
      <c r="A9866" t="s">
        <v>1297</v>
      </c>
      <c r="B9866" t="s">
        <v>1298</v>
      </c>
      <c r="C9866" t="s">
        <v>655</v>
      </c>
      <c r="D9866" t="s">
        <v>1410</v>
      </c>
      <c r="E9866" t="s">
        <v>187</v>
      </c>
      <c r="F9866">
        <v>2020</v>
      </c>
      <c r="G9866">
        <v>316.02821599999999</v>
      </c>
    </row>
    <row r="9867" spans="1:7">
      <c r="A9867" t="s">
        <v>1297</v>
      </c>
      <c r="B9867" t="s">
        <v>1298</v>
      </c>
      <c r="C9867" t="s">
        <v>660</v>
      </c>
      <c r="D9867" t="s">
        <v>1410</v>
      </c>
      <c r="E9867" t="s">
        <v>187</v>
      </c>
      <c r="F9867">
        <v>2005</v>
      </c>
      <c r="G9867">
        <v>251.32679999999999</v>
      </c>
    </row>
    <row r="9868" spans="1:7">
      <c r="A9868" t="s">
        <v>1297</v>
      </c>
      <c r="B9868" t="s">
        <v>1298</v>
      </c>
      <c r="C9868" t="s">
        <v>660</v>
      </c>
      <c r="D9868" t="s">
        <v>1410</v>
      </c>
      <c r="E9868" t="s">
        <v>187</v>
      </c>
      <c r="F9868">
        <v>2010</v>
      </c>
      <c r="G9868">
        <v>232.99542</v>
      </c>
    </row>
    <row r="9869" spans="1:7">
      <c r="A9869" t="s">
        <v>1297</v>
      </c>
      <c r="B9869" t="s">
        <v>1298</v>
      </c>
      <c r="C9869" t="s">
        <v>660</v>
      </c>
      <c r="D9869" t="s">
        <v>1410</v>
      </c>
      <c r="E9869" t="s">
        <v>187</v>
      </c>
      <c r="F9869">
        <v>2012</v>
      </c>
      <c r="G9869">
        <v>231.78124800000001</v>
      </c>
    </row>
    <row r="9870" spans="1:7">
      <c r="A9870" t="s">
        <v>1297</v>
      </c>
      <c r="B9870" t="s">
        <v>1298</v>
      </c>
      <c r="C9870" t="s">
        <v>660</v>
      </c>
      <c r="D9870" t="s">
        <v>1410</v>
      </c>
      <c r="E9870" t="s">
        <v>187</v>
      </c>
      <c r="F9870">
        <v>2016</v>
      </c>
      <c r="G9870">
        <v>234.03374600000001</v>
      </c>
    </row>
    <row r="9871" spans="1:7">
      <c r="A9871" t="s">
        <v>1297</v>
      </c>
      <c r="B9871" t="s">
        <v>1298</v>
      </c>
      <c r="C9871" t="s">
        <v>660</v>
      </c>
      <c r="D9871" t="s">
        <v>1410</v>
      </c>
      <c r="E9871" t="s">
        <v>187</v>
      </c>
      <c r="F9871">
        <v>2020</v>
      </c>
      <c r="G9871">
        <v>237.63858099999999</v>
      </c>
    </row>
    <row r="9872" spans="1:7">
      <c r="A9872" t="s">
        <v>1297</v>
      </c>
      <c r="B9872" t="s">
        <v>1298</v>
      </c>
      <c r="C9872" t="s">
        <v>666</v>
      </c>
      <c r="D9872" t="s">
        <v>1410</v>
      </c>
      <c r="E9872" t="s">
        <v>187</v>
      </c>
      <c r="F9872">
        <v>2005</v>
      </c>
      <c r="G9872">
        <v>117.42959999999999</v>
      </c>
    </row>
    <row r="9873" spans="1:7">
      <c r="A9873" t="s">
        <v>1297</v>
      </c>
      <c r="B9873" t="s">
        <v>1298</v>
      </c>
      <c r="C9873" t="s">
        <v>674</v>
      </c>
      <c r="D9873" t="s">
        <v>1410</v>
      </c>
      <c r="E9873" t="s">
        <v>187</v>
      </c>
      <c r="F9873">
        <v>2005</v>
      </c>
      <c r="G9873">
        <v>781.67160000000001</v>
      </c>
    </row>
    <row r="9874" spans="1:7">
      <c r="A9874" t="s">
        <v>1297</v>
      </c>
      <c r="B9874" t="s">
        <v>1298</v>
      </c>
      <c r="C9874" t="s">
        <v>674</v>
      </c>
      <c r="D9874" t="s">
        <v>1410</v>
      </c>
      <c r="E9874" t="s">
        <v>187</v>
      </c>
      <c r="F9874">
        <v>2010</v>
      </c>
      <c r="G9874">
        <v>607.00226399999997</v>
      </c>
    </row>
    <row r="9875" spans="1:7">
      <c r="A9875" t="s">
        <v>1297</v>
      </c>
      <c r="B9875" t="s">
        <v>1298</v>
      </c>
      <c r="C9875" t="s">
        <v>674</v>
      </c>
      <c r="D9875" t="s">
        <v>1410</v>
      </c>
      <c r="E9875" t="s">
        <v>187</v>
      </c>
      <c r="F9875">
        <v>2012</v>
      </c>
      <c r="G9875">
        <v>654.48057600000004</v>
      </c>
    </row>
    <row r="9876" spans="1:7">
      <c r="A9876" t="s">
        <v>1297</v>
      </c>
      <c r="B9876" t="s">
        <v>1298</v>
      </c>
      <c r="C9876" t="s">
        <v>674</v>
      </c>
      <c r="D9876" t="s">
        <v>1410</v>
      </c>
      <c r="E9876" t="s">
        <v>187</v>
      </c>
      <c r="F9876">
        <v>2016</v>
      </c>
      <c r="G9876">
        <v>657.28573200000005</v>
      </c>
    </row>
    <row r="9877" spans="1:7">
      <c r="A9877" t="s">
        <v>1297</v>
      </c>
      <c r="B9877" t="s">
        <v>1298</v>
      </c>
      <c r="C9877" t="s">
        <v>674</v>
      </c>
      <c r="D9877" t="s">
        <v>1410</v>
      </c>
      <c r="E9877" t="s">
        <v>187</v>
      </c>
      <c r="F9877">
        <v>2020</v>
      </c>
      <c r="G9877">
        <v>679.894452</v>
      </c>
    </row>
    <row r="9878" spans="1:7">
      <c r="A9878" t="s">
        <v>1297</v>
      </c>
      <c r="B9878" t="s">
        <v>1298</v>
      </c>
      <c r="C9878" t="s">
        <v>661</v>
      </c>
      <c r="D9878" t="s">
        <v>1410</v>
      </c>
      <c r="E9878" t="s">
        <v>187</v>
      </c>
      <c r="F9878">
        <v>2005</v>
      </c>
      <c r="G9878">
        <v>4876.5132000000003</v>
      </c>
    </row>
    <row r="9879" spans="1:7">
      <c r="A9879" t="s">
        <v>1297</v>
      </c>
      <c r="B9879" t="s">
        <v>1298</v>
      </c>
      <c r="C9879" t="s">
        <v>661</v>
      </c>
      <c r="D9879" t="s">
        <v>1410</v>
      </c>
      <c r="E9879" t="s">
        <v>187</v>
      </c>
      <c r="F9879">
        <v>2010</v>
      </c>
      <c r="G9879">
        <v>4672.9712159999999</v>
      </c>
    </row>
    <row r="9880" spans="1:7">
      <c r="A9880" t="s">
        <v>1297</v>
      </c>
      <c r="B9880" t="s">
        <v>1298</v>
      </c>
      <c r="C9880" t="s">
        <v>661</v>
      </c>
      <c r="D9880" t="s">
        <v>1410</v>
      </c>
      <c r="E9880" t="s">
        <v>187</v>
      </c>
      <c r="F9880">
        <v>2012</v>
      </c>
      <c r="G9880">
        <v>4641.6120840000003</v>
      </c>
    </row>
    <row r="9881" spans="1:7">
      <c r="A9881" t="s">
        <v>1297</v>
      </c>
      <c r="B9881" t="s">
        <v>1298</v>
      </c>
      <c r="C9881" t="s">
        <v>661</v>
      </c>
      <c r="D9881" t="s">
        <v>1410</v>
      </c>
      <c r="E9881" t="s">
        <v>187</v>
      </c>
      <c r="F9881">
        <v>2016</v>
      </c>
      <c r="G9881">
        <v>4399.4407499999998</v>
      </c>
    </row>
    <row r="9882" spans="1:7">
      <c r="A9882" t="s">
        <v>1297</v>
      </c>
      <c r="B9882" t="s">
        <v>1298</v>
      </c>
      <c r="C9882" t="s">
        <v>661</v>
      </c>
      <c r="D9882" t="s">
        <v>1410</v>
      </c>
      <c r="E9882" t="s">
        <v>187</v>
      </c>
      <c r="F9882">
        <v>2020</v>
      </c>
      <c r="G9882">
        <v>4353.7277160000003</v>
      </c>
    </row>
    <row r="9883" spans="1:7">
      <c r="A9883" t="s">
        <v>1297</v>
      </c>
      <c r="B9883" t="s">
        <v>1298</v>
      </c>
      <c r="C9883" t="s">
        <v>673</v>
      </c>
      <c r="D9883" t="s">
        <v>1410</v>
      </c>
      <c r="E9883" t="s">
        <v>187</v>
      </c>
      <c r="F9883">
        <v>2005</v>
      </c>
      <c r="G9883">
        <v>59.994</v>
      </c>
    </row>
    <row r="9884" spans="1:7">
      <c r="A9884" t="s">
        <v>1297</v>
      </c>
      <c r="B9884" t="s">
        <v>1298</v>
      </c>
      <c r="C9884" t="s">
        <v>673</v>
      </c>
      <c r="D9884" t="s">
        <v>1410</v>
      </c>
      <c r="E9884" t="s">
        <v>187</v>
      </c>
      <c r="F9884">
        <v>2010</v>
      </c>
      <c r="G9884">
        <v>122.373046</v>
      </c>
    </row>
    <row r="9885" spans="1:7">
      <c r="A9885" t="s">
        <v>1297</v>
      </c>
      <c r="B9885" t="s">
        <v>1298</v>
      </c>
      <c r="C9885" t="s">
        <v>673</v>
      </c>
      <c r="D9885" t="s">
        <v>1410</v>
      </c>
      <c r="E9885" t="s">
        <v>187</v>
      </c>
      <c r="F9885">
        <v>2012</v>
      </c>
      <c r="G9885">
        <v>125.959459</v>
      </c>
    </row>
    <row r="9886" spans="1:7">
      <c r="A9886" t="s">
        <v>1297</v>
      </c>
      <c r="B9886" t="s">
        <v>1298</v>
      </c>
      <c r="C9886" t="s">
        <v>673</v>
      </c>
      <c r="D9886" t="s">
        <v>1410</v>
      </c>
      <c r="E9886" t="s">
        <v>187</v>
      </c>
      <c r="F9886">
        <v>2016</v>
      </c>
      <c r="G9886">
        <v>117.678388</v>
      </c>
    </row>
    <row r="9887" spans="1:7">
      <c r="A9887" t="s">
        <v>1297</v>
      </c>
      <c r="B9887" t="s">
        <v>1298</v>
      </c>
      <c r="C9887" t="s">
        <v>673</v>
      </c>
      <c r="D9887" t="s">
        <v>1410</v>
      </c>
      <c r="E9887" t="s">
        <v>187</v>
      </c>
      <c r="F9887">
        <v>2020</v>
      </c>
      <c r="G9887">
        <v>119.156328</v>
      </c>
    </row>
    <row r="9888" spans="1:7">
      <c r="A9888" t="s">
        <v>1297</v>
      </c>
      <c r="B9888" t="s">
        <v>1298</v>
      </c>
      <c r="C9888" t="s">
        <v>652</v>
      </c>
      <c r="D9888" t="s">
        <v>1410</v>
      </c>
      <c r="E9888" t="s">
        <v>187</v>
      </c>
      <c r="F9888">
        <v>2005</v>
      </c>
      <c r="G9888">
        <v>514.02599999999995</v>
      </c>
    </row>
    <row r="9889" spans="1:7">
      <c r="A9889" t="s">
        <v>1297</v>
      </c>
      <c r="B9889" t="s">
        <v>1298</v>
      </c>
      <c r="C9889" t="s">
        <v>652</v>
      </c>
      <c r="D9889" t="s">
        <v>1410</v>
      </c>
      <c r="E9889" t="s">
        <v>187</v>
      </c>
      <c r="F9889">
        <v>2010</v>
      </c>
      <c r="G9889">
        <v>523.02468599999997</v>
      </c>
    </row>
    <row r="9890" spans="1:7">
      <c r="A9890" t="s">
        <v>1297</v>
      </c>
      <c r="B9890" t="s">
        <v>1298</v>
      </c>
      <c r="C9890" t="s">
        <v>652</v>
      </c>
      <c r="D9890" t="s">
        <v>1410</v>
      </c>
      <c r="E9890" t="s">
        <v>187</v>
      </c>
      <c r="F9890">
        <v>2012</v>
      </c>
      <c r="G9890">
        <v>439.57883099999998</v>
      </c>
    </row>
    <row r="9891" spans="1:7">
      <c r="A9891" t="s">
        <v>1297</v>
      </c>
      <c r="B9891" t="s">
        <v>1298</v>
      </c>
      <c r="C9891" t="s">
        <v>652</v>
      </c>
      <c r="D9891" t="s">
        <v>1410</v>
      </c>
      <c r="E9891" t="s">
        <v>187</v>
      </c>
      <c r="F9891">
        <v>2016</v>
      </c>
      <c r="G9891">
        <v>474.79986700000001</v>
      </c>
    </row>
    <row r="9892" spans="1:7">
      <c r="A9892" t="s">
        <v>1297</v>
      </c>
      <c r="B9892" t="s">
        <v>1298</v>
      </c>
      <c r="C9892" t="s">
        <v>652</v>
      </c>
      <c r="D9892" t="s">
        <v>1410</v>
      </c>
      <c r="E9892" t="s">
        <v>187</v>
      </c>
      <c r="F9892">
        <v>2020</v>
      </c>
      <c r="G9892">
        <v>474.80309099999999</v>
      </c>
    </row>
    <row r="9893" spans="1:7">
      <c r="A9893" t="s">
        <v>1297</v>
      </c>
      <c r="B9893" t="s">
        <v>1298</v>
      </c>
      <c r="C9893" t="s">
        <v>675</v>
      </c>
      <c r="D9893" t="s">
        <v>1410</v>
      </c>
      <c r="E9893" t="s">
        <v>187</v>
      </c>
      <c r="F9893">
        <v>2005</v>
      </c>
      <c r="G9893">
        <v>63.547199999999997</v>
      </c>
    </row>
    <row r="9894" spans="1:7">
      <c r="A9894" t="s">
        <v>1297</v>
      </c>
      <c r="B9894" t="s">
        <v>1298</v>
      </c>
      <c r="C9894" t="s">
        <v>675</v>
      </c>
      <c r="D9894" t="s">
        <v>1410</v>
      </c>
      <c r="E9894" t="s">
        <v>187</v>
      </c>
      <c r="F9894">
        <v>2010</v>
      </c>
      <c r="G9894">
        <v>55.903827999999997</v>
      </c>
    </row>
    <row r="9895" spans="1:7">
      <c r="A9895" t="s">
        <v>1297</v>
      </c>
      <c r="B9895" t="s">
        <v>1298</v>
      </c>
      <c r="C9895" t="s">
        <v>675</v>
      </c>
      <c r="D9895" t="s">
        <v>1410</v>
      </c>
      <c r="E9895" t="s">
        <v>187</v>
      </c>
      <c r="F9895">
        <v>2012</v>
      </c>
      <c r="G9895">
        <v>54.768886999999999</v>
      </c>
    </row>
    <row r="9896" spans="1:7">
      <c r="A9896" t="s">
        <v>1297</v>
      </c>
      <c r="B9896" t="s">
        <v>1298</v>
      </c>
      <c r="C9896" t="s">
        <v>675</v>
      </c>
      <c r="D9896" t="s">
        <v>1410</v>
      </c>
      <c r="E9896" t="s">
        <v>187</v>
      </c>
      <c r="F9896">
        <v>2016</v>
      </c>
      <c r="G9896">
        <v>56.465108000000001</v>
      </c>
    </row>
    <row r="9897" spans="1:7">
      <c r="A9897" t="s">
        <v>1297</v>
      </c>
      <c r="B9897" t="s">
        <v>1298</v>
      </c>
      <c r="C9897" t="s">
        <v>675</v>
      </c>
      <c r="D9897" t="s">
        <v>1410</v>
      </c>
      <c r="E9897" t="s">
        <v>187</v>
      </c>
      <c r="F9897">
        <v>2020</v>
      </c>
      <c r="G9897">
        <v>57.576873999999997</v>
      </c>
    </row>
    <row r="9898" spans="1:7">
      <c r="A9898" t="s">
        <v>1297</v>
      </c>
      <c r="B9898" t="s">
        <v>1298</v>
      </c>
      <c r="C9898" t="s">
        <v>670</v>
      </c>
      <c r="D9898" t="s">
        <v>1410</v>
      </c>
      <c r="E9898" t="s">
        <v>187</v>
      </c>
      <c r="F9898">
        <v>2005</v>
      </c>
      <c r="G9898">
        <v>43.1676</v>
      </c>
    </row>
    <row r="9899" spans="1:7">
      <c r="A9899" t="s">
        <v>1297</v>
      </c>
      <c r="B9899" t="s">
        <v>1298</v>
      </c>
      <c r="C9899" t="s">
        <v>676</v>
      </c>
      <c r="D9899" t="s">
        <v>1410</v>
      </c>
      <c r="E9899" t="s">
        <v>187</v>
      </c>
      <c r="F9899">
        <v>2005</v>
      </c>
      <c r="G9899">
        <v>198.1506</v>
      </c>
    </row>
    <row r="9900" spans="1:7">
      <c r="A9900" t="s">
        <v>1297</v>
      </c>
      <c r="B9900" t="s">
        <v>1298</v>
      </c>
      <c r="C9900" t="s">
        <v>676</v>
      </c>
      <c r="D9900" t="s">
        <v>1410</v>
      </c>
      <c r="E9900" t="s">
        <v>187</v>
      </c>
      <c r="F9900">
        <v>2010</v>
      </c>
      <c r="G9900">
        <v>161.329127</v>
      </c>
    </row>
    <row r="9901" spans="1:7">
      <c r="A9901" t="s">
        <v>1297</v>
      </c>
      <c r="B9901" t="s">
        <v>1298</v>
      </c>
      <c r="C9901" t="s">
        <v>676</v>
      </c>
      <c r="D9901" t="s">
        <v>1410</v>
      </c>
      <c r="E9901" t="s">
        <v>187</v>
      </c>
      <c r="F9901">
        <v>2012</v>
      </c>
      <c r="G9901">
        <v>169.56540000000001</v>
      </c>
    </row>
    <row r="9902" spans="1:7">
      <c r="A9902" t="s">
        <v>1297</v>
      </c>
      <c r="B9902" t="s">
        <v>1298</v>
      </c>
      <c r="C9902" t="s">
        <v>676</v>
      </c>
      <c r="D9902" t="s">
        <v>1410</v>
      </c>
      <c r="E9902" t="s">
        <v>187</v>
      </c>
      <c r="F9902">
        <v>2016</v>
      </c>
      <c r="G9902">
        <v>163.03399200000001</v>
      </c>
    </row>
    <row r="9903" spans="1:7">
      <c r="A9903" t="s">
        <v>1297</v>
      </c>
      <c r="B9903" t="s">
        <v>1298</v>
      </c>
      <c r="C9903" t="s">
        <v>676</v>
      </c>
      <c r="D9903" t="s">
        <v>1410</v>
      </c>
      <c r="E9903" t="s">
        <v>187</v>
      </c>
      <c r="F9903">
        <v>2020</v>
      </c>
      <c r="G9903">
        <v>169.48166399999999</v>
      </c>
    </row>
    <row r="9904" spans="1:7">
      <c r="A9904" t="s">
        <v>1297</v>
      </c>
      <c r="B9904" t="s">
        <v>1298</v>
      </c>
      <c r="C9904" t="s">
        <v>663</v>
      </c>
      <c r="D9904" t="s">
        <v>1410</v>
      </c>
      <c r="E9904" t="s">
        <v>187</v>
      </c>
      <c r="F9904">
        <v>2005</v>
      </c>
      <c r="G9904">
        <v>151.41419999999999</v>
      </c>
    </row>
    <row r="9905" spans="1:7">
      <c r="A9905" t="s">
        <v>1297</v>
      </c>
      <c r="B9905" t="s">
        <v>1298</v>
      </c>
      <c r="C9905" t="s">
        <v>663</v>
      </c>
      <c r="D9905" t="s">
        <v>1410</v>
      </c>
      <c r="E9905" t="s">
        <v>187</v>
      </c>
      <c r="F9905">
        <v>2010</v>
      </c>
      <c r="G9905">
        <v>165.92288400000001</v>
      </c>
    </row>
    <row r="9906" spans="1:7">
      <c r="A9906" t="s">
        <v>1297</v>
      </c>
      <c r="B9906" t="s">
        <v>1298</v>
      </c>
      <c r="C9906" t="s">
        <v>663</v>
      </c>
      <c r="D9906" t="s">
        <v>1410</v>
      </c>
      <c r="E9906" t="s">
        <v>187</v>
      </c>
      <c r="F9906">
        <v>2012</v>
      </c>
      <c r="G9906">
        <v>166.89150000000001</v>
      </c>
    </row>
    <row r="9907" spans="1:7">
      <c r="A9907" t="s">
        <v>1297</v>
      </c>
      <c r="B9907" t="s">
        <v>1298</v>
      </c>
      <c r="C9907" t="s">
        <v>663</v>
      </c>
      <c r="D9907" t="s">
        <v>1410</v>
      </c>
      <c r="E9907" t="s">
        <v>187</v>
      </c>
      <c r="F9907">
        <v>2016</v>
      </c>
      <c r="G9907">
        <v>170.432244</v>
      </c>
    </row>
    <row r="9908" spans="1:7">
      <c r="A9908" t="s">
        <v>1297</v>
      </c>
      <c r="B9908" t="s">
        <v>1298</v>
      </c>
      <c r="C9908" t="s">
        <v>663</v>
      </c>
      <c r="D9908" t="s">
        <v>1410</v>
      </c>
      <c r="E9908" t="s">
        <v>187</v>
      </c>
      <c r="F9908">
        <v>2020</v>
      </c>
      <c r="G9908">
        <v>171.910008</v>
      </c>
    </row>
    <row r="9909" spans="1:7">
      <c r="A9909" t="s">
        <v>1297</v>
      </c>
      <c r="B9909" t="s">
        <v>1298</v>
      </c>
      <c r="C9909" t="s">
        <v>670</v>
      </c>
      <c r="D9909" t="s">
        <v>1410</v>
      </c>
      <c r="E9909" t="s">
        <v>187</v>
      </c>
      <c r="F9909">
        <v>2010</v>
      </c>
      <c r="G9909">
        <v>38.409703</v>
      </c>
    </row>
    <row r="9910" spans="1:7">
      <c r="A9910" t="s">
        <v>1297</v>
      </c>
      <c r="B9910" t="s">
        <v>1298</v>
      </c>
      <c r="C9910" t="s">
        <v>670</v>
      </c>
      <c r="D9910" t="s">
        <v>1410</v>
      </c>
      <c r="E9910" t="s">
        <v>187</v>
      </c>
      <c r="F9910">
        <v>2012</v>
      </c>
      <c r="G9910">
        <v>38.518560000000001</v>
      </c>
    </row>
    <row r="9911" spans="1:7">
      <c r="A9911" t="s">
        <v>1297</v>
      </c>
      <c r="B9911" t="s">
        <v>1298</v>
      </c>
      <c r="C9911" t="s">
        <v>670</v>
      </c>
      <c r="D9911" t="s">
        <v>1410</v>
      </c>
      <c r="E9911" t="s">
        <v>187</v>
      </c>
      <c r="F9911">
        <v>2016</v>
      </c>
      <c r="G9911">
        <v>38.356949999999998</v>
      </c>
    </row>
    <row r="9912" spans="1:7">
      <c r="A9912" t="s">
        <v>1297</v>
      </c>
      <c r="B9912" t="s">
        <v>1298</v>
      </c>
      <c r="C9912" t="s">
        <v>670</v>
      </c>
      <c r="D9912" t="s">
        <v>1410</v>
      </c>
      <c r="E9912" t="s">
        <v>187</v>
      </c>
      <c r="F9912">
        <v>2020</v>
      </c>
      <c r="G9912">
        <v>38.112859</v>
      </c>
    </row>
    <row r="9913" spans="1:7">
      <c r="A9913" t="s">
        <v>1297</v>
      </c>
      <c r="B9913" t="s">
        <v>1298</v>
      </c>
      <c r="C9913" t="s">
        <v>1299</v>
      </c>
      <c r="D9913" t="s">
        <v>1410</v>
      </c>
      <c r="E9913" t="s">
        <v>187</v>
      </c>
      <c r="F9913">
        <v>2005</v>
      </c>
      <c r="G9913">
        <v>958.56479999999999</v>
      </c>
    </row>
    <row r="9914" spans="1:7">
      <c r="A9914" t="s">
        <v>1297</v>
      </c>
      <c r="B9914" t="s">
        <v>1298</v>
      </c>
      <c r="C9914" t="s">
        <v>1299</v>
      </c>
      <c r="D9914" t="s">
        <v>1410</v>
      </c>
      <c r="E9914" t="s">
        <v>187</v>
      </c>
      <c r="F9914">
        <v>2010</v>
      </c>
      <c r="G9914">
        <v>982.0806</v>
      </c>
    </row>
    <row r="9915" spans="1:7">
      <c r="A9915" t="s">
        <v>1297</v>
      </c>
      <c r="B9915" t="s">
        <v>1298</v>
      </c>
      <c r="C9915" t="s">
        <v>1299</v>
      </c>
      <c r="D9915" t="s">
        <v>1410</v>
      </c>
      <c r="E9915" t="s">
        <v>187</v>
      </c>
      <c r="F9915">
        <v>2012</v>
      </c>
      <c r="G9915">
        <v>993.89459999999997</v>
      </c>
    </row>
    <row r="9916" spans="1:7">
      <c r="A9916" t="s">
        <v>1297</v>
      </c>
      <c r="B9916" t="s">
        <v>1298</v>
      </c>
      <c r="C9916" t="s">
        <v>1299</v>
      </c>
      <c r="D9916" t="s">
        <v>1410</v>
      </c>
      <c r="E9916" t="s">
        <v>187</v>
      </c>
      <c r="F9916">
        <v>2016</v>
      </c>
      <c r="G9916">
        <v>893.27700000000004</v>
      </c>
    </row>
    <row r="9917" spans="1:7">
      <c r="A9917" t="s">
        <v>1297</v>
      </c>
      <c r="B9917" t="s">
        <v>1298</v>
      </c>
      <c r="C9917" t="s">
        <v>1299</v>
      </c>
      <c r="D9917" t="s">
        <v>1410</v>
      </c>
      <c r="E9917" t="s">
        <v>187</v>
      </c>
      <c r="F9917">
        <v>2020</v>
      </c>
      <c r="G9917">
        <v>914.55215999999996</v>
      </c>
    </row>
    <row r="9918" spans="1:7">
      <c r="A9918" t="s">
        <v>1297</v>
      </c>
      <c r="B9918" t="s">
        <v>1298</v>
      </c>
      <c r="C9918" t="s">
        <v>656</v>
      </c>
      <c r="D9918" t="s">
        <v>1410</v>
      </c>
      <c r="E9918" t="s">
        <v>187</v>
      </c>
      <c r="F9918">
        <v>2005</v>
      </c>
      <c r="G9918">
        <v>1760.9939999999999</v>
      </c>
    </row>
    <row r="9919" spans="1:7">
      <c r="A9919" t="s">
        <v>1297</v>
      </c>
      <c r="B9919" t="s">
        <v>1298</v>
      </c>
      <c r="C9919" t="s">
        <v>656</v>
      </c>
      <c r="D9919" t="s">
        <v>1410</v>
      </c>
      <c r="E9919" t="s">
        <v>187</v>
      </c>
      <c r="F9919">
        <v>2010</v>
      </c>
      <c r="G9919">
        <v>1515.655094</v>
      </c>
    </row>
    <row r="9920" spans="1:7">
      <c r="A9920" t="s">
        <v>1297</v>
      </c>
      <c r="B9920" t="s">
        <v>1298</v>
      </c>
      <c r="C9920" t="s">
        <v>656</v>
      </c>
      <c r="D9920" t="s">
        <v>1410</v>
      </c>
      <c r="E9920" t="s">
        <v>187</v>
      </c>
      <c r="F9920">
        <v>2012</v>
      </c>
      <c r="G9920">
        <v>1072.599545</v>
      </c>
    </row>
    <row r="9921" spans="1:7">
      <c r="A9921" t="s">
        <v>1297</v>
      </c>
      <c r="B9921" t="s">
        <v>1298</v>
      </c>
      <c r="C9921" t="s">
        <v>656</v>
      </c>
      <c r="D9921" t="s">
        <v>1410</v>
      </c>
      <c r="E9921" t="s">
        <v>187</v>
      </c>
      <c r="F9921">
        <v>2016</v>
      </c>
      <c r="G9921">
        <v>912.50049999999999</v>
      </c>
    </row>
    <row r="9922" spans="1:7">
      <c r="A9922" t="s">
        <v>1297</v>
      </c>
      <c r="B9922" t="s">
        <v>1298</v>
      </c>
      <c r="C9922" t="s">
        <v>656</v>
      </c>
      <c r="D9922" t="s">
        <v>1410</v>
      </c>
      <c r="E9922" t="s">
        <v>187</v>
      </c>
      <c r="F9922">
        <v>2020</v>
      </c>
      <c r="G9922">
        <v>809.39217599999995</v>
      </c>
    </row>
    <row r="9923" spans="1:7">
      <c r="A9923" t="s">
        <v>1297</v>
      </c>
      <c r="B9923" t="s">
        <v>1298</v>
      </c>
      <c r="C9923" t="s">
        <v>653</v>
      </c>
      <c r="D9923" t="s">
        <v>1410</v>
      </c>
      <c r="E9923" t="s">
        <v>187</v>
      </c>
      <c r="F9923">
        <v>2005</v>
      </c>
      <c r="G9923">
        <v>203.25839999999999</v>
      </c>
    </row>
    <row r="9924" spans="1:7">
      <c r="A9924" t="s">
        <v>1297</v>
      </c>
      <c r="B9924" t="s">
        <v>1298</v>
      </c>
      <c r="C9924" t="s">
        <v>653</v>
      </c>
      <c r="D9924" t="s">
        <v>1410</v>
      </c>
      <c r="E9924" t="s">
        <v>187</v>
      </c>
      <c r="F9924">
        <v>2010</v>
      </c>
      <c r="G9924">
        <v>161.154956</v>
      </c>
    </row>
    <row r="9925" spans="1:7">
      <c r="A9925" t="s">
        <v>1297</v>
      </c>
      <c r="B9925" t="s">
        <v>1298</v>
      </c>
      <c r="C9925" t="s">
        <v>653</v>
      </c>
      <c r="D9925" t="s">
        <v>1410</v>
      </c>
      <c r="E9925" t="s">
        <v>187</v>
      </c>
      <c r="F9925">
        <v>2012</v>
      </c>
      <c r="G9925">
        <v>168.31940800000001</v>
      </c>
    </row>
    <row r="9926" spans="1:7">
      <c r="A9926" t="s">
        <v>1297</v>
      </c>
      <c r="B9926" t="s">
        <v>1298</v>
      </c>
      <c r="C9926" t="s">
        <v>653</v>
      </c>
      <c r="D9926" t="s">
        <v>1410</v>
      </c>
      <c r="E9926" t="s">
        <v>187</v>
      </c>
      <c r="F9926">
        <v>2016</v>
      </c>
      <c r="G9926">
        <v>167.928361</v>
      </c>
    </row>
    <row r="9927" spans="1:7">
      <c r="A9927" t="s">
        <v>1297</v>
      </c>
      <c r="B9927" t="s">
        <v>1298</v>
      </c>
      <c r="C9927" t="s">
        <v>653</v>
      </c>
      <c r="D9927" t="s">
        <v>1410</v>
      </c>
      <c r="E9927" t="s">
        <v>187</v>
      </c>
      <c r="F9927">
        <v>2020</v>
      </c>
      <c r="G9927">
        <v>180.10617099999999</v>
      </c>
    </row>
    <row r="9928" spans="1:7">
      <c r="A9928" t="s">
        <v>1297</v>
      </c>
      <c r="B9928" t="s">
        <v>1298</v>
      </c>
      <c r="C9928" t="s">
        <v>659</v>
      </c>
      <c r="D9928" t="s">
        <v>1410</v>
      </c>
      <c r="E9928" t="s">
        <v>187</v>
      </c>
      <c r="F9928">
        <v>2005</v>
      </c>
      <c r="G9928">
        <v>621.4212</v>
      </c>
    </row>
    <row r="9929" spans="1:7">
      <c r="A9929" t="s">
        <v>1297</v>
      </c>
      <c r="B9929" t="s">
        <v>1298</v>
      </c>
      <c r="C9929" t="s">
        <v>659</v>
      </c>
      <c r="D9929" t="s">
        <v>1410</v>
      </c>
      <c r="E9929" t="s">
        <v>187</v>
      </c>
      <c r="F9929">
        <v>2010</v>
      </c>
      <c r="G9929">
        <v>675.53180599999996</v>
      </c>
    </row>
    <row r="9930" spans="1:7">
      <c r="A9930" t="s">
        <v>1297</v>
      </c>
      <c r="B9930" t="s">
        <v>1298</v>
      </c>
      <c r="C9930" t="s">
        <v>659</v>
      </c>
      <c r="D9930" t="s">
        <v>1410</v>
      </c>
      <c r="E9930" t="s">
        <v>187</v>
      </c>
      <c r="F9930">
        <v>2012</v>
      </c>
      <c r="G9930">
        <v>669.49025400000005</v>
      </c>
    </row>
    <row r="9931" spans="1:7">
      <c r="A9931" t="s">
        <v>1297</v>
      </c>
      <c r="B9931" t="s">
        <v>1298</v>
      </c>
      <c r="C9931" t="s">
        <v>659</v>
      </c>
      <c r="D9931" t="s">
        <v>1410</v>
      </c>
      <c r="E9931" t="s">
        <v>187</v>
      </c>
      <c r="F9931">
        <v>2016</v>
      </c>
      <c r="G9931">
        <v>639.44577700000002</v>
      </c>
    </row>
    <row r="9932" spans="1:7">
      <c r="A9932" t="s">
        <v>1297</v>
      </c>
      <c r="B9932" t="s">
        <v>1298</v>
      </c>
      <c r="C9932" t="s">
        <v>659</v>
      </c>
      <c r="D9932" t="s">
        <v>1410</v>
      </c>
      <c r="E9932" t="s">
        <v>187</v>
      </c>
      <c r="F9932">
        <v>2020</v>
      </c>
      <c r="G9932">
        <v>637.14722400000005</v>
      </c>
    </row>
    <row r="9933" spans="1:7">
      <c r="A9933" t="s">
        <v>1297</v>
      </c>
      <c r="B9933" t="s">
        <v>1298</v>
      </c>
      <c r="C9933" t="s">
        <v>677</v>
      </c>
      <c r="D9933" t="s">
        <v>1410</v>
      </c>
      <c r="E9933" t="s">
        <v>187</v>
      </c>
      <c r="F9933">
        <v>2005</v>
      </c>
      <c r="G9933">
        <v>881.47439999999995</v>
      </c>
    </row>
    <row r="9934" spans="1:7">
      <c r="A9934" t="s">
        <v>1297</v>
      </c>
      <c r="B9934" t="s">
        <v>1298</v>
      </c>
      <c r="C9934" t="s">
        <v>677</v>
      </c>
      <c r="D9934" t="s">
        <v>1410</v>
      </c>
      <c r="E9934" t="s">
        <v>187</v>
      </c>
      <c r="F9934">
        <v>2010</v>
      </c>
      <c r="G9934">
        <v>583.932996</v>
      </c>
    </row>
    <row r="9935" spans="1:7">
      <c r="A9935" t="s">
        <v>1297</v>
      </c>
      <c r="B9935" t="s">
        <v>1298</v>
      </c>
      <c r="C9935" t="s">
        <v>652</v>
      </c>
      <c r="D9935" t="s">
        <v>1411</v>
      </c>
      <c r="E9935" t="s">
        <v>187</v>
      </c>
      <c r="F9935">
        <v>2005</v>
      </c>
      <c r="G9935">
        <v>514.02599999999995</v>
      </c>
    </row>
    <row r="9936" spans="1:7">
      <c r="A9936" t="s">
        <v>1297</v>
      </c>
      <c r="B9936" t="s">
        <v>1298</v>
      </c>
      <c r="C9936" t="s">
        <v>652</v>
      </c>
      <c r="D9936" t="s">
        <v>1411</v>
      </c>
      <c r="E9936" t="s">
        <v>187</v>
      </c>
      <c r="F9936">
        <v>2010</v>
      </c>
      <c r="G9936">
        <v>523.02468599999997</v>
      </c>
    </row>
    <row r="9937" spans="1:7">
      <c r="A9937" t="s">
        <v>1297</v>
      </c>
      <c r="B9937" t="s">
        <v>1298</v>
      </c>
      <c r="C9937" t="s">
        <v>652</v>
      </c>
      <c r="D9937" t="s">
        <v>1411</v>
      </c>
      <c r="E9937" t="s">
        <v>187</v>
      </c>
      <c r="F9937">
        <v>2012</v>
      </c>
      <c r="G9937">
        <v>439.57883099999998</v>
      </c>
    </row>
    <row r="9938" spans="1:7">
      <c r="A9938" t="s">
        <v>1297</v>
      </c>
      <c r="B9938" t="s">
        <v>1298</v>
      </c>
      <c r="C9938" t="s">
        <v>652</v>
      </c>
      <c r="D9938" t="s">
        <v>1411</v>
      </c>
      <c r="E9938" t="s">
        <v>187</v>
      </c>
      <c r="F9938">
        <v>2016</v>
      </c>
      <c r="G9938">
        <v>474.79986700000001</v>
      </c>
    </row>
    <row r="9939" spans="1:7">
      <c r="A9939" t="s">
        <v>1297</v>
      </c>
      <c r="B9939" t="s">
        <v>1298</v>
      </c>
      <c r="C9939" t="s">
        <v>652</v>
      </c>
      <c r="D9939" t="s">
        <v>1411</v>
      </c>
      <c r="E9939" t="s">
        <v>187</v>
      </c>
      <c r="F9939">
        <v>2020</v>
      </c>
      <c r="G9939">
        <v>474.80309099999999</v>
      </c>
    </row>
    <row r="9940" spans="1:7">
      <c r="A9940" t="s">
        <v>1297</v>
      </c>
      <c r="B9940" t="s">
        <v>1298</v>
      </c>
      <c r="C9940" t="s">
        <v>666</v>
      </c>
      <c r="D9940" t="s">
        <v>1411</v>
      </c>
      <c r="E9940" t="s">
        <v>187</v>
      </c>
      <c r="F9940">
        <v>2005</v>
      </c>
      <c r="G9940">
        <v>117.42959999999999</v>
      </c>
    </row>
    <row r="9941" spans="1:7">
      <c r="A9941" t="s">
        <v>1297</v>
      </c>
      <c r="B9941" t="s">
        <v>1298</v>
      </c>
      <c r="C9941" t="s">
        <v>661</v>
      </c>
      <c r="D9941" t="s">
        <v>1411</v>
      </c>
      <c r="E9941" t="s">
        <v>187</v>
      </c>
      <c r="F9941">
        <v>2005</v>
      </c>
      <c r="G9941">
        <v>4876.5132000000003</v>
      </c>
    </row>
    <row r="9942" spans="1:7">
      <c r="A9942" t="s">
        <v>1297</v>
      </c>
      <c r="B9942" t="s">
        <v>1298</v>
      </c>
      <c r="C9942" t="s">
        <v>661</v>
      </c>
      <c r="D9942" t="s">
        <v>1411</v>
      </c>
      <c r="E9942" t="s">
        <v>187</v>
      </c>
      <c r="F9942">
        <v>2010</v>
      </c>
      <c r="G9942">
        <v>4672.9712159999999</v>
      </c>
    </row>
    <row r="9943" spans="1:7">
      <c r="A9943" t="s">
        <v>1297</v>
      </c>
      <c r="B9943" t="s">
        <v>1298</v>
      </c>
      <c r="C9943" t="s">
        <v>661</v>
      </c>
      <c r="D9943" t="s">
        <v>1411</v>
      </c>
      <c r="E9943" t="s">
        <v>187</v>
      </c>
      <c r="F9943">
        <v>2012</v>
      </c>
      <c r="G9943">
        <v>4641.6120840000003</v>
      </c>
    </row>
    <row r="9944" spans="1:7">
      <c r="A9944" t="s">
        <v>1297</v>
      </c>
      <c r="B9944" t="s">
        <v>1298</v>
      </c>
      <c r="C9944" t="s">
        <v>661</v>
      </c>
      <c r="D9944" t="s">
        <v>1411</v>
      </c>
      <c r="E9944" t="s">
        <v>187</v>
      </c>
      <c r="F9944">
        <v>2016</v>
      </c>
      <c r="G9944">
        <v>4399.4407499999998</v>
      </c>
    </row>
    <row r="9945" spans="1:7">
      <c r="A9945" t="s">
        <v>1297</v>
      </c>
      <c r="B9945" t="s">
        <v>1298</v>
      </c>
      <c r="C9945" t="s">
        <v>661</v>
      </c>
      <c r="D9945" t="s">
        <v>1411</v>
      </c>
      <c r="E9945" t="s">
        <v>187</v>
      </c>
      <c r="F9945">
        <v>2020</v>
      </c>
      <c r="G9945">
        <v>4353.7277160000003</v>
      </c>
    </row>
    <row r="9946" spans="1:7">
      <c r="A9946" t="s">
        <v>1297</v>
      </c>
      <c r="B9946" t="s">
        <v>1298</v>
      </c>
      <c r="C9946" t="s">
        <v>673</v>
      </c>
      <c r="D9946" t="s">
        <v>1411</v>
      </c>
      <c r="E9946" t="s">
        <v>187</v>
      </c>
      <c r="F9946">
        <v>2005</v>
      </c>
      <c r="G9946">
        <v>59.994</v>
      </c>
    </row>
    <row r="9947" spans="1:7">
      <c r="A9947" t="s">
        <v>1297</v>
      </c>
      <c r="B9947" t="s">
        <v>1298</v>
      </c>
      <c r="C9947" t="s">
        <v>673</v>
      </c>
      <c r="D9947" t="s">
        <v>1411</v>
      </c>
      <c r="E9947" t="s">
        <v>187</v>
      </c>
      <c r="F9947">
        <v>2010</v>
      </c>
      <c r="G9947">
        <v>122.373046</v>
      </c>
    </row>
    <row r="9948" spans="1:7">
      <c r="A9948" t="s">
        <v>1297</v>
      </c>
      <c r="B9948" t="s">
        <v>1298</v>
      </c>
      <c r="C9948" t="s">
        <v>673</v>
      </c>
      <c r="D9948" t="s">
        <v>1411</v>
      </c>
      <c r="E9948" t="s">
        <v>187</v>
      </c>
      <c r="F9948">
        <v>2012</v>
      </c>
      <c r="G9948">
        <v>125.959459</v>
      </c>
    </row>
    <row r="9949" spans="1:7">
      <c r="A9949" t="s">
        <v>1297</v>
      </c>
      <c r="B9949" t="s">
        <v>1298</v>
      </c>
      <c r="C9949" t="s">
        <v>673</v>
      </c>
      <c r="D9949" t="s">
        <v>1411</v>
      </c>
      <c r="E9949" t="s">
        <v>187</v>
      </c>
      <c r="F9949">
        <v>2016</v>
      </c>
      <c r="G9949">
        <v>117.678388</v>
      </c>
    </row>
    <row r="9950" spans="1:7">
      <c r="A9950" t="s">
        <v>1297</v>
      </c>
      <c r="B9950" t="s">
        <v>1298</v>
      </c>
      <c r="C9950" t="s">
        <v>673</v>
      </c>
      <c r="D9950" t="s">
        <v>1411</v>
      </c>
      <c r="E9950" t="s">
        <v>187</v>
      </c>
      <c r="F9950">
        <v>2020</v>
      </c>
      <c r="G9950">
        <v>119.156328</v>
      </c>
    </row>
    <row r="9951" spans="1:7">
      <c r="A9951" t="s">
        <v>1297</v>
      </c>
      <c r="B9951" t="s">
        <v>1298</v>
      </c>
      <c r="C9951" t="s">
        <v>677</v>
      </c>
      <c r="D9951" t="s">
        <v>1411</v>
      </c>
      <c r="E9951" t="s">
        <v>187</v>
      </c>
      <c r="F9951">
        <v>2005</v>
      </c>
      <c r="G9951">
        <v>881.47439999999995</v>
      </c>
    </row>
    <row r="9952" spans="1:7">
      <c r="A9952" t="s">
        <v>1297</v>
      </c>
      <c r="B9952" t="s">
        <v>1298</v>
      </c>
      <c r="C9952" t="s">
        <v>677</v>
      </c>
      <c r="D9952" t="s">
        <v>1411</v>
      </c>
      <c r="E9952" t="s">
        <v>187</v>
      </c>
      <c r="F9952">
        <v>2010</v>
      </c>
      <c r="G9952">
        <v>583.932996</v>
      </c>
    </row>
    <row r="9953" spans="1:7">
      <c r="A9953" t="s">
        <v>1297</v>
      </c>
      <c r="B9953" t="s">
        <v>1298</v>
      </c>
      <c r="C9953" t="s">
        <v>677</v>
      </c>
      <c r="D9953" t="s">
        <v>1411</v>
      </c>
      <c r="E9953" t="s">
        <v>187</v>
      </c>
      <c r="F9953">
        <v>2012</v>
      </c>
      <c r="G9953">
        <v>636.64480800000001</v>
      </c>
    </row>
    <row r="9954" spans="1:7">
      <c r="A9954" t="s">
        <v>1297</v>
      </c>
      <c r="B9954" t="s">
        <v>1298</v>
      </c>
      <c r="C9954" t="s">
        <v>677</v>
      </c>
      <c r="D9954" t="s">
        <v>1411</v>
      </c>
      <c r="E9954" t="s">
        <v>187</v>
      </c>
      <c r="F9954">
        <v>2016</v>
      </c>
      <c r="G9954">
        <v>645.346092</v>
      </c>
    </row>
    <row r="9955" spans="1:7">
      <c r="A9955" t="s">
        <v>1297</v>
      </c>
      <c r="B9955" t="s">
        <v>1298</v>
      </c>
      <c r="C9955" t="s">
        <v>677</v>
      </c>
      <c r="D9955" t="s">
        <v>1411</v>
      </c>
      <c r="E9955" t="s">
        <v>187</v>
      </c>
      <c r="F9955">
        <v>2020</v>
      </c>
      <c r="G9955">
        <v>554.85567000000003</v>
      </c>
    </row>
    <row r="9956" spans="1:7">
      <c r="A9956" t="s">
        <v>1297</v>
      </c>
      <c r="B9956" t="s">
        <v>1298</v>
      </c>
      <c r="C9956" t="s">
        <v>676</v>
      </c>
      <c r="D9956" t="s">
        <v>1411</v>
      </c>
      <c r="E9956" t="s">
        <v>187</v>
      </c>
      <c r="F9956">
        <v>2010</v>
      </c>
      <c r="G9956">
        <v>161.329127</v>
      </c>
    </row>
    <row r="9957" spans="1:7">
      <c r="A9957" t="s">
        <v>1297</v>
      </c>
      <c r="B9957" t="s">
        <v>1298</v>
      </c>
      <c r="C9957" t="s">
        <v>676</v>
      </c>
      <c r="D9957" t="s">
        <v>1411</v>
      </c>
      <c r="E9957" t="s">
        <v>187</v>
      </c>
      <c r="F9957">
        <v>2012</v>
      </c>
      <c r="G9957">
        <v>169.56540000000001</v>
      </c>
    </row>
    <row r="9958" spans="1:7">
      <c r="A9958" t="s">
        <v>1297</v>
      </c>
      <c r="B9958" t="s">
        <v>1298</v>
      </c>
      <c r="C9958" t="s">
        <v>676</v>
      </c>
      <c r="D9958" t="s">
        <v>1411</v>
      </c>
      <c r="E9958" t="s">
        <v>187</v>
      </c>
      <c r="F9958">
        <v>2016</v>
      </c>
      <c r="G9958">
        <v>163.03399200000001</v>
      </c>
    </row>
    <row r="9959" spans="1:7">
      <c r="A9959" t="s">
        <v>1297</v>
      </c>
      <c r="B9959" t="s">
        <v>1298</v>
      </c>
      <c r="C9959" t="s">
        <v>676</v>
      </c>
      <c r="D9959" t="s">
        <v>1411</v>
      </c>
      <c r="E9959" t="s">
        <v>187</v>
      </c>
      <c r="F9959">
        <v>2020</v>
      </c>
      <c r="G9959">
        <v>169.48166399999999</v>
      </c>
    </row>
    <row r="9960" spans="1:7">
      <c r="A9960" t="s">
        <v>1297</v>
      </c>
      <c r="B9960" t="s">
        <v>1298</v>
      </c>
      <c r="C9960" t="s">
        <v>663</v>
      </c>
      <c r="D9960" t="s">
        <v>1411</v>
      </c>
      <c r="E9960" t="s">
        <v>187</v>
      </c>
      <c r="F9960">
        <v>2005</v>
      </c>
      <c r="G9960">
        <v>151.41419999999999</v>
      </c>
    </row>
    <row r="9961" spans="1:7">
      <c r="A9961" t="s">
        <v>1297</v>
      </c>
      <c r="B9961" t="s">
        <v>1298</v>
      </c>
      <c r="C9961" t="s">
        <v>663</v>
      </c>
      <c r="D9961" t="s">
        <v>1411</v>
      </c>
      <c r="E9961" t="s">
        <v>187</v>
      </c>
      <c r="F9961">
        <v>2010</v>
      </c>
      <c r="G9961">
        <v>165.92288400000001</v>
      </c>
    </row>
    <row r="9962" spans="1:7">
      <c r="A9962" t="s">
        <v>1297</v>
      </c>
      <c r="B9962" t="s">
        <v>1298</v>
      </c>
      <c r="C9962" t="s">
        <v>663</v>
      </c>
      <c r="D9962" t="s">
        <v>1411</v>
      </c>
      <c r="E9962" t="s">
        <v>187</v>
      </c>
      <c r="F9962">
        <v>2012</v>
      </c>
      <c r="G9962">
        <v>166.89150000000001</v>
      </c>
    </row>
    <row r="9963" spans="1:7">
      <c r="A9963" t="s">
        <v>1297</v>
      </c>
      <c r="B9963" t="s">
        <v>1298</v>
      </c>
      <c r="C9963" t="s">
        <v>663</v>
      </c>
      <c r="D9963" t="s">
        <v>1411</v>
      </c>
      <c r="E9963" t="s">
        <v>187</v>
      </c>
      <c r="F9963">
        <v>2016</v>
      </c>
      <c r="G9963">
        <v>170.432244</v>
      </c>
    </row>
    <row r="9964" spans="1:7">
      <c r="A9964" t="s">
        <v>1297</v>
      </c>
      <c r="B9964" t="s">
        <v>1298</v>
      </c>
      <c r="C9964" t="s">
        <v>663</v>
      </c>
      <c r="D9964" t="s">
        <v>1411</v>
      </c>
      <c r="E9964" t="s">
        <v>187</v>
      </c>
      <c r="F9964">
        <v>2020</v>
      </c>
      <c r="G9964">
        <v>171.910008</v>
      </c>
    </row>
    <row r="9965" spans="1:7">
      <c r="A9965" t="s">
        <v>1297</v>
      </c>
      <c r="B9965" t="s">
        <v>1298</v>
      </c>
      <c r="C9965" t="s">
        <v>670</v>
      </c>
      <c r="D9965" t="s">
        <v>1411</v>
      </c>
      <c r="E9965" t="s">
        <v>187</v>
      </c>
      <c r="F9965">
        <v>2005</v>
      </c>
      <c r="G9965">
        <v>43.1676</v>
      </c>
    </row>
    <row r="9966" spans="1:7">
      <c r="A9966" t="s">
        <v>1297</v>
      </c>
      <c r="B9966" t="s">
        <v>1298</v>
      </c>
      <c r="C9966" t="s">
        <v>670</v>
      </c>
      <c r="D9966" t="s">
        <v>1411</v>
      </c>
      <c r="E9966" t="s">
        <v>187</v>
      </c>
      <c r="F9966">
        <v>2010</v>
      </c>
      <c r="G9966">
        <v>38.409703</v>
      </c>
    </row>
    <row r="9967" spans="1:7">
      <c r="A9967" t="s">
        <v>1297</v>
      </c>
      <c r="B9967" t="s">
        <v>1298</v>
      </c>
      <c r="C9967" t="s">
        <v>670</v>
      </c>
      <c r="D9967" t="s">
        <v>1411</v>
      </c>
      <c r="E9967" t="s">
        <v>187</v>
      </c>
      <c r="F9967">
        <v>2012</v>
      </c>
      <c r="G9967">
        <v>38.518560000000001</v>
      </c>
    </row>
    <row r="9968" spans="1:7">
      <c r="A9968" t="s">
        <v>1297</v>
      </c>
      <c r="B9968" t="s">
        <v>1298</v>
      </c>
      <c r="C9968" t="s">
        <v>670</v>
      </c>
      <c r="D9968" t="s">
        <v>1411</v>
      </c>
      <c r="E9968" t="s">
        <v>187</v>
      </c>
      <c r="F9968">
        <v>2016</v>
      </c>
      <c r="G9968">
        <v>38.356949999999998</v>
      </c>
    </row>
    <row r="9969" spans="1:7">
      <c r="A9969" t="s">
        <v>1297</v>
      </c>
      <c r="B9969" t="s">
        <v>1298</v>
      </c>
      <c r="C9969" t="s">
        <v>670</v>
      </c>
      <c r="D9969" t="s">
        <v>1411</v>
      </c>
      <c r="E9969" t="s">
        <v>187</v>
      </c>
      <c r="F9969">
        <v>2020</v>
      </c>
      <c r="G9969">
        <v>38.112859</v>
      </c>
    </row>
    <row r="9970" spans="1:7">
      <c r="A9970" t="s">
        <v>1297</v>
      </c>
      <c r="B9970" t="s">
        <v>1298</v>
      </c>
      <c r="C9970" t="s">
        <v>674</v>
      </c>
      <c r="D9970" t="s">
        <v>1411</v>
      </c>
      <c r="E9970" t="s">
        <v>187</v>
      </c>
      <c r="F9970">
        <v>2005</v>
      </c>
      <c r="G9970">
        <v>781.67160000000001</v>
      </c>
    </row>
    <row r="9971" spans="1:7">
      <c r="A9971" t="s">
        <v>1297</v>
      </c>
      <c r="B9971" t="s">
        <v>1298</v>
      </c>
      <c r="C9971" t="s">
        <v>674</v>
      </c>
      <c r="D9971" t="s">
        <v>1411</v>
      </c>
      <c r="E9971" t="s">
        <v>187</v>
      </c>
      <c r="F9971">
        <v>2010</v>
      </c>
      <c r="G9971">
        <v>607.00226399999997</v>
      </c>
    </row>
    <row r="9972" spans="1:7">
      <c r="A9972" t="s">
        <v>1297</v>
      </c>
      <c r="B9972" t="s">
        <v>1298</v>
      </c>
      <c r="C9972" t="s">
        <v>674</v>
      </c>
      <c r="D9972" t="s">
        <v>1411</v>
      </c>
      <c r="E9972" t="s">
        <v>187</v>
      </c>
      <c r="F9972">
        <v>2012</v>
      </c>
      <c r="G9972">
        <v>654.48057600000004</v>
      </c>
    </row>
    <row r="9973" spans="1:7">
      <c r="A9973" t="s">
        <v>1297</v>
      </c>
      <c r="B9973" t="s">
        <v>1298</v>
      </c>
      <c r="C9973" t="s">
        <v>674</v>
      </c>
      <c r="D9973" t="s">
        <v>1411</v>
      </c>
      <c r="E9973" t="s">
        <v>187</v>
      </c>
      <c r="F9973">
        <v>2016</v>
      </c>
      <c r="G9973">
        <v>657.28573200000005</v>
      </c>
    </row>
    <row r="9974" spans="1:7">
      <c r="A9974" t="s">
        <v>1297</v>
      </c>
      <c r="B9974" t="s">
        <v>1298</v>
      </c>
      <c r="C9974" t="s">
        <v>674</v>
      </c>
      <c r="D9974" t="s">
        <v>1411</v>
      </c>
      <c r="E9974" t="s">
        <v>187</v>
      </c>
      <c r="F9974">
        <v>2020</v>
      </c>
      <c r="G9974">
        <v>679.894452</v>
      </c>
    </row>
    <row r="9975" spans="1:7">
      <c r="A9975" t="s">
        <v>1297</v>
      </c>
      <c r="B9975" t="s">
        <v>1298</v>
      </c>
      <c r="C9975" t="s">
        <v>660</v>
      </c>
      <c r="D9975" t="s">
        <v>1411</v>
      </c>
      <c r="E9975" t="s">
        <v>187</v>
      </c>
      <c r="F9975">
        <v>2005</v>
      </c>
      <c r="G9975">
        <v>251.32679999999999</v>
      </c>
    </row>
    <row r="9976" spans="1:7">
      <c r="A9976" t="s">
        <v>1297</v>
      </c>
      <c r="B9976" t="s">
        <v>1298</v>
      </c>
      <c r="C9976" t="s">
        <v>660</v>
      </c>
      <c r="D9976" t="s">
        <v>1411</v>
      </c>
      <c r="E9976" t="s">
        <v>187</v>
      </c>
      <c r="F9976">
        <v>2010</v>
      </c>
      <c r="G9976">
        <v>232.99542</v>
      </c>
    </row>
    <row r="9977" spans="1:7">
      <c r="A9977" t="s">
        <v>1297</v>
      </c>
      <c r="B9977" t="s">
        <v>1298</v>
      </c>
      <c r="C9977" t="s">
        <v>660</v>
      </c>
      <c r="D9977" t="s">
        <v>1411</v>
      </c>
      <c r="E9977" t="s">
        <v>187</v>
      </c>
      <c r="F9977">
        <v>2012</v>
      </c>
      <c r="G9977">
        <v>231.78124800000001</v>
      </c>
    </row>
    <row r="9978" spans="1:7">
      <c r="A9978" t="s">
        <v>1297</v>
      </c>
      <c r="B9978" t="s">
        <v>1298</v>
      </c>
      <c r="C9978" t="s">
        <v>660</v>
      </c>
      <c r="D9978" t="s">
        <v>1411</v>
      </c>
      <c r="E9978" t="s">
        <v>187</v>
      </c>
      <c r="F9978">
        <v>2016</v>
      </c>
      <c r="G9978">
        <v>234.03374600000001</v>
      </c>
    </row>
    <row r="9979" spans="1:7">
      <c r="A9979" t="s">
        <v>1297</v>
      </c>
      <c r="B9979" t="s">
        <v>1298</v>
      </c>
      <c r="C9979" t="s">
        <v>660</v>
      </c>
      <c r="D9979" t="s">
        <v>1411</v>
      </c>
      <c r="E9979" t="s">
        <v>187</v>
      </c>
      <c r="F9979">
        <v>2020</v>
      </c>
      <c r="G9979">
        <v>237.63858099999999</v>
      </c>
    </row>
    <row r="9980" spans="1:7">
      <c r="A9980" t="s">
        <v>1297</v>
      </c>
      <c r="B9980" t="s">
        <v>1298</v>
      </c>
      <c r="C9980" t="s">
        <v>1299</v>
      </c>
      <c r="D9980" t="s">
        <v>1411</v>
      </c>
      <c r="E9980" t="s">
        <v>187</v>
      </c>
      <c r="F9980">
        <v>2005</v>
      </c>
      <c r="G9980">
        <v>958.56479999999999</v>
      </c>
    </row>
    <row r="9981" spans="1:7">
      <c r="A9981" t="s">
        <v>1297</v>
      </c>
      <c r="B9981" t="s">
        <v>1298</v>
      </c>
      <c r="C9981" t="s">
        <v>1299</v>
      </c>
      <c r="D9981" t="s">
        <v>1411</v>
      </c>
      <c r="E9981" t="s">
        <v>187</v>
      </c>
      <c r="F9981">
        <v>2010</v>
      </c>
      <c r="G9981">
        <v>982.0806</v>
      </c>
    </row>
    <row r="9982" spans="1:7">
      <c r="A9982" t="s">
        <v>1297</v>
      </c>
      <c r="B9982" t="s">
        <v>1298</v>
      </c>
      <c r="C9982" t="s">
        <v>1299</v>
      </c>
      <c r="D9982" t="s">
        <v>1411</v>
      </c>
      <c r="E9982" t="s">
        <v>187</v>
      </c>
      <c r="F9982">
        <v>2012</v>
      </c>
      <c r="G9982">
        <v>993.89459999999997</v>
      </c>
    </row>
    <row r="9983" spans="1:7">
      <c r="A9983" t="s">
        <v>1297</v>
      </c>
      <c r="B9983" t="s">
        <v>1298</v>
      </c>
      <c r="C9983" t="s">
        <v>1299</v>
      </c>
      <c r="D9983" t="s">
        <v>1411</v>
      </c>
      <c r="E9983" t="s">
        <v>187</v>
      </c>
      <c r="F9983">
        <v>2016</v>
      </c>
      <c r="G9983">
        <v>893.27700000000004</v>
      </c>
    </row>
    <row r="9984" spans="1:7">
      <c r="A9984" t="s">
        <v>1297</v>
      </c>
      <c r="B9984" t="s">
        <v>1298</v>
      </c>
      <c r="C9984" t="s">
        <v>1299</v>
      </c>
      <c r="D9984" t="s">
        <v>1411</v>
      </c>
      <c r="E9984" t="s">
        <v>187</v>
      </c>
      <c r="F9984">
        <v>2020</v>
      </c>
      <c r="G9984">
        <v>914.55215999999996</v>
      </c>
    </row>
    <row r="9985" spans="1:7">
      <c r="A9985" t="s">
        <v>1297</v>
      </c>
      <c r="B9985" t="s">
        <v>1298</v>
      </c>
      <c r="C9985" t="s">
        <v>656</v>
      </c>
      <c r="D9985" t="s">
        <v>1411</v>
      </c>
      <c r="E9985" t="s">
        <v>187</v>
      </c>
      <c r="F9985">
        <v>2005</v>
      </c>
      <c r="G9985">
        <v>1760.9939999999999</v>
      </c>
    </row>
    <row r="9986" spans="1:7">
      <c r="A9986" t="s">
        <v>1297</v>
      </c>
      <c r="B9986" t="s">
        <v>1298</v>
      </c>
      <c r="C9986" t="s">
        <v>656</v>
      </c>
      <c r="D9986" t="s">
        <v>1411</v>
      </c>
      <c r="E9986" t="s">
        <v>187</v>
      </c>
      <c r="F9986">
        <v>2010</v>
      </c>
      <c r="G9986">
        <v>1515.655094</v>
      </c>
    </row>
    <row r="9987" spans="1:7">
      <c r="A9987" t="s">
        <v>1297</v>
      </c>
      <c r="B9987" t="s">
        <v>1298</v>
      </c>
      <c r="C9987" t="s">
        <v>656</v>
      </c>
      <c r="D9987" t="s">
        <v>1411</v>
      </c>
      <c r="E9987" t="s">
        <v>187</v>
      </c>
      <c r="F9987">
        <v>2012</v>
      </c>
      <c r="G9987">
        <v>1072.599545</v>
      </c>
    </row>
    <row r="9988" spans="1:7">
      <c r="A9988" t="s">
        <v>1297</v>
      </c>
      <c r="B9988" t="s">
        <v>1298</v>
      </c>
      <c r="C9988" t="s">
        <v>656</v>
      </c>
      <c r="D9988" t="s">
        <v>1411</v>
      </c>
      <c r="E9988" t="s">
        <v>187</v>
      </c>
      <c r="F9988">
        <v>2016</v>
      </c>
      <c r="G9988">
        <v>912.50049999999999</v>
      </c>
    </row>
    <row r="9989" spans="1:7">
      <c r="A9989" t="s">
        <v>1297</v>
      </c>
      <c r="B9989" t="s">
        <v>1298</v>
      </c>
      <c r="C9989" t="s">
        <v>656</v>
      </c>
      <c r="D9989" t="s">
        <v>1411</v>
      </c>
      <c r="E9989" t="s">
        <v>187</v>
      </c>
      <c r="F9989">
        <v>2020</v>
      </c>
      <c r="G9989">
        <v>809.39217599999995</v>
      </c>
    </row>
    <row r="9990" spans="1:7">
      <c r="A9990" t="s">
        <v>1297</v>
      </c>
      <c r="B9990" t="s">
        <v>1298</v>
      </c>
      <c r="C9990" t="s">
        <v>653</v>
      </c>
      <c r="D9990" t="s">
        <v>1411</v>
      </c>
      <c r="E9990" t="s">
        <v>187</v>
      </c>
      <c r="F9990">
        <v>2005</v>
      </c>
      <c r="G9990">
        <v>203.25839999999999</v>
      </c>
    </row>
    <row r="9991" spans="1:7">
      <c r="A9991" t="s">
        <v>1297</v>
      </c>
      <c r="B9991" t="s">
        <v>1298</v>
      </c>
      <c r="C9991" t="s">
        <v>653</v>
      </c>
      <c r="D9991" t="s">
        <v>1411</v>
      </c>
      <c r="E9991" t="s">
        <v>187</v>
      </c>
      <c r="F9991">
        <v>2010</v>
      </c>
      <c r="G9991">
        <v>161.154956</v>
      </c>
    </row>
    <row r="9992" spans="1:7">
      <c r="A9992" t="s">
        <v>1297</v>
      </c>
      <c r="B9992" t="s">
        <v>1298</v>
      </c>
      <c r="C9992" t="s">
        <v>653</v>
      </c>
      <c r="D9992" t="s">
        <v>1411</v>
      </c>
      <c r="E9992" t="s">
        <v>187</v>
      </c>
      <c r="F9992">
        <v>2012</v>
      </c>
      <c r="G9992">
        <v>168.31940800000001</v>
      </c>
    </row>
    <row r="9993" spans="1:7">
      <c r="A9993" t="s">
        <v>1297</v>
      </c>
      <c r="B9993" t="s">
        <v>1298</v>
      </c>
      <c r="C9993" t="s">
        <v>653</v>
      </c>
      <c r="D9993" t="s">
        <v>1411</v>
      </c>
      <c r="E9993" t="s">
        <v>187</v>
      </c>
      <c r="F9993">
        <v>2016</v>
      </c>
      <c r="G9993">
        <v>167.928361</v>
      </c>
    </row>
    <row r="9994" spans="1:7">
      <c r="A9994" t="s">
        <v>1297</v>
      </c>
      <c r="B9994" t="s">
        <v>1298</v>
      </c>
      <c r="C9994" t="s">
        <v>653</v>
      </c>
      <c r="D9994" t="s">
        <v>1411</v>
      </c>
      <c r="E9994" t="s">
        <v>187</v>
      </c>
      <c r="F9994">
        <v>2020</v>
      </c>
      <c r="G9994">
        <v>180.10617099999999</v>
      </c>
    </row>
    <row r="9995" spans="1:7">
      <c r="A9995" t="s">
        <v>1297</v>
      </c>
      <c r="B9995" t="s">
        <v>1298</v>
      </c>
      <c r="C9995" t="s">
        <v>659</v>
      </c>
      <c r="D9995" t="s">
        <v>1411</v>
      </c>
      <c r="E9995" t="s">
        <v>187</v>
      </c>
      <c r="F9995">
        <v>2005</v>
      </c>
      <c r="G9995">
        <v>621.4212</v>
      </c>
    </row>
    <row r="9996" spans="1:7">
      <c r="A9996" t="s">
        <v>1297</v>
      </c>
      <c r="B9996" t="s">
        <v>1298</v>
      </c>
      <c r="C9996" t="s">
        <v>659</v>
      </c>
      <c r="D9996" t="s">
        <v>1411</v>
      </c>
      <c r="E9996" t="s">
        <v>187</v>
      </c>
      <c r="F9996">
        <v>2010</v>
      </c>
      <c r="G9996">
        <v>675.53180599999996</v>
      </c>
    </row>
    <row r="9997" spans="1:7">
      <c r="A9997" t="s">
        <v>1297</v>
      </c>
      <c r="B9997" t="s">
        <v>1298</v>
      </c>
      <c r="C9997" t="s">
        <v>659</v>
      </c>
      <c r="D9997" t="s">
        <v>1411</v>
      </c>
      <c r="E9997" t="s">
        <v>187</v>
      </c>
      <c r="F9997">
        <v>2012</v>
      </c>
      <c r="G9997">
        <v>669.49025400000005</v>
      </c>
    </row>
    <row r="9998" spans="1:7">
      <c r="A9998" t="s">
        <v>1297</v>
      </c>
      <c r="B9998" t="s">
        <v>1298</v>
      </c>
      <c r="C9998" t="s">
        <v>659</v>
      </c>
      <c r="D9998" t="s">
        <v>1411</v>
      </c>
      <c r="E9998" t="s">
        <v>187</v>
      </c>
      <c r="F9998">
        <v>2016</v>
      </c>
      <c r="G9998">
        <v>639.44577700000002</v>
      </c>
    </row>
    <row r="9999" spans="1:7">
      <c r="A9999" t="s">
        <v>1297</v>
      </c>
      <c r="B9999" t="s">
        <v>1298</v>
      </c>
      <c r="C9999" t="s">
        <v>659</v>
      </c>
      <c r="D9999" t="s">
        <v>1411</v>
      </c>
      <c r="E9999" t="s">
        <v>187</v>
      </c>
      <c r="F9999">
        <v>2020</v>
      </c>
      <c r="G9999">
        <v>637.14722400000005</v>
      </c>
    </row>
    <row r="10000" spans="1:7">
      <c r="A10000" t="s">
        <v>1297</v>
      </c>
      <c r="B10000" t="s">
        <v>1298</v>
      </c>
      <c r="C10000" t="s">
        <v>655</v>
      </c>
      <c r="D10000" t="s">
        <v>1411</v>
      </c>
      <c r="E10000" t="s">
        <v>187</v>
      </c>
      <c r="F10000">
        <v>2005</v>
      </c>
      <c r="G10000">
        <v>270.35039999999998</v>
      </c>
    </row>
    <row r="10001" spans="1:7">
      <c r="A10001" t="s">
        <v>1297</v>
      </c>
      <c r="B10001" t="s">
        <v>1298</v>
      </c>
      <c r="C10001" t="s">
        <v>655</v>
      </c>
      <c r="D10001" t="s">
        <v>1411</v>
      </c>
      <c r="E10001" t="s">
        <v>187</v>
      </c>
      <c r="F10001">
        <v>2010</v>
      </c>
      <c r="G10001">
        <v>299.79139800000002</v>
      </c>
    </row>
    <row r="10002" spans="1:7">
      <c r="A10002" t="s">
        <v>1297</v>
      </c>
      <c r="B10002" t="s">
        <v>1298</v>
      </c>
      <c r="C10002" t="s">
        <v>655</v>
      </c>
      <c r="D10002" t="s">
        <v>1411</v>
      </c>
      <c r="E10002" t="s">
        <v>187</v>
      </c>
      <c r="F10002">
        <v>2012</v>
      </c>
      <c r="G10002">
        <v>321.294422</v>
      </c>
    </row>
    <row r="10003" spans="1:7">
      <c r="A10003" t="s">
        <v>1297</v>
      </c>
      <c r="B10003" t="s">
        <v>1298</v>
      </c>
      <c r="C10003" t="s">
        <v>655</v>
      </c>
      <c r="D10003" t="s">
        <v>1411</v>
      </c>
      <c r="E10003" t="s">
        <v>187</v>
      </c>
      <c r="F10003">
        <v>2016</v>
      </c>
      <c r="G10003">
        <v>250.265873</v>
      </c>
    </row>
    <row r="10004" spans="1:7">
      <c r="A10004" t="s">
        <v>1297</v>
      </c>
      <c r="B10004" t="s">
        <v>1298</v>
      </c>
      <c r="C10004" t="s">
        <v>655</v>
      </c>
      <c r="D10004" t="s">
        <v>1411</v>
      </c>
      <c r="E10004" t="s">
        <v>187</v>
      </c>
      <c r="F10004">
        <v>2020</v>
      </c>
      <c r="G10004">
        <v>316.02821599999999</v>
      </c>
    </row>
    <row r="10005" spans="1:7">
      <c r="A10005" t="s">
        <v>1297</v>
      </c>
      <c r="B10005" t="s">
        <v>1298</v>
      </c>
      <c r="C10005" t="s">
        <v>675</v>
      </c>
      <c r="D10005" t="s">
        <v>1411</v>
      </c>
      <c r="E10005" t="s">
        <v>187</v>
      </c>
      <c r="F10005">
        <v>2005</v>
      </c>
      <c r="G10005">
        <v>63.547199999999997</v>
      </c>
    </row>
    <row r="10006" spans="1:7">
      <c r="A10006" t="s">
        <v>1297</v>
      </c>
      <c r="B10006" t="s">
        <v>1298</v>
      </c>
      <c r="C10006" t="s">
        <v>675</v>
      </c>
      <c r="D10006" t="s">
        <v>1411</v>
      </c>
      <c r="E10006" t="s">
        <v>187</v>
      </c>
      <c r="F10006">
        <v>2010</v>
      </c>
      <c r="G10006">
        <v>55.903827999999997</v>
      </c>
    </row>
    <row r="10007" spans="1:7">
      <c r="A10007" t="s">
        <v>1297</v>
      </c>
      <c r="B10007" t="s">
        <v>1298</v>
      </c>
      <c r="C10007" t="s">
        <v>675</v>
      </c>
      <c r="D10007" t="s">
        <v>1411</v>
      </c>
      <c r="E10007" t="s">
        <v>187</v>
      </c>
      <c r="F10007">
        <v>2012</v>
      </c>
      <c r="G10007">
        <v>54.768886999999999</v>
      </c>
    </row>
    <row r="10008" spans="1:7">
      <c r="A10008" t="s">
        <v>1297</v>
      </c>
      <c r="B10008" t="s">
        <v>1298</v>
      </c>
      <c r="C10008" t="s">
        <v>675</v>
      </c>
      <c r="D10008" t="s">
        <v>1411</v>
      </c>
      <c r="E10008" t="s">
        <v>187</v>
      </c>
      <c r="F10008">
        <v>2016</v>
      </c>
      <c r="G10008">
        <v>56.465108000000001</v>
      </c>
    </row>
    <row r="10009" spans="1:7">
      <c r="A10009" t="s">
        <v>1297</v>
      </c>
      <c r="B10009" t="s">
        <v>1298</v>
      </c>
      <c r="C10009" t="s">
        <v>675</v>
      </c>
      <c r="D10009" t="s">
        <v>1411</v>
      </c>
      <c r="E10009" t="s">
        <v>187</v>
      </c>
      <c r="F10009">
        <v>2020</v>
      </c>
      <c r="G10009">
        <v>57.576873999999997</v>
      </c>
    </row>
    <row r="10010" spans="1:7">
      <c r="A10010" t="s">
        <v>1297</v>
      </c>
      <c r="B10010" t="s">
        <v>1298</v>
      </c>
      <c r="C10010" t="s">
        <v>676</v>
      </c>
      <c r="D10010" t="s">
        <v>1411</v>
      </c>
      <c r="E10010" t="s">
        <v>187</v>
      </c>
      <c r="F10010">
        <v>2005</v>
      </c>
      <c r="G10010">
        <v>198.1506</v>
      </c>
    </row>
    <row r="10011" spans="1:7">
      <c r="A10011" t="s">
        <v>1297</v>
      </c>
      <c r="B10011" t="s">
        <v>1298</v>
      </c>
      <c r="C10011" t="s">
        <v>660</v>
      </c>
      <c r="D10011" t="s">
        <v>1412</v>
      </c>
      <c r="E10011" t="s">
        <v>187</v>
      </c>
      <c r="F10011">
        <v>2005</v>
      </c>
      <c r="G10011">
        <v>2.0981049999999999</v>
      </c>
    </row>
    <row r="10012" spans="1:7">
      <c r="A10012" t="s">
        <v>1297</v>
      </c>
      <c r="B10012" t="s">
        <v>1298</v>
      </c>
      <c r="C10012" t="s">
        <v>660</v>
      </c>
      <c r="D10012" t="s">
        <v>1412</v>
      </c>
      <c r="E10012" t="s">
        <v>187</v>
      </c>
      <c r="F10012">
        <v>2010</v>
      </c>
      <c r="G10012">
        <v>1.5156780000000001</v>
      </c>
    </row>
    <row r="10013" spans="1:7">
      <c r="A10013" t="s">
        <v>1297</v>
      </c>
      <c r="B10013" t="s">
        <v>1298</v>
      </c>
      <c r="C10013" t="s">
        <v>660</v>
      </c>
      <c r="D10013" t="s">
        <v>1412</v>
      </c>
      <c r="E10013" t="s">
        <v>187</v>
      </c>
      <c r="F10013">
        <v>2012</v>
      </c>
      <c r="G10013">
        <v>1.545552</v>
      </c>
    </row>
    <row r="10014" spans="1:7">
      <c r="A10014" t="s">
        <v>1297</v>
      </c>
      <c r="B10014" t="s">
        <v>1298</v>
      </c>
      <c r="C10014" t="s">
        <v>660</v>
      </c>
      <c r="D10014" t="s">
        <v>1412</v>
      </c>
      <c r="E10014" t="s">
        <v>187</v>
      </c>
      <c r="F10014">
        <v>2016</v>
      </c>
      <c r="G10014">
        <v>0.89587799999999995</v>
      </c>
    </row>
    <row r="10015" spans="1:7">
      <c r="A10015" t="s">
        <v>1297</v>
      </c>
      <c r="B10015" t="s">
        <v>1298</v>
      </c>
      <c r="C10015" t="s">
        <v>660</v>
      </c>
      <c r="D10015" t="s">
        <v>1412</v>
      </c>
      <c r="E10015" t="s">
        <v>187</v>
      </c>
      <c r="F10015">
        <v>2020</v>
      </c>
      <c r="G10015">
        <v>0.43559999999999999</v>
      </c>
    </row>
    <row r="10016" spans="1:7">
      <c r="A10016" t="s">
        <v>1297</v>
      </c>
      <c r="B10016" t="s">
        <v>1298</v>
      </c>
      <c r="C10016" t="s">
        <v>673</v>
      </c>
      <c r="D10016" t="s">
        <v>1412</v>
      </c>
      <c r="E10016" t="s">
        <v>187</v>
      </c>
      <c r="F10016">
        <v>2005</v>
      </c>
      <c r="G10016">
        <v>5.7432809999999996</v>
      </c>
    </row>
    <row r="10017" spans="1:7">
      <c r="A10017" t="s">
        <v>1297</v>
      </c>
      <c r="B10017" t="s">
        <v>1298</v>
      </c>
      <c r="C10017" t="s">
        <v>673</v>
      </c>
      <c r="D10017" t="s">
        <v>1412</v>
      </c>
      <c r="E10017" t="s">
        <v>187</v>
      </c>
      <c r="F10017">
        <v>2010</v>
      </c>
      <c r="G10017">
        <v>0.47732799999999997</v>
      </c>
    </row>
    <row r="10018" spans="1:7">
      <c r="A10018" t="s">
        <v>1297</v>
      </c>
      <c r="B10018" t="s">
        <v>1298</v>
      </c>
      <c r="C10018" t="s">
        <v>673</v>
      </c>
      <c r="D10018" t="s">
        <v>1412</v>
      </c>
      <c r="E10018" t="s">
        <v>187</v>
      </c>
      <c r="F10018">
        <v>2012</v>
      </c>
      <c r="G10018">
        <v>0.12310599999999999</v>
      </c>
    </row>
    <row r="10019" spans="1:7">
      <c r="A10019" t="s">
        <v>1297</v>
      </c>
      <c r="B10019" t="s">
        <v>1298</v>
      </c>
      <c r="C10019" t="s">
        <v>673</v>
      </c>
      <c r="D10019" t="s">
        <v>1412</v>
      </c>
      <c r="E10019" t="s">
        <v>187</v>
      </c>
      <c r="F10019">
        <v>2016</v>
      </c>
      <c r="G10019">
        <v>4.2435E-2</v>
      </c>
    </row>
    <row r="10020" spans="1:7">
      <c r="A10020" t="s">
        <v>1297</v>
      </c>
      <c r="B10020" t="s">
        <v>1298</v>
      </c>
      <c r="C10020" t="s">
        <v>673</v>
      </c>
      <c r="D10020" t="s">
        <v>1412</v>
      </c>
      <c r="E10020" t="s">
        <v>187</v>
      </c>
      <c r="F10020">
        <v>2020</v>
      </c>
      <c r="G10020">
        <v>8.8751999999999998E-2</v>
      </c>
    </row>
    <row r="10021" spans="1:7">
      <c r="A10021" t="s">
        <v>1297</v>
      </c>
      <c r="B10021" t="s">
        <v>1298</v>
      </c>
      <c r="C10021" t="s">
        <v>681</v>
      </c>
      <c r="D10021" t="s">
        <v>1412</v>
      </c>
      <c r="E10021" t="s">
        <v>187</v>
      </c>
      <c r="F10021">
        <v>2016</v>
      </c>
      <c r="G10021">
        <v>0.24551400000000001</v>
      </c>
    </row>
    <row r="10022" spans="1:7">
      <c r="A10022" t="s">
        <v>1297</v>
      </c>
      <c r="B10022" t="s">
        <v>1298</v>
      </c>
      <c r="C10022" t="s">
        <v>681</v>
      </c>
      <c r="D10022" t="s">
        <v>1412</v>
      </c>
      <c r="E10022" t="s">
        <v>187</v>
      </c>
      <c r="F10022">
        <v>2020</v>
      </c>
      <c r="G10022">
        <v>0.20321900000000001</v>
      </c>
    </row>
    <row r="10023" spans="1:7">
      <c r="A10023" t="s">
        <v>1297</v>
      </c>
      <c r="B10023" t="s">
        <v>1298</v>
      </c>
      <c r="C10023" t="s">
        <v>686</v>
      </c>
      <c r="D10023" t="s">
        <v>1412</v>
      </c>
      <c r="E10023" t="s">
        <v>187</v>
      </c>
      <c r="F10023">
        <v>2010</v>
      </c>
      <c r="G10023">
        <v>0.92920000000000003</v>
      </c>
    </row>
    <row r="10024" spans="1:7">
      <c r="A10024" t="s">
        <v>1297</v>
      </c>
      <c r="B10024" t="s">
        <v>1298</v>
      </c>
      <c r="C10024" t="s">
        <v>686</v>
      </c>
      <c r="D10024" t="s">
        <v>1412</v>
      </c>
      <c r="E10024" t="s">
        <v>187</v>
      </c>
      <c r="F10024">
        <v>2012</v>
      </c>
      <c r="G10024">
        <v>0.84840000000000004</v>
      </c>
    </row>
    <row r="10025" spans="1:7">
      <c r="A10025" t="s">
        <v>1297</v>
      </c>
      <c r="B10025" t="s">
        <v>1298</v>
      </c>
      <c r="C10025" t="s">
        <v>1300</v>
      </c>
      <c r="D10025" t="s">
        <v>1412</v>
      </c>
      <c r="E10025" t="s">
        <v>187</v>
      </c>
      <c r="F10025">
        <v>2010</v>
      </c>
      <c r="G10025">
        <v>0.13233300000000001</v>
      </c>
    </row>
    <row r="10026" spans="1:7">
      <c r="A10026" t="s">
        <v>1297</v>
      </c>
      <c r="B10026" t="s">
        <v>1298</v>
      </c>
      <c r="C10026" t="s">
        <v>1300</v>
      </c>
      <c r="D10026" t="s">
        <v>1412</v>
      </c>
      <c r="E10026" t="s">
        <v>187</v>
      </c>
      <c r="F10026">
        <v>2012</v>
      </c>
      <c r="G10026">
        <v>0.13233300000000001</v>
      </c>
    </row>
    <row r="10027" spans="1:7">
      <c r="A10027" t="s">
        <v>1297</v>
      </c>
      <c r="B10027" t="s">
        <v>1298</v>
      </c>
      <c r="C10027" t="s">
        <v>1300</v>
      </c>
      <c r="D10027" t="s">
        <v>1412</v>
      </c>
      <c r="E10027" t="s">
        <v>187</v>
      </c>
      <c r="F10027">
        <v>2016</v>
      </c>
      <c r="G10027">
        <v>0.132329</v>
      </c>
    </row>
    <row r="10028" spans="1:7">
      <c r="A10028" t="s">
        <v>1297</v>
      </c>
      <c r="B10028" t="s">
        <v>1298</v>
      </c>
      <c r="C10028" t="s">
        <v>1300</v>
      </c>
      <c r="D10028" t="s">
        <v>1412</v>
      </c>
      <c r="E10028" t="s">
        <v>187</v>
      </c>
      <c r="F10028">
        <v>2020</v>
      </c>
      <c r="G10028">
        <v>0.121404</v>
      </c>
    </row>
    <row r="10029" spans="1:7">
      <c r="A10029" t="s">
        <v>1297</v>
      </c>
      <c r="B10029" t="s">
        <v>1298</v>
      </c>
      <c r="C10029" t="s">
        <v>666</v>
      </c>
      <c r="D10029" t="s">
        <v>1412</v>
      </c>
      <c r="E10029" t="s">
        <v>187</v>
      </c>
      <c r="F10029">
        <v>2005</v>
      </c>
      <c r="G10029">
        <v>0.25873000000000002</v>
      </c>
    </row>
    <row r="10030" spans="1:7">
      <c r="A10030" t="s">
        <v>1297</v>
      </c>
      <c r="B10030" t="s">
        <v>1298</v>
      </c>
      <c r="C10030" t="s">
        <v>666</v>
      </c>
      <c r="D10030" t="s">
        <v>1412</v>
      </c>
      <c r="E10030" t="s">
        <v>187</v>
      </c>
      <c r="F10030">
        <v>2010</v>
      </c>
      <c r="G10030">
        <v>0.17735000000000001</v>
      </c>
    </row>
    <row r="10031" spans="1:7">
      <c r="A10031" t="s">
        <v>1297</v>
      </c>
      <c r="B10031" t="s">
        <v>1298</v>
      </c>
      <c r="C10031" t="s">
        <v>666</v>
      </c>
      <c r="D10031" t="s">
        <v>1412</v>
      </c>
      <c r="E10031" t="s">
        <v>187</v>
      </c>
      <c r="F10031">
        <v>2012</v>
      </c>
      <c r="G10031">
        <v>0.13256000000000001</v>
      </c>
    </row>
    <row r="10032" spans="1:7">
      <c r="A10032" t="s">
        <v>1297</v>
      </c>
      <c r="B10032" t="s">
        <v>1298</v>
      </c>
      <c r="C10032" t="s">
        <v>666</v>
      </c>
      <c r="D10032" t="s">
        <v>1412</v>
      </c>
      <c r="E10032" t="s">
        <v>187</v>
      </c>
      <c r="F10032">
        <v>2020</v>
      </c>
      <c r="G10032">
        <v>4.87E-2</v>
      </c>
    </row>
    <row r="10033" spans="1:7">
      <c r="A10033" t="s">
        <v>1297</v>
      </c>
      <c r="B10033" t="s">
        <v>1298</v>
      </c>
      <c r="C10033" t="s">
        <v>672</v>
      </c>
      <c r="D10033" t="s">
        <v>1412</v>
      </c>
      <c r="E10033" t="s">
        <v>187</v>
      </c>
      <c r="F10033">
        <v>2005</v>
      </c>
      <c r="G10033">
        <v>0.30729000000000001</v>
      </c>
    </row>
    <row r="10034" spans="1:7">
      <c r="A10034" t="s">
        <v>1297</v>
      </c>
      <c r="B10034" t="s">
        <v>1298</v>
      </c>
      <c r="C10034" t="s">
        <v>1299</v>
      </c>
      <c r="D10034" t="s">
        <v>1412</v>
      </c>
      <c r="E10034" t="s">
        <v>187</v>
      </c>
      <c r="F10034">
        <v>2005</v>
      </c>
      <c r="G10034">
        <v>0.56927000000000005</v>
      </c>
    </row>
    <row r="10035" spans="1:7">
      <c r="A10035" t="s">
        <v>1297</v>
      </c>
      <c r="B10035" t="s">
        <v>1298</v>
      </c>
      <c r="C10035" t="s">
        <v>1299</v>
      </c>
      <c r="D10035" t="s">
        <v>1412</v>
      </c>
      <c r="E10035" t="s">
        <v>187</v>
      </c>
      <c r="F10035">
        <v>2010</v>
      </c>
      <c r="G10035">
        <v>0.77172399999999997</v>
      </c>
    </row>
    <row r="10036" spans="1:7">
      <c r="A10036" t="s">
        <v>1297</v>
      </c>
      <c r="B10036" t="s">
        <v>1298</v>
      </c>
      <c r="C10036" t="s">
        <v>1299</v>
      </c>
      <c r="D10036" t="s">
        <v>1412</v>
      </c>
      <c r="E10036" t="s">
        <v>187</v>
      </c>
      <c r="F10036">
        <v>2012</v>
      </c>
      <c r="G10036">
        <v>0.51076999999999995</v>
      </c>
    </row>
    <row r="10037" spans="1:7">
      <c r="A10037" t="s">
        <v>1297</v>
      </c>
      <c r="B10037" t="s">
        <v>1298</v>
      </c>
      <c r="C10037" t="s">
        <v>1299</v>
      </c>
      <c r="D10037" t="s">
        <v>1412</v>
      </c>
      <c r="E10037" t="s">
        <v>187</v>
      </c>
      <c r="F10037">
        <v>2016</v>
      </c>
      <c r="G10037">
        <v>0.34053899999999998</v>
      </c>
    </row>
    <row r="10038" spans="1:7">
      <c r="A10038" t="s">
        <v>1297</v>
      </c>
      <c r="B10038" t="s">
        <v>1298</v>
      </c>
      <c r="C10038" t="s">
        <v>1299</v>
      </c>
      <c r="D10038" t="s">
        <v>1412</v>
      </c>
      <c r="E10038" t="s">
        <v>187</v>
      </c>
      <c r="F10038">
        <v>2020</v>
      </c>
      <c r="G10038">
        <v>0.25246200000000002</v>
      </c>
    </row>
    <row r="10039" spans="1:7">
      <c r="A10039" t="s">
        <v>1297</v>
      </c>
      <c r="B10039" t="s">
        <v>1298</v>
      </c>
      <c r="C10039" t="s">
        <v>653</v>
      </c>
      <c r="D10039" t="s">
        <v>1412</v>
      </c>
      <c r="E10039" t="s">
        <v>187</v>
      </c>
      <c r="F10039">
        <v>2016</v>
      </c>
      <c r="G10039">
        <v>4.2299999999999997E-2</v>
      </c>
    </row>
    <row r="10040" spans="1:7">
      <c r="A10040" t="s">
        <v>1297</v>
      </c>
      <c r="B10040" t="s">
        <v>1298</v>
      </c>
      <c r="C10040" t="s">
        <v>653</v>
      </c>
      <c r="D10040" t="s">
        <v>1412</v>
      </c>
      <c r="E10040" t="s">
        <v>187</v>
      </c>
      <c r="F10040">
        <v>2020</v>
      </c>
      <c r="G10040">
        <v>6.5804000000000001E-2</v>
      </c>
    </row>
    <row r="10041" spans="1:7">
      <c r="A10041" t="s">
        <v>1297</v>
      </c>
      <c r="B10041" t="s">
        <v>1298</v>
      </c>
      <c r="C10041" t="s">
        <v>676</v>
      </c>
      <c r="D10041" t="s">
        <v>1412</v>
      </c>
      <c r="E10041" t="s">
        <v>187</v>
      </c>
      <c r="F10041">
        <v>2010</v>
      </c>
      <c r="G10041">
        <v>4.2999999999999997E-2</v>
      </c>
    </row>
    <row r="10042" spans="1:7">
      <c r="A10042" t="s">
        <v>1297</v>
      </c>
      <c r="B10042" t="s">
        <v>1298</v>
      </c>
      <c r="C10042" t="s">
        <v>676</v>
      </c>
      <c r="D10042" t="s">
        <v>1412</v>
      </c>
      <c r="E10042" t="s">
        <v>187</v>
      </c>
      <c r="F10042">
        <v>2012</v>
      </c>
      <c r="G10042">
        <v>0.16905999999999999</v>
      </c>
    </row>
    <row r="10043" spans="1:7">
      <c r="A10043" t="s">
        <v>1297</v>
      </c>
      <c r="B10043" t="s">
        <v>1298</v>
      </c>
      <c r="C10043" t="s">
        <v>663</v>
      </c>
      <c r="D10043" t="s">
        <v>1413</v>
      </c>
      <c r="E10043" t="s">
        <v>187</v>
      </c>
      <c r="F10043">
        <v>2012</v>
      </c>
      <c r="G10043">
        <v>114.93980000000001</v>
      </c>
    </row>
    <row r="10044" spans="1:7">
      <c r="A10044" t="s">
        <v>1297</v>
      </c>
      <c r="B10044" t="s">
        <v>1298</v>
      </c>
      <c r="C10044" t="s">
        <v>671</v>
      </c>
      <c r="D10044" t="s">
        <v>1413</v>
      </c>
      <c r="E10044" t="s">
        <v>187</v>
      </c>
      <c r="F10044">
        <v>2005</v>
      </c>
      <c r="G10044">
        <v>125.007048</v>
      </c>
    </row>
    <row r="10045" spans="1:7">
      <c r="A10045" t="s">
        <v>1297</v>
      </c>
      <c r="B10045" t="s">
        <v>1298</v>
      </c>
      <c r="C10045" t="s">
        <v>671</v>
      </c>
      <c r="D10045" t="s">
        <v>1413</v>
      </c>
      <c r="E10045" t="s">
        <v>187</v>
      </c>
      <c r="F10045">
        <v>2010</v>
      </c>
      <c r="G10045">
        <v>147.403977</v>
      </c>
    </row>
    <row r="10046" spans="1:7">
      <c r="A10046" t="s">
        <v>1297</v>
      </c>
      <c r="B10046" t="s">
        <v>1298</v>
      </c>
      <c r="C10046" t="s">
        <v>671</v>
      </c>
      <c r="D10046" t="s">
        <v>1413</v>
      </c>
      <c r="E10046" t="s">
        <v>187</v>
      </c>
      <c r="F10046">
        <v>2012</v>
      </c>
      <c r="G10046">
        <v>246.654009</v>
      </c>
    </row>
    <row r="10047" spans="1:7">
      <c r="A10047" t="s">
        <v>1297</v>
      </c>
      <c r="B10047" t="s">
        <v>1298</v>
      </c>
      <c r="C10047" t="s">
        <v>681</v>
      </c>
      <c r="D10047" t="s">
        <v>1413</v>
      </c>
      <c r="E10047" t="s">
        <v>187</v>
      </c>
      <c r="F10047">
        <v>2005</v>
      </c>
      <c r="G10047">
        <v>1.9099710000000001</v>
      </c>
    </row>
    <row r="10048" spans="1:7">
      <c r="A10048" t="s">
        <v>1297</v>
      </c>
      <c r="B10048" t="s">
        <v>1298</v>
      </c>
      <c r="C10048" t="s">
        <v>681</v>
      </c>
      <c r="D10048" t="s">
        <v>1413</v>
      </c>
      <c r="E10048" t="s">
        <v>187</v>
      </c>
      <c r="F10048">
        <v>2010</v>
      </c>
      <c r="G10048">
        <v>20.985288000000001</v>
      </c>
    </row>
    <row r="10049" spans="1:7">
      <c r="A10049" t="s">
        <v>1297</v>
      </c>
      <c r="B10049" t="s">
        <v>1298</v>
      </c>
      <c r="C10049" t="s">
        <v>681</v>
      </c>
      <c r="D10049" t="s">
        <v>1413</v>
      </c>
      <c r="E10049" t="s">
        <v>187</v>
      </c>
      <c r="F10049">
        <v>2012</v>
      </c>
      <c r="G10049">
        <v>40.849224</v>
      </c>
    </row>
    <row r="10050" spans="1:7">
      <c r="A10050" t="s">
        <v>1297</v>
      </c>
      <c r="B10050" t="s">
        <v>1298</v>
      </c>
      <c r="C10050" t="s">
        <v>681</v>
      </c>
      <c r="D10050" t="s">
        <v>1413</v>
      </c>
      <c r="E10050" t="s">
        <v>187</v>
      </c>
      <c r="F10050">
        <v>2016</v>
      </c>
      <c r="G10050">
        <v>37.908042000000002</v>
      </c>
    </row>
    <row r="10051" spans="1:7">
      <c r="A10051" t="s">
        <v>1297</v>
      </c>
      <c r="B10051" t="s">
        <v>1298</v>
      </c>
      <c r="C10051" t="s">
        <v>681</v>
      </c>
      <c r="D10051" t="s">
        <v>1413</v>
      </c>
      <c r="E10051" t="s">
        <v>187</v>
      </c>
      <c r="F10051">
        <v>2020</v>
      </c>
      <c r="G10051">
        <v>33.738270999999997</v>
      </c>
    </row>
    <row r="10052" spans="1:7">
      <c r="A10052" t="s">
        <v>1297</v>
      </c>
      <c r="B10052" t="s">
        <v>1298</v>
      </c>
      <c r="C10052" t="s">
        <v>666</v>
      </c>
      <c r="D10052" t="s">
        <v>1413</v>
      </c>
      <c r="E10052" t="s">
        <v>187</v>
      </c>
      <c r="F10052">
        <v>2005</v>
      </c>
      <c r="G10052">
        <v>292.46109000000001</v>
      </c>
    </row>
    <row r="10053" spans="1:7">
      <c r="A10053" t="s">
        <v>1297</v>
      </c>
      <c r="B10053" t="s">
        <v>1298</v>
      </c>
      <c r="C10053" t="s">
        <v>666</v>
      </c>
      <c r="D10053" t="s">
        <v>1413</v>
      </c>
      <c r="E10053" t="s">
        <v>187</v>
      </c>
      <c r="F10053">
        <v>2010</v>
      </c>
      <c r="G10053">
        <v>318.20305000000002</v>
      </c>
    </row>
    <row r="10054" spans="1:7">
      <c r="A10054" t="s">
        <v>1297</v>
      </c>
      <c r="B10054" t="s">
        <v>1298</v>
      </c>
      <c r="C10054" t="s">
        <v>666</v>
      </c>
      <c r="D10054" t="s">
        <v>1413</v>
      </c>
      <c r="E10054" t="s">
        <v>187</v>
      </c>
      <c r="F10054">
        <v>2012</v>
      </c>
      <c r="G10054">
        <v>329.20220999999998</v>
      </c>
    </row>
    <row r="10055" spans="1:7">
      <c r="A10055" t="s">
        <v>1297</v>
      </c>
      <c r="B10055" t="s">
        <v>1298</v>
      </c>
      <c r="C10055" t="s">
        <v>666</v>
      </c>
      <c r="D10055" t="s">
        <v>1413</v>
      </c>
      <c r="E10055" t="s">
        <v>187</v>
      </c>
      <c r="F10055">
        <v>2016</v>
      </c>
      <c r="G10055">
        <v>363.06174600000003</v>
      </c>
    </row>
    <row r="10056" spans="1:7">
      <c r="A10056" t="s">
        <v>1297</v>
      </c>
      <c r="B10056" t="s">
        <v>1298</v>
      </c>
      <c r="C10056" t="s">
        <v>666</v>
      </c>
      <c r="D10056" t="s">
        <v>1413</v>
      </c>
      <c r="E10056" t="s">
        <v>187</v>
      </c>
      <c r="F10056">
        <v>2020</v>
      </c>
      <c r="G10056">
        <v>317.48281300000002</v>
      </c>
    </row>
    <row r="10057" spans="1:7">
      <c r="A10057" t="s">
        <v>1297</v>
      </c>
      <c r="B10057" t="s">
        <v>1298</v>
      </c>
      <c r="C10057" t="s">
        <v>672</v>
      </c>
      <c r="D10057" t="s">
        <v>1413</v>
      </c>
      <c r="E10057" t="s">
        <v>187</v>
      </c>
      <c r="F10057">
        <v>2005</v>
      </c>
      <c r="G10057">
        <v>101.12282999999999</v>
      </c>
    </row>
    <row r="10058" spans="1:7">
      <c r="A10058" t="s">
        <v>1297</v>
      </c>
      <c r="B10058" t="s">
        <v>1298</v>
      </c>
      <c r="C10058" t="s">
        <v>672</v>
      </c>
      <c r="D10058" t="s">
        <v>1413</v>
      </c>
      <c r="E10058" t="s">
        <v>187</v>
      </c>
      <c r="F10058">
        <v>2010</v>
      </c>
      <c r="G10058">
        <v>119.88565</v>
      </c>
    </row>
    <row r="10059" spans="1:7">
      <c r="A10059" t="s">
        <v>1297</v>
      </c>
      <c r="B10059" t="s">
        <v>1298</v>
      </c>
      <c r="C10059" t="s">
        <v>672</v>
      </c>
      <c r="D10059" t="s">
        <v>1413</v>
      </c>
      <c r="E10059" t="s">
        <v>187</v>
      </c>
      <c r="F10059">
        <v>2012</v>
      </c>
      <c r="G10059">
        <v>156.2013</v>
      </c>
    </row>
    <row r="10060" spans="1:7">
      <c r="A10060" t="s">
        <v>1297</v>
      </c>
      <c r="B10060" t="s">
        <v>1298</v>
      </c>
      <c r="C10060" t="s">
        <v>672</v>
      </c>
      <c r="D10060" t="s">
        <v>1413</v>
      </c>
      <c r="E10060" t="s">
        <v>187</v>
      </c>
      <c r="F10060">
        <v>2016</v>
      </c>
      <c r="G10060">
        <v>284.26145000000002</v>
      </c>
    </row>
    <row r="10061" spans="1:7">
      <c r="A10061" t="s">
        <v>1297</v>
      </c>
      <c r="B10061" t="s">
        <v>1298</v>
      </c>
      <c r="C10061" t="s">
        <v>672</v>
      </c>
      <c r="D10061" t="s">
        <v>1413</v>
      </c>
      <c r="E10061" t="s">
        <v>187</v>
      </c>
      <c r="F10061">
        <v>2020</v>
      </c>
      <c r="G10061">
        <v>205.133836</v>
      </c>
    </row>
    <row r="10062" spans="1:7">
      <c r="A10062" t="s">
        <v>1297</v>
      </c>
      <c r="B10062" t="s">
        <v>1298</v>
      </c>
      <c r="C10062" t="s">
        <v>1302</v>
      </c>
      <c r="D10062" t="s">
        <v>1413</v>
      </c>
      <c r="E10062" t="s">
        <v>187</v>
      </c>
      <c r="F10062">
        <v>2012</v>
      </c>
      <c r="G10062">
        <v>3.7684000000000002E-2</v>
      </c>
    </row>
    <row r="10063" spans="1:7">
      <c r="A10063" t="s">
        <v>1297</v>
      </c>
      <c r="B10063" t="s">
        <v>1298</v>
      </c>
      <c r="C10063" t="s">
        <v>1302</v>
      </c>
      <c r="D10063" t="s">
        <v>1413</v>
      </c>
      <c r="E10063" t="s">
        <v>187</v>
      </c>
      <c r="F10063">
        <v>2016</v>
      </c>
      <c r="G10063">
        <v>0.364284</v>
      </c>
    </row>
    <row r="10064" spans="1:7">
      <c r="A10064" t="s">
        <v>1297</v>
      </c>
      <c r="B10064" t="s">
        <v>1298</v>
      </c>
      <c r="C10064" t="s">
        <v>1302</v>
      </c>
      <c r="D10064" t="s">
        <v>1413</v>
      </c>
      <c r="E10064" t="s">
        <v>187</v>
      </c>
      <c r="F10064">
        <v>2020</v>
      </c>
      <c r="G10064">
        <v>0.47839599999999999</v>
      </c>
    </row>
    <row r="10065" spans="1:7">
      <c r="A10065" t="s">
        <v>1297</v>
      </c>
      <c r="B10065" t="s">
        <v>1298</v>
      </c>
      <c r="C10065" t="s">
        <v>289</v>
      </c>
      <c r="D10065" t="s">
        <v>1413</v>
      </c>
      <c r="E10065" t="s">
        <v>187</v>
      </c>
      <c r="F10065">
        <v>2005</v>
      </c>
      <c r="G10065">
        <v>80.279870000000003</v>
      </c>
    </row>
    <row r="10066" spans="1:7">
      <c r="A10066" t="s">
        <v>1297</v>
      </c>
      <c r="B10066" t="s">
        <v>1298</v>
      </c>
      <c r="C10066" t="s">
        <v>289</v>
      </c>
      <c r="D10066" t="s">
        <v>1413</v>
      </c>
      <c r="E10066" t="s">
        <v>187</v>
      </c>
      <c r="F10066">
        <v>2010</v>
      </c>
      <c r="G10066">
        <v>82.123220000000003</v>
      </c>
    </row>
    <row r="10067" spans="1:7">
      <c r="A10067" t="s">
        <v>1297</v>
      </c>
      <c r="B10067" t="s">
        <v>1298</v>
      </c>
      <c r="C10067" t="s">
        <v>289</v>
      </c>
      <c r="D10067" t="s">
        <v>1413</v>
      </c>
      <c r="E10067" t="s">
        <v>187</v>
      </c>
      <c r="F10067">
        <v>2012</v>
      </c>
      <c r="G10067">
        <v>66.826920000000001</v>
      </c>
    </row>
    <row r="10068" spans="1:7">
      <c r="A10068" t="s">
        <v>1297</v>
      </c>
      <c r="B10068" t="s">
        <v>1298</v>
      </c>
      <c r="C10068" t="s">
        <v>289</v>
      </c>
      <c r="D10068" t="s">
        <v>1413</v>
      </c>
      <c r="E10068" t="s">
        <v>187</v>
      </c>
      <c r="F10068">
        <v>2016</v>
      </c>
      <c r="G10068">
        <v>88.713769999999997</v>
      </c>
    </row>
    <row r="10069" spans="1:7">
      <c r="A10069" t="s">
        <v>1297</v>
      </c>
      <c r="B10069" t="s">
        <v>1298</v>
      </c>
      <c r="C10069" t="s">
        <v>289</v>
      </c>
      <c r="D10069" t="s">
        <v>1413</v>
      </c>
      <c r="E10069" t="s">
        <v>187</v>
      </c>
      <c r="F10069">
        <v>2020</v>
      </c>
      <c r="G10069">
        <v>97.738850999999997</v>
      </c>
    </row>
    <row r="10070" spans="1:7">
      <c r="A10070" t="s">
        <v>1297</v>
      </c>
      <c r="B10070" t="s">
        <v>1298</v>
      </c>
      <c r="C10070" t="s">
        <v>664</v>
      </c>
      <c r="D10070" t="s">
        <v>1413</v>
      </c>
      <c r="E10070" t="s">
        <v>187</v>
      </c>
      <c r="F10070">
        <v>2005</v>
      </c>
      <c r="G10070">
        <v>61.311832000000003</v>
      </c>
    </row>
    <row r="10071" spans="1:7">
      <c r="A10071" t="s">
        <v>1297</v>
      </c>
      <c r="B10071" t="s">
        <v>1298</v>
      </c>
      <c r="C10071" t="s">
        <v>668</v>
      </c>
      <c r="D10071" t="s">
        <v>1413</v>
      </c>
      <c r="E10071" t="s">
        <v>187</v>
      </c>
      <c r="F10071">
        <v>2005</v>
      </c>
      <c r="G10071">
        <v>21.12349</v>
      </c>
    </row>
    <row r="10072" spans="1:7">
      <c r="A10072" t="s">
        <v>1297</v>
      </c>
      <c r="B10072" t="s">
        <v>1298</v>
      </c>
      <c r="C10072" t="s">
        <v>668</v>
      </c>
      <c r="D10072" t="s">
        <v>1413</v>
      </c>
      <c r="E10072" t="s">
        <v>187</v>
      </c>
      <c r="F10072">
        <v>2010</v>
      </c>
      <c r="G10072">
        <v>11.15991</v>
      </c>
    </row>
    <row r="10073" spans="1:7">
      <c r="A10073" t="s">
        <v>1297</v>
      </c>
      <c r="B10073" t="s">
        <v>1298</v>
      </c>
      <c r="C10073" t="s">
        <v>668</v>
      </c>
      <c r="D10073" t="s">
        <v>1413</v>
      </c>
      <c r="E10073" t="s">
        <v>187</v>
      </c>
      <c r="F10073">
        <v>2012</v>
      </c>
      <c r="G10073">
        <v>22.299720000000001</v>
      </c>
    </row>
    <row r="10074" spans="1:7">
      <c r="A10074" t="s">
        <v>1297</v>
      </c>
      <c r="B10074" t="s">
        <v>1298</v>
      </c>
      <c r="C10074" t="s">
        <v>668</v>
      </c>
      <c r="D10074" t="s">
        <v>1413</v>
      </c>
      <c r="E10074" t="s">
        <v>187</v>
      </c>
      <c r="F10074">
        <v>2016</v>
      </c>
      <c r="G10074">
        <v>34.71116</v>
      </c>
    </row>
    <row r="10075" spans="1:7">
      <c r="A10075" t="s">
        <v>1297</v>
      </c>
      <c r="B10075" t="s">
        <v>1298</v>
      </c>
      <c r="C10075" t="s">
        <v>668</v>
      </c>
      <c r="D10075" t="s">
        <v>1413</v>
      </c>
      <c r="E10075" t="s">
        <v>187</v>
      </c>
      <c r="F10075">
        <v>2020</v>
      </c>
      <c r="G10075">
        <v>20.568401999999999</v>
      </c>
    </row>
    <row r="10076" spans="1:7">
      <c r="A10076" t="s">
        <v>1297</v>
      </c>
      <c r="B10076" t="s">
        <v>1298</v>
      </c>
      <c r="C10076" t="s">
        <v>652</v>
      </c>
      <c r="D10076" t="s">
        <v>1413</v>
      </c>
      <c r="E10076" t="s">
        <v>187</v>
      </c>
      <c r="F10076">
        <v>2005</v>
      </c>
      <c r="G10076">
        <v>1084.7271579999999</v>
      </c>
    </row>
    <row r="10077" spans="1:7">
      <c r="A10077" t="s">
        <v>1297</v>
      </c>
      <c r="B10077" t="s">
        <v>1298</v>
      </c>
      <c r="C10077" t="s">
        <v>652</v>
      </c>
      <c r="D10077" t="s">
        <v>1413</v>
      </c>
      <c r="E10077" t="s">
        <v>187</v>
      </c>
      <c r="F10077">
        <v>2010</v>
      </c>
      <c r="G10077">
        <v>1014.306664</v>
      </c>
    </row>
    <row r="10078" spans="1:7">
      <c r="A10078" t="s">
        <v>1297</v>
      </c>
      <c r="B10078" t="s">
        <v>1298</v>
      </c>
      <c r="C10078" t="s">
        <v>652</v>
      </c>
      <c r="D10078" t="s">
        <v>1413</v>
      </c>
      <c r="E10078" t="s">
        <v>187</v>
      </c>
      <c r="F10078">
        <v>2012</v>
      </c>
      <c r="G10078">
        <v>1131.217394</v>
      </c>
    </row>
    <row r="10079" spans="1:7">
      <c r="A10079" t="s">
        <v>1297</v>
      </c>
      <c r="B10079" t="s">
        <v>1298</v>
      </c>
      <c r="C10079" t="s">
        <v>652</v>
      </c>
      <c r="D10079" t="s">
        <v>1413</v>
      </c>
      <c r="E10079" t="s">
        <v>187</v>
      </c>
      <c r="F10079">
        <v>2016</v>
      </c>
      <c r="G10079">
        <v>1241.310688</v>
      </c>
    </row>
    <row r="10080" spans="1:7">
      <c r="A10080" t="s">
        <v>1297</v>
      </c>
      <c r="B10080" t="s">
        <v>1298</v>
      </c>
      <c r="C10080" t="s">
        <v>652</v>
      </c>
      <c r="D10080" t="s">
        <v>1413</v>
      </c>
      <c r="E10080" t="s">
        <v>187</v>
      </c>
      <c r="F10080">
        <v>2020</v>
      </c>
      <c r="G10080">
        <v>1360.138183</v>
      </c>
    </row>
    <row r="10081" spans="1:7">
      <c r="A10081" t="s">
        <v>1297</v>
      </c>
      <c r="B10081" t="s">
        <v>1298</v>
      </c>
      <c r="C10081" t="s">
        <v>677</v>
      </c>
      <c r="D10081" t="s">
        <v>1413</v>
      </c>
      <c r="E10081" t="s">
        <v>187</v>
      </c>
      <c r="F10081">
        <v>2005</v>
      </c>
      <c r="G10081">
        <v>3630.1682249999999</v>
      </c>
    </row>
    <row r="10082" spans="1:7">
      <c r="A10082" t="s">
        <v>1297</v>
      </c>
      <c r="B10082" t="s">
        <v>1298</v>
      </c>
      <c r="C10082" t="s">
        <v>677</v>
      </c>
      <c r="D10082" t="s">
        <v>1413</v>
      </c>
      <c r="E10082" t="s">
        <v>187</v>
      </c>
      <c r="F10082">
        <v>2010</v>
      </c>
      <c r="G10082">
        <v>2945.9638690000002</v>
      </c>
    </row>
    <row r="10083" spans="1:7">
      <c r="A10083" t="s">
        <v>1297</v>
      </c>
      <c r="B10083" t="s">
        <v>1298</v>
      </c>
      <c r="C10083" t="s">
        <v>677</v>
      </c>
      <c r="D10083" t="s">
        <v>1413</v>
      </c>
      <c r="E10083" t="s">
        <v>187</v>
      </c>
      <c r="F10083">
        <v>2012</v>
      </c>
      <c r="G10083">
        <v>2635.1509350000001</v>
      </c>
    </row>
    <row r="10084" spans="1:7">
      <c r="A10084" t="s">
        <v>1297</v>
      </c>
      <c r="B10084" t="s">
        <v>1298</v>
      </c>
      <c r="C10084" t="s">
        <v>677</v>
      </c>
      <c r="D10084" t="s">
        <v>1413</v>
      </c>
      <c r="E10084" t="s">
        <v>187</v>
      </c>
      <c r="F10084">
        <v>2016</v>
      </c>
      <c r="G10084">
        <v>2567.7794859999999</v>
      </c>
    </row>
    <row r="10085" spans="1:7">
      <c r="A10085" t="s">
        <v>1297</v>
      </c>
      <c r="B10085" t="s">
        <v>1298</v>
      </c>
      <c r="C10085" t="s">
        <v>677</v>
      </c>
      <c r="D10085" t="s">
        <v>1413</v>
      </c>
      <c r="E10085" t="s">
        <v>187</v>
      </c>
      <c r="F10085">
        <v>2020</v>
      </c>
      <c r="G10085">
        <v>2846.2085889999998</v>
      </c>
    </row>
    <row r="10086" spans="1:7">
      <c r="A10086" t="s">
        <v>1297</v>
      </c>
      <c r="B10086" t="s">
        <v>1298</v>
      </c>
      <c r="C10086" t="s">
        <v>682</v>
      </c>
      <c r="D10086" t="s">
        <v>1413</v>
      </c>
      <c r="E10086" t="s">
        <v>187</v>
      </c>
      <c r="F10086">
        <v>2016</v>
      </c>
      <c r="G10086">
        <v>9.2616599999999991</v>
      </c>
    </row>
    <row r="10087" spans="1:7">
      <c r="A10087" t="s">
        <v>1297</v>
      </c>
      <c r="B10087" t="s">
        <v>1298</v>
      </c>
      <c r="C10087" t="s">
        <v>682</v>
      </c>
      <c r="D10087" t="s">
        <v>1413</v>
      </c>
      <c r="E10087" t="s">
        <v>187</v>
      </c>
      <c r="F10087">
        <v>2020</v>
      </c>
      <c r="G10087">
        <v>1.7086779999999999</v>
      </c>
    </row>
    <row r="10088" spans="1:7">
      <c r="A10088" t="s">
        <v>1297</v>
      </c>
      <c r="B10088" t="s">
        <v>1298</v>
      </c>
      <c r="C10088" t="s">
        <v>663</v>
      </c>
      <c r="D10088" t="s">
        <v>1413</v>
      </c>
      <c r="E10088" t="s">
        <v>187</v>
      </c>
      <c r="F10088">
        <v>2005</v>
      </c>
      <c r="G10088">
        <v>126.7161</v>
      </c>
    </row>
    <row r="10089" spans="1:7">
      <c r="A10089" t="s">
        <v>1297</v>
      </c>
      <c r="B10089" t="s">
        <v>1298</v>
      </c>
      <c r="C10089" t="s">
        <v>663</v>
      </c>
      <c r="D10089" t="s">
        <v>1413</v>
      </c>
      <c r="E10089" t="s">
        <v>187</v>
      </c>
      <c r="F10089">
        <v>2010</v>
      </c>
      <c r="G10089">
        <v>114.17028999999999</v>
      </c>
    </row>
    <row r="10090" spans="1:7">
      <c r="A10090" t="s">
        <v>1297</v>
      </c>
      <c r="B10090" t="s">
        <v>1298</v>
      </c>
      <c r="C10090" t="s">
        <v>658</v>
      </c>
      <c r="D10090" t="s">
        <v>1413</v>
      </c>
      <c r="E10090" t="s">
        <v>187</v>
      </c>
      <c r="F10090">
        <v>2005</v>
      </c>
      <c r="G10090">
        <v>9.3308400000000002</v>
      </c>
    </row>
    <row r="10091" spans="1:7">
      <c r="A10091" t="s">
        <v>1297</v>
      </c>
      <c r="B10091" t="s">
        <v>1298</v>
      </c>
      <c r="C10091" t="s">
        <v>658</v>
      </c>
      <c r="D10091" t="s">
        <v>1413</v>
      </c>
      <c r="E10091" t="s">
        <v>187</v>
      </c>
      <c r="F10091">
        <v>2010</v>
      </c>
      <c r="G10091">
        <v>15.498096</v>
      </c>
    </row>
    <row r="10092" spans="1:7">
      <c r="A10092" t="s">
        <v>1297</v>
      </c>
      <c r="B10092" t="s">
        <v>1298</v>
      </c>
      <c r="C10092" t="s">
        <v>658</v>
      </c>
      <c r="D10092" t="s">
        <v>1413</v>
      </c>
      <c r="E10092" t="s">
        <v>187</v>
      </c>
      <c r="F10092">
        <v>2012</v>
      </c>
      <c r="G10092">
        <v>53.665078000000001</v>
      </c>
    </row>
    <row r="10093" spans="1:7">
      <c r="A10093" t="s">
        <v>1297</v>
      </c>
      <c r="B10093" t="s">
        <v>1298</v>
      </c>
      <c r="C10093" t="s">
        <v>658</v>
      </c>
      <c r="D10093" t="s">
        <v>1413</v>
      </c>
      <c r="E10093" t="s">
        <v>187</v>
      </c>
      <c r="F10093">
        <v>2016</v>
      </c>
      <c r="G10093">
        <v>45.234217999999998</v>
      </c>
    </row>
    <row r="10094" spans="1:7">
      <c r="A10094" t="s">
        <v>1297</v>
      </c>
      <c r="B10094" t="s">
        <v>1298</v>
      </c>
      <c r="C10094" t="s">
        <v>658</v>
      </c>
      <c r="D10094" t="s">
        <v>1413</v>
      </c>
      <c r="E10094" t="s">
        <v>187</v>
      </c>
      <c r="F10094">
        <v>2020</v>
      </c>
      <c r="G10094">
        <v>65.084266</v>
      </c>
    </row>
    <row r="10095" spans="1:7">
      <c r="A10095" t="s">
        <v>1297</v>
      </c>
      <c r="B10095" t="s">
        <v>1298</v>
      </c>
      <c r="C10095" t="s">
        <v>667</v>
      </c>
      <c r="D10095" t="s">
        <v>1413</v>
      </c>
      <c r="E10095" t="s">
        <v>187</v>
      </c>
      <c r="F10095">
        <v>2005</v>
      </c>
      <c r="G10095">
        <v>0.64371100000000003</v>
      </c>
    </row>
    <row r="10096" spans="1:7">
      <c r="A10096" t="s">
        <v>1297</v>
      </c>
      <c r="B10096" t="s">
        <v>1298</v>
      </c>
      <c r="C10096" t="s">
        <v>667</v>
      </c>
      <c r="D10096" t="s">
        <v>1413</v>
      </c>
      <c r="E10096" t="s">
        <v>187</v>
      </c>
      <c r="F10096">
        <v>2010</v>
      </c>
      <c r="G10096">
        <v>0.30819600000000003</v>
      </c>
    </row>
    <row r="10097" spans="1:7">
      <c r="A10097" t="s">
        <v>1297</v>
      </c>
      <c r="B10097" t="s">
        <v>1298</v>
      </c>
      <c r="C10097" t="s">
        <v>667</v>
      </c>
      <c r="D10097" t="s">
        <v>1413</v>
      </c>
      <c r="E10097" t="s">
        <v>187</v>
      </c>
      <c r="F10097">
        <v>2012</v>
      </c>
      <c r="G10097">
        <v>0.374666</v>
      </c>
    </row>
    <row r="10098" spans="1:7">
      <c r="A10098" t="s">
        <v>1297</v>
      </c>
      <c r="B10098" t="s">
        <v>1298</v>
      </c>
      <c r="C10098" t="s">
        <v>667</v>
      </c>
      <c r="D10098" t="s">
        <v>1413</v>
      </c>
      <c r="E10098" t="s">
        <v>187</v>
      </c>
      <c r="F10098">
        <v>2016</v>
      </c>
      <c r="G10098">
        <v>0.48162500000000003</v>
      </c>
    </row>
    <row r="10099" spans="1:7">
      <c r="A10099" t="s">
        <v>1297</v>
      </c>
      <c r="B10099" t="s">
        <v>1298</v>
      </c>
      <c r="C10099" t="s">
        <v>667</v>
      </c>
      <c r="D10099" t="s">
        <v>1413</v>
      </c>
      <c r="E10099" t="s">
        <v>187</v>
      </c>
      <c r="F10099">
        <v>2020</v>
      </c>
      <c r="G10099">
        <v>0.189031</v>
      </c>
    </row>
    <row r="10100" spans="1:7">
      <c r="A10100" t="s">
        <v>1297</v>
      </c>
      <c r="B10100" t="s">
        <v>1298</v>
      </c>
      <c r="C10100" t="s">
        <v>657</v>
      </c>
      <c r="D10100" t="s">
        <v>1413</v>
      </c>
      <c r="E10100" t="s">
        <v>187</v>
      </c>
      <c r="F10100">
        <v>2005</v>
      </c>
      <c r="G10100">
        <v>762.89260000000002</v>
      </c>
    </row>
    <row r="10101" spans="1:7">
      <c r="A10101" t="s">
        <v>1297</v>
      </c>
      <c r="B10101" t="s">
        <v>1298</v>
      </c>
      <c r="C10101" t="s">
        <v>657</v>
      </c>
      <c r="D10101" t="s">
        <v>1413</v>
      </c>
      <c r="E10101" t="s">
        <v>187</v>
      </c>
      <c r="F10101">
        <v>2010</v>
      </c>
      <c r="G10101">
        <v>556.64385000000004</v>
      </c>
    </row>
    <row r="10102" spans="1:7">
      <c r="A10102" t="s">
        <v>1297</v>
      </c>
      <c r="B10102" t="s">
        <v>1298</v>
      </c>
      <c r="C10102" t="s">
        <v>657</v>
      </c>
      <c r="D10102" t="s">
        <v>1413</v>
      </c>
      <c r="E10102" t="s">
        <v>187</v>
      </c>
      <c r="F10102">
        <v>2012</v>
      </c>
      <c r="G10102">
        <v>534.32145000000003</v>
      </c>
    </row>
    <row r="10103" spans="1:7">
      <c r="A10103" t="s">
        <v>1297</v>
      </c>
      <c r="B10103" t="s">
        <v>1298</v>
      </c>
      <c r="C10103" t="s">
        <v>657</v>
      </c>
      <c r="D10103" t="s">
        <v>1413</v>
      </c>
      <c r="E10103" t="s">
        <v>187</v>
      </c>
      <c r="F10103">
        <v>2016</v>
      </c>
      <c r="G10103">
        <v>543.43784500000004</v>
      </c>
    </row>
    <row r="10104" spans="1:7">
      <c r="A10104" t="s">
        <v>1297</v>
      </c>
      <c r="B10104" t="s">
        <v>1298</v>
      </c>
      <c r="C10104" t="s">
        <v>657</v>
      </c>
      <c r="D10104" t="s">
        <v>1413</v>
      </c>
      <c r="E10104" t="s">
        <v>187</v>
      </c>
      <c r="F10104">
        <v>2020</v>
      </c>
      <c r="G10104">
        <v>373.34957800000001</v>
      </c>
    </row>
    <row r="10105" spans="1:7">
      <c r="A10105" t="s">
        <v>1297</v>
      </c>
      <c r="B10105" t="s">
        <v>1298</v>
      </c>
      <c r="C10105" t="s">
        <v>654</v>
      </c>
      <c r="D10105" t="s">
        <v>1413</v>
      </c>
      <c r="E10105" t="s">
        <v>187</v>
      </c>
      <c r="F10105">
        <v>2016</v>
      </c>
      <c r="G10105">
        <v>0.7056</v>
      </c>
    </row>
    <row r="10106" spans="1:7">
      <c r="A10106" t="s">
        <v>1297</v>
      </c>
      <c r="B10106" t="s">
        <v>1298</v>
      </c>
      <c r="C10106" t="s">
        <v>656</v>
      </c>
      <c r="D10106" t="s">
        <v>1413</v>
      </c>
      <c r="E10106" t="s">
        <v>187</v>
      </c>
      <c r="F10106">
        <v>2005</v>
      </c>
      <c r="G10106">
        <v>1139.379747</v>
      </c>
    </row>
    <row r="10107" spans="1:7">
      <c r="A10107" t="s">
        <v>1297</v>
      </c>
      <c r="B10107" t="s">
        <v>1298</v>
      </c>
      <c r="C10107" t="s">
        <v>656</v>
      </c>
      <c r="D10107" t="s">
        <v>1413</v>
      </c>
      <c r="E10107" t="s">
        <v>187</v>
      </c>
      <c r="F10107">
        <v>2010</v>
      </c>
      <c r="G10107">
        <v>778.46923200000003</v>
      </c>
    </row>
    <row r="10108" spans="1:7">
      <c r="A10108" t="s">
        <v>1297</v>
      </c>
      <c r="B10108" t="s">
        <v>1298</v>
      </c>
      <c r="C10108" t="s">
        <v>656</v>
      </c>
      <c r="D10108" t="s">
        <v>1413</v>
      </c>
      <c r="E10108" t="s">
        <v>187</v>
      </c>
      <c r="F10108">
        <v>2012</v>
      </c>
      <c r="G10108">
        <v>787.71927700000003</v>
      </c>
    </row>
    <row r="10109" spans="1:7">
      <c r="A10109" t="s">
        <v>1297</v>
      </c>
      <c r="B10109" t="s">
        <v>1298</v>
      </c>
      <c r="C10109" t="s">
        <v>656</v>
      </c>
      <c r="D10109" t="s">
        <v>1413</v>
      </c>
      <c r="E10109" t="s">
        <v>187</v>
      </c>
      <c r="F10109">
        <v>2016</v>
      </c>
      <c r="G10109">
        <v>951.58693000000005</v>
      </c>
    </row>
    <row r="10110" spans="1:7">
      <c r="A10110" t="s">
        <v>1297</v>
      </c>
      <c r="B10110" t="s">
        <v>1298</v>
      </c>
      <c r="C10110" t="s">
        <v>656</v>
      </c>
      <c r="D10110" t="s">
        <v>1413</v>
      </c>
      <c r="E10110" t="s">
        <v>187</v>
      </c>
      <c r="F10110">
        <v>2020</v>
      </c>
      <c r="G10110">
        <v>912.15033400000004</v>
      </c>
    </row>
    <row r="10111" spans="1:7">
      <c r="A10111" t="s">
        <v>1297</v>
      </c>
      <c r="B10111" t="s">
        <v>1298</v>
      </c>
      <c r="C10111" t="s">
        <v>665</v>
      </c>
      <c r="D10111" t="s">
        <v>1413</v>
      </c>
      <c r="E10111" t="s">
        <v>187</v>
      </c>
      <c r="F10111">
        <v>2005</v>
      </c>
      <c r="G10111">
        <v>1243.3803600000001</v>
      </c>
    </row>
    <row r="10112" spans="1:7">
      <c r="A10112" t="s">
        <v>1297</v>
      </c>
      <c r="B10112" t="s">
        <v>1298</v>
      </c>
      <c r="C10112" t="s">
        <v>670</v>
      </c>
      <c r="D10112" t="s">
        <v>1413</v>
      </c>
      <c r="E10112" t="s">
        <v>187</v>
      </c>
      <c r="F10112">
        <v>2010</v>
      </c>
      <c r="G10112">
        <v>4279.7662959999998</v>
      </c>
    </row>
    <row r="10113" spans="1:7">
      <c r="A10113" t="s">
        <v>1297</v>
      </c>
      <c r="B10113" t="s">
        <v>1298</v>
      </c>
      <c r="C10113" t="s">
        <v>670</v>
      </c>
      <c r="D10113" t="s">
        <v>1413</v>
      </c>
      <c r="E10113" t="s">
        <v>187</v>
      </c>
      <c r="F10113">
        <v>2012</v>
      </c>
      <c r="G10113">
        <v>4361.9229240000004</v>
      </c>
    </row>
    <row r="10114" spans="1:7">
      <c r="A10114" t="s">
        <v>1297</v>
      </c>
      <c r="B10114" t="s">
        <v>1298</v>
      </c>
      <c r="C10114" t="s">
        <v>670</v>
      </c>
      <c r="D10114" t="s">
        <v>1413</v>
      </c>
      <c r="E10114" t="s">
        <v>187</v>
      </c>
      <c r="F10114">
        <v>2016</v>
      </c>
      <c r="G10114">
        <v>4844.6307550000001</v>
      </c>
    </row>
    <row r="10115" spans="1:7">
      <c r="A10115" t="s">
        <v>1297</v>
      </c>
      <c r="B10115" t="s">
        <v>1298</v>
      </c>
      <c r="C10115" t="s">
        <v>670</v>
      </c>
      <c r="D10115" t="s">
        <v>1413</v>
      </c>
      <c r="E10115" t="s">
        <v>187</v>
      </c>
      <c r="F10115">
        <v>2020</v>
      </c>
      <c r="G10115">
        <v>4433.4058770000001</v>
      </c>
    </row>
    <row r="10116" spans="1:7">
      <c r="A10116" t="s">
        <v>1297</v>
      </c>
      <c r="B10116" t="s">
        <v>1298</v>
      </c>
      <c r="C10116" t="s">
        <v>673</v>
      </c>
      <c r="D10116" t="s">
        <v>1413</v>
      </c>
      <c r="E10116" t="s">
        <v>187</v>
      </c>
      <c r="F10116">
        <v>2005</v>
      </c>
      <c r="G10116">
        <v>248.20606799999999</v>
      </c>
    </row>
    <row r="10117" spans="1:7">
      <c r="A10117" t="s">
        <v>1297</v>
      </c>
      <c r="B10117" t="s">
        <v>1298</v>
      </c>
      <c r="C10117" t="s">
        <v>673</v>
      </c>
      <c r="D10117" t="s">
        <v>1413</v>
      </c>
      <c r="E10117" t="s">
        <v>187</v>
      </c>
      <c r="F10117">
        <v>2010</v>
      </c>
      <c r="G10117">
        <v>151.42078799999999</v>
      </c>
    </row>
    <row r="10118" spans="1:7">
      <c r="A10118" t="s">
        <v>1297</v>
      </c>
      <c r="B10118" t="s">
        <v>1298</v>
      </c>
      <c r="C10118" t="s">
        <v>673</v>
      </c>
      <c r="D10118" t="s">
        <v>1413</v>
      </c>
      <c r="E10118" t="s">
        <v>187</v>
      </c>
      <c r="F10118">
        <v>2012</v>
      </c>
      <c r="G10118">
        <v>145.38502600000001</v>
      </c>
    </row>
    <row r="10119" spans="1:7">
      <c r="A10119" t="s">
        <v>1297</v>
      </c>
      <c r="B10119" t="s">
        <v>1298</v>
      </c>
      <c r="C10119" t="s">
        <v>673</v>
      </c>
      <c r="D10119" t="s">
        <v>1413</v>
      </c>
      <c r="E10119" t="s">
        <v>187</v>
      </c>
      <c r="F10119">
        <v>2016</v>
      </c>
      <c r="G10119">
        <v>223.26576600000001</v>
      </c>
    </row>
    <row r="10120" spans="1:7">
      <c r="A10120" t="s">
        <v>1297</v>
      </c>
      <c r="B10120" t="s">
        <v>1298</v>
      </c>
      <c r="C10120" t="s">
        <v>673</v>
      </c>
      <c r="D10120" t="s">
        <v>1413</v>
      </c>
      <c r="E10120" t="s">
        <v>187</v>
      </c>
      <c r="F10120">
        <v>2020</v>
      </c>
      <c r="G10120">
        <v>233.67134100000001</v>
      </c>
    </row>
    <row r="10121" spans="1:7">
      <c r="A10121" t="s">
        <v>1297</v>
      </c>
      <c r="B10121" t="s">
        <v>1298</v>
      </c>
      <c r="C10121" t="s">
        <v>686</v>
      </c>
      <c r="D10121" t="s">
        <v>1413</v>
      </c>
      <c r="E10121" t="s">
        <v>187</v>
      </c>
      <c r="F10121">
        <v>2005</v>
      </c>
      <c r="G10121">
        <v>4.2652000000000001</v>
      </c>
    </row>
    <row r="10122" spans="1:7">
      <c r="A10122" t="s">
        <v>1297</v>
      </c>
      <c r="B10122" t="s">
        <v>1298</v>
      </c>
      <c r="C10122" t="s">
        <v>686</v>
      </c>
      <c r="D10122" t="s">
        <v>1413</v>
      </c>
      <c r="E10122" t="s">
        <v>187</v>
      </c>
      <c r="F10122">
        <v>2010</v>
      </c>
      <c r="G10122">
        <v>15.808204999999999</v>
      </c>
    </row>
    <row r="10123" spans="1:7">
      <c r="A10123" t="s">
        <v>1297</v>
      </c>
      <c r="B10123" t="s">
        <v>1298</v>
      </c>
      <c r="C10123" t="s">
        <v>686</v>
      </c>
      <c r="D10123" t="s">
        <v>1413</v>
      </c>
      <c r="E10123" t="s">
        <v>187</v>
      </c>
      <c r="F10123">
        <v>2012</v>
      </c>
      <c r="G10123">
        <v>12.052303999999999</v>
      </c>
    </row>
    <row r="10124" spans="1:7">
      <c r="A10124" t="s">
        <v>1297</v>
      </c>
      <c r="B10124" t="s">
        <v>1298</v>
      </c>
      <c r="C10124" t="s">
        <v>686</v>
      </c>
      <c r="D10124" t="s">
        <v>1413</v>
      </c>
      <c r="E10124" t="s">
        <v>187</v>
      </c>
      <c r="F10124">
        <v>2016</v>
      </c>
      <c r="G10124">
        <v>31.355440999999999</v>
      </c>
    </row>
    <row r="10125" spans="1:7">
      <c r="A10125" t="s">
        <v>1297</v>
      </c>
      <c r="B10125" t="s">
        <v>1298</v>
      </c>
      <c r="C10125" t="s">
        <v>686</v>
      </c>
      <c r="D10125" t="s">
        <v>1413</v>
      </c>
      <c r="E10125" t="s">
        <v>187</v>
      </c>
      <c r="F10125">
        <v>2020</v>
      </c>
      <c r="G10125">
        <v>33.456440000000001</v>
      </c>
    </row>
    <row r="10126" spans="1:7">
      <c r="A10126" t="s">
        <v>1297</v>
      </c>
      <c r="B10126" t="s">
        <v>1298</v>
      </c>
      <c r="C10126" t="s">
        <v>655</v>
      </c>
      <c r="D10126" t="s">
        <v>1413</v>
      </c>
      <c r="E10126" t="s">
        <v>187</v>
      </c>
      <c r="F10126">
        <v>2005</v>
      </c>
      <c r="G10126">
        <v>52.525919999999999</v>
      </c>
    </row>
    <row r="10127" spans="1:7">
      <c r="A10127" t="s">
        <v>1297</v>
      </c>
      <c r="B10127" t="s">
        <v>1298</v>
      </c>
      <c r="C10127" t="s">
        <v>655</v>
      </c>
      <c r="D10127" t="s">
        <v>1413</v>
      </c>
      <c r="E10127" t="s">
        <v>187</v>
      </c>
      <c r="F10127">
        <v>2010</v>
      </c>
      <c r="G10127">
        <v>68.413874000000007</v>
      </c>
    </row>
    <row r="10128" spans="1:7">
      <c r="A10128" t="s">
        <v>1297</v>
      </c>
      <c r="B10128" t="s">
        <v>1298</v>
      </c>
      <c r="C10128" t="s">
        <v>655</v>
      </c>
      <c r="D10128" t="s">
        <v>1413</v>
      </c>
      <c r="E10128" t="s">
        <v>187</v>
      </c>
      <c r="F10128">
        <v>2012</v>
      </c>
      <c r="G10128">
        <v>70.633480000000006</v>
      </c>
    </row>
    <row r="10129" spans="1:7">
      <c r="A10129" t="s">
        <v>1297</v>
      </c>
      <c r="B10129" t="s">
        <v>1298</v>
      </c>
      <c r="C10129" t="s">
        <v>655</v>
      </c>
      <c r="D10129" t="s">
        <v>1413</v>
      </c>
      <c r="E10129" t="s">
        <v>187</v>
      </c>
      <c r="F10129">
        <v>2016</v>
      </c>
      <c r="G10129">
        <v>92.890179000000003</v>
      </c>
    </row>
    <row r="10130" spans="1:7">
      <c r="A10130" t="s">
        <v>1297</v>
      </c>
      <c r="B10130" t="s">
        <v>1298</v>
      </c>
      <c r="C10130" t="s">
        <v>655</v>
      </c>
      <c r="D10130" t="s">
        <v>1413</v>
      </c>
      <c r="E10130" t="s">
        <v>187</v>
      </c>
      <c r="F10130">
        <v>2020</v>
      </c>
      <c r="G10130">
        <v>93.708416999999997</v>
      </c>
    </row>
    <row r="10131" spans="1:7">
      <c r="A10131" t="s">
        <v>1297</v>
      </c>
      <c r="B10131" t="s">
        <v>1298</v>
      </c>
      <c r="C10131" t="s">
        <v>669</v>
      </c>
      <c r="D10131" t="s">
        <v>1413</v>
      </c>
      <c r="E10131" t="s">
        <v>187</v>
      </c>
      <c r="F10131">
        <v>2010</v>
      </c>
      <c r="G10131">
        <v>0.68799999999999994</v>
      </c>
    </row>
    <row r="10132" spans="1:7">
      <c r="A10132" t="s">
        <v>1297</v>
      </c>
      <c r="B10132" t="s">
        <v>1298</v>
      </c>
      <c r="C10132" t="s">
        <v>669</v>
      </c>
      <c r="D10132" t="s">
        <v>1413</v>
      </c>
      <c r="E10132" t="s">
        <v>187</v>
      </c>
      <c r="F10132">
        <v>2012</v>
      </c>
      <c r="G10132">
        <v>0.3453</v>
      </c>
    </row>
    <row r="10133" spans="1:7">
      <c r="A10133" t="s">
        <v>1297</v>
      </c>
      <c r="B10133" t="s">
        <v>1298</v>
      </c>
      <c r="C10133" t="s">
        <v>669</v>
      </c>
      <c r="D10133" t="s">
        <v>1413</v>
      </c>
      <c r="E10133" t="s">
        <v>187</v>
      </c>
      <c r="F10133">
        <v>2016</v>
      </c>
      <c r="G10133">
        <v>11.667</v>
      </c>
    </row>
    <row r="10134" spans="1:7">
      <c r="A10134" t="s">
        <v>1297</v>
      </c>
      <c r="B10134" t="s">
        <v>1298</v>
      </c>
      <c r="C10134" t="s">
        <v>669</v>
      </c>
      <c r="D10134" t="s">
        <v>1413</v>
      </c>
      <c r="E10134" t="s">
        <v>187</v>
      </c>
      <c r="F10134">
        <v>2020</v>
      </c>
      <c r="G10134">
        <v>15.681844</v>
      </c>
    </row>
    <row r="10135" spans="1:7">
      <c r="A10135" t="s">
        <v>1297</v>
      </c>
      <c r="B10135" t="s">
        <v>1298</v>
      </c>
      <c r="C10135" t="s">
        <v>664</v>
      </c>
      <c r="D10135" t="s">
        <v>1413</v>
      </c>
      <c r="E10135" t="s">
        <v>187</v>
      </c>
      <c r="F10135">
        <v>2010</v>
      </c>
      <c r="G10135">
        <v>62.302239999999998</v>
      </c>
    </row>
    <row r="10136" spans="1:7">
      <c r="A10136" t="s">
        <v>1297</v>
      </c>
      <c r="B10136" t="s">
        <v>1298</v>
      </c>
      <c r="C10136" t="s">
        <v>664</v>
      </c>
      <c r="D10136" t="s">
        <v>1413</v>
      </c>
      <c r="E10136" t="s">
        <v>187</v>
      </c>
      <c r="F10136">
        <v>2012</v>
      </c>
      <c r="G10136">
        <v>75.384928000000002</v>
      </c>
    </row>
    <row r="10137" spans="1:7">
      <c r="A10137" t="s">
        <v>1297</v>
      </c>
      <c r="B10137" t="s">
        <v>1298</v>
      </c>
      <c r="C10137" t="s">
        <v>664</v>
      </c>
      <c r="D10137" t="s">
        <v>1413</v>
      </c>
      <c r="E10137" t="s">
        <v>187</v>
      </c>
      <c r="F10137">
        <v>2016</v>
      </c>
      <c r="G10137">
        <v>69.118741999999997</v>
      </c>
    </row>
    <row r="10138" spans="1:7">
      <c r="A10138" t="s">
        <v>1297</v>
      </c>
      <c r="B10138" t="s">
        <v>1298</v>
      </c>
      <c r="C10138" t="s">
        <v>664</v>
      </c>
      <c r="D10138" t="s">
        <v>1413</v>
      </c>
      <c r="E10138" t="s">
        <v>187</v>
      </c>
      <c r="F10138">
        <v>2020</v>
      </c>
      <c r="G10138">
        <v>63.991168000000002</v>
      </c>
    </row>
    <row r="10139" spans="1:7">
      <c r="A10139" t="s">
        <v>1297</v>
      </c>
      <c r="B10139" t="s">
        <v>1298</v>
      </c>
      <c r="C10139" t="s">
        <v>659</v>
      </c>
      <c r="D10139" t="s">
        <v>1413</v>
      </c>
      <c r="E10139" t="s">
        <v>187</v>
      </c>
      <c r="F10139">
        <v>2005</v>
      </c>
      <c r="G10139">
        <v>353.36669999999998</v>
      </c>
    </row>
    <row r="10140" spans="1:7">
      <c r="A10140" t="s">
        <v>1297</v>
      </c>
      <c r="B10140" t="s">
        <v>1298</v>
      </c>
      <c r="C10140" t="s">
        <v>659</v>
      </c>
      <c r="D10140" t="s">
        <v>1413</v>
      </c>
      <c r="E10140" t="s">
        <v>187</v>
      </c>
      <c r="F10140">
        <v>2010</v>
      </c>
      <c r="G10140">
        <v>486.43279999999999</v>
      </c>
    </row>
    <row r="10141" spans="1:7">
      <c r="A10141" t="s">
        <v>1297</v>
      </c>
      <c r="B10141" t="s">
        <v>1298</v>
      </c>
      <c r="C10141" t="s">
        <v>659</v>
      </c>
      <c r="D10141" t="s">
        <v>1413</v>
      </c>
      <c r="E10141" t="s">
        <v>187</v>
      </c>
      <c r="F10141">
        <v>2012</v>
      </c>
      <c r="G10141">
        <v>818.6123</v>
      </c>
    </row>
    <row r="10142" spans="1:7">
      <c r="A10142" t="s">
        <v>1297</v>
      </c>
      <c r="B10142" t="s">
        <v>1298</v>
      </c>
      <c r="C10142" t="s">
        <v>659</v>
      </c>
      <c r="D10142" t="s">
        <v>1413</v>
      </c>
      <c r="E10142" t="s">
        <v>187</v>
      </c>
      <c r="F10142">
        <v>2016</v>
      </c>
      <c r="G10142">
        <v>1037.4702</v>
      </c>
    </row>
    <row r="10143" spans="1:7">
      <c r="A10143" t="s">
        <v>1297</v>
      </c>
      <c r="B10143" t="s">
        <v>1298</v>
      </c>
      <c r="C10143" t="s">
        <v>659</v>
      </c>
      <c r="D10143" t="s">
        <v>1413</v>
      </c>
      <c r="E10143" t="s">
        <v>187</v>
      </c>
      <c r="F10143">
        <v>2020</v>
      </c>
      <c r="G10143">
        <v>1017.4444999999999</v>
      </c>
    </row>
    <row r="10144" spans="1:7">
      <c r="A10144" t="s">
        <v>1297</v>
      </c>
      <c r="B10144" t="s">
        <v>1298</v>
      </c>
      <c r="C10144" t="s">
        <v>661</v>
      </c>
      <c r="D10144" t="s">
        <v>1413</v>
      </c>
      <c r="E10144" t="s">
        <v>187</v>
      </c>
      <c r="F10144">
        <v>2005</v>
      </c>
      <c r="G10144">
        <v>1153.7020419999999</v>
      </c>
    </row>
    <row r="10145" spans="1:7">
      <c r="A10145" t="s">
        <v>1297</v>
      </c>
      <c r="B10145" t="s">
        <v>1298</v>
      </c>
      <c r="C10145" t="s">
        <v>661</v>
      </c>
      <c r="D10145" t="s">
        <v>1413</v>
      </c>
      <c r="E10145" t="s">
        <v>187</v>
      </c>
      <c r="F10145">
        <v>2010</v>
      </c>
      <c r="G10145">
        <v>967.47644000000003</v>
      </c>
    </row>
    <row r="10146" spans="1:7">
      <c r="A10146" t="s">
        <v>1297</v>
      </c>
      <c r="B10146" t="s">
        <v>1298</v>
      </c>
      <c r="C10146" t="s">
        <v>661</v>
      </c>
      <c r="D10146" t="s">
        <v>1413</v>
      </c>
      <c r="E10146" t="s">
        <v>187</v>
      </c>
      <c r="F10146">
        <v>2012</v>
      </c>
      <c r="G10146">
        <v>837.07449899999995</v>
      </c>
    </row>
    <row r="10147" spans="1:7">
      <c r="A10147" t="s">
        <v>1297</v>
      </c>
      <c r="B10147" t="s">
        <v>1298</v>
      </c>
      <c r="C10147" t="s">
        <v>661</v>
      </c>
      <c r="D10147" t="s">
        <v>1413</v>
      </c>
      <c r="E10147" t="s">
        <v>187</v>
      </c>
      <c r="F10147">
        <v>2016</v>
      </c>
      <c r="G10147">
        <v>873.65647000000001</v>
      </c>
    </row>
    <row r="10148" spans="1:7">
      <c r="A10148" t="s">
        <v>1297</v>
      </c>
      <c r="B10148" t="s">
        <v>1298</v>
      </c>
      <c r="C10148" t="s">
        <v>661</v>
      </c>
      <c r="D10148" t="s">
        <v>1413</v>
      </c>
      <c r="E10148" t="s">
        <v>187</v>
      </c>
      <c r="F10148">
        <v>2020</v>
      </c>
      <c r="G10148">
        <v>732.89766599999996</v>
      </c>
    </row>
    <row r="10149" spans="1:7">
      <c r="A10149" t="s">
        <v>1297</v>
      </c>
      <c r="B10149" t="s">
        <v>1298</v>
      </c>
      <c r="C10149" t="s">
        <v>1300</v>
      </c>
      <c r="D10149" t="s">
        <v>1413</v>
      </c>
      <c r="E10149" t="s">
        <v>187</v>
      </c>
      <c r="F10149">
        <v>2016</v>
      </c>
      <c r="G10149">
        <v>0.66144999999999998</v>
      </c>
    </row>
    <row r="10150" spans="1:7">
      <c r="A10150" t="s">
        <v>1297</v>
      </c>
      <c r="B10150" t="s">
        <v>1298</v>
      </c>
      <c r="C10150" t="s">
        <v>1300</v>
      </c>
      <c r="D10150" t="s">
        <v>1413</v>
      </c>
      <c r="E10150" t="s">
        <v>187</v>
      </c>
      <c r="F10150">
        <v>2020</v>
      </c>
      <c r="G10150">
        <v>0.41608800000000001</v>
      </c>
    </row>
    <row r="10151" spans="1:7">
      <c r="A10151" t="s">
        <v>1297</v>
      </c>
      <c r="B10151" t="s">
        <v>1298</v>
      </c>
      <c r="C10151" t="s">
        <v>676</v>
      </c>
      <c r="D10151" t="s">
        <v>1413</v>
      </c>
      <c r="E10151" t="s">
        <v>187</v>
      </c>
      <c r="F10151">
        <v>2005</v>
      </c>
      <c r="G10151">
        <v>152.68574899999999</v>
      </c>
    </row>
    <row r="10152" spans="1:7">
      <c r="A10152" t="s">
        <v>1297</v>
      </c>
      <c r="B10152" t="s">
        <v>1298</v>
      </c>
      <c r="C10152" t="s">
        <v>676</v>
      </c>
      <c r="D10152" t="s">
        <v>1413</v>
      </c>
      <c r="E10152" t="s">
        <v>187</v>
      </c>
      <c r="F10152">
        <v>2010</v>
      </c>
      <c r="G10152">
        <v>142.51618999999999</v>
      </c>
    </row>
    <row r="10153" spans="1:7">
      <c r="A10153" t="s">
        <v>1297</v>
      </c>
      <c r="B10153" t="s">
        <v>1298</v>
      </c>
      <c r="C10153" t="s">
        <v>676</v>
      </c>
      <c r="D10153" t="s">
        <v>1413</v>
      </c>
      <c r="E10153" t="s">
        <v>187</v>
      </c>
      <c r="F10153">
        <v>2012</v>
      </c>
      <c r="G10153">
        <v>144.30640299999999</v>
      </c>
    </row>
    <row r="10154" spans="1:7">
      <c r="A10154" t="s">
        <v>1297</v>
      </c>
      <c r="B10154" t="s">
        <v>1298</v>
      </c>
      <c r="C10154" t="s">
        <v>676</v>
      </c>
      <c r="D10154" t="s">
        <v>1413</v>
      </c>
      <c r="E10154" t="s">
        <v>187</v>
      </c>
      <c r="F10154">
        <v>2016</v>
      </c>
      <c r="G10154">
        <v>174.31581700000001</v>
      </c>
    </row>
    <row r="10155" spans="1:7">
      <c r="A10155" t="s">
        <v>1297</v>
      </c>
      <c r="B10155" t="s">
        <v>1298</v>
      </c>
      <c r="C10155" t="s">
        <v>676</v>
      </c>
      <c r="D10155" t="s">
        <v>1413</v>
      </c>
      <c r="E10155" t="s">
        <v>187</v>
      </c>
      <c r="F10155">
        <v>2020</v>
      </c>
      <c r="G10155">
        <v>141.27930000000001</v>
      </c>
    </row>
    <row r="10156" spans="1:7">
      <c r="A10156" t="s">
        <v>1297</v>
      </c>
      <c r="B10156" t="s">
        <v>1298</v>
      </c>
      <c r="C10156" t="s">
        <v>679</v>
      </c>
      <c r="D10156" t="s">
        <v>1413</v>
      </c>
      <c r="E10156" t="s">
        <v>187</v>
      </c>
      <c r="F10156">
        <v>2005</v>
      </c>
      <c r="G10156">
        <v>5586.0862999999999</v>
      </c>
    </row>
    <row r="10157" spans="1:7">
      <c r="A10157" t="s">
        <v>1297</v>
      </c>
      <c r="B10157" t="s">
        <v>1298</v>
      </c>
      <c r="C10157" t="s">
        <v>679</v>
      </c>
      <c r="D10157" t="s">
        <v>1413</v>
      </c>
      <c r="E10157" t="s">
        <v>187</v>
      </c>
      <c r="F10157">
        <v>2010</v>
      </c>
      <c r="G10157">
        <v>3932.9935999999998</v>
      </c>
    </row>
    <row r="10158" spans="1:7">
      <c r="A10158" t="s">
        <v>1297</v>
      </c>
      <c r="B10158" t="s">
        <v>1298</v>
      </c>
      <c r="C10158" t="s">
        <v>679</v>
      </c>
      <c r="D10158" t="s">
        <v>1413</v>
      </c>
      <c r="E10158" t="s">
        <v>187</v>
      </c>
      <c r="F10158">
        <v>2012</v>
      </c>
      <c r="G10158">
        <v>3437.4742000000001</v>
      </c>
    </row>
    <row r="10159" spans="1:7">
      <c r="A10159" t="s">
        <v>1297</v>
      </c>
      <c r="B10159" t="s">
        <v>1298</v>
      </c>
      <c r="C10159" t="s">
        <v>679</v>
      </c>
      <c r="D10159" t="s">
        <v>1413</v>
      </c>
      <c r="E10159" t="s">
        <v>187</v>
      </c>
      <c r="F10159">
        <v>2016</v>
      </c>
      <c r="G10159">
        <v>3710.2132999999999</v>
      </c>
    </row>
    <row r="10160" spans="1:7">
      <c r="A10160" t="s">
        <v>1297</v>
      </c>
      <c r="B10160" t="s">
        <v>1298</v>
      </c>
      <c r="C10160" t="s">
        <v>679</v>
      </c>
      <c r="D10160" t="s">
        <v>1413</v>
      </c>
      <c r="E10160" t="s">
        <v>187</v>
      </c>
      <c r="F10160">
        <v>2020</v>
      </c>
      <c r="G10160">
        <v>3445.3647259999998</v>
      </c>
    </row>
    <row r="10161" spans="1:7">
      <c r="A10161" t="s">
        <v>1297</v>
      </c>
      <c r="B10161" t="s">
        <v>1298</v>
      </c>
      <c r="C10161" t="s">
        <v>1299</v>
      </c>
      <c r="D10161" t="s">
        <v>1413</v>
      </c>
      <c r="E10161" t="s">
        <v>187</v>
      </c>
      <c r="F10161">
        <v>2005</v>
      </c>
      <c r="G10161">
        <v>318.26612299999999</v>
      </c>
    </row>
    <row r="10162" spans="1:7">
      <c r="A10162" t="s">
        <v>1297</v>
      </c>
      <c r="B10162" t="s">
        <v>1298</v>
      </c>
      <c r="C10162" t="s">
        <v>1299</v>
      </c>
      <c r="D10162" t="s">
        <v>1413</v>
      </c>
      <c r="E10162" t="s">
        <v>187</v>
      </c>
      <c r="F10162">
        <v>2010</v>
      </c>
      <c r="G10162">
        <v>171.79631599999999</v>
      </c>
    </row>
    <row r="10163" spans="1:7">
      <c r="A10163" t="s">
        <v>1297</v>
      </c>
      <c r="B10163" t="s">
        <v>1298</v>
      </c>
      <c r="C10163" t="s">
        <v>1299</v>
      </c>
      <c r="D10163" t="s">
        <v>1413</v>
      </c>
      <c r="E10163" t="s">
        <v>187</v>
      </c>
      <c r="F10163">
        <v>2012</v>
      </c>
      <c r="G10163">
        <v>73.168238000000002</v>
      </c>
    </row>
    <row r="10164" spans="1:7">
      <c r="A10164" t="s">
        <v>1297</v>
      </c>
      <c r="B10164" t="s">
        <v>1298</v>
      </c>
      <c r="C10164" t="s">
        <v>1299</v>
      </c>
      <c r="D10164" t="s">
        <v>1413</v>
      </c>
      <c r="E10164" t="s">
        <v>187</v>
      </c>
      <c r="F10164">
        <v>2016</v>
      </c>
      <c r="G10164">
        <v>2.0543770000000001</v>
      </c>
    </row>
    <row r="10165" spans="1:7">
      <c r="A10165" t="s">
        <v>1297</v>
      </c>
      <c r="B10165" t="s">
        <v>1298</v>
      </c>
      <c r="C10165" t="s">
        <v>1299</v>
      </c>
      <c r="D10165" t="s">
        <v>1413</v>
      </c>
      <c r="E10165" t="s">
        <v>187</v>
      </c>
      <c r="F10165">
        <v>2020</v>
      </c>
      <c r="G10165">
        <v>33.903350000000003</v>
      </c>
    </row>
    <row r="10166" spans="1:7">
      <c r="A10166" t="s">
        <v>1297</v>
      </c>
      <c r="B10166" t="s">
        <v>1298</v>
      </c>
      <c r="C10166" t="s">
        <v>651</v>
      </c>
      <c r="D10166" t="s">
        <v>1413</v>
      </c>
      <c r="E10166" t="s">
        <v>187</v>
      </c>
      <c r="F10166">
        <v>2005</v>
      </c>
      <c r="G10166">
        <v>90.350403999999997</v>
      </c>
    </row>
    <row r="10167" spans="1:7">
      <c r="A10167" t="s">
        <v>1297</v>
      </c>
      <c r="B10167" t="s">
        <v>1298</v>
      </c>
      <c r="C10167" t="s">
        <v>651</v>
      </c>
      <c r="D10167" t="s">
        <v>1413</v>
      </c>
      <c r="E10167" t="s">
        <v>187</v>
      </c>
      <c r="F10167">
        <v>2010</v>
      </c>
      <c r="G10167">
        <v>90.85369</v>
      </c>
    </row>
    <row r="10168" spans="1:7">
      <c r="A10168" t="s">
        <v>1297</v>
      </c>
      <c r="B10168" t="s">
        <v>1298</v>
      </c>
      <c r="C10168" t="s">
        <v>651</v>
      </c>
      <c r="D10168" t="s">
        <v>1413</v>
      </c>
      <c r="E10168" t="s">
        <v>187</v>
      </c>
      <c r="F10168">
        <v>2012</v>
      </c>
      <c r="G10168">
        <v>101.470477</v>
      </c>
    </row>
    <row r="10169" spans="1:7">
      <c r="A10169" t="s">
        <v>1297</v>
      </c>
      <c r="B10169" t="s">
        <v>1298</v>
      </c>
      <c r="C10169" t="s">
        <v>651</v>
      </c>
      <c r="D10169" t="s">
        <v>1413</v>
      </c>
      <c r="E10169" t="s">
        <v>187</v>
      </c>
      <c r="F10169">
        <v>2016</v>
      </c>
      <c r="G10169">
        <v>111.790318</v>
      </c>
    </row>
    <row r="10170" spans="1:7">
      <c r="A10170" t="s">
        <v>1297</v>
      </c>
      <c r="B10170" t="s">
        <v>1298</v>
      </c>
      <c r="C10170" t="s">
        <v>651</v>
      </c>
      <c r="D10170" t="s">
        <v>1413</v>
      </c>
      <c r="E10170" t="s">
        <v>187</v>
      </c>
      <c r="F10170">
        <v>2020</v>
      </c>
      <c r="G10170">
        <v>118.773533</v>
      </c>
    </row>
    <row r="10171" spans="1:7">
      <c r="A10171" t="s">
        <v>1297</v>
      </c>
      <c r="B10171" t="s">
        <v>1298</v>
      </c>
      <c r="C10171" t="s">
        <v>685</v>
      </c>
      <c r="D10171" t="s">
        <v>1413</v>
      </c>
      <c r="E10171" t="s">
        <v>187</v>
      </c>
      <c r="F10171">
        <v>2005</v>
      </c>
      <c r="G10171">
        <v>13.785458</v>
      </c>
    </row>
    <row r="10172" spans="1:7">
      <c r="A10172" t="s">
        <v>1297</v>
      </c>
      <c r="B10172" t="s">
        <v>1298</v>
      </c>
      <c r="C10172" t="s">
        <v>685</v>
      </c>
      <c r="D10172" t="s">
        <v>1413</v>
      </c>
      <c r="E10172" t="s">
        <v>187</v>
      </c>
      <c r="F10172">
        <v>2010</v>
      </c>
      <c r="G10172">
        <v>13.793462</v>
      </c>
    </row>
    <row r="10173" spans="1:7">
      <c r="A10173" t="s">
        <v>1297</v>
      </c>
      <c r="B10173" t="s">
        <v>1298</v>
      </c>
      <c r="C10173" t="s">
        <v>685</v>
      </c>
      <c r="D10173" t="s">
        <v>1413</v>
      </c>
      <c r="E10173" t="s">
        <v>187</v>
      </c>
      <c r="F10173">
        <v>2012</v>
      </c>
      <c r="G10173">
        <v>11.331331</v>
      </c>
    </row>
    <row r="10174" spans="1:7">
      <c r="A10174" t="s">
        <v>1297</v>
      </c>
      <c r="B10174" t="s">
        <v>1298</v>
      </c>
      <c r="C10174" t="s">
        <v>685</v>
      </c>
      <c r="D10174" t="s">
        <v>1413</v>
      </c>
      <c r="E10174" t="s">
        <v>187</v>
      </c>
      <c r="F10174">
        <v>2016</v>
      </c>
      <c r="G10174">
        <v>4.1531320000000003</v>
      </c>
    </row>
    <row r="10175" spans="1:7">
      <c r="A10175" t="s">
        <v>1297</v>
      </c>
      <c r="B10175" t="s">
        <v>1298</v>
      </c>
      <c r="C10175" t="s">
        <v>685</v>
      </c>
      <c r="D10175" t="s">
        <v>1413</v>
      </c>
      <c r="E10175" t="s">
        <v>187</v>
      </c>
      <c r="F10175">
        <v>2020</v>
      </c>
      <c r="G10175">
        <v>6.3704789999999996</v>
      </c>
    </row>
    <row r="10176" spans="1:7">
      <c r="A10176" t="s">
        <v>1297</v>
      </c>
      <c r="B10176" t="s">
        <v>1298</v>
      </c>
      <c r="C10176" t="s">
        <v>684</v>
      </c>
      <c r="D10176" t="s">
        <v>1413</v>
      </c>
      <c r="E10176" t="s">
        <v>187</v>
      </c>
      <c r="F10176">
        <v>2005</v>
      </c>
      <c r="G10176">
        <v>4.3959999999999999E-2</v>
      </c>
    </row>
    <row r="10177" spans="1:7">
      <c r="A10177" t="s">
        <v>1297</v>
      </c>
      <c r="B10177" t="s">
        <v>1298</v>
      </c>
      <c r="C10177" t="s">
        <v>684</v>
      </c>
      <c r="D10177" t="s">
        <v>1413</v>
      </c>
      <c r="E10177" t="s">
        <v>187</v>
      </c>
      <c r="F10177">
        <v>2010</v>
      </c>
      <c r="G10177">
        <v>0.74731999999999998</v>
      </c>
    </row>
    <row r="10178" spans="1:7">
      <c r="A10178" t="s">
        <v>1297</v>
      </c>
      <c r="B10178" t="s">
        <v>1298</v>
      </c>
      <c r="C10178" t="s">
        <v>684</v>
      </c>
      <c r="D10178" t="s">
        <v>1413</v>
      </c>
      <c r="E10178" t="s">
        <v>187</v>
      </c>
      <c r="F10178">
        <v>2012</v>
      </c>
      <c r="G10178">
        <v>0.53320000000000001</v>
      </c>
    </row>
    <row r="10179" spans="1:7">
      <c r="A10179" t="s">
        <v>1297</v>
      </c>
      <c r="B10179" t="s">
        <v>1298</v>
      </c>
      <c r="C10179" t="s">
        <v>684</v>
      </c>
      <c r="D10179" t="s">
        <v>1413</v>
      </c>
      <c r="E10179" t="s">
        <v>187</v>
      </c>
      <c r="F10179">
        <v>2016</v>
      </c>
      <c r="G10179">
        <v>0.65147999999999995</v>
      </c>
    </row>
    <row r="10180" spans="1:7">
      <c r="A10180" t="s">
        <v>1297</v>
      </c>
      <c r="B10180" t="s">
        <v>1298</v>
      </c>
      <c r="C10180" t="s">
        <v>684</v>
      </c>
      <c r="D10180" t="s">
        <v>1413</v>
      </c>
      <c r="E10180" t="s">
        <v>187</v>
      </c>
      <c r="F10180">
        <v>2020</v>
      </c>
      <c r="G10180">
        <v>1.3471280000000001</v>
      </c>
    </row>
    <row r="10181" spans="1:7">
      <c r="A10181" t="s">
        <v>1297</v>
      </c>
      <c r="B10181" t="s">
        <v>1298</v>
      </c>
      <c r="C10181" t="s">
        <v>662</v>
      </c>
      <c r="D10181" t="s">
        <v>1413</v>
      </c>
      <c r="E10181" t="s">
        <v>187</v>
      </c>
      <c r="F10181">
        <v>2005</v>
      </c>
      <c r="G10181">
        <v>250.05438000000001</v>
      </c>
    </row>
    <row r="10182" spans="1:7">
      <c r="A10182" t="s">
        <v>1297</v>
      </c>
      <c r="B10182" t="s">
        <v>1298</v>
      </c>
      <c r="C10182" t="s">
        <v>662</v>
      </c>
      <c r="D10182" t="s">
        <v>1413</v>
      </c>
      <c r="E10182" t="s">
        <v>187</v>
      </c>
      <c r="F10182">
        <v>2010</v>
      </c>
      <c r="G10182">
        <v>401.59462000000002</v>
      </c>
    </row>
    <row r="10183" spans="1:7">
      <c r="A10183" t="s">
        <v>1297</v>
      </c>
      <c r="B10183" t="s">
        <v>1298</v>
      </c>
      <c r="C10183" t="s">
        <v>662</v>
      </c>
      <c r="D10183" t="s">
        <v>1413</v>
      </c>
      <c r="E10183" t="s">
        <v>187</v>
      </c>
      <c r="F10183">
        <v>2012</v>
      </c>
      <c r="G10183">
        <v>523.91166399999997</v>
      </c>
    </row>
    <row r="10184" spans="1:7">
      <c r="A10184" t="s">
        <v>1297</v>
      </c>
      <c r="B10184" t="s">
        <v>1298</v>
      </c>
      <c r="C10184" t="s">
        <v>662</v>
      </c>
      <c r="D10184" t="s">
        <v>1413</v>
      </c>
      <c r="E10184" t="s">
        <v>187</v>
      </c>
      <c r="F10184">
        <v>2016</v>
      </c>
      <c r="G10184">
        <v>768.60167799999999</v>
      </c>
    </row>
    <row r="10185" spans="1:7">
      <c r="A10185" t="s">
        <v>1297</v>
      </c>
      <c r="B10185" t="s">
        <v>1298</v>
      </c>
      <c r="C10185" t="s">
        <v>662</v>
      </c>
      <c r="D10185" t="s">
        <v>1413</v>
      </c>
      <c r="E10185" t="s">
        <v>187</v>
      </c>
      <c r="F10185">
        <v>2020</v>
      </c>
      <c r="G10185">
        <v>776.25055899999995</v>
      </c>
    </row>
    <row r="10186" spans="1:7">
      <c r="A10186" t="s">
        <v>1297</v>
      </c>
      <c r="B10186" t="s">
        <v>1298</v>
      </c>
      <c r="C10186" t="s">
        <v>671</v>
      </c>
      <c r="D10186" t="s">
        <v>1413</v>
      </c>
      <c r="E10186" t="s">
        <v>187</v>
      </c>
      <c r="F10186">
        <v>2016</v>
      </c>
      <c r="G10186">
        <v>302.38996800000001</v>
      </c>
    </row>
    <row r="10187" spans="1:7">
      <c r="A10187" t="s">
        <v>1297</v>
      </c>
      <c r="B10187" t="s">
        <v>1298</v>
      </c>
      <c r="C10187" t="s">
        <v>671</v>
      </c>
      <c r="D10187" t="s">
        <v>1413</v>
      </c>
      <c r="E10187" t="s">
        <v>187</v>
      </c>
      <c r="F10187">
        <v>2020</v>
      </c>
      <c r="G10187">
        <v>227.155992</v>
      </c>
    </row>
    <row r="10188" spans="1:7">
      <c r="A10188" t="s">
        <v>1297</v>
      </c>
      <c r="B10188" t="s">
        <v>1298</v>
      </c>
      <c r="C10188" t="s">
        <v>670</v>
      </c>
      <c r="D10188" t="s">
        <v>1413</v>
      </c>
      <c r="E10188" t="s">
        <v>187</v>
      </c>
      <c r="F10188">
        <v>2005</v>
      </c>
      <c r="G10188">
        <v>3221.6512229999998</v>
      </c>
    </row>
    <row r="10189" spans="1:7">
      <c r="A10189" t="s">
        <v>1297</v>
      </c>
      <c r="B10189" t="s">
        <v>1298</v>
      </c>
      <c r="C10189" t="s">
        <v>665</v>
      </c>
      <c r="D10189" t="s">
        <v>1413</v>
      </c>
      <c r="E10189" t="s">
        <v>187</v>
      </c>
      <c r="F10189">
        <v>2010</v>
      </c>
      <c r="G10189">
        <v>1259.83086</v>
      </c>
    </row>
    <row r="10190" spans="1:7">
      <c r="A10190" t="s">
        <v>1297</v>
      </c>
      <c r="B10190" t="s">
        <v>1298</v>
      </c>
      <c r="C10190" t="s">
        <v>665</v>
      </c>
      <c r="D10190" t="s">
        <v>1413</v>
      </c>
      <c r="E10190" t="s">
        <v>187</v>
      </c>
      <c r="F10190">
        <v>2012</v>
      </c>
      <c r="G10190">
        <v>1271.8712599999999</v>
      </c>
    </row>
    <row r="10191" spans="1:7">
      <c r="A10191" t="s">
        <v>1297</v>
      </c>
      <c r="B10191" t="s">
        <v>1298</v>
      </c>
      <c r="C10191" t="s">
        <v>665</v>
      </c>
      <c r="D10191" t="s">
        <v>1413</v>
      </c>
      <c r="E10191" t="s">
        <v>187</v>
      </c>
      <c r="F10191">
        <v>2016</v>
      </c>
      <c r="G10191">
        <v>1251.5380319999999</v>
      </c>
    </row>
    <row r="10192" spans="1:7">
      <c r="A10192" t="s">
        <v>1297</v>
      </c>
      <c r="B10192" t="s">
        <v>1298</v>
      </c>
      <c r="C10192" t="s">
        <v>665</v>
      </c>
      <c r="D10192" t="s">
        <v>1413</v>
      </c>
      <c r="E10192" t="s">
        <v>187</v>
      </c>
      <c r="F10192">
        <v>2020</v>
      </c>
      <c r="G10192">
        <v>1178.8175080000001</v>
      </c>
    </row>
    <row r="10193" spans="1:7">
      <c r="A10193" t="s">
        <v>1297</v>
      </c>
      <c r="B10193" t="s">
        <v>1298</v>
      </c>
      <c r="C10193" t="s">
        <v>1301</v>
      </c>
      <c r="D10193" t="s">
        <v>1413</v>
      </c>
      <c r="E10193" t="s">
        <v>187</v>
      </c>
      <c r="F10193">
        <v>2005</v>
      </c>
      <c r="G10193">
        <v>228.898</v>
      </c>
    </row>
    <row r="10194" spans="1:7">
      <c r="A10194" t="s">
        <v>1297</v>
      </c>
      <c r="B10194" t="s">
        <v>1298</v>
      </c>
      <c r="C10194" t="s">
        <v>1301</v>
      </c>
      <c r="D10194" t="s">
        <v>1413</v>
      </c>
      <c r="E10194" t="s">
        <v>187</v>
      </c>
      <c r="F10194">
        <v>2010</v>
      </c>
      <c r="G10194">
        <v>270.84629999999999</v>
      </c>
    </row>
    <row r="10195" spans="1:7">
      <c r="A10195" t="s">
        <v>1297</v>
      </c>
      <c r="B10195" t="s">
        <v>1298</v>
      </c>
      <c r="C10195" t="s">
        <v>1301</v>
      </c>
      <c r="D10195" t="s">
        <v>1413</v>
      </c>
      <c r="E10195" t="s">
        <v>187</v>
      </c>
      <c r="F10195">
        <v>2012</v>
      </c>
      <c r="G10195">
        <v>336.67587099999997</v>
      </c>
    </row>
    <row r="10196" spans="1:7">
      <c r="A10196" t="s">
        <v>1297</v>
      </c>
      <c r="B10196" t="s">
        <v>1298</v>
      </c>
      <c r="C10196" t="s">
        <v>1301</v>
      </c>
      <c r="D10196" t="s">
        <v>1413</v>
      </c>
      <c r="E10196" t="s">
        <v>187</v>
      </c>
      <c r="F10196">
        <v>2016</v>
      </c>
      <c r="G10196">
        <v>276.9941</v>
      </c>
    </row>
    <row r="10197" spans="1:7">
      <c r="A10197" t="s">
        <v>1297</v>
      </c>
      <c r="B10197" t="s">
        <v>1298</v>
      </c>
      <c r="C10197" t="s">
        <v>1301</v>
      </c>
      <c r="D10197" t="s">
        <v>1413</v>
      </c>
      <c r="E10197" t="s">
        <v>187</v>
      </c>
      <c r="F10197">
        <v>2020</v>
      </c>
      <c r="G10197">
        <v>362.70139999999998</v>
      </c>
    </row>
    <row r="10198" spans="1:7">
      <c r="A10198" t="s">
        <v>1297</v>
      </c>
      <c r="B10198" t="s">
        <v>1298</v>
      </c>
      <c r="C10198" t="s">
        <v>660</v>
      </c>
      <c r="D10198" t="s">
        <v>1413</v>
      </c>
      <c r="E10198" t="s">
        <v>187</v>
      </c>
      <c r="F10198">
        <v>2005</v>
      </c>
      <c r="G10198">
        <v>213.20552499999999</v>
      </c>
    </row>
    <row r="10199" spans="1:7">
      <c r="A10199" t="s">
        <v>1297</v>
      </c>
      <c r="B10199" t="s">
        <v>1298</v>
      </c>
      <c r="C10199" t="s">
        <v>660</v>
      </c>
      <c r="D10199" t="s">
        <v>1413</v>
      </c>
      <c r="E10199" t="s">
        <v>187</v>
      </c>
      <c r="F10199">
        <v>2010</v>
      </c>
      <c r="G10199">
        <v>286.05580099999997</v>
      </c>
    </row>
    <row r="10200" spans="1:7">
      <c r="A10200" t="s">
        <v>1297</v>
      </c>
      <c r="B10200" t="s">
        <v>1298</v>
      </c>
      <c r="C10200" t="s">
        <v>660</v>
      </c>
      <c r="D10200" t="s">
        <v>1413</v>
      </c>
      <c r="E10200" t="s">
        <v>187</v>
      </c>
      <c r="F10200">
        <v>2012</v>
      </c>
      <c r="G10200">
        <v>323.27687100000003</v>
      </c>
    </row>
    <row r="10201" spans="1:7">
      <c r="A10201" t="s">
        <v>1297</v>
      </c>
      <c r="B10201" t="s">
        <v>1298</v>
      </c>
      <c r="C10201" t="s">
        <v>660</v>
      </c>
      <c r="D10201" t="s">
        <v>1413</v>
      </c>
      <c r="E10201" t="s">
        <v>187</v>
      </c>
      <c r="F10201">
        <v>2016</v>
      </c>
      <c r="G10201">
        <v>385.79204800000002</v>
      </c>
    </row>
    <row r="10202" spans="1:7">
      <c r="A10202" t="s">
        <v>1297</v>
      </c>
      <c r="B10202" t="s">
        <v>1298</v>
      </c>
      <c r="C10202" t="s">
        <v>660</v>
      </c>
      <c r="D10202" t="s">
        <v>1413</v>
      </c>
      <c r="E10202" t="s">
        <v>187</v>
      </c>
      <c r="F10202">
        <v>2020</v>
      </c>
      <c r="G10202">
        <v>404.49204099999997</v>
      </c>
    </row>
    <row r="10203" spans="1:7">
      <c r="A10203" t="s">
        <v>1297</v>
      </c>
      <c r="B10203" t="s">
        <v>1298</v>
      </c>
      <c r="C10203" t="s">
        <v>675</v>
      </c>
      <c r="D10203" t="s">
        <v>1413</v>
      </c>
      <c r="E10203" t="s">
        <v>187</v>
      </c>
      <c r="F10203">
        <v>2005</v>
      </c>
      <c r="G10203">
        <v>9.1714000000000002</v>
      </c>
    </row>
    <row r="10204" spans="1:7">
      <c r="A10204" t="s">
        <v>1297</v>
      </c>
      <c r="B10204" t="s">
        <v>1298</v>
      </c>
      <c r="C10204" t="s">
        <v>675</v>
      </c>
      <c r="D10204" t="s">
        <v>1413</v>
      </c>
      <c r="E10204" t="s">
        <v>187</v>
      </c>
      <c r="F10204">
        <v>2010</v>
      </c>
      <c r="G10204">
        <v>28.789020000000001</v>
      </c>
    </row>
    <row r="10205" spans="1:7">
      <c r="A10205" t="s">
        <v>1297</v>
      </c>
      <c r="B10205" t="s">
        <v>1298</v>
      </c>
      <c r="C10205" t="s">
        <v>675</v>
      </c>
      <c r="D10205" t="s">
        <v>1413</v>
      </c>
      <c r="E10205" t="s">
        <v>187</v>
      </c>
      <c r="F10205">
        <v>2012</v>
      </c>
      <c r="G10205">
        <v>34.738917999999998</v>
      </c>
    </row>
    <row r="10206" spans="1:7">
      <c r="A10206" t="s">
        <v>1297</v>
      </c>
      <c r="B10206" t="s">
        <v>1298</v>
      </c>
      <c r="C10206" t="s">
        <v>675</v>
      </c>
      <c r="D10206" t="s">
        <v>1413</v>
      </c>
      <c r="E10206" t="s">
        <v>187</v>
      </c>
      <c r="F10206">
        <v>2016</v>
      </c>
      <c r="G10206">
        <v>86.846155999999993</v>
      </c>
    </row>
    <row r="10207" spans="1:7">
      <c r="A10207" t="s">
        <v>1297</v>
      </c>
      <c r="B10207" t="s">
        <v>1298</v>
      </c>
      <c r="C10207" t="s">
        <v>675</v>
      </c>
      <c r="D10207" t="s">
        <v>1413</v>
      </c>
      <c r="E10207" t="s">
        <v>187</v>
      </c>
      <c r="F10207">
        <v>2020</v>
      </c>
      <c r="G10207">
        <v>98.585420999999997</v>
      </c>
    </row>
    <row r="10208" spans="1:7">
      <c r="A10208" t="s">
        <v>1297</v>
      </c>
      <c r="B10208" t="s">
        <v>1298</v>
      </c>
      <c r="C10208" t="s">
        <v>663</v>
      </c>
      <c r="D10208" t="s">
        <v>1413</v>
      </c>
      <c r="E10208" t="s">
        <v>187</v>
      </c>
      <c r="F10208">
        <v>2016</v>
      </c>
      <c r="G10208">
        <v>121.46947</v>
      </c>
    </row>
    <row r="10209" spans="1:7">
      <c r="A10209" t="s">
        <v>1297</v>
      </c>
      <c r="B10209" t="s">
        <v>1298</v>
      </c>
      <c r="C10209" t="s">
        <v>663</v>
      </c>
      <c r="D10209" t="s">
        <v>1413</v>
      </c>
      <c r="E10209" t="s">
        <v>187</v>
      </c>
      <c r="F10209">
        <v>2020</v>
      </c>
      <c r="G10209">
        <v>140.13317599999999</v>
      </c>
    </row>
    <row r="10210" spans="1:7">
      <c r="A10210" t="s">
        <v>1297</v>
      </c>
      <c r="B10210" t="s">
        <v>1298</v>
      </c>
      <c r="C10210" t="s">
        <v>653</v>
      </c>
      <c r="D10210" t="s">
        <v>1413</v>
      </c>
      <c r="E10210" t="s">
        <v>187</v>
      </c>
      <c r="F10210">
        <v>2005</v>
      </c>
      <c r="G10210">
        <v>109.50125</v>
      </c>
    </row>
    <row r="10211" spans="1:7">
      <c r="A10211" t="s">
        <v>1297</v>
      </c>
      <c r="B10211" t="s">
        <v>1298</v>
      </c>
      <c r="C10211" t="s">
        <v>653</v>
      </c>
      <c r="D10211" t="s">
        <v>1413</v>
      </c>
      <c r="E10211" t="s">
        <v>187</v>
      </c>
      <c r="F10211">
        <v>2010</v>
      </c>
      <c r="G10211">
        <v>149.6009</v>
      </c>
    </row>
    <row r="10212" spans="1:7">
      <c r="A10212" t="s">
        <v>1297</v>
      </c>
      <c r="B10212" t="s">
        <v>1298</v>
      </c>
      <c r="C10212" t="s">
        <v>653</v>
      </c>
      <c r="D10212" t="s">
        <v>1413</v>
      </c>
      <c r="E10212" t="s">
        <v>187</v>
      </c>
      <c r="F10212">
        <v>2012</v>
      </c>
      <c r="G10212">
        <v>174.1969</v>
      </c>
    </row>
    <row r="10213" spans="1:7">
      <c r="A10213" t="s">
        <v>1297</v>
      </c>
      <c r="B10213" t="s">
        <v>1298</v>
      </c>
      <c r="C10213" t="s">
        <v>653</v>
      </c>
      <c r="D10213" t="s">
        <v>1413</v>
      </c>
      <c r="E10213" t="s">
        <v>187</v>
      </c>
      <c r="F10213">
        <v>2016</v>
      </c>
      <c r="G10213">
        <v>193.5874</v>
      </c>
    </row>
    <row r="10214" spans="1:7">
      <c r="A10214" t="s">
        <v>1297</v>
      </c>
      <c r="B10214" t="s">
        <v>1298</v>
      </c>
      <c r="C10214" t="s">
        <v>653</v>
      </c>
      <c r="D10214" t="s">
        <v>1413</v>
      </c>
      <c r="E10214" t="s">
        <v>187</v>
      </c>
      <c r="F10214">
        <v>2020</v>
      </c>
      <c r="G10214">
        <v>182.654618</v>
      </c>
    </row>
    <row r="10215" spans="1:7">
      <c r="A10215" t="s">
        <v>1297</v>
      </c>
      <c r="B10215" t="s">
        <v>1298</v>
      </c>
      <c r="C10215" t="s">
        <v>1303</v>
      </c>
      <c r="D10215" t="s">
        <v>1413</v>
      </c>
      <c r="E10215" t="s">
        <v>187</v>
      </c>
      <c r="F10215">
        <v>2016</v>
      </c>
      <c r="G10215">
        <v>5.7959800000000001</v>
      </c>
    </row>
    <row r="10216" spans="1:7">
      <c r="A10216" t="s">
        <v>1297</v>
      </c>
      <c r="B10216" t="s">
        <v>1298</v>
      </c>
      <c r="C10216" t="s">
        <v>1303</v>
      </c>
      <c r="D10216" t="s">
        <v>1413</v>
      </c>
      <c r="E10216" t="s">
        <v>187</v>
      </c>
      <c r="F10216">
        <v>2020</v>
      </c>
      <c r="G10216">
        <v>0.93406299999999998</v>
      </c>
    </row>
    <row r="10217" spans="1:7">
      <c r="A10217" t="s">
        <v>1297</v>
      </c>
      <c r="B10217" t="s">
        <v>1298</v>
      </c>
      <c r="C10217" t="s">
        <v>674</v>
      </c>
      <c r="D10217" t="s">
        <v>1413</v>
      </c>
      <c r="E10217" t="s">
        <v>187</v>
      </c>
      <c r="F10217">
        <v>2005</v>
      </c>
      <c r="G10217">
        <v>445.36550799999998</v>
      </c>
    </row>
    <row r="10218" spans="1:7">
      <c r="A10218" t="s">
        <v>1297</v>
      </c>
      <c r="B10218" t="s">
        <v>1298</v>
      </c>
      <c r="C10218" t="s">
        <v>674</v>
      </c>
      <c r="D10218" t="s">
        <v>1413</v>
      </c>
      <c r="E10218" t="s">
        <v>187</v>
      </c>
      <c r="F10218">
        <v>2010</v>
      </c>
      <c r="G10218">
        <v>538.78176399999995</v>
      </c>
    </row>
    <row r="10219" spans="1:7">
      <c r="A10219" t="s">
        <v>1297</v>
      </c>
      <c r="B10219" t="s">
        <v>1298</v>
      </c>
      <c r="C10219" t="s">
        <v>674</v>
      </c>
      <c r="D10219" t="s">
        <v>1413</v>
      </c>
      <c r="E10219" t="s">
        <v>187</v>
      </c>
      <c r="F10219">
        <v>2012</v>
      </c>
      <c r="G10219">
        <v>573.26358100000004</v>
      </c>
    </row>
    <row r="10220" spans="1:7">
      <c r="A10220" t="s">
        <v>1297</v>
      </c>
      <c r="B10220" t="s">
        <v>1298</v>
      </c>
      <c r="C10220" t="s">
        <v>674</v>
      </c>
      <c r="D10220" t="s">
        <v>1413</v>
      </c>
      <c r="E10220" t="s">
        <v>187</v>
      </c>
      <c r="F10220">
        <v>2016</v>
      </c>
      <c r="G10220">
        <v>715.93321200000003</v>
      </c>
    </row>
    <row r="10221" spans="1:7">
      <c r="A10221" t="s">
        <v>1297</v>
      </c>
      <c r="B10221" t="s">
        <v>1298</v>
      </c>
      <c r="C10221" t="s">
        <v>674</v>
      </c>
      <c r="D10221" t="s">
        <v>1413</v>
      </c>
      <c r="E10221" t="s">
        <v>187</v>
      </c>
      <c r="F10221">
        <v>2020</v>
      </c>
      <c r="G10221">
        <v>489.270376</v>
      </c>
    </row>
    <row r="10222" spans="1:7">
      <c r="A10222" t="s">
        <v>1297</v>
      </c>
      <c r="B10222" t="s">
        <v>1298</v>
      </c>
      <c r="C10222" t="s">
        <v>1300</v>
      </c>
      <c r="D10222" t="s">
        <v>1413</v>
      </c>
      <c r="E10222" t="s">
        <v>187</v>
      </c>
      <c r="F10222">
        <v>2010</v>
      </c>
      <c r="G10222">
        <v>0.38209599999999999</v>
      </c>
    </row>
    <row r="10223" spans="1:7">
      <c r="A10223" t="s">
        <v>1297</v>
      </c>
      <c r="B10223" t="s">
        <v>1298</v>
      </c>
      <c r="C10223" t="s">
        <v>1300</v>
      </c>
      <c r="D10223" t="s">
        <v>1413</v>
      </c>
      <c r="E10223" t="s">
        <v>187</v>
      </c>
      <c r="F10223">
        <v>2012</v>
      </c>
      <c r="G10223">
        <v>0.77260600000000001</v>
      </c>
    </row>
    <row r="10224" spans="1:7">
      <c r="A10224" t="s">
        <v>1297</v>
      </c>
      <c r="B10224" t="s">
        <v>1298</v>
      </c>
      <c r="C10224" t="s">
        <v>662</v>
      </c>
      <c r="D10224" t="s">
        <v>1414</v>
      </c>
      <c r="E10224" t="s">
        <v>187</v>
      </c>
      <c r="F10224">
        <v>2005</v>
      </c>
      <c r="G10224">
        <v>76.343199999999996</v>
      </c>
    </row>
    <row r="10225" spans="1:7">
      <c r="A10225" t="s">
        <v>1297</v>
      </c>
      <c r="B10225" t="s">
        <v>1298</v>
      </c>
      <c r="C10225" t="s">
        <v>662</v>
      </c>
      <c r="D10225" t="s">
        <v>1414</v>
      </c>
      <c r="E10225" t="s">
        <v>187</v>
      </c>
      <c r="F10225">
        <v>2010</v>
      </c>
      <c r="G10225">
        <v>56.034599999999998</v>
      </c>
    </row>
    <row r="10226" spans="1:7">
      <c r="A10226" t="s">
        <v>1297</v>
      </c>
      <c r="B10226" t="s">
        <v>1298</v>
      </c>
      <c r="C10226" t="s">
        <v>662</v>
      </c>
      <c r="D10226" t="s">
        <v>1414</v>
      </c>
      <c r="E10226" t="s">
        <v>187</v>
      </c>
      <c r="F10226">
        <v>2012</v>
      </c>
      <c r="G10226">
        <v>44.373199999999997</v>
      </c>
    </row>
    <row r="10227" spans="1:7">
      <c r="A10227" t="s">
        <v>1297</v>
      </c>
      <c r="B10227" t="s">
        <v>1298</v>
      </c>
      <c r="C10227" t="s">
        <v>662</v>
      </c>
      <c r="D10227" t="s">
        <v>1414</v>
      </c>
      <c r="E10227" t="s">
        <v>187</v>
      </c>
      <c r="F10227">
        <v>2016</v>
      </c>
      <c r="G10227">
        <v>49.564</v>
      </c>
    </row>
    <row r="10228" spans="1:7">
      <c r="A10228" t="s">
        <v>1297</v>
      </c>
      <c r="B10228" t="s">
        <v>1298</v>
      </c>
      <c r="C10228" t="s">
        <v>662</v>
      </c>
      <c r="D10228" t="s">
        <v>1414</v>
      </c>
      <c r="E10228" t="s">
        <v>187</v>
      </c>
      <c r="F10228">
        <v>2020</v>
      </c>
      <c r="G10228">
        <v>36.003985</v>
      </c>
    </row>
    <row r="10229" spans="1:7">
      <c r="A10229" t="s">
        <v>1297</v>
      </c>
      <c r="B10229" t="s">
        <v>1298</v>
      </c>
      <c r="C10229" t="s">
        <v>654</v>
      </c>
      <c r="D10229" t="s">
        <v>1414</v>
      </c>
      <c r="E10229" t="s">
        <v>187</v>
      </c>
      <c r="F10229">
        <v>2005</v>
      </c>
      <c r="G10229">
        <v>9.7834649999999996</v>
      </c>
    </row>
    <row r="10230" spans="1:7">
      <c r="A10230" t="s">
        <v>1297</v>
      </c>
      <c r="B10230" t="s">
        <v>1298</v>
      </c>
      <c r="C10230" t="s">
        <v>654</v>
      </c>
      <c r="D10230" t="s">
        <v>1414</v>
      </c>
      <c r="E10230" t="s">
        <v>187</v>
      </c>
      <c r="F10230">
        <v>2010</v>
      </c>
      <c r="G10230">
        <v>6.4366260000000004</v>
      </c>
    </row>
    <row r="10231" spans="1:7">
      <c r="A10231" t="s">
        <v>1297</v>
      </c>
      <c r="B10231" t="s">
        <v>1298</v>
      </c>
      <c r="C10231" t="s">
        <v>654</v>
      </c>
      <c r="D10231" t="s">
        <v>1414</v>
      </c>
      <c r="E10231" t="s">
        <v>187</v>
      </c>
      <c r="F10231">
        <v>2012</v>
      </c>
      <c r="G10231">
        <v>5.3055719999999997</v>
      </c>
    </row>
    <row r="10232" spans="1:7">
      <c r="A10232" t="s">
        <v>1297</v>
      </c>
      <c r="B10232" t="s">
        <v>1298</v>
      </c>
      <c r="C10232" t="s">
        <v>654</v>
      </c>
      <c r="D10232" t="s">
        <v>1414</v>
      </c>
      <c r="E10232" t="s">
        <v>187</v>
      </c>
      <c r="F10232">
        <v>2016</v>
      </c>
      <c r="G10232">
        <v>5.9974829999999999</v>
      </c>
    </row>
    <row r="10233" spans="1:7">
      <c r="A10233" t="s">
        <v>1297</v>
      </c>
      <c r="B10233" t="s">
        <v>1298</v>
      </c>
      <c r="C10233" t="s">
        <v>654</v>
      </c>
      <c r="D10233" t="s">
        <v>1414</v>
      </c>
      <c r="E10233" t="s">
        <v>187</v>
      </c>
      <c r="F10233">
        <v>2020</v>
      </c>
      <c r="G10233">
        <v>4.3928560000000001</v>
      </c>
    </row>
    <row r="10234" spans="1:7">
      <c r="A10234" t="s">
        <v>1297</v>
      </c>
      <c r="B10234" t="s">
        <v>1298</v>
      </c>
      <c r="C10234" t="s">
        <v>681</v>
      </c>
      <c r="D10234" t="s">
        <v>1414</v>
      </c>
      <c r="E10234" t="s">
        <v>187</v>
      </c>
      <c r="F10234">
        <v>2005</v>
      </c>
      <c r="G10234">
        <v>5.3949939999999996</v>
      </c>
    </row>
    <row r="10235" spans="1:7">
      <c r="A10235" t="s">
        <v>1297</v>
      </c>
      <c r="B10235" t="s">
        <v>1298</v>
      </c>
      <c r="C10235" t="s">
        <v>681</v>
      </c>
      <c r="D10235" t="s">
        <v>1414</v>
      </c>
      <c r="E10235" t="s">
        <v>187</v>
      </c>
      <c r="F10235">
        <v>2010</v>
      </c>
      <c r="G10235">
        <v>6.4124930000000004</v>
      </c>
    </row>
    <row r="10236" spans="1:7">
      <c r="A10236" t="s">
        <v>1297</v>
      </c>
      <c r="B10236" t="s">
        <v>1298</v>
      </c>
      <c r="C10236" t="s">
        <v>681</v>
      </c>
      <c r="D10236" t="s">
        <v>1414</v>
      </c>
      <c r="E10236" t="s">
        <v>187</v>
      </c>
      <c r="F10236">
        <v>2012</v>
      </c>
      <c r="G10236">
        <v>3.5399609999999999</v>
      </c>
    </row>
    <row r="10237" spans="1:7">
      <c r="A10237" t="s">
        <v>1297</v>
      </c>
      <c r="B10237" t="s">
        <v>1298</v>
      </c>
      <c r="C10237" t="s">
        <v>681</v>
      </c>
      <c r="D10237" t="s">
        <v>1414</v>
      </c>
      <c r="E10237" t="s">
        <v>187</v>
      </c>
      <c r="F10237">
        <v>2016</v>
      </c>
      <c r="G10237">
        <v>4.5801220000000002</v>
      </c>
    </row>
    <row r="10238" spans="1:7">
      <c r="A10238" t="s">
        <v>1297</v>
      </c>
      <c r="B10238" t="s">
        <v>1298</v>
      </c>
      <c r="C10238" t="s">
        <v>681</v>
      </c>
      <c r="D10238" t="s">
        <v>1414</v>
      </c>
      <c r="E10238" t="s">
        <v>187</v>
      </c>
      <c r="F10238">
        <v>2020</v>
      </c>
      <c r="G10238">
        <v>4.8502169999999998</v>
      </c>
    </row>
    <row r="10239" spans="1:7">
      <c r="A10239" t="s">
        <v>1297</v>
      </c>
      <c r="B10239" t="s">
        <v>1298</v>
      </c>
      <c r="C10239" t="s">
        <v>1303</v>
      </c>
      <c r="D10239" t="s">
        <v>1414</v>
      </c>
      <c r="E10239" t="s">
        <v>187</v>
      </c>
      <c r="F10239">
        <v>2016</v>
      </c>
      <c r="G10239">
        <v>3.4990000000000001</v>
      </c>
    </row>
    <row r="10240" spans="1:7">
      <c r="A10240" t="s">
        <v>1297</v>
      </c>
      <c r="B10240" t="s">
        <v>1298</v>
      </c>
      <c r="C10240" t="s">
        <v>1303</v>
      </c>
      <c r="D10240" t="s">
        <v>1414</v>
      </c>
      <c r="E10240" t="s">
        <v>187</v>
      </c>
      <c r="F10240">
        <v>2020</v>
      </c>
      <c r="G10240">
        <v>4.3320759999999998</v>
      </c>
    </row>
    <row r="10241" spans="1:7">
      <c r="A10241" t="s">
        <v>1297</v>
      </c>
      <c r="B10241" t="s">
        <v>1298</v>
      </c>
      <c r="C10241" t="s">
        <v>658</v>
      </c>
      <c r="D10241" t="s">
        <v>1414</v>
      </c>
      <c r="E10241" t="s">
        <v>187</v>
      </c>
      <c r="F10241">
        <v>2005</v>
      </c>
      <c r="G10241">
        <v>3.7507999999999999</v>
      </c>
    </row>
    <row r="10242" spans="1:7">
      <c r="A10242" t="s">
        <v>1297</v>
      </c>
      <c r="B10242" t="s">
        <v>1298</v>
      </c>
      <c r="C10242" t="s">
        <v>658</v>
      </c>
      <c r="D10242" t="s">
        <v>1414</v>
      </c>
      <c r="E10242" t="s">
        <v>187</v>
      </c>
      <c r="F10242">
        <v>2010</v>
      </c>
      <c r="G10242">
        <v>2.5469620000000002</v>
      </c>
    </row>
    <row r="10243" spans="1:7">
      <c r="A10243" t="s">
        <v>1297</v>
      </c>
      <c r="B10243" t="s">
        <v>1298</v>
      </c>
      <c r="C10243" t="s">
        <v>1301</v>
      </c>
      <c r="D10243" t="s">
        <v>1414</v>
      </c>
      <c r="E10243" t="s">
        <v>187</v>
      </c>
      <c r="F10243">
        <v>2005</v>
      </c>
      <c r="G10243">
        <v>172.2946</v>
      </c>
    </row>
    <row r="10244" spans="1:7">
      <c r="A10244" t="s">
        <v>1297</v>
      </c>
      <c r="B10244" t="s">
        <v>1298</v>
      </c>
      <c r="C10244" t="s">
        <v>1301</v>
      </c>
      <c r="D10244" t="s">
        <v>1414</v>
      </c>
      <c r="E10244" t="s">
        <v>187</v>
      </c>
      <c r="F10244">
        <v>2010</v>
      </c>
      <c r="G10244">
        <v>47.663800000000002</v>
      </c>
    </row>
    <row r="10245" spans="1:7">
      <c r="A10245" t="s">
        <v>1297</v>
      </c>
      <c r="B10245" t="s">
        <v>1298</v>
      </c>
      <c r="C10245" t="s">
        <v>1301</v>
      </c>
      <c r="D10245" t="s">
        <v>1414</v>
      </c>
      <c r="E10245" t="s">
        <v>187</v>
      </c>
      <c r="F10245">
        <v>2012</v>
      </c>
      <c r="G10245">
        <v>72.690866</v>
      </c>
    </row>
    <row r="10246" spans="1:7">
      <c r="A10246" t="s">
        <v>1297</v>
      </c>
      <c r="B10246" t="s">
        <v>1298</v>
      </c>
      <c r="C10246" t="s">
        <v>1301</v>
      </c>
      <c r="D10246" t="s">
        <v>1414</v>
      </c>
      <c r="E10246" t="s">
        <v>187</v>
      </c>
      <c r="F10246">
        <v>2016</v>
      </c>
      <c r="G10246">
        <v>35.429699999999997</v>
      </c>
    </row>
    <row r="10247" spans="1:7">
      <c r="A10247" t="s">
        <v>1297</v>
      </c>
      <c r="B10247" t="s">
        <v>1298</v>
      </c>
      <c r="C10247" t="s">
        <v>1301</v>
      </c>
      <c r="D10247" t="s">
        <v>1414</v>
      </c>
      <c r="E10247" t="s">
        <v>187</v>
      </c>
      <c r="F10247">
        <v>2020</v>
      </c>
      <c r="G10247">
        <v>143.4659</v>
      </c>
    </row>
    <row r="10248" spans="1:7">
      <c r="A10248" t="s">
        <v>1297</v>
      </c>
      <c r="B10248" t="s">
        <v>1298</v>
      </c>
      <c r="C10248" t="s">
        <v>661</v>
      </c>
      <c r="D10248" t="s">
        <v>1414</v>
      </c>
      <c r="E10248" t="s">
        <v>187</v>
      </c>
      <c r="F10248">
        <v>2005</v>
      </c>
      <c r="G10248">
        <v>183.36924500000001</v>
      </c>
    </row>
    <row r="10249" spans="1:7">
      <c r="A10249" t="s">
        <v>1297</v>
      </c>
      <c r="B10249" t="s">
        <v>1298</v>
      </c>
      <c r="C10249" t="s">
        <v>661</v>
      </c>
      <c r="D10249" t="s">
        <v>1414</v>
      </c>
      <c r="E10249" t="s">
        <v>187</v>
      </c>
      <c r="F10249">
        <v>2010</v>
      </c>
      <c r="G10249">
        <v>120.35173500000001</v>
      </c>
    </row>
    <row r="10250" spans="1:7">
      <c r="A10250" t="s">
        <v>1297</v>
      </c>
      <c r="B10250" t="s">
        <v>1298</v>
      </c>
      <c r="C10250" t="s">
        <v>661</v>
      </c>
      <c r="D10250" t="s">
        <v>1414</v>
      </c>
      <c r="E10250" t="s">
        <v>187</v>
      </c>
      <c r="F10250">
        <v>2012</v>
      </c>
      <c r="G10250">
        <v>129.69005200000001</v>
      </c>
    </row>
    <row r="10251" spans="1:7">
      <c r="A10251" t="s">
        <v>1297</v>
      </c>
      <c r="B10251" t="s">
        <v>1298</v>
      </c>
      <c r="C10251" t="s">
        <v>661</v>
      </c>
      <c r="D10251" t="s">
        <v>1414</v>
      </c>
      <c r="E10251" t="s">
        <v>187</v>
      </c>
      <c r="F10251">
        <v>2016</v>
      </c>
      <c r="G10251">
        <v>117.734285</v>
      </c>
    </row>
    <row r="10252" spans="1:7">
      <c r="A10252" t="s">
        <v>1297</v>
      </c>
      <c r="B10252" t="s">
        <v>1298</v>
      </c>
      <c r="C10252" t="s">
        <v>661</v>
      </c>
      <c r="D10252" t="s">
        <v>1414</v>
      </c>
      <c r="E10252" t="s">
        <v>187</v>
      </c>
      <c r="F10252">
        <v>2020</v>
      </c>
      <c r="G10252">
        <v>114.461454</v>
      </c>
    </row>
    <row r="10253" spans="1:7">
      <c r="A10253" t="s">
        <v>1297</v>
      </c>
      <c r="B10253" t="s">
        <v>1298</v>
      </c>
      <c r="C10253" t="s">
        <v>676</v>
      </c>
      <c r="D10253" t="s">
        <v>1414</v>
      </c>
      <c r="E10253" t="s">
        <v>187</v>
      </c>
      <c r="F10253">
        <v>2005</v>
      </c>
      <c r="G10253">
        <v>13.1593</v>
      </c>
    </row>
    <row r="10254" spans="1:7">
      <c r="A10254" t="s">
        <v>1297</v>
      </c>
      <c r="B10254" t="s">
        <v>1298</v>
      </c>
      <c r="C10254" t="s">
        <v>676</v>
      </c>
      <c r="D10254" t="s">
        <v>1414</v>
      </c>
      <c r="E10254" t="s">
        <v>187</v>
      </c>
      <c r="F10254">
        <v>2010</v>
      </c>
      <c r="G10254">
        <v>4.483174</v>
      </c>
    </row>
    <row r="10255" spans="1:7">
      <c r="A10255" t="s">
        <v>1297</v>
      </c>
      <c r="B10255" t="s">
        <v>1298</v>
      </c>
      <c r="C10255" t="s">
        <v>676</v>
      </c>
      <c r="D10255" t="s">
        <v>1414</v>
      </c>
      <c r="E10255" t="s">
        <v>187</v>
      </c>
      <c r="F10255">
        <v>2012</v>
      </c>
      <c r="G10255">
        <v>6.9762959999999996</v>
      </c>
    </row>
    <row r="10256" spans="1:7">
      <c r="A10256" t="s">
        <v>1297</v>
      </c>
      <c r="B10256" t="s">
        <v>1298</v>
      </c>
      <c r="C10256" t="s">
        <v>676</v>
      </c>
      <c r="D10256" t="s">
        <v>1414</v>
      </c>
      <c r="E10256" t="s">
        <v>187</v>
      </c>
      <c r="F10256">
        <v>2016</v>
      </c>
      <c r="G10256">
        <v>4.8134069999999998</v>
      </c>
    </row>
    <row r="10257" spans="1:7">
      <c r="A10257" t="s">
        <v>1297</v>
      </c>
      <c r="B10257" t="s">
        <v>1298</v>
      </c>
      <c r="C10257" t="s">
        <v>676</v>
      </c>
      <c r="D10257" t="s">
        <v>1414</v>
      </c>
      <c r="E10257" t="s">
        <v>187</v>
      </c>
      <c r="F10257">
        <v>2020</v>
      </c>
      <c r="G10257">
        <v>12.098364</v>
      </c>
    </row>
    <row r="10258" spans="1:7">
      <c r="A10258" t="s">
        <v>1297</v>
      </c>
      <c r="B10258" t="s">
        <v>1298</v>
      </c>
      <c r="C10258" t="s">
        <v>657</v>
      </c>
      <c r="D10258" t="s">
        <v>1414</v>
      </c>
      <c r="E10258" t="s">
        <v>187</v>
      </c>
      <c r="F10258">
        <v>2005</v>
      </c>
      <c r="G10258">
        <v>32.007550000000002</v>
      </c>
    </row>
    <row r="10259" spans="1:7">
      <c r="A10259" t="s">
        <v>1297</v>
      </c>
      <c r="B10259" t="s">
        <v>1298</v>
      </c>
      <c r="C10259" t="s">
        <v>657</v>
      </c>
      <c r="D10259" t="s">
        <v>1414</v>
      </c>
      <c r="E10259" t="s">
        <v>187</v>
      </c>
      <c r="F10259">
        <v>2010</v>
      </c>
      <c r="G10259">
        <v>22.970300000000002</v>
      </c>
    </row>
    <row r="10260" spans="1:7">
      <c r="A10260" t="s">
        <v>1297</v>
      </c>
      <c r="B10260" t="s">
        <v>1298</v>
      </c>
      <c r="C10260" t="s">
        <v>657</v>
      </c>
      <c r="D10260" t="s">
        <v>1414</v>
      </c>
      <c r="E10260" t="s">
        <v>187</v>
      </c>
      <c r="F10260">
        <v>2012</v>
      </c>
      <c r="G10260">
        <v>20.17445</v>
      </c>
    </row>
    <row r="10261" spans="1:7">
      <c r="A10261" t="s">
        <v>1297</v>
      </c>
      <c r="B10261" t="s">
        <v>1298</v>
      </c>
      <c r="C10261" t="s">
        <v>657</v>
      </c>
      <c r="D10261" t="s">
        <v>1414</v>
      </c>
      <c r="E10261" t="s">
        <v>187</v>
      </c>
      <c r="F10261">
        <v>2016</v>
      </c>
      <c r="G10261">
        <v>17.723465999999998</v>
      </c>
    </row>
    <row r="10262" spans="1:7">
      <c r="A10262" t="s">
        <v>1297</v>
      </c>
      <c r="B10262" t="s">
        <v>1298</v>
      </c>
      <c r="C10262" t="s">
        <v>657</v>
      </c>
      <c r="D10262" t="s">
        <v>1414</v>
      </c>
      <c r="E10262" t="s">
        <v>187</v>
      </c>
      <c r="F10262">
        <v>2020</v>
      </c>
      <c r="G10262">
        <v>17.851969</v>
      </c>
    </row>
    <row r="10263" spans="1:7">
      <c r="A10263" t="s">
        <v>1297</v>
      </c>
      <c r="B10263" t="s">
        <v>1298</v>
      </c>
      <c r="C10263" t="s">
        <v>652</v>
      </c>
      <c r="D10263" t="s">
        <v>1414</v>
      </c>
      <c r="E10263" t="s">
        <v>187</v>
      </c>
      <c r="F10263">
        <v>2005</v>
      </c>
      <c r="G10263">
        <v>44.396799999999999</v>
      </c>
    </row>
    <row r="10264" spans="1:7">
      <c r="A10264" t="s">
        <v>1297</v>
      </c>
      <c r="B10264" t="s">
        <v>1298</v>
      </c>
      <c r="C10264" t="s">
        <v>652</v>
      </c>
      <c r="D10264" t="s">
        <v>1414</v>
      </c>
      <c r="E10264" t="s">
        <v>187</v>
      </c>
      <c r="F10264">
        <v>2010</v>
      </c>
      <c r="G10264">
        <v>75.4786</v>
      </c>
    </row>
    <row r="10265" spans="1:7">
      <c r="A10265" t="s">
        <v>1297</v>
      </c>
      <c r="B10265" t="s">
        <v>1298</v>
      </c>
      <c r="C10265" t="s">
        <v>652</v>
      </c>
      <c r="D10265" t="s">
        <v>1414</v>
      </c>
      <c r="E10265" t="s">
        <v>187</v>
      </c>
      <c r="F10265">
        <v>2012</v>
      </c>
      <c r="G10265">
        <v>68.526399999999995</v>
      </c>
    </row>
    <row r="10266" spans="1:7">
      <c r="A10266" t="s">
        <v>1297</v>
      </c>
      <c r="B10266" t="s">
        <v>1298</v>
      </c>
      <c r="C10266" t="s">
        <v>652</v>
      </c>
      <c r="D10266" t="s">
        <v>1414</v>
      </c>
      <c r="E10266" t="s">
        <v>187</v>
      </c>
      <c r="F10266">
        <v>2016</v>
      </c>
      <c r="G10266">
        <v>71.201800000000006</v>
      </c>
    </row>
    <row r="10267" spans="1:7">
      <c r="A10267" t="s">
        <v>1297</v>
      </c>
      <c r="B10267" t="s">
        <v>1298</v>
      </c>
      <c r="C10267" t="s">
        <v>652</v>
      </c>
      <c r="D10267" t="s">
        <v>1414</v>
      </c>
      <c r="E10267" t="s">
        <v>187</v>
      </c>
      <c r="F10267">
        <v>2020</v>
      </c>
      <c r="G10267">
        <v>52.833100000000002</v>
      </c>
    </row>
    <row r="10268" spans="1:7">
      <c r="A10268" t="s">
        <v>1297</v>
      </c>
      <c r="B10268" t="s">
        <v>1298</v>
      </c>
      <c r="C10268" t="s">
        <v>289</v>
      </c>
      <c r="D10268" t="s">
        <v>1414</v>
      </c>
      <c r="E10268" t="s">
        <v>187</v>
      </c>
      <c r="F10268">
        <v>2005</v>
      </c>
      <c r="G10268">
        <v>21.141788999999999</v>
      </c>
    </row>
    <row r="10269" spans="1:7">
      <c r="A10269" t="s">
        <v>1297</v>
      </c>
      <c r="B10269" t="s">
        <v>1298</v>
      </c>
      <c r="C10269" t="s">
        <v>289</v>
      </c>
      <c r="D10269" t="s">
        <v>1414</v>
      </c>
      <c r="E10269" t="s">
        <v>187</v>
      </c>
      <c r="F10269">
        <v>2010</v>
      </c>
      <c r="G10269">
        <v>12.518248</v>
      </c>
    </row>
    <row r="10270" spans="1:7">
      <c r="A10270" t="s">
        <v>1297</v>
      </c>
      <c r="B10270" t="s">
        <v>1298</v>
      </c>
      <c r="C10270" t="s">
        <v>289</v>
      </c>
      <c r="D10270" t="s">
        <v>1414</v>
      </c>
      <c r="E10270" t="s">
        <v>187</v>
      </c>
      <c r="F10270">
        <v>2012</v>
      </c>
      <c r="G10270">
        <v>10.268205</v>
      </c>
    </row>
    <row r="10271" spans="1:7">
      <c r="A10271" t="s">
        <v>1297</v>
      </c>
      <c r="B10271" t="s">
        <v>1298</v>
      </c>
      <c r="C10271" t="s">
        <v>289</v>
      </c>
      <c r="D10271" t="s">
        <v>1414</v>
      </c>
      <c r="E10271" t="s">
        <v>187</v>
      </c>
      <c r="F10271">
        <v>2016</v>
      </c>
      <c r="G10271">
        <v>11.556203999999999</v>
      </c>
    </row>
    <row r="10272" spans="1:7">
      <c r="A10272" t="s">
        <v>1297</v>
      </c>
      <c r="B10272" t="s">
        <v>1298</v>
      </c>
      <c r="C10272" t="s">
        <v>289</v>
      </c>
      <c r="D10272" t="s">
        <v>1414</v>
      </c>
      <c r="E10272" t="s">
        <v>187</v>
      </c>
      <c r="F10272">
        <v>2020</v>
      </c>
      <c r="G10272">
        <v>10.668201</v>
      </c>
    </row>
    <row r="10273" spans="1:7">
      <c r="A10273" t="s">
        <v>1297</v>
      </c>
      <c r="B10273" t="s">
        <v>1298</v>
      </c>
      <c r="C10273" t="s">
        <v>658</v>
      </c>
      <c r="D10273" t="s">
        <v>1414</v>
      </c>
      <c r="E10273" t="s">
        <v>187</v>
      </c>
      <c r="F10273">
        <v>2012</v>
      </c>
      <c r="G10273">
        <v>2.8994399999999998</v>
      </c>
    </row>
    <row r="10274" spans="1:7">
      <c r="A10274" t="s">
        <v>1297</v>
      </c>
      <c r="B10274" t="s">
        <v>1298</v>
      </c>
      <c r="C10274" t="s">
        <v>658</v>
      </c>
      <c r="D10274" t="s">
        <v>1414</v>
      </c>
      <c r="E10274" t="s">
        <v>187</v>
      </c>
      <c r="F10274">
        <v>2016</v>
      </c>
      <c r="G10274">
        <v>3.2398600000000002</v>
      </c>
    </row>
    <row r="10275" spans="1:7">
      <c r="A10275" t="s">
        <v>1297</v>
      </c>
      <c r="B10275" t="s">
        <v>1298</v>
      </c>
      <c r="C10275" t="s">
        <v>658</v>
      </c>
      <c r="D10275" t="s">
        <v>1414</v>
      </c>
      <c r="E10275" t="s">
        <v>187</v>
      </c>
      <c r="F10275">
        <v>2020</v>
      </c>
      <c r="G10275">
        <v>2.6718730000000002</v>
      </c>
    </row>
    <row r="10276" spans="1:7">
      <c r="A10276" t="s">
        <v>1297</v>
      </c>
      <c r="B10276" t="s">
        <v>1298</v>
      </c>
      <c r="C10276" t="s">
        <v>685</v>
      </c>
      <c r="D10276" t="s">
        <v>1414</v>
      </c>
      <c r="E10276" t="s">
        <v>187</v>
      </c>
      <c r="F10276">
        <v>2005</v>
      </c>
      <c r="G10276">
        <v>8.7897870000000005</v>
      </c>
    </row>
    <row r="10277" spans="1:7">
      <c r="A10277" t="s">
        <v>1297</v>
      </c>
      <c r="B10277" t="s">
        <v>1298</v>
      </c>
      <c r="C10277" t="s">
        <v>685</v>
      </c>
      <c r="D10277" t="s">
        <v>1414</v>
      </c>
      <c r="E10277" t="s">
        <v>187</v>
      </c>
      <c r="F10277">
        <v>2010</v>
      </c>
      <c r="G10277">
        <v>8.7576509999999992</v>
      </c>
    </row>
    <row r="10278" spans="1:7">
      <c r="A10278" t="s">
        <v>1297</v>
      </c>
      <c r="B10278" t="s">
        <v>1298</v>
      </c>
      <c r="C10278" t="s">
        <v>685</v>
      </c>
      <c r="D10278" t="s">
        <v>1414</v>
      </c>
      <c r="E10278" t="s">
        <v>187</v>
      </c>
      <c r="F10278">
        <v>2012</v>
      </c>
      <c r="G10278">
        <v>9.1080869999999994</v>
      </c>
    </row>
    <row r="10279" spans="1:7">
      <c r="A10279" t="s">
        <v>1297</v>
      </c>
      <c r="B10279" t="s">
        <v>1298</v>
      </c>
      <c r="C10279" t="s">
        <v>685</v>
      </c>
      <c r="D10279" t="s">
        <v>1414</v>
      </c>
      <c r="E10279" t="s">
        <v>187</v>
      </c>
      <c r="F10279">
        <v>2016</v>
      </c>
      <c r="G10279">
        <v>5.6305310000000004</v>
      </c>
    </row>
    <row r="10280" spans="1:7">
      <c r="A10280" t="s">
        <v>1297</v>
      </c>
      <c r="B10280" t="s">
        <v>1298</v>
      </c>
      <c r="C10280" t="s">
        <v>685</v>
      </c>
      <c r="D10280" t="s">
        <v>1414</v>
      </c>
      <c r="E10280" t="s">
        <v>187</v>
      </c>
      <c r="F10280">
        <v>2020</v>
      </c>
      <c r="G10280">
        <v>5.9127349999999996</v>
      </c>
    </row>
    <row r="10281" spans="1:7">
      <c r="A10281" t="s">
        <v>1297</v>
      </c>
      <c r="B10281" t="s">
        <v>1298</v>
      </c>
      <c r="C10281" t="s">
        <v>651</v>
      </c>
      <c r="D10281" t="s">
        <v>1414</v>
      </c>
      <c r="E10281" t="s">
        <v>187</v>
      </c>
      <c r="F10281">
        <v>2005</v>
      </c>
      <c r="G10281">
        <v>34.136256000000003</v>
      </c>
    </row>
    <row r="10282" spans="1:7">
      <c r="A10282" t="s">
        <v>1297</v>
      </c>
      <c r="B10282" t="s">
        <v>1298</v>
      </c>
      <c r="C10282" t="s">
        <v>651</v>
      </c>
      <c r="D10282" t="s">
        <v>1414</v>
      </c>
      <c r="E10282" t="s">
        <v>187</v>
      </c>
      <c r="F10282">
        <v>2010</v>
      </c>
      <c r="G10282">
        <v>27.912053</v>
      </c>
    </row>
    <row r="10283" spans="1:7">
      <c r="A10283" t="s">
        <v>1297</v>
      </c>
      <c r="B10283" t="s">
        <v>1298</v>
      </c>
      <c r="C10283" t="s">
        <v>651</v>
      </c>
      <c r="D10283" t="s">
        <v>1414</v>
      </c>
      <c r="E10283" t="s">
        <v>187</v>
      </c>
      <c r="F10283">
        <v>2012</v>
      </c>
      <c r="G10283">
        <v>27.383956000000001</v>
      </c>
    </row>
    <row r="10284" spans="1:7">
      <c r="A10284" t="s">
        <v>1297</v>
      </c>
      <c r="B10284" t="s">
        <v>1298</v>
      </c>
      <c r="C10284" t="s">
        <v>651</v>
      </c>
      <c r="D10284" t="s">
        <v>1414</v>
      </c>
      <c r="E10284" t="s">
        <v>187</v>
      </c>
      <c r="F10284">
        <v>2016</v>
      </c>
      <c r="G10284">
        <v>14.840662999999999</v>
      </c>
    </row>
    <row r="10285" spans="1:7">
      <c r="A10285" t="s">
        <v>1297</v>
      </c>
      <c r="B10285" t="s">
        <v>1298</v>
      </c>
      <c r="C10285" t="s">
        <v>651</v>
      </c>
      <c r="D10285" t="s">
        <v>1414</v>
      </c>
      <c r="E10285" t="s">
        <v>187</v>
      </c>
      <c r="F10285">
        <v>2020</v>
      </c>
      <c r="G10285">
        <v>12.232557999999999</v>
      </c>
    </row>
    <row r="10286" spans="1:7">
      <c r="A10286" t="s">
        <v>1297</v>
      </c>
      <c r="B10286" t="s">
        <v>1298</v>
      </c>
      <c r="C10286" t="s">
        <v>1300</v>
      </c>
      <c r="D10286" t="s">
        <v>1414</v>
      </c>
      <c r="E10286" t="s">
        <v>187</v>
      </c>
      <c r="F10286">
        <v>2010</v>
      </c>
      <c r="G10286">
        <v>0.47078599999999998</v>
      </c>
    </row>
    <row r="10287" spans="1:7">
      <c r="A10287" t="s">
        <v>1297</v>
      </c>
      <c r="B10287" t="s">
        <v>1298</v>
      </c>
      <c r="C10287" t="s">
        <v>1300</v>
      </c>
      <c r="D10287" t="s">
        <v>1414</v>
      </c>
      <c r="E10287" t="s">
        <v>187</v>
      </c>
      <c r="F10287">
        <v>2012</v>
      </c>
      <c r="G10287">
        <v>1.2166950000000001</v>
      </c>
    </row>
    <row r="10288" spans="1:7">
      <c r="A10288" t="s">
        <v>1297</v>
      </c>
      <c r="B10288" t="s">
        <v>1298</v>
      </c>
      <c r="C10288" t="s">
        <v>1300</v>
      </c>
      <c r="D10288" t="s">
        <v>1414</v>
      </c>
      <c r="E10288" t="s">
        <v>187</v>
      </c>
      <c r="F10288">
        <v>2016</v>
      </c>
      <c r="G10288">
        <v>0.38179800000000003</v>
      </c>
    </row>
    <row r="10289" spans="1:7">
      <c r="A10289" t="s">
        <v>1297</v>
      </c>
      <c r="B10289" t="s">
        <v>1298</v>
      </c>
      <c r="C10289" t="s">
        <v>653</v>
      </c>
      <c r="D10289" t="s">
        <v>1414</v>
      </c>
      <c r="E10289" t="s">
        <v>187</v>
      </c>
      <c r="F10289">
        <v>2005</v>
      </c>
      <c r="G10289">
        <v>32.764280999999997</v>
      </c>
    </row>
    <row r="10290" spans="1:7">
      <c r="A10290" t="s">
        <v>1297</v>
      </c>
      <c r="B10290" t="s">
        <v>1298</v>
      </c>
      <c r="C10290" t="s">
        <v>653</v>
      </c>
      <c r="D10290" t="s">
        <v>1414</v>
      </c>
      <c r="E10290" t="s">
        <v>187</v>
      </c>
      <c r="F10290">
        <v>2010</v>
      </c>
      <c r="G10290">
        <v>13.574400000000001</v>
      </c>
    </row>
    <row r="10291" spans="1:7">
      <c r="A10291" t="s">
        <v>1297</v>
      </c>
      <c r="B10291" t="s">
        <v>1298</v>
      </c>
      <c r="C10291" t="s">
        <v>653</v>
      </c>
      <c r="D10291" t="s">
        <v>1414</v>
      </c>
      <c r="E10291" t="s">
        <v>187</v>
      </c>
      <c r="F10291">
        <v>2012</v>
      </c>
      <c r="G10291">
        <v>8.6306999999999992</v>
      </c>
    </row>
    <row r="10292" spans="1:7">
      <c r="A10292" t="s">
        <v>1297</v>
      </c>
      <c r="B10292" t="s">
        <v>1298</v>
      </c>
      <c r="C10292" t="s">
        <v>653</v>
      </c>
      <c r="D10292" t="s">
        <v>1414</v>
      </c>
      <c r="E10292" t="s">
        <v>187</v>
      </c>
      <c r="F10292">
        <v>2016</v>
      </c>
      <c r="G10292">
        <v>8.1439160000000008</v>
      </c>
    </row>
    <row r="10293" spans="1:7">
      <c r="A10293" t="s">
        <v>1297</v>
      </c>
      <c r="B10293" t="s">
        <v>1298</v>
      </c>
      <c r="C10293" t="s">
        <v>653</v>
      </c>
      <c r="D10293" t="s">
        <v>1414</v>
      </c>
      <c r="E10293" t="s">
        <v>187</v>
      </c>
      <c r="F10293">
        <v>2020</v>
      </c>
      <c r="G10293">
        <v>16.701546</v>
      </c>
    </row>
    <row r="10294" spans="1:7">
      <c r="A10294" t="s">
        <v>1297</v>
      </c>
      <c r="B10294" t="s">
        <v>1298</v>
      </c>
      <c r="C10294" t="s">
        <v>664</v>
      </c>
      <c r="D10294" t="s">
        <v>1414</v>
      </c>
      <c r="E10294" t="s">
        <v>187</v>
      </c>
      <c r="F10294">
        <v>2005</v>
      </c>
      <c r="G10294">
        <v>41.798143000000003</v>
      </c>
    </row>
    <row r="10295" spans="1:7">
      <c r="A10295" t="s">
        <v>1297</v>
      </c>
      <c r="B10295" t="s">
        <v>1298</v>
      </c>
      <c r="C10295" t="s">
        <v>664</v>
      </c>
      <c r="D10295" t="s">
        <v>1414</v>
      </c>
      <c r="E10295" t="s">
        <v>187</v>
      </c>
      <c r="F10295">
        <v>2010</v>
      </c>
      <c r="G10295">
        <v>20.750257000000001</v>
      </c>
    </row>
    <row r="10296" spans="1:7">
      <c r="A10296" t="s">
        <v>1297</v>
      </c>
      <c r="B10296" t="s">
        <v>1298</v>
      </c>
      <c r="C10296" t="s">
        <v>664</v>
      </c>
      <c r="D10296" t="s">
        <v>1414</v>
      </c>
      <c r="E10296" t="s">
        <v>187</v>
      </c>
      <c r="F10296">
        <v>2012</v>
      </c>
      <c r="G10296">
        <v>16.061980999999999</v>
      </c>
    </row>
    <row r="10297" spans="1:7">
      <c r="A10297" t="s">
        <v>1297</v>
      </c>
      <c r="B10297" t="s">
        <v>1298</v>
      </c>
      <c r="C10297" t="s">
        <v>664</v>
      </c>
      <c r="D10297" t="s">
        <v>1414</v>
      </c>
      <c r="E10297" t="s">
        <v>187</v>
      </c>
      <c r="F10297">
        <v>2016</v>
      </c>
      <c r="G10297">
        <v>14.824244</v>
      </c>
    </row>
    <row r="10298" spans="1:7">
      <c r="A10298" t="s">
        <v>1297</v>
      </c>
      <c r="B10298" t="s">
        <v>1298</v>
      </c>
      <c r="C10298" t="s">
        <v>664</v>
      </c>
      <c r="D10298" t="s">
        <v>1414</v>
      </c>
      <c r="E10298" t="s">
        <v>187</v>
      </c>
      <c r="F10298">
        <v>2020</v>
      </c>
      <c r="G10298">
        <v>15.559855000000001</v>
      </c>
    </row>
    <row r="10299" spans="1:7">
      <c r="A10299" t="s">
        <v>1297</v>
      </c>
      <c r="B10299" t="s">
        <v>1298</v>
      </c>
      <c r="C10299" t="s">
        <v>674</v>
      </c>
      <c r="D10299" t="s">
        <v>1414</v>
      </c>
      <c r="E10299" t="s">
        <v>187</v>
      </c>
      <c r="F10299">
        <v>2005</v>
      </c>
      <c r="G10299">
        <v>76.054471000000007</v>
      </c>
    </row>
    <row r="10300" spans="1:7">
      <c r="A10300" t="s">
        <v>1297</v>
      </c>
      <c r="B10300" t="s">
        <v>1298</v>
      </c>
      <c r="C10300" t="s">
        <v>674</v>
      </c>
      <c r="D10300" t="s">
        <v>1414</v>
      </c>
      <c r="E10300" t="s">
        <v>187</v>
      </c>
      <c r="F10300">
        <v>2010</v>
      </c>
      <c r="G10300">
        <v>59.682810000000003</v>
      </c>
    </row>
    <row r="10301" spans="1:7">
      <c r="A10301" t="s">
        <v>1297</v>
      </c>
      <c r="B10301" t="s">
        <v>1298</v>
      </c>
      <c r="C10301" t="s">
        <v>674</v>
      </c>
      <c r="D10301" t="s">
        <v>1414</v>
      </c>
      <c r="E10301" t="s">
        <v>187</v>
      </c>
      <c r="F10301">
        <v>2012</v>
      </c>
      <c r="G10301">
        <v>50.357959000000001</v>
      </c>
    </row>
    <row r="10302" spans="1:7">
      <c r="A10302" t="s">
        <v>1297</v>
      </c>
      <c r="B10302" t="s">
        <v>1298</v>
      </c>
      <c r="C10302" t="s">
        <v>674</v>
      </c>
      <c r="D10302" t="s">
        <v>1414</v>
      </c>
      <c r="E10302" t="s">
        <v>187</v>
      </c>
      <c r="F10302">
        <v>2016</v>
      </c>
      <c r="G10302">
        <v>40.486910999999999</v>
      </c>
    </row>
    <row r="10303" spans="1:7">
      <c r="A10303" t="s">
        <v>1297</v>
      </c>
      <c r="B10303" t="s">
        <v>1298</v>
      </c>
      <c r="C10303" t="s">
        <v>674</v>
      </c>
      <c r="D10303" t="s">
        <v>1414</v>
      </c>
      <c r="E10303" t="s">
        <v>187</v>
      </c>
      <c r="F10303">
        <v>2020</v>
      </c>
      <c r="G10303">
        <v>39.383651</v>
      </c>
    </row>
    <row r="10304" spans="1:7">
      <c r="A10304" t="s">
        <v>1297</v>
      </c>
      <c r="B10304" t="s">
        <v>1298</v>
      </c>
      <c r="C10304" t="s">
        <v>669</v>
      </c>
      <c r="D10304" t="s">
        <v>1414</v>
      </c>
      <c r="E10304" t="s">
        <v>187</v>
      </c>
      <c r="F10304">
        <v>2005</v>
      </c>
      <c r="G10304">
        <v>0.36899999999999999</v>
      </c>
    </row>
    <row r="10305" spans="1:7">
      <c r="A10305" t="s">
        <v>1297</v>
      </c>
      <c r="B10305" t="s">
        <v>1298</v>
      </c>
      <c r="C10305" t="s">
        <v>675</v>
      </c>
      <c r="D10305" t="s">
        <v>1414</v>
      </c>
      <c r="E10305" t="s">
        <v>187</v>
      </c>
      <c r="F10305">
        <v>2016</v>
      </c>
      <c r="G10305">
        <v>3.941055</v>
      </c>
    </row>
    <row r="10306" spans="1:7">
      <c r="A10306" t="s">
        <v>1297</v>
      </c>
      <c r="B10306" t="s">
        <v>1298</v>
      </c>
      <c r="C10306" t="s">
        <v>675</v>
      </c>
      <c r="D10306" t="s">
        <v>1414</v>
      </c>
      <c r="E10306" t="s">
        <v>187</v>
      </c>
      <c r="F10306">
        <v>2020</v>
      </c>
      <c r="G10306">
        <v>3.9603929999999998</v>
      </c>
    </row>
    <row r="10307" spans="1:7">
      <c r="A10307" t="s">
        <v>1297</v>
      </c>
      <c r="B10307" t="s">
        <v>1298</v>
      </c>
      <c r="C10307" t="s">
        <v>665</v>
      </c>
      <c r="D10307" t="s">
        <v>1414</v>
      </c>
      <c r="E10307" t="s">
        <v>187</v>
      </c>
      <c r="F10307">
        <v>2005</v>
      </c>
      <c r="G10307">
        <v>269.20080000000002</v>
      </c>
    </row>
    <row r="10308" spans="1:7">
      <c r="A10308" t="s">
        <v>1297</v>
      </c>
      <c r="B10308" t="s">
        <v>1298</v>
      </c>
      <c r="C10308" t="s">
        <v>665</v>
      </c>
      <c r="D10308" t="s">
        <v>1414</v>
      </c>
      <c r="E10308" t="s">
        <v>187</v>
      </c>
      <c r="F10308">
        <v>2010</v>
      </c>
      <c r="G10308">
        <v>145.72659999999999</v>
      </c>
    </row>
    <row r="10309" spans="1:7">
      <c r="A10309" t="s">
        <v>1297</v>
      </c>
      <c r="B10309" t="s">
        <v>1298</v>
      </c>
      <c r="C10309" t="s">
        <v>665</v>
      </c>
      <c r="D10309" t="s">
        <v>1414</v>
      </c>
      <c r="E10309" t="s">
        <v>187</v>
      </c>
      <c r="F10309">
        <v>2012</v>
      </c>
      <c r="G10309">
        <v>136.84219999999999</v>
      </c>
    </row>
    <row r="10310" spans="1:7">
      <c r="A10310" t="s">
        <v>1297</v>
      </c>
      <c r="B10310" t="s">
        <v>1298</v>
      </c>
      <c r="C10310" t="s">
        <v>665</v>
      </c>
      <c r="D10310" t="s">
        <v>1414</v>
      </c>
      <c r="E10310" t="s">
        <v>187</v>
      </c>
      <c r="F10310">
        <v>2016</v>
      </c>
      <c r="G10310">
        <v>111.4174</v>
      </c>
    </row>
    <row r="10311" spans="1:7">
      <c r="A10311" t="s">
        <v>1297</v>
      </c>
      <c r="B10311" t="s">
        <v>1298</v>
      </c>
      <c r="C10311" t="s">
        <v>665</v>
      </c>
      <c r="D10311" t="s">
        <v>1414</v>
      </c>
      <c r="E10311" t="s">
        <v>187</v>
      </c>
      <c r="F10311">
        <v>2020</v>
      </c>
      <c r="G10311">
        <v>73.512979000000001</v>
      </c>
    </row>
    <row r="10312" spans="1:7">
      <c r="A10312" t="s">
        <v>1297</v>
      </c>
      <c r="B10312" t="s">
        <v>1298</v>
      </c>
      <c r="C10312" t="s">
        <v>684</v>
      </c>
      <c r="D10312" t="s">
        <v>1414</v>
      </c>
      <c r="E10312" t="s">
        <v>187</v>
      </c>
      <c r="F10312">
        <v>2005</v>
      </c>
      <c r="G10312">
        <v>4.2700899999999997</v>
      </c>
    </row>
    <row r="10313" spans="1:7">
      <c r="A10313" t="s">
        <v>1297</v>
      </c>
      <c r="B10313" t="s">
        <v>1298</v>
      </c>
      <c r="C10313" t="s">
        <v>684</v>
      </c>
      <c r="D10313" t="s">
        <v>1414</v>
      </c>
      <c r="E10313" t="s">
        <v>187</v>
      </c>
      <c r="F10313">
        <v>2010</v>
      </c>
      <c r="G10313">
        <v>1.57009</v>
      </c>
    </row>
    <row r="10314" spans="1:7">
      <c r="A10314" t="s">
        <v>1297</v>
      </c>
      <c r="B10314" t="s">
        <v>1298</v>
      </c>
      <c r="C10314" t="s">
        <v>684</v>
      </c>
      <c r="D10314" t="s">
        <v>1414</v>
      </c>
      <c r="E10314" t="s">
        <v>187</v>
      </c>
      <c r="F10314">
        <v>2012</v>
      </c>
      <c r="G10314">
        <v>1.39507</v>
      </c>
    </row>
    <row r="10315" spans="1:7">
      <c r="A10315" t="s">
        <v>1297</v>
      </c>
      <c r="B10315" t="s">
        <v>1298</v>
      </c>
      <c r="C10315" t="s">
        <v>684</v>
      </c>
      <c r="D10315" t="s">
        <v>1414</v>
      </c>
      <c r="E10315" t="s">
        <v>187</v>
      </c>
      <c r="F10315">
        <v>2016</v>
      </c>
      <c r="G10315">
        <v>1.9916199999999999</v>
      </c>
    </row>
    <row r="10316" spans="1:7">
      <c r="A10316" t="s">
        <v>1297</v>
      </c>
      <c r="B10316" t="s">
        <v>1298</v>
      </c>
      <c r="C10316" t="s">
        <v>684</v>
      </c>
      <c r="D10316" t="s">
        <v>1414</v>
      </c>
      <c r="E10316" t="s">
        <v>187</v>
      </c>
      <c r="F10316">
        <v>2020</v>
      </c>
      <c r="G10316">
        <v>2.7082069999999998</v>
      </c>
    </row>
    <row r="10317" spans="1:7">
      <c r="A10317" t="s">
        <v>1297</v>
      </c>
      <c r="B10317" t="s">
        <v>1298</v>
      </c>
      <c r="C10317" t="s">
        <v>669</v>
      </c>
      <c r="D10317" t="s">
        <v>1414</v>
      </c>
      <c r="E10317" t="s">
        <v>187</v>
      </c>
      <c r="F10317">
        <v>2010</v>
      </c>
      <c r="G10317">
        <v>0.41799999999999998</v>
      </c>
    </row>
    <row r="10318" spans="1:7">
      <c r="A10318" t="s">
        <v>1297</v>
      </c>
      <c r="B10318" t="s">
        <v>1298</v>
      </c>
      <c r="C10318" t="s">
        <v>669</v>
      </c>
      <c r="D10318" t="s">
        <v>1414</v>
      </c>
      <c r="E10318" t="s">
        <v>187</v>
      </c>
      <c r="F10318">
        <v>2012</v>
      </c>
      <c r="G10318">
        <v>0.38100000000000001</v>
      </c>
    </row>
    <row r="10319" spans="1:7">
      <c r="A10319" t="s">
        <v>1297</v>
      </c>
      <c r="B10319" t="s">
        <v>1298</v>
      </c>
      <c r="C10319" t="s">
        <v>669</v>
      </c>
      <c r="D10319" t="s">
        <v>1414</v>
      </c>
      <c r="E10319" t="s">
        <v>187</v>
      </c>
      <c r="F10319">
        <v>2016</v>
      </c>
      <c r="G10319">
        <v>0.82</v>
      </c>
    </row>
    <row r="10320" spans="1:7">
      <c r="A10320" t="s">
        <v>1297</v>
      </c>
      <c r="B10320" t="s">
        <v>1298</v>
      </c>
      <c r="C10320" t="s">
        <v>669</v>
      </c>
      <c r="D10320" t="s">
        <v>1414</v>
      </c>
      <c r="E10320" t="s">
        <v>187</v>
      </c>
      <c r="F10320">
        <v>2020</v>
      </c>
      <c r="G10320">
        <v>0.54154100000000005</v>
      </c>
    </row>
    <row r="10321" spans="1:7">
      <c r="A10321" t="s">
        <v>1297</v>
      </c>
      <c r="B10321" t="s">
        <v>1298</v>
      </c>
      <c r="C10321" t="s">
        <v>668</v>
      </c>
      <c r="D10321" t="s">
        <v>1414</v>
      </c>
      <c r="E10321" t="s">
        <v>187</v>
      </c>
      <c r="F10321">
        <v>2005</v>
      </c>
      <c r="G10321">
        <v>3.615275</v>
      </c>
    </row>
    <row r="10322" spans="1:7">
      <c r="A10322" t="s">
        <v>1297</v>
      </c>
      <c r="B10322" t="s">
        <v>1298</v>
      </c>
      <c r="C10322" t="s">
        <v>668</v>
      </c>
      <c r="D10322" t="s">
        <v>1414</v>
      </c>
      <c r="E10322" t="s">
        <v>187</v>
      </c>
      <c r="F10322">
        <v>2010</v>
      </c>
      <c r="G10322">
        <v>3.5374089999999998</v>
      </c>
    </row>
    <row r="10323" spans="1:7">
      <c r="A10323" t="s">
        <v>1297</v>
      </c>
      <c r="B10323" t="s">
        <v>1298</v>
      </c>
      <c r="C10323" t="s">
        <v>668</v>
      </c>
      <c r="D10323" t="s">
        <v>1414</v>
      </c>
      <c r="E10323" t="s">
        <v>187</v>
      </c>
      <c r="F10323">
        <v>2012</v>
      </c>
      <c r="G10323">
        <v>2.7061320000000002</v>
      </c>
    </row>
    <row r="10324" spans="1:7">
      <c r="A10324" t="s">
        <v>1297</v>
      </c>
      <c r="B10324" t="s">
        <v>1298</v>
      </c>
      <c r="C10324" t="s">
        <v>668</v>
      </c>
      <c r="D10324" t="s">
        <v>1414</v>
      </c>
      <c r="E10324" t="s">
        <v>187</v>
      </c>
      <c r="F10324">
        <v>2016</v>
      </c>
      <c r="G10324">
        <v>2.1901600000000001</v>
      </c>
    </row>
    <row r="10325" spans="1:7">
      <c r="A10325" t="s">
        <v>1297</v>
      </c>
      <c r="B10325" t="s">
        <v>1298</v>
      </c>
      <c r="C10325" t="s">
        <v>668</v>
      </c>
      <c r="D10325" t="s">
        <v>1414</v>
      </c>
      <c r="E10325" t="s">
        <v>187</v>
      </c>
      <c r="F10325">
        <v>2020</v>
      </c>
      <c r="G10325">
        <v>2.0787209999999998</v>
      </c>
    </row>
    <row r="10326" spans="1:7">
      <c r="A10326" t="s">
        <v>1297</v>
      </c>
      <c r="B10326" t="s">
        <v>1298</v>
      </c>
      <c r="C10326" t="s">
        <v>670</v>
      </c>
      <c r="D10326" t="s">
        <v>1414</v>
      </c>
      <c r="E10326" t="s">
        <v>187</v>
      </c>
      <c r="F10326">
        <v>2005</v>
      </c>
      <c r="G10326">
        <v>113.772075</v>
      </c>
    </row>
    <row r="10327" spans="1:7">
      <c r="A10327" t="s">
        <v>1297</v>
      </c>
      <c r="B10327" t="s">
        <v>1298</v>
      </c>
      <c r="C10327" t="s">
        <v>670</v>
      </c>
      <c r="D10327" t="s">
        <v>1414</v>
      </c>
      <c r="E10327" t="s">
        <v>187</v>
      </c>
      <c r="F10327">
        <v>2010</v>
      </c>
      <c r="G10327">
        <v>130.83875399999999</v>
      </c>
    </row>
    <row r="10328" spans="1:7">
      <c r="A10328" t="s">
        <v>1297</v>
      </c>
      <c r="B10328" t="s">
        <v>1298</v>
      </c>
      <c r="C10328" t="s">
        <v>670</v>
      </c>
      <c r="D10328" t="s">
        <v>1414</v>
      </c>
      <c r="E10328" t="s">
        <v>187</v>
      </c>
      <c r="F10328">
        <v>2012</v>
      </c>
      <c r="G10328">
        <v>129.97782900000001</v>
      </c>
    </row>
    <row r="10329" spans="1:7">
      <c r="A10329" t="s">
        <v>1297</v>
      </c>
      <c r="B10329" t="s">
        <v>1298</v>
      </c>
      <c r="C10329" t="s">
        <v>670</v>
      </c>
      <c r="D10329" t="s">
        <v>1414</v>
      </c>
      <c r="E10329" t="s">
        <v>187</v>
      </c>
      <c r="F10329">
        <v>2016</v>
      </c>
      <c r="G10329">
        <v>136.070672</v>
      </c>
    </row>
    <row r="10330" spans="1:7">
      <c r="A10330" t="s">
        <v>1297</v>
      </c>
      <c r="B10330" t="s">
        <v>1298</v>
      </c>
      <c r="C10330" t="s">
        <v>670</v>
      </c>
      <c r="D10330" t="s">
        <v>1414</v>
      </c>
      <c r="E10330" t="s">
        <v>187</v>
      </c>
      <c r="F10330">
        <v>2020</v>
      </c>
      <c r="G10330">
        <v>126.265631</v>
      </c>
    </row>
    <row r="10331" spans="1:7">
      <c r="A10331" t="s">
        <v>1297</v>
      </c>
      <c r="B10331" t="s">
        <v>1298</v>
      </c>
      <c r="C10331" t="s">
        <v>675</v>
      </c>
      <c r="D10331" t="s">
        <v>1414</v>
      </c>
      <c r="E10331" t="s">
        <v>187</v>
      </c>
      <c r="F10331">
        <v>2005</v>
      </c>
      <c r="G10331">
        <v>9.2606000000000002</v>
      </c>
    </row>
    <row r="10332" spans="1:7">
      <c r="A10332" t="s">
        <v>1297</v>
      </c>
      <c r="B10332" t="s">
        <v>1298</v>
      </c>
      <c r="C10332" t="s">
        <v>675</v>
      </c>
      <c r="D10332" t="s">
        <v>1414</v>
      </c>
      <c r="E10332" t="s">
        <v>187</v>
      </c>
      <c r="F10332">
        <v>2010</v>
      </c>
      <c r="G10332">
        <v>5.3336759999999996</v>
      </c>
    </row>
    <row r="10333" spans="1:7">
      <c r="A10333" t="s">
        <v>1297</v>
      </c>
      <c r="B10333" t="s">
        <v>1298</v>
      </c>
      <c r="C10333" t="s">
        <v>675</v>
      </c>
      <c r="D10333" t="s">
        <v>1414</v>
      </c>
      <c r="E10333" t="s">
        <v>187</v>
      </c>
      <c r="F10333">
        <v>2012</v>
      </c>
      <c r="G10333">
        <v>4.4433800000000003</v>
      </c>
    </row>
    <row r="10334" spans="1:7">
      <c r="A10334" t="s">
        <v>1297</v>
      </c>
      <c r="B10334" t="s">
        <v>1298</v>
      </c>
      <c r="C10334" t="s">
        <v>1302</v>
      </c>
      <c r="D10334" t="s">
        <v>1414</v>
      </c>
      <c r="E10334" t="s">
        <v>187</v>
      </c>
      <c r="F10334">
        <v>2005</v>
      </c>
      <c r="G10334">
        <v>4.0775300000000003</v>
      </c>
    </row>
    <row r="10335" spans="1:7">
      <c r="A10335" t="s">
        <v>1297</v>
      </c>
      <c r="B10335" t="s">
        <v>1298</v>
      </c>
      <c r="C10335" t="s">
        <v>1302</v>
      </c>
      <c r="D10335" t="s">
        <v>1414</v>
      </c>
      <c r="E10335" t="s">
        <v>187</v>
      </c>
      <c r="F10335">
        <v>2010</v>
      </c>
      <c r="G10335">
        <v>4.9727300000000003</v>
      </c>
    </row>
    <row r="10336" spans="1:7">
      <c r="A10336" t="s">
        <v>1297</v>
      </c>
      <c r="B10336" t="s">
        <v>1298</v>
      </c>
      <c r="C10336" t="s">
        <v>1302</v>
      </c>
      <c r="D10336" t="s">
        <v>1414</v>
      </c>
      <c r="E10336" t="s">
        <v>187</v>
      </c>
      <c r="F10336">
        <v>2012</v>
      </c>
      <c r="G10336">
        <v>4.3417450000000004</v>
      </c>
    </row>
    <row r="10337" spans="1:7">
      <c r="A10337" t="s">
        <v>1297</v>
      </c>
      <c r="B10337" t="s">
        <v>1298</v>
      </c>
      <c r="C10337" t="s">
        <v>1302</v>
      </c>
      <c r="D10337" t="s">
        <v>1414</v>
      </c>
      <c r="E10337" t="s">
        <v>187</v>
      </c>
      <c r="F10337">
        <v>2016</v>
      </c>
      <c r="G10337">
        <v>6.2719449999999997</v>
      </c>
    </row>
    <row r="10338" spans="1:7">
      <c r="A10338" t="s">
        <v>1297</v>
      </c>
      <c r="B10338" t="s">
        <v>1298</v>
      </c>
      <c r="C10338" t="s">
        <v>1302</v>
      </c>
      <c r="D10338" t="s">
        <v>1414</v>
      </c>
      <c r="E10338" t="s">
        <v>187</v>
      </c>
      <c r="F10338">
        <v>2020</v>
      </c>
      <c r="G10338">
        <v>7.7580400000000003</v>
      </c>
    </row>
    <row r="10339" spans="1:7">
      <c r="A10339" t="s">
        <v>1297</v>
      </c>
      <c r="B10339" t="s">
        <v>1298</v>
      </c>
      <c r="C10339" t="s">
        <v>660</v>
      </c>
      <c r="D10339" t="s">
        <v>1414</v>
      </c>
      <c r="E10339" t="s">
        <v>187</v>
      </c>
      <c r="F10339">
        <v>2005</v>
      </c>
      <c r="G10339">
        <v>62.896081000000002</v>
      </c>
    </row>
    <row r="10340" spans="1:7">
      <c r="A10340" t="s">
        <v>1297</v>
      </c>
      <c r="B10340" t="s">
        <v>1298</v>
      </c>
      <c r="C10340" t="s">
        <v>660</v>
      </c>
      <c r="D10340" t="s">
        <v>1414</v>
      </c>
      <c r="E10340" t="s">
        <v>187</v>
      </c>
      <c r="F10340">
        <v>2010</v>
      </c>
      <c r="G10340">
        <v>55.554834999999997</v>
      </c>
    </row>
    <row r="10341" spans="1:7">
      <c r="A10341" t="s">
        <v>1297</v>
      </c>
      <c r="B10341" t="s">
        <v>1298</v>
      </c>
      <c r="C10341" t="s">
        <v>660</v>
      </c>
      <c r="D10341" t="s">
        <v>1414</v>
      </c>
      <c r="E10341" t="s">
        <v>187</v>
      </c>
      <c r="F10341">
        <v>2012</v>
      </c>
      <c r="G10341">
        <v>52.194291</v>
      </c>
    </row>
    <row r="10342" spans="1:7">
      <c r="A10342" t="s">
        <v>1297</v>
      </c>
      <c r="B10342" t="s">
        <v>1298</v>
      </c>
      <c r="C10342" t="s">
        <v>660</v>
      </c>
      <c r="D10342" t="s">
        <v>1414</v>
      </c>
      <c r="E10342" t="s">
        <v>187</v>
      </c>
      <c r="F10342">
        <v>2016</v>
      </c>
      <c r="G10342">
        <v>51.124896</v>
      </c>
    </row>
    <row r="10343" spans="1:7">
      <c r="A10343" t="s">
        <v>1297</v>
      </c>
      <c r="B10343" t="s">
        <v>1298</v>
      </c>
      <c r="C10343" t="s">
        <v>660</v>
      </c>
      <c r="D10343" t="s">
        <v>1414</v>
      </c>
      <c r="E10343" t="s">
        <v>187</v>
      </c>
      <c r="F10343">
        <v>2020</v>
      </c>
      <c r="G10343">
        <v>42.221738000000002</v>
      </c>
    </row>
    <row r="10344" spans="1:7">
      <c r="A10344" t="s">
        <v>1297</v>
      </c>
      <c r="B10344" t="s">
        <v>1298</v>
      </c>
      <c r="C10344" t="s">
        <v>672</v>
      </c>
      <c r="D10344" t="s">
        <v>1414</v>
      </c>
      <c r="E10344" t="s">
        <v>187</v>
      </c>
      <c r="F10344">
        <v>2005</v>
      </c>
      <c r="G10344">
        <v>69.435720000000003</v>
      </c>
    </row>
    <row r="10345" spans="1:7">
      <c r="A10345" t="s">
        <v>1297</v>
      </c>
      <c r="B10345" t="s">
        <v>1298</v>
      </c>
      <c r="C10345" t="s">
        <v>672</v>
      </c>
      <c r="D10345" t="s">
        <v>1414</v>
      </c>
      <c r="E10345" t="s">
        <v>187</v>
      </c>
      <c r="F10345">
        <v>2010</v>
      </c>
      <c r="G10345">
        <v>42.954999999999998</v>
      </c>
    </row>
    <row r="10346" spans="1:7">
      <c r="A10346" t="s">
        <v>1297</v>
      </c>
      <c r="B10346" t="s">
        <v>1298</v>
      </c>
      <c r="C10346" t="s">
        <v>672</v>
      </c>
      <c r="D10346" t="s">
        <v>1414</v>
      </c>
      <c r="E10346" t="s">
        <v>187</v>
      </c>
      <c r="F10346">
        <v>2012</v>
      </c>
      <c r="G10346">
        <v>29.853000000000002</v>
      </c>
    </row>
    <row r="10347" spans="1:7">
      <c r="A10347" t="s">
        <v>1297</v>
      </c>
      <c r="B10347" t="s">
        <v>1298</v>
      </c>
      <c r="C10347" t="s">
        <v>672</v>
      </c>
      <c r="D10347" t="s">
        <v>1414</v>
      </c>
      <c r="E10347" t="s">
        <v>187</v>
      </c>
      <c r="F10347">
        <v>2016</v>
      </c>
      <c r="G10347">
        <v>25.338000000000001</v>
      </c>
    </row>
    <row r="10348" spans="1:7">
      <c r="A10348" t="s">
        <v>1297</v>
      </c>
      <c r="B10348" t="s">
        <v>1298</v>
      </c>
      <c r="C10348" t="s">
        <v>672</v>
      </c>
      <c r="D10348" t="s">
        <v>1414</v>
      </c>
      <c r="E10348" t="s">
        <v>187</v>
      </c>
      <c r="F10348">
        <v>2020</v>
      </c>
      <c r="G10348">
        <v>22.907223999999999</v>
      </c>
    </row>
    <row r="10349" spans="1:7">
      <c r="A10349" t="s">
        <v>1297</v>
      </c>
      <c r="B10349" t="s">
        <v>1298</v>
      </c>
      <c r="C10349" t="s">
        <v>671</v>
      </c>
      <c r="D10349" t="s">
        <v>1414</v>
      </c>
      <c r="E10349" t="s">
        <v>187</v>
      </c>
      <c r="F10349">
        <v>2005</v>
      </c>
      <c r="G10349">
        <v>68.438900000000004</v>
      </c>
    </row>
    <row r="10350" spans="1:7">
      <c r="A10350" t="s">
        <v>1297</v>
      </c>
      <c r="B10350" t="s">
        <v>1298</v>
      </c>
      <c r="C10350" t="s">
        <v>671</v>
      </c>
      <c r="D10350" t="s">
        <v>1414</v>
      </c>
      <c r="E10350" t="s">
        <v>187</v>
      </c>
      <c r="F10350">
        <v>2010</v>
      </c>
      <c r="G10350">
        <v>47.366399999999999</v>
      </c>
    </row>
    <row r="10351" spans="1:7">
      <c r="A10351" t="s">
        <v>1297</v>
      </c>
      <c r="B10351" t="s">
        <v>1298</v>
      </c>
      <c r="C10351" t="s">
        <v>671</v>
      </c>
      <c r="D10351" t="s">
        <v>1414</v>
      </c>
      <c r="E10351" t="s">
        <v>187</v>
      </c>
      <c r="F10351">
        <v>2012</v>
      </c>
      <c r="G10351">
        <v>34.9373</v>
      </c>
    </row>
    <row r="10352" spans="1:7">
      <c r="A10352" t="s">
        <v>1297</v>
      </c>
      <c r="B10352" t="s">
        <v>1298</v>
      </c>
      <c r="C10352" t="s">
        <v>671</v>
      </c>
      <c r="D10352" t="s">
        <v>1414</v>
      </c>
      <c r="E10352" t="s">
        <v>187</v>
      </c>
      <c r="F10352">
        <v>2016</v>
      </c>
      <c r="G10352">
        <v>27.237424000000001</v>
      </c>
    </row>
    <row r="10353" spans="1:7">
      <c r="A10353" t="s">
        <v>1297</v>
      </c>
      <c r="B10353" t="s">
        <v>1298</v>
      </c>
      <c r="C10353" t="s">
        <v>671</v>
      </c>
      <c r="D10353" t="s">
        <v>1414</v>
      </c>
      <c r="E10353" t="s">
        <v>187</v>
      </c>
      <c r="F10353">
        <v>2020</v>
      </c>
      <c r="G10353">
        <v>37.915331000000002</v>
      </c>
    </row>
    <row r="10354" spans="1:7">
      <c r="A10354" t="s">
        <v>1297</v>
      </c>
      <c r="B10354" t="s">
        <v>1298</v>
      </c>
      <c r="C10354" t="s">
        <v>686</v>
      </c>
      <c r="D10354" t="s">
        <v>1414</v>
      </c>
      <c r="E10354" t="s">
        <v>187</v>
      </c>
      <c r="F10354">
        <v>2005</v>
      </c>
      <c r="G10354">
        <v>42.095999999999997</v>
      </c>
    </row>
    <row r="10355" spans="1:7">
      <c r="A10355" t="s">
        <v>1297</v>
      </c>
      <c r="B10355" t="s">
        <v>1298</v>
      </c>
      <c r="C10355" t="s">
        <v>686</v>
      </c>
      <c r="D10355" t="s">
        <v>1414</v>
      </c>
      <c r="E10355" t="s">
        <v>187</v>
      </c>
      <c r="F10355">
        <v>2010</v>
      </c>
      <c r="G10355">
        <v>14.959275</v>
      </c>
    </row>
    <row r="10356" spans="1:7">
      <c r="A10356" t="s">
        <v>1297</v>
      </c>
      <c r="B10356" t="s">
        <v>1298</v>
      </c>
      <c r="C10356" t="s">
        <v>686</v>
      </c>
      <c r="D10356" t="s">
        <v>1414</v>
      </c>
      <c r="E10356" t="s">
        <v>187</v>
      </c>
      <c r="F10356">
        <v>2012</v>
      </c>
      <c r="G10356">
        <v>24.529679000000002</v>
      </c>
    </row>
    <row r="10357" spans="1:7">
      <c r="A10357" t="s">
        <v>1297</v>
      </c>
      <c r="B10357" t="s">
        <v>1298</v>
      </c>
      <c r="C10357" t="s">
        <v>686</v>
      </c>
      <c r="D10357" t="s">
        <v>1414</v>
      </c>
      <c r="E10357" t="s">
        <v>187</v>
      </c>
      <c r="F10357">
        <v>2016</v>
      </c>
      <c r="G10357">
        <v>14.873809</v>
      </c>
    </row>
    <row r="10358" spans="1:7">
      <c r="A10358" t="s">
        <v>1297</v>
      </c>
      <c r="B10358" t="s">
        <v>1298</v>
      </c>
      <c r="C10358" t="s">
        <v>686</v>
      </c>
      <c r="D10358" t="s">
        <v>1414</v>
      </c>
      <c r="E10358" t="s">
        <v>187</v>
      </c>
      <c r="F10358">
        <v>2020</v>
      </c>
      <c r="G10358">
        <v>15.514080999999999</v>
      </c>
    </row>
    <row r="10359" spans="1:7">
      <c r="A10359" t="s">
        <v>1297</v>
      </c>
      <c r="B10359" t="s">
        <v>1298</v>
      </c>
      <c r="C10359" t="s">
        <v>1300</v>
      </c>
      <c r="D10359" t="s">
        <v>1414</v>
      </c>
      <c r="E10359" t="s">
        <v>187</v>
      </c>
      <c r="F10359">
        <v>2020</v>
      </c>
      <c r="G10359">
        <v>1.6000300000000001</v>
      </c>
    </row>
    <row r="10360" spans="1:7">
      <c r="A10360" t="s">
        <v>1297</v>
      </c>
      <c r="B10360" t="s">
        <v>1298</v>
      </c>
      <c r="C10360" t="s">
        <v>659</v>
      </c>
      <c r="D10360" t="s">
        <v>1414</v>
      </c>
      <c r="E10360" t="s">
        <v>187</v>
      </c>
      <c r="F10360">
        <v>2005</v>
      </c>
      <c r="G10360">
        <v>234.8937</v>
      </c>
    </row>
    <row r="10361" spans="1:7">
      <c r="A10361" t="s">
        <v>1297</v>
      </c>
      <c r="B10361" t="s">
        <v>1298</v>
      </c>
      <c r="C10361" t="s">
        <v>659</v>
      </c>
      <c r="D10361" t="s">
        <v>1414</v>
      </c>
      <c r="E10361" t="s">
        <v>187</v>
      </c>
      <c r="F10361">
        <v>2010</v>
      </c>
      <c r="G10361">
        <v>208.3802</v>
      </c>
    </row>
    <row r="10362" spans="1:7">
      <c r="A10362" t="s">
        <v>1297</v>
      </c>
      <c r="B10362" t="s">
        <v>1298</v>
      </c>
      <c r="C10362" t="s">
        <v>659</v>
      </c>
      <c r="D10362" t="s">
        <v>1414</v>
      </c>
      <c r="E10362" t="s">
        <v>187</v>
      </c>
      <c r="F10362">
        <v>2012</v>
      </c>
      <c r="G10362">
        <v>147.7054</v>
      </c>
    </row>
    <row r="10363" spans="1:7">
      <c r="A10363" t="s">
        <v>1297</v>
      </c>
      <c r="B10363" t="s">
        <v>1298</v>
      </c>
      <c r="C10363" t="s">
        <v>659</v>
      </c>
      <c r="D10363" t="s">
        <v>1414</v>
      </c>
      <c r="E10363" t="s">
        <v>187</v>
      </c>
      <c r="F10363">
        <v>2016</v>
      </c>
      <c r="G10363">
        <v>119.5826</v>
      </c>
    </row>
    <row r="10364" spans="1:7">
      <c r="A10364" t="s">
        <v>1297</v>
      </c>
      <c r="B10364" t="s">
        <v>1298</v>
      </c>
      <c r="C10364" t="s">
        <v>659</v>
      </c>
      <c r="D10364" t="s">
        <v>1414</v>
      </c>
      <c r="E10364" t="s">
        <v>187</v>
      </c>
      <c r="F10364">
        <v>2020</v>
      </c>
      <c r="G10364">
        <v>121.81</v>
      </c>
    </row>
    <row r="10365" spans="1:7">
      <c r="A10365" t="s">
        <v>1297</v>
      </c>
      <c r="B10365" t="s">
        <v>1298</v>
      </c>
      <c r="C10365" t="s">
        <v>667</v>
      </c>
      <c r="D10365" t="s">
        <v>1414</v>
      </c>
      <c r="E10365" t="s">
        <v>187</v>
      </c>
      <c r="F10365">
        <v>2005</v>
      </c>
      <c r="G10365">
        <v>1.2060930000000001</v>
      </c>
    </row>
    <row r="10366" spans="1:7">
      <c r="A10366" t="s">
        <v>1297</v>
      </c>
      <c r="B10366" t="s">
        <v>1298</v>
      </c>
      <c r="C10366" t="s">
        <v>667</v>
      </c>
      <c r="D10366" t="s">
        <v>1414</v>
      </c>
      <c r="E10366" t="s">
        <v>187</v>
      </c>
      <c r="F10366">
        <v>2010</v>
      </c>
      <c r="G10366">
        <v>0.51877799999999996</v>
      </c>
    </row>
    <row r="10367" spans="1:7">
      <c r="A10367" t="s">
        <v>1297</v>
      </c>
      <c r="B10367" t="s">
        <v>1298</v>
      </c>
      <c r="C10367" t="s">
        <v>667</v>
      </c>
      <c r="D10367" t="s">
        <v>1414</v>
      </c>
      <c r="E10367" t="s">
        <v>187</v>
      </c>
      <c r="F10367">
        <v>2012</v>
      </c>
      <c r="G10367">
        <v>0.44663700000000001</v>
      </c>
    </row>
    <row r="10368" spans="1:7">
      <c r="A10368" t="s">
        <v>1297</v>
      </c>
      <c r="B10368" t="s">
        <v>1298</v>
      </c>
      <c r="C10368" t="s">
        <v>667</v>
      </c>
      <c r="D10368" t="s">
        <v>1414</v>
      </c>
      <c r="E10368" t="s">
        <v>187</v>
      </c>
      <c r="F10368">
        <v>2016</v>
      </c>
      <c r="G10368">
        <v>0.376336</v>
      </c>
    </row>
    <row r="10369" spans="1:7">
      <c r="A10369" t="s">
        <v>1297</v>
      </c>
      <c r="B10369" t="s">
        <v>1298</v>
      </c>
      <c r="C10369" t="s">
        <v>667</v>
      </c>
      <c r="D10369" t="s">
        <v>1414</v>
      </c>
      <c r="E10369" t="s">
        <v>187</v>
      </c>
      <c r="F10369">
        <v>2020</v>
      </c>
      <c r="G10369">
        <v>0.89441999999999999</v>
      </c>
    </row>
    <row r="10370" spans="1:7">
      <c r="A10370" t="s">
        <v>1297</v>
      </c>
      <c r="B10370" t="s">
        <v>1298</v>
      </c>
      <c r="C10370" t="s">
        <v>655</v>
      </c>
      <c r="D10370" t="s">
        <v>1414</v>
      </c>
      <c r="E10370" t="s">
        <v>187</v>
      </c>
      <c r="F10370">
        <v>2005</v>
      </c>
      <c r="G10370">
        <v>22.707844000000001</v>
      </c>
    </row>
    <row r="10371" spans="1:7">
      <c r="A10371" t="s">
        <v>1297</v>
      </c>
      <c r="B10371" t="s">
        <v>1298</v>
      </c>
      <c r="C10371" t="s">
        <v>655</v>
      </c>
      <c r="D10371" t="s">
        <v>1414</v>
      </c>
      <c r="E10371" t="s">
        <v>187</v>
      </c>
      <c r="F10371">
        <v>2010</v>
      </c>
      <c r="G10371">
        <v>16.824470000000002</v>
      </c>
    </row>
    <row r="10372" spans="1:7">
      <c r="A10372" t="s">
        <v>1297</v>
      </c>
      <c r="B10372" t="s">
        <v>1298</v>
      </c>
      <c r="C10372" t="s">
        <v>655</v>
      </c>
      <c r="D10372" t="s">
        <v>1414</v>
      </c>
      <c r="E10372" t="s">
        <v>187</v>
      </c>
      <c r="F10372">
        <v>2012</v>
      </c>
      <c r="G10372">
        <v>12.947701</v>
      </c>
    </row>
    <row r="10373" spans="1:7">
      <c r="A10373" t="s">
        <v>1297</v>
      </c>
      <c r="B10373" t="s">
        <v>1298</v>
      </c>
      <c r="C10373" t="s">
        <v>655</v>
      </c>
      <c r="D10373" t="s">
        <v>1414</v>
      </c>
      <c r="E10373" t="s">
        <v>187</v>
      </c>
      <c r="F10373">
        <v>2016</v>
      </c>
      <c r="G10373">
        <v>6.1172750000000002</v>
      </c>
    </row>
    <row r="10374" spans="1:7">
      <c r="A10374" t="s">
        <v>1297</v>
      </c>
      <c r="B10374" t="s">
        <v>1298</v>
      </c>
      <c r="C10374" t="s">
        <v>655</v>
      </c>
      <c r="D10374" t="s">
        <v>1414</v>
      </c>
      <c r="E10374" t="s">
        <v>187</v>
      </c>
      <c r="F10374">
        <v>2020</v>
      </c>
      <c r="G10374">
        <v>5.940239</v>
      </c>
    </row>
    <row r="10375" spans="1:7">
      <c r="A10375" t="s">
        <v>1297</v>
      </c>
      <c r="B10375" t="s">
        <v>1298</v>
      </c>
      <c r="C10375" t="s">
        <v>680</v>
      </c>
      <c r="D10375" t="s">
        <v>1414</v>
      </c>
      <c r="E10375" t="s">
        <v>187</v>
      </c>
      <c r="F10375">
        <v>2005</v>
      </c>
      <c r="G10375">
        <v>5.1593</v>
      </c>
    </row>
    <row r="10376" spans="1:7">
      <c r="A10376" t="s">
        <v>1297</v>
      </c>
      <c r="B10376" t="s">
        <v>1298</v>
      </c>
      <c r="C10376" t="s">
        <v>673</v>
      </c>
      <c r="D10376" t="s">
        <v>1414</v>
      </c>
      <c r="E10376" t="s">
        <v>187</v>
      </c>
      <c r="F10376">
        <v>2005</v>
      </c>
      <c r="G10376">
        <v>47.270744000000001</v>
      </c>
    </row>
    <row r="10377" spans="1:7">
      <c r="A10377" t="s">
        <v>1297</v>
      </c>
      <c r="B10377" t="s">
        <v>1298</v>
      </c>
      <c r="C10377" t="s">
        <v>673</v>
      </c>
      <c r="D10377" t="s">
        <v>1414</v>
      </c>
      <c r="E10377" t="s">
        <v>187</v>
      </c>
      <c r="F10377">
        <v>2010</v>
      </c>
      <c r="G10377">
        <v>28.299696999999998</v>
      </c>
    </row>
    <row r="10378" spans="1:7">
      <c r="A10378" t="s">
        <v>1297</v>
      </c>
      <c r="B10378" t="s">
        <v>1298</v>
      </c>
      <c r="C10378" t="s">
        <v>673</v>
      </c>
      <c r="D10378" t="s">
        <v>1414</v>
      </c>
      <c r="E10378" t="s">
        <v>187</v>
      </c>
      <c r="F10378">
        <v>2012</v>
      </c>
      <c r="G10378">
        <v>38.228811999999998</v>
      </c>
    </row>
    <row r="10379" spans="1:7">
      <c r="A10379" t="s">
        <v>1297</v>
      </c>
      <c r="B10379" t="s">
        <v>1298</v>
      </c>
      <c r="C10379" t="s">
        <v>673</v>
      </c>
      <c r="D10379" t="s">
        <v>1414</v>
      </c>
      <c r="E10379" t="s">
        <v>187</v>
      </c>
      <c r="F10379">
        <v>2016</v>
      </c>
      <c r="G10379">
        <v>38.191414000000002</v>
      </c>
    </row>
    <row r="10380" spans="1:7">
      <c r="A10380" t="s">
        <v>1297</v>
      </c>
      <c r="B10380" t="s">
        <v>1298</v>
      </c>
      <c r="C10380" t="s">
        <v>673</v>
      </c>
      <c r="D10380" t="s">
        <v>1414</v>
      </c>
      <c r="E10380" t="s">
        <v>187</v>
      </c>
      <c r="F10380">
        <v>2020</v>
      </c>
      <c r="G10380">
        <v>50.386051999999999</v>
      </c>
    </row>
    <row r="10381" spans="1:7">
      <c r="A10381" t="s">
        <v>1297</v>
      </c>
      <c r="B10381" t="s">
        <v>1298</v>
      </c>
      <c r="C10381" t="s">
        <v>666</v>
      </c>
      <c r="D10381" t="s">
        <v>1414</v>
      </c>
      <c r="E10381" t="s">
        <v>187</v>
      </c>
      <c r="F10381">
        <v>2005</v>
      </c>
      <c r="G10381">
        <v>3.9401299999999999</v>
      </c>
    </row>
    <row r="10382" spans="1:7">
      <c r="A10382" t="s">
        <v>1297</v>
      </c>
      <c r="B10382" t="s">
        <v>1298</v>
      </c>
      <c r="C10382" t="s">
        <v>666</v>
      </c>
      <c r="D10382" t="s">
        <v>1414</v>
      </c>
      <c r="E10382" t="s">
        <v>187</v>
      </c>
      <c r="F10382">
        <v>2010</v>
      </c>
      <c r="G10382">
        <v>1.7301299999999999</v>
      </c>
    </row>
    <row r="10383" spans="1:7">
      <c r="A10383" t="s">
        <v>1297</v>
      </c>
      <c r="B10383" t="s">
        <v>1298</v>
      </c>
      <c r="C10383" t="s">
        <v>666</v>
      </c>
      <c r="D10383" t="s">
        <v>1414</v>
      </c>
      <c r="E10383" t="s">
        <v>187</v>
      </c>
      <c r="F10383">
        <v>2012</v>
      </c>
      <c r="G10383">
        <v>1.8007420000000001</v>
      </c>
    </row>
    <row r="10384" spans="1:7">
      <c r="A10384" t="s">
        <v>1297</v>
      </c>
      <c r="B10384" t="s">
        <v>1298</v>
      </c>
      <c r="C10384" t="s">
        <v>666</v>
      </c>
      <c r="D10384" t="s">
        <v>1414</v>
      </c>
      <c r="E10384" t="s">
        <v>187</v>
      </c>
      <c r="F10384">
        <v>2016</v>
      </c>
      <c r="G10384">
        <v>1.4508760000000001</v>
      </c>
    </row>
    <row r="10385" spans="1:7">
      <c r="A10385" t="s">
        <v>1297</v>
      </c>
      <c r="B10385" t="s">
        <v>1298</v>
      </c>
      <c r="C10385" t="s">
        <v>666</v>
      </c>
      <c r="D10385" t="s">
        <v>1414</v>
      </c>
      <c r="E10385" t="s">
        <v>187</v>
      </c>
      <c r="F10385">
        <v>2020</v>
      </c>
      <c r="G10385">
        <v>1.742721</v>
      </c>
    </row>
    <row r="10386" spans="1:7">
      <c r="A10386" t="s">
        <v>1297</v>
      </c>
      <c r="B10386" t="s">
        <v>1298</v>
      </c>
      <c r="C10386" t="s">
        <v>679</v>
      </c>
      <c r="D10386" t="s">
        <v>1414</v>
      </c>
      <c r="E10386" t="s">
        <v>187</v>
      </c>
      <c r="F10386">
        <v>2005</v>
      </c>
      <c r="G10386">
        <v>41.7806</v>
      </c>
    </row>
    <row r="10387" spans="1:7">
      <c r="A10387" t="s">
        <v>1297</v>
      </c>
      <c r="B10387" t="s">
        <v>1298</v>
      </c>
      <c r="C10387" t="s">
        <v>679</v>
      </c>
      <c r="D10387" t="s">
        <v>1414</v>
      </c>
      <c r="E10387" t="s">
        <v>187</v>
      </c>
      <c r="F10387">
        <v>2010</v>
      </c>
      <c r="G10387">
        <v>40.745399999999997</v>
      </c>
    </row>
    <row r="10388" spans="1:7">
      <c r="A10388" t="s">
        <v>1297</v>
      </c>
      <c r="B10388" t="s">
        <v>1298</v>
      </c>
      <c r="C10388" t="s">
        <v>679</v>
      </c>
      <c r="D10388" t="s">
        <v>1414</v>
      </c>
      <c r="E10388" t="s">
        <v>187</v>
      </c>
      <c r="F10388">
        <v>2012</v>
      </c>
      <c r="G10388">
        <v>36.172899999999998</v>
      </c>
    </row>
    <row r="10389" spans="1:7">
      <c r="A10389" t="s">
        <v>1297</v>
      </c>
      <c r="B10389" t="s">
        <v>1298</v>
      </c>
      <c r="C10389" t="s">
        <v>679</v>
      </c>
      <c r="D10389" t="s">
        <v>1414</v>
      </c>
      <c r="E10389" t="s">
        <v>187</v>
      </c>
      <c r="F10389">
        <v>2016</v>
      </c>
      <c r="G10389">
        <v>32.659500000000001</v>
      </c>
    </row>
    <row r="10390" spans="1:7">
      <c r="A10390" t="s">
        <v>1297</v>
      </c>
      <c r="B10390" t="s">
        <v>1298</v>
      </c>
      <c r="C10390" t="s">
        <v>679</v>
      </c>
      <c r="D10390" t="s">
        <v>1414</v>
      </c>
      <c r="E10390" t="s">
        <v>187</v>
      </c>
      <c r="F10390">
        <v>2020</v>
      </c>
      <c r="G10390">
        <v>33.432499</v>
      </c>
    </row>
    <row r="10391" spans="1:7">
      <c r="A10391" t="s">
        <v>1297</v>
      </c>
      <c r="B10391" t="s">
        <v>1298</v>
      </c>
      <c r="C10391" t="s">
        <v>656</v>
      </c>
      <c r="D10391" t="s">
        <v>1414</v>
      </c>
      <c r="E10391" t="s">
        <v>187</v>
      </c>
      <c r="F10391">
        <v>2005</v>
      </c>
      <c r="G10391">
        <v>188.84496300000001</v>
      </c>
    </row>
    <row r="10392" spans="1:7">
      <c r="A10392" t="s">
        <v>1297</v>
      </c>
      <c r="B10392" t="s">
        <v>1298</v>
      </c>
      <c r="C10392" t="s">
        <v>656</v>
      </c>
      <c r="D10392" t="s">
        <v>1414</v>
      </c>
      <c r="E10392" t="s">
        <v>187</v>
      </c>
      <c r="F10392">
        <v>2010</v>
      </c>
      <c r="G10392">
        <v>168.128354</v>
      </c>
    </row>
    <row r="10393" spans="1:7">
      <c r="A10393" t="s">
        <v>1297</v>
      </c>
      <c r="B10393" t="s">
        <v>1298</v>
      </c>
      <c r="C10393" t="s">
        <v>656</v>
      </c>
      <c r="D10393" t="s">
        <v>1414</v>
      </c>
      <c r="E10393" t="s">
        <v>187</v>
      </c>
      <c r="F10393">
        <v>2012</v>
      </c>
      <c r="G10393">
        <v>134.491164</v>
      </c>
    </row>
    <row r="10394" spans="1:7">
      <c r="A10394" t="s">
        <v>1297</v>
      </c>
      <c r="B10394" t="s">
        <v>1298</v>
      </c>
      <c r="C10394" t="s">
        <v>656</v>
      </c>
      <c r="D10394" t="s">
        <v>1414</v>
      </c>
      <c r="E10394" t="s">
        <v>187</v>
      </c>
      <c r="F10394">
        <v>2016</v>
      </c>
      <c r="G10394">
        <v>98.882285999999993</v>
      </c>
    </row>
    <row r="10395" spans="1:7">
      <c r="A10395" t="s">
        <v>1297</v>
      </c>
      <c r="B10395" t="s">
        <v>1298</v>
      </c>
      <c r="C10395" t="s">
        <v>656</v>
      </c>
      <c r="D10395" t="s">
        <v>1414</v>
      </c>
      <c r="E10395" t="s">
        <v>187</v>
      </c>
      <c r="F10395">
        <v>2020</v>
      </c>
      <c r="G10395">
        <v>139.43912499999999</v>
      </c>
    </row>
    <row r="10396" spans="1:7">
      <c r="A10396" t="s">
        <v>1297</v>
      </c>
      <c r="B10396" t="s">
        <v>1298</v>
      </c>
      <c r="C10396" t="s">
        <v>1299</v>
      </c>
      <c r="D10396" t="s">
        <v>1414</v>
      </c>
      <c r="E10396" t="s">
        <v>187</v>
      </c>
      <c r="F10396">
        <v>2005</v>
      </c>
      <c r="G10396">
        <v>68.287403999999995</v>
      </c>
    </row>
    <row r="10397" spans="1:7">
      <c r="A10397" t="s">
        <v>1297</v>
      </c>
      <c r="B10397" t="s">
        <v>1298</v>
      </c>
      <c r="C10397" t="s">
        <v>1299</v>
      </c>
      <c r="D10397" t="s">
        <v>1414</v>
      </c>
      <c r="E10397" t="s">
        <v>187</v>
      </c>
      <c r="F10397">
        <v>2010</v>
      </c>
      <c r="G10397">
        <v>57.002200000000002</v>
      </c>
    </row>
    <row r="10398" spans="1:7">
      <c r="A10398" t="s">
        <v>1297</v>
      </c>
      <c r="B10398" t="s">
        <v>1298</v>
      </c>
      <c r="C10398" t="s">
        <v>1299</v>
      </c>
      <c r="D10398" t="s">
        <v>1414</v>
      </c>
      <c r="E10398" t="s">
        <v>187</v>
      </c>
      <c r="F10398">
        <v>2012</v>
      </c>
      <c r="G10398">
        <v>51.959299999999999</v>
      </c>
    </row>
    <row r="10399" spans="1:7">
      <c r="A10399" t="s">
        <v>1297</v>
      </c>
      <c r="B10399" t="s">
        <v>1298</v>
      </c>
      <c r="C10399" t="s">
        <v>1299</v>
      </c>
      <c r="D10399" t="s">
        <v>1414</v>
      </c>
      <c r="E10399" t="s">
        <v>187</v>
      </c>
      <c r="F10399">
        <v>2016</v>
      </c>
      <c r="G10399">
        <v>7.3079999999999998</v>
      </c>
    </row>
    <row r="10400" spans="1:7">
      <c r="A10400" t="s">
        <v>1297</v>
      </c>
      <c r="B10400" t="s">
        <v>1298</v>
      </c>
      <c r="C10400" t="s">
        <v>1299</v>
      </c>
      <c r="D10400" t="s">
        <v>1414</v>
      </c>
      <c r="E10400" t="s">
        <v>187</v>
      </c>
      <c r="F10400">
        <v>2020</v>
      </c>
      <c r="G10400">
        <v>21.645555000000002</v>
      </c>
    </row>
    <row r="10401" spans="1:7">
      <c r="A10401" t="s">
        <v>1297</v>
      </c>
      <c r="B10401" t="s">
        <v>1298</v>
      </c>
      <c r="C10401" t="s">
        <v>663</v>
      </c>
      <c r="D10401" t="s">
        <v>1414</v>
      </c>
      <c r="E10401" t="s">
        <v>187</v>
      </c>
      <c r="F10401">
        <v>2005</v>
      </c>
      <c r="G10401">
        <v>10.124000000000001</v>
      </c>
    </row>
    <row r="10402" spans="1:7">
      <c r="A10402" t="s">
        <v>1297</v>
      </c>
      <c r="B10402" t="s">
        <v>1298</v>
      </c>
      <c r="C10402" t="s">
        <v>663</v>
      </c>
      <c r="D10402" t="s">
        <v>1414</v>
      </c>
      <c r="E10402" t="s">
        <v>187</v>
      </c>
      <c r="F10402">
        <v>2010</v>
      </c>
      <c r="G10402">
        <v>5.8954000000000004</v>
      </c>
    </row>
    <row r="10403" spans="1:7">
      <c r="A10403" t="s">
        <v>1297</v>
      </c>
      <c r="B10403" t="s">
        <v>1298</v>
      </c>
      <c r="C10403" t="s">
        <v>663</v>
      </c>
      <c r="D10403" t="s">
        <v>1414</v>
      </c>
      <c r="E10403" t="s">
        <v>187</v>
      </c>
      <c r="F10403">
        <v>2012</v>
      </c>
      <c r="G10403">
        <v>20.123000000000001</v>
      </c>
    </row>
    <row r="10404" spans="1:7">
      <c r="A10404" t="s">
        <v>1297</v>
      </c>
      <c r="B10404" t="s">
        <v>1298</v>
      </c>
      <c r="C10404" t="s">
        <v>663</v>
      </c>
      <c r="D10404" t="s">
        <v>1414</v>
      </c>
      <c r="E10404" t="s">
        <v>187</v>
      </c>
      <c r="F10404">
        <v>2016</v>
      </c>
      <c r="G10404">
        <v>25.955179999999999</v>
      </c>
    </row>
    <row r="10405" spans="1:7">
      <c r="A10405" t="s">
        <v>1297</v>
      </c>
      <c r="B10405" t="s">
        <v>1298</v>
      </c>
      <c r="C10405" t="s">
        <v>663</v>
      </c>
      <c r="D10405" t="s">
        <v>1414</v>
      </c>
      <c r="E10405" t="s">
        <v>187</v>
      </c>
      <c r="F10405">
        <v>2020</v>
      </c>
      <c r="G10405">
        <v>28.459496000000001</v>
      </c>
    </row>
    <row r="10406" spans="1:7">
      <c r="A10406" t="s">
        <v>1297</v>
      </c>
      <c r="B10406" t="s">
        <v>1298</v>
      </c>
      <c r="C10406" t="s">
        <v>677</v>
      </c>
      <c r="D10406" t="s">
        <v>1414</v>
      </c>
      <c r="E10406" t="s">
        <v>187</v>
      </c>
      <c r="F10406">
        <v>2005</v>
      </c>
      <c r="G10406">
        <v>249.030902</v>
      </c>
    </row>
    <row r="10407" spans="1:7">
      <c r="A10407" t="s">
        <v>1297</v>
      </c>
      <c r="B10407" t="s">
        <v>1298</v>
      </c>
      <c r="C10407" t="s">
        <v>677</v>
      </c>
      <c r="D10407" t="s">
        <v>1414</v>
      </c>
      <c r="E10407" t="s">
        <v>187</v>
      </c>
      <c r="F10407">
        <v>2010</v>
      </c>
      <c r="G10407">
        <v>215.86800500000001</v>
      </c>
    </row>
    <row r="10408" spans="1:7">
      <c r="A10408" t="s">
        <v>1297</v>
      </c>
      <c r="B10408" t="s">
        <v>1298</v>
      </c>
      <c r="C10408" t="s">
        <v>677</v>
      </c>
      <c r="D10408" t="s">
        <v>1414</v>
      </c>
      <c r="E10408" t="s">
        <v>187</v>
      </c>
      <c r="F10408">
        <v>2012</v>
      </c>
      <c r="G10408">
        <v>184.80284800000001</v>
      </c>
    </row>
    <row r="10409" spans="1:7">
      <c r="A10409" t="s">
        <v>1297</v>
      </c>
      <c r="B10409" t="s">
        <v>1298</v>
      </c>
      <c r="C10409" t="s">
        <v>677</v>
      </c>
      <c r="D10409" t="s">
        <v>1414</v>
      </c>
      <c r="E10409" t="s">
        <v>187</v>
      </c>
      <c r="F10409">
        <v>2016</v>
      </c>
      <c r="G10409">
        <v>92.082054999999997</v>
      </c>
    </row>
    <row r="10410" spans="1:7">
      <c r="A10410" t="s">
        <v>1297</v>
      </c>
      <c r="B10410" t="s">
        <v>1298</v>
      </c>
      <c r="C10410" t="s">
        <v>677</v>
      </c>
      <c r="D10410" t="s">
        <v>1414</v>
      </c>
      <c r="E10410" t="s">
        <v>187</v>
      </c>
      <c r="F10410">
        <v>2020</v>
      </c>
      <c r="G10410">
        <v>90.70805</v>
      </c>
    </row>
    <row r="10411" spans="1:7">
      <c r="A10411" t="s">
        <v>1297</v>
      </c>
      <c r="B10411" t="s">
        <v>1298</v>
      </c>
      <c r="C10411" t="s">
        <v>682</v>
      </c>
      <c r="D10411" t="s">
        <v>1414</v>
      </c>
      <c r="E10411" t="s">
        <v>187</v>
      </c>
      <c r="F10411">
        <v>2016</v>
      </c>
      <c r="G10411">
        <v>4.7087599999999998</v>
      </c>
    </row>
    <row r="10412" spans="1:7">
      <c r="A10412" t="s">
        <v>1297</v>
      </c>
      <c r="B10412" t="s">
        <v>1298</v>
      </c>
      <c r="C10412" t="s">
        <v>682</v>
      </c>
      <c r="D10412" t="s">
        <v>1414</v>
      </c>
      <c r="E10412" t="s">
        <v>187</v>
      </c>
      <c r="F10412">
        <v>2020</v>
      </c>
      <c r="G10412">
        <v>4.780939</v>
      </c>
    </row>
    <row r="10413" spans="1:7">
      <c r="A10413" t="s">
        <v>1297</v>
      </c>
      <c r="B10413" t="s">
        <v>1298</v>
      </c>
      <c r="C10413" t="s">
        <v>680</v>
      </c>
      <c r="D10413" t="s">
        <v>1414</v>
      </c>
      <c r="E10413" t="s">
        <v>187</v>
      </c>
      <c r="F10413">
        <v>2010</v>
      </c>
      <c r="G10413">
        <v>1.5898000000000001</v>
      </c>
    </row>
    <row r="10414" spans="1:7">
      <c r="A10414" t="s">
        <v>1297</v>
      </c>
      <c r="B10414" t="s">
        <v>1298</v>
      </c>
      <c r="C10414" t="s">
        <v>680</v>
      </c>
      <c r="D10414" t="s">
        <v>1414</v>
      </c>
      <c r="E10414" t="s">
        <v>187</v>
      </c>
      <c r="F10414">
        <v>2012</v>
      </c>
      <c r="G10414">
        <v>1.4408000000000001</v>
      </c>
    </row>
    <row r="10415" spans="1:7">
      <c r="A10415" t="s">
        <v>1297</v>
      </c>
      <c r="B10415" t="s">
        <v>1298</v>
      </c>
      <c r="C10415" t="s">
        <v>680</v>
      </c>
      <c r="D10415" t="s">
        <v>1414</v>
      </c>
      <c r="E10415" t="s">
        <v>187</v>
      </c>
      <c r="F10415">
        <v>2016</v>
      </c>
      <c r="G10415">
        <v>1.8573200000000001</v>
      </c>
    </row>
    <row r="10416" spans="1:7">
      <c r="A10416" t="s">
        <v>1297</v>
      </c>
      <c r="B10416" t="s">
        <v>1298</v>
      </c>
      <c r="C10416" t="s">
        <v>680</v>
      </c>
      <c r="D10416" t="s">
        <v>1414</v>
      </c>
      <c r="E10416" t="s">
        <v>187</v>
      </c>
      <c r="F10416">
        <v>2020</v>
      </c>
      <c r="G10416">
        <v>0.92344499999999996</v>
      </c>
    </row>
    <row r="10417" spans="1:7">
      <c r="A10417" t="s">
        <v>1297</v>
      </c>
      <c r="B10417" t="s">
        <v>1298</v>
      </c>
      <c r="C10417" t="s">
        <v>654</v>
      </c>
      <c r="D10417" t="s">
        <v>1415</v>
      </c>
      <c r="E10417" t="s">
        <v>187</v>
      </c>
      <c r="F10417">
        <v>2020</v>
      </c>
      <c r="G10417">
        <v>1.6663300000000001</v>
      </c>
    </row>
    <row r="10418" spans="1:7">
      <c r="A10418" t="s">
        <v>1297</v>
      </c>
      <c r="B10418" t="s">
        <v>1298</v>
      </c>
      <c r="C10418" t="s">
        <v>657</v>
      </c>
      <c r="D10418" t="s">
        <v>1415</v>
      </c>
      <c r="E10418" t="s">
        <v>187</v>
      </c>
      <c r="F10418">
        <v>2005</v>
      </c>
      <c r="G10418">
        <v>12.1023</v>
      </c>
    </row>
    <row r="10419" spans="1:7">
      <c r="A10419" t="s">
        <v>1297</v>
      </c>
      <c r="B10419" t="s">
        <v>1298</v>
      </c>
      <c r="C10419" t="s">
        <v>657</v>
      </c>
      <c r="D10419" t="s">
        <v>1415</v>
      </c>
      <c r="E10419" t="s">
        <v>187</v>
      </c>
      <c r="F10419">
        <v>2010</v>
      </c>
      <c r="G10419">
        <v>11.005800000000001</v>
      </c>
    </row>
    <row r="10420" spans="1:7">
      <c r="A10420" t="s">
        <v>1297</v>
      </c>
      <c r="B10420" t="s">
        <v>1298</v>
      </c>
      <c r="C10420" t="s">
        <v>657</v>
      </c>
      <c r="D10420" t="s">
        <v>1415</v>
      </c>
      <c r="E10420" t="s">
        <v>187</v>
      </c>
      <c r="F10420">
        <v>2012</v>
      </c>
      <c r="G10420">
        <v>11.4834</v>
      </c>
    </row>
    <row r="10421" spans="1:7">
      <c r="A10421" t="s">
        <v>1297</v>
      </c>
      <c r="B10421" t="s">
        <v>1298</v>
      </c>
      <c r="C10421" t="s">
        <v>657</v>
      </c>
      <c r="D10421" t="s">
        <v>1415</v>
      </c>
      <c r="E10421" t="s">
        <v>187</v>
      </c>
      <c r="F10421">
        <v>2016</v>
      </c>
      <c r="G10421">
        <v>10.491443</v>
      </c>
    </row>
    <row r="10422" spans="1:7">
      <c r="A10422" t="s">
        <v>1297</v>
      </c>
      <c r="B10422" t="s">
        <v>1298</v>
      </c>
      <c r="C10422" t="s">
        <v>657</v>
      </c>
      <c r="D10422" t="s">
        <v>1415</v>
      </c>
      <c r="E10422" t="s">
        <v>187</v>
      </c>
      <c r="F10422">
        <v>2020</v>
      </c>
      <c r="G10422">
        <v>8.4778479999999998</v>
      </c>
    </row>
    <row r="10423" spans="1:7">
      <c r="A10423" t="s">
        <v>1297</v>
      </c>
      <c r="B10423" t="s">
        <v>1298</v>
      </c>
      <c r="C10423" t="s">
        <v>669</v>
      </c>
      <c r="D10423" t="s">
        <v>1415</v>
      </c>
      <c r="E10423" t="s">
        <v>187</v>
      </c>
      <c r="F10423">
        <v>2005</v>
      </c>
      <c r="G10423">
        <v>0.83399999999999996</v>
      </c>
    </row>
    <row r="10424" spans="1:7">
      <c r="A10424" t="s">
        <v>1297</v>
      </c>
      <c r="B10424" t="s">
        <v>1298</v>
      </c>
      <c r="C10424" t="s">
        <v>669</v>
      </c>
      <c r="D10424" t="s">
        <v>1415</v>
      </c>
      <c r="E10424" t="s">
        <v>187</v>
      </c>
      <c r="F10424">
        <v>2010</v>
      </c>
      <c r="G10424">
        <v>0.36299999999999999</v>
      </c>
    </row>
    <row r="10425" spans="1:7">
      <c r="A10425" t="s">
        <v>1297</v>
      </c>
      <c r="B10425" t="s">
        <v>1298</v>
      </c>
      <c r="C10425" t="s">
        <v>669</v>
      </c>
      <c r="D10425" t="s">
        <v>1415</v>
      </c>
      <c r="E10425" t="s">
        <v>187</v>
      </c>
      <c r="F10425">
        <v>2012</v>
      </c>
      <c r="G10425">
        <v>0.441</v>
      </c>
    </row>
    <row r="10426" spans="1:7">
      <c r="A10426" t="s">
        <v>1297</v>
      </c>
      <c r="B10426" t="s">
        <v>1298</v>
      </c>
      <c r="C10426" t="s">
        <v>669</v>
      </c>
      <c r="D10426" t="s">
        <v>1415</v>
      </c>
      <c r="E10426" t="s">
        <v>187</v>
      </c>
      <c r="F10426">
        <v>2016</v>
      </c>
      <c r="G10426">
        <v>0.36899999999999999</v>
      </c>
    </row>
    <row r="10427" spans="1:7">
      <c r="A10427" t="s">
        <v>1297</v>
      </c>
      <c r="B10427" t="s">
        <v>1298</v>
      </c>
      <c r="C10427" t="s">
        <v>1302</v>
      </c>
      <c r="D10427" t="s">
        <v>1415</v>
      </c>
      <c r="E10427" t="s">
        <v>187</v>
      </c>
      <c r="F10427">
        <v>2016</v>
      </c>
      <c r="G10427">
        <v>1.721676</v>
      </c>
    </row>
    <row r="10428" spans="1:7">
      <c r="A10428" t="s">
        <v>1297</v>
      </c>
      <c r="B10428" t="s">
        <v>1298</v>
      </c>
      <c r="C10428" t="s">
        <v>1302</v>
      </c>
      <c r="D10428" t="s">
        <v>1415</v>
      </c>
      <c r="E10428" t="s">
        <v>187</v>
      </c>
      <c r="F10428">
        <v>2020</v>
      </c>
      <c r="G10428">
        <v>2.1244450000000001</v>
      </c>
    </row>
    <row r="10429" spans="1:7">
      <c r="A10429" t="s">
        <v>1297</v>
      </c>
      <c r="B10429" t="s">
        <v>1298</v>
      </c>
      <c r="C10429" t="s">
        <v>662</v>
      </c>
      <c r="D10429" t="s">
        <v>1415</v>
      </c>
      <c r="E10429" t="s">
        <v>187</v>
      </c>
      <c r="F10429">
        <v>2005</v>
      </c>
      <c r="G10429">
        <v>26.776700000000002</v>
      </c>
    </row>
    <row r="10430" spans="1:7">
      <c r="A10430" t="s">
        <v>1297</v>
      </c>
      <c r="B10430" t="s">
        <v>1298</v>
      </c>
      <c r="C10430" t="s">
        <v>662</v>
      </c>
      <c r="D10430" t="s">
        <v>1415</v>
      </c>
      <c r="E10430" t="s">
        <v>187</v>
      </c>
      <c r="F10430">
        <v>2010</v>
      </c>
      <c r="G10430">
        <v>31.582999999999998</v>
      </c>
    </row>
    <row r="10431" spans="1:7">
      <c r="A10431" t="s">
        <v>1297</v>
      </c>
      <c r="B10431" t="s">
        <v>1298</v>
      </c>
      <c r="C10431" t="s">
        <v>662</v>
      </c>
      <c r="D10431" t="s">
        <v>1415</v>
      </c>
      <c r="E10431" t="s">
        <v>187</v>
      </c>
      <c r="F10431">
        <v>2012</v>
      </c>
      <c r="G10431">
        <v>15.11</v>
      </c>
    </row>
    <row r="10432" spans="1:7">
      <c r="A10432" t="s">
        <v>1297</v>
      </c>
      <c r="B10432" t="s">
        <v>1298</v>
      </c>
      <c r="C10432" t="s">
        <v>662</v>
      </c>
      <c r="D10432" t="s">
        <v>1415</v>
      </c>
      <c r="E10432" t="s">
        <v>187</v>
      </c>
      <c r="F10432">
        <v>2016</v>
      </c>
      <c r="G10432">
        <v>18.689</v>
      </c>
    </row>
    <row r="10433" spans="1:7">
      <c r="A10433" t="s">
        <v>1297</v>
      </c>
      <c r="B10433" t="s">
        <v>1298</v>
      </c>
      <c r="C10433" t="s">
        <v>662</v>
      </c>
      <c r="D10433" t="s">
        <v>1415</v>
      </c>
      <c r="E10433" t="s">
        <v>187</v>
      </c>
      <c r="F10433">
        <v>2020</v>
      </c>
      <c r="G10433">
        <v>20.662821000000001</v>
      </c>
    </row>
    <row r="10434" spans="1:7">
      <c r="A10434" t="s">
        <v>1297</v>
      </c>
      <c r="B10434" t="s">
        <v>1298</v>
      </c>
      <c r="C10434" t="s">
        <v>672</v>
      </c>
      <c r="D10434" t="s">
        <v>1415</v>
      </c>
      <c r="E10434" t="s">
        <v>187</v>
      </c>
      <c r="F10434">
        <v>2005</v>
      </c>
      <c r="G10434">
        <v>108.3031</v>
      </c>
    </row>
    <row r="10435" spans="1:7">
      <c r="A10435" t="s">
        <v>1297</v>
      </c>
      <c r="B10435" t="s">
        <v>1298</v>
      </c>
      <c r="C10435" t="s">
        <v>672</v>
      </c>
      <c r="D10435" t="s">
        <v>1415</v>
      </c>
      <c r="E10435" t="s">
        <v>187</v>
      </c>
      <c r="F10435">
        <v>2010</v>
      </c>
      <c r="G10435">
        <v>72.330399999999997</v>
      </c>
    </row>
    <row r="10436" spans="1:7">
      <c r="A10436" t="s">
        <v>1297</v>
      </c>
      <c r="B10436" t="s">
        <v>1298</v>
      </c>
      <c r="C10436" t="s">
        <v>672</v>
      </c>
      <c r="D10436" t="s">
        <v>1415</v>
      </c>
      <c r="E10436" t="s">
        <v>187</v>
      </c>
      <c r="F10436">
        <v>2012</v>
      </c>
      <c r="G10436">
        <v>55.177300000000002</v>
      </c>
    </row>
    <row r="10437" spans="1:7">
      <c r="A10437" t="s">
        <v>1297</v>
      </c>
      <c r="B10437" t="s">
        <v>1298</v>
      </c>
      <c r="C10437" t="s">
        <v>672</v>
      </c>
      <c r="D10437" t="s">
        <v>1415</v>
      </c>
      <c r="E10437" t="s">
        <v>187</v>
      </c>
      <c r="F10437">
        <v>2016</v>
      </c>
      <c r="G10437">
        <v>48.597850000000001</v>
      </c>
    </row>
    <row r="10438" spans="1:7">
      <c r="A10438" t="s">
        <v>1297</v>
      </c>
      <c r="B10438" t="s">
        <v>1298</v>
      </c>
      <c r="C10438" t="s">
        <v>672</v>
      </c>
      <c r="D10438" t="s">
        <v>1415</v>
      </c>
      <c r="E10438" t="s">
        <v>187</v>
      </c>
      <c r="F10438">
        <v>2020</v>
      </c>
      <c r="G10438">
        <v>48.354489999999998</v>
      </c>
    </row>
    <row r="10439" spans="1:7">
      <c r="A10439" t="s">
        <v>1297</v>
      </c>
      <c r="B10439" t="s">
        <v>1298</v>
      </c>
      <c r="C10439" t="s">
        <v>679</v>
      </c>
      <c r="D10439" t="s">
        <v>1415</v>
      </c>
      <c r="E10439" t="s">
        <v>187</v>
      </c>
      <c r="F10439">
        <v>2005</v>
      </c>
      <c r="G10439">
        <v>72.741600000000005</v>
      </c>
    </row>
    <row r="10440" spans="1:7">
      <c r="A10440" t="s">
        <v>1297</v>
      </c>
      <c r="B10440" t="s">
        <v>1298</v>
      </c>
      <c r="C10440" t="s">
        <v>679</v>
      </c>
      <c r="D10440" t="s">
        <v>1415</v>
      </c>
      <c r="E10440" t="s">
        <v>187</v>
      </c>
      <c r="F10440">
        <v>2010</v>
      </c>
      <c r="G10440">
        <v>76.500699999999995</v>
      </c>
    </row>
    <row r="10441" spans="1:7">
      <c r="A10441" t="s">
        <v>1297</v>
      </c>
      <c r="B10441" t="s">
        <v>1298</v>
      </c>
      <c r="C10441" t="s">
        <v>679</v>
      </c>
      <c r="D10441" t="s">
        <v>1415</v>
      </c>
      <c r="E10441" t="s">
        <v>187</v>
      </c>
      <c r="F10441">
        <v>2012</v>
      </c>
      <c r="G10441">
        <v>76.263199999999998</v>
      </c>
    </row>
    <row r="10442" spans="1:7">
      <c r="A10442" t="s">
        <v>1297</v>
      </c>
      <c r="B10442" t="s">
        <v>1298</v>
      </c>
      <c r="C10442" t="s">
        <v>679</v>
      </c>
      <c r="D10442" t="s">
        <v>1415</v>
      </c>
      <c r="E10442" t="s">
        <v>187</v>
      </c>
      <c r="F10442">
        <v>2016</v>
      </c>
      <c r="G10442">
        <v>77.036699999999996</v>
      </c>
    </row>
    <row r="10443" spans="1:7">
      <c r="A10443" t="s">
        <v>1297</v>
      </c>
      <c r="B10443" t="s">
        <v>1298</v>
      </c>
      <c r="C10443" t="s">
        <v>679</v>
      </c>
      <c r="D10443" t="s">
        <v>1415</v>
      </c>
      <c r="E10443" t="s">
        <v>187</v>
      </c>
      <c r="F10443">
        <v>2020</v>
      </c>
      <c r="G10443">
        <v>83.562387999999999</v>
      </c>
    </row>
    <row r="10444" spans="1:7">
      <c r="A10444" t="s">
        <v>1297</v>
      </c>
      <c r="B10444" t="s">
        <v>1298</v>
      </c>
      <c r="C10444" t="s">
        <v>651</v>
      </c>
      <c r="D10444" t="s">
        <v>1415</v>
      </c>
      <c r="E10444" t="s">
        <v>187</v>
      </c>
      <c r="F10444">
        <v>2005</v>
      </c>
      <c r="G10444">
        <v>52.568677000000001</v>
      </c>
    </row>
    <row r="10445" spans="1:7">
      <c r="A10445" t="s">
        <v>1297</v>
      </c>
      <c r="B10445" t="s">
        <v>1298</v>
      </c>
      <c r="C10445" t="s">
        <v>651</v>
      </c>
      <c r="D10445" t="s">
        <v>1415</v>
      </c>
      <c r="E10445" t="s">
        <v>187</v>
      </c>
      <c r="F10445">
        <v>2010</v>
      </c>
      <c r="G10445">
        <v>59.350434</v>
      </c>
    </row>
    <row r="10446" spans="1:7">
      <c r="A10446" t="s">
        <v>1297</v>
      </c>
      <c r="B10446" t="s">
        <v>1298</v>
      </c>
      <c r="C10446" t="s">
        <v>651</v>
      </c>
      <c r="D10446" t="s">
        <v>1415</v>
      </c>
      <c r="E10446" t="s">
        <v>187</v>
      </c>
      <c r="F10446">
        <v>2012</v>
      </c>
      <c r="G10446">
        <v>63.157015000000001</v>
      </c>
    </row>
    <row r="10447" spans="1:7">
      <c r="A10447" t="s">
        <v>1297</v>
      </c>
      <c r="B10447" t="s">
        <v>1298</v>
      </c>
      <c r="C10447" t="s">
        <v>651</v>
      </c>
      <c r="D10447" t="s">
        <v>1415</v>
      </c>
      <c r="E10447" t="s">
        <v>187</v>
      </c>
      <c r="F10447">
        <v>2016</v>
      </c>
      <c r="G10447">
        <v>63.218974000000003</v>
      </c>
    </row>
    <row r="10448" spans="1:7">
      <c r="A10448" t="s">
        <v>1297</v>
      </c>
      <c r="B10448" t="s">
        <v>1298</v>
      </c>
      <c r="C10448" t="s">
        <v>651</v>
      </c>
      <c r="D10448" t="s">
        <v>1415</v>
      </c>
      <c r="E10448" t="s">
        <v>187</v>
      </c>
      <c r="F10448">
        <v>2020</v>
      </c>
      <c r="G10448">
        <v>72.662824000000001</v>
      </c>
    </row>
    <row r="10449" spans="1:7">
      <c r="A10449" t="s">
        <v>1297</v>
      </c>
      <c r="B10449" t="s">
        <v>1298</v>
      </c>
      <c r="C10449" t="s">
        <v>685</v>
      </c>
      <c r="D10449" t="s">
        <v>1415</v>
      </c>
      <c r="E10449" t="s">
        <v>187</v>
      </c>
      <c r="F10449">
        <v>2016</v>
      </c>
      <c r="G10449">
        <v>5.8501289999999999</v>
      </c>
    </row>
    <row r="10450" spans="1:7">
      <c r="A10450" t="s">
        <v>1297</v>
      </c>
      <c r="B10450" t="s">
        <v>1298</v>
      </c>
      <c r="C10450" t="s">
        <v>685</v>
      </c>
      <c r="D10450" t="s">
        <v>1415</v>
      </c>
      <c r="E10450" t="s">
        <v>187</v>
      </c>
      <c r="F10450">
        <v>2020</v>
      </c>
      <c r="G10450">
        <v>2.4525389999999998</v>
      </c>
    </row>
    <row r="10451" spans="1:7">
      <c r="A10451" t="s">
        <v>1297</v>
      </c>
      <c r="B10451" t="s">
        <v>1298</v>
      </c>
      <c r="C10451" t="s">
        <v>668</v>
      </c>
      <c r="D10451" t="s">
        <v>1415</v>
      </c>
      <c r="E10451" t="s">
        <v>187</v>
      </c>
      <c r="F10451">
        <v>2005</v>
      </c>
      <c r="G10451">
        <v>4.0604199999999997</v>
      </c>
    </row>
    <row r="10452" spans="1:7">
      <c r="A10452" t="s">
        <v>1297</v>
      </c>
      <c r="B10452" t="s">
        <v>1298</v>
      </c>
      <c r="C10452" t="s">
        <v>1300</v>
      </c>
      <c r="D10452" t="s">
        <v>1415</v>
      </c>
      <c r="E10452" t="s">
        <v>187</v>
      </c>
      <c r="F10452">
        <v>2010</v>
      </c>
      <c r="G10452">
        <v>1.2513540000000001</v>
      </c>
    </row>
    <row r="10453" spans="1:7">
      <c r="A10453" t="s">
        <v>1297</v>
      </c>
      <c r="B10453" t="s">
        <v>1298</v>
      </c>
      <c r="C10453" t="s">
        <v>1300</v>
      </c>
      <c r="D10453" t="s">
        <v>1415</v>
      </c>
      <c r="E10453" t="s">
        <v>187</v>
      </c>
      <c r="F10453">
        <v>2012</v>
      </c>
      <c r="G10453">
        <v>1.8442890000000001</v>
      </c>
    </row>
    <row r="10454" spans="1:7">
      <c r="A10454" t="s">
        <v>1297</v>
      </c>
      <c r="B10454" t="s">
        <v>1298</v>
      </c>
      <c r="C10454" t="s">
        <v>1300</v>
      </c>
      <c r="D10454" t="s">
        <v>1415</v>
      </c>
      <c r="E10454" t="s">
        <v>187</v>
      </c>
      <c r="F10454">
        <v>2016</v>
      </c>
      <c r="G10454">
        <v>1.528877</v>
      </c>
    </row>
    <row r="10455" spans="1:7">
      <c r="A10455" t="s">
        <v>1297</v>
      </c>
      <c r="B10455" t="s">
        <v>1298</v>
      </c>
      <c r="C10455" t="s">
        <v>1300</v>
      </c>
      <c r="D10455" t="s">
        <v>1415</v>
      </c>
      <c r="E10455" t="s">
        <v>187</v>
      </c>
      <c r="F10455">
        <v>2020</v>
      </c>
      <c r="G10455">
        <v>2.3872279999999999</v>
      </c>
    </row>
    <row r="10456" spans="1:7">
      <c r="A10456" t="s">
        <v>1297</v>
      </c>
      <c r="B10456" t="s">
        <v>1298</v>
      </c>
      <c r="C10456" t="s">
        <v>660</v>
      </c>
      <c r="D10456" t="s">
        <v>1415</v>
      </c>
      <c r="E10456" t="s">
        <v>187</v>
      </c>
      <c r="F10456">
        <v>2012</v>
      </c>
      <c r="G10456">
        <v>43.243093999999999</v>
      </c>
    </row>
    <row r="10457" spans="1:7">
      <c r="A10457" t="s">
        <v>1297</v>
      </c>
      <c r="B10457" t="s">
        <v>1298</v>
      </c>
      <c r="C10457" t="s">
        <v>660</v>
      </c>
      <c r="D10457" t="s">
        <v>1415</v>
      </c>
      <c r="E10457" t="s">
        <v>187</v>
      </c>
      <c r="F10457">
        <v>2016</v>
      </c>
      <c r="G10457">
        <v>59.763286000000001</v>
      </c>
    </row>
    <row r="10458" spans="1:7">
      <c r="A10458" t="s">
        <v>1297</v>
      </c>
      <c r="B10458" t="s">
        <v>1298</v>
      </c>
      <c r="C10458" t="s">
        <v>660</v>
      </c>
      <c r="D10458" t="s">
        <v>1415</v>
      </c>
      <c r="E10458" t="s">
        <v>187</v>
      </c>
      <c r="F10458">
        <v>2020</v>
      </c>
      <c r="G10458">
        <v>57.179020000000001</v>
      </c>
    </row>
    <row r="10459" spans="1:7">
      <c r="A10459" t="s">
        <v>1297</v>
      </c>
      <c r="B10459" t="s">
        <v>1298</v>
      </c>
      <c r="C10459" t="s">
        <v>666</v>
      </c>
      <c r="D10459" t="s">
        <v>1415</v>
      </c>
      <c r="E10459" t="s">
        <v>187</v>
      </c>
      <c r="F10459">
        <v>2005</v>
      </c>
      <c r="G10459">
        <v>9.3679799999999993</v>
      </c>
    </row>
    <row r="10460" spans="1:7">
      <c r="A10460" t="s">
        <v>1297</v>
      </c>
      <c r="B10460" t="s">
        <v>1298</v>
      </c>
      <c r="C10460" t="s">
        <v>666</v>
      </c>
      <c r="D10460" t="s">
        <v>1415</v>
      </c>
      <c r="E10460" t="s">
        <v>187</v>
      </c>
      <c r="F10460">
        <v>2010</v>
      </c>
      <c r="G10460">
        <v>7.585</v>
      </c>
    </row>
    <row r="10461" spans="1:7">
      <c r="A10461" t="s">
        <v>1297</v>
      </c>
      <c r="B10461" t="s">
        <v>1298</v>
      </c>
      <c r="C10461" t="s">
        <v>666</v>
      </c>
      <c r="D10461" t="s">
        <v>1415</v>
      </c>
      <c r="E10461" t="s">
        <v>187</v>
      </c>
      <c r="F10461">
        <v>2012</v>
      </c>
      <c r="G10461">
        <v>6.6870000000000003</v>
      </c>
    </row>
    <row r="10462" spans="1:7">
      <c r="A10462" t="s">
        <v>1297</v>
      </c>
      <c r="B10462" t="s">
        <v>1298</v>
      </c>
      <c r="C10462" t="s">
        <v>666</v>
      </c>
      <c r="D10462" t="s">
        <v>1415</v>
      </c>
      <c r="E10462" t="s">
        <v>187</v>
      </c>
      <c r="F10462">
        <v>2016</v>
      </c>
      <c r="G10462">
        <v>8.5316200000000002</v>
      </c>
    </row>
    <row r="10463" spans="1:7">
      <c r="A10463" t="s">
        <v>1297</v>
      </c>
      <c r="B10463" t="s">
        <v>1298</v>
      </c>
      <c r="C10463" t="s">
        <v>666</v>
      </c>
      <c r="D10463" t="s">
        <v>1415</v>
      </c>
      <c r="E10463" t="s">
        <v>187</v>
      </c>
      <c r="F10463">
        <v>2020</v>
      </c>
      <c r="G10463">
        <v>9.963616</v>
      </c>
    </row>
    <row r="10464" spans="1:7">
      <c r="A10464" t="s">
        <v>1297</v>
      </c>
      <c r="B10464" t="s">
        <v>1298</v>
      </c>
      <c r="C10464" t="s">
        <v>654</v>
      </c>
      <c r="D10464" t="s">
        <v>1415</v>
      </c>
      <c r="E10464" t="s">
        <v>187</v>
      </c>
      <c r="F10464">
        <v>2005</v>
      </c>
      <c r="G10464">
        <v>3.0552000000000001</v>
      </c>
    </row>
    <row r="10465" spans="1:7">
      <c r="A10465" t="s">
        <v>1297</v>
      </c>
      <c r="B10465" t="s">
        <v>1298</v>
      </c>
      <c r="C10465" t="s">
        <v>654</v>
      </c>
      <c r="D10465" t="s">
        <v>1415</v>
      </c>
      <c r="E10465" t="s">
        <v>187</v>
      </c>
      <c r="F10465">
        <v>2010</v>
      </c>
      <c r="G10465">
        <v>3.5777999999999999</v>
      </c>
    </row>
    <row r="10466" spans="1:7">
      <c r="A10466" t="s">
        <v>1297</v>
      </c>
      <c r="B10466" t="s">
        <v>1298</v>
      </c>
      <c r="C10466" t="s">
        <v>654</v>
      </c>
      <c r="D10466" t="s">
        <v>1415</v>
      </c>
      <c r="E10466" t="s">
        <v>187</v>
      </c>
      <c r="F10466">
        <v>2012</v>
      </c>
      <c r="G10466">
        <v>1.6482000000000001</v>
      </c>
    </row>
    <row r="10467" spans="1:7">
      <c r="A10467" t="s">
        <v>1297</v>
      </c>
      <c r="B10467" t="s">
        <v>1298</v>
      </c>
      <c r="C10467" t="s">
        <v>654</v>
      </c>
      <c r="D10467" t="s">
        <v>1415</v>
      </c>
      <c r="E10467" t="s">
        <v>187</v>
      </c>
      <c r="F10467">
        <v>2016</v>
      </c>
      <c r="G10467">
        <v>1.6482000000000001</v>
      </c>
    </row>
    <row r="10468" spans="1:7">
      <c r="A10468" t="s">
        <v>1297</v>
      </c>
      <c r="B10468" t="s">
        <v>1298</v>
      </c>
      <c r="C10468" t="s">
        <v>681</v>
      </c>
      <c r="D10468" t="s">
        <v>1415</v>
      </c>
      <c r="E10468" t="s">
        <v>187</v>
      </c>
      <c r="F10468">
        <v>2010</v>
      </c>
      <c r="G10468">
        <v>4.610195</v>
      </c>
    </row>
    <row r="10469" spans="1:7">
      <c r="A10469" t="s">
        <v>1297</v>
      </c>
      <c r="B10469" t="s">
        <v>1298</v>
      </c>
      <c r="C10469" t="s">
        <v>681</v>
      </c>
      <c r="D10469" t="s">
        <v>1415</v>
      </c>
      <c r="E10469" t="s">
        <v>187</v>
      </c>
      <c r="F10469">
        <v>2012</v>
      </c>
      <c r="G10469">
        <v>1.575455</v>
      </c>
    </row>
    <row r="10470" spans="1:7">
      <c r="A10470" t="s">
        <v>1297</v>
      </c>
      <c r="B10470" t="s">
        <v>1298</v>
      </c>
      <c r="C10470" t="s">
        <v>681</v>
      </c>
      <c r="D10470" t="s">
        <v>1415</v>
      </c>
      <c r="E10470" t="s">
        <v>187</v>
      </c>
      <c r="F10470">
        <v>2016</v>
      </c>
      <c r="G10470">
        <v>4.2866160000000004</v>
      </c>
    </row>
    <row r="10471" spans="1:7">
      <c r="A10471" t="s">
        <v>1297</v>
      </c>
      <c r="B10471" t="s">
        <v>1298</v>
      </c>
      <c r="C10471" t="s">
        <v>681</v>
      </c>
      <c r="D10471" t="s">
        <v>1415</v>
      </c>
      <c r="E10471" t="s">
        <v>187</v>
      </c>
      <c r="F10471">
        <v>2020</v>
      </c>
      <c r="G10471">
        <v>1.993628</v>
      </c>
    </row>
    <row r="10472" spans="1:7">
      <c r="A10472" t="s">
        <v>1297</v>
      </c>
      <c r="B10472" t="s">
        <v>1298</v>
      </c>
      <c r="C10472" t="s">
        <v>665</v>
      </c>
      <c r="D10472" t="s">
        <v>1415</v>
      </c>
      <c r="E10472" t="s">
        <v>187</v>
      </c>
      <c r="F10472">
        <v>2005</v>
      </c>
      <c r="G10472">
        <v>312.10250000000002</v>
      </c>
    </row>
    <row r="10473" spans="1:7">
      <c r="A10473" t="s">
        <v>1297</v>
      </c>
      <c r="B10473" t="s">
        <v>1298</v>
      </c>
      <c r="C10473" t="s">
        <v>665</v>
      </c>
      <c r="D10473" t="s">
        <v>1415</v>
      </c>
      <c r="E10473" t="s">
        <v>187</v>
      </c>
      <c r="F10473">
        <v>2010</v>
      </c>
      <c r="G10473">
        <v>371.11259999999999</v>
      </c>
    </row>
    <row r="10474" spans="1:7">
      <c r="A10474" t="s">
        <v>1297</v>
      </c>
      <c r="B10474" t="s">
        <v>1298</v>
      </c>
      <c r="C10474" t="s">
        <v>665</v>
      </c>
      <c r="D10474" t="s">
        <v>1415</v>
      </c>
      <c r="E10474" t="s">
        <v>187</v>
      </c>
      <c r="F10474">
        <v>2012</v>
      </c>
      <c r="G10474">
        <v>308.52249999999998</v>
      </c>
    </row>
    <row r="10475" spans="1:7">
      <c r="A10475" t="s">
        <v>1297</v>
      </c>
      <c r="B10475" t="s">
        <v>1298</v>
      </c>
      <c r="C10475" t="s">
        <v>665</v>
      </c>
      <c r="D10475" t="s">
        <v>1415</v>
      </c>
      <c r="E10475" t="s">
        <v>187</v>
      </c>
      <c r="F10475">
        <v>2016</v>
      </c>
      <c r="G10475">
        <v>233.99109999999999</v>
      </c>
    </row>
    <row r="10476" spans="1:7">
      <c r="A10476" t="s">
        <v>1297</v>
      </c>
      <c r="B10476" t="s">
        <v>1298</v>
      </c>
      <c r="C10476" t="s">
        <v>665</v>
      </c>
      <c r="D10476" t="s">
        <v>1415</v>
      </c>
      <c r="E10476" t="s">
        <v>187</v>
      </c>
      <c r="F10476">
        <v>2020</v>
      </c>
      <c r="G10476">
        <v>266.105886</v>
      </c>
    </row>
    <row r="10477" spans="1:7">
      <c r="A10477" t="s">
        <v>1297</v>
      </c>
      <c r="B10477" t="s">
        <v>1298</v>
      </c>
      <c r="C10477" t="s">
        <v>682</v>
      </c>
      <c r="D10477" t="s">
        <v>1415</v>
      </c>
      <c r="E10477" t="s">
        <v>187</v>
      </c>
      <c r="F10477">
        <v>2016</v>
      </c>
      <c r="G10477">
        <v>3.1758000000000002</v>
      </c>
    </row>
    <row r="10478" spans="1:7">
      <c r="A10478" t="s">
        <v>1297</v>
      </c>
      <c r="B10478" t="s">
        <v>1298</v>
      </c>
      <c r="C10478" t="s">
        <v>682</v>
      </c>
      <c r="D10478" t="s">
        <v>1415</v>
      </c>
      <c r="E10478" t="s">
        <v>187</v>
      </c>
      <c r="F10478">
        <v>2020</v>
      </c>
      <c r="G10478">
        <v>3.9077799999999998</v>
      </c>
    </row>
    <row r="10479" spans="1:7">
      <c r="A10479" t="s">
        <v>1297</v>
      </c>
      <c r="B10479" t="s">
        <v>1298</v>
      </c>
      <c r="C10479" t="s">
        <v>667</v>
      </c>
      <c r="D10479" t="s">
        <v>1415</v>
      </c>
      <c r="E10479" t="s">
        <v>187</v>
      </c>
      <c r="F10479">
        <v>2005</v>
      </c>
      <c r="G10479">
        <v>1.1802619999999999</v>
      </c>
    </row>
    <row r="10480" spans="1:7">
      <c r="A10480" t="s">
        <v>1297</v>
      </c>
      <c r="B10480" t="s">
        <v>1298</v>
      </c>
      <c r="C10480" t="s">
        <v>667</v>
      </c>
      <c r="D10480" t="s">
        <v>1415</v>
      </c>
      <c r="E10480" t="s">
        <v>187</v>
      </c>
      <c r="F10480">
        <v>2010</v>
      </c>
      <c r="G10480">
        <v>1.3603749999999999</v>
      </c>
    </row>
    <row r="10481" spans="1:7">
      <c r="A10481" t="s">
        <v>1297</v>
      </c>
      <c r="B10481" t="s">
        <v>1298</v>
      </c>
      <c r="C10481" t="s">
        <v>667</v>
      </c>
      <c r="D10481" t="s">
        <v>1415</v>
      </c>
      <c r="E10481" t="s">
        <v>187</v>
      </c>
      <c r="F10481">
        <v>2012</v>
      </c>
      <c r="G10481">
        <v>1.703443</v>
      </c>
    </row>
    <row r="10482" spans="1:7">
      <c r="A10482" t="s">
        <v>1297</v>
      </c>
      <c r="B10482" t="s">
        <v>1298</v>
      </c>
      <c r="C10482" t="s">
        <v>667</v>
      </c>
      <c r="D10482" t="s">
        <v>1415</v>
      </c>
      <c r="E10482" t="s">
        <v>187</v>
      </c>
      <c r="F10482">
        <v>2016</v>
      </c>
      <c r="G10482">
        <v>1.496216</v>
      </c>
    </row>
    <row r="10483" spans="1:7">
      <c r="A10483" t="s">
        <v>1297</v>
      </c>
      <c r="B10483" t="s">
        <v>1298</v>
      </c>
      <c r="C10483" t="s">
        <v>667</v>
      </c>
      <c r="D10483" t="s">
        <v>1415</v>
      </c>
      <c r="E10483" t="s">
        <v>187</v>
      </c>
      <c r="F10483">
        <v>2020</v>
      </c>
      <c r="G10483">
        <v>1.6017729999999999</v>
      </c>
    </row>
    <row r="10484" spans="1:7">
      <c r="A10484" t="s">
        <v>1297</v>
      </c>
      <c r="B10484" t="s">
        <v>1298</v>
      </c>
      <c r="C10484" t="s">
        <v>673</v>
      </c>
      <c r="D10484" t="s">
        <v>1415</v>
      </c>
      <c r="E10484" t="s">
        <v>187</v>
      </c>
      <c r="F10484">
        <v>2005</v>
      </c>
      <c r="G10484">
        <v>65.048698000000002</v>
      </c>
    </row>
    <row r="10485" spans="1:7">
      <c r="A10485" t="s">
        <v>1297</v>
      </c>
      <c r="B10485" t="s">
        <v>1298</v>
      </c>
      <c r="C10485" t="s">
        <v>673</v>
      </c>
      <c r="D10485" t="s">
        <v>1415</v>
      </c>
      <c r="E10485" t="s">
        <v>187</v>
      </c>
      <c r="F10485">
        <v>2010</v>
      </c>
      <c r="G10485">
        <v>54.200622000000003</v>
      </c>
    </row>
    <row r="10486" spans="1:7">
      <c r="A10486" t="s">
        <v>1297</v>
      </c>
      <c r="B10486" t="s">
        <v>1298</v>
      </c>
      <c r="C10486" t="s">
        <v>673</v>
      </c>
      <c r="D10486" t="s">
        <v>1415</v>
      </c>
      <c r="E10486" t="s">
        <v>187</v>
      </c>
      <c r="F10486">
        <v>2012</v>
      </c>
      <c r="G10486">
        <v>33.881999</v>
      </c>
    </row>
    <row r="10487" spans="1:7">
      <c r="A10487" t="s">
        <v>1297</v>
      </c>
      <c r="B10487" t="s">
        <v>1298</v>
      </c>
      <c r="C10487" t="s">
        <v>673</v>
      </c>
      <c r="D10487" t="s">
        <v>1415</v>
      </c>
      <c r="E10487" t="s">
        <v>187</v>
      </c>
      <c r="F10487">
        <v>2016</v>
      </c>
      <c r="G10487">
        <v>36.287911000000001</v>
      </c>
    </row>
    <row r="10488" spans="1:7">
      <c r="A10488" t="s">
        <v>1297</v>
      </c>
      <c r="B10488" t="s">
        <v>1298</v>
      </c>
      <c r="C10488" t="s">
        <v>673</v>
      </c>
      <c r="D10488" t="s">
        <v>1415</v>
      </c>
      <c r="E10488" t="s">
        <v>187</v>
      </c>
      <c r="F10488">
        <v>2020</v>
      </c>
      <c r="G10488">
        <v>31.366719</v>
      </c>
    </row>
    <row r="10489" spans="1:7">
      <c r="A10489" t="s">
        <v>1297</v>
      </c>
      <c r="B10489" t="s">
        <v>1298</v>
      </c>
      <c r="C10489" t="s">
        <v>663</v>
      </c>
      <c r="D10489" t="s">
        <v>1415</v>
      </c>
      <c r="E10489" t="s">
        <v>187</v>
      </c>
      <c r="F10489">
        <v>2005</v>
      </c>
      <c r="G10489">
        <v>75.780199999999994</v>
      </c>
    </row>
    <row r="10490" spans="1:7">
      <c r="A10490" t="s">
        <v>1297</v>
      </c>
      <c r="B10490" t="s">
        <v>1298</v>
      </c>
      <c r="C10490" t="s">
        <v>663</v>
      </c>
      <c r="D10490" t="s">
        <v>1415</v>
      </c>
      <c r="E10490" t="s">
        <v>187</v>
      </c>
      <c r="F10490">
        <v>2010</v>
      </c>
      <c r="G10490">
        <v>67.506249999999994</v>
      </c>
    </row>
    <row r="10491" spans="1:7">
      <c r="A10491" t="s">
        <v>1297</v>
      </c>
      <c r="B10491" t="s">
        <v>1298</v>
      </c>
      <c r="C10491" t="s">
        <v>663</v>
      </c>
      <c r="D10491" t="s">
        <v>1415</v>
      </c>
      <c r="E10491" t="s">
        <v>187</v>
      </c>
      <c r="F10491">
        <v>2012</v>
      </c>
      <c r="G10491">
        <v>49.539810000000003</v>
      </c>
    </row>
    <row r="10492" spans="1:7">
      <c r="A10492" t="s">
        <v>1297</v>
      </c>
      <c r="B10492" t="s">
        <v>1298</v>
      </c>
      <c r="C10492" t="s">
        <v>663</v>
      </c>
      <c r="D10492" t="s">
        <v>1415</v>
      </c>
      <c r="E10492" t="s">
        <v>187</v>
      </c>
      <c r="F10492">
        <v>2016</v>
      </c>
      <c r="G10492">
        <v>57.058210000000003</v>
      </c>
    </row>
    <row r="10493" spans="1:7">
      <c r="A10493" t="s">
        <v>1297</v>
      </c>
      <c r="B10493" t="s">
        <v>1298</v>
      </c>
      <c r="C10493" t="s">
        <v>663</v>
      </c>
      <c r="D10493" t="s">
        <v>1415</v>
      </c>
      <c r="E10493" t="s">
        <v>187</v>
      </c>
      <c r="F10493">
        <v>2020</v>
      </c>
      <c r="G10493">
        <v>67.608620000000002</v>
      </c>
    </row>
    <row r="10494" spans="1:7">
      <c r="A10494" t="s">
        <v>1297</v>
      </c>
      <c r="B10494" t="s">
        <v>1298</v>
      </c>
      <c r="C10494" t="s">
        <v>653</v>
      </c>
      <c r="D10494" t="s">
        <v>1415</v>
      </c>
      <c r="E10494" t="s">
        <v>187</v>
      </c>
      <c r="F10494">
        <v>2005</v>
      </c>
      <c r="G10494">
        <v>22.538112000000002</v>
      </c>
    </row>
    <row r="10495" spans="1:7">
      <c r="A10495" t="s">
        <v>1297</v>
      </c>
      <c r="B10495" t="s">
        <v>1298</v>
      </c>
      <c r="C10495" t="s">
        <v>653</v>
      </c>
      <c r="D10495" t="s">
        <v>1415</v>
      </c>
      <c r="E10495" t="s">
        <v>187</v>
      </c>
      <c r="F10495">
        <v>2010</v>
      </c>
      <c r="G10495">
        <v>7.2678469999999997</v>
      </c>
    </row>
    <row r="10496" spans="1:7">
      <c r="A10496" t="s">
        <v>1297</v>
      </c>
      <c r="B10496" t="s">
        <v>1298</v>
      </c>
      <c r="C10496" t="s">
        <v>653</v>
      </c>
      <c r="D10496" t="s">
        <v>1415</v>
      </c>
      <c r="E10496" t="s">
        <v>187</v>
      </c>
      <c r="F10496">
        <v>2012</v>
      </c>
      <c r="G10496">
        <v>9.5518999999999998</v>
      </c>
    </row>
    <row r="10497" spans="1:7">
      <c r="A10497" t="s">
        <v>1297</v>
      </c>
      <c r="B10497" t="s">
        <v>1298</v>
      </c>
      <c r="C10497" t="s">
        <v>653</v>
      </c>
      <c r="D10497" t="s">
        <v>1415</v>
      </c>
      <c r="E10497" t="s">
        <v>187</v>
      </c>
      <c r="F10497">
        <v>2016</v>
      </c>
      <c r="G10497">
        <v>6.2774999999999999</v>
      </c>
    </row>
    <row r="10498" spans="1:7">
      <c r="A10498" t="s">
        <v>1297</v>
      </c>
      <c r="B10498" t="s">
        <v>1298</v>
      </c>
      <c r="C10498" t="s">
        <v>653</v>
      </c>
      <c r="D10498" t="s">
        <v>1415</v>
      </c>
      <c r="E10498" t="s">
        <v>187</v>
      </c>
      <c r="F10498">
        <v>2020</v>
      </c>
      <c r="G10498">
        <v>11.124157</v>
      </c>
    </row>
    <row r="10499" spans="1:7">
      <c r="A10499" t="s">
        <v>1297</v>
      </c>
      <c r="B10499" t="s">
        <v>1298</v>
      </c>
      <c r="C10499" t="s">
        <v>669</v>
      </c>
      <c r="D10499" t="s">
        <v>1415</v>
      </c>
      <c r="E10499" t="s">
        <v>187</v>
      </c>
      <c r="F10499">
        <v>2020</v>
      </c>
      <c r="G10499">
        <v>0.65042699999999998</v>
      </c>
    </row>
    <row r="10500" spans="1:7">
      <c r="A10500" t="s">
        <v>1297</v>
      </c>
      <c r="B10500" t="s">
        <v>1298</v>
      </c>
      <c r="C10500" t="s">
        <v>664</v>
      </c>
      <c r="D10500" t="s">
        <v>1415</v>
      </c>
      <c r="E10500" t="s">
        <v>187</v>
      </c>
      <c r="F10500">
        <v>2005</v>
      </c>
      <c r="G10500">
        <v>21.598286000000002</v>
      </c>
    </row>
    <row r="10501" spans="1:7">
      <c r="A10501" t="s">
        <v>1297</v>
      </c>
      <c r="B10501" t="s">
        <v>1298</v>
      </c>
      <c r="C10501" t="s">
        <v>664</v>
      </c>
      <c r="D10501" t="s">
        <v>1415</v>
      </c>
      <c r="E10501" t="s">
        <v>187</v>
      </c>
      <c r="F10501">
        <v>2010</v>
      </c>
      <c r="G10501">
        <v>14.303189</v>
      </c>
    </row>
    <row r="10502" spans="1:7">
      <c r="A10502" t="s">
        <v>1297</v>
      </c>
      <c r="B10502" t="s">
        <v>1298</v>
      </c>
      <c r="C10502" t="s">
        <v>664</v>
      </c>
      <c r="D10502" t="s">
        <v>1415</v>
      </c>
      <c r="E10502" t="s">
        <v>187</v>
      </c>
      <c r="F10502">
        <v>2012</v>
      </c>
      <c r="G10502">
        <v>11.782583000000001</v>
      </c>
    </row>
    <row r="10503" spans="1:7">
      <c r="A10503" t="s">
        <v>1297</v>
      </c>
      <c r="B10503" t="s">
        <v>1298</v>
      </c>
      <c r="C10503" t="s">
        <v>664</v>
      </c>
      <c r="D10503" t="s">
        <v>1415</v>
      </c>
      <c r="E10503" t="s">
        <v>187</v>
      </c>
      <c r="F10503">
        <v>2016</v>
      </c>
      <c r="G10503">
        <v>11.181070999999999</v>
      </c>
    </row>
    <row r="10504" spans="1:7">
      <c r="A10504" t="s">
        <v>1297</v>
      </c>
      <c r="B10504" t="s">
        <v>1298</v>
      </c>
      <c r="C10504" t="s">
        <v>664</v>
      </c>
      <c r="D10504" t="s">
        <v>1415</v>
      </c>
      <c r="E10504" t="s">
        <v>187</v>
      </c>
      <c r="F10504">
        <v>2020</v>
      </c>
      <c r="G10504">
        <v>10.063743000000001</v>
      </c>
    </row>
    <row r="10505" spans="1:7">
      <c r="A10505" t="s">
        <v>1297</v>
      </c>
      <c r="B10505" t="s">
        <v>1298</v>
      </c>
      <c r="C10505" t="s">
        <v>677</v>
      </c>
      <c r="D10505" t="s">
        <v>1415</v>
      </c>
      <c r="E10505" t="s">
        <v>187</v>
      </c>
      <c r="F10505">
        <v>2016</v>
      </c>
      <c r="G10505">
        <v>312.22651100000002</v>
      </c>
    </row>
    <row r="10506" spans="1:7">
      <c r="A10506" t="s">
        <v>1297</v>
      </c>
      <c r="B10506" t="s">
        <v>1298</v>
      </c>
      <c r="C10506" t="s">
        <v>677</v>
      </c>
      <c r="D10506" t="s">
        <v>1415</v>
      </c>
      <c r="E10506" t="s">
        <v>187</v>
      </c>
      <c r="F10506">
        <v>2020</v>
      </c>
      <c r="G10506">
        <v>285.16132499999998</v>
      </c>
    </row>
    <row r="10507" spans="1:7">
      <c r="A10507" t="s">
        <v>1297</v>
      </c>
      <c r="B10507" t="s">
        <v>1298</v>
      </c>
      <c r="C10507" t="s">
        <v>655</v>
      </c>
      <c r="D10507" t="s">
        <v>1415</v>
      </c>
      <c r="E10507" t="s">
        <v>187</v>
      </c>
      <c r="F10507">
        <v>2005</v>
      </c>
      <c r="G10507">
        <v>113.533372</v>
      </c>
    </row>
    <row r="10508" spans="1:7">
      <c r="A10508" t="s">
        <v>1297</v>
      </c>
      <c r="B10508" t="s">
        <v>1298</v>
      </c>
      <c r="C10508" t="s">
        <v>655</v>
      </c>
      <c r="D10508" t="s">
        <v>1415</v>
      </c>
      <c r="E10508" t="s">
        <v>187</v>
      </c>
      <c r="F10508">
        <v>2010</v>
      </c>
      <c r="G10508">
        <v>102.440217</v>
      </c>
    </row>
    <row r="10509" spans="1:7">
      <c r="A10509" t="s">
        <v>1297</v>
      </c>
      <c r="B10509" t="s">
        <v>1298</v>
      </c>
      <c r="C10509" t="s">
        <v>655</v>
      </c>
      <c r="D10509" t="s">
        <v>1415</v>
      </c>
      <c r="E10509" t="s">
        <v>187</v>
      </c>
      <c r="F10509">
        <v>2012</v>
      </c>
      <c r="G10509">
        <v>97.553758000000002</v>
      </c>
    </row>
    <row r="10510" spans="1:7">
      <c r="A10510" t="s">
        <v>1297</v>
      </c>
      <c r="B10510" t="s">
        <v>1298</v>
      </c>
      <c r="C10510" t="s">
        <v>655</v>
      </c>
      <c r="D10510" t="s">
        <v>1415</v>
      </c>
      <c r="E10510" t="s">
        <v>187</v>
      </c>
      <c r="F10510">
        <v>2016</v>
      </c>
      <c r="G10510">
        <v>54.466411999999998</v>
      </c>
    </row>
    <row r="10511" spans="1:7">
      <c r="A10511" t="s">
        <v>1297</v>
      </c>
      <c r="B10511" t="s">
        <v>1298</v>
      </c>
      <c r="C10511" t="s">
        <v>655</v>
      </c>
      <c r="D10511" t="s">
        <v>1415</v>
      </c>
      <c r="E10511" t="s">
        <v>187</v>
      </c>
      <c r="F10511">
        <v>2020</v>
      </c>
      <c r="G10511">
        <v>105.494259</v>
      </c>
    </row>
    <row r="10512" spans="1:7">
      <c r="A10512" t="s">
        <v>1297</v>
      </c>
      <c r="B10512" t="s">
        <v>1298</v>
      </c>
      <c r="C10512" t="s">
        <v>1301</v>
      </c>
      <c r="D10512" t="s">
        <v>1415</v>
      </c>
      <c r="E10512" t="s">
        <v>187</v>
      </c>
      <c r="F10512">
        <v>2005</v>
      </c>
      <c r="G10512">
        <v>165.1584</v>
      </c>
    </row>
    <row r="10513" spans="1:7">
      <c r="A10513" t="s">
        <v>1297</v>
      </c>
      <c r="B10513" t="s">
        <v>1298</v>
      </c>
      <c r="C10513" t="s">
        <v>1301</v>
      </c>
      <c r="D10513" t="s">
        <v>1415</v>
      </c>
      <c r="E10513" t="s">
        <v>187</v>
      </c>
      <c r="F10513">
        <v>2010</v>
      </c>
      <c r="G10513">
        <v>289.43529999999998</v>
      </c>
    </row>
    <row r="10514" spans="1:7">
      <c r="A10514" t="s">
        <v>1297</v>
      </c>
      <c r="B10514" t="s">
        <v>1298</v>
      </c>
      <c r="C10514" t="s">
        <v>1301</v>
      </c>
      <c r="D10514" t="s">
        <v>1415</v>
      </c>
      <c r="E10514" t="s">
        <v>187</v>
      </c>
      <c r="F10514">
        <v>2012</v>
      </c>
      <c r="G10514">
        <v>293.16565400000002</v>
      </c>
    </row>
    <row r="10515" spans="1:7">
      <c r="A10515" t="s">
        <v>1297</v>
      </c>
      <c r="B10515" t="s">
        <v>1298</v>
      </c>
      <c r="C10515" t="s">
        <v>1301</v>
      </c>
      <c r="D10515" t="s">
        <v>1415</v>
      </c>
      <c r="E10515" t="s">
        <v>187</v>
      </c>
      <c r="F10515">
        <v>2016</v>
      </c>
      <c r="G10515">
        <v>312.00790000000001</v>
      </c>
    </row>
    <row r="10516" spans="1:7">
      <c r="A10516" t="s">
        <v>1297</v>
      </c>
      <c r="B10516" t="s">
        <v>1298</v>
      </c>
      <c r="C10516" t="s">
        <v>1301</v>
      </c>
      <c r="D10516" t="s">
        <v>1415</v>
      </c>
      <c r="E10516" t="s">
        <v>187</v>
      </c>
      <c r="F10516">
        <v>2020</v>
      </c>
      <c r="G10516">
        <v>202.53870000000001</v>
      </c>
    </row>
    <row r="10517" spans="1:7">
      <c r="A10517" t="s">
        <v>1297</v>
      </c>
      <c r="B10517" t="s">
        <v>1298</v>
      </c>
      <c r="C10517" t="s">
        <v>289</v>
      </c>
      <c r="D10517" t="s">
        <v>1415</v>
      </c>
      <c r="E10517" t="s">
        <v>187</v>
      </c>
      <c r="F10517">
        <v>2005</v>
      </c>
      <c r="G10517">
        <v>12.01314</v>
      </c>
    </row>
    <row r="10518" spans="1:7">
      <c r="A10518" t="s">
        <v>1297</v>
      </c>
      <c r="B10518" t="s">
        <v>1298</v>
      </c>
      <c r="C10518" t="s">
        <v>289</v>
      </c>
      <c r="D10518" t="s">
        <v>1415</v>
      </c>
      <c r="E10518" t="s">
        <v>187</v>
      </c>
      <c r="F10518">
        <v>2010</v>
      </c>
      <c r="G10518">
        <v>7.8975400000000002</v>
      </c>
    </row>
    <row r="10519" spans="1:7">
      <c r="A10519" t="s">
        <v>1297</v>
      </c>
      <c r="B10519" t="s">
        <v>1298</v>
      </c>
      <c r="C10519" t="s">
        <v>289</v>
      </c>
      <c r="D10519" t="s">
        <v>1415</v>
      </c>
      <c r="E10519" t="s">
        <v>187</v>
      </c>
      <c r="F10519">
        <v>2012</v>
      </c>
      <c r="G10519">
        <v>5.6948999999999996</v>
      </c>
    </row>
    <row r="10520" spans="1:7">
      <c r="A10520" t="s">
        <v>1297</v>
      </c>
      <c r="B10520" t="s">
        <v>1298</v>
      </c>
      <c r="C10520" t="s">
        <v>289</v>
      </c>
      <c r="D10520" t="s">
        <v>1415</v>
      </c>
      <c r="E10520" t="s">
        <v>187</v>
      </c>
      <c r="F10520">
        <v>2016</v>
      </c>
      <c r="G10520">
        <v>5.8221100000000003</v>
      </c>
    </row>
    <row r="10521" spans="1:7">
      <c r="A10521" t="s">
        <v>1297</v>
      </c>
      <c r="B10521" t="s">
        <v>1298</v>
      </c>
      <c r="C10521" t="s">
        <v>289</v>
      </c>
      <c r="D10521" t="s">
        <v>1415</v>
      </c>
      <c r="E10521" t="s">
        <v>187</v>
      </c>
      <c r="F10521">
        <v>2020</v>
      </c>
      <c r="G10521">
        <v>6.3507610000000003</v>
      </c>
    </row>
    <row r="10522" spans="1:7">
      <c r="A10522" t="s">
        <v>1297</v>
      </c>
      <c r="B10522" t="s">
        <v>1298</v>
      </c>
      <c r="C10522" t="s">
        <v>656</v>
      </c>
      <c r="D10522" t="s">
        <v>1415</v>
      </c>
      <c r="E10522" t="s">
        <v>187</v>
      </c>
      <c r="F10522">
        <v>2005</v>
      </c>
      <c r="G10522">
        <v>918.87365999999997</v>
      </c>
    </row>
    <row r="10523" spans="1:7">
      <c r="A10523" t="s">
        <v>1297</v>
      </c>
      <c r="B10523" t="s">
        <v>1298</v>
      </c>
      <c r="C10523" t="s">
        <v>656</v>
      </c>
      <c r="D10523" t="s">
        <v>1415</v>
      </c>
      <c r="E10523" t="s">
        <v>187</v>
      </c>
      <c r="F10523">
        <v>2010</v>
      </c>
      <c r="G10523">
        <v>830.58872699999995</v>
      </c>
    </row>
    <row r="10524" spans="1:7">
      <c r="A10524" t="s">
        <v>1297</v>
      </c>
      <c r="B10524" t="s">
        <v>1298</v>
      </c>
      <c r="C10524" t="s">
        <v>656</v>
      </c>
      <c r="D10524" t="s">
        <v>1415</v>
      </c>
      <c r="E10524" t="s">
        <v>187</v>
      </c>
      <c r="F10524">
        <v>2012</v>
      </c>
      <c r="G10524">
        <v>812.92125199999998</v>
      </c>
    </row>
    <row r="10525" spans="1:7">
      <c r="A10525" t="s">
        <v>1297</v>
      </c>
      <c r="B10525" t="s">
        <v>1298</v>
      </c>
      <c r="C10525" t="s">
        <v>656</v>
      </c>
      <c r="D10525" t="s">
        <v>1415</v>
      </c>
      <c r="E10525" t="s">
        <v>187</v>
      </c>
      <c r="F10525">
        <v>2016</v>
      </c>
      <c r="G10525">
        <v>771.53858400000001</v>
      </c>
    </row>
    <row r="10526" spans="1:7">
      <c r="A10526" t="s">
        <v>1297</v>
      </c>
      <c r="B10526" t="s">
        <v>1298</v>
      </c>
      <c r="C10526" t="s">
        <v>656</v>
      </c>
      <c r="D10526" t="s">
        <v>1415</v>
      </c>
      <c r="E10526" t="s">
        <v>187</v>
      </c>
      <c r="F10526">
        <v>2020</v>
      </c>
      <c r="G10526">
        <v>746.35092499999996</v>
      </c>
    </row>
    <row r="10527" spans="1:7">
      <c r="A10527" t="s">
        <v>1297</v>
      </c>
      <c r="B10527" t="s">
        <v>1298</v>
      </c>
      <c r="C10527" t="s">
        <v>686</v>
      </c>
      <c r="D10527" t="s">
        <v>1415</v>
      </c>
      <c r="E10527" t="s">
        <v>187</v>
      </c>
      <c r="F10527">
        <v>2005</v>
      </c>
      <c r="G10527">
        <v>5.37</v>
      </c>
    </row>
    <row r="10528" spans="1:7">
      <c r="A10528" t="s">
        <v>1297</v>
      </c>
      <c r="B10528" t="s">
        <v>1298</v>
      </c>
      <c r="C10528" t="s">
        <v>686</v>
      </c>
      <c r="D10528" t="s">
        <v>1415</v>
      </c>
      <c r="E10528" t="s">
        <v>187</v>
      </c>
      <c r="F10528">
        <v>2010</v>
      </c>
      <c r="G10528">
        <v>23.778361</v>
      </c>
    </row>
    <row r="10529" spans="1:7">
      <c r="A10529" t="s">
        <v>1297</v>
      </c>
      <c r="B10529" t="s">
        <v>1298</v>
      </c>
      <c r="C10529" t="s">
        <v>686</v>
      </c>
      <c r="D10529" t="s">
        <v>1415</v>
      </c>
      <c r="E10529" t="s">
        <v>187</v>
      </c>
      <c r="F10529">
        <v>2012</v>
      </c>
      <c r="G10529">
        <v>11.968164</v>
      </c>
    </row>
    <row r="10530" spans="1:7">
      <c r="A10530" t="s">
        <v>1297</v>
      </c>
      <c r="B10530" t="s">
        <v>1298</v>
      </c>
      <c r="C10530" t="s">
        <v>686</v>
      </c>
      <c r="D10530" t="s">
        <v>1415</v>
      </c>
      <c r="E10530" t="s">
        <v>187</v>
      </c>
      <c r="F10530">
        <v>2016</v>
      </c>
      <c r="G10530">
        <v>25.689343999999998</v>
      </c>
    </row>
    <row r="10531" spans="1:7">
      <c r="A10531" t="s">
        <v>1297</v>
      </c>
      <c r="B10531" t="s">
        <v>1298</v>
      </c>
      <c r="C10531" t="s">
        <v>686</v>
      </c>
      <c r="D10531" t="s">
        <v>1415</v>
      </c>
      <c r="E10531" t="s">
        <v>187</v>
      </c>
      <c r="F10531">
        <v>2020</v>
      </c>
      <c r="G10531">
        <v>23.528129</v>
      </c>
    </row>
    <row r="10532" spans="1:7">
      <c r="A10532" t="s">
        <v>1297</v>
      </c>
      <c r="B10532" t="s">
        <v>1298</v>
      </c>
      <c r="C10532" t="s">
        <v>1303</v>
      </c>
      <c r="D10532" t="s">
        <v>1415</v>
      </c>
      <c r="E10532" t="s">
        <v>187</v>
      </c>
      <c r="F10532">
        <v>2016</v>
      </c>
      <c r="G10532">
        <v>4.7880000000000003</v>
      </c>
    </row>
    <row r="10533" spans="1:7">
      <c r="A10533" t="s">
        <v>1297</v>
      </c>
      <c r="B10533" t="s">
        <v>1298</v>
      </c>
      <c r="C10533" t="s">
        <v>1303</v>
      </c>
      <c r="D10533" t="s">
        <v>1415</v>
      </c>
      <c r="E10533" t="s">
        <v>187</v>
      </c>
      <c r="F10533">
        <v>2020</v>
      </c>
      <c r="G10533">
        <v>7.2449279999999998</v>
      </c>
    </row>
    <row r="10534" spans="1:7">
      <c r="A10534" t="s">
        <v>1297</v>
      </c>
      <c r="B10534" t="s">
        <v>1298</v>
      </c>
      <c r="C10534" t="s">
        <v>668</v>
      </c>
      <c r="D10534" t="s">
        <v>1415</v>
      </c>
      <c r="E10534" t="s">
        <v>187</v>
      </c>
      <c r="F10534">
        <v>2010</v>
      </c>
      <c r="G10534">
        <v>3.0557799999999999</v>
      </c>
    </row>
    <row r="10535" spans="1:7">
      <c r="A10535" t="s">
        <v>1297</v>
      </c>
      <c r="B10535" t="s">
        <v>1298</v>
      </c>
      <c r="C10535" t="s">
        <v>668</v>
      </c>
      <c r="D10535" t="s">
        <v>1415</v>
      </c>
      <c r="E10535" t="s">
        <v>187</v>
      </c>
      <c r="F10535">
        <v>2012</v>
      </c>
      <c r="G10535">
        <v>4.1022800000000004</v>
      </c>
    </row>
    <row r="10536" spans="1:7">
      <c r="A10536" t="s">
        <v>1297</v>
      </c>
      <c r="B10536" t="s">
        <v>1298</v>
      </c>
      <c r="C10536" t="s">
        <v>668</v>
      </c>
      <c r="D10536" t="s">
        <v>1415</v>
      </c>
      <c r="E10536" t="s">
        <v>187</v>
      </c>
      <c r="F10536">
        <v>2016</v>
      </c>
      <c r="G10536">
        <v>4.0604199999999997</v>
      </c>
    </row>
    <row r="10537" spans="1:7">
      <c r="A10537" t="s">
        <v>1297</v>
      </c>
      <c r="B10537" t="s">
        <v>1298</v>
      </c>
      <c r="C10537" t="s">
        <v>668</v>
      </c>
      <c r="D10537" t="s">
        <v>1415</v>
      </c>
      <c r="E10537" t="s">
        <v>187</v>
      </c>
      <c r="F10537">
        <v>2020</v>
      </c>
      <c r="G10537">
        <v>3.7380369999999998</v>
      </c>
    </row>
    <row r="10538" spans="1:7">
      <c r="A10538" t="s">
        <v>1297</v>
      </c>
      <c r="B10538" t="s">
        <v>1298</v>
      </c>
      <c r="C10538" t="s">
        <v>681</v>
      </c>
      <c r="D10538" t="s">
        <v>1415</v>
      </c>
      <c r="E10538" t="s">
        <v>187</v>
      </c>
      <c r="F10538">
        <v>2005</v>
      </c>
      <c r="G10538">
        <v>5.1407340000000001</v>
      </c>
    </row>
    <row r="10539" spans="1:7">
      <c r="A10539" t="s">
        <v>1297</v>
      </c>
      <c r="B10539" t="s">
        <v>1298</v>
      </c>
      <c r="C10539" t="s">
        <v>685</v>
      </c>
      <c r="D10539" t="s">
        <v>1415</v>
      </c>
      <c r="E10539" t="s">
        <v>187</v>
      </c>
      <c r="F10539">
        <v>2005</v>
      </c>
      <c r="G10539">
        <v>1.4874369999999999</v>
      </c>
    </row>
    <row r="10540" spans="1:7">
      <c r="A10540" t="s">
        <v>1297</v>
      </c>
      <c r="B10540" t="s">
        <v>1298</v>
      </c>
      <c r="C10540" t="s">
        <v>1302</v>
      </c>
      <c r="D10540" t="s">
        <v>1415</v>
      </c>
      <c r="E10540" t="s">
        <v>187</v>
      </c>
      <c r="F10540">
        <v>2005</v>
      </c>
      <c r="G10540">
        <v>0.29099999999999998</v>
      </c>
    </row>
    <row r="10541" spans="1:7">
      <c r="A10541" t="s">
        <v>1297</v>
      </c>
      <c r="B10541" t="s">
        <v>1298</v>
      </c>
      <c r="C10541" t="s">
        <v>1302</v>
      </c>
      <c r="D10541" t="s">
        <v>1415</v>
      </c>
      <c r="E10541" t="s">
        <v>187</v>
      </c>
      <c r="F10541">
        <v>2010</v>
      </c>
      <c r="G10541">
        <v>0.29219299999999998</v>
      </c>
    </row>
    <row r="10542" spans="1:7">
      <c r="A10542" t="s">
        <v>1297</v>
      </c>
      <c r="B10542" t="s">
        <v>1298</v>
      </c>
      <c r="C10542" t="s">
        <v>1302</v>
      </c>
      <c r="D10542" t="s">
        <v>1415</v>
      </c>
      <c r="E10542" t="s">
        <v>187</v>
      </c>
      <c r="F10542">
        <v>2012</v>
      </c>
      <c r="G10542">
        <v>1.6419919999999999</v>
      </c>
    </row>
    <row r="10543" spans="1:7">
      <c r="A10543" t="s">
        <v>1297</v>
      </c>
      <c r="B10543" t="s">
        <v>1298</v>
      </c>
      <c r="C10543" t="s">
        <v>676</v>
      </c>
      <c r="D10543" t="s">
        <v>1415</v>
      </c>
      <c r="E10543" t="s">
        <v>187</v>
      </c>
      <c r="F10543">
        <v>2005</v>
      </c>
      <c r="G10543">
        <v>36.120699999999999</v>
      </c>
    </row>
    <row r="10544" spans="1:7">
      <c r="A10544" t="s">
        <v>1297</v>
      </c>
      <c r="B10544" t="s">
        <v>1298</v>
      </c>
      <c r="C10544" t="s">
        <v>676</v>
      </c>
      <c r="D10544" t="s">
        <v>1415</v>
      </c>
      <c r="E10544" t="s">
        <v>187</v>
      </c>
      <c r="F10544">
        <v>2010</v>
      </c>
      <c r="G10544">
        <v>33.156638000000001</v>
      </c>
    </row>
    <row r="10545" spans="1:7">
      <c r="A10545" t="s">
        <v>1297</v>
      </c>
      <c r="B10545" t="s">
        <v>1298</v>
      </c>
      <c r="C10545" t="s">
        <v>676</v>
      </c>
      <c r="D10545" t="s">
        <v>1415</v>
      </c>
      <c r="E10545" t="s">
        <v>187</v>
      </c>
      <c r="F10545">
        <v>2012</v>
      </c>
      <c r="G10545">
        <v>24.670968999999999</v>
      </c>
    </row>
    <row r="10546" spans="1:7">
      <c r="A10546" t="s">
        <v>1297</v>
      </c>
      <c r="B10546" t="s">
        <v>1298</v>
      </c>
      <c r="C10546" t="s">
        <v>676</v>
      </c>
      <c r="D10546" t="s">
        <v>1415</v>
      </c>
      <c r="E10546" t="s">
        <v>187</v>
      </c>
      <c r="F10546">
        <v>2016</v>
      </c>
      <c r="G10546">
        <v>24.577615999999999</v>
      </c>
    </row>
    <row r="10547" spans="1:7">
      <c r="A10547" t="s">
        <v>1297</v>
      </c>
      <c r="B10547" t="s">
        <v>1298</v>
      </c>
      <c r="C10547" t="s">
        <v>676</v>
      </c>
      <c r="D10547" t="s">
        <v>1415</v>
      </c>
      <c r="E10547" t="s">
        <v>187</v>
      </c>
      <c r="F10547">
        <v>2020</v>
      </c>
      <c r="G10547">
        <v>24.638711000000001</v>
      </c>
    </row>
    <row r="10548" spans="1:7">
      <c r="A10548" t="s">
        <v>1297</v>
      </c>
      <c r="B10548" t="s">
        <v>1298</v>
      </c>
      <c r="C10548" t="s">
        <v>684</v>
      </c>
      <c r="D10548" t="s">
        <v>1415</v>
      </c>
      <c r="E10548" t="s">
        <v>187</v>
      </c>
      <c r="F10548">
        <v>2005</v>
      </c>
      <c r="G10548">
        <v>0.77225999999999995</v>
      </c>
    </row>
    <row r="10549" spans="1:7">
      <c r="A10549" t="s">
        <v>1297</v>
      </c>
      <c r="B10549" t="s">
        <v>1298</v>
      </c>
      <c r="C10549" t="s">
        <v>684</v>
      </c>
      <c r="D10549" t="s">
        <v>1415</v>
      </c>
      <c r="E10549" t="s">
        <v>187</v>
      </c>
      <c r="F10549">
        <v>2010</v>
      </c>
      <c r="G10549">
        <v>1.6728799999999999</v>
      </c>
    </row>
    <row r="10550" spans="1:7">
      <c r="A10550" t="s">
        <v>1297</v>
      </c>
      <c r="B10550" t="s">
        <v>1298</v>
      </c>
      <c r="C10550" t="s">
        <v>684</v>
      </c>
      <c r="D10550" t="s">
        <v>1415</v>
      </c>
      <c r="E10550" t="s">
        <v>187</v>
      </c>
      <c r="F10550">
        <v>2012</v>
      </c>
      <c r="G10550">
        <v>1.2590699999999999</v>
      </c>
    </row>
    <row r="10551" spans="1:7">
      <c r="A10551" t="s">
        <v>1297</v>
      </c>
      <c r="B10551" t="s">
        <v>1298</v>
      </c>
      <c r="C10551" t="s">
        <v>684</v>
      </c>
      <c r="D10551" t="s">
        <v>1415</v>
      </c>
      <c r="E10551" t="s">
        <v>187</v>
      </c>
      <c r="F10551">
        <v>2016</v>
      </c>
      <c r="G10551">
        <v>1.2637799999999999</v>
      </c>
    </row>
    <row r="10552" spans="1:7">
      <c r="A10552" t="s">
        <v>1297</v>
      </c>
      <c r="B10552" t="s">
        <v>1298</v>
      </c>
      <c r="C10552" t="s">
        <v>684</v>
      </c>
      <c r="D10552" t="s">
        <v>1415</v>
      </c>
      <c r="E10552" t="s">
        <v>187</v>
      </c>
      <c r="F10552">
        <v>2020</v>
      </c>
      <c r="G10552">
        <v>1.686159</v>
      </c>
    </row>
    <row r="10553" spans="1:7">
      <c r="A10553" t="s">
        <v>1297</v>
      </c>
      <c r="B10553" t="s">
        <v>1298</v>
      </c>
      <c r="C10553" t="s">
        <v>680</v>
      </c>
      <c r="D10553" t="s">
        <v>1415</v>
      </c>
      <c r="E10553" t="s">
        <v>187</v>
      </c>
      <c r="F10553">
        <v>2005</v>
      </c>
      <c r="G10553">
        <v>6.7874999999999996</v>
      </c>
    </row>
    <row r="10554" spans="1:7">
      <c r="A10554" t="s">
        <v>1297</v>
      </c>
      <c r="B10554" t="s">
        <v>1298</v>
      </c>
      <c r="C10554" t="s">
        <v>680</v>
      </c>
      <c r="D10554" t="s">
        <v>1415</v>
      </c>
      <c r="E10554" t="s">
        <v>187</v>
      </c>
      <c r="F10554">
        <v>2010</v>
      </c>
      <c r="G10554">
        <v>0.76</v>
      </c>
    </row>
    <row r="10555" spans="1:7">
      <c r="A10555" t="s">
        <v>1297</v>
      </c>
      <c r="B10555" t="s">
        <v>1298</v>
      </c>
      <c r="C10555" t="s">
        <v>680</v>
      </c>
      <c r="D10555" t="s">
        <v>1415</v>
      </c>
      <c r="E10555" t="s">
        <v>187</v>
      </c>
      <c r="F10555">
        <v>2012</v>
      </c>
      <c r="G10555">
        <v>0.48</v>
      </c>
    </row>
    <row r="10556" spans="1:7">
      <c r="A10556" t="s">
        <v>1297</v>
      </c>
      <c r="B10556" t="s">
        <v>1298</v>
      </c>
      <c r="C10556" t="s">
        <v>680</v>
      </c>
      <c r="D10556" t="s">
        <v>1415</v>
      </c>
      <c r="E10556" t="s">
        <v>187</v>
      </c>
      <c r="F10556">
        <v>2016</v>
      </c>
      <c r="G10556">
        <v>0.99628000000000005</v>
      </c>
    </row>
    <row r="10557" spans="1:7">
      <c r="A10557" t="s">
        <v>1297</v>
      </c>
      <c r="B10557" t="s">
        <v>1298</v>
      </c>
      <c r="C10557" t="s">
        <v>680</v>
      </c>
      <c r="D10557" t="s">
        <v>1415</v>
      </c>
      <c r="E10557" t="s">
        <v>187</v>
      </c>
      <c r="F10557">
        <v>2020</v>
      </c>
      <c r="G10557">
        <v>1.043086</v>
      </c>
    </row>
    <row r="10558" spans="1:7">
      <c r="A10558" t="s">
        <v>1297</v>
      </c>
      <c r="B10558" t="s">
        <v>1298</v>
      </c>
      <c r="C10558" t="s">
        <v>675</v>
      </c>
      <c r="D10558" t="s">
        <v>1415</v>
      </c>
      <c r="E10558" t="s">
        <v>187</v>
      </c>
      <c r="F10558">
        <v>2005</v>
      </c>
      <c r="G10558">
        <v>6.6627999999999998</v>
      </c>
    </row>
    <row r="10559" spans="1:7">
      <c r="A10559" t="s">
        <v>1297</v>
      </c>
      <c r="B10559" t="s">
        <v>1298</v>
      </c>
      <c r="C10559" t="s">
        <v>675</v>
      </c>
      <c r="D10559" t="s">
        <v>1415</v>
      </c>
      <c r="E10559" t="s">
        <v>187</v>
      </c>
      <c r="F10559">
        <v>2010</v>
      </c>
      <c r="G10559">
        <v>5.3376200000000003</v>
      </c>
    </row>
    <row r="10560" spans="1:7">
      <c r="A10560" t="s">
        <v>1297</v>
      </c>
      <c r="B10560" t="s">
        <v>1298</v>
      </c>
      <c r="C10560" t="s">
        <v>675</v>
      </c>
      <c r="D10560" t="s">
        <v>1415</v>
      </c>
      <c r="E10560" t="s">
        <v>187</v>
      </c>
      <c r="F10560">
        <v>2012</v>
      </c>
      <c r="G10560">
        <v>4.7682260000000003</v>
      </c>
    </row>
    <row r="10561" spans="1:7">
      <c r="A10561" t="s">
        <v>1297</v>
      </c>
      <c r="B10561" t="s">
        <v>1298</v>
      </c>
      <c r="C10561" t="s">
        <v>675</v>
      </c>
      <c r="D10561" t="s">
        <v>1415</v>
      </c>
      <c r="E10561" t="s">
        <v>187</v>
      </c>
      <c r="F10561">
        <v>2016</v>
      </c>
      <c r="G10561">
        <v>4.8839139999999999</v>
      </c>
    </row>
    <row r="10562" spans="1:7">
      <c r="A10562" t="s">
        <v>1297</v>
      </c>
      <c r="B10562" t="s">
        <v>1298</v>
      </c>
      <c r="C10562" t="s">
        <v>675</v>
      </c>
      <c r="D10562" t="s">
        <v>1415</v>
      </c>
      <c r="E10562" t="s">
        <v>187</v>
      </c>
      <c r="F10562">
        <v>2020</v>
      </c>
      <c r="G10562">
        <v>6.1732079999999998</v>
      </c>
    </row>
    <row r="10563" spans="1:7">
      <c r="A10563" t="s">
        <v>1297</v>
      </c>
      <c r="B10563" t="s">
        <v>1298</v>
      </c>
      <c r="C10563" t="s">
        <v>685</v>
      </c>
      <c r="D10563" t="s">
        <v>1415</v>
      </c>
      <c r="E10563" t="s">
        <v>187</v>
      </c>
      <c r="F10563">
        <v>2010</v>
      </c>
      <c r="G10563">
        <v>1.447236</v>
      </c>
    </row>
    <row r="10564" spans="1:7">
      <c r="A10564" t="s">
        <v>1297</v>
      </c>
      <c r="B10564" t="s">
        <v>1298</v>
      </c>
      <c r="C10564" t="s">
        <v>685</v>
      </c>
      <c r="D10564" t="s">
        <v>1415</v>
      </c>
      <c r="E10564" t="s">
        <v>187</v>
      </c>
      <c r="F10564">
        <v>2012</v>
      </c>
      <c r="G10564">
        <v>2.389608</v>
      </c>
    </row>
    <row r="10565" spans="1:7">
      <c r="A10565" t="s">
        <v>1297</v>
      </c>
      <c r="B10565" t="s">
        <v>1298</v>
      </c>
      <c r="C10565" t="s">
        <v>661</v>
      </c>
      <c r="D10565" t="s">
        <v>1415</v>
      </c>
      <c r="E10565" t="s">
        <v>187</v>
      </c>
      <c r="F10565">
        <v>2016</v>
      </c>
      <c r="G10565">
        <v>497.39236899999997</v>
      </c>
    </row>
    <row r="10566" spans="1:7">
      <c r="A10566" t="s">
        <v>1297</v>
      </c>
      <c r="B10566" t="s">
        <v>1298</v>
      </c>
      <c r="C10566" t="s">
        <v>661</v>
      </c>
      <c r="D10566" t="s">
        <v>1415</v>
      </c>
      <c r="E10566" t="s">
        <v>187</v>
      </c>
      <c r="F10566">
        <v>2020</v>
      </c>
      <c r="G10566">
        <v>501.21531499999998</v>
      </c>
    </row>
    <row r="10567" spans="1:7">
      <c r="A10567" t="s">
        <v>1297</v>
      </c>
      <c r="B10567" t="s">
        <v>1298</v>
      </c>
      <c r="C10567" t="s">
        <v>674</v>
      </c>
      <c r="D10567" t="s">
        <v>1415</v>
      </c>
      <c r="E10567" t="s">
        <v>187</v>
      </c>
      <c r="F10567">
        <v>2005</v>
      </c>
      <c r="G10567">
        <v>100.549699</v>
      </c>
    </row>
    <row r="10568" spans="1:7">
      <c r="A10568" t="s">
        <v>1297</v>
      </c>
      <c r="B10568" t="s">
        <v>1298</v>
      </c>
      <c r="C10568" t="s">
        <v>674</v>
      </c>
      <c r="D10568" t="s">
        <v>1415</v>
      </c>
      <c r="E10568" t="s">
        <v>187</v>
      </c>
      <c r="F10568">
        <v>2010</v>
      </c>
      <c r="G10568">
        <v>83.493988999999999</v>
      </c>
    </row>
    <row r="10569" spans="1:7">
      <c r="A10569" t="s">
        <v>1297</v>
      </c>
      <c r="B10569" t="s">
        <v>1298</v>
      </c>
      <c r="C10569" t="s">
        <v>674</v>
      </c>
      <c r="D10569" t="s">
        <v>1415</v>
      </c>
      <c r="E10569" t="s">
        <v>187</v>
      </c>
      <c r="F10569">
        <v>2012</v>
      </c>
      <c r="G10569">
        <v>71.861239999999995</v>
      </c>
    </row>
    <row r="10570" spans="1:7">
      <c r="A10570" t="s">
        <v>1297</v>
      </c>
      <c r="B10570" t="s">
        <v>1298</v>
      </c>
      <c r="C10570" t="s">
        <v>674</v>
      </c>
      <c r="D10570" t="s">
        <v>1415</v>
      </c>
      <c r="E10570" t="s">
        <v>187</v>
      </c>
      <c r="F10570">
        <v>2016</v>
      </c>
      <c r="G10570">
        <v>86.911231000000001</v>
      </c>
    </row>
    <row r="10571" spans="1:7">
      <c r="A10571" t="s">
        <v>1297</v>
      </c>
      <c r="B10571" t="s">
        <v>1298</v>
      </c>
      <c r="C10571" t="s">
        <v>674</v>
      </c>
      <c r="D10571" t="s">
        <v>1415</v>
      </c>
      <c r="E10571" t="s">
        <v>187</v>
      </c>
      <c r="F10571">
        <v>2020</v>
      </c>
      <c r="G10571">
        <v>81.351465000000005</v>
      </c>
    </row>
    <row r="10572" spans="1:7">
      <c r="A10572" t="s">
        <v>1297</v>
      </c>
      <c r="B10572" t="s">
        <v>1298</v>
      </c>
      <c r="C10572" t="s">
        <v>660</v>
      </c>
      <c r="D10572" t="s">
        <v>1415</v>
      </c>
      <c r="E10572" t="s">
        <v>187</v>
      </c>
      <c r="F10572">
        <v>2005</v>
      </c>
      <c r="G10572">
        <v>47.5122</v>
      </c>
    </row>
    <row r="10573" spans="1:7">
      <c r="A10573" t="s">
        <v>1297</v>
      </c>
      <c r="B10573" t="s">
        <v>1298</v>
      </c>
      <c r="C10573" t="s">
        <v>660</v>
      </c>
      <c r="D10573" t="s">
        <v>1415</v>
      </c>
      <c r="E10573" t="s">
        <v>187</v>
      </c>
      <c r="F10573">
        <v>2010</v>
      </c>
      <c r="G10573">
        <v>49.856547999999997</v>
      </c>
    </row>
    <row r="10574" spans="1:7">
      <c r="A10574" t="s">
        <v>1297</v>
      </c>
      <c r="B10574" t="s">
        <v>1298</v>
      </c>
      <c r="C10574" t="s">
        <v>671</v>
      </c>
      <c r="D10574" t="s">
        <v>1415</v>
      </c>
      <c r="E10574" t="s">
        <v>187</v>
      </c>
      <c r="F10574">
        <v>2005</v>
      </c>
      <c r="G10574">
        <v>100.7445</v>
      </c>
    </row>
    <row r="10575" spans="1:7">
      <c r="A10575" t="s">
        <v>1297</v>
      </c>
      <c r="B10575" t="s">
        <v>1298</v>
      </c>
      <c r="C10575" t="s">
        <v>671</v>
      </c>
      <c r="D10575" t="s">
        <v>1415</v>
      </c>
      <c r="E10575" t="s">
        <v>187</v>
      </c>
      <c r="F10575">
        <v>2010</v>
      </c>
      <c r="G10575">
        <v>134.9436</v>
      </c>
    </row>
    <row r="10576" spans="1:7">
      <c r="A10576" t="s">
        <v>1297</v>
      </c>
      <c r="B10576" t="s">
        <v>1298</v>
      </c>
      <c r="C10576" t="s">
        <v>671</v>
      </c>
      <c r="D10576" t="s">
        <v>1415</v>
      </c>
      <c r="E10576" t="s">
        <v>187</v>
      </c>
      <c r="F10576">
        <v>2012</v>
      </c>
      <c r="G10576">
        <v>117.41759999999999</v>
      </c>
    </row>
    <row r="10577" spans="1:7">
      <c r="A10577" t="s">
        <v>1297</v>
      </c>
      <c r="B10577" t="s">
        <v>1298</v>
      </c>
      <c r="C10577" t="s">
        <v>671</v>
      </c>
      <c r="D10577" t="s">
        <v>1415</v>
      </c>
      <c r="E10577" t="s">
        <v>187</v>
      </c>
      <c r="F10577">
        <v>2016</v>
      </c>
      <c r="G10577">
        <v>140.98488</v>
      </c>
    </row>
    <row r="10578" spans="1:7">
      <c r="A10578" t="s">
        <v>1297</v>
      </c>
      <c r="B10578" t="s">
        <v>1298</v>
      </c>
      <c r="C10578" t="s">
        <v>671</v>
      </c>
      <c r="D10578" t="s">
        <v>1415</v>
      </c>
      <c r="E10578" t="s">
        <v>187</v>
      </c>
      <c r="F10578">
        <v>2020</v>
      </c>
      <c r="G10578">
        <v>153.38372799999999</v>
      </c>
    </row>
    <row r="10579" spans="1:7">
      <c r="A10579" t="s">
        <v>1297</v>
      </c>
      <c r="B10579" t="s">
        <v>1298</v>
      </c>
      <c r="C10579" t="s">
        <v>652</v>
      </c>
      <c r="D10579" t="s">
        <v>1415</v>
      </c>
      <c r="E10579" t="s">
        <v>187</v>
      </c>
      <c r="F10579">
        <v>2005</v>
      </c>
      <c r="G10579">
        <v>267.46199999999999</v>
      </c>
    </row>
    <row r="10580" spans="1:7">
      <c r="A10580" t="s">
        <v>1297</v>
      </c>
      <c r="B10580" t="s">
        <v>1298</v>
      </c>
      <c r="C10580" t="s">
        <v>652</v>
      </c>
      <c r="D10580" t="s">
        <v>1415</v>
      </c>
      <c r="E10580" t="s">
        <v>187</v>
      </c>
      <c r="F10580">
        <v>2010</v>
      </c>
      <c r="G10580">
        <v>246.6198</v>
      </c>
    </row>
    <row r="10581" spans="1:7">
      <c r="A10581" t="s">
        <v>1297</v>
      </c>
      <c r="B10581" t="s">
        <v>1298</v>
      </c>
      <c r="C10581" t="s">
        <v>652</v>
      </c>
      <c r="D10581" t="s">
        <v>1415</v>
      </c>
      <c r="E10581" t="s">
        <v>187</v>
      </c>
      <c r="F10581">
        <v>2012</v>
      </c>
      <c r="G10581">
        <v>248.19399999999999</v>
      </c>
    </row>
    <row r="10582" spans="1:7">
      <c r="A10582" t="s">
        <v>1297</v>
      </c>
      <c r="B10582" t="s">
        <v>1298</v>
      </c>
      <c r="C10582" t="s">
        <v>652</v>
      </c>
      <c r="D10582" t="s">
        <v>1415</v>
      </c>
      <c r="E10582" t="s">
        <v>187</v>
      </c>
      <c r="F10582">
        <v>2016</v>
      </c>
      <c r="G10582">
        <v>268.37540000000001</v>
      </c>
    </row>
    <row r="10583" spans="1:7">
      <c r="A10583" t="s">
        <v>1297</v>
      </c>
      <c r="B10583" t="s">
        <v>1298</v>
      </c>
      <c r="C10583" t="s">
        <v>652</v>
      </c>
      <c r="D10583" t="s">
        <v>1415</v>
      </c>
      <c r="E10583" t="s">
        <v>187</v>
      </c>
      <c r="F10583">
        <v>2020</v>
      </c>
      <c r="G10583">
        <v>250.24062000000001</v>
      </c>
    </row>
    <row r="10584" spans="1:7">
      <c r="A10584" t="s">
        <v>1297</v>
      </c>
      <c r="B10584" t="s">
        <v>1298</v>
      </c>
      <c r="C10584" t="s">
        <v>661</v>
      </c>
      <c r="D10584" t="s">
        <v>1415</v>
      </c>
      <c r="E10584" t="s">
        <v>187</v>
      </c>
      <c r="F10584">
        <v>2005</v>
      </c>
      <c r="G10584">
        <v>618.79320299999995</v>
      </c>
    </row>
    <row r="10585" spans="1:7">
      <c r="A10585" t="s">
        <v>1297</v>
      </c>
      <c r="B10585" t="s">
        <v>1298</v>
      </c>
      <c r="C10585" t="s">
        <v>661</v>
      </c>
      <c r="D10585" t="s">
        <v>1415</v>
      </c>
      <c r="E10585" t="s">
        <v>187</v>
      </c>
      <c r="F10585">
        <v>2010</v>
      </c>
      <c r="G10585">
        <v>539.90265399999998</v>
      </c>
    </row>
    <row r="10586" spans="1:7">
      <c r="A10586" t="s">
        <v>1297</v>
      </c>
      <c r="B10586" t="s">
        <v>1298</v>
      </c>
      <c r="C10586" t="s">
        <v>661</v>
      </c>
      <c r="D10586" t="s">
        <v>1415</v>
      </c>
      <c r="E10586" t="s">
        <v>187</v>
      </c>
      <c r="F10586">
        <v>2012</v>
      </c>
      <c r="G10586">
        <v>533.82501200000002</v>
      </c>
    </row>
    <row r="10587" spans="1:7">
      <c r="A10587" t="s">
        <v>1297</v>
      </c>
      <c r="B10587" t="s">
        <v>1298</v>
      </c>
      <c r="C10587" t="s">
        <v>670</v>
      </c>
      <c r="D10587" t="s">
        <v>1415</v>
      </c>
      <c r="E10587" t="s">
        <v>187</v>
      </c>
      <c r="F10587">
        <v>2020</v>
      </c>
      <c r="G10587">
        <v>389.40451400000001</v>
      </c>
    </row>
    <row r="10588" spans="1:7">
      <c r="A10588" t="s">
        <v>1297</v>
      </c>
      <c r="B10588" t="s">
        <v>1298</v>
      </c>
      <c r="C10588" t="s">
        <v>658</v>
      </c>
      <c r="D10588" t="s">
        <v>1415</v>
      </c>
      <c r="E10588" t="s">
        <v>187</v>
      </c>
      <c r="F10588">
        <v>2005</v>
      </c>
      <c r="G10588">
        <v>3.7170000000000001</v>
      </c>
    </row>
    <row r="10589" spans="1:7">
      <c r="A10589" t="s">
        <v>1297</v>
      </c>
      <c r="B10589" t="s">
        <v>1298</v>
      </c>
      <c r="C10589" t="s">
        <v>658</v>
      </c>
      <c r="D10589" t="s">
        <v>1415</v>
      </c>
      <c r="E10589" t="s">
        <v>187</v>
      </c>
      <c r="F10589">
        <v>2010</v>
      </c>
      <c r="G10589">
        <v>3.1320000000000001</v>
      </c>
    </row>
    <row r="10590" spans="1:7">
      <c r="A10590" t="s">
        <v>1297</v>
      </c>
      <c r="B10590" t="s">
        <v>1298</v>
      </c>
      <c r="C10590" t="s">
        <v>658</v>
      </c>
      <c r="D10590" t="s">
        <v>1415</v>
      </c>
      <c r="E10590" t="s">
        <v>187</v>
      </c>
      <c r="F10590">
        <v>2012</v>
      </c>
      <c r="G10590">
        <v>2.4660000000000002</v>
      </c>
    </row>
    <row r="10591" spans="1:7">
      <c r="A10591" t="s">
        <v>1297</v>
      </c>
      <c r="B10591" t="s">
        <v>1298</v>
      </c>
      <c r="C10591" t="s">
        <v>658</v>
      </c>
      <c r="D10591" t="s">
        <v>1415</v>
      </c>
      <c r="E10591" t="s">
        <v>187</v>
      </c>
      <c r="F10591">
        <v>2016</v>
      </c>
      <c r="G10591">
        <v>1.92</v>
      </c>
    </row>
    <row r="10592" spans="1:7">
      <c r="A10592" t="s">
        <v>1297</v>
      </c>
      <c r="B10592" t="s">
        <v>1298</v>
      </c>
      <c r="C10592" t="s">
        <v>658</v>
      </c>
      <c r="D10592" t="s">
        <v>1415</v>
      </c>
      <c r="E10592" t="s">
        <v>187</v>
      </c>
      <c r="F10592">
        <v>2020</v>
      </c>
      <c r="G10592">
        <v>2.4365999999999999</v>
      </c>
    </row>
    <row r="10593" spans="1:7">
      <c r="A10593" t="s">
        <v>1297</v>
      </c>
      <c r="B10593" t="s">
        <v>1298</v>
      </c>
      <c r="C10593" t="s">
        <v>670</v>
      </c>
      <c r="D10593" t="s">
        <v>1415</v>
      </c>
      <c r="E10593" t="s">
        <v>187</v>
      </c>
      <c r="F10593">
        <v>2005</v>
      </c>
      <c r="G10593">
        <v>468.01698800000003</v>
      </c>
    </row>
    <row r="10594" spans="1:7">
      <c r="A10594" t="s">
        <v>1297</v>
      </c>
      <c r="B10594" t="s">
        <v>1298</v>
      </c>
      <c r="C10594" t="s">
        <v>670</v>
      </c>
      <c r="D10594" t="s">
        <v>1415</v>
      </c>
      <c r="E10594" t="s">
        <v>187</v>
      </c>
      <c r="F10594">
        <v>2010</v>
      </c>
      <c r="G10594">
        <v>465.27047399999998</v>
      </c>
    </row>
    <row r="10595" spans="1:7">
      <c r="A10595" t="s">
        <v>1297</v>
      </c>
      <c r="B10595" t="s">
        <v>1298</v>
      </c>
      <c r="C10595" t="s">
        <v>670</v>
      </c>
      <c r="D10595" t="s">
        <v>1415</v>
      </c>
      <c r="E10595" t="s">
        <v>187</v>
      </c>
      <c r="F10595">
        <v>2012</v>
      </c>
      <c r="G10595">
        <v>442.65026</v>
      </c>
    </row>
    <row r="10596" spans="1:7">
      <c r="A10596" t="s">
        <v>1297</v>
      </c>
      <c r="B10596" t="s">
        <v>1298</v>
      </c>
      <c r="C10596" t="s">
        <v>670</v>
      </c>
      <c r="D10596" t="s">
        <v>1415</v>
      </c>
      <c r="E10596" t="s">
        <v>187</v>
      </c>
      <c r="F10596">
        <v>2016</v>
      </c>
      <c r="G10596">
        <v>437.57820800000002</v>
      </c>
    </row>
    <row r="10597" spans="1:7">
      <c r="A10597" t="s">
        <v>1297</v>
      </c>
      <c r="B10597" t="s">
        <v>1298</v>
      </c>
      <c r="C10597" t="s">
        <v>1299</v>
      </c>
      <c r="D10597" t="s">
        <v>1415</v>
      </c>
      <c r="E10597" t="s">
        <v>187</v>
      </c>
      <c r="F10597">
        <v>2005</v>
      </c>
      <c r="G10597">
        <v>75.790800000000004</v>
      </c>
    </row>
    <row r="10598" spans="1:7">
      <c r="A10598" t="s">
        <v>1297</v>
      </c>
      <c r="B10598" t="s">
        <v>1298</v>
      </c>
      <c r="C10598" t="s">
        <v>1299</v>
      </c>
      <c r="D10598" t="s">
        <v>1415</v>
      </c>
      <c r="E10598" t="s">
        <v>187</v>
      </c>
      <c r="F10598">
        <v>2010</v>
      </c>
      <c r="G10598">
        <v>40.321570000000001</v>
      </c>
    </row>
    <row r="10599" spans="1:7">
      <c r="A10599" t="s">
        <v>1297</v>
      </c>
      <c r="B10599" t="s">
        <v>1298</v>
      </c>
      <c r="C10599" t="s">
        <v>1299</v>
      </c>
      <c r="D10599" t="s">
        <v>1415</v>
      </c>
      <c r="E10599" t="s">
        <v>187</v>
      </c>
      <c r="F10599">
        <v>2012</v>
      </c>
      <c r="G10599">
        <v>34.196759</v>
      </c>
    </row>
    <row r="10600" spans="1:7">
      <c r="A10600" t="s">
        <v>1297</v>
      </c>
      <c r="B10600" t="s">
        <v>1298</v>
      </c>
      <c r="C10600" t="s">
        <v>1299</v>
      </c>
      <c r="D10600" t="s">
        <v>1415</v>
      </c>
      <c r="E10600" t="s">
        <v>187</v>
      </c>
      <c r="F10600">
        <v>2016</v>
      </c>
      <c r="G10600">
        <v>26.874127999999999</v>
      </c>
    </row>
    <row r="10601" spans="1:7">
      <c r="A10601" t="s">
        <v>1297</v>
      </c>
      <c r="B10601" t="s">
        <v>1298</v>
      </c>
      <c r="C10601" t="s">
        <v>1299</v>
      </c>
      <c r="D10601" t="s">
        <v>1415</v>
      </c>
      <c r="E10601" t="s">
        <v>187</v>
      </c>
      <c r="F10601">
        <v>2020</v>
      </c>
      <c r="G10601">
        <v>33.706181999999998</v>
      </c>
    </row>
    <row r="10602" spans="1:7">
      <c r="A10602" t="s">
        <v>1297</v>
      </c>
      <c r="B10602" t="s">
        <v>1298</v>
      </c>
      <c r="C10602" t="s">
        <v>659</v>
      </c>
      <c r="D10602" t="s">
        <v>1415</v>
      </c>
      <c r="E10602" t="s">
        <v>187</v>
      </c>
      <c r="F10602">
        <v>2005</v>
      </c>
      <c r="G10602">
        <v>333.03820000000002</v>
      </c>
    </row>
    <row r="10603" spans="1:7">
      <c r="A10603" t="s">
        <v>1297</v>
      </c>
      <c r="B10603" t="s">
        <v>1298</v>
      </c>
      <c r="C10603" t="s">
        <v>659</v>
      </c>
      <c r="D10603" t="s">
        <v>1415</v>
      </c>
      <c r="E10603" t="s">
        <v>187</v>
      </c>
      <c r="F10603">
        <v>2010</v>
      </c>
      <c r="G10603">
        <v>278.00799999999998</v>
      </c>
    </row>
    <row r="10604" spans="1:7">
      <c r="A10604" t="s">
        <v>1297</v>
      </c>
      <c r="B10604" t="s">
        <v>1298</v>
      </c>
      <c r="C10604" t="s">
        <v>659</v>
      </c>
      <c r="D10604" t="s">
        <v>1415</v>
      </c>
      <c r="E10604" t="s">
        <v>187</v>
      </c>
      <c r="F10604">
        <v>2012</v>
      </c>
      <c r="G10604">
        <v>238.1574</v>
      </c>
    </row>
    <row r="10605" spans="1:7">
      <c r="A10605" t="s">
        <v>1297</v>
      </c>
      <c r="B10605" t="s">
        <v>1298</v>
      </c>
      <c r="C10605" t="s">
        <v>659</v>
      </c>
      <c r="D10605" t="s">
        <v>1415</v>
      </c>
      <c r="E10605" t="s">
        <v>187</v>
      </c>
      <c r="F10605">
        <v>2016</v>
      </c>
      <c r="G10605">
        <v>188.04329999999999</v>
      </c>
    </row>
    <row r="10606" spans="1:7">
      <c r="A10606" t="s">
        <v>1297</v>
      </c>
      <c r="B10606" t="s">
        <v>1298</v>
      </c>
      <c r="C10606" t="s">
        <v>659</v>
      </c>
      <c r="D10606" t="s">
        <v>1415</v>
      </c>
      <c r="E10606" t="s">
        <v>187</v>
      </c>
      <c r="F10606">
        <v>2020</v>
      </c>
      <c r="G10606">
        <v>203.10249999999999</v>
      </c>
    </row>
    <row r="10607" spans="1:7">
      <c r="A10607" t="s">
        <v>1297</v>
      </c>
      <c r="B10607" t="s">
        <v>1298</v>
      </c>
      <c r="C10607" t="s">
        <v>677</v>
      </c>
      <c r="D10607" t="s">
        <v>1415</v>
      </c>
      <c r="E10607" t="s">
        <v>187</v>
      </c>
      <c r="F10607">
        <v>2005</v>
      </c>
      <c r="G10607">
        <v>443.92046299999998</v>
      </c>
    </row>
    <row r="10608" spans="1:7">
      <c r="A10608" t="s">
        <v>1297</v>
      </c>
      <c r="B10608" t="s">
        <v>1298</v>
      </c>
      <c r="C10608" t="s">
        <v>677</v>
      </c>
      <c r="D10608" t="s">
        <v>1415</v>
      </c>
      <c r="E10608" t="s">
        <v>187</v>
      </c>
      <c r="F10608">
        <v>2010</v>
      </c>
      <c r="G10608">
        <v>298.69381800000002</v>
      </c>
    </row>
    <row r="10609" spans="1:7">
      <c r="A10609" t="s">
        <v>1297</v>
      </c>
      <c r="B10609" t="s">
        <v>1298</v>
      </c>
      <c r="C10609" t="s">
        <v>677</v>
      </c>
      <c r="D10609" t="s">
        <v>1415</v>
      </c>
      <c r="E10609" t="s">
        <v>187</v>
      </c>
      <c r="F10609">
        <v>2012</v>
      </c>
      <c r="G10609">
        <v>257.43521299999998</v>
      </c>
    </row>
    <row r="10610" spans="1:7">
      <c r="A10610" t="s">
        <v>1297</v>
      </c>
      <c r="B10610" t="s">
        <v>1298</v>
      </c>
      <c r="C10610" t="s">
        <v>289</v>
      </c>
      <c r="D10610" t="s">
        <v>1416</v>
      </c>
      <c r="E10610" t="s">
        <v>187</v>
      </c>
      <c r="F10610">
        <v>2016</v>
      </c>
      <c r="G10610">
        <v>7.0663600000000004</v>
      </c>
    </row>
    <row r="10611" spans="1:7">
      <c r="A10611" t="s">
        <v>1297</v>
      </c>
      <c r="B10611" t="s">
        <v>1298</v>
      </c>
      <c r="C10611" t="s">
        <v>289</v>
      </c>
      <c r="D10611" t="s">
        <v>1416</v>
      </c>
      <c r="E10611" t="s">
        <v>187</v>
      </c>
      <c r="F10611">
        <v>2020</v>
      </c>
      <c r="G10611">
        <v>7.384277</v>
      </c>
    </row>
    <row r="10612" spans="1:7">
      <c r="A10612" t="s">
        <v>1297</v>
      </c>
      <c r="B10612" t="s">
        <v>1298</v>
      </c>
      <c r="C10612" t="s">
        <v>1300</v>
      </c>
      <c r="D10612" t="s">
        <v>1416</v>
      </c>
      <c r="E10612" t="s">
        <v>187</v>
      </c>
      <c r="F10612">
        <v>2010</v>
      </c>
      <c r="G10612">
        <v>2.6381000000000001</v>
      </c>
    </row>
    <row r="10613" spans="1:7">
      <c r="A10613" t="s">
        <v>1297</v>
      </c>
      <c r="B10613" t="s">
        <v>1298</v>
      </c>
      <c r="C10613" t="s">
        <v>660</v>
      </c>
      <c r="D10613" t="s">
        <v>1416</v>
      </c>
      <c r="E10613" t="s">
        <v>187</v>
      </c>
      <c r="F10613">
        <v>2020</v>
      </c>
      <c r="G10613">
        <v>13.570741999999999</v>
      </c>
    </row>
    <row r="10614" spans="1:7">
      <c r="A10614" t="s">
        <v>1297</v>
      </c>
      <c r="B10614" t="s">
        <v>1298</v>
      </c>
      <c r="C10614" t="s">
        <v>669</v>
      </c>
      <c r="D10614" t="s">
        <v>1416</v>
      </c>
      <c r="E10614" t="s">
        <v>187</v>
      </c>
      <c r="F10614">
        <v>2005</v>
      </c>
      <c r="G10614">
        <v>0.215</v>
      </c>
    </row>
    <row r="10615" spans="1:7">
      <c r="A10615" t="s">
        <v>1297</v>
      </c>
      <c r="B10615" t="s">
        <v>1298</v>
      </c>
      <c r="C10615" t="s">
        <v>669</v>
      </c>
      <c r="D10615" t="s">
        <v>1416</v>
      </c>
      <c r="E10615" t="s">
        <v>187</v>
      </c>
      <c r="F10615">
        <v>2010</v>
      </c>
      <c r="G10615">
        <v>0.215</v>
      </c>
    </row>
    <row r="10616" spans="1:7">
      <c r="A10616" t="s">
        <v>1297</v>
      </c>
      <c r="B10616" t="s">
        <v>1298</v>
      </c>
      <c r="C10616" t="s">
        <v>669</v>
      </c>
      <c r="D10616" t="s">
        <v>1416</v>
      </c>
      <c r="E10616" t="s">
        <v>187</v>
      </c>
      <c r="F10616">
        <v>2012</v>
      </c>
      <c r="G10616">
        <v>0.129</v>
      </c>
    </row>
    <row r="10617" spans="1:7">
      <c r="A10617" t="s">
        <v>1297</v>
      </c>
      <c r="B10617" t="s">
        <v>1298</v>
      </c>
      <c r="C10617" t="s">
        <v>669</v>
      </c>
      <c r="D10617" t="s">
        <v>1416</v>
      </c>
      <c r="E10617" t="s">
        <v>187</v>
      </c>
      <c r="F10617">
        <v>2016</v>
      </c>
      <c r="G10617">
        <v>8.5999999999999993E-2</v>
      </c>
    </row>
    <row r="10618" spans="1:7">
      <c r="A10618" t="s">
        <v>1297</v>
      </c>
      <c r="B10618" t="s">
        <v>1298</v>
      </c>
      <c r="C10618" t="s">
        <v>669</v>
      </c>
      <c r="D10618" t="s">
        <v>1416</v>
      </c>
      <c r="E10618" t="s">
        <v>187</v>
      </c>
      <c r="F10618">
        <v>2020</v>
      </c>
      <c r="G10618">
        <v>0.17383599999999999</v>
      </c>
    </row>
    <row r="10619" spans="1:7">
      <c r="A10619" t="s">
        <v>1297</v>
      </c>
      <c r="B10619" t="s">
        <v>1298</v>
      </c>
      <c r="C10619" t="s">
        <v>670</v>
      </c>
      <c r="D10619" t="s">
        <v>1416</v>
      </c>
      <c r="E10619" t="s">
        <v>187</v>
      </c>
      <c r="F10619">
        <v>2005</v>
      </c>
      <c r="G10619">
        <v>16.369351999999999</v>
      </c>
    </row>
    <row r="10620" spans="1:7">
      <c r="A10620" t="s">
        <v>1297</v>
      </c>
      <c r="B10620" t="s">
        <v>1298</v>
      </c>
      <c r="C10620" t="s">
        <v>670</v>
      </c>
      <c r="D10620" t="s">
        <v>1416</v>
      </c>
      <c r="E10620" t="s">
        <v>187</v>
      </c>
      <c r="F10620">
        <v>2010</v>
      </c>
      <c r="G10620">
        <v>16.448647999999999</v>
      </c>
    </row>
    <row r="10621" spans="1:7">
      <c r="A10621" t="s">
        <v>1297</v>
      </c>
      <c r="B10621" t="s">
        <v>1298</v>
      </c>
      <c r="C10621" t="s">
        <v>670</v>
      </c>
      <c r="D10621" t="s">
        <v>1416</v>
      </c>
      <c r="E10621" t="s">
        <v>187</v>
      </c>
      <c r="F10621">
        <v>2012</v>
      </c>
      <c r="G10621">
        <v>15.305488</v>
      </c>
    </row>
    <row r="10622" spans="1:7">
      <c r="A10622" t="s">
        <v>1297</v>
      </c>
      <c r="B10622" t="s">
        <v>1298</v>
      </c>
      <c r="C10622" t="s">
        <v>670</v>
      </c>
      <c r="D10622" t="s">
        <v>1416</v>
      </c>
      <c r="E10622" t="s">
        <v>187</v>
      </c>
      <c r="F10622">
        <v>2016</v>
      </c>
      <c r="G10622">
        <v>16.590114</v>
      </c>
    </row>
    <row r="10623" spans="1:7">
      <c r="A10623" t="s">
        <v>1297</v>
      </c>
      <c r="B10623" t="s">
        <v>1298</v>
      </c>
      <c r="C10623" t="s">
        <v>670</v>
      </c>
      <c r="D10623" t="s">
        <v>1416</v>
      </c>
      <c r="E10623" t="s">
        <v>187</v>
      </c>
      <c r="F10623">
        <v>2020</v>
      </c>
      <c r="G10623">
        <v>17.438790000000001</v>
      </c>
    </row>
    <row r="10624" spans="1:7">
      <c r="A10624" t="s">
        <v>1297</v>
      </c>
      <c r="B10624" t="s">
        <v>1298</v>
      </c>
      <c r="C10624" t="s">
        <v>668</v>
      </c>
      <c r="D10624" t="s">
        <v>1416</v>
      </c>
      <c r="E10624" t="s">
        <v>187</v>
      </c>
      <c r="F10624">
        <v>2005</v>
      </c>
      <c r="G10624">
        <v>3.3157000000000001</v>
      </c>
    </row>
    <row r="10625" spans="1:7">
      <c r="A10625" t="s">
        <v>1297</v>
      </c>
      <c r="B10625" t="s">
        <v>1298</v>
      </c>
      <c r="C10625" t="s">
        <v>668</v>
      </c>
      <c r="D10625" t="s">
        <v>1416</v>
      </c>
      <c r="E10625" t="s">
        <v>187</v>
      </c>
      <c r="F10625">
        <v>2010</v>
      </c>
      <c r="G10625">
        <v>4.0365500000000001</v>
      </c>
    </row>
    <row r="10626" spans="1:7">
      <c r="A10626" t="s">
        <v>1297</v>
      </c>
      <c r="B10626" t="s">
        <v>1298</v>
      </c>
      <c r="C10626" t="s">
        <v>668</v>
      </c>
      <c r="D10626" t="s">
        <v>1416</v>
      </c>
      <c r="E10626" t="s">
        <v>187</v>
      </c>
      <c r="F10626">
        <v>2012</v>
      </c>
      <c r="G10626">
        <v>3.9575800000000001</v>
      </c>
    </row>
    <row r="10627" spans="1:7">
      <c r="A10627" t="s">
        <v>1297</v>
      </c>
      <c r="B10627" t="s">
        <v>1298</v>
      </c>
      <c r="C10627" t="s">
        <v>668</v>
      </c>
      <c r="D10627" t="s">
        <v>1416</v>
      </c>
      <c r="E10627" t="s">
        <v>187</v>
      </c>
      <c r="F10627">
        <v>2016</v>
      </c>
      <c r="G10627">
        <v>4.5979799999999997</v>
      </c>
    </row>
    <row r="10628" spans="1:7">
      <c r="A10628" t="s">
        <v>1297</v>
      </c>
      <c r="B10628" t="s">
        <v>1298</v>
      </c>
      <c r="C10628" t="s">
        <v>668</v>
      </c>
      <c r="D10628" t="s">
        <v>1416</v>
      </c>
      <c r="E10628" t="s">
        <v>187</v>
      </c>
      <c r="F10628">
        <v>2020</v>
      </c>
      <c r="G10628">
        <v>5.6829190000000001</v>
      </c>
    </row>
    <row r="10629" spans="1:7">
      <c r="A10629" t="s">
        <v>1297</v>
      </c>
      <c r="B10629" t="s">
        <v>1298</v>
      </c>
      <c r="C10629" t="s">
        <v>677</v>
      </c>
      <c r="D10629" t="s">
        <v>1416</v>
      </c>
      <c r="E10629" t="s">
        <v>187</v>
      </c>
      <c r="F10629">
        <v>2005</v>
      </c>
      <c r="G10629">
        <v>14.396390999999999</v>
      </c>
    </row>
    <row r="10630" spans="1:7">
      <c r="A10630" t="s">
        <v>1297</v>
      </c>
      <c r="B10630" t="s">
        <v>1298</v>
      </c>
      <c r="C10630" t="s">
        <v>677</v>
      </c>
      <c r="D10630" t="s">
        <v>1416</v>
      </c>
      <c r="E10630" t="s">
        <v>187</v>
      </c>
      <c r="F10630">
        <v>2010</v>
      </c>
      <c r="G10630">
        <v>12.21034</v>
      </c>
    </row>
    <row r="10631" spans="1:7">
      <c r="A10631" t="s">
        <v>1297</v>
      </c>
      <c r="B10631" t="s">
        <v>1298</v>
      </c>
      <c r="C10631" t="s">
        <v>677</v>
      </c>
      <c r="D10631" t="s">
        <v>1416</v>
      </c>
      <c r="E10631" t="s">
        <v>187</v>
      </c>
      <c r="F10631">
        <v>2012</v>
      </c>
      <c r="G10631">
        <v>14.265007000000001</v>
      </c>
    </row>
    <row r="10632" spans="1:7">
      <c r="A10632" t="s">
        <v>1297</v>
      </c>
      <c r="B10632" t="s">
        <v>1298</v>
      </c>
      <c r="C10632" t="s">
        <v>677</v>
      </c>
      <c r="D10632" t="s">
        <v>1416</v>
      </c>
      <c r="E10632" t="s">
        <v>187</v>
      </c>
      <c r="F10632">
        <v>2016</v>
      </c>
      <c r="G10632">
        <v>32.175770999999997</v>
      </c>
    </row>
    <row r="10633" spans="1:7">
      <c r="A10633" t="s">
        <v>1297</v>
      </c>
      <c r="B10633" t="s">
        <v>1298</v>
      </c>
      <c r="C10633" t="s">
        <v>677</v>
      </c>
      <c r="D10633" t="s">
        <v>1416</v>
      </c>
      <c r="E10633" t="s">
        <v>187</v>
      </c>
      <c r="F10633">
        <v>2020</v>
      </c>
      <c r="G10633">
        <v>31.012084000000002</v>
      </c>
    </row>
    <row r="10634" spans="1:7">
      <c r="A10634" t="s">
        <v>1297</v>
      </c>
      <c r="B10634" t="s">
        <v>1298</v>
      </c>
      <c r="C10634" t="s">
        <v>289</v>
      </c>
      <c r="D10634" t="s">
        <v>1416</v>
      </c>
      <c r="E10634" t="s">
        <v>187</v>
      </c>
      <c r="F10634">
        <v>2005</v>
      </c>
      <c r="G10634">
        <v>7.8319599999999996</v>
      </c>
    </row>
    <row r="10635" spans="1:7">
      <c r="A10635" t="s">
        <v>1297</v>
      </c>
      <c r="B10635" t="s">
        <v>1298</v>
      </c>
      <c r="C10635" t="s">
        <v>289</v>
      </c>
      <c r="D10635" t="s">
        <v>1416</v>
      </c>
      <c r="E10635" t="s">
        <v>187</v>
      </c>
      <c r="F10635">
        <v>2010</v>
      </c>
      <c r="G10635">
        <v>7.8769799999999996</v>
      </c>
    </row>
    <row r="10636" spans="1:7">
      <c r="A10636" t="s">
        <v>1297</v>
      </c>
      <c r="B10636" t="s">
        <v>1298</v>
      </c>
      <c r="C10636" t="s">
        <v>289</v>
      </c>
      <c r="D10636" t="s">
        <v>1416</v>
      </c>
      <c r="E10636" t="s">
        <v>187</v>
      </c>
      <c r="F10636">
        <v>2012</v>
      </c>
      <c r="G10636">
        <v>7.3644600000000002</v>
      </c>
    </row>
    <row r="10637" spans="1:7">
      <c r="A10637" t="s">
        <v>1297</v>
      </c>
      <c r="B10637" t="s">
        <v>1298</v>
      </c>
      <c r="C10637" t="s">
        <v>653</v>
      </c>
      <c r="D10637" t="s">
        <v>1416</v>
      </c>
      <c r="E10637" t="s">
        <v>187</v>
      </c>
      <c r="F10637">
        <v>2005</v>
      </c>
      <c r="G10637">
        <v>10.51075</v>
      </c>
    </row>
    <row r="10638" spans="1:7">
      <c r="A10638" t="s">
        <v>1297</v>
      </c>
      <c r="B10638" t="s">
        <v>1298</v>
      </c>
      <c r="C10638" t="s">
        <v>653</v>
      </c>
      <c r="D10638" t="s">
        <v>1416</v>
      </c>
      <c r="E10638" t="s">
        <v>187</v>
      </c>
      <c r="F10638">
        <v>2010</v>
      </c>
      <c r="G10638">
        <v>5.1717000000000004</v>
      </c>
    </row>
    <row r="10639" spans="1:7">
      <c r="A10639" t="s">
        <v>1297</v>
      </c>
      <c r="B10639" t="s">
        <v>1298</v>
      </c>
      <c r="C10639" t="s">
        <v>653</v>
      </c>
      <c r="D10639" t="s">
        <v>1416</v>
      </c>
      <c r="E10639" t="s">
        <v>187</v>
      </c>
      <c r="F10639">
        <v>2012</v>
      </c>
      <c r="G10639">
        <v>5.6333000000000002</v>
      </c>
    </row>
    <row r="10640" spans="1:7">
      <c r="A10640" t="s">
        <v>1297</v>
      </c>
      <c r="B10640" t="s">
        <v>1298</v>
      </c>
      <c r="C10640" t="s">
        <v>653</v>
      </c>
      <c r="D10640" t="s">
        <v>1416</v>
      </c>
      <c r="E10640" t="s">
        <v>187</v>
      </c>
      <c r="F10640">
        <v>2016</v>
      </c>
      <c r="G10640">
        <v>4.9565000000000001</v>
      </c>
    </row>
    <row r="10641" spans="1:7">
      <c r="A10641" t="s">
        <v>1297</v>
      </c>
      <c r="B10641" t="s">
        <v>1298</v>
      </c>
      <c r="C10641" t="s">
        <v>653</v>
      </c>
      <c r="D10641" t="s">
        <v>1416</v>
      </c>
      <c r="E10641" t="s">
        <v>187</v>
      </c>
      <c r="F10641">
        <v>2020</v>
      </c>
      <c r="G10641">
        <v>5.2202529999999996</v>
      </c>
    </row>
    <row r="10642" spans="1:7">
      <c r="A10642" t="s">
        <v>1297</v>
      </c>
      <c r="B10642" t="s">
        <v>1298</v>
      </c>
      <c r="C10642" t="s">
        <v>664</v>
      </c>
      <c r="D10642" t="s">
        <v>1416</v>
      </c>
      <c r="E10642" t="s">
        <v>187</v>
      </c>
      <c r="F10642">
        <v>2005</v>
      </c>
      <c r="G10642">
        <v>11.757602</v>
      </c>
    </row>
    <row r="10643" spans="1:7">
      <c r="A10643" t="s">
        <v>1297</v>
      </c>
      <c r="B10643" t="s">
        <v>1298</v>
      </c>
      <c r="C10643" t="s">
        <v>664</v>
      </c>
      <c r="D10643" t="s">
        <v>1416</v>
      </c>
      <c r="E10643" t="s">
        <v>187</v>
      </c>
      <c r="F10643">
        <v>2010</v>
      </c>
      <c r="G10643">
        <v>9.2900860000000005</v>
      </c>
    </row>
    <row r="10644" spans="1:7">
      <c r="A10644" t="s">
        <v>1297</v>
      </c>
      <c r="B10644" t="s">
        <v>1298</v>
      </c>
      <c r="C10644" t="s">
        <v>664</v>
      </c>
      <c r="D10644" t="s">
        <v>1416</v>
      </c>
      <c r="E10644" t="s">
        <v>187</v>
      </c>
      <c r="F10644">
        <v>2012</v>
      </c>
      <c r="G10644">
        <v>8.4815690000000004</v>
      </c>
    </row>
    <row r="10645" spans="1:7">
      <c r="A10645" t="s">
        <v>1297</v>
      </c>
      <c r="B10645" t="s">
        <v>1298</v>
      </c>
      <c r="C10645" t="s">
        <v>664</v>
      </c>
      <c r="D10645" t="s">
        <v>1416</v>
      </c>
      <c r="E10645" t="s">
        <v>187</v>
      </c>
      <c r="F10645">
        <v>2016</v>
      </c>
      <c r="G10645">
        <v>6.6665299999999998</v>
      </c>
    </row>
    <row r="10646" spans="1:7">
      <c r="A10646" t="s">
        <v>1297</v>
      </c>
      <c r="B10646" t="s">
        <v>1298</v>
      </c>
      <c r="C10646" t="s">
        <v>664</v>
      </c>
      <c r="D10646" t="s">
        <v>1416</v>
      </c>
      <c r="E10646" t="s">
        <v>187</v>
      </c>
      <c r="F10646">
        <v>2020</v>
      </c>
      <c r="G10646">
        <v>7.3463799999999999</v>
      </c>
    </row>
    <row r="10647" spans="1:7">
      <c r="A10647" t="s">
        <v>1297</v>
      </c>
      <c r="B10647" t="s">
        <v>1298</v>
      </c>
      <c r="C10647" t="s">
        <v>672</v>
      </c>
      <c r="D10647" t="s">
        <v>1416</v>
      </c>
      <c r="E10647" t="s">
        <v>187</v>
      </c>
      <c r="F10647">
        <v>2010</v>
      </c>
      <c r="G10647">
        <v>10.717750000000001</v>
      </c>
    </row>
    <row r="10648" spans="1:7">
      <c r="A10648" t="s">
        <v>1297</v>
      </c>
      <c r="B10648" t="s">
        <v>1298</v>
      </c>
      <c r="C10648" t="s">
        <v>672</v>
      </c>
      <c r="D10648" t="s">
        <v>1416</v>
      </c>
      <c r="E10648" t="s">
        <v>187</v>
      </c>
      <c r="F10648">
        <v>2012</v>
      </c>
      <c r="G10648">
        <v>9.6907499999999995</v>
      </c>
    </row>
    <row r="10649" spans="1:7">
      <c r="A10649" t="s">
        <v>1297</v>
      </c>
      <c r="B10649" t="s">
        <v>1298</v>
      </c>
      <c r="C10649" t="s">
        <v>672</v>
      </c>
      <c r="D10649" t="s">
        <v>1416</v>
      </c>
      <c r="E10649" t="s">
        <v>187</v>
      </c>
      <c r="F10649">
        <v>2016</v>
      </c>
      <c r="G10649">
        <v>11.49075</v>
      </c>
    </row>
    <row r="10650" spans="1:7">
      <c r="A10650" t="s">
        <v>1297</v>
      </c>
      <c r="B10650" t="s">
        <v>1298</v>
      </c>
      <c r="C10650" t="s">
        <v>672</v>
      </c>
      <c r="D10650" t="s">
        <v>1416</v>
      </c>
      <c r="E10650" t="s">
        <v>187</v>
      </c>
      <c r="F10650">
        <v>2020</v>
      </c>
      <c r="G10650">
        <v>11.960924</v>
      </c>
    </row>
    <row r="10651" spans="1:7">
      <c r="A10651" t="s">
        <v>1297</v>
      </c>
      <c r="B10651" t="s">
        <v>1298</v>
      </c>
      <c r="C10651" t="s">
        <v>680</v>
      </c>
      <c r="D10651" t="s">
        <v>1416</v>
      </c>
      <c r="E10651" t="s">
        <v>187</v>
      </c>
      <c r="F10651">
        <v>2005</v>
      </c>
      <c r="G10651">
        <v>0.215</v>
      </c>
    </row>
    <row r="10652" spans="1:7">
      <c r="A10652" t="s">
        <v>1297</v>
      </c>
      <c r="B10652" t="s">
        <v>1298</v>
      </c>
      <c r="C10652" t="s">
        <v>680</v>
      </c>
      <c r="D10652" t="s">
        <v>1416</v>
      </c>
      <c r="E10652" t="s">
        <v>187</v>
      </c>
      <c r="F10652">
        <v>2010</v>
      </c>
      <c r="G10652">
        <v>0.215</v>
      </c>
    </row>
    <row r="10653" spans="1:7">
      <c r="A10653" t="s">
        <v>1297</v>
      </c>
      <c r="B10653" t="s">
        <v>1298</v>
      </c>
      <c r="C10653" t="s">
        <v>680</v>
      </c>
      <c r="D10653" t="s">
        <v>1416</v>
      </c>
      <c r="E10653" t="s">
        <v>187</v>
      </c>
      <c r="F10653">
        <v>2012</v>
      </c>
      <c r="G10653">
        <v>0.215</v>
      </c>
    </row>
    <row r="10654" spans="1:7">
      <c r="A10654" t="s">
        <v>1297</v>
      </c>
      <c r="B10654" t="s">
        <v>1298</v>
      </c>
      <c r="C10654" t="s">
        <v>680</v>
      </c>
      <c r="D10654" t="s">
        <v>1416</v>
      </c>
      <c r="E10654" t="s">
        <v>187</v>
      </c>
      <c r="F10654">
        <v>2016</v>
      </c>
      <c r="G10654">
        <v>0.25807999999999998</v>
      </c>
    </row>
    <row r="10655" spans="1:7">
      <c r="A10655" t="s">
        <v>1297</v>
      </c>
      <c r="B10655" t="s">
        <v>1298</v>
      </c>
      <c r="C10655" t="s">
        <v>680</v>
      </c>
      <c r="D10655" t="s">
        <v>1416</v>
      </c>
      <c r="E10655" t="s">
        <v>187</v>
      </c>
      <c r="F10655">
        <v>2020</v>
      </c>
      <c r="G10655">
        <v>0.31937399999999999</v>
      </c>
    </row>
    <row r="10656" spans="1:7">
      <c r="A10656" t="s">
        <v>1297</v>
      </c>
      <c r="B10656" t="s">
        <v>1298</v>
      </c>
      <c r="C10656" t="s">
        <v>686</v>
      </c>
      <c r="D10656" t="s">
        <v>1416</v>
      </c>
      <c r="E10656" t="s">
        <v>187</v>
      </c>
      <c r="F10656">
        <v>2010</v>
      </c>
      <c r="G10656">
        <v>2.5048400000000002</v>
      </c>
    </row>
    <row r="10657" spans="1:7">
      <c r="A10657" t="s">
        <v>1297</v>
      </c>
      <c r="B10657" t="s">
        <v>1298</v>
      </c>
      <c r="C10657" t="s">
        <v>686</v>
      </c>
      <c r="D10657" t="s">
        <v>1416</v>
      </c>
      <c r="E10657" t="s">
        <v>187</v>
      </c>
      <c r="F10657">
        <v>2012</v>
      </c>
      <c r="G10657">
        <v>5.6117730000000003</v>
      </c>
    </row>
    <row r="10658" spans="1:7">
      <c r="A10658" t="s">
        <v>1297</v>
      </c>
      <c r="B10658" t="s">
        <v>1298</v>
      </c>
      <c r="C10658" t="s">
        <v>686</v>
      </c>
      <c r="D10658" t="s">
        <v>1416</v>
      </c>
      <c r="E10658" t="s">
        <v>187</v>
      </c>
      <c r="F10658">
        <v>2016</v>
      </c>
      <c r="G10658">
        <v>5.7171519999999996</v>
      </c>
    </row>
    <row r="10659" spans="1:7">
      <c r="A10659" t="s">
        <v>1297</v>
      </c>
      <c r="B10659" t="s">
        <v>1298</v>
      </c>
      <c r="C10659" t="s">
        <v>686</v>
      </c>
      <c r="D10659" t="s">
        <v>1416</v>
      </c>
      <c r="E10659" t="s">
        <v>187</v>
      </c>
      <c r="F10659">
        <v>2020</v>
      </c>
      <c r="G10659">
        <v>3.8575970000000002</v>
      </c>
    </row>
    <row r="10660" spans="1:7">
      <c r="A10660" t="s">
        <v>1297</v>
      </c>
      <c r="B10660" t="s">
        <v>1298</v>
      </c>
      <c r="C10660" t="s">
        <v>666</v>
      </c>
      <c r="D10660" t="s">
        <v>1416</v>
      </c>
      <c r="E10660" t="s">
        <v>187</v>
      </c>
      <c r="F10660">
        <v>2005</v>
      </c>
      <c r="G10660">
        <v>1.7504299999999999</v>
      </c>
    </row>
    <row r="10661" spans="1:7">
      <c r="A10661" t="s">
        <v>1297</v>
      </c>
      <c r="B10661" t="s">
        <v>1298</v>
      </c>
      <c r="C10661" t="s">
        <v>666</v>
      </c>
      <c r="D10661" t="s">
        <v>1416</v>
      </c>
      <c r="E10661" t="s">
        <v>187</v>
      </c>
      <c r="F10661">
        <v>2010</v>
      </c>
      <c r="G10661">
        <v>1.81071</v>
      </c>
    </row>
    <row r="10662" spans="1:7">
      <c r="A10662" t="s">
        <v>1297</v>
      </c>
      <c r="B10662" t="s">
        <v>1298</v>
      </c>
      <c r="C10662" t="s">
        <v>666</v>
      </c>
      <c r="D10662" t="s">
        <v>1416</v>
      </c>
      <c r="E10662" t="s">
        <v>187</v>
      </c>
      <c r="F10662">
        <v>2012</v>
      </c>
      <c r="G10662">
        <v>1.982952</v>
      </c>
    </row>
    <row r="10663" spans="1:7">
      <c r="A10663" t="s">
        <v>1297</v>
      </c>
      <c r="B10663" t="s">
        <v>1298</v>
      </c>
      <c r="C10663" t="s">
        <v>658</v>
      </c>
      <c r="D10663" t="s">
        <v>1416</v>
      </c>
      <c r="E10663" t="s">
        <v>187</v>
      </c>
      <c r="F10663">
        <v>2012</v>
      </c>
      <c r="G10663">
        <v>3.3841199999999998</v>
      </c>
    </row>
    <row r="10664" spans="1:7">
      <c r="A10664" t="s">
        <v>1297</v>
      </c>
      <c r="B10664" t="s">
        <v>1298</v>
      </c>
      <c r="C10664" t="s">
        <v>658</v>
      </c>
      <c r="D10664" t="s">
        <v>1416</v>
      </c>
      <c r="E10664" t="s">
        <v>187</v>
      </c>
      <c r="F10664">
        <v>2016</v>
      </c>
      <c r="G10664">
        <v>4.05966</v>
      </c>
    </row>
    <row r="10665" spans="1:7">
      <c r="A10665" t="s">
        <v>1297</v>
      </c>
      <c r="B10665" t="s">
        <v>1298</v>
      </c>
      <c r="C10665" t="s">
        <v>658</v>
      </c>
      <c r="D10665" t="s">
        <v>1416</v>
      </c>
      <c r="E10665" t="s">
        <v>187</v>
      </c>
      <c r="F10665">
        <v>2020</v>
      </c>
      <c r="G10665">
        <v>3.8315890000000001</v>
      </c>
    </row>
    <row r="10666" spans="1:7">
      <c r="A10666" t="s">
        <v>1297</v>
      </c>
      <c r="B10666" t="s">
        <v>1298</v>
      </c>
      <c r="C10666" t="s">
        <v>665</v>
      </c>
      <c r="D10666" t="s">
        <v>1416</v>
      </c>
      <c r="E10666" t="s">
        <v>187</v>
      </c>
      <c r="F10666">
        <v>2005</v>
      </c>
      <c r="G10666">
        <v>98.778599999999997</v>
      </c>
    </row>
    <row r="10667" spans="1:7">
      <c r="A10667" t="s">
        <v>1297</v>
      </c>
      <c r="B10667" t="s">
        <v>1298</v>
      </c>
      <c r="C10667" t="s">
        <v>665</v>
      </c>
      <c r="D10667" t="s">
        <v>1416</v>
      </c>
      <c r="E10667" t="s">
        <v>187</v>
      </c>
      <c r="F10667">
        <v>2010</v>
      </c>
      <c r="G10667">
        <v>87.079400000000007</v>
      </c>
    </row>
    <row r="10668" spans="1:7">
      <c r="A10668" t="s">
        <v>1297</v>
      </c>
      <c r="B10668" t="s">
        <v>1298</v>
      </c>
      <c r="C10668" t="s">
        <v>665</v>
      </c>
      <c r="D10668" t="s">
        <v>1416</v>
      </c>
      <c r="E10668" t="s">
        <v>187</v>
      </c>
      <c r="F10668">
        <v>2012</v>
      </c>
      <c r="G10668">
        <v>82.116</v>
      </c>
    </row>
    <row r="10669" spans="1:7">
      <c r="A10669" t="s">
        <v>1297</v>
      </c>
      <c r="B10669" t="s">
        <v>1298</v>
      </c>
      <c r="C10669" t="s">
        <v>665</v>
      </c>
      <c r="D10669" t="s">
        <v>1416</v>
      </c>
      <c r="E10669" t="s">
        <v>187</v>
      </c>
      <c r="F10669">
        <v>2016</v>
      </c>
      <c r="G10669">
        <v>83.820400000000006</v>
      </c>
    </row>
    <row r="10670" spans="1:7">
      <c r="A10670" t="s">
        <v>1297</v>
      </c>
      <c r="B10670" t="s">
        <v>1298</v>
      </c>
      <c r="C10670" t="s">
        <v>665</v>
      </c>
      <c r="D10670" t="s">
        <v>1416</v>
      </c>
      <c r="E10670" t="s">
        <v>187</v>
      </c>
      <c r="F10670">
        <v>2020</v>
      </c>
      <c r="G10670">
        <v>84.094707</v>
      </c>
    </row>
    <row r="10671" spans="1:7">
      <c r="A10671" t="s">
        <v>1297</v>
      </c>
      <c r="B10671" t="s">
        <v>1298</v>
      </c>
      <c r="C10671" t="s">
        <v>1300</v>
      </c>
      <c r="D10671" t="s">
        <v>1416</v>
      </c>
      <c r="E10671" t="s">
        <v>187</v>
      </c>
      <c r="F10671">
        <v>2012</v>
      </c>
      <c r="G10671">
        <v>2.1274999999999999</v>
      </c>
    </row>
    <row r="10672" spans="1:7">
      <c r="A10672" t="s">
        <v>1297</v>
      </c>
      <c r="B10672" t="s">
        <v>1298</v>
      </c>
      <c r="C10672" t="s">
        <v>1300</v>
      </c>
      <c r="D10672" t="s">
        <v>1416</v>
      </c>
      <c r="E10672" t="s">
        <v>187</v>
      </c>
      <c r="F10672">
        <v>2016</v>
      </c>
      <c r="G10672">
        <v>3.0210499999999998</v>
      </c>
    </row>
    <row r="10673" spans="1:7">
      <c r="A10673" t="s">
        <v>1297</v>
      </c>
      <c r="B10673" t="s">
        <v>1298</v>
      </c>
      <c r="C10673" t="s">
        <v>1300</v>
      </c>
      <c r="D10673" t="s">
        <v>1416</v>
      </c>
      <c r="E10673" t="s">
        <v>187</v>
      </c>
      <c r="F10673">
        <v>2020</v>
      </c>
      <c r="G10673">
        <v>4.6895939999999996</v>
      </c>
    </row>
    <row r="10674" spans="1:7">
      <c r="A10674" t="s">
        <v>1297</v>
      </c>
      <c r="B10674" t="s">
        <v>1298</v>
      </c>
      <c r="C10674" t="s">
        <v>655</v>
      </c>
      <c r="D10674" t="s">
        <v>1416</v>
      </c>
      <c r="E10674" t="s">
        <v>187</v>
      </c>
      <c r="F10674">
        <v>2005</v>
      </c>
      <c r="G10674">
        <v>14.259449999999999</v>
      </c>
    </row>
    <row r="10675" spans="1:7">
      <c r="A10675" t="s">
        <v>1297</v>
      </c>
      <c r="B10675" t="s">
        <v>1298</v>
      </c>
      <c r="C10675" t="s">
        <v>655</v>
      </c>
      <c r="D10675" t="s">
        <v>1416</v>
      </c>
      <c r="E10675" t="s">
        <v>187</v>
      </c>
      <c r="F10675">
        <v>2010</v>
      </c>
      <c r="G10675">
        <v>14.018681000000001</v>
      </c>
    </row>
    <row r="10676" spans="1:7">
      <c r="A10676" t="s">
        <v>1297</v>
      </c>
      <c r="B10676" t="s">
        <v>1298</v>
      </c>
      <c r="C10676" t="s">
        <v>655</v>
      </c>
      <c r="D10676" t="s">
        <v>1416</v>
      </c>
      <c r="E10676" t="s">
        <v>187</v>
      </c>
      <c r="F10676">
        <v>2012</v>
      </c>
      <c r="G10676">
        <v>14.171768</v>
      </c>
    </row>
    <row r="10677" spans="1:7">
      <c r="A10677" t="s">
        <v>1297</v>
      </c>
      <c r="B10677" t="s">
        <v>1298</v>
      </c>
      <c r="C10677" t="s">
        <v>655</v>
      </c>
      <c r="D10677" t="s">
        <v>1416</v>
      </c>
      <c r="E10677" t="s">
        <v>187</v>
      </c>
      <c r="F10677">
        <v>2016</v>
      </c>
      <c r="G10677">
        <v>14.086354</v>
      </c>
    </row>
    <row r="10678" spans="1:7">
      <c r="A10678" t="s">
        <v>1297</v>
      </c>
      <c r="B10678" t="s">
        <v>1298</v>
      </c>
      <c r="C10678" t="s">
        <v>655</v>
      </c>
      <c r="D10678" t="s">
        <v>1416</v>
      </c>
      <c r="E10678" t="s">
        <v>187</v>
      </c>
      <c r="F10678">
        <v>2020</v>
      </c>
      <c r="G10678">
        <v>14.177410999999999</v>
      </c>
    </row>
    <row r="10679" spans="1:7">
      <c r="A10679" t="s">
        <v>1297</v>
      </c>
      <c r="B10679" t="s">
        <v>1298</v>
      </c>
      <c r="C10679" t="s">
        <v>681</v>
      </c>
      <c r="D10679" t="s">
        <v>1416</v>
      </c>
      <c r="E10679" t="s">
        <v>187</v>
      </c>
      <c r="F10679">
        <v>2005</v>
      </c>
      <c r="G10679">
        <v>2.813984</v>
      </c>
    </row>
    <row r="10680" spans="1:7">
      <c r="A10680" t="s">
        <v>1297</v>
      </c>
      <c r="B10680" t="s">
        <v>1298</v>
      </c>
      <c r="C10680" t="s">
        <v>681</v>
      </c>
      <c r="D10680" t="s">
        <v>1416</v>
      </c>
      <c r="E10680" t="s">
        <v>187</v>
      </c>
      <c r="F10680">
        <v>2010</v>
      </c>
      <c r="G10680">
        <v>2.6139770000000002</v>
      </c>
    </row>
    <row r="10681" spans="1:7">
      <c r="A10681" t="s">
        <v>1297</v>
      </c>
      <c r="B10681" t="s">
        <v>1298</v>
      </c>
      <c r="C10681" t="s">
        <v>681</v>
      </c>
      <c r="D10681" t="s">
        <v>1416</v>
      </c>
      <c r="E10681" t="s">
        <v>187</v>
      </c>
      <c r="F10681">
        <v>2012</v>
      </c>
      <c r="G10681">
        <v>2.4695849999999999</v>
      </c>
    </row>
    <row r="10682" spans="1:7">
      <c r="A10682" t="s">
        <v>1297</v>
      </c>
      <c r="B10682" t="s">
        <v>1298</v>
      </c>
      <c r="C10682" t="s">
        <v>681</v>
      </c>
      <c r="D10682" t="s">
        <v>1416</v>
      </c>
      <c r="E10682" t="s">
        <v>187</v>
      </c>
      <c r="F10682">
        <v>2016</v>
      </c>
      <c r="G10682">
        <v>2.3287309999999999</v>
      </c>
    </row>
    <row r="10683" spans="1:7">
      <c r="A10683" t="s">
        <v>1297</v>
      </c>
      <c r="B10683" t="s">
        <v>1298</v>
      </c>
      <c r="C10683" t="s">
        <v>681</v>
      </c>
      <c r="D10683" t="s">
        <v>1416</v>
      </c>
      <c r="E10683" t="s">
        <v>187</v>
      </c>
      <c r="F10683">
        <v>2020</v>
      </c>
      <c r="G10683">
        <v>2.4486460000000001</v>
      </c>
    </row>
    <row r="10684" spans="1:7">
      <c r="A10684" t="s">
        <v>1297</v>
      </c>
      <c r="B10684" t="s">
        <v>1298</v>
      </c>
      <c r="C10684" t="s">
        <v>657</v>
      </c>
      <c r="D10684" t="s">
        <v>1416</v>
      </c>
      <c r="E10684" t="s">
        <v>187</v>
      </c>
      <c r="F10684">
        <v>2005</v>
      </c>
      <c r="G10684">
        <v>13.806850000000001</v>
      </c>
    </row>
    <row r="10685" spans="1:7">
      <c r="A10685" t="s">
        <v>1297</v>
      </c>
      <c r="B10685" t="s">
        <v>1298</v>
      </c>
      <c r="C10685" t="s">
        <v>657</v>
      </c>
      <c r="D10685" t="s">
        <v>1416</v>
      </c>
      <c r="E10685" t="s">
        <v>187</v>
      </c>
      <c r="F10685">
        <v>2010</v>
      </c>
      <c r="G10685">
        <v>16.307700000000001</v>
      </c>
    </row>
    <row r="10686" spans="1:7">
      <c r="A10686" t="s">
        <v>1297</v>
      </c>
      <c r="B10686" t="s">
        <v>1298</v>
      </c>
      <c r="C10686" t="s">
        <v>657</v>
      </c>
      <c r="D10686" t="s">
        <v>1416</v>
      </c>
      <c r="E10686" t="s">
        <v>187</v>
      </c>
      <c r="F10686">
        <v>2012</v>
      </c>
      <c r="G10686">
        <v>15.051299999999999</v>
      </c>
    </row>
    <row r="10687" spans="1:7">
      <c r="A10687" t="s">
        <v>1297</v>
      </c>
      <c r="B10687" t="s">
        <v>1298</v>
      </c>
      <c r="C10687" t="s">
        <v>657</v>
      </c>
      <c r="D10687" t="s">
        <v>1416</v>
      </c>
      <c r="E10687" t="s">
        <v>187</v>
      </c>
      <c r="F10687">
        <v>2016</v>
      </c>
      <c r="G10687">
        <v>13.874224999999999</v>
      </c>
    </row>
    <row r="10688" spans="1:7">
      <c r="A10688" t="s">
        <v>1297</v>
      </c>
      <c r="B10688" t="s">
        <v>1298</v>
      </c>
      <c r="C10688" t="s">
        <v>657</v>
      </c>
      <c r="D10688" t="s">
        <v>1416</v>
      </c>
      <c r="E10688" t="s">
        <v>187</v>
      </c>
      <c r="F10688">
        <v>2020</v>
      </c>
      <c r="G10688">
        <v>12.269508</v>
      </c>
    </row>
    <row r="10689" spans="1:7">
      <c r="A10689" t="s">
        <v>1297</v>
      </c>
      <c r="B10689" t="s">
        <v>1298</v>
      </c>
      <c r="C10689" t="s">
        <v>658</v>
      </c>
      <c r="D10689" t="s">
        <v>1416</v>
      </c>
      <c r="E10689" t="s">
        <v>187</v>
      </c>
      <c r="F10689">
        <v>2005</v>
      </c>
      <c r="G10689">
        <v>2.9626999999999999</v>
      </c>
    </row>
    <row r="10690" spans="1:7">
      <c r="A10690" t="s">
        <v>1297</v>
      </c>
      <c r="B10690" t="s">
        <v>1298</v>
      </c>
      <c r="C10690" t="s">
        <v>658</v>
      </c>
      <c r="D10690" t="s">
        <v>1416</v>
      </c>
      <c r="E10690" t="s">
        <v>187</v>
      </c>
      <c r="F10690">
        <v>2010</v>
      </c>
      <c r="G10690">
        <v>2.7046000000000001</v>
      </c>
    </row>
    <row r="10691" spans="1:7">
      <c r="A10691" t="s">
        <v>1297</v>
      </c>
      <c r="B10691" t="s">
        <v>1298</v>
      </c>
      <c r="C10691" t="s">
        <v>684</v>
      </c>
      <c r="D10691" t="s">
        <v>1416</v>
      </c>
      <c r="E10691" t="s">
        <v>187</v>
      </c>
      <c r="F10691">
        <v>2012</v>
      </c>
      <c r="G10691">
        <v>8.7300000000000003E-2</v>
      </c>
    </row>
    <row r="10692" spans="1:7">
      <c r="A10692" t="s">
        <v>1297</v>
      </c>
      <c r="B10692" t="s">
        <v>1298</v>
      </c>
      <c r="C10692" t="s">
        <v>684</v>
      </c>
      <c r="D10692" t="s">
        <v>1416</v>
      </c>
      <c r="E10692" t="s">
        <v>187</v>
      </c>
      <c r="F10692">
        <v>2016</v>
      </c>
      <c r="G10692">
        <v>0.17272000000000001</v>
      </c>
    </row>
    <row r="10693" spans="1:7">
      <c r="A10693" t="s">
        <v>1297</v>
      </c>
      <c r="B10693" t="s">
        <v>1298</v>
      </c>
      <c r="C10693" t="s">
        <v>684</v>
      </c>
      <c r="D10693" t="s">
        <v>1416</v>
      </c>
      <c r="E10693" t="s">
        <v>187</v>
      </c>
      <c r="F10693">
        <v>2020</v>
      </c>
      <c r="G10693">
        <v>0.12442300000000001</v>
      </c>
    </row>
    <row r="10694" spans="1:7">
      <c r="A10694" t="s">
        <v>1297</v>
      </c>
      <c r="B10694" t="s">
        <v>1298</v>
      </c>
      <c r="C10694" t="s">
        <v>685</v>
      </c>
      <c r="D10694" t="s">
        <v>1416</v>
      </c>
      <c r="E10694" t="s">
        <v>187</v>
      </c>
      <c r="F10694">
        <v>2005</v>
      </c>
      <c r="G10694">
        <v>1.0272859999999999</v>
      </c>
    </row>
    <row r="10695" spans="1:7">
      <c r="A10695" t="s">
        <v>1297</v>
      </c>
      <c r="B10695" t="s">
        <v>1298</v>
      </c>
      <c r="C10695" t="s">
        <v>685</v>
      </c>
      <c r="D10695" t="s">
        <v>1416</v>
      </c>
      <c r="E10695" t="s">
        <v>187</v>
      </c>
      <c r="F10695">
        <v>2010</v>
      </c>
      <c r="G10695">
        <v>0.36884299999999998</v>
      </c>
    </row>
    <row r="10696" spans="1:7">
      <c r="A10696" t="s">
        <v>1297</v>
      </c>
      <c r="B10696" t="s">
        <v>1298</v>
      </c>
      <c r="C10696" t="s">
        <v>685</v>
      </c>
      <c r="D10696" t="s">
        <v>1416</v>
      </c>
      <c r="E10696" t="s">
        <v>187</v>
      </c>
      <c r="F10696">
        <v>2012</v>
      </c>
      <c r="G10696">
        <v>0.58020300000000002</v>
      </c>
    </row>
    <row r="10697" spans="1:7">
      <c r="A10697" t="s">
        <v>1297</v>
      </c>
      <c r="B10697" t="s">
        <v>1298</v>
      </c>
      <c r="C10697" t="s">
        <v>685</v>
      </c>
      <c r="D10697" t="s">
        <v>1416</v>
      </c>
      <c r="E10697" t="s">
        <v>187</v>
      </c>
      <c r="F10697">
        <v>2016</v>
      </c>
      <c r="G10697">
        <v>0.54687600000000003</v>
      </c>
    </row>
    <row r="10698" spans="1:7">
      <c r="A10698" t="s">
        <v>1297</v>
      </c>
      <c r="B10698" t="s">
        <v>1298</v>
      </c>
      <c r="C10698" t="s">
        <v>685</v>
      </c>
      <c r="D10698" t="s">
        <v>1416</v>
      </c>
      <c r="E10698" t="s">
        <v>187</v>
      </c>
      <c r="F10698">
        <v>2020</v>
      </c>
      <c r="G10698">
        <v>0.52977700000000005</v>
      </c>
    </row>
    <row r="10699" spans="1:7">
      <c r="A10699" t="s">
        <v>1297</v>
      </c>
      <c r="B10699" t="s">
        <v>1298</v>
      </c>
      <c r="C10699" t="s">
        <v>674</v>
      </c>
      <c r="D10699" t="s">
        <v>1416</v>
      </c>
      <c r="E10699" t="s">
        <v>187</v>
      </c>
      <c r="F10699">
        <v>2005</v>
      </c>
      <c r="G10699">
        <v>20.437882999999999</v>
      </c>
    </row>
    <row r="10700" spans="1:7">
      <c r="A10700" t="s">
        <v>1297</v>
      </c>
      <c r="B10700" t="s">
        <v>1298</v>
      </c>
      <c r="C10700" t="s">
        <v>674</v>
      </c>
      <c r="D10700" t="s">
        <v>1416</v>
      </c>
      <c r="E10700" t="s">
        <v>187</v>
      </c>
      <c r="F10700">
        <v>2010</v>
      </c>
      <c r="G10700">
        <v>17.384703999999999</v>
      </c>
    </row>
    <row r="10701" spans="1:7">
      <c r="A10701" t="s">
        <v>1297</v>
      </c>
      <c r="B10701" t="s">
        <v>1298</v>
      </c>
      <c r="C10701" t="s">
        <v>674</v>
      </c>
      <c r="D10701" t="s">
        <v>1416</v>
      </c>
      <c r="E10701" t="s">
        <v>187</v>
      </c>
      <c r="F10701">
        <v>2012</v>
      </c>
      <c r="G10701">
        <v>16.470305</v>
      </c>
    </row>
    <row r="10702" spans="1:7">
      <c r="A10702" t="s">
        <v>1297</v>
      </c>
      <c r="B10702" t="s">
        <v>1298</v>
      </c>
      <c r="C10702" t="s">
        <v>674</v>
      </c>
      <c r="D10702" t="s">
        <v>1416</v>
      </c>
      <c r="E10702" t="s">
        <v>187</v>
      </c>
      <c r="F10702">
        <v>2016</v>
      </c>
      <c r="G10702">
        <v>13.816356000000001</v>
      </c>
    </row>
    <row r="10703" spans="1:7">
      <c r="A10703" t="s">
        <v>1297</v>
      </c>
      <c r="B10703" t="s">
        <v>1298</v>
      </c>
      <c r="C10703" t="s">
        <v>674</v>
      </c>
      <c r="D10703" t="s">
        <v>1416</v>
      </c>
      <c r="E10703" t="s">
        <v>187</v>
      </c>
      <c r="F10703">
        <v>2020</v>
      </c>
      <c r="G10703">
        <v>12.538983999999999</v>
      </c>
    </row>
    <row r="10704" spans="1:7">
      <c r="A10704" t="s">
        <v>1297</v>
      </c>
      <c r="B10704" t="s">
        <v>1298</v>
      </c>
      <c r="C10704" t="s">
        <v>651</v>
      </c>
      <c r="D10704" t="s">
        <v>1416</v>
      </c>
      <c r="E10704" t="s">
        <v>187</v>
      </c>
      <c r="F10704">
        <v>2005</v>
      </c>
      <c r="G10704">
        <v>11.493537999999999</v>
      </c>
    </row>
    <row r="10705" spans="1:7">
      <c r="A10705" t="s">
        <v>1297</v>
      </c>
      <c r="B10705" t="s">
        <v>1298</v>
      </c>
      <c r="C10705" t="s">
        <v>651</v>
      </c>
      <c r="D10705" t="s">
        <v>1416</v>
      </c>
      <c r="E10705" t="s">
        <v>187</v>
      </c>
      <c r="F10705">
        <v>2010</v>
      </c>
      <c r="G10705">
        <v>9.8012510000000006</v>
      </c>
    </row>
    <row r="10706" spans="1:7">
      <c r="A10706" t="s">
        <v>1297</v>
      </c>
      <c r="B10706" t="s">
        <v>1298</v>
      </c>
      <c r="C10706" t="s">
        <v>651</v>
      </c>
      <c r="D10706" t="s">
        <v>1416</v>
      </c>
      <c r="E10706" t="s">
        <v>187</v>
      </c>
      <c r="F10706">
        <v>2012</v>
      </c>
      <c r="G10706">
        <v>9.5630590000000009</v>
      </c>
    </row>
    <row r="10707" spans="1:7">
      <c r="A10707" t="s">
        <v>1297</v>
      </c>
      <c r="B10707" t="s">
        <v>1298</v>
      </c>
      <c r="C10707" t="s">
        <v>651</v>
      </c>
      <c r="D10707" t="s">
        <v>1416</v>
      </c>
      <c r="E10707" t="s">
        <v>187</v>
      </c>
      <c r="F10707">
        <v>2016</v>
      </c>
      <c r="G10707">
        <v>9.6881789999999999</v>
      </c>
    </row>
    <row r="10708" spans="1:7">
      <c r="A10708" t="s">
        <v>1297</v>
      </c>
      <c r="B10708" t="s">
        <v>1298</v>
      </c>
      <c r="C10708" t="s">
        <v>651</v>
      </c>
      <c r="D10708" t="s">
        <v>1416</v>
      </c>
      <c r="E10708" t="s">
        <v>187</v>
      </c>
      <c r="F10708">
        <v>2020</v>
      </c>
      <c r="G10708">
        <v>9.1180369999999993</v>
      </c>
    </row>
    <row r="10709" spans="1:7">
      <c r="A10709" t="s">
        <v>1297</v>
      </c>
      <c r="B10709" t="s">
        <v>1298</v>
      </c>
      <c r="C10709" t="s">
        <v>673</v>
      </c>
      <c r="D10709" t="s">
        <v>1416</v>
      </c>
      <c r="E10709" t="s">
        <v>187</v>
      </c>
      <c r="F10709">
        <v>2005</v>
      </c>
      <c r="G10709">
        <v>4.9087019999999999</v>
      </c>
    </row>
    <row r="10710" spans="1:7">
      <c r="A10710" t="s">
        <v>1297</v>
      </c>
      <c r="B10710" t="s">
        <v>1298</v>
      </c>
      <c r="C10710" t="s">
        <v>673</v>
      </c>
      <c r="D10710" t="s">
        <v>1416</v>
      </c>
      <c r="E10710" t="s">
        <v>187</v>
      </c>
      <c r="F10710">
        <v>2010</v>
      </c>
      <c r="G10710">
        <v>9.5801680000000005</v>
      </c>
    </row>
    <row r="10711" spans="1:7">
      <c r="A10711" t="s">
        <v>1297</v>
      </c>
      <c r="B10711" t="s">
        <v>1298</v>
      </c>
      <c r="C10711" t="s">
        <v>673</v>
      </c>
      <c r="D10711" t="s">
        <v>1416</v>
      </c>
      <c r="E10711" t="s">
        <v>187</v>
      </c>
      <c r="F10711">
        <v>2012</v>
      </c>
      <c r="G10711">
        <v>13.23654</v>
      </c>
    </row>
    <row r="10712" spans="1:7">
      <c r="A10712" t="s">
        <v>1297</v>
      </c>
      <c r="B10712" t="s">
        <v>1298</v>
      </c>
      <c r="C10712" t="s">
        <v>673</v>
      </c>
      <c r="D10712" t="s">
        <v>1416</v>
      </c>
      <c r="E10712" t="s">
        <v>187</v>
      </c>
      <c r="F10712">
        <v>2016</v>
      </c>
      <c r="G10712">
        <v>12.278428999999999</v>
      </c>
    </row>
    <row r="10713" spans="1:7">
      <c r="A10713" t="s">
        <v>1297</v>
      </c>
      <c r="B10713" t="s">
        <v>1298</v>
      </c>
      <c r="C10713" t="s">
        <v>666</v>
      </c>
      <c r="D10713" t="s">
        <v>1416</v>
      </c>
      <c r="E10713" t="s">
        <v>187</v>
      </c>
      <c r="F10713">
        <v>2016</v>
      </c>
      <c r="G10713">
        <v>1.9356599999999999</v>
      </c>
    </row>
    <row r="10714" spans="1:7">
      <c r="A10714" t="s">
        <v>1297</v>
      </c>
      <c r="B10714" t="s">
        <v>1298</v>
      </c>
      <c r="C10714" t="s">
        <v>666</v>
      </c>
      <c r="D10714" t="s">
        <v>1416</v>
      </c>
      <c r="E10714" t="s">
        <v>187</v>
      </c>
      <c r="F10714">
        <v>2020</v>
      </c>
      <c r="G10714">
        <v>2.1351979999999999</v>
      </c>
    </row>
    <row r="10715" spans="1:7">
      <c r="A10715" t="s">
        <v>1297</v>
      </c>
      <c r="B10715" t="s">
        <v>1298</v>
      </c>
      <c r="C10715" t="s">
        <v>1302</v>
      </c>
      <c r="D10715" t="s">
        <v>1416</v>
      </c>
      <c r="E10715" t="s">
        <v>187</v>
      </c>
      <c r="F10715">
        <v>2005</v>
      </c>
      <c r="G10715">
        <v>0.34399999999999997</v>
      </c>
    </row>
    <row r="10716" spans="1:7">
      <c r="A10716" t="s">
        <v>1297</v>
      </c>
      <c r="B10716" t="s">
        <v>1298</v>
      </c>
      <c r="C10716" t="s">
        <v>1302</v>
      </c>
      <c r="D10716" t="s">
        <v>1416</v>
      </c>
      <c r="E10716" t="s">
        <v>187</v>
      </c>
      <c r="F10716">
        <v>2010</v>
      </c>
      <c r="G10716">
        <v>0.43</v>
      </c>
    </row>
    <row r="10717" spans="1:7">
      <c r="A10717" t="s">
        <v>1297</v>
      </c>
      <c r="B10717" t="s">
        <v>1298</v>
      </c>
      <c r="C10717" t="s">
        <v>1302</v>
      </c>
      <c r="D10717" t="s">
        <v>1416</v>
      </c>
      <c r="E10717" t="s">
        <v>187</v>
      </c>
      <c r="F10717">
        <v>2012</v>
      </c>
      <c r="G10717">
        <v>0.47299999999999998</v>
      </c>
    </row>
    <row r="10718" spans="1:7">
      <c r="A10718" t="s">
        <v>1297</v>
      </c>
      <c r="B10718" t="s">
        <v>1298</v>
      </c>
      <c r="C10718" t="s">
        <v>1302</v>
      </c>
      <c r="D10718" t="s">
        <v>1416</v>
      </c>
      <c r="E10718" t="s">
        <v>187</v>
      </c>
      <c r="F10718">
        <v>2016</v>
      </c>
      <c r="G10718">
        <v>0.65200000000000002</v>
      </c>
    </row>
    <row r="10719" spans="1:7">
      <c r="A10719" t="s">
        <v>1297</v>
      </c>
      <c r="B10719" t="s">
        <v>1298</v>
      </c>
      <c r="C10719" t="s">
        <v>1302</v>
      </c>
      <c r="D10719" t="s">
        <v>1416</v>
      </c>
      <c r="E10719" t="s">
        <v>187</v>
      </c>
      <c r="F10719">
        <v>2020</v>
      </c>
      <c r="G10719">
        <v>0.87836899999999996</v>
      </c>
    </row>
    <row r="10720" spans="1:7">
      <c r="A10720" t="s">
        <v>1297</v>
      </c>
      <c r="B10720" t="s">
        <v>1298</v>
      </c>
      <c r="C10720" t="s">
        <v>682</v>
      </c>
      <c r="D10720" t="s">
        <v>1416</v>
      </c>
      <c r="E10720" t="s">
        <v>187</v>
      </c>
      <c r="F10720">
        <v>2016</v>
      </c>
      <c r="G10720">
        <v>0.51854999999999996</v>
      </c>
    </row>
    <row r="10721" spans="1:7">
      <c r="A10721" t="s">
        <v>1297</v>
      </c>
      <c r="B10721" t="s">
        <v>1298</v>
      </c>
      <c r="C10721" t="s">
        <v>682</v>
      </c>
      <c r="D10721" t="s">
        <v>1416</v>
      </c>
      <c r="E10721" t="s">
        <v>187</v>
      </c>
      <c r="F10721">
        <v>2020</v>
      </c>
      <c r="G10721">
        <v>1.418631</v>
      </c>
    </row>
    <row r="10722" spans="1:7">
      <c r="A10722" t="s">
        <v>1297</v>
      </c>
      <c r="B10722" t="s">
        <v>1298</v>
      </c>
      <c r="C10722" t="s">
        <v>654</v>
      </c>
      <c r="D10722" t="s">
        <v>1416</v>
      </c>
      <c r="E10722" t="s">
        <v>187</v>
      </c>
      <c r="F10722">
        <v>2005</v>
      </c>
      <c r="G10722">
        <v>1.161</v>
      </c>
    </row>
    <row r="10723" spans="1:7">
      <c r="A10723" t="s">
        <v>1297</v>
      </c>
      <c r="B10723" t="s">
        <v>1298</v>
      </c>
      <c r="C10723" t="s">
        <v>654</v>
      </c>
      <c r="D10723" t="s">
        <v>1416</v>
      </c>
      <c r="E10723" t="s">
        <v>187</v>
      </c>
      <c r="F10723">
        <v>2010</v>
      </c>
      <c r="G10723">
        <v>0.86399599999999999</v>
      </c>
    </row>
    <row r="10724" spans="1:7">
      <c r="A10724" t="s">
        <v>1297</v>
      </c>
      <c r="B10724" t="s">
        <v>1298</v>
      </c>
      <c r="C10724" t="s">
        <v>654</v>
      </c>
      <c r="D10724" t="s">
        <v>1416</v>
      </c>
      <c r="E10724" t="s">
        <v>187</v>
      </c>
      <c r="F10724">
        <v>2012</v>
      </c>
      <c r="G10724">
        <v>0.94729699999999994</v>
      </c>
    </row>
    <row r="10725" spans="1:7">
      <c r="A10725" t="s">
        <v>1297</v>
      </c>
      <c r="B10725" t="s">
        <v>1298</v>
      </c>
      <c r="C10725" t="s">
        <v>654</v>
      </c>
      <c r="D10725" t="s">
        <v>1416</v>
      </c>
      <c r="E10725" t="s">
        <v>187</v>
      </c>
      <c r="F10725">
        <v>2016</v>
      </c>
      <c r="G10725">
        <v>0.99596200000000001</v>
      </c>
    </row>
    <row r="10726" spans="1:7">
      <c r="A10726" t="s">
        <v>1297</v>
      </c>
      <c r="B10726" t="s">
        <v>1298</v>
      </c>
      <c r="C10726" t="s">
        <v>654</v>
      </c>
      <c r="D10726" t="s">
        <v>1416</v>
      </c>
      <c r="E10726" t="s">
        <v>187</v>
      </c>
      <c r="F10726">
        <v>2020</v>
      </c>
      <c r="G10726">
        <v>1.0767549999999999</v>
      </c>
    </row>
    <row r="10727" spans="1:7">
      <c r="A10727" t="s">
        <v>1297</v>
      </c>
      <c r="B10727" t="s">
        <v>1298</v>
      </c>
      <c r="C10727" t="s">
        <v>676</v>
      </c>
      <c r="D10727" t="s">
        <v>1416</v>
      </c>
      <c r="E10727" t="s">
        <v>187</v>
      </c>
      <c r="F10727">
        <v>2005</v>
      </c>
      <c r="G10727">
        <v>3.4897999999999998</v>
      </c>
    </row>
    <row r="10728" spans="1:7">
      <c r="A10728" t="s">
        <v>1297</v>
      </c>
      <c r="B10728" t="s">
        <v>1298</v>
      </c>
      <c r="C10728" t="s">
        <v>676</v>
      </c>
      <c r="D10728" t="s">
        <v>1416</v>
      </c>
      <c r="E10728" t="s">
        <v>187</v>
      </c>
      <c r="F10728">
        <v>2010</v>
      </c>
      <c r="G10728">
        <v>2.887</v>
      </c>
    </row>
    <row r="10729" spans="1:7">
      <c r="A10729" t="s">
        <v>1297</v>
      </c>
      <c r="B10729" t="s">
        <v>1298</v>
      </c>
      <c r="C10729" t="s">
        <v>676</v>
      </c>
      <c r="D10729" t="s">
        <v>1416</v>
      </c>
      <c r="E10729" t="s">
        <v>187</v>
      </c>
      <c r="F10729">
        <v>2012</v>
      </c>
      <c r="G10729">
        <v>2.8354900000000001</v>
      </c>
    </row>
    <row r="10730" spans="1:7">
      <c r="A10730" t="s">
        <v>1297</v>
      </c>
      <c r="B10730" t="s">
        <v>1298</v>
      </c>
      <c r="C10730" t="s">
        <v>676</v>
      </c>
      <c r="D10730" t="s">
        <v>1416</v>
      </c>
      <c r="E10730" t="s">
        <v>187</v>
      </c>
      <c r="F10730">
        <v>2016</v>
      </c>
      <c r="G10730">
        <v>2.783865</v>
      </c>
    </row>
    <row r="10731" spans="1:7">
      <c r="A10731" t="s">
        <v>1297</v>
      </c>
      <c r="B10731" t="s">
        <v>1298</v>
      </c>
      <c r="C10731" t="s">
        <v>676</v>
      </c>
      <c r="D10731" t="s">
        <v>1416</v>
      </c>
      <c r="E10731" t="s">
        <v>187</v>
      </c>
      <c r="F10731">
        <v>2020</v>
      </c>
      <c r="G10731">
        <v>2.4042720000000002</v>
      </c>
    </row>
    <row r="10732" spans="1:7">
      <c r="A10732" t="s">
        <v>1297</v>
      </c>
      <c r="B10732" t="s">
        <v>1298</v>
      </c>
      <c r="C10732" t="s">
        <v>661</v>
      </c>
      <c r="D10732" t="s">
        <v>1416</v>
      </c>
      <c r="E10732" t="s">
        <v>187</v>
      </c>
      <c r="F10732">
        <v>2005</v>
      </c>
      <c r="G10732">
        <v>133.62626900000001</v>
      </c>
    </row>
    <row r="10733" spans="1:7">
      <c r="A10733" t="s">
        <v>1297</v>
      </c>
      <c r="B10733" t="s">
        <v>1298</v>
      </c>
      <c r="C10733" t="s">
        <v>661</v>
      </c>
      <c r="D10733" t="s">
        <v>1416</v>
      </c>
      <c r="E10733" t="s">
        <v>187</v>
      </c>
      <c r="F10733">
        <v>2010</v>
      </c>
      <c r="G10733">
        <v>131.11950999999999</v>
      </c>
    </row>
    <row r="10734" spans="1:7">
      <c r="A10734" t="s">
        <v>1297</v>
      </c>
      <c r="B10734" t="s">
        <v>1298</v>
      </c>
      <c r="C10734" t="s">
        <v>661</v>
      </c>
      <c r="D10734" t="s">
        <v>1416</v>
      </c>
      <c r="E10734" t="s">
        <v>187</v>
      </c>
      <c r="F10734">
        <v>2012</v>
      </c>
      <c r="G10734">
        <v>123.369287</v>
      </c>
    </row>
    <row r="10735" spans="1:7">
      <c r="A10735" t="s">
        <v>1297</v>
      </c>
      <c r="B10735" t="s">
        <v>1298</v>
      </c>
      <c r="C10735" t="s">
        <v>661</v>
      </c>
      <c r="D10735" t="s">
        <v>1416</v>
      </c>
      <c r="E10735" t="s">
        <v>187</v>
      </c>
      <c r="F10735">
        <v>2016</v>
      </c>
      <c r="G10735">
        <v>121.745053</v>
      </c>
    </row>
    <row r="10736" spans="1:7">
      <c r="A10736" t="s">
        <v>1297</v>
      </c>
      <c r="B10736" t="s">
        <v>1298</v>
      </c>
      <c r="C10736" t="s">
        <v>661</v>
      </c>
      <c r="D10736" t="s">
        <v>1416</v>
      </c>
      <c r="E10736" t="s">
        <v>187</v>
      </c>
      <c r="F10736">
        <v>2020</v>
      </c>
      <c r="G10736">
        <v>115.88220099999999</v>
      </c>
    </row>
    <row r="10737" spans="1:7">
      <c r="A10737" t="s">
        <v>1297</v>
      </c>
      <c r="B10737" t="s">
        <v>1298</v>
      </c>
      <c r="C10737" t="s">
        <v>684</v>
      </c>
      <c r="D10737" t="s">
        <v>1416</v>
      </c>
      <c r="E10737" t="s">
        <v>187</v>
      </c>
      <c r="F10737">
        <v>2005</v>
      </c>
      <c r="G10737">
        <v>8.5419999999999996E-2</v>
      </c>
    </row>
    <row r="10738" spans="1:7">
      <c r="A10738" t="s">
        <v>1297</v>
      </c>
      <c r="B10738" t="s">
        <v>1298</v>
      </c>
      <c r="C10738" t="s">
        <v>684</v>
      </c>
      <c r="D10738" t="s">
        <v>1416</v>
      </c>
      <c r="E10738" t="s">
        <v>187</v>
      </c>
      <c r="F10738">
        <v>2010</v>
      </c>
      <c r="G10738">
        <v>4.2709999999999998E-2</v>
      </c>
    </row>
    <row r="10739" spans="1:7">
      <c r="A10739" t="s">
        <v>1297</v>
      </c>
      <c r="B10739" t="s">
        <v>1298</v>
      </c>
      <c r="C10739" t="s">
        <v>673</v>
      </c>
      <c r="D10739" t="s">
        <v>1416</v>
      </c>
      <c r="E10739" t="s">
        <v>187</v>
      </c>
      <c r="F10739">
        <v>2020</v>
      </c>
      <c r="G10739">
        <v>14.890777999999999</v>
      </c>
    </row>
    <row r="10740" spans="1:7">
      <c r="A10740" t="s">
        <v>1297</v>
      </c>
      <c r="B10740" t="s">
        <v>1298</v>
      </c>
      <c r="C10740" t="s">
        <v>659</v>
      </c>
      <c r="D10740" t="s">
        <v>1416</v>
      </c>
      <c r="E10740" t="s">
        <v>187</v>
      </c>
      <c r="F10740">
        <v>2005</v>
      </c>
      <c r="G10740">
        <v>94.760499999999993</v>
      </c>
    </row>
    <row r="10741" spans="1:7">
      <c r="A10741" t="s">
        <v>1297</v>
      </c>
      <c r="B10741" t="s">
        <v>1298</v>
      </c>
      <c r="C10741" t="s">
        <v>659</v>
      </c>
      <c r="D10741" t="s">
        <v>1416</v>
      </c>
      <c r="E10741" t="s">
        <v>187</v>
      </c>
      <c r="F10741">
        <v>2010</v>
      </c>
      <c r="G10741">
        <v>70.424199999999999</v>
      </c>
    </row>
    <row r="10742" spans="1:7">
      <c r="A10742" t="s">
        <v>1297</v>
      </c>
      <c r="B10742" t="s">
        <v>1298</v>
      </c>
      <c r="C10742" t="s">
        <v>659</v>
      </c>
      <c r="D10742" t="s">
        <v>1416</v>
      </c>
      <c r="E10742" t="s">
        <v>187</v>
      </c>
      <c r="F10742">
        <v>2012</v>
      </c>
      <c r="G10742">
        <v>68.2744</v>
      </c>
    </row>
    <row r="10743" spans="1:7">
      <c r="A10743" t="s">
        <v>1297</v>
      </c>
      <c r="B10743" t="s">
        <v>1298</v>
      </c>
      <c r="C10743" t="s">
        <v>659</v>
      </c>
      <c r="D10743" t="s">
        <v>1416</v>
      </c>
      <c r="E10743" t="s">
        <v>187</v>
      </c>
      <c r="F10743">
        <v>2016</v>
      </c>
      <c r="G10743">
        <v>72.702699999999993</v>
      </c>
    </row>
    <row r="10744" spans="1:7">
      <c r="A10744" t="s">
        <v>1297</v>
      </c>
      <c r="B10744" t="s">
        <v>1298</v>
      </c>
      <c r="C10744" t="s">
        <v>659</v>
      </c>
      <c r="D10744" t="s">
        <v>1416</v>
      </c>
      <c r="E10744" t="s">
        <v>187</v>
      </c>
      <c r="F10744">
        <v>2020</v>
      </c>
      <c r="G10744">
        <v>78.543899999999994</v>
      </c>
    </row>
    <row r="10745" spans="1:7">
      <c r="A10745" t="s">
        <v>1297</v>
      </c>
      <c r="B10745" t="s">
        <v>1298</v>
      </c>
      <c r="C10745" t="s">
        <v>656</v>
      </c>
      <c r="D10745" t="s">
        <v>1416</v>
      </c>
      <c r="E10745" t="s">
        <v>187</v>
      </c>
      <c r="F10745">
        <v>2020</v>
      </c>
      <c r="G10745">
        <v>87.282638000000006</v>
      </c>
    </row>
    <row r="10746" spans="1:7">
      <c r="A10746" t="s">
        <v>1297</v>
      </c>
      <c r="B10746" t="s">
        <v>1298</v>
      </c>
      <c r="C10746" t="s">
        <v>667</v>
      </c>
      <c r="D10746" t="s">
        <v>1416</v>
      </c>
      <c r="E10746" t="s">
        <v>187</v>
      </c>
      <c r="F10746">
        <v>2005</v>
      </c>
      <c r="G10746">
        <v>0.70610099999999998</v>
      </c>
    </row>
    <row r="10747" spans="1:7">
      <c r="A10747" t="s">
        <v>1297</v>
      </c>
      <c r="B10747" t="s">
        <v>1298</v>
      </c>
      <c r="C10747" t="s">
        <v>667</v>
      </c>
      <c r="D10747" t="s">
        <v>1416</v>
      </c>
      <c r="E10747" t="s">
        <v>187</v>
      </c>
      <c r="F10747">
        <v>2010</v>
      </c>
      <c r="G10747">
        <v>0.89592400000000005</v>
      </c>
    </row>
    <row r="10748" spans="1:7">
      <c r="A10748" t="s">
        <v>1297</v>
      </c>
      <c r="B10748" t="s">
        <v>1298</v>
      </c>
      <c r="C10748" t="s">
        <v>667</v>
      </c>
      <c r="D10748" t="s">
        <v>1416</v>
      </c>
      <c r="E10748" t="s">
        <v>187</v>
      </c>
      <c r="F10748">
        <v>2012</v>
      </c>
      <c r="G10748">
        <v>0.73953599999999997</v>
      </c>
    </row>
    <row r="10749" spans="1:7">
      <c r="A10749" t="s">
        <v>1297</v>
      </c>
      <c r="B10749" t="s">
        <v>1298</v>
      </c>
      <c r="C10749" t="s">
        <v>667</v>
      </c>
      <c r="D10749" t="s">
        <v>1416</v>
      </c>
      <c r="E10749" t="s">
        <v>187</v>
      </c>
      <c r="F10749">
        <v>2016</v>
      </c>
      <c r="G10749">
        <v>0.95361799999999997</v>
      </c>
    </row>
    <row r="10750" spans="1:7">
      <c r="A10750" t="s">
        <v>1297</v>
      </c>
      <c r="B10750" t="s">
        <v>1298</v>
      </c>
      <c r="C10750" t="s">
        <v>667</v>
      </c>
      <c r="D10750" t="s">
        <v>1416</v>
      </c>
      <c r="E10750" t="s">
        <v>187</v>
      </c>
      <c r="F10750">
        <v>2020</v>
      </c>
      <c r="G10750">
        <v>0.74709899999999996</v>
      </c>
    </row>
    <row r="10751" spans="1:7">
      <c r="A10751" t="s">
        <v>1297</v>
      </c>
      <c r="B10751" t="s">
        <v>1298</v>
      </c>
      <c r="C10751" t="s">
        <v>663</v>
      </c>
      <c r="D10751" t="s">
        <v>1416</v>
      </c>
      <c r="E10751" t="s">
        <v>187</v>
      </c>
      <c r="F10751">
        <v>2010</v>
      </c>
      <c r="G10751">
        <v>11.381399999999999</v>
      </c>
    </row>
    <row r="10752" spans="1:7">
      <c r="A10752" t="s">
        <v>1297</v>
      </c>
      <c r="B10752" t="s">
        <v>1298</v>
      </c>
      <c r="C10752" t="s">
        <v>663</v>
      </c>
      <c r="D10752" t="s">
        <v>1416</v>
      </c>
      <c r="E10752" t="s">
        <v>187</v>
      </c>
      <c r="F10752">
        <v>2012</v>
      </c>
      <c r="G10752">
        <v>8.7392000000000003</v>
      </c>
    </row>
    <row r="10753" spans="1:7">
      <c r="A10753" t="s">
        <v>1297</v>
      </c>
      <c r="B10753" t="s">
        <v>1298</v>
      </c>
      <c r="C10753" t="s">
        <v>663</v>
      </c>
      <c r="D10753" t="s">
        <v>1416</v>
      </c>
      <c r="E10753" t="s">
        <v>187</v>
      </c>
      <c r="F10753">
        <v>2016</v>
      </c>
      <c r="G10753">
        <v>15.62434</v>
      </c>
    </row>
    <row r="10754" spans="1:7">
      <c r="A10754" t="s">
        <v>1297</v>
      </c>
      <c r="B10754" t="s">
        <v>1298</v>
      </c>
      <c r="C10754" t="s">
        <v>663</v>
      </c>
      <c r="D10754" t="s">
        <v>1416</v>
      </c>
      <c r="E10754" t="s">
        <v>187</v>
      </c>
      <c r="F10754">
        <v>2020</v>
      </c>
      <c r="G10754">
        <v>16.799040000000002</v>
      </c>
    </row>
    <row r="10755" spans="1:7">
      <c r="A10755" t="s">
        <v>1297</v>
      </c>
      <c r="B10755" t="s">
        <v>1298</v>
      </c>
      <c r="C10755" t="s">
        <v>660</v>
      </c>
      <c r="D10755" t="s">
        <v>1416</v>
      </c>
      <c r="E10755" t="s">
        <v>187</v>
      </c>
      <c r="F10755">
        <v>2005</v>
      </c>
      <c r="G10755">
        <v>18.114899999999999</v>
      </c>
    </row>
    <row r="10756" spans="1:7">
      <c r="A10756" t="s">
        <v>1297</v>
      </c>
      <c r="B10756" t="s">
        <v>1298</v>
      </c>
      <c r="C10756" t="s">
        <v>660</v>
      </c>
      <c r="D10756" t="s">
        <v>1416</v>
      </c>
      <c r="E10756" t="s">
        <v>187</v>
      </c>
      <c r="F10756">
        <v>2010</v>
      </c>
      <c r="G10756">
        <v>16.111695999999998</v>
      </c>
    </row>
    <row r="10757" spans="1:7">
      <c r="A10757" t="s">
        <v>1297</v>
      </c>
      <c r="B10757" t="s">
        <v>1298</v>
      </c>
      <c r="C10757" t="s">
        <v>660</v>
      </c>
      <c r="D10757" t="s">
        <v>1416</v>
      </c>
      <c r="E10757" t="s">
        <v>187</v>
      </c>
      <c r="F10757">
        <v>2012</v>
      </c>
      <c r="G10757">
        <v>16.335998</v>
      </c>
    </row>
    <row r="10758" spans="1:7">
      <c r="A10758" t="s">
        <v>1297</v>
      </c>
      <c r="B10758" t="s">
        <v>1298</v>
      </c>
      <c r="C10758" t="s">
        <v>660</v>
      </c>
      <c r="D10758" t="s">
        <v>1416</v>
      </c>
      <c r="E10758" t="s">
        <v>187</v>
      </c>
      <c r="F10758">
        <v>2016</v>
      </c>
      <c r="G10758">
        <v>15.073715</v>
      </c>
    </row>
    <row r="10759" spans="1:7">
      <c r="A10759" t="s">
        <v>1297</v>
      </c>
      <c r="B10759" t="s">
        <v>1298</v>
      </c>
      <c r="C10759" t="s">
        <v>652</v>
      </c>
      <c r="D10759" t="s">
        <v>1416</v>
      </c>
      <c r="E10759" t="s">
        <v>187</v>
      </c>
      <c r="F10759">
        <v>2005</v>
      </c>
      <c r="G10759">
        <v>31.241</v>
      </c>
    </row>
    <row r="10760" spans="1:7">
      <c r="A10760" t="s">
        <v>1297</v>
      </c>
      <c r="B10760" t="s">
        <v>1298</v>
      </c>
      <c r="C10760" t="s">
        <v>652</v>
      </c>
      <c r="D10760" t="s">
        <v>1416</v>
      </c>
      <c r="E10760" t="s">
        <v>187</v>
      </c>
      <c r="F10760">
        <v>2010</v>
      </c>
      <c r="G10760">
        <v>18.662199999999999</v>
      </c>
    </row>
    <row r="10761" spans="1:7">
      <c r="A10761" t="s">
        <v>1297</v>
      </c>
      <c r="B10761" t="s">
        <v>1298</v>
      </c>
      <c r="C10761" t="s">
        <v>652</v>
      </c>
      <c r="D10761" t="s">
        <v>1416</v>
      </c>
      <c r="E10761" t="s">
        <v>187</v>
      </c>
      <c r="F10761">
        <v>2012</v>
      </c>
      <c r="G10761">
        <v>15.657999999999999</v>
      </c>
    </row>
    <row r="10762" spans="1:7">
      <c r="A10762" t="s">
        <v>1297</v>
      </c>
      <c r="B10762" t="s">
        <v>1298</v>
      </c>
      <c r="C10762" t="s">
        <v>652</v>
      </c>
      <c r="D10762" t="s">
        <v>1416</v>
      </c>
      <c r="E10762" t="s">
        <v>187</v>
      </c>
      <c r="F10762">
        <v>2016</v>
      </c>
      <c r="G10762">
        <v>13.7934</v>
      </c>
    </row>
    <row r="10763" spans="1:7">
      <c r="A10763" t="s">
        <v>1297</v>
      </c>
      <c r="B10763" t="s">
        <v>1298</v>
      </c>
      <c r="C10763" t="s">
        <v>652</v>
      </c>
      <c r="D10763" t="s">
        <v>1416</v>
      </c>
      <c r="E10763" t="s">
        <v>187</v>
      </c>
      <c r="F10763">
        <v>2020</v>
      </c>
      <c r="G10763">
        <v>16.240020000000001</v>
      </c>
    </row>
    <row r="10764" spans="1:7">
      <c r="A10764" t="s">
        <v>1297</v>
      </c>
      <c r="B10764" t="s">
        <v>1298</v>
      </c>
      <c r="C10764" t="s">
        <v>1301</v>
      </c>
      <c r="D10764" t="s">
        <v>1416</v>
      </c>
      <c r="E10764" t="s">
        <v>187</v>
      </c>
      <c r="F10764">
        <v>2005</v>
      </c>
      <c r="G10764">
        <v>124.82899999999999</v>
      </c>
    </row>
    <row r="10765" spans="1:7">
      <c r="A10765" t="s">
        <v>1297</v>
      </c>
      <c r="B10765" t="s">
        <v>1298</v>
      </c>
      <c r="C10765" t="s">
        <v>1301</v>
      </c>
      <c r="D10765" t="s">
        <v>1416</v>
      </c>
      <c r="E10765" t="s">
        <v>187</v>
      </c>
      <c r="F10765">
        <v>2010</v>
      </c>
      <c r="G10765">
        <v>188.25399999999999</v>
      </c>
    </row>
    <row r="10766" spans="1:7">
      <c r="A10766" t="s">
        <v>1297</v>
      </c>
      <c r="B10766" t="s">
        <v>1298</v>
      </c>
      <c r="C10766" t="s">
        <v>1301</v>
      </c>
      <c r="D10766" t="s">
        <v>1416</v>
      </c>
      <c r="E10766" t="s">
        <v>187</v>
      </c>
      <c r="F10766">
        <v>2012</v>
      </c>
      <c r="G10766">
        <v>153.02824100000001</v>
      </c>
    </row>
    <row r="10767" spans="1:7">
      <c r="A10767" t="s">
        <v>1297</v>
      </c>
      <c r="B10767" t="s">
        <v>1298</v>
      </c>
      <c r="C10767" t="s">
        <v>1301</v>
      </c>
      <c r="D10767" t="s">
        <v>1416</v>
      </c>
      <c r="E10767" t="s">
        <v>187</v>
      </c>
      <c r="F10767">
        <v>2016</v>
      </c>
      <c r="G10767">
        <v>103.6932</v>
      </c>
    </row>
    <row r="10768" spans="1:7">
      <c r="A10768" t="s">
        <v>1297</v>
      </c>
      <c r="B10768" t="s">
        <v>1298</v>
      </c>
      <c r="C10768" t="s">
        <v>1301</v>
      </c>
      <c r="D10768" t="s">
        <v>1416</v>
      </c>
      <c r="E10768" t="s">
        <v>187</v>
      </c>
      <c r="F10768">
        <v>2020</v>
      </c>
      <c r="G10768">
        <v>124.91500000000001</v>
      </c>
    </row>
    <row r="10769" spans="1:7">
      <c r="A10769" t="s">
        <v>1297</v>
      </c>
      <c r="B10769" t="s">
        <v>1298</v>
      </c>
      <c r="C10769" t="s">
        <v>675</v>
      </c>
      <c r="D10769" t="s">
        <v>1416</v>
      </c>
      <c r="E10769" t="s">
        <v>187</v>
      </c>
      <c r="F10769">
        <v>2005</v>
      </c>
      <c r="G10769">
        <v>3.1442000000000001</v>
      </c>
    </row>
    <row r="10770" spans="1:7">
      <c r="A10770" t="s">
        <v>1297</v>
      </c>
      <c r="B10770" t="s">
        <v>1298</v>
      </c>
      <c r="C10770" t="s">
        <v>675</v>
      </c>
      <c r="D10770" t="s">
        <v>1416</v>
      </c>
      <c r="E10770" t="s">
        <v>187</v>
      </c>
      <c r="F10770">
        <v>2010</v>
      </c>
      <c r="G10770">
        <v>2.8166000000000002</v>
      </c>
    </row>
    <row r="10771" spans="1:7">
      <c r="A10771" t="s">
        <v>1297</v>
      </c>
      <c r="B10771" t="s">
        <v>1298</v>
      </c>
      <c r="C10771" t="s">
        <v>675</v>
      </c>
      <c r="D10771" t="s">
        <v>1416</v>
      </c>
      <c r="E10771" t="s">
        <v>187</v>
      </c>
      <c r="F10771">
        <v>2012</v>
      </c>
      <c r="G10771">
        <v>2.8592</v>
      </c>
    </row>
    <row r="10772" spans="1:7">
      <c r="A10772" t="s">
        <v>1297</v>
      </c>
      <c r="B10772" t="s">
        <v>1298</v>
      </c>
      <c r="C10772" t="s">
        <v>675</v>
      </c>
      <c r="D10772" t="s">
        <v>1416</v>
      </c>
      <c r="E10772" t="s">
        <v>187</v>
      </c>
      <c r="F10772">
        <v>2016</v>
      </c>
      <c r="G10772">
        <v>2.9443350000000001</v>
      </c>
    </row>
    <row r="10773" spans="1:7">
      <c r="A10773" t="s">
        <v>1297</v>
      </c>
      <c r="B10773" t="s">
        <v>1298</v>
      </c>
      <c r="C10773" t="s">
        <v>675</v>
      </c>
      <c r="D10773" t="s">
        <v>1416</v>
      </c>
      <c r="E10773" t="s">
        <v>187</v>
      </c>
      <c r="F10773">
        <v>2020</v>
      </c>
      <c r="G10773">
        <v>2.9166219999999998</v>
      </c>
    </row>
    <row r="10774" spans="1:7">
      <c r="A10774" t="s">
        <v>1297</v>
      </c>
      <c r="B10774" t="s">
        <v>1298</v>
      </c>
      <c r="C10774" t="s">
        <v>1303</v>
      </c>
      <c r="D10774" t="s">
        <v>1416</v>
      </c>
      <c r="E10774" t="s">
        <v>187</v>
      </c>
      <c r="F10774">
        <v>2016</v>
      </c>
      <c r="G10774">
        <v>0.59640000000000004</v>
      </c>
    </row>
    <row r="10775" spans="1:7">
      <c r="A10775" t="s">
        <v>1297</v>
      </c>
      <c r="B10775" t="s">
        <v>1298</v>
      </c>
      <c r="C10775" t="s">
        <v>1303</v>
      </c>
      <c r="D10775" t="s">
        <v>1416</v>
      </c>
      <c r="E10775" t="s">
        <v>187</v>
      </c>
      <c r="F10775">
        <v>2020</v>
      </c>
      <c r="G10775">
        <v>0.464532</v>
      </c>
    </row>
    <row r="10776" spans="1:7">
      <c r="A10776" t="s">
        <v>1297</v>
      </c>
      <c r="B10776" t="s">
        <v>1298</v>
      </c>
      <c r="C10776" t="s">
        <v>679</v>
      </c>
      <c r="D10776" t="s">
        <v>1416</v>
      </c>
      <c r="E10776" t="s">
        <v>187</v>
      </c>
      <c r="F10776">
        <v>2005</v>
      </c>
      <c r="G10776">
        <v>6.6468999999999996</v>
      </c>
    </row>
    <row r="10777" spans="1:7">
      <c r="A10777" t="s">
        <v>1297</v>
      </c>
      <c r="B10777" t="s">
        <v>1298</v>
      </c>
      <c r="C10777" t="s">
        <v>679</v>
      </c>
      <c r="D10777" t="s">
        <v>1416</v>
      </c>
      <c r="E10777" t="s">
        <v>187</v>
      </c>
      <c r="F10777">
        <v>2010</v>
      </c>
      <c r="G10777">
        <v>6.1843000000000004</v>
      </c>
    </row>
    <row r="10778" spans="1:7">
      <c r="A10778" t="s">
        <v>1297</v>
      </c>
      <c r="B10778" t="s">
        <v>1298</v>
      </c>
      <c r="C10778" t="s">
        <v>679</v>
      </c>
      <c r="D10778" t="s">
        <v>1416</v>
      </c>
      <c r="E10778" t="s">
        <v>187</v>
      </c>
      <c r="F10778">
        <v>2012</v>
      </c>
      <c r="G10778">
        <v>5.9196999999999997</v>
      </c>
    </row>
    <row r="10779" spans="1:7">
      <c r="A10779" t="s">
        <v>1297</v>
      </c>
      <c r="B10779" t="s">
        <v>1298</v>
      </c>
      <c r="C10779" t="s">
        <v>679</v>
      </c>
      <c r="D10779" t="s">
        <v>1416</v>
      </c>
      <c r="E10779" t="s">
        <v>187</v>
      </c>
      <c r="F10779">
        <v>2016</v>
      </c>
      <c r="G10779">
        <v>4.8482000000000003</v>
      </c>
    </row>
    <row r="10780" spans="1:7">
      <c r="A10780" t="s">
        <v>1297</v>
      </c>
      <c r="B10780" t="s">
        <v>1298</v>
      </c>
      <c r="C10780" t="s">
        <v>679</v>
      </c>
      <c r="D10780" t="s">
        <v>1416</v>
      </c>
      <c r="E10780" t="s">
        <v>187</v>
      </c>
      <c r="F10780">
        <v>2020</v>
      </c>
      <c r="G10780">
        <v>5.3243710000000002</v>
      </c>
    </row>
    <row r="10781" spans="1:7">
      <c r="A10781" t="s">
        <v>1297</v>
      </c>
      <c r="B10781" t="s">
        <v>1298</v>
      </c>
      <c r="C10781" t="s">
        <v>1299</v>
      </c>
      <c r="D10781" t="s">
        <v>1416</v>
      </c>
      <c r="E10781" t="s">
        <v>187</v>
      </c>
      <c r="F10781">
        <v>2005</v>
      </c>
      <c r="G10781">
        <v>52.436999999999998</v>
      </c>
    </row>
    <row r="10782" spans="1:7">
      <c r="A10782" t="s">
        <v>1297</v>
      </c>
      <c r="B10782" t="s">
        <v>1298</v>
      </c>
      <c r="C10782" t="s">
        <v>1299</v>
      </c>
      <c r="D10782" t="s">
        <v>1416</v>
      </c>
      <c r="E10782" t="s">
        <v>187</v>
      </c>
      <c r="F10782">
        <v>2010</v>
      </c>
      <c r="G10782">
        <v>52.531599999999997</v>
      </c>
    </row>
    <row r="10783" spans="1:7">
      <c r="A10783" t="s">
        <v>1297</v>
      </c>
      <c r="B10783" t="s">
        <v>1298</v>
      </c>
      <c r="C10783" t="s">
        <v>1299</v>
      </c>
      <c r="D10783" t="s">
        <v>1416</v>
      </c>
      <c r="E10783" t="s">
        <v>187</v>
      </c>
      <c r="F10783">
        <v>2012</v>
      </c>
      <c r="G10783">
        <v>56.4908</v>
      </c>
    </row>
    <row r="10784" spans="1:7">
      <c r="A10784" t="s">
        <v>1297</v>
      </c>
      <c r="B10784" t="s">
        <v>1298</v>
      </c>
      <c r="C10784" t="s">
        <v>1299</v>
      </c>
      <c r="D10784" t="s">
        <v>1416</v>
      </c>
      <c r="E10784" t="s">
        <v>187</v>
      </c>
      <c r="F10784">
        <v>2016</v>
      </c>
      <c r="G10784">
        <v>59.185600000000001</v>
      </c>
    </row>
    <row r="10785" spans="1:7">
      <c r="A10785" t="s">
        <v>1297</v>
      </c>
      <c r="B10785" t="s">
        <v>1298</v>
      </c>
      <c r="C10785" t="s">
        <v>1299</v>
      </c>
      <c r="D10785" t="s">
        <v>1416</v>
      </c>
      <c r="E10785" t="s">
        <v>187</v>
      </c>
      <c r="F10785">
        <v>2020</v>
      </c>
      <c r="G10785">
        <v>52.097200000000001</v>
      </c>
    </row>
    <row r="10786" spans="1:7">
      <c r="A10786" t="s">
        <v>1297</v>
      </c>
      <c r="B10786" t="s">
        <v>1298</v>
      </c>
      <c r="C10786" t="s">
        <v>672</v>
      </c>
      <c r="D10786" t="s">
        <v>1416</v>
      </c>
      <c r="E10786" t="s">
        <v>187</v>
      </c>
      <c r="F10786">
        <v>2005</v>
      </c>
      <c r="G10786">
        <v>18.096689999999999</v>
      </c>
    </row>
    <row r="10787" spans="1:7">
      <c r="A10787" t="s">
        <v>1297</v>
      </c>
      <c r="B10787" t="s">
        <v>1298</v>
      </c>
      <c r="C10787" t="s">
        <v>671</v>
      </c>
      <c r="D10787" t="s">
        <v>1416</v>
      </c>
      <c r="E10787" t="s">
        <v>187</v>
      </c>
      <c r="F10787">
        <v>2005</v>
      </c>
      <c r="G10787">
        <v>120.4988</v>
      </c>
    </row>
    <row r="10788" spans="1:7">
      <c r="A10788" t="s">
        <v>1297</v>
      </c>
      <c r="B10788" t="s">
        <v>1298</v>
      </c>
      <c r="C10788" t="s">
        <v>671</v>
      </c>
      <c r="D10788" t="s">
        <v>1416</v>
      </c>
      <c r="E10788" t="s">
        <v>187</v>
      </c>
      <c r="F10788">
        <v>2010</v>
      </c>
      <c r="G10788">
        <v>76.745099999999994</v>
      </c>
    </row>
    <row r="10789" spans="1:7">
      <c r="A10789" t="s">
        <v>1297</v>
      </c>
      <c r="B10789" t="s">
        <v>1298</v>
      </c>
      <c r="C10789" t="s">
        <v>671</v>
      </c>
      <c r="D10789" t="s">
        <v>1416</v>
      </c>
      <c r="E10789" t="s">
        <v>187</v>
      </c>
      <c r="F10789">
        <v>2012</v>
      </c>
      <c r="G10789">
        <v>78.397499999999994</v>
      </c>
    </row>
    <row r="10790" spans="1:7">
      <c r="A10790" t="s">
        <v>1297</v>
      </c>
      <c r="B10790" t="s">
        <v>1298</v>
      </c>
      <c r="C10790" t="s">
        <v>671</v>
      </c>
      <c r="D10790" t="s">
        <v>1416</v>
      </c>
      <c r="E10790" t="s">
        <v>187</v>
      </c>
      <c r="F10790">
        <v>2016</v>
      </c>
      <c r="G10790">
        <v>77.322999999999993</v>
      </c>
    </row>
    <row r="10791" spans="1:7">
      <c r="A10791" t="s">
        <v>1297</v>
      </c>
      <c r="B10791" t="s">
        <v>1298</v>
      </c>
      <c r="C10791" t="s">
        <v>671</v>
      </c>
      <c r="D10791" t="s">
        <v>1416</v>
      </c>
      <c r="E10791" t="s">
        <v>187</v>
      </c>
      <c r="F10791">
        <v>2020</v>
      </c>
      <c r="G10791">
        <v>99.982489999999999</v>
      </c>
    </row>
    <row r="10792" spans="1:7">
      <c r="A10792" t="s">
        <v>1297</v>
      </c>
      <c r="B10792" t="s">
        <v>1298</v>
      </c>
      <c r="C10792" t="s">
        <v>662</v>
      </c>
      <c r="D10792" t="s">
        <v>1416</v>
      </c>
      <c r="E10792" t="s">
        <v>187</v>
      </c>
      <c r="F10792">
        <v>2005</v>
      </c>
      <c r="G10792">
        <v>36.916200000000003</v>
      </c>
    </row>
    <row r="10793" spans="1:7">
      <c r="A10793" t="s">
        <v>1297</v>
      </c>
      <c r="B10793" t="s">
        <v>1298</v>
      </c>
      <c r="C10793" t="s">
        <v>662</v>
      </c>
      <c r="D10793" t="s">
        <v>1416</v>
      </c>
      <c r="E10793" t="s">
        <v>187</v>
      </c>
      <c r="F10793">
        <v>2010</v>
      </c>
      <c r="G10793">
        <v>22.868600000000001</v>
      </c>
    </row>
    <row r="10794" spans="1:7">
      <c r="A10794" t="s">
        <v>1297</v>
      </c>
      <c r="B10794" t="s">
        <v>1298</v>
      </c>
      <c r="C10794" t="s">
        <v>662</v>
      </c>
      <c r="D10794" t="s">
        <v>1416</v>
      </c>
      <c r="E10794" t="s">
        <v>187</v>
      </c>
      <c r="F10794">
        <v>2012</v>
      </c>
      <c r="G10794">
        <v>0.80920000000000003</v>
      </c>
    </row>
    <row r="10795" spans="1:7">
      <c r="A10795" t="s">
        <v>1297</v>
      </c>
      <c r="B10795" t="s">
        <v>1298</v>
      </c>
      <c r="C10795" t="s">
        <v>662</v>
      </c>
      <c r="D10795" t="s">
        <v>1416</v>
      </c>
      <c r="E10795" t="s">
        <v>187</v>
      </c>
      <c r="F10795">
        <v>2016</v>
      </c>
      <c r="G10795">
        <v>1.3517999999999999</v>
      </c>
    </row>
    <row r="10796" spans="1:7">
      <c r="A10796" t="s">
        <v>1297</v>
      </c>
      <c r="B10796" t="s">
        <v>1298</v>
      </c>
      <c r="C10796" t="s">
        <v>662</v>
      </c>
      <c r="D10796" t="s">
        <v>1416</v>
      </c>
      <c r="E10796" t="s">
        <v>187</v>
      </c>
      <c r="F10796">
        <v>2020</v>
      </c>
      <c r="G10796">
        <v>1.566794</v>
      </c>
    </row>
    <row r="10797" spans="1:7">
      <c r="A10797" t="s">
        <v>1297</v>
      </c>
      <c r="B10797" t="s">
        <v>1298</v>
      </c>
      <c r="C10797" t="s">
        <v>663</v>
      </c>
      <c r="D10797" t="s">
        <v>1416</v>
      </c>
      <c r="E10797" t="s">
        <v>187</v>
      </c>
      <c r="F10797">
        <v>2005</v>
      </c>
      <c r="G10797">
        <v>9.7192000000000007</v>
      </c>
    </row>
    <row r="10798" spans="1:7">
      <c r="A10798" t="s">
        <v>1297</v>
      </c>
      <c r="B10798" t="s">
        <v>1298</v>
      </c>
      <c r="C10798" t="s">
        <v>667</v>
      </c>
      <c r="D10798" t="s">
        <v>1417</v>
      </c>
      <c r="E10798" t="s">
        <v>187</v>
      </c>
      <c r="F10798">
        <v>2005</v>
      </c>
      <c r="G10798">
        <v>2.4013369999999998</v>
      </c>
    </row>
    <row r="10799" spans="1:7">
      <c r="A10799" t="s">
        <v>1297</v>
      </c>
      <c r="B10799" t="s">
        <v>1298</v>
      </c>
      <c r="C10799" t="s">
        <v>667</v>
      </c>
      <c r="D10799" t="s">
        <v>1417</v>
      </c>
      <c r="E10799" t="s">
        <v>187</v>
      </c>
      <c r="F10799">
        <v>2010</v>
      </c>
      <c r="G10799">
        <v>2.4054700000000002</v>
      </c>
    </row>
    <row r="10800" spans="1:7">
      <c r="A10800" t="s">
        <v>1297</v>
      </c>
      <c r="B10800" t="s">
        <v>1298</v>
      </c>
      <c r="C10800" t="s">
        <v>667</v>
      </c>
      <c r="D10800" t="s">
        <v>1417</v>
      </c>
      <c r="E10800" t="s">
        <v>187</v>
      </c>
      <c r="F10800">
        <v>2012</v>
      </c>
      <c r="G10800">
        <v>2.0811289999999998</v>
      </c>
    </row>
    <row r="10801" spans="1:7">
      <c r="A10801" t="s">
        <v>1297</v>
      </c>
      <c r="B10801" t="s">
        <v>1298</v>
      </c>
      <c r="C10801" t="s">
        <v>667</v>
      </c>
      <c r="D10801" t="s">
        <v>1417</v>
      </c>
      <c r="E10801" t="s">
        <v>187</v>
      </c>
      <c r="F10801">
        <v>2016</v>
      </c>
      <c r="G10801">
        <v>3.1751369999999999</v>
      </c>
    </row>
    <row r="10802" spans="1:7">
      <c r="A10802" t="s">
        <v>1297</v>
      </c>
      <c r="B10802" t="s">
        <v>1298</v>
      </c>
      <c r="C10802" t="s">
        <v>667</v>
      </c>
      <c r="D10802" t="s">
        <v>1417</v>
      </c>
      <c r="E10802" t="s">
        <v>187</v>
      </c>
      <c r="F10802">
        <v>2020</v>
      </c>
      <c r="G10802">
        <v>5.9477929999999999</v>
      </c>
    </row>
    <row r="10803" spans="1:7">
      <c r="A10803" t="s">
        <v>1297</v>
      </c>
      <c r="B10803" t="s">
        <v>1298</v>
      </c>
      <c r="C10803" t="s">
        <v>662</v>
      </c>
      <c r="D10803" t="s">
        <v>1417</v>
      </c>
      <c r="E10803" t="s">
        <v>187</v>
      </c>
      <c r="F10803">
        <v>2016</v>
      </c>
      <c r="G10803">
        <v>7.3794000000000004</v>
      </c>
    </row>
    <row r="10804" spans="1:7">
      <c r="A10804" t="s">
        <v>1297</v>
      </c>
      <c r="B10804" t="s">
        <v>1298</v>
      </c>
      <c r="C10804" t="s">
        <v>680</v>
      </c>
      <c r="D10804" t="s">
        <v>1417</v>
      </c>
      <c r="E10804" t="s">
        <v>187</v>
      </c>
      <c r="F10804">
        <v>2010</v>
      </c>
      <c r="G10804">
        <v>4.7E-2</v>
      </c>
    </row>
    <row r="10805" spans="1:7">
      <c r="A10805" t="s">
        <v>1297</v>
      </c>
      <c r="B10805" t="s">
        <v>1298</v>
      </c>
      <c r="C10805" t="s">
        <v>680</v>
      </c>
      <c r="D10805" t="s">
        <v>1417</v>
      </c>
      <c r="E10805" t="s">
        <v>187</v>
      </c>
      <c r="F10805">
        <v>2012</v>
      </c>
      <c r="G10805">
        <v>0.09</v>
      </c>
    </row>
    <row r="10806" spans="1:7">
      <c r="A10806" t="s">
        <v>1297</v>
      </c>
      <c r="B10806" t="s">
        <v>1298</v>
      </c>
      <c r="C10806" t="s">
        <v>680</v>
      </c>
      <c r="D10806" t="s">
        <v>1417</v>
      </c>
      <c r="E10806" t="s">
        <v>187</v>
      </c>
      <c r="F10806">
        <v>2016</v>
      </c>
      <c r="G10806">
        <v>2.5756000000000001E-2</v>
      </c>
    </row>
    <row r="10807" spans="1:7">
      <c r="A10807" t="s">
        <v>1297</v>
      </c>
      <c r="B10807" t="s">
        <v>1298</v>
      </c>
      <c r="C10807" t="s">
        <v>680</v>
      </c>
      <c r="D10807" t="s">
        <v>1417</v>
      </c>
      <c r="E10807" t="s">
        <v>187</v>
      </c>
      <c r="F10807">
        <v>2020</v>
      </c>
      <c r="G10807">
        <v>1.6968E-2</v>
      </c>
    </row>
    <row r="10808" spans="1:7">
      <c r="A10808" t="s">
        <v>1297</v>
      </c>
      <c r="B10808" t="s">
        <v>1298</v>
      </c>
      <c r="C10808" t="s">
        <v>670</v>
      </c>
      <c r="D10808" t="s">
        <v>1417</v>
      </c>
      <c r="E10808" t="s">
        <v>187</v>
      </c>
      <c r="F10808">
        <v>2005</v>
      </c>
      <c r="G10808">
        <v>5.8717920000000001</v>
      </c>
    </row>
    <row r="10809" spans="1:7">
      <c r="A10809" t="s">
        <v>1297</v>
      </c>
      <c r="B10809" t="s">
        <v>1298</v>
      </c>
      <c r="C10809" t="s">
        <v>670</v>
      </c>
      <c r="D10809" t="s">
        <v>1417</v>
      </c>
      <c r="E10809" t="s">
        <v>187</v>
      </c>
      <c r="F10809">
        <v>2010</v>
      </c>
      <c r="G10809">
        <v>5.2445919999999999</v>
      </c>
    </row>
    <row r="10810" spans="1:7">
      <c r="A10810" t="s">
        <v>1297</v>
      </c>
      <c r="B10810" t="s">
        <v>1298</v>
      </c>
      <c r="C10810" t="s">
        <v>670</v>
      </c>
      <c r="D10810" t="s">
        <v>1417</v>
      </c>
      <c r="E10810" t="s">
        <v>187</v>
      </c>
      <c r="F10810">
        <v>2012</v>
      </c>
      <c r="G10810">
        <v>5.132244</v>
      </c>
    </row>
    <row r="10811" spans="1:7">
      <c r="A10811" t="s">
        <v>1297</v>
      </c>
      <c r="B10811" t="s">
        <v>1298</v>
      </c>
      <c r="C10811" t="s">
        <v>670</v>
      </c>
      <c r="D10811" t="s">
        <v>1417</v>
      </c>
      <c r="E10811" t="s">
        <v>187</v>
      </c>
      <c r="F10811">
        <v>2016</v>
      </c>
      <c r="G10811">
        <v>6.8207740000000001</v>
      </c>
    </row>
    <row r="10812" spans="1:7">
      <c r="A10812" t="s">
        <v>1297</v>
      </c>
      <c r="B10812" t="s">
        <v>1298</v>
      </c>
      <c r="C10812" t="s">
        <v>670</v>
      </c>
      <c r="D10812" t="s">
        <v>1417</v>
      </c>
      <c r="E10812" t="s">
        <v>187</v>
      </c>
      <c r="F10812">
        <v>2020</v>
      </c>
      <c r="G10812">
        <v>10.059714</v>
      </c>
    </row>
    <row r="10813" spans="1:7">
      <c r="A10813" t="s">
        <v>1297</v>
      </c>
      <c r="B10813" t="s">
        <v>1298</v>
      </c>
      <c r="C10813" t="s">
        <v>651</v>
      </c>
      <c r="D10813" t="s">
        <v>1417</v>
      </c>
      <c r="E10813" t="s">
        <v>187</v>
      </c>
      <c r="F10813">
        <v>2005</v>
      </c>
      <c r="G10813">
        <v>28.449124000000001</v>
      </c>
    </row>
    <row r="10814" spans="1:7">
      <c r="A10814" t="s">
        <v>1297</v>
      </c>
      <c r="B10814" t="s">
        <v>1298</v>
      </c>
      <c r="C10814" t="s">
        <v>651</v>
      </c>
      <c r="D10814" t="s">
        <v>1417</v>
      </c>
      <c r="E10814" t="s">
        <v>187</v>
      </c>
      <c r="F10814">
        <v>2010</v>
      </c>
      <c r="G10814">
        <v>10.848113</v>
      </c>
    </row>
    <row r="10815" spans="1:7">
      <c r="A10815" t="s">
        <v>1297</v>
      </c>
      <c r="B10815" t="s">
        <v>1298</v>
      </c>
      <c r="C10815" t="s">
        <v>651</v>
      </c>
      <c r="D10815" t="s">
        <v>1417</v>
      </c>
      <c r="E10815" t="s">
        <v>187</v>
      </c>
      <c r="F10815">
        <v>2012</v>
      </c>
      <c r="G10815">
        <v>6.6633269999999998</v>
      </c>
    </row>
    <row r="10816" spans="1:7">
      <c r="A10816" t="s">
        <v>1297</v>
      </c>
      <c r="B10816" t="s">
        <v>1298</v>
      </c>
      <c r="C10816" t="s">
        <v>651</v>
      </c>
      <c r="D10816" t="s">
        <v>1417</v>
      </c>
      <c r="E10816" t="s">
        <v>187</v>
      </c>
      <c r="F10816">
        <v>2016</v>
      </c>
      <c r="G10816">
        <v>6.5983900000000002</v>
      </c>
    </row>
    <row r="10817" spans="1:7">
      <c r="A10817" t="s">
        <v>1297</v>
      </c>
      <c r="B10817" t="s">
        <v>1298</v>
      </c>
      <c r="C10817" t="s">
        <v>651</v>
      </c>
      <c r="D10817" t="s">
        <v>1417</v>
      </c>
      <c r="E10817" t="s">
        <v>187</v>
      </c>
      <c r="F10817">
        <v>2020</v>
      </c>
      <c r="G10817">
        <v>7.8661620000000001</v>
      </c>
    </row>
    <row r="10818" spans="1:7">
      <c r="A10818" t="s">
        <v>1297</v>
      </c>
      <c r="B10818" t="s">
        <v>1298</v>
      </c>
      <c r="C10818" t="s">
        <v>662</v>
      </c>
      <c r="D10818" t="s">
        <v>1417</v>
      </c>
      <c r="E10818" t="s">
        <v>187</v>
      </c>
      <c r="F10818">
        <v>2005</v>
      </c>
      <c r="G10818">
        <v>18.698499999999999</v>
      </c>
    </row>
    <row r="10819" spans="1:7">
      <c r="A10819" t="s">
        <v>1297</v>
      </c>
      <c r="B10819" t="s">
        <v>1298</v>
      </c>
      <c r="C10819" t="s">
        <v>662</v>
      </c>
      <c r="D10819" t="s">
        <v>1417</v>
      </c>
      <c r="E10819" t="s">
        <v>187</v>
      </c>
      <c r="F10819">
        <v>2010</v>
      </c>
      <c r="G10819">
        <v>10.658200000000001</v>
      </c>
    </row>
    <row r="10820" spans="1:7">
      <c r="A10820" t="s">
        <v>1297</v>
      </c>
      <c r="B10820" t="s">
        <v>1298</v>
      </c>
      <c r="C10820" t="s">
        <v>662</v>
      </c>
      <c r="D10820" t="s">
        <v>1417</v>
      </c>
      <c r="E10820" t="s">
        <v>187</v>
      </c>
      <c r="F10820">
        <v>2012</v>
      </c>
      <c r="G10820">
        <v>7.1315999999999997</v>
      </c>
    </row>
    <row r="10821" spans="1:7">
      <c r="A10821" t="s">
        <v>1297</v>
      </c>
      <c r="B10821" t="s">
        <v>1298</v>
      </c>
      <c r="C10821" t="s">
        <v>684</v>
      </c>
      <c r="D10821" t="s">
        <v>1417</v>
      </c>
      <c r="E10821" t="s">
        <v>187</v>
      </c>
      <c r="F10821">
        <v>2016</v>
      </c>
      <c r="G10821">
        <v>0.39274999999999999</v>
      </c>
    </row>
    <row r="10822" spans="1:7">
      <c r="A10822" t="s">
        <v>1297</v>
      </c>
      <c r="B10822" t="s">
        <v>1298</v>
      </c>
      <c r="C10822" t="s">
        <v>684</v>
      </c>
      <c r="D10822" t="s">
        <v>1417</v>
      </c>
      <c r="E10822" t="s">
        <v>187</v>
      </c>
      <c r="F10822">
        <v>2020</v>
      </c>
      <c r="G10822">
        <v>0.443166</v>
      </c>
    </row>
    <row r="10823" spans="1:7">
      <c r="A10823" t="s">
        <v>1297</v>
      </c>
      <c r="B10823" t="s">
        <v>1298</v>
      </c>
      <c r="C10823" t="s">
        <v>661</v>
      </c>
      <c r="D10823" t="s">
        <v>1417</v>
      </c>
      <c r="E10823" t="s">
        <v>187</v>
      </c>
      <c r="F10823">
        <v>2020</v>
      </c>
      <c r="G10823">
        <v>99.726511000000002</v>
      </c>
    </row>
    <row r="10824" spans="1:7">
      <c r="A10824" t="s">
        <v>1297</v>
      </c>
      <c r="B10824" t="s">
        <v>1298</v>
      </c>
      <c r="C10824" t="s">
        <v>674</v>
      </c>
      <c r="D10824" t="s">
        <v>1417</v>
      </c>
      <c r="E10824" t="s">
        <v>187</v>
      </c>
      <c r="F10824">
        <v>2005</v>
      </c>
      <c r="G10824">
        <v>17.830514999999998</v>
      </c>
    </row>
    <row r="10825" spans="1:7">
      <c r="A10825" t="s">
        <v>1297</v>
      </c>
      <c r="B10825" t="s">
        <v>1298</v>
      </c>
      <c r="C10825" t="s">
        <v>674</v>
      </c>
      <c r="D10825" t="s">
        <v>1417</v>
      </c>
      <c r="E10825" t="s">
        <v>187</v>
      </c>
      <c r="F10825">
        <v>2010</v>
      </c>
      <c r="G10825">
        <v>15.991453999999999</v>
      </c>
    </row>
    <row r="10826" spans="1:7">
      <c r="A10826" t="s">
        <v>1297</v>
      </c>
      <c r="B10826" t="s">
        <v>1298</v>
      </c>
      <c r="C10826" t="s">
        <v>674</v>
      </c>
      <c r="D10826" t="s">
        <v>1417</v>
      </c>
      <c r="E10826" t="s">
        <v>187</v>
      </c>
      <c r="F10826">
        <v>2012</v>
      </c>
      <c r="G10826">
        <v>12.297278</v>
      </c>
    </row>
    <row r="10827" spans="1:7">
      <c r="A10827" t="s">
        <v>1297</v>
      </c>
      <c r="B10827" t="s">
        <v>1298</v>
      </c>
      <c r="C10827" t="s">
        <v>674</v>
      </c>
      <c r="D10827" t="s">
        <v>1417</v>
      </c>
      <c r="E10827" t="s">
        <v>187</v>
      </c>
      <c r="F10827">
        <v>2016</v>
      </c>
      <c r="G10827">
        <v>9.7629199999999994</v>
      </c>
    </row>
    <row r="10828" spans="1:7">
      <c r="A10828" t="s">
        <v>1297</v>
      </c>
      <c r="B10828" t="s">
        <v>1298</v>
      </c>
      <c r="C10828" t="s">
        <v>674</v>
      </c>
      <c r="D10828" t="s">
        <v>1417</v>
      </c>
      <c r="E10828" t="s">
        <v>187</v>
      </c>
      <c r="F10828">
        <v>2020</v>
      </c>
      <c r="G10828">
        <v>9.2289619999999992</v>
      </c>
    </row>
    <row r="10829" spans="1:7">
      <c r="A10829" t="s">
        <v>1297</v>
      </c>
      <c r="B10829" t="s">
        <v>1298</v>
      </c>
      <c r="C10829" t="s">
        <v>671</v>
      </c>
      <c r="D10829" t="s">
        <v>1417</v>
      </c>
      <c r="E10829" t="s">
        <v>187</v>
      </c>
      <c r="F10829">
        <v>2005</v>
      </c>
      <c r="G10829">
        <v>17.974</v>
      </c>
    </row>
    <row r="10830" spans="1:7">
      <c r="A10830" t="s">
        <v>1297</v>
      </c>
      <c r="B10830" t="s">
        <v>1298</v>
      </c>
      <c r="C10830" t="s">
        <v>671</v>
      </c>
      <c r="D10830" t="s">
        <v>1417</v>
      </c>
      <c r="E10830" t="s">
        <v>187</v>
      </c>
      <c r="F10830">
        <v>2010</v>
      </c>
      <c r="G10830">
        <v>30.9529</v>
      </c>
    </row>
    <row r="10831" spans="1:7">
      <c r="A10831" t="s">
        <v>1297</v>
      </c>
      <c r="B10831" t="s">
        <v>1298</v>
      </c>
      <c r="C10831" t="s">
        <v>671</v>
      </c>
      <c r="D10831" t="s">
        <v>1417</v>
      </c>
      <c r="E10831" t="s">
        <v>187</v>
      </c>
      <c r="F10831">
        <v>2012</v>
      </c>
      <c r="G10831">
        <v>22.450500000000002</v>
      </c>
    </row>
    <row r="10832" spans="1:7">
      <c r="A10832" t="s">
        <v>1297</v>
      </c>
      <c r="B10832" t="s">
        <v>1298</v>
      </c>
      <c r="C10832" t="s">
        <v>671</v>
      </c>
      <c r="D10832" t="s">
        <v>1417</v>
      </c>
      <c r="E10832" t="s">
        <v>187</v>
      </c>
      <c r="F10832">
        <v>2016</v>
      </c>
      <c r="G10832">
        <v>17.754000000000001</v>
      </c>
    </row>
    <row r="10833" spans="1:7">
      <c r="A10833" t="s">
        <v>1297</v>
      </c>
      <c r="B10833" t="s">
        <v>1298</v>
      </c>
      <c r="C10833" t="s">
        <v>671</v>
      </c>
      <c r="D10833" t="s">
        <v>1417</v>
      </c>
      <c r="E10833" t="s">
        <v>187</v>
      </c>
      <c r="F10833">
        <v>2020</v>
      </c>
      <c r="G10833">
        <v>17.100508999999999</v>
      </c>
    </row>
    <row r="10834" spans="1:7">
      <c r="A10834" t="s">
        <v>1297</v>
      </c>
      <c r="B10834" t="s">
        <v>1298</v>
      </c>
      <c r="C10834" t="s">
        <v>677</v>
      </c>
      <c r="D10834" t="s">
        <v>1417</v>
      </c>
      <c r="E10834" t="s">
        <v>187</v>
      </c>
      <c r="F10834">
        <v>2005</v>
      </c>
      <c r="G10834">
        <v>36.595236</v>
      </c>
    </row>
    <row r="10835" spans="1:7">
      <c r="A10835" t="s">
        <v>1297</v>
      </c>
      <c r="B10835" t="s">
        <v>1298</v>
      </c>
      <c r="C10835" t="s">
        <v>677</v>
      </c>
      <c r="D10835" t="s">
        <v>1417</v>
      </c>
      <c r="E10835" t="s">
        <v>187</v>
      </c>
      <c r="F10835">
        <v>2010</v>
      </c>
      <c r="G10835">
        <v>27.23958</v>
      </c>
    </row>
    <row r="10836" spans="1:7">
      <c r="A10836" t="s">
        <v>1297</v>
      </c>
      <c r="B10836" t="s">
        <v>1298</v>
      </c>
      <c r="C10836" t="s">
        <v>677</v>
      </c>
      <c r="D10836" t="s">
        <v>1417</v>
      </c>
      <c r="E10836" t="s">
        <v>187</v>
      </c>
      <c r="F10836">
        <v>2012</v>
      </c>
      <c r="G10836">
        <v>28.384466</v>
      </c>
    </row>
    <row r="10837" spans="1:7">
      <c r="A10837" t="s">
        <v>1297</v>
      </c>
      <c r="B10837" t="s">
        <v>1298</v>
      </c>
      <c r="C10837" t="s">
        <v>677</v>
      </c>
      <c r="D10837" t="s">
        <v>1417</v>
      </c>
      <c r="E10837" t="s">
        <v>187</v>
      </c>
      <c r="F10837">
        <v>2016</v>
      </c>
      <c r="G10837">
        <v>93.018358000000006</v>
      </c>
    </row>
    <row r="10838" spans="1:7">
      <c r="A10838" t="s">
        <v>1297</v>
      </c>
      <c r="B10838" t="s">
        <v>1298</v>
      </c>
      <c r="C10838" t="s">
        <v>677</v>
      </c>
      <c r="D10838" t="s">
        <v>1417</v>
      </c>
      <c r="E10838" t="s">
        <v>187</v>
      </c>
      <c r="F10838">
        <v>2020</v>
      </c>
      <c r="G10838">
        <v>94.654698999999994</v>
      </c>
    </row>
    <row r="10839" spans="1:7">
      <c r="A10839" t="s">
        <v>1297</v>
      </c>
      <c r="B10839" t="s">
        <v>1298</v>
      </c>
      <c r="C10839" t="s">
        <v>663</v>
      </c>
      <c r="D10839" t="s">
        <v>1417</v>
      </c>
      <c r="E10839" t="s">
        <v>187</v>
      </c>
      <c r="F10839">
        <v>2005</v>
      </c>
      <c r="G10839">
        <v>1.4601999999999999</v>
      </c>
    </row>
    <row r="10840" spans="1:7">
      <c r="A10840" t="s">
        <v>1297</v>
      </c>
      <c r="B10840" t="s">
        <v>1298</v>
      </c>
      <c r="C10840" t="s">
        <v>663</v>
      </c>
      <c r="D10840" t="s">
        <v>1417</v>
      </c>
      <c r="E10840" t="s">
        <v>187</v>
      </c>
      <c r="F10840">
        <v>2010</v>
      </c>
      <c r="G10840">
        <v>0.89300000000000002</v>
      </c>
    </row>
    <row r="10841" spans="1:7">
      <c r="A10841" t="s">
        <v>1297</v>
      </c>
      <c r="B10841" t="s">
        <v>1298</v>
      </c>
      <c r="C10841" t="s">
        <v>663</v>
      </c>
      <c r="D10841" t="s">
        <v>1417</v>
      </c>
      <c r="E10841" t="s">
        <v>187</v>
      </c>
      <c r="F10841">
        <v>2012</v>
      </c>
      <c r="G10841">
        <v>1.1981999999999999</v>
      </c>
    </row>
    <row r="10842" spans="1:7">
      <c r="A10842" t="s">
        <v>1297</v>
      </c>
      <c r="B10842" t="s">
        <v>1298</v>
      </c>
      <c r="C10842" t="s">
        <v>663</v>
      </c>
      <c r="D10842" t="s">
        <v>1417</v>
      </c>
      <c r="E10842" t="s">
        <v>187</v>
      </c>
      <c r="F10842">
        <v>2016</v>
      </c>
      <c r="G10842">
        <v>1.4809600000000001</v>
      </c>
    </row>
    <row r="10843" spans="1:7">
      <c r="A10843" t="s">
        <v>1297</v>
      </c>
      <c r="B10843" t="s">
        <v>1298</v>
      </c>
      <c r="C10843" t="s">
        <v>663</v>
      </c>
      <c r="D10843" t="s">
        <v>1417</v>
      </c>
      <c r="E10843" t="s">
        <v>187</v>
      </c>
      <c r="F10843">
        <v>2020</v>
      </c>
      <c r="G10843">
        <v>1.3595999999999999</v>
      </c>
    </row>
    <row r="10844" spans="1:7">
      <c r="A10844" t="s">
        <v>1297</v>
      </c>
      <c r="B10844" t="s">
        <v>1298</v>
      </c>
      <c r="C10844" t="s">
        <v>673</v>
      </c>
      <c r="D10844" t="s">
        <v>1417</v>
      </c>
      <c r="E10844" t="s">
        <v>187</v>
      </c>
      <c r="F10844">
        <v>2005</v>
      </c>
      <c r="G10844">
        <v>10.261944</v>
      </c>
    </row>
    <row r="10845" spans="1:7">
      <c r="A10845" t="s">
        <v>1297</v>
      </c>
      <c r="B10845" t="s">
        <v>1298</v>
      </c>
      <c r="C10845" t="s">
        <v>673</v>
      </c>
      <c r="D10845" t="s">
        <v>1417</v>
      </c>
      <c r="E10845" t="s">
        <v>187</v>
      </c>
      <c r="F10845">
        <v>2010</v>
      </c>
      <c r="G10845">
        <v>3.104104</v>
      </c>
    </row>
    <row r="10846" spans="1:7">
      <c r="A10846" t="s">
        <v>1297</v>
      </c>
      <c r="B10846" t="s">
        <v>1298</v>
      </c>
      <c r="C10846" t="s">
        <v>673</v>
      </c>
      <c r="D10846" t="s">
        <v>1417</v>
      </c>
      <c r="E10846" t="s">
        <v>187</v>
      </c>
      <c r="F10846">
        <v>2012</v>
      </c>
      <c r="G10846">
        <v>3.1930420000000002</v>
      </c>
    </row>
    <row r="10847" spans="1:7">
      <c r="A10847" t="s">
        <v>1297</v>
      </c>
      <c r="B10847" t="s">
        <v>1298</v>
      </c>
      <c r="C10847" t="s">
        <v>673</v>
      </c>
      <c r="D10847" t="s">
        <v>1417</v>
      </c>
      <c r="E10847" t="s">
        <v>187</v>
      </c>
      <c r="F10847">
        <v>2016</v>
      </c>
      <c r="G10847">
        <v>3.7106430000000001</v>
      </c>
    </row>
    <row r="10848" spans="1:7">
      <c r="A10848" t="s">
        <v>1297</v>
      </c>
      <c r="B10848" t="s">
        <v>1298</v>
      </c>
      <c r="C10848" t="s">
        <v>673</v>
      </c>
      <c r="D10848" t="s">
        <v>1417</v>
      </c>
      <c r="E10848" t="s">
        <v>187</v>
      </c>
      <c r="F10848">
        <v>2020</v>
      </c>
      <c r="G10848">
        <v>4.5311940000000002</v>
      </c>
    </row>
    <row r="10849" spans="1:7">
      <c r="A10849" t="s">
        <v>1297</v>
      </c>
      <c r="B10849" t="s">
        <v>1298</v>
      </c>
      <c r="C10849" t="s">
        <v>654</v>
      </c>
      <c r="D10849" t="s">
        <v>1417</v>
      </c>
      <c r="E10849" t="s">
        <v>187</v>
      </c>
      <c r="F10849">
        <v>2005</v>
      </c>
      <c r="G10849">
        <v>4.0400999999999999E-2</v>
      </c>
    </row>
    <row r="10850" spans="1:7">
      <c r="A10850" t="s">
        <v>1297</v>
      </c>
      <c r="B10850" t="s">
        <v>1298</v>
      </c>
      <c r="C10850" t="s">
        <v>654</v>
      </c>
      <c r="D10850" t="s">
        <v>1417</v>
      </c>
      <c r="E10850" t="s">
        <v>187</v>
      </c>
      <c r="F10850">
        <v>2010</v>
      </c>
      <c r="G10850">
        <v>1.6847920000000001</v>
      </c>
    </row>
    <row r="10851" spans="1:7">
      <c r="A10851" t="s">
        <v>1297</v>
      </c>
      <c r="B10851" t="s">
        <v>1298</v>
      </c>
      <c r="C10851" t="s">
        <v>654</v>
      </c>
      <c r="D10851" t="s">
        <v>1417</v>
      </c>
      <c r="E10851" t="s">
        <v>187</v>
      </c>
      <c r="F10851">
        <v>2012</v>
      </c>
      <c r="G10851">
        <v>1.511028</v>
      </c>
    </row>
    <row r="10852" spans="1:7">
      <c r="A10852" t="s">
        <v>1297</v>
      </c>
      <c r="B10852" t="s">
        <v>1298</v>
      </c>
      <c r="C10852" t="s">
        <v>654</v>
      </c>
      <c r="D10852" t="s">
        <v>1417</v>
      </c>
      <c r="E10852" t="s">
        <v>187</v>
      </c>
      <c r="F10852">
        <v>2016</v>
      </c>
      <c r="G10852">
        <v>1.154998</v>
      </c>
    </row>
    <row r="10853" spans="1:7">
      <c r="A10853" t="s">
        <v>1297</v>
      </c>
      <c r="B10853" t="s">
        <v>1298</v>
      </c>
      <c r="C10853" t="s">
        <v>654</v>
      </c>
      <c r="D10853" t="s">
        <v>1417</v>
      </c>
      <c r="E10853" t="s">
        <v>187</v>
      </c>
      <c r="F10853">
        <v>2020</v>
      </c>
      <c r="G10853">
        <v>1.6820489999999999</v>
      </c>
    </row>
    <row r="10854" spans="1:7">
      <c r="A10854" t="s">
        <v>1297</v>
      </c>
      <c r="B10854" t="s">
        <v>1298</v>
      </c>
      <c r="C10854" t="s">
        <v>665</v>
      </c>
      <c r="D10854" t="s">
        <v>1417</v>
      </c>
      <c r="E10854" t="s">
        <v>187</v>
      </c>
      <c r="F10854">
        <v>2005</v>
      </c>
      <c r="G10854">
        <v>44.018000000000001</v>
      </c>
    </row>
    <row r="10855" spans="1:7">
      <c r="A10855" t="s">
        <v>1297</v>
      </c>
      <c r="B10855" t="s">
        <v>1298</v>
      </c>
      <c r="C10855" t="s">
        <v>665</v>
      </c>
      <c r="D10855" t="s">
        <v>1417</v>
      </c>
      <c r="E10855" t="s">
        <v>187</v>
      </c>
      <c r="F10855">
        <v>2010</v>
      </c>
      <c r="G10855">
        <v>34.706200000000003</v>
      </c>
    </row>
    <row r="10856" spans="1:7">
      <c r="A10856" t="s">
        <v>1297</v>
      </c>
      <c r="B10856" t="s">
        <v>1298</v>
      </c>
      <c r="C10856" t="s">
        <v>665</v>
      </c>
      <c r="D10856" t="s">
        <v>1417</v>
      </c>
      <c r="E10856" t="s">
        <v>187</v>
      </c>
      <c r="F10856">
        <v>2012</v>
      </c>
      <c r="G10856">
        <v>26.485199999999999</v>
      </c>
    </row>
    <row r="10857" spans="1:7">
      <c r="A10857" t="s">
        <v>1297</v>
      </c>
      <c r="B10857" t="s">
        <v>1298</v>
      </c>
      <c r="C10857" t="s">
        <v>665</v>
      </c>
      <c r="D10857" t="s">
        <v>1417</v>
      </c>
      <c r="E10857" t="s">
        <v>187</v>
      </c>
      <c r="F10857">
        <v>2016</v>
      </c>
      <c r="G10857">
        <v>23.448399999999999</v>
      </c>
    </row>
    <row r="10858" spans="1:7">
      <c r="A10858" t="s">
        <v>1297</v>
      </c>
      <c r="B10858" t="s">
        <v>1298</v>
      </c>
      <c r="C10858" t="s">
        <v>665</v>
      </c>
      <c r="D10858" t="s">
        <v>1417</v>
      </c>
      <c r="E10858" t="s">
        <v>187</v>
      </c>
      <c r="F10858">
        <v>2020</v>
      </c>
      <c r="G10858">
        <v>21.801818000000001</v>
      </c>
    </row>
    <row r="10859" spans="1:7">
      <c r="A10859" t="s">
        <v>1297</v>
      </c>
      <c r="B10859" t="s">
        <v>1298</v>
      </c>
      <c r="C10859" t="s">
        <v>655</v>
      </c>
      <c r="D10859" t="s">
        <v>1417</v>
      </c>
      <c r="E10859" t="s">
        <v>187</v>
      </c>
      <c r="F10859">
        <v>2005</v>
      </c>
      <c r="G10859">
        <v>0.49766199999999999</v>
      </c>
    </row>
    <row r="10860" spans="1:7">
      <c r="A10860" t="s">
        <v>1297</v>
      </c>
      <c r="B10860" t="s">
        <v>1298</v>
      </c>
      <c r="C10860" t="s">
        <v>655</v>
      </c>
      <c r="D10860" t="s">
        <v>1417</v>
      </c>
      <c r="E10860" t="s">
        <v>187</v>
      </c>
      <c r="F10860">
        <v>2010</v>
      </c>
      <c r="G10860">
        <v>0.75563199999999997</v>
      </c>
    </row>
    <row r="10861" spans="1:7">
      <c r="A10861" t="s">
        <v>1297</v>
      </c>
      <c r="B10861" t="s">
        <v>1298</v>
      </c>
      <c r="C10861" t="s">
        <v>655</v>
      </c>
      <c r="D10861" t="s">
        <v>1417</v>
      </c>
      <c r="E10861" t="s">
        <v>187</v>
      </c>
      <c r="F10861">
        <v>2012</v>
      </c>
      <c r="G10861">
        <v>1.0874699999999999</v>
      </c>
    </row>
    <row r="10862" spans="1:7">
      <c r="A10862" t="s">
        <v>1297</v>
      </c>
      <c r="B10862" t="s">
        <v>1298</v>
      </c>
      <c r="C10862" t="s">
        <v>655</v>
      </c>
      <c r="D10862" t="s">
        <v>1417</v>
      </c>
      <c r="E10862" t="s">
        <v>187</v>
      </c>
      <c r="F10862">
        <v>2016</v>
      </c>
      <c r="G10862">
        <v>1.094284</v>
      </c>
    </row>
    <row r="10863" spans="1:7">
      <c r="A10863" t="s">
        <v>1297</v>
      </c>
      <c r="B10863" t="s">
        <v>1298</v>
      </c>
      <c r="C10863" t="s">
        <v>655</v>
      </c>
      <c r="D10863" t="s">
        <v>1417</v>
      </c>
      <c r="E10863" t="s">
        <v>187</v>
      </c>
      <c r="F10863">
        <v>2020</v>
      </c>
      <c r="G10863">
        <v>0.86242700000000005</v>
      </c>
    </row>
    <row r="10864" spans="1:7">
      <c r="A10864" t="s">
        <v>1297</v>
      </c>
      <c r="B10864" t="s">
        <v>1298</v>
      </c>
      <c r="C10864" t="s">
        <v>289</v>
      </c>
      <c r="D10864" t="s">
        <v>1417</v>
      </c>
      <c r="E10864" t="s">
        <v>187</v>
      </c>
      <c r="F10864">
        <v>2005</v>
      </c>
      <c r="G10864">
        <v>6.2102199999999996</v>
      </c>
    </row>
    <row r="10865" spans="1:7">
      <c r="A10865" t="s">
        <v>1297</v>
      </c>
      <c r="B10865" t="s">
        <v>1298</v>
      </c>
      <c r="C10865" t="s">
        <v>289</v>
      </c>
      <c r="D10865" t="s">
        <v>1417</v>
      </c>
      <c r="E10865" t="s">
        <v>187</v>
      </c>
      <c r="F10865">
        <v>2010</v>
      </c>
      <c r="G10865">
        <v>4.0933099999999998</v>
      </c>
    </row>
    <row r="10866" spans="1:7">
      <c r="A10866" t="s">
        <v>1297</v>
      </c>
      <c r="B10866" t="s">
        <v>1298</v>
      </c>
      <c r="C10866" t="s">
        <v>289</v>
      </c>
      <c r="D10866" t="s">
        <v>1417</v>
      </c>
      <c r="E10866" t="s">
        <v>187</v>
      </c>
      <c r="F10866">
        <v>2012</v>
      </c>
      <c r="G10866">
        <v>3.1021800000000002</v>
      </c>
    </row>
    <row r="10867" spans="1:7">
      <c r="A10867" t="s">
        <v>1297</v>
      </c>
      <c r="B10867" t="s">
        <v>1298</v>
      </c>
      <c r="C10867" t="s">
        <v>289</v>
      </c>
      <c r="D10867" t="s">
        <v>1417</v>
      </c>
      <c r="E10867" t="s">
        <v>187</v>
      </c>
      <c r="F10867">
        <v>2016</v>
      </c>
      <c r="G10867">
        <v>2.5696099999999999</v>
      </c>
    </row>
    <row r="10868" spans="1:7">
      <c r="A10868" t="s">
        <v>1297</v>
      </c>
      <c r="B10868" t="s">
        <v>1298</v>
      </c>
      <c r="C10868" t="s">
        <v>289</v>
      </c>
      <c r="D10868" t="s">
        <v>1417</v>
      </c>
      <c r="E10868" t="s">
        <v>187</v>
      </c>
      <c r="F10868">
        <v>2020</v>
      </c>
      <c r="G10868">
        <v>1.7247239999999999</v>
      </c>
    </row>
    <row r="10869" spans="1:7">
      <c r="A10869" t="s">
        <v>1297</v>
      </c>
      <c r="B10869" t="s">
        <v>1298</v>
      </c>
      <c r="C10869" t="s">
        <v>675</v>
      </c>
      <c r="D10869" t="s">
        <v>1417</v>
      </c>
      <c r="E10869" t="s">
        <v>187</v>
      </c>
      <c r="F10869">
        <v>2005</v>
      </c>
      <c r="G10869">
        <v>8.9870000000000001</v>
      </c>
    </row>
    <row r="10870" spans="1:7">
      <c r="A10870" t="s">
        <v>1297</v>
      </c>
      <c r="B10870" t="s">
        <v>1298</v>
      </c>
      <c r="C10870" t="s">
        <v>675</v>
      </c>
      <c r="D10870" t="s">
        <v>1417</v>
      </c>
      <c r="E10870" t="s">
        <v>187</v>
      </c>
      <c r="F10870">
        <v>2010</v>
      </c>
      <c r="G10870">
        <v>8.0088000000000008</v>
      </c>
    </row>
    <row r="10871" spans="1:7">
      <c r="A10871" t="s">
        <v>1297</v>
      </c>
      <c r="B10871" t="s">
        <v>1298</v>
      </c>
      <c r="C10871" t="s">
        <v>675</v>
      </c>
      <c r="D10871" t="s">
        <v>1417</v>
      </c>
      <c r="E10871" t="s">
        <v>187</v>
      </c>
      <c r="F10871">
        <v>2012</v>
      </c>
      <c r="G10871">
        <v>4.5582000000000003</v>
      </c>
    </row>
    <row r="10872" spans="1:7">
      <c r="A10872" t="s">
        <v>1297</v>
      </c>
      <c r="B10872" t="s">
        <v>1298</v>
      </c>
      <c r="C10872" t="s">
        <v>675</v>
      </c>
      <c r="D10872" t="s">
        <v>1417</v>
      </c>
      <c r="E10872" t="s">
        <v>187</v>
      </c>
      <c r="F10872">
        <v>2016</v>
      </c>
      <c r="G10872">
        <v>3.6209150000000001</v>
      </c>
    </row>
    <row r="10873" spans="1:7">
      <c r="A10873" t="s">
        <v>1297</v>
      </c>
      <c r="B10873" t="s">
        <v>1298</v>
      </c>
      <c r="C10873" t="s">
        <v>675</v>
      </c>
      <c r="D10873" t="s">
        <v>1417</v>
      </c>
      <c r="E10873" t="s">
        <v>187</v>
      </c>
      <c r="F10873">
        <v>2020</v>
      </c>
      <c r="G10873">
        <v>2.5376820000000002</v>
      </c>
    </row>
    <row r="10874" spans="1:7">
      <c r="A10874" t="s">
        <v>1297</v>
      </c>
      <c r="B10874" t="s">
        <v>1298</v>
      </c>
      <c r="C10874" t="s">
        <v>652</v>
      </c>
      <c r="D10874" t="s">
        <v>1417</v>
      </c>
      <c r="E10874" t="s">
        <v>187</v>
      </c>
      <c r="F10874">
        <v>2005</v>
      </c>
      <c r="G10874">
        <v>51.8992</v>
      </c>
    </row>
    <row r="10875" spans="1:7">
      <c r="A10875" t="s">
        <v>1297</v>
      </c>
      <c r="B10875" t="s">
        <v>1298</v>
      </c>
      <c r="C10875" t="s">
        <v>672</v>
      </c>
      <c r="D10875" t="s">
        <v>1417</v>
      </c>
      <c r="E10875" t="s">
        <v>187</v>
      </c>
      <c r="F10875">
        <v>2016</v>
      </c>
      <c r="G10875">
        <v>6.0810000000000004</v>
      </c>
    </row>
    <row r="10876" spans="1:7">
      <c r="A10876" t="s">
        <v>1297</v>
      </c>
      <c r="B10876" t="s">
        <v>1298</v>
      </c>
      <c r="C10876" t="s">
        <v>672</v>
      </c>
      <c r="D10876" t="s">
        <v>1417</v>
      </c>
      <c r="E10876" t="s">
        <v>187</v>
      </c>
      <c r="F10876">
        <v>2020</v>
      </c>
      <c r="G10876">
        <v>6.9369230000000002</v>
      </c>
    </row>
    <row r="10877" spans="1:7">
      <c r="A10877" t="s">
        <v>1297</v>
      </c>
      <c r="B10877" t="s">
        <v>1298</v>
      </c>
      <c r="C10877" t="s">
        <v>658</v>
      </c>
      <c r="D10877" t="s">
        <v>1417</v>
      </c>
      <c r="E10877" t="s">
        <v>187</v>
      </c>
      <c r="F10877">
        <v>2005</v>
      </c>
      <c r="G10877">
        <v>1.8513999999999999</v>
      </c>
    </row>
    <row r="10878" spans="1:7">
      <c r="A10878" t="s">
        <v>1297</v>
      </c>
      <c r="B10878" t="s">
        <v>1298</v>
      </c>
      <c r="C10878" t="s">
        <v>658</v>
      </c>
      <c r="D10878" t="s">
        <v>1417</v>
      </c>
      <c r="E10878" t="s">
        <v>187</v>
      </c>
      <c r="F10878">
        <v>2010</v>
      </c>
      <c r="G10878">
        <v>1.224254</v>
      </c>
    </row>
    <row r="10879" spans="1:7">
      <c r="A10879" t="s">
        <v>1297</v>
      </c>
      <c r="B10879" t="s">
        <v>1298</v>
      </c>
      <c r="C10879" t="s">
        <v>658</v>
      </c>
      <c r="D10879" t="s">
        <v>1417</v>
      </c>
      <c r="E10879" t="s">
        <v>187</v>
      </c>
      <c r="F10879">
        <v>2012</v>
      </c>
      <c r="G10879">
        <v>1.8176399999999999</v>
      </c>
    </row>
    <row r="10880" spans="1:7">
      <c r="A10880" t="s">
        <v>1297</v>
      </c>
      <c r="B10880" t="s">
        <v>1298</v>
      </c>
      <c r="C10880" t="s">
        <v>658</v>
      </c>
      <c r="D10880" t="s">
        <v>1417</v>
      </c>
      <c r="E10880" t="s">
        <v>187</v>
      </c>
      <c r="F10880">
        <v>2016</v>
      </c>
      <c r="G10880">
        <v>1.1017399999999999</v>
      </c>
    </row>
    <row r="10881" spans="1:7">
      <c r="A10881" t="s">
        <v>1297</v>
      </c>
      <c r="B10881" t="s">
        <v>1298</v>
      </c>
      <c r="C10881" t="s">
        <v>658</v>
      </c>
      <c r="D10881" t="s">
        <v>1417</v>
      </c>
      <c r="E10881" t="s">
        <v>187</v>
      </c>
      <c r="F10881">
        <v>2020</v>
      </c>
      <c r="G10881">
        <v>1.0713870000000001</v>
      </c>
    </row>
    <row r="10882" spans="1:7">
      <c r="A10882" t="s">
        <v>1297</v>
      </c>
      <c r="B10882" t="s">
        <v>1298</v>
      </c>
      <c r="C10882" t="s">
        <v>676</v>
      </c>
      <c r="D10882" t="s">
        <v>1417</v>
      </c>
      <c r="E10882" t="s">
        <v>187</v>
      </c>
      <c r="F10882">
        <v>2005</v>
      </c>
      <c r="G10882">
        <v>2.073</v>
      </c>
    </row>
    <row r="10883" spans="1:7">
      <c r="A10883" t="s">
        <v>1297</v>
      </c>
      <c r="B10883" t="s">
        <v>1298</v>
      </c>
      <c r="C10883" t="s">
        <v>676</v>
      </c>
      <c r="D10883" t="s">
        <v>1417</v>
      </c>
      <c r="E10883" t="s">
        <v>187</v>
      </c>
      <c r="F10883">
        <v>2010</v>
      </c>
      <c r="G10883">
        <v>0.82799999999999996</v>
      </c>
    </row>
    <row r="10884" spans="1:7">
      <c r="A10884" t="s">
        <v>1297</v>
      </c>
      <c r="B10884" t="s">
        <v>1298</v>
      </c>
      <c r="C10884" t="s">
        <v>676</v>
      </c>
      <c r="D10884" t="s">
        <v>1417</v>
      </c>
      <c r="E10884" t="s">
        <v>187</v>
      </c>
      <c r="F10884">
        <v>2012</v>
      </c>
      <c r="G10884">
        <v>0.50600000000000001</v>
      </c>
    </row>
    <row r="10885" spans="1:7">
      <c r="A10885" t="s">
        <v>1297</v>
      </c>
      <c r="B10885" t="s">
        <v>1298</v>
      </c>
      <c r="C10885" t="s">
        <v>676</v>
      </c>
      <c r="D10885" t="s">
        <v>1417</v>
      </c>
      <c r="E10885" t="s">
        <v>187</v>
      </c>
      <c r="F10885">
        <v>2016</v>
      </c>
      <c r="G10885">
        <v>0.44448399999999999</v>
      </c>
    </row>
    <row r="10886" spans="1:7">
      <c r="A10886" t="s">
        <v>1297</v>
      </c>
      <c r="B10886" t="s">
        <v>1298</v>
      </c>
      <c r="C10886" t="s">
        <v>676</v>
      </c>
      <c r="D10886" t="s">
        <v>1417</v>
      </c>
      <c r="E10886" t="s">
        <v>187</v>
      </c>
      <c r="F10886">
        <v>2020</v>
      </c>
      <c r="G10886">
        <v>0.34855999999999998</v>
      </c>
    </row>
    <row r="10887" spans="1:7">
      <c r="A10887" t="s">
        <v>1297</v>
      </c>
      <c r="B10887" t="s">
        <v>1298</v>
      </c>
      <c r="C10887" t="s">
        <v>652</v>
      </c>
      <c r="D10887" t="s">
        <v>1417</v>
      </c>
      <c r="E10887" t="s">
        <v>187</v>
      </c>
      <c r="F10887">
        <v>2010</v>
      </c>
      <c r="G10887">
        <v>41.927</v>
      </c>
    </row>
    <row r="10888" spans="1:7">
      <c r="A10888" t="s">
        <v>1297</v>
      </c>
      <c r="B10888" t="s">
        <v>1298</v>
      </c>
      <c r="C10888" t="s">
        <v>652</v>
      </c>
      <c r="D10888" t="s">
        <v>1417</v>
      </c>
      <c r="E10888" t="s">
        <v>187</v>
      </c>
      <c r="F10888">
        <v>2012</v>
      </c>
      <c r="G10888">
        <v>34.891800000000003</v>
      </c>
    </row>
    <row r="10889" spans="1:7">
      <c r="A10889" t="s">
        <v>1297</v>
      </c>
      <c r="B10889" t="s">
        <v>1298</v>
      </c>
      <c r="C10889" t="s">
        <v>652</v>
      </c>
      <c r="D10889" t="s">
        <v>1417</v>
      </c>
      <c r="E10889" t="s">
        <v>187</v>
      </c>
      <c r="F10889">
        <v>2016</v>
      </c>
      <c r="G10889">
        <v>32.343400000000003</v>
      </c>
    </row>
    <row r="10890" spans="1:7">
      <c r="A10890" t="s">
        <v>1297</v>
      </c>
      <c r="B10890" t="s">
        <v>1298</v>
      </c>
      <c r="C10890" t="s">
        <v>652</v>
      </c>
      <c r="D10890" t="s">
        <v>1417</v>
      </c>
      <c r="E10890" t="s">
        <v>187</v>
      </c>
      <c r="F10890">
        <v>2020</v>
      </c>
      <c r="G10890">
        <v>29.54044</v>
      </c>
    </row>
    <row r="10891" spans="1:7">
      <c r="A10891" t="s">
        <v>1297</v>
      </c>
      <c r="B10891" t="s">
        <v>1298</v>
      </c>
      <c r="C10891" t="s">
        <v>685</v>
      </c>
      <c r="D10891" t="s">
        <v>1417</v>
      </c>
      <c r="E10891" t="s">
        <v>187</v>
      </c>
      <c r="F10891">
        <v>2005</v>
      </c>
      <c r="G10891">
        <v>4.9457079999999998</v>
      </c>
    </row>
    <row r="10892" spans="1:7">
      <c r="A10892" t="s">
        <v>1297</v>
      </c>
      <c r="B10892" t="s">
        <v>1298</v>
      </c>
      <c r="C10892" t="s">
        <v>685</v>
      </c>
      <c r="D10892" t="s">
        <v>1417</v>
      </c>
      <c r="E10892" t="s">
        <v>187</v>
      </c>
      <c r="F10892">
        <v>2010</v>
      </c>
      <c r="G10892">
        <v>3.4127879999999999</v>
      </c>
    </row>
    <row r="10893" spans="1:7">
      <c r="A10893" t="s">
        <v>1297</v>
      </c>
      <c r="B10893" t="s">
        <v>1298</v>
      </c>
      <c r="C10893" t="s">
        <v>685</v>
      </c>
      <c r="D10893" t="s">
        <v>1417</v>
      </c>
      <c r="E10893" t="s">
        <v>187</v>
      </c>
      <c r="F10893">
        <v>2012</v>
      </c>
      <c r="G10893">
        <v>3.1563500000000002</v>
      </c>
    </row>
    <row r="10894" spans="1:7">
      <c r="A10894" t="s">
        <v>1297</v>
      </c>
      <c r="B10894" t="s">
        <v>1298</v>
      </c>
      <c r="C10894" t="s">
        <v>685</v>
      </c>
      <c r="D10894" t="s">
        <v>1417</v>
      </c>
      <c r="E10894" t="s">
        <v>187</v>
      </c>
      <c r="F10894">
        <v>2016</v>
      </c>
      <c r="G10894">
        <v>2.770149</v>
      </c>
    </row>
    <row r="10895" spans="1:7">
      <c r="A10895" t="s">
        <v>1297</v>
      </c>
      <c r="B10895" t="s">
        <v>1298</v>
      </c>
      <c r="C10895" t="s">
        <v>685</v>
      </c>
      <c r="D10895" t="s">
        <v>1417</v>
      </c>
      <c r="E10895" t="s">
        <v>187</v>
      </c>
      <c r="F10895">
        <v>2020</v>
      </c>
      <c r="G10895">
        <v>2.4346719999999999</v>
      </c>
    </row>
    <row r="10896" spans="1:7">
      <c r="A10896" t="s">
        <v>1297</v>
      </c>
      <c r="B10896" t="s">
        <v>1298</v>
      </c>
      <c r="C10896" t="s">
        <v>657</v>
      </c>
      <c r="D10896" t="s">
        <v>1417</v>
      </c>
      <c r="E10896" t="s">
        <v>187</v>
      </c>
      <c r="F10896">
        <v>2005</v>
      </c>
      <c r="G10896">
        <v>4.5188499999999996</v>
      </c>
    </row>
    <row r="10897" spans="1:7">
      <c r="A10897" t="s">
        <v>1297</v>
      </c>
      <c r="B10897" t="s">
        <v>1298</v>
      </c>
      <c r="C10897" t="s">
        <v>657</v>
      </c>
      <c r="D10897" t="s">
        <v>1417</v>
      </c>
      <c r="E10897" t="s">
        <v>187</v>
      </c>
      <c r="F10897">
        <v>2010</v>
      </c>
      <c r="G10897">
        <v>3.1414499999999999</v>
      </c>
    </row>
    <row r="10898" spans="1:7">
      <c r="A10898" t="s">
        <v>1297</v>
      </c>
      <c r="B10898" t="s">
        <v>1298</v>
      </c>
      <c r="C10898" t="s">
        <v>657</v>
      </c>
      <c r="D10898" t="s">
        <v>1417</v>
      </c>
      <c r="E10898" t="s">
        <v>187</v>
      </c>
      <c r="F10898">
        <v>2012</v>
      </c>
      <c r="G10898">
        <v>2.8725000000000001</v>
      </c>
    </row>
    <row r="10899" spans="1:7">
      <c r="A10899" t="s">
        <v>1297</v>
      </c>
      <c r="B10899" t="s">
        <v>1298</v>
      </c>
      <c r="C10899" t="s">
        <v>657</v>
      </c>
      <c r="D10899" t="s">
        <v>1417</v>
      </c>
      <c r="E10899" t="s">
        <v>187</v>
      </c>
      <c r="F10899">
        <v>2016</v>
      </c>
      <c r="G10899">
        <v>2.6207829999999999</v>
      </c>
    </row>
    <row r="10900" spans="1:7">
      <c r="A10900" t="s">
        <v>1297</v>
      </c>
      <c r="B10900" t="s">
        <v>1298</v>
      </c>
      <c r="C10900" t="s">
        <v>657</v>
      </c>
      <c r="D10900" t="s">
        <v>1417</v>
      </c>
      <c r="E10900" t="s">
        <v>187</v>
      </c>
      <c r="F10900">
        <v>2020</v>
      </c>
      <c r="G10900">
        <v>1.417918</v>
      </c>
    </row>
    <row r="10901" spans="1:7">
      <c r="A10901" t="s">
        <v>1297</v>
      </c>
      <c r="B10901" t="s">
        <v>1298</v>
      </c>
      <c r="C10901" t="s">
        <v>666</v>
      </c>
      <c r="D10901" t="s">
        <v>1417</v>
      </c>
      <c r="E10901" t="s">
        <v>187</v>
      </c>
      <c r="F10901">
        <v>2005</v>
      </c>
      <c r="G10901">
        <v>0.30034</v>
      </c>
    </row>
    <row r="10902" spans="1:7">
      <c r="A10902" t="s">
        <v>1297</v>
      </c>
      <c r="B10902" t="s">
        <v>1298</v>
      </c>
      <c r="C10902" t="s">
        <v>666</v>
      </c>
      <c r="D10902" t="s">
        <v>1417</v>
      </c>
      <c r="E10902" t="s">
        <v>187</v>
      </c>
      <c r="F10902">
        <v>2010</v>
      </c>
      <c r="G10902">
        <v>0.16897999999999999</v>
      </c>
    </row>
    <row r="10903" spans="1:7">
      <c r="A10903" t="s">
        <v>1297</v>
      </c>
      <c r="B10903" t="s">
        <v>1298</v>
      </c>
      <c r="C10903" t="s">
        <v>666</v>
      </c>
      <c r="D10903" t="s">
        <v>1417</v>
      </c>
      <c r="E10903" t="s">
        <v>187</v>
      </c>
      <c r="F10903">
        <v>2012</v>
      </c>
      <c r="G10903">
        <v>0.12920999999999999</v>
      </c>
    </row>
    <row r="10904" spans="1:7">
      <c r="A10904" t="s">
        <v>1297</v>
      </c>
      <c r="B10904" t="s">
        <v>1298</v>
      </c>
      <c r="C10904" t="s">
        <v>666</v>
      </c>
      <c r="D10904" t="s">
        <v>1417</v>
      </c>
      <c r="E10904" t="s">
        <v>187</v>
      </c>
      <c r="F10904">
        <v>2016</v>
      </c>
      <c r="G10904">
        <v>0.13147</v>
      </c>
    </row>
    <row r="10905" spans="1:7">
      <c r="A10905" t="s">
        <v>1297</v>
      </c>
      <c r="B10905" t="s">
        <v>1298</v>
      </c>
      <c r="C10905" t="s">
        <v>666</v>
      </c>
      <c r="D10905" t="s">
        <v>1417</v>
      </c>
      <c r="E10905" t="s">
        <v>187</v>
      </c>
      <c r="F10905">
        <v>2020</v>
      </c>
      <c r="G10905">
        <v>9.6134999999999998E-2</v>
      </c>
    </row>
    <row r="10906" spans="1:7">
      <c r="A10906" t="s">
        <v>1297</v>
      </c>
      <c r="B10906" t="s">
        <v>1298</v>
      </c>
      <c r="C10906" t="s">
        <v>1300</v>
      </c>
      <c r="D10906" t="s">
        <v>1417</v>
      </c>
      <c r="E10906" t="s">
        <v>187</v>
      </c>
      <c r="F10906">
        <v>2010</v>
      </c>
      <c r="G10906">
        <v>0.49052600000000002</v>
      </c>
    </row>
    <row r="10907" spans="1:7">
      <c r="A10907" t="s">
        <v>1297</v>
      </c>
      <c r="B10907" t="s">
        <v>1298</v>
      </c>
      <c r="C10907" t="s">
        <v>1300</v>
      </c>
      <c r="D10907" t="s">
        <v>1417</v>
      </c>
      <c r="E10907" t="s">
        <v>187</v>
      </c>
      <c r="F10907">
        <v>2012</v>
      </c>
      <c r="G10907">
        <v>0.13820399999999999</v>
      </c>
    </row>
    <row r="10908" spans="1:7">
      <c r="A10908" t="s">
        <v>1297</v>
      </c>
      <c r="B10908" t="s">
        <v>1298</v>
      </c>
      <c r="C10908" t="s">
        <v>1300</v>
      </c>
      <c r="D10908" t="s">
        <v>1417</v>
      </c>
      <c r="E10908" t="s">
        <v>187</v>
      </c>
      <c r="F10908">
        <v>2016</v>
      </c>
      <c r="G10908">
        <v>0.131164</v>
      </c>
    </row>
    <row r="10909" spans="1:7">
      <c r="A10909" t="s">
        <v>1297</v>
      </c>
      <c r="B10909" t="s">
        <v>1298</v>
      </c>
      <c r="C10909" t="s">
        <v>1300</v>
      </c>
      <c r="D10909" t="s">
        <v>1417</v>
      </c>
      <c r="E10909" t="s">
        <v>187</v>
      </c>
      <c r="F10909">
        <v>2020</v>
      </c>
      <c r="G10909">
        <v>5.2581999999999997E-2</v>
      </c>
    </row>
    <row r="10910" spans="1:7">
      <c r="A10910" t="s">
        <v>1297</v>
      </c>
      <c r="B10910" t="s">
        <v>1298</v>
      </c>
      <c r="C10910" t="s">
        <v>672</v>
      </c>
      <c r="D10910" t="s">
        <v>1417</v>
      </c>
      <c r="E10910" t="s">
        <v>187</v>
      </c>
      <c r="F10910">
        <v>2005</v>
      </c>
      <c r="G10910">
        <v>33.66621</v>
      </c>
    </row>
    <row r="10911" spans="1:7">
      <c r="A10911" t="s">
        <v>1297</v>
      </c>
      <c r="B10911" t="s">
        <v>1298</v>
      </c>
      <c r="C10911" t="s">
        <v>672</v>
      </c>
      <c r="D10911" t="s">
        <v>1417</v>
      </c>
      <c r="E10911" t="s">
        <v>187</v>
      </c>
      <c r="F10911">
        <v>2010</v>
      </c>
      <c r="G10911">
        <v>10.01</v>
      </c>
    </row>
    <row r="10912" spans="1:7">
      <c r="A10912" t="s">
        <v>1297</v>
      </c>
      <c r="B10912" t="s">
        <v>1298</v>
      </c>
      <c r="C10912" t="s">
        <v>672</v>
      </c>
      <c r="D10912" t="s">
        <v>1417</v>
      </c>
      <c r="E10912" t="s">
        <v>187</v>
      </c>
      <c r="F10912">
        <v>2012</v>
      </c>
      <c r="G10912">
        <v>6.0250000000000004</v>
      </c>
    </row>
    <row r="10913" spans="1:7">
      <c r="A10913" t="s">
        <v>1297</v>
      </c>
      <c r="B10913" t="s">
        <v>1298</v>
      </c>
      <c r="C10913" t="s">
        <v>669</v>
      </c>
      <c r="D10913" t="s">
        <v>1417</v>
      </c>
      <c r="E10913" t="s">
        <v>187</v>
      </c>
      <c r="F10913">
        <v>2005</v>
      </c>
      <c r="G10913">
        <v>0.63</v>
      </c>
    </row>
    <row r="10914" spans="1:7">
      <c r="A10914" t="s">
        <v>1297</v>
      </c>
      <c r="B10914" t="s">
        <v>1298</v>
      </c>
      <c r="C10914" t="s">
        <v>669</v>
      </c>
      <c r="D10914" t="s">
        <v>1417</v>
      </c>
      <c r="E10914" t="s">
        <v>187</v>
      </c>
      <c r="F10914">
        <v>2010</v>
      </c>
      <c r="G10914">
        <v>0.98599999999999999</v>
      </c>
    </row>
    <row r="10915" spans="1:7">
      <c r="A10915" t="s">
        <v>1297</v>
      </c>
      <c r="B10915" t="s">
        <v>1298</v>
      </c>
      <c r="C10915" t="s">
        <v>669</v>
      </c>
      <c r="D10915" t="s">
        <v>1417</v>
      </c>
      <c r="E10915" t="s">
        <v>187</v>
      </c>
      <c r="F10915">
        <v>2012</v>
      </c>
      <c r="G10915">
        <v>0.95499999999999996</v>
      </c>
    </row>
    <row r="10916" spans="1:7">
      <c r="A10916" t="s">
        <v>1297</v>
      </c>
      <c r="B10916" t="s">
        <v>1298</v>
      </c>
      <c r="C10916" t="s">
        <v>669</v>
      </c>
      <c r="D10916" t="s">
        <v>1417</v>
      </c>
      <c r="E10916" t="s">
        <v>187</v>
      </c>
      <c r="F10916">
        <v>2016</v>
      </c>
      <c r="G10916">
        <v>1.339</v>
      </c>
    </row>
    <row r="10917" spans="1:7">
      <c r="A10917" t="s">
        <v>1297</v>
      </c>
      <c r="B10917" t="s">
        <v>1298</v>
      </c>
      <c r="C10917" t="s">
        <v>669</v>
      </c>
      <c r="D10917" t="s">
        <v>1417</v>
      </c>
      <c r="E10917" t="s">
        <v>187</v>
      </c>
      <c r="F10917">
        <v>2020</v>
      </c>
      <c r="G10917">
        <v>1.0432680000000001</v>
      </c>
    </row>
    <row r="10918" spans="1:7">
      <c r="A10918" t="s">
        <v>1297</v>
      </c>
      <c r="B10918" t="s">
        <v>1298</v>
      </c>
      <c r="C10918" t="s">
        <v>1301</v>
      </c>
      <c r="D10918" t="s">
        <v>1417</v>
      </c>
      <c r="E10918" t="s">
        <v>187</v>
      </c>
      <c r="F10918">
        <v>2016</v>
      </c>
      <c r="G10918">
        <v>28.4726</v>
      </c>
    </row>
    <row r="10919" spans="1:7">
      <c r="A10919" t="s">
        <v>1297</v>
      </c>
      <c r="B10919" t="s">
        <v>1298</v>
      </c>
      <c r="C10919" t="s">
        <v>1301</v>
      </c>
      <c r="D10919" t="s">
        <v>1417</v>
      </c>
      <c r="E10919" t="s">
        <v>187</v>
      </c>
      <c r="F10919">
        <v>2020</v>
      </c>
      <c r="G10919">
        <v>34.628700000000002</v>
      </c>
    </row>
    <row r="10920" spans="1:7">
      <c r="A10920" t="s">
        <v>1297</v>
      </c>
      <c r="B10920" t="s">
        <v>1298</v>
      </c>
      <c r="C10920" t="s">
        <v>661</v>
      </c>
      <c r="D10920" t="s">
        <v>1417</v>
      </c>
      <c r="E10920" t="s">
        <v>187</v>
      </c>
      <c r="F10920">
        <v>2005</v>
      </c>
      <c r="G10920">
        <v>169.03632999999999</v>
      </c>
    </row>
    <row r="10921" spans="1:7">
      <c r="A10921" t="s">
        <v>1297</v>
      </c>
      <c r="B10921" t="s">
        <v>1298</v>
      </c>
      <c r="C10921" t="s">
        <v>661</v>
      </c>
      <c r="D10921" t="s">
        <v>1417</v>
      </c>
      <c r="E10921" t="s">
        <v>187</v>
      </c>
      <c r="F10921">
        <v>2010</v>
      </c>
      <c r="G10921">
        <v>142.893407</v>
      </c>
    </row>
    <row r="10922" spans="1:7">
      <c r="A10922" t="s">
        <v>1297</v>
      </c>
      <c r="B10922" t="s">
        <v>1298</v>
      </c>
      <c r="C10922" t="s">
        <v>661</v>
      </c>
      <c r="D10922" t="s">
        <v>1417</v>
      </c>
      <c r="E10922" t="s">
        <v>187</v>
      </c>
      <c r="F10922">
        <v>2012</v>
      </c>
      <c r="G10922">
        <v>121.085317</v>
      </c>
    </row>
    <row r="10923" spans="1:7">
      <c r="A10923" t="s">
        <v>1297</v>
      </c>
      <c r="B10923" t="s">
        <v>1298</v>
      </c>
      <c r="C10923" t="s">
        <v>661</v>
      </c>
      <c r="D10923" t="s">
        <v>1417</v>
      </c>
      <c r="E10923" t="s">
        <v>187</v>
      </c>
      <c r="F10923">
        <v>2016</v>
      </c>
      <c r="G10923">
        <v>105.619923</v>
      </c>
    </row>
    <row r="10924" spans="1:7">
      <c r="A10924" t="s">
        <v>1297</v>
      </c>
      <c r="B10924" t="s">
        <v>1298</v>
      </c>
      <c r="C10924" t="s">
        <v>1299</v>
      </c>
      <c r="D10924" t="s">
        <v>1417</v>
      </c>
      <c r="E10924" t="s">
        <v>187</v>
      </c>
      <c r="F10924">
        <v>2005</v>
      </c>
      <c r="G10924">
        <v>2.129</v>
      </c>
    </row>
    <row r="10925" spans="1:7">
      <c r="A10925" t="s">
        <v>1297</v>
      </c>
      <c r="B10925" t="s">
        <v>1298</v>
      </c>
      <c r="C10925" t="s">
        <v>1299</v>
      </c>
      <c r="D10925" t="s">
        <v>1417</v>
      </c>
      <c r="E10925" t="s">
        <v>187</v>
      </c>
      <c r="F10925">
        <v>2010</v>
      </c>
      <c r="G10925">
        <v>3.1141999999999999</v>
      </c>
    </row>
    <row r="10926" spans="1:7">
      <c r="A10926" t="s">
        <v>1297</v>
      </c>
      <c r="B10926" t="s">
        <v>1298</v>
      </c>
      <c r="C10926" t="s">
        <v>1299</v>
      </c>
      <c r="D10926" t="s">
        <v>1417</v>
      </c>
      <c r="E10926" t="s">
        <v>187</v>
      </c>
      <c r="F10926">
        <v>2012</v>
      </c>
      <c r="G10926">
        <v>3.2488000000000001</v>
      </c>
    </row>
    <row r="10927" spans="1:7">
      <c r="A10927" t="s">
        <v>1297</v>
      </c>
      <c r="B10927" t="s">
        <v>1298</v>
      </c>
      <c r="C10927" t="s">
        <v>1299</v>
      </c>
      <c r="D10927" t="s">
        <v>1417</v>
      </c>
      <c r="E10927" t="s">
        <v>187</v>
      </c>
      <c r="F10927">
        <v>2016</v>
      </c>
      <c r="G10927">
        <v>4.3533999999999997</v>
      </c>
    </row>
    <row r="10928" spans="1:7">
      <c r="A10928" t="s">
        <v>1297</v>
      </c>
      <c r="B10928" t="s">
        <v>1298</v>
      </c>
      <c r="C10928" t="s">
        <v>1299</v>
      </c>
      <c r="D10928" t="s">
        <v>1417</v>
      </c>
      <c r="E10928" t="s">
        <v>187</v>
      </c>
      <c r="F10928">
        <v>2020</v>
      </c>
      <c r="G10928">
        <v>5.9466000000000001</v>
      </c>
    </row>
    <row r="10929" spans="1:7">
      <c r="A10929" t="s">
        <v>1297</v>
      </c>
      <c r="B10929" t="s">
        <v>1298</v>
      </c>
      <c r="C10929" t="s">
        <v>681</v>
      </c>
      <c r="D10929" t="s">
        <v>1417</v>
      </c>
      <c r="E10929" t="s">
        <v>187</v>
      </c>
      <c r="F10929">
        <v>2005</v>
      </c>
      <c r="G10929">
        <v>2.1654339999999999</v>
      </c>
    </row>
    <row r="10930" spans="1:7">
      <c r="A10930" t="s">
        <v>1297</v>
      </c>
      <c r="B10930" t="s">
        <v>1298</v>
      </c>
      <c r="C10930" t="s">
        <v>681</v>
      </c>
      <c r="D10930" t="s">
        <v>1417</v>
      </c>
      <c r="E10930" t="s">
        <v>187</v>
      </c>
      <c r="F10930">
        <v>2010</v>
      </c>
      <c r="G10930">
        <v>1.4440329999999999</v>
      </c>
    </row>
    <row r="10931" spans="1:7">
      <c r="A10931" t="s">
        <v>1297</v>
      </c>
      <c r="B10931" t="s">
        <v>1298</v>
      </c>
      <c r="C10931" t="s">
        <v>681</v>
      </c>
      <c r="D10931" t="s">
        <v>1417</v>
      </c>
      <c r="E10931" t="s">
        <v>187</v>
      </c>
      <c r="F10931">
        <v>2012</v>
      </c>
      <c r="G10931">
        <v>0.51168800000000003</v>
      </c>
    </row>
    <row r="10932" spans="1:7">
      <c r="A10932" t="s">
        <v>1297</v>
      </c>
      <c r="B10932" t="s">
        <v>1298</v>
      </c>
      <c r="C10932" t="s">
        <v>681</v>
      </c>
      <c r="D10932" t="s">
        <v>1417</v>
      </c>
      <c r="E10932" t="s">
        <v>187</v>
      </c>
      <c r="F10932">
        <v>2016</v>
      </c>
      <c r="G10932">
        <v>2.061588</v>
      </c>
    </row>
    <row r="10933" spans="1:7">
      <c r="A10933" t="s">
        <v>1297</v>
      </c>
      <c r="B10933" t="s">
        <v>1298</v>
      </c>
      <c r="C10933" t="s">
        <v>681</v>
      </c>
      <c r="D10933" t="s">
        <v>1417</v>
      </c>
      <c r="E10933" t="s">
        <v>187</v>
      </c>
      <c r="F10933">
        <v>2020</v>
      </c>
      <c r="G10933">
        <v>2.6742050000000002</v>
      </c>
    </row>
    <row r="10934" spans="1:7">
      <c r="A10934" t="s">
        <v>1297</v>
      </c>
      <c r="B10934" t="s">
        <v>1298</v>
      </c>
      <c r="C10934" t="s">
        <v>664</v>
      </c>
      <c r="D10934" t="s">
        <v>1417</v>
      </c>
      <c r="E10934" t="s">
        <v>187</v>
      </c>
      <c r="F10934">
        <v>2005</v>
      </c>
      <c r="G10934">
        <v>14.816262</v>
      </c>
    </row>
    <row r="10935" spans="1:7">
      <c r="A10935" t="s">
        <v>1297</v>
      </c>
      <c r="B10935" t="s">
        <v>1298</v>
      </c>
      <c r="C10935" t="s">
        <v>664</v>
      </c>
      <c r="D10935" t="s">
        <v>1417</v>
      </c>
      <c r="E10935" t="s">
        <v>187</v>
      </c>
      <c r="F10935">
        <v>2010</v>
      </c>
      <c r="G10935">
        <v>11.928896</v>
      </c>
    </row>
    <row r="10936" spans="1:7">
      <c r="A10936" t="s">
        <v>1297</v>
      </c>
      <c r="B10936" t="s">
        <v>1298</v>
      </c>
      <c r="C10936" t="s">
        <v>664</v>
      </c>
      <c r="D10936" t="s">
        <v>1417</v>
      </c>
      <c r="E10936" t="s">
        <v>187</v>
      </c>
      <c r="F10936">
        <v>2012</v>
      </c>
      <c r="G10936">
        <v>10.086486000000001</v>
      </c>
    </row>
    <row r="10937" spans="1:7">
      <c r="A10937" t="s">
        <v>1297</v>
      </c>
      <c r="B10937" t="s">
        <v>1298</v>
      </c>
      <c r="C10937" t="s">
        <v>664</v>
      </c>
      <c r="D10937" t="s">
        <v>1417</v>
      </c>
      <c r="E10937" t="s">
        <v>187</v>
      </c>
      <c r="F10937">
        <v>2016</v>
      </c>
      <c r="G10937">
        <v>11.246566</v>
      </c>
    </row>
    <row r="10938" spans="1:7">
      <c r="A10938" t="s">
        <v>1297</v>
      </c>
      <c r="B10938" t="s">
        <v>1298</v>
      </c>
      <c r="C10938" t="s">
        <v>664</v>
      </c>
      <c r="D10938" t="s">
        <v>1417</v>
      </c>
      <c r="E10938" t="s">
        <v>187</v>
      </c>
      <c r="F10938">
        <v>2020</v>
      </c>
      <c r="G10938">
        <v>11.093937</v>
      </c>
    </row>
    <row r="10939" spans="1:7">
      <c r="A10939" t="s">
        <v>1297</v>
      </c>
      <c r="B10939" t="s">
        <v>1298</v>
      </c>
      <c r="C10939" t="s">
        <v>1302</v>
      </c>
      <c r="D10939" t="s">
        <v>1417</v>
      </c>
      <c r="E10939" t="s">
        <v>187</v>
      </c>
      <c r="F10939">
        <v>2005</v>
      </c>
      <c r="G10939">
        <v>1.4661</v>
      </c>
    </row>
    <row r="10940" spans="1:7">
      <c r="A10940" t="s">
        <v>1297</v>
      </c>
      <c r="B10940" t="s">
        <v>1298</v>
      </c>
      <c r="C10940" t="s">
        <v>1302</v>
      </c>
      <c r="D10940" t="s">
        <v>1417</v>
      </c>
      <c r="E10940" t="s">
        <v>187</v>
      </c>
      <c r="F10940">
        <v>2010</v>
      </c>
      <c r="G10940">
        <v>1.8563400000000001</v>
      </c>
    </row>
    <row r="10941" spans="1:7">
      <c r="A10941" t="s">
        <v>1297</v>
      </c>
      <c r="B10941" t="s">
        <v>1298</v>
      </c>
      <c r="C10941" t="s">
        <v>1302</v>
      </c>
      <c r="D10941" t="s">
        <v>1417</v>
      </c>
      <c r="E10941" t="s">
        <v>187</v>
      </c>
      <c r="F10941">
        <v>2012</v>
      </c>
      <c r="G10941">
        <v>1.9765410000000001</v>
      </c>
    </row>
    <row r="10942" spans="1:7">
      <c r="A10942" t="s">
        <v>1297</v>
      </c>
      <c r="B10942" t="s">
        <v>1298</v>
      </c>
      <c r="C10942" t="s">
        <v>1302</v>
      </c>
      <c r="D10942" t="s">
        <v>1417</v>
      </c>
      <c r="E10942" t="s">
        <v>187</v>
      </c>
      <c r="F10942">
        <v>2016</v>
      </c>
      <c r="G10942">
        <v>1.9514670000000001</v>
      </c>
    </row>
    <row r="10943" spans="1:7">
      <c r="A10943" t="s">
        <v>1297</v>
      </c>
      <c r="B10943" t="s">
        <v>1298</v>
      </c>
      <c r="C10943" t="s">
        <v>1302</v>
      </c>
      <c r="D10943" t="s">
        <v>1417</v>
      </c>
      <c r="E10943" t="s">
        <v>187</v>
      </c>
      <c r="F10943">
        <v>2020</v>
      </c>
      <c r="G10943">
        <v>2.2208060000000001</v>
      </c>
    </row>
    <row r="10944" spans="1:7">
      <c r="A10944" t="s">
        <v>1297</v>
      </c>
      <c r="B10944" t="s">
        <v>1298</v>
      </c>
      <c r="C10944" t="s">
        <v>668</v>
      </c>
      <c r="D10944" t="s">
        <v>1417</v>
      </c>
      <c r="E10944" t="s">
        <v>187</v>
      </c>
      <c r="F10944">
        <v>2005</v>
      </c>
      <c r="G10944">
        <v>1.884584</v>
      </c>
    </row>
    <row r="10945" spans="1:7">
      <c r="A10945" t="s">
        <v>1297</v>
      </c>
      <c r="B10945" t="s">
        <v>1298</v>
      </c>
      <c r="C10945" t="s">
        <v>668</v>
      </c>
      <c r="D10945" t="s">
        <v>1417</v>
      </c>
      <c r="E10945" t="s">
        <v>187</v>
      </c>
      <c r="F10945">
        <v>2010</v>
      </c>
      <c r="G10945">
        <v>1.4928399999999999</v>
      </c>
    </row>
    <row r="10946" spans="1:7">
      <c r="A10946" t="s">
        <v>1297</v>
      </c>
      <c r="B10946" t="s">
        <v>1298</v>
      </c>
      <c r="C10946" t="s">
        <v>668</v>
      </c>
      <c r="D10946" t="s">
        <v>1417</v>
      </c>
      <c r="E10946" t="s">
        <v>187</v>
      </c>
      <c r="F10946">
        <v>2012</v>
      </c>
      <c r="G10946">
        <v>1.79216</v>
      </c>
    </row>
    <row r="10947" spans="1:7">
      <c r="A10947" t="s">
        <v>1297</v>
      </c>
      <c r="B10947" t="s">
        <v>1298</v>
      </c>
      <c r="C10947" t="s">
        <v>668</v>
      </c>
      <c r="D10947" t="s">
        <v>1417</v>
      </c>
      <c r="E10947" t="s">
        <v>187</v>
      </c>
      <c r="F10947">
        <v>2016</v>
      </c>
      <c r="G10947">
        <v>1.5038800000000001</v>
      </c>
    </row>
    <row r="10948" spans="1:7">
      <c r="A10948" t="s">
        <v>1297</v>
      </c>
      <c r="B10948" t="s">
        <v>1298</v>
      </c>
      <c r="C10948" t="s">
        <v>668</v>
      </c>
      <c r="D10948" t="s">
        <v>1417</v>
      </c>
      <c r="E10948" t="s">
        <v>187</v>
      </c>
      <c r="F10948">
        <v>2020</v>
      </c>
      <c r="G10948">
        <v>1.1597139999999999</v>
      </c>
    </row>
    <row r="10949" spans="1:7">
      <c r="A10949" t="s">
        <v>1297</v>
      </c>
      <c r="B10949" t="s">
        <v>1298</v>
      </c>
      <c r="C10949" t="s">
        <v>662</v>
      </c>
      <c r="D10949" t="s">
        <v>1417</v>
      </c>
      <c r="E10949" t="s">
        <v>187</v>
      </c>
      <c r="F10949">
        <v>2020</v>
      </c>
      <c r="G10949">
        <v>5.2659190000000002</v>
      </c>
    </row>
    <row r="10950" spans="1:7">
      <c r="A10950" t="s">
        <v>1297</v>
      </c>
      <c r="B10950" t="s">
        <v>1298</v>
      </c>
      <c r="C10950" t="s">
        <v>679</v>
      </c>
      <c r="D10950" t="s">
        <v>1417</v>
      </c>
      <c r="E10950" t="s">
        <v>187</v>
      </c>
      <c r="F10950">
        <v>2005</v>
      </c>
      <c r="G10950">
        <v>9.2359000000000009</v>
      </c>
    </row>
    <row r="10951" spans="1:7">
      <c r="A10951" t="s">
        <v>1297</v>
      </c>
      <c r="B10951" t="s">
        <v>1298</v>
      </c>
      <c r="C10951" t="s">
        <v>679</v>
      </c>
      <c r="D10951" t="s">
        <v>1417</v>
      </c>
      <c r="E10951" t="s">
        <v>187</v>
      </c>
      <c r="F10951">
        <v>2010</v>
      </c>
      <c r="G10951">
        <v>10.193099999999999</v>
      </c>
    </row>
    <row r="10952" spans="1:7">
      <c r="A10952" t="s">
        <v>1297</v>
      </c>
      <c r="B10952" t="s">
        <v>1298</v>
      </c>
      <c r="C10952" t="s">
        <v>679</v>
      </c>
      <c r="D10952" t="s">
        <v>1417</v>
      </c>
      <c r="E10952" t="s">
        <v>187</v>
      </c>
      <c r="F10952">
        <v>2012</v>
      </c>
      <c r="G10952">
        <v>8.6496999999999993</v>
      </c>
    </row>
    <row r="10953" spans="1:7">
      <c r="A10953" t="s">
        <v>1297</v>
      </c>
      <c r="B10953" t="s">
        <v>1298</v>
      </c>
      <c r="C10953" t="s">
        <v>679</v>
      </c>
      <c r="D10953" t="s">
        <v>1417</v>
      </c>
      <c r="E10953" t="s">
        <v>187</v>
      </c>
      <c r="F10953">
        <v>2016</v>
      </c>
      <c r="G10953">
        <v>10.3178</v>
      </c>
    </row>
    <row r="10954" spans="1:7">
      <c r="A10954" t="s">
        <v>1297</v>
      </c>
      <c r="B10954" t="s">
        <v>1298</v>
      </c>
      <c r="C10954" t="s">
        <v>679</v>
      </c>
      <c r="D10954" t="s">
        <v>1417</v>
      </c>
      <c r="E10954" t="s">
        <v>187</v>
      </c>
      <c r="F10954">
        <v>2020</v>
      </c>
      <c r="G10954">
        <v>17.044374000000001</v>
      </c>
    </row>
    <row r="10955" spans="1:7">
      <c r="A10955" t="s">
        <v>1297</v>
      </c>
      <c r="B10955" t="s">
        <v>1298</v>
      </c>
      <c r="C10955" t="s">
        <v>682</v>
      </c>
      <c r="D10955" t="s">
        <v>1417</v>
      </c>
      <c r="E10955" t="s">
        <v>187</v>
      </c>
      <c r="F10955">
        <v>2016</v>
      </c>
      <c r="G10955">
        <v>2.1505000000000001</v>
      </c>
    </row>
    <row r="10956" spans="1:7">
      <c r="A10956" t="s">
        <v>1297</v>
      </c>
      <c r="B10956" t="s">
        <v>1298</v>
      </c>
      <c r="C10956" t="s">
        <v>682</v>
      </c>
      <c r="D10956" t="s">
        <v>1417</v>
      </c>
      <c r="E10956" t="s">
        <v>187</v>
      </c>
      <c r="F10956">
        <v>2020</v>
      </c>
      <c r="G10956">
        <v>0.910076</v>
      </c>
    </row>
    <row r="10957" spans="1:7">
      <c r="A10957" t="s">
        <v>1297</v>
      </c>
      <c r="B10957" t="s">
        <v>1298</v>
      </c>
      <c r="C10957" t="s">
        <v>659</v>
      </c>
      <c r="D10957" t="s">
        <v>1417</v>
      </c>
      <c r="E10957" t="s">
        <v>187</v>
      </c>
      <c r="F10957">
        <v>2005</v>
      </c>
      <c r="G10957">
        <v>90.279399999999995</v>
      </c>
    </row>
    <row r="10958" spans="1:7">
      <c r="A10958" t="s">
        <v>1297</v>
      </c>
      <c r="B10958" t="s">
        <v>1298</v>
      </c>
      <c r="C10958" t="s">
        <v>659</v>
      </c>
      <c r="D10958" t="s">
        <v>1417</v>
      </c>
      <c r="E10958" t="s">
        <v>187</v>
      </c>
      <c r="F10958">
        <v>2010</v>
      </c>
      <c r="G10958">
        <v>59.827100000000002</v>
      </c>
    </row>
    <row r="10959" spans="1:7">
      <c r="A10959" t="s">
        <v>1297</v>
      </c>
      <c r="B10959" t="s">
        <v>1298</v>
      </c>
      <c r="C10959" t="s">
        <v>659</v>
      </c>
      <c r="D10959" t="s">
        <v>1417</v>
      </c>
      <c r="E10959" t="s">
        <v>187</v>
      </c>
      <c r="F10959">
        <v>2012</v>
      </c>
      <c r="G10959">
        <v>59.601799999999997</v>
      </c>
    </row>
    <row r="10960" spans="1:7">
      <c r="A10960" t="s">
        <v>1297</v>
      </c>
      <c r="B10960" t="s">
        <v>1298</v>
      </c>
      <c r="C10960" t="s">
        <v>659</v>
      </c>
      <c r="D10960" t="s">
        <v>1417</v>
      </c>
      <c r="E10960" t="s">
        <v>187</v>
      </c>
      <c r="F10960">
        <v>2016</v>
      </c>
      <c r="G10960">
        <v>53.293900000000001</v>
      </c>
    </row>
    <row r="10961" spans="1:7">
      <c r="A10961" t="s">
        <v>1297</v>
      </c>
      <c r="B10961" t="s">
        <v>1298</v>
      </c>
      <c r="C10961" t="s">
        <v>659</v>
      </c>
      <c r="D10961" t="s">
        <v>1417</v>
      </c>
      <c r="E10961" t="s">
        <v>187</v>
      </c>
      <c r="F10961">
        <v>2020</v>
      </c>
      <c r="G10961">
        <v>52.281700000000001</v>
      </c>
    </row>
    <row r="10962" spans="1:7">
      <c r="A10962" t="s">
        <v>1297</v>
      </c>
      <c r="B10962" t="s">
        <v>1298</v>
      </c>
      <c r="C10962" t="s">
        <v>656</v>
      </c>
      <c r="D10962" t="s">
        <v>1417</v>
      </c>
      <c r="E10962" t="s">
        <v>187</v>
      </c>
      <c r="F10962">
        <v>2005</v>
      </c>
      <c r="G10962">
        <v>373.19641999999999</v>
      </c>
    </row>
    <row r="10963" spans="1:7">
      <c r="A10963" t="s">
        <v>1297</v>
      </c>
      <c r="B10963" t="s">
        <v>1298</v>
      </c>
      <c r="C10963" t="s">
        <v>656</v>
      </c>
      <c r="D10963" t="s">
        <v>1417</v>
      </c>
      <c r="E10963" t="s">
        <v>187</v>
      </c>
      <c r="F10963">
        <v>2010</v>
      </c>
      <c r="G10963">
        <v>322.442117</v>
      </c>
    </row>
    <row r="10964" spans="1:7">
      <c r="A10964" t="s">
        <v>1297</v>
      </c>
      <c r="B10964" t="s">
        <v>1298</v>
      </c>
      <c r="C10964" t="s">
        <v>656</v>
      </c>
      <c r="D10964" t="s">
        <v>1417</v>
      </c>
      <c r="E10964" t="s">
        <v>187</v>
      </c>
      <c r="F10964">
        <v>2012</v>
      </c>
      <c r="G10964">
        <v>308.317272</v>
      </c>
    </row>
    <row r="10965" spans="1:7">
      <c r="A10965" t="s">
        <v>1297</v>
      </c>
      <c r="B10965" t="s">
        <v>1298</v>
      </c>
      <c r="C10965" t="s">
        <v>656</v>
      </c>
      <c r="D10965" t="s">
        <v>1417</v>
      </c>
      <c r="E10965" t="s">
        <v>187</v>
      </c>
      <c r="F10965">
        <v>2016</v>
      </c>
      <c r="G10965">
        <v>295.54543699999999</v>
      </c>
    </row>
    <row r="10966" spans="1:7">
      <c r="A10966" t="s">
        <v>1297</v>
      </c>
      <c r="B10966" t="s">
        <v>1298</v>
      </c>
      <c r="C10966" t="s">
        <v>656</v>
      </c>
      <c r="D10966" t="s">
        <v>1417</v>
      </c>
      <c r="E10966" t="s">
        <v>187</v>
      </c>
      <c r="F10966">
        <v>2020</v>
      </c>
      <c r="G10966">
        <v>116.006317</v>
      </c>
    </row>
    <row r="10967" spans="1:7">
      <c r="A10967" t="s">
        <v>1297</v>
      </c>
      <c r="B10967" t="s">
        <v>1298</v>
      </c>
      <c r="C10967" t="s">
        <v>1303</v>
      </c>
      <c r="D10967" t="s">
        <v>1417</v>
      </c>
      <c r="E10967" t="s">
        <v>187</v>
      </c>
      <c r="F10967">
        <v>2016</v>
      </c>
      <c r="G10967">
        <v>0.46618999999999999</v>
      </c>
    </row>
    <row r="10968" spans="1:7">
      <c r="A10968" t="s">
        <v>1297</v>
      </c>
      <c r="B10968" t="s">
        <v>1298</v>
      </c>
      <c r="C10968" t="s">
        <v>1303</v>
      </c>
      <c r="D10968" t="s">
        <v>1417</v>
      </c>
      <c r="E10968" t="s">
        <v>187</v>
      </c>
      <c r="F10968">
        <v>2020</v>
      </c>
      <c r="G10968">
        <v>4.3279999999999999E-2</v>
      </c>
    </row>
    <row r="10969" spans="1:7">
      <c r="A10969" t="s">
        <v>1297</v>
      </c>
      <c r="B10969" t="s">
        <v>1298</v>
      </c>
      <c r="C10969" t="s">
        <v>686</v>
      </c>
      <c r="D10969" t="s">
        <v>1417</v>
      </c>
      <c r="E10969" t="s">
        <v>187</v>
      </c>
      <c r="F10969">
        <v>2010</v>
      </c>
      <c r="G10969">
        <v>3.3646370000000001</v>
      </c>
    </row>
    <row r="10970" spans="1:7">
      <c r="A10970" t="s">
        <v>1297</v>
      </c>
      <c r="B10970" t="s">
        <v>1298</v>
      </c>
      <c r="C10970" t="s">
        <v>686</v>
      </c>
      <c r="D10970" t="s">
        <v>1417</v>
      </c>
      <c r="E10970" t="s">
        <v>187</v>
      </c>
      <c r="F10970">
        <v>2012</v>
      </c>
      <c r="G10970">
        <v>4.334193</v>
      </c>
    </row>
    <row r="10971" spans="1:7">
      <c r="A10971" t="s">
        <v>1297</v>
      </c>
      <c r="B10971" t="s">
        <v>1298</v>
      </c>
      <c r="C10971" t="s">
        <v>686</v>
      </c>
      <c r="D10971" t="s">
        <v>1417</v>
      </c>
      <c r="E10971" t="s">
        <v>187</v>
      </c>
      <c r="F10971">
        <v>2016</v>
      </c>
      <c r="G10971">
        <v>3.091596</v>
      </c>
    </row>
    <row r="10972" spans="1:7">
      <c r="A10972" t="s">
        <v>1297</v>
      </c>
      <c r="B10972" t="s">
        <v>1298</v>
      </c>
      <c r="C10972" t="s">
        <v>686</v>
      </c>
      <c r="D10972" t="s">
        <v>1417</v>
      </c>
      <c r="E10972" t="s">
        <v>187</v>
      </c>
      <c r="F10972">
        <v>2020</v>
      </c>
      <c r="G10972">
        <v>2.4430719999999999</v>
      </c>
    </row>
    <row r="10973" spans="1:7">
      <c r="A10973" t="s">
        <v>1297</v>
      </c>
      <c r="B10973" t="s">
        <v>1298</v>
      </c>
      <c r="C10973" t="s">
        <v>653</v>
      </c>
      <c r="D10973" t="s">
        <v>1417</v>
      </c>
      <c r="E10973" t="s">
        <v>187</v>
      </c>
      <c r="F10973">
        <v>2005</v>
      </c>
      <c r="G10973">
        <v>1.4281999999999999</v>
      </c>
    </row>
    <row r="10974" spans="1:7">
      <c r="A10974" t="s">
        <v>1297</v>
      </c>
      <c r="B10974" t="s">
        <v>1298</v>
      </c>
      <c r="C10974" t="s">
        <v>653</v>
      </c>
      <c r="D10974" t="s">
        <v>1417</v>
      </c>
      <c r="E10974" t="s">
        <v>187</v>
      </c>
      <c r="F10974">
        <v>2010</v>
      </c>
      <c r="G10974">
        <v>1.9058999999999999</v>
      </c>
    </row>
    <row r="10975" spans="1:7">
      <c r="A10975" t="s">
        <v>1297</v>
      </c>
      <c r="B10975" t="s">
        <v>1298</v>
      </c>
      <c r="C10975" t="s">
        <v>653</v>
      </c>
      <c r="D10975" t="s">
        <v>1417</v>
      </c>
      <c r="E10975" t="s">
        <v>187</v>
      </c>
      <c r="F10975">
        <v>2012</v>
      </c>
      <c r="G10975">
        <v>1.4959</v>
      </c>
    </row>
    <row r="10976" spans="1:7">
      <c r="A10976" t="s">
        <v>1297</v>
      </c>
      <c r="B10976" t="s">
        <v>1298</v>
      </c>
      <c r="C10976" t="s">
        <v>653</v>
      </c>
      <c r="D10976" t="s">
        <v>1417</v>
      </c>
      <c r="E10976" t="s">
        <v>187</v>
      </c>
      <c r="F10976">
        <v>2016</v>
      </c>
      <c r="G10976">
        <v>1.6351</v>
      </c>
    </row>
    <row r="10977" spans="1:7">
      <c r="A10977" t="s">
        <v>1297</v>
      </c>
      <c r="B10977" t="s">
        <v>1298</v>
      </c>
      <c r="C10977" t="s">
        <v>653</v>
      </c>
      <c r="D10977" t="s">
        <v>1417</v>
      </c>
      <c r="E10977" t="s">
        <v>187</v>
      </c>
      <c r="F10977">
        <v>2020</v>
      </c>
      <c r="G10977">
        <v>1.2670250000000001</v>
      </c>
    </row>
    <row r="10978" spans="1:7">
      <c r="A10978" t="s">
        <v>1297</v>
      </c>
      <c r="B10978" t="s">
        <v>1298</v>
      </c>
      <c r="C10978" t="s">
        <v>660</v>
      </c>
      <c r="D10978" t="s">
        <v>1417</v>
      </c>
      <c r="E10978" t="s">
        <v>187</v>
      </c>
      <c r="F10978">
        <v>2005</v>
      </c>
      <c r="G10978">
        <v>13.1229</v>
      </c>
    </row>
    <row r="10979" spans="1:7">
      <c r="A10979" t="s">
        <v>1297</v>
      </c>
      <c r="B10979" t="s">
        <v>1298</v>
      </c>
      <c r="C10979" t="s">
        <v>660</v>
      </c>
      <c r="D10979" t="s">
        <v>1417</v>
      </c>
      <c r="E10979" t="s">
        <v>187</v>
      </c>
      <c r="F10979">
        <v>2010</v>
      </c>
      <c r="G10979">
        <v>13.124942000000001</v>
      </c>
    </row>
    <row r="10980" spans="1:7">
      <c r="A10980" t="s">
        <v>1297</v>
      </c>
      <c r="B10980" t="s">
        <v>1298</v>
      </c>
      <c r="C10980" t="s">
        <v>660</v>
      </c>
      <c r="D10980" t="s">
        <v>1417</v>
      </c>
      <c r="E10980" t="s">
        <v>187</v>
      </c>
      <c r="F10980">
        <v>2012</v>
      </c>
      <c r="G10980">
        <v>12.382239999999999</v>
      </c>
    </row>
    <row r="10981" spans="1:7">
      <c r="A10981" t="s">
        <v>1297</v>
      </c>
      <c r="B10981" t="s">
        <v>1298</v>
      </c>
      <c r="C10981" t="s">
        <v>660</v>
      </c>
      <c r="D10981" t="s">
        <v>1417</v>
      </c>
      <c r="E10981" t="s">
        <v>187</v>
      </c>
      <c r="F10981">
        <v>2016</v>
      </c>
      <c r="G10981">
        <v>11.281993999999999</v>
      </c>
    </row>
    <row r="10982" spans="1:7">
      <c r="A10982" t="s">
        <v>1297</v>
      </c>
      <c r="B10982" t="s">
        <v>1298</v>
      </c>
      <c r="C10982" t="s">
        <v>660</v>
      </c>
      <c r="D10982" t="s">
        <v>1417</v>
      </c>
      <c r="E10982" t="s">
        <v>187</v>
      </c>
      <c r="F10982">
        <v>2020</v>
      </c>
      <c r="G10982">
        <v>10.956495</v>
      </c>
    </row>
    <row r="10983" spans="1:7">
      <c r="A10983" t="s">
        <v>1297</v>
      </c>
      <c r="B10983" t="s">
        <v>1298</v>
      </c>
      <c r="C10983" t="s">
        <v>662</v>
      </c>
      <c r="D10983" t="s">
        <v>1418</v>
      </c>
      <c r="E10983" t="s">
        <v>187</v>
      </c>
      <c r="F10983">
        <v>2012</v>
      </c>
      <c r="G10983">
        <v>1.2796000000000001</v>
      </c>
    </row>
    <row r="10984" spans="1:7">
      <c r="A10984" t="s">
        <v>1297</v>
      </c>
      <c r="B10984" t="s">
        <v>1298</v>
      </c>
      <c r="C10984" t="s">
        <v>662</v>
      </c>
      <c r="D10984" t="s">
        <v>1418</v>
      </c>
      <c r="E10984" t="s">
        <v>187</v>
      </c>
      <c r="F10984">
        <v>2016</v>
      </c>
      <c r="G10984">
        <v>0.51800000000000002</v>
      </c>
    </row>
    <row r="10985" spans="1:7">
      <c r="A10985" t="s">
        <v>1297</v>
      </c>
      <c r="B10985" t="s">
        <v>1298</v>
      </c>
      <c r="C10985" t="s">
        <v>662</v>
      </c>
      <c r="D10985" t="s">
        <v>1418</v>
      </c>
      <c r="E10985" t="s">
        <v>187</v>
      </c>
      <c r="F10985">
        <v>2020</v>
      </c>
      <c r="G10985">
        <v>0.53939999999999999</v>
      </c>
    </row>
    <row r="10986" spans="1:7">
      <c r="A10986" t="s">
        <v>1297</v>
      </c>
      <c r="B10986" t="s">
        <v>1298</v>
      </c>
      <c r="C10986" t="s">
        <v>666</v>
      </c>
      <c r="D10986" t="s">
        <v>1418</v>
      </c>
      <c r="E10986" t="s">
        <v>187</v>
      </c>
      <c r="F10986">
        <v>2005</v>
      </c>
      <c r="G10986">
        <v>4.2779999999999999E-2</v>
      </c>
    </row>
    <row r="10987" spans="1:7">
      <c r="A10987" t="s">
        <v>1297</v>
      </c>
      <c r="B10987" t="s">
        <v>1298</v>
      </c>
      <c r="C10987" t="s">
        <v>666</v>
      </c>
      <c r="D10987" t="s">
        <v>1418</v>
      </c>
      <c r="E10987" t="s">
        <v>187</v>
      </c>
      <c r="F10987">
        <v>2010</v>
      </c>
      <c r="G10987">
        <v>8.6139999999999994E-2</v>
      </c>
    </row>
    <row r="10988" spans="1:7">
      <c r="A10988" t="s">
        <v>1297</v>
      </c>
      <c r="B10988" t="s">
        <v>1298</v>
      </c>
      <c r="C10988" t="s">
        <v>666</v>
      </c>
      <c r="D10988" t="s">
        <v>1418</v>
      </c>
      <c r="E10988" t="s">
        <v>187</v>
      </c>
      <c r="F10988">
        <v>2012</v>
      </c>
      <c r="G10988">
        <v>8.6139999999999994E-2</v>
      </c>
    </row>
    <row r="10989" spans="1:7">
      <c r="A10989" t="s">
        <v>1297</v>
      </c>
      <c r="B10989" t="s">
        <v>1298</v>
      </c>
      <c r="C10989" t="s">
        <v>666</v>
      </c>
      <c r="D10989" t="s">
        <v>1418</v>
      </c>
      <c r="E10989" t="s">
        <v>187</v>
      </c>
      <c r="F10989">
        <v>2016</v>
      </c>
      <c r="G10989">
        <v>4.2860000000000002E-2</v>
      </c>
    </row>
    <row r="10990" spans="1:7">
      <c r="A10990" t="s">
        <v>1297</v>
      </c>
      <c r="B10990" t="s">
        <v>1298</v>
      </c>
      <c r="C10990" t="s">
        <v>666</v>
      </c>
      <c r="D10990" t="s">
        <v>1418</v>
      </c>
      <c r="E10990" t="s">
        <v>187</v>
      </c>
      <c r="F10990">
        <v>2020</v>
      </c>
      <c r="G10990">
        <v>4.2860000000000002E-2</v>
      </c>
    </row>
    <row r="10991" spans="1:7">
      <c r="A10991" t="s">
        <v>1297</v>
      </c>
      <c r="B10991" t="s">
        <v>1298</v>
      </c>
      <c r="C10991" t="s">
        <v>664</v>
      </c>
      <c r="D10991" t="s">
        <v>1418</v>
      </c>
      <c r="E10991" t="s">
        <v>187</v>
      </c>
      <c r="F10991">
        <v>2005</v>
      </c>
      <c r="G10991">
        <v>1.9568289999999999</v>
      </c>
    </row>
    <row r="10992" spans="1:7">
      <c r="A10992" t="s">
        <v>1297</v>
      </c>
      <c r="B10992" t="s">
        <v>1298</v>
      </c>
      <c r="C10992" t="s">
        <v>664</v>
      </c>
      <c r="D10992" t="s">
        <v>1418</v>
      </c>
      <c r="E10992" t="s">
        <v>187</v>
      </c>
      <c r="F10992">
        <v>2010</v>
      </c>
      <c r="G10992">
        <v>1.028478</v>
      </c>
    </row>
    <row r="10993" spans="1:7">
      <c r="A10993" t="s">
        <v>1297</v>
      </c>
      <c r="B10993" t="s">
        <v>1298</v>
      </c>
      <c r="C10993" t="s">
        <v>664</v>
      </c>
      <c r="D10993" t="s">
        <v>1418</v>
      </c>
      <c r="E10993" t="s">
        <v>187</v>
      </c>
      <c r="F10993">
        <v>2012</v>
      </c>
      <c r="G10993">
        <v>0.94303199999999998</v>
      </c>
    </row>
    <row r="10994" spans="1:7">
      <c r="A10994" t="s">
        <v>1297</v>
      </c>
      <c r="B10994" t="s">
        <v>1298</v>
      </c>
      <c r="C10994" t="s">
        <v>664</v>
      </c>
      <c r="D10994" t="s">
        <v>1418</v>
      </c>
      <c r="E10994" t="s">
        <v>187</v>
      </c>
      <c r="F10994">
        <v>2016</v>
      </c>
      <c r="G10994">
        <v>0.80717499999999998</v>
      </c>
    </row>
    <row r="10995" spans="1:7">
      <c r="A10995" t="s">
        <v>1297</v>
      </c>
      <c r="B10995" t="s">
        <v>1298</v>
      </c>
      <c r="C10995" t="s">
        <v>664</v>
      </c>
      <c r="D10995" t="s">
        <v>1418</v>
      </c>
      <c r="E10995" t="s">
        <v>187</v>
      </c>
      <c r="F10995">
        <v>2020</v>
      </c>
      <c r="G10995">
        <v>0.98504599999999998</v>
      </c>
    </row>
    <row r="10996" spans="1:7">
      <c r="A10996" t="s">
        <v>1297</v>
      </c>
      <c r="B10996" t="s">
        <v>1298</v>
      </c>
      <c r="C10996" t="s">
        <v>653</v>
      </c>
      <c r="D10996" t="s">
        <v>1418</v>
      </c>
      <c r="E10996" t="s">
        <v>187</v>
      </c>
      <c r="F10996">
        <v>2010</v>
      </c>
      <c r="G10996">
        <v>4.2299999999999997E-2</v>
      </c>
    </row>
    <row r="10997" spans="1:7">
      <c r="A10997" t="s">
        <v>1297</v>
      </c>
      <c r="B10997" t="s">
        <v>1298</v>
      </c>
      <c r="C10997" t="s">
        <v>653</v>
      </c>
      <c r="D10997" t="s">
        <v>1418</v>
      </c>
      <c r="E10997" t="s">
        <v>187</v>
      </c>
      <c r="F10997">
        <v>2012</v>
      </c>
      <c r="G10997">
        <v>4.2299999999999997E-2</v>
      </c>
    </row>
    <row r="10998" spans="1:7">
      <c r="A10998" t="s">
        <v>1297</v>
      </c>
      <c r="B10998" t="s">
        <v>1298</v>
      </c>
      <c r="C10998" t="s">
        <v>653</v>
      </c>
      <c r="D10998" t="s">
        <v>1418</v>
      </c>
      <c r="E10998" t="s">
        <v>187</v>
      </c>
      <c r="F10998">
        <v>2020</v>
      </c>
      <c r="G10998">
        <v>2.6899999999999998E-4</v>
      </c>
    </row>
    <row r="10999" spans="1:7">
      <c r="A10999" t="s">
        <v>1297</v>
      </c>
      <c r="B10999" t="s">
        <v>1298</v>
      </c>
      <c r="C10999" t="s">
        <v>665</v>
      </c>
      <c r="D10999" t="s">
        <v>1418</v>
      </c>
      <c r="E10999" t="s">
        <v>187</v>
      </c>
      <c r="F10999">
        <v>2012</v>
      </c>
      <c r="G10999">
        <v>7.0289999999999999</v>
      </c>
    </row>
    <row r="11000" spans="1:7">
      <c r="A11000" t="s">
        <v>1297</v>
      </c>
      <c r="B11000" t="s">
        <v>1298</v>
      </c>
      <c r="C11000" t="s">
        <v>665</v>
      </c>
      <c r="D11000" t="s">
        <v>1418</v>
      </c>
      <c r="E11000" t="s">
        <v>187</v>
      </c>
      <c r="F11000">
        <v>2016</v>
      </c>
      <c r="G11000">
        <v>6.9931999999999999</v>
      </c>
    </row>
    <row r="11001" spans="1:7">
      <c r="A11001" t="s">
        <v>1297</v>
      </c>
      <c r="B11001" t="s">
        <v>1298</v>
      </c>
      <c r="C11001" t="s">
        <v>665</v>
      </c>
      <c r="D11001" t="s">
        <v>1418</v>
      </c>
      <c r="E11001" t="s">
        <v>187</v>
      </c>
      <c r="F11001">
        <v>2020</v>
      </c>
      <c r="G11001">
        <v>6.6138630000000003</v>
      </c>
    </row>
    <row r="11002" spans="1:7">
      <c r="A11002" t="s">
        <v>1297</v>
      </c>
      <c r="B11002" t="s">
        <v>1298</v>
      </c>
      <c r="C11002" t="s">
        <v>680</v>
      </c>
      <c r="D11002" t="s">
        <v>1418</v>
      </c>
      <c r="E11002" t="s">
        <v>187</v>
      </c>
      <c r="F11002">
        <v>2005</v>
      </c>
      <c r="G11002">
        <v>9.4692000000000007</v>
      </c>
    </row>
    <row r="11003" spans="1:7">
      <c r="A11003" t="s">
        <v>1297</v>
      </c>
      <c r="B11003" t="s">
        <v>1298</v>
      </c>
      <c r="C11003" t="s">
        <v>680</v>
      </c>
      <c r="D11003" t="s">
        <v>1418</v>
      </c>
      <c r="E11003" t="s">
        <v>187</v>
      </c>
      <c r="F11003">
        <v>2010</v>
      </c>
      <c r="G11003">
        <v>7.7716000000000003</v>
      </c>
    </row>
    <row r="11004" spans="1:7">
      <c r="A11004" t="s">
        <v>1297</v>
      </c>
      <c r="B11004" t="s">
        <v>1298</v>
      </c>
      <c r="C11004" t="s">
        <v>680</v>
      </c>
      <c r="D11004" t="s">
        <v>1418</v>
      </c>
      <c r="E11004" t="s">
        <v>187</v>
      </c>
      <c r="F11004">
        <v>2012</v>
      </c>
      <c r="G11004">
        <v>7.1696</v>
      </c>
    </row>
    <row r="11005" spans="1:7">
      <c r="A11005" t="s">
        <v>1297</v>
      </c>
      <c r="B11005" t="s">
        <v>1298</v>
      </c>
      <c r="C11005" t="s">
        <v>680</v>
      </c>
      <c r="D11005" t="s">
        <v>1418</v>
      </c>
      <c r="E11005" t="s">
        <v>187</v>
      </c>
      <c r="F11005">
        <v>2016</v>
      </c>
      <c r="G11005">
        <v>7.2256289999999996</v>
      </c>
    </row>
    <row r="11006" spans="1:7">
      <c r="A11006" t="s">
        <v>1297</v>
      </c>
      <c r="B11006" t="s">
        <v>1298</v>
      </c>
      <c r="C11006" t="s">
        <v>680</v>
      </c>
      <c r="D11006" t="s">
        <v>1418</v>
      </c>
      <c r="E11006" t="s">
        <v>187</v>
      </c>
      <c r="F11006">
        <v>2020</v>
      </c>
      <c r="G11006">
        <v>7.0336259999999999</v>
      </c>
    </row>
    <row r="11007" spans="1:7">
      <c r="A11007" t="s">
        <v>1297</v>
      </c>
      <c r="B11007" t="s">
        <v>1298</v>
      </c>
      <c r="C11007" t="s">
        <v>660</v>
      </c>
      <c r="D11007" t="s">
        <v>1418</v>
      </c>
      <c r="E11007" t="s">
        <v>187</v>
      </c>
      <c r="F11007">
        <v>2005</v>
      </c>
      <c r="G11007">
        <v>1.5835999999999999</v>
      </c>
    </row>
    <row r="11008" spans="1:7">
      <c r="A11008" t="s">
        <v>1297</v>
      </c>
      <c r="B11008" t="s">
        <v>1298</v>
      </c>
      <c r="C11008" t="s">
        <v>660</v>
      </c>
      <c r="D11008" t="s">
        <v>1418</v>
      </c>
      <c r="E11008" t="s">
        <v>187</v>
      </c>
      <c r="F11008">
        <v>2010</v>
      </c>
      <c r="G11008">
        <v>1.5402960000000001</v>
      </c>
    </row>
    <row r="11009" spans="1:7">
      <c r="A11009" t="s">
        <v>1297</v>
      </c>
      <c r="B11009" t="s">
        <v>1298</v>
      </c>
      <c r="C11009" t="s">
        <v>660</v>
      </c>
      <c r="D11009" t="s">
        <v>1418</v>
      </c>
      <c r="E11009" t="s">
        <v>187</v>
      </c>
      <c r="F11009">
        <v>2012</v>
      </c>
      <c r="G11009">
        <v>1.5400799999999999</v>
      </c>
    </row>
    <row r="11010" spans="1:7">
      <c r="A11010" t="s">
        <v>1297</v>
      </c>
      <c r="B11010" t="s">
        <v>1298</v>
      </c>
      <c r="C11010" t="s">
        <v>660</v>
      </c>
      <c r="D11010" t="s">
        <v>1418</v>
      </c>
      <c r="E11010" t="s">
        <v>187</v>
      </c>
      <c r="F11010">
        <v>2016</v>
      </c>
      <c r="G11010">
        <v>1.29312</v>
      </c>
    </row>
    <row r="11011" spans="1:7">
      <c r="A11011" t="s">
        <v>1297</v>
      </c>
      <c r="B11011" t="s">
        <v>1298</v>
      </c>
      <c r="C11011" t="s">
        <v>660</v>
      </c>
      <c r="D11011" t="s">
        <v>1418</v>
      </c>
      <c r="E11011" t="s">
        <v>187</v>
      </c>
      <c r="F11011">
        <v>2020</v>
      </c>
      <c r="G11011">
        <v>1.418307</v>
      </c>
    </row>
    <row r="11012" spans="1:7">
      <c r="A11012" t="s">
        <v>1297</v>
      </c>
      <c r="B11012" t="s">
        <v>1298</v>
      </c>
      <c r="C11012" t="s">
        <v>672</v>
      </c>
      <c r="D11012" t="s">
        <v>1418</v>
      </c>
      <c r="E11012" t="s">
        <v>187</v>
      </c>
      <c r="F11012">
        <v>2005</v>
      </c>
      <c r="G11012">
        <v>2.33982</v>
      </c>
    </row>
    <row r="11013" spans="1:7">
      <c r="A11013" t="s">
        <v>1297</v>
      </c>
      <c r="B11013" t="s">
        <v>1298</v>
      </c>
      <c r="C11013" t="s">
        <v>672</v>
      </c>
      <c r="D11013" t="s">
        <v>1418</v>
      </c>
      <c r="E11013" t="s">
        <v>187</v>
      </c>
      <c r="F11013">
        <v>2010</v>
      </c>
      <c r="G11013">
        <v>4.694</v>
      </c>
    </row>
    <row r="11014" spans="1:7">
      <c r="A11014" t="s">
        <v>1297</v>
      </c>
      <c r="B11014" t="s">
        <v>1298</v>
      </c>
      <c r="C11014" t="s">
        <v>672</v>
      </c>
      <c r="D11014" t="s">
        <v>1418</v>
      </c>
      <c r="E11014" t="s">
        <v>187</v>
      </c>
      <c r="F11014">
        <v>2012</v>
      </c>
      <c r="G11014">
        <v>3.52</v>
      </c>
    </row>
    <row r="11015" spans="1:7">
      <c r="A11015" t="s">
        <v>1297</v>
      </c>
      <c r="B11015" t="s">
        <v>1298</v>
      </c>
      <c r="C11015" t="s">
        <v>672</v>
      </c>
      <c r="D11015" t="s">
        <v>1418</v>
      </c>
      <c r="E11015" t="s">
        <v>187</v>
      </c>
      <c r="F11015">
        <v>2016</v>
      </c>
      <c r="G11015">
        <v>3.1760000000000002</v>
      </c>
    </row>
    <row r="11016" spans="1:7">
      <c r="A11016" t="s">
        <v>1297</v>
      </c>
      <c r="B11016" t="s">
        <v>1298</v>
      </c>
      <c r="C11016" t="s">
        <v>672</v>
      </c>
      <c r="D11016" t="s">
        <v>1418</v>
      </c>
      <c r="E11016" t="s">
        <v>187</v>
      </c>
      <c r="F11016">
        <v>2020</v>
      </c>
      <c r="G11016">
        <v>3.8126679999999999</v>
      </c>
    </row>
    <row r="11017" spans="1:7">
      <c r="A11017" t="s">
        <v>1297</v>
      </c>
      <c r="B11017" t="s">
        <v>1298</v>
      </c>
      <c r="C11017" t="s">
        <v>674</v>
      </c>
      <c r="D11017" t="s">
        <v>1418</v>
      </c>
      <c r="E11017" t="s">
        <v>187</v>
      </c>
      <c r="F11017">
        <v>2005</v>
      </c>
      <c r="G11017">
        <v>2.1028669999999998</v>
      </c>
    </row>
    <row r="11018" spans="1:7">
      <c r="A11018" t="s">
        <v>1297</v>
      </c>
      <c r="B11018" t="s">
        <v>1298</v>
      </c>
      <c r="C11018" t="s">
        <v>674</v>
      </c>
      <c r="D11018" t="s">
        <v>1418</v>
      </c>
      <c r="E11018" t="s">
        <v>187</v>
      </c>
      <c r="F11018">
        <v>2010</v>
      </c>
      <c r="G11018">
        <v>2.2153619999999998</v>
      </c>
    </row>
    <row r="11019" spans="1:7">
      <c r="A11019" t="s">
        <v>1297</v>
      </c>
      <c r="B11019" t="s">
        <v>1298</v>
      </c>
      <c r="C11019" t="s">
        <v>674</v>
      </c>
      <c r="D11019" t="s">
        <v>1418</v>
      </c>
      <c r="E11019" t="s">
        <v>187</v>
      </c>
      <c r="F11019">
        <v>2012</v>
      </c>
      <c r="G11019">
        <v>2.120107</v>
      </c>
    </row>
    <row r="11020" spans="1:7">
      <c r="A11020" t="s">
        <v>1297</v>
      </c>
      <c r="B11020" t="s">
        <v>1298</v>
      </c>
      <c r="C11020" t="s">
        <v>674</v>
      </c>
      <c r="D11020" t="s">
        <v>1418</v>
      </c>
      <c r="E11020" t="s">
        <v>187</v>
      </c>
      <c r="F11020">
        <v>2016</v>
      </c>
      <c r="G11020">
        <v>1.556273</v>
      </c>
    </row>
    <row r="11021" spans="1:7">
      <c r="A11021" t="s">
        <v>1297</v>
      </c>
      <c r="B11021" t="s">
        <v>1298</v>
      </c>
      <c r="C11021" t="s">
        <v>674</v>
      </c>
      <c r="D11021" t="s">
        <v>1418</v>
      </c>
      <c r="E11021" t="s">
        <v>187</v>
      </c>
      <c r="F11021">
        <v>2020</v>
      </c>
      <c r="G11021">
        <v>1.0158780000000001</v>
      </c>
    </row>
    <row r="11022" spans="1:7">
      <c r="A11022" t="s">
        <v>1297</v>
      </c>
      <c r="B11022" t="s">
        <v>1298</v>
      </c>
      <c r="C11022" t="s">
        <v>673</v>
      </c>
      <c r="D11022" t="s">
        <v>1418</v>
      </c>
      <c r="E11022" t="s">
        <v>187</v>
      </c>
      <c r="F11022">
        <v>2020</v>
      </c>
      <c r="G11022">
        <v>8.9400000000000005E-4</v>
      </c>
    </row>
    <row r="11023" spans="1:7">
      <c r="A11023" t="s">
        <v>1297</v>
      </c>
      <c r="B11023" t="s">
        <v>1298</v>
      </c>
      <c r="C11023" t="s">
        <v>663</v>
      </c>
      <c r="D11023" t="s">
        <v>1418</v>
      </c>
      <c r="E11023" t="s">
        <v>187</v>
      </c>
      <c r="F11023">
        <v>2016</v>
      </c>
      <c r="G11023">
        <v>4.2900000000000001E-2</v>
      </c>
    </row>
    <row r="11024" spans="1:7">
      <c r="A11024" t="s">
        <v>1297</v>
      </c>
      <c r="B11024" t="s">
        <v>1298</v>
      </c>
      <c r="C11024" t="s">
        <v>663</v>
      </c>
      <c r="D11024" t="s">
        <v>1418</v>
      </c>
      <c r="E11024" t="s">
        <v>187</v>
      </c>
      <c r="F11024">
        <v>2020</v>
      </c>
      <c r="G11024">
        <v>8.5800000000000001E-2</v>
      </c>
    </row>
    <row r="11025" spans="1:7">
      <c r="A11025" t="s">
        <v>1297</v>
      </c>
      <c r="B11025" t="s">
        <v>1298</v>
      </c>
      <c r="C11025" t="s">
        <v>670</v>
      </c>
      <c r="D11025" t="s">
        <v>1418</v>
      </c>
      <c r="E11025" t="s">
        <v>187</v>
      </c>
      <c r="F11025">
        <v>2005</v>
      </c>
      <c r="G11025">
        <v>12.23</v>
      </c>
    </row>
    <row r="11026" spans="1:7">
      <c r="A11026" t="s">
        <v>1297</v>
      </c>
      <c r="B11026" t="s">
        <v>1298</v>
      </c>
      <c r="C11026" t="s">
        <v>670</v>
      </c>
      <c r="D11026" t="s">
        <v>1418</v>
      </c>
      <c r="E11026" t="s">
        <v>187</v>
      </c>
      <c r="F11026">
        <v>2010</v>
      </c>
      <c r="G11026">
        <v>8.8521999999999998</v>
      </c>
    </row>
    <row r="11027" spans="1:7">
      <c r="A11027" t="s">
        <v>1297</v>
      </c>
      <c r="B11027" t="s">
        <v>1298</v>
      </c>
      <c r="C11027" t="s">
        <v>670</v>
      </c>
      <c r="D11027" t="s">
        <v>1418</v>
      </c>
      <c r="E11027" t="s">
        <v>187</v>
      </c>
      <c r="F11027">
        <v>2012</v>
      </c>
      <c r="G11027">
        <v>6.0228000000000002</v>
      </c>
    </row>
    <row r="11028" spans="1:7">
      <c r="A11028" t="s">
        <v>1297</v>
      </c>
      <c r="B11028" t="s">
        <v>1298</v>
      </c>
      <c r="C11028" t="s">
        <v>670</v>
      </c>
      <c r="D11028" t="s">
        <v>1418</v>
      </c>
      <c r="E11028" t="s">
        <v>187</v>
      </c>
      <c r="F11028">
        <v>2016</v>
      </c>
      <c r="G11028">
        <v>7.5554649999999999</v>
      </c>
    </row>
    <row r="11029" spans="1:7">
      <c r="A11029" t="s">
        <v>1297</v>
      </c>
      <c r="B11029" t="s">
        <v>1298</v>
      </c>
      <c r="C11029" t="s">
        <v>670</v>
      </c>
      <c r="D11029" t="s">
        <v>1418</v>
      </c>
      <c r="E11029" t="s">
        <v>187</v>
      </c>
      <c r="F11029">
        <v>2020</v>
      </c>
      <c r="G11029">
        <v>6.4283130000000002</v>
      </c>
    </row>
    <row r="11030" spans="1:7">
      <c r="A11030" t="s">
        <v>1297</v>
      </c>
      <c r="B11030" t="s">
        <v>1298</v>
      </c>
      <c r="C11030" t="s">
        <v>671</v>
      </c>
      <c r="D11030" t="s">
        <v>1418</v>
      </c>
      <c r="E11030" t="s">
        <v>187</v>
      </c>
      <c r="F11030">
        <v>2005</v>
      </c>
      <c r="G11030">
        <v>0.1212</v>
      </c>
    </row>
    <row r="11031" spans="1:7">
      <c r="A11031" t="s">
        <v>1297</v>
      </c>
      <c r="B11031" t="s">
        <v>1298</v>
      </c>
      <c r="C11031" t="s">
        <v>1301</v>
      </c>
      <c r="D11031" t="s">
        <v>1418</v>
      </c>
      <c r="E11031" t="s">
        <v>187</v>
      </c>
      <c r="F11031">
        <v>2016</v>
      </c>
      <c r="G11031">
        <v>3.9015</v>
      </c>
    </row>
    <row r="11032" spans="1:7">
      <c r="A11032" t="s">
        <v>1297</v>
      </c>
      <c r="B11032" t="s">
        <v>1298</v>
      </c>
      <c r="C11032" t="s">
        <v>1301</v>
      </c>
      <c r="D11032" t="s">
        <v>1418</v>
      </c>
      <c r="E11032" t="s">
        <v>187</v>
      </c>
      <c r="F11032">
        <v>2020</v>
      </c>
      <c r="G11032">
        <v>3.7410000000000001</v>
      </c>
    </row>
    <row r="11033" spans="1:7">
      <c r="A11033" t="s">
        <v>1297</v>
      </c>
      <c r="B11033" t="s">
        <v>1298</v>
      </c>
      <c r="C11033" t="s">
        <v>289</v>
      </c>
      <c r="D11033" t="s">
        <v>1418</v>
      </c>
      <c r="E11033" t="s">
        <v>187</v>
      </c>
      <c r="F11033">
        <v>2005</v>
      </c>
      <c r="G11033">
        <v>1.2813000000000001</v>
      </c>
    </row>
    <row r="11034" spans="1:7">
      <c r="A11034" t="s">
        <v>1297</v>
      </c>
      <c r="B11034" t="s">
        <v>1298</v>
      </c>
      <c r="C11034" t="s">
        <v>289</v>
      </c>
      <c r="D11034" t="s">
        <v>1418</v>
      </c>
      <c r="E11034" t="s">
        <v>187</v>
      </c>
      <c r="F11034">
        <v>2010</v>
      </c>
      <c r="G11034">
        <v>1.3240099999999999</v>
      </c>
    </row>
    <row r="11035" spans="1:7">
      <c r="A11035" t="s">
        <v>1297</v>
      </c>
      <c r="B11035" t="s">
        <v>1298</v>
      </c>
      <c r="C11035" t="s">
        <v>289</v>
      </c>
      <c r="D11035" t="s">
        <v>1418</v>
      </c>
      <c r="E11035" t="s">
        <v>187</v>
      </c>
      <c r="F11035">
        <v>2012</v>
      </c>
      <c r="G11035">
        <v>1.2385900000000001</v>
      </c>
    </row>
    <row r="11036" spans="1:7">
      <c r="A11036" t="s">
        <v>1297</v>
      </c>
      <c r="B11036" t="s">
        <v>1298</v>
      </c>
      <c r="C11036" t="s">
        <v>289</v>
      </c>
      <c r="D11036" t="s">
        <v>1418</v>
      </c>
      <c r="E11036" t="s">
        <v>187</v>
      </c>
      <c r="F11036">
        <v>2016</v>
      </c>
      <c r="G11036">
        <v>1.15317</v>
      </c>
    </row>
    <row r="11037" spans="1:7">
      <c r="A11037" t="s">
        <v>1297</v>
      </c>
      <c r="B11037" t="s">
        <v>1298</v>
      </c>
      <c r="C11037" t="s">
        <v>289</v>
      </c>
      <c r="D11037" t="s">
        <v>1418</v>
      </c>
      <c r="E11037" t="s">
        <v>187</v>
      </c>
      <c r="F11037">
        <v>2020</v>
      </c>
      <c r="G11037">
        <v>0.995143</v>
      </c>
    </row>
    <row r="11038" spans="1:7">
      <c r="A11038" t="s">
        <v>1297</v>
      </c>
      <c r="B11038" t="s">
        <v>1298</v>
      </c>
      <c r="C11038" t="s">
        <v>677</v>
      </c>
      <c r="D11038" t="s">
        <v>1418</v>
      </c>
      <c r="E11038" t="s">
        <v>187</v>
      </c>
      <c r="F11038">
        <v>2010</v>
      </c>
      <c r="G11038">
        <v>3.786683</v>
      </c>
    </row>
    <row r="11039" spans="1:7">
      <c r="A11039" t="s">
        <v>1297</v>
      </c>
      <c r="B11039" t="s">
        <v>1298</v>
      </c>
      <c r="C11039" t="s">
        <v>677</v>
      </c>
      <c r="D11039" t="s">
        <v>1418</v>
      </c>
      <c r="E11039" t="s">
        <v>187</v>
      </c>
      <c r="F11039">
        <v>2012</v>
      </c>
      <c r="G11039">
        <v>3.3557939999999999</v>
      </c>
    </row>
    <row r="11040" spans="1:7">
      <c r="A11040" t="s">
        <v>1297</v>
      </c>
      <c r="B11040" t="s">
        <v>1298</v>
      </c>
      <c r="C11040" t="s">
        <v>677</v>
      </c>
      <c r="D11040" t="s">
        <v>1418</v>
      </c>
      <c r="E11040" t="s">
        <v>187</v>
      </c>
      <c r="F11040">
        <v>2016</v>
      </c>
      <c r="G11040">
        <v>6.0522150000000003</v>
      </c>
    </row>
    <row r="11041" spans="1:7">
      <c r="A11041" t="s">
        <v>1297</v>
      </c>
      <c r="B11041" t="s">
        <v>1298</v>
      </c>
      <c r="C11041" t="s">
        <v>677</v>
      </c>
      <c r="D11041" t="s">
        <v>1418</v>
      </c>
      <c r="E11041" t="s">
        <v>187</v>
      </c>
      <c r="F11041">
        <v>2020</v>
      </c>
      <c r="G11041">
        <v>5.5095599999999996</v>
      </c>
    </row>
    <row r="11042" spans="1:7">
      <c r="A11042" t="s">
        <v>1297</v>
      </c>
      <c r="B11042" t="s">
        <v>1298</v>
      </c>
      <c r="C11042" t="s">
        <v>654</v>
      </c>
      <c r="D11042" t="s">
        <v>1418</v>
      </c>
      <c r="E11042" t="s">
        <v>187</v>
      </c>
      <c r="F11042">
        <v>2010</v>
      </c>
      <c r="G11042">
        <v>0.17193600000000001</v>
      </c>
    </row>
    <row r="11043" spans="1:7">
      <c r="A11043" t="s">
        <v>1297</v>
      </c>
      <c r="B11043" t="s">
        <v>1298</v>
      </c>
      <c r="C11043" t="s">
        <v>654</v>
      </c>
      <c r="D11043" t="s">
        <v>1418</v>
      </c>
      <c r="E11043" t="s">
        <v>187</v>
      </c>
      <c r="F11043">
        <v>2012</v>
      </c>
      <c r="G11043">
        <v>0.12857099999999999</v>
      </c>
    </row>
    <row r="11044" spans="1:7">
      <c r="A11044" t="s">
        <v>1297</v>
      </c>
      <c r="B11044" t="s">
        <v>1298</v>
      </c>
      <c r="C11044" t="s">
        <v>654</v>
      </c>
      <c r="D11044" t="s">
        <v>1418</v>
      </c>
      <c r="E11044" t="s">
        <v>187</v>
      </c>
      <c r="F11044">
        <v>2016</v>
      </c>
      <c r="G11044">
        <v>8.5844000000000004E-2</v>
      </c>
    </row>
    <row r="11045" spans="1:7">
      <c r="A11045" t="s">
        <v>1297</v>
      </c>
      <c r="B11045" t="s">
        <v>1298</v>
      </c>
      <c r="C11045" t="s">
        <v>654</v>
      </c>
      <c r="D11045" t="s">
        <v>1418</v>
      </c>
      <c r="E11045" t="s">
        <v>187</v>
      </c>
      <c r="F11045">
        <v>2020</v>
      </c>
      <c r="G11045">
        <v>8.1877000000000005E-2</v>
      </c>
    </row>
    <row r="11046" spans="1:7">
      <c r="A11046" t="s">
        <v>1297</v>
      </c>
      <c r="B11046" t="s">
        <v>1298</v>
      </c>
      <c r="C11046" t="s">
        <v>656</v>
      </c>
      <c r="D11046" t="s">
        <v>1418</v>
      </c>
      <c r="E11046" t="s">
        <v>187</v>
      </c>
      <c r="F11046">
        <v>2020</v>
      </c>
      <c r="G11046">
        <v>0.987321</v>
      </c>
    </row>
    <row r="11047" spans="1:7">
      <c r="A11047" t="s">
        <v>1297</v>
      </c>
      <c r="B11047" t="s">
        <v>1298</v>
      </c>
      <c r="C11047" t="s">
        <v>679</v>
      </c>
      <c r="D11047" t="s">
        <v>1418</v>
      </c>
      <c r="E11047" t="s">
        <v>187</v>
      </c>
      <c r="F11047">
        <v>2005</v>
      </c>
      <c r="G11047">
        <v>18.612400000000001</v>
      </c>
    </row>
    <row r="11048" spans="1:7">
      <c r="A11048" t="s">
        <v>1297</v>
      </c>
      <c r="B11048" t="s">
        <v>1298</v>
      </c>
      <c r="C11048" t="s">
        <v>679</v>
      </c>
      <c r="D11048" t="s">
        <v>1418</v>
      </c>
      <c r="E11048" t="s">
        <v>187</v>
      </c>
      <c r="F11048">
        <v>2010</v>
      </c>
      <c r="G11048">
        <v>19.6526</v>
      </c>
    </row>
    <row r="11049" spans="1:7">
      <c r="A11049" t="s">
        <v>1297</v>
      </c>
      <c r="B11049" t="s">
        <v>1298</v>
      </c>
      <c r="C11049" t="s">
        <v>679</v>
      </c>
      <c r="D11049" t="s">
        <v>1418</v>
      </c>
      <c r="E11049" t="s">
        <v>187</v>
      </c>
      <c r="F11049">
        <v>2012</v>
      </c>
      <c r="G11049">
        <v>21.248100000000001</v>
      </c>
    </row>
    <row r="11050" spans="1:7">
      <c r="A11050" t="s">
        <v>1297</v>
      </c>
      <c r="B11050" t="s">
        <v>1298</v>
      </c>
      <c r="C11050" t="s">
        <v>679</v>
      </c>
      <c r="D11050" t="s">
        <v>1418</v>
      </c>
      <c r="E11050" t="s">
        <v>187</v>
      </c>
      <c r="F11050">
        <v>2016</v>
      </c>
      <c r="G11050">
        <v>4.6547999999999998</v>
      </c>
    </row>
    <row r="11051" spans="1:7">
      <c r="A11051" t="s">
        <v>1297</v>
      </c>
      <c r="B11051" t="s">
        <v>1298</v>
      </c>
      <c r="C11051" t="s">
        <v>679</v>
      </c>
      <c r="D11051" t="s">
        <v>1418</v>
      </c>
      <c r="E11051" t="s">
        <v>187</v>
      </c>
      <c r="F11051">
        <v>2020</v>
      </c>
      <c r="G11051">
        <v>4.2681839999999998</v>
      </c>
    </row>
    <row r="11052" spans="1:7">
      <c r="A11052" t="s">
        <v>1297</v>
      </c>
      <c r="B11052" t="s">
        <v>1298</v>
      </c>
      <c r="C11052" t="s">
        <v>1299</v>
      </c>
      <c r="D11052" t="s">
        <v>1418</v>
      </c>
      <c r="E11052" t="s">
        <v>187</v>
      </c>
      <c r="F11052">
        <v>2010</v>
      </c>
      <c r="G11052">
        <v>0.34079999999999999</v>
      </c>
    </row>
    <row r="11053" spans="1:7">
      <c r="A11053" t="s">
        <v>1297</v>
      </c>
      <c r="B11053" t="s">
        <v>1298</v>
      </c>
      <c r="C11053" t="s">
        <v>1299</v>
      </c>
      <c r="D11053" t="s">
        <v>1418</v>
      </c>
      <c r="E11053" t="s">
        <v>187</v>
      </c>
      <c r="F11053">
        <v>2012</v>
      </c>
      <c r="G11053">
        <v>0.3392</v>
      </c>
    </row>
    <row r="11054" spans="1:7">
      <c r="A11054" t="s">
        <v>1297</v>
      </c>
      <c r="B11054" t="s">
        <v>1298</v>
      </c>
      <c r="C11054" t="s">
        <v>1299</v>
      </c>
      <c r="D11054" t="s">
        <v>1418</v>
      </c>
      <c r="E11054" t="s">
        <v>187</v>
      </c>
      <c r="F11054">
        <v>2016</v>
      </c>
      <c r="G11054">
        <v>8.4400000000000003E-2</v>
      </c>
    </row>
    <row r="11055" spans="1:7">
      <c r="A11055" t="s">
        <v>1297</v>
      </c>
      <c r="B11055" t="s">
        <v>1298</v>
      </c>
      <c r="C11055" t="s">
        <v>1299</v>
      </c>
      <c r="D11055" t="s">
        <v>1418</v>
      </c>
      <c r="E11055" t="s">
        <v>187</v>
      </c>
      <c r="F11055">
        <v>2020</v>
      </c>
      <c r="G11055">
        <v>4.2200000000000001E-2</v>
      </c>
    </row>
    <row r="11056" spans="1:7">
      <c r="A11056" t="s">
        <v>1297</v>
      </c>
      <c r="B11056" t="s">
        <v>1298</v>
      </c>
      <c r="C11056" t="s">
        <v>668</v>
      </c>
      <c r="D11056" t="s">
        <v>1418</v>
      </c>
      <c r="E11056" t="s">
        <v>187</v>
      </c>
      <c r="F11056">
        <v>2005</v>
      </c>
      <c r="G11056">
        <v>1.0546899999999999</v>
      </c>
    </row>
    <row r="11057" spans="1:7">
      <c r="A11057" t="s">
        <v>1297</v>
      </c>
      <c r="B11057" t="s">
        <v>1298</v>
      </c>
      <c r="C11057" t="s">
        <v>668</v>
      </c>
      <c r="D11057" t="s">
        <v>1418</v>
      </c>
      <c r="E11057" t="s">
        <v>187</v>
      </c>
      <c r="F11057">
        <v>2010</v>
      </c>
      <c r="G11057">
        <v>0.4249</v>
      </c>
    </row>
    <row r="11058" spans="1:7">
      <c r="A11058" t="s">
        <v>1297</v>
      </c>
      <c r="B11058" t="s">
        <v>1298</v>
      </c>
      <c r="C11058" t="s">
        <v>668</v>
      </c>
      <c r="D11058" t="s">
        <v>1418</v>
      </c>
      <c r="E11058" t="s">
        <v>187</v>
      </c>
      <c r="F11058">
        <v>2012</v>
      </c>
      <c r="G11058">
        <v>0.29743000000000003</v>
      </c>
    </row>
    <row r="11059" spans="1:7">
      <c r="A11059" t="s">
        <v>1297</v>
      </c>
      <c r="B11059" t="s">
        <v>1298</v>
      </c>
      <c r="C11059" t="s">
        <v>668</v>
      </c>
      <c r="D11059" t="s">
        <v>1418</v>
      </c>
      <c r="E11059" t="s">
        <v>187</v>
      </c>
      <c r="F11059">
        <v>2016</v>
      </c>
      <c r="G11059">
        <v>0.33992</v>
      </c>
    </row>
    <row r="11060" spans="1:7">
      <c r="A11060" t="s">
        <v>1297</v>
      </c>
      <c r="B11060" t="s">
        <v>1298</v>
      </c>
      <c r="C11060" t="s">
        <v>668</v>
      </c>
      <c r="D11060" t="s">
        <v>1418</v>
      </c>
      <c r="E11060" t="s">
        <v>187</v>
      </c>
      <c r="F11060">
        <v>2020</v>
      </c>
      <c r="G11060">
        <v>0.235403</v>
      </c>
    </row>
    <row r="11061" spans="1:7">
      <c r="A11061" t="s">
        <v>1297</v>
      </c>
      <c r="B11061" t="s">
        <v>1298</v>
      </c>
      <c r="C11061" t="s">
        <v>1303</v>
      </c>
      <c r="D11061" t="s">
        <v>1418</v>
      </c>
      <c r="E11061" t="s">
        <v>187</v>
      </c>
      <c r="F11061">
        <v>2020</v>
      </c>
      <c r="G11061">
        <v>9.7979999999999994E-3</v>
      </c>
    </row>
    <row r="11062" spans="1:7">
      <c r="A11062" t="s">
        <v>1297</v>
      </c>
      <c r="B11062" t="s">
        <v>1298</v>
      </c>
      <c r="C11062" t="s">
        <v>669</v>
      </c>
      <c r="D11062" t="s">
        <v>1418</v>
      </c>
      <c r="E11062" t="s">
        <v>187</v>
      </c>
      <c r="F11062">
        <v>2005</v>
      </c>
      <c r="G11062">
        <v>0.129</v>
      </c>
    </row>
    <row r="11063" spans="1:7">
      <c r="A11063" t="s">
        <v>1297</v>
      </c>
      <c r="B11063" t="s">
        <v>1298</v>
      </c>
      <c r="C11063" t="s">
        <v>669</v>
      </c>
      <c r="D11063" t="s">
        <v>1418</v>
      </c>
      <c r="E11063" t="s">
        <v>187</v>
      </c>
      <c r="F11063">
        <v>2010</v>
      </c>
      <c r="G11063">
        <v>8.5999999999999993E-2</v>
      </c>
    </row>
    <row r="11064" spans="1:7">
      <c r="A11064" t="s">
        <v>1297</v>
      </c>
      <c r="B11064" t="s">
        <v>1298</v>
      </c>
      <c r="C11064" t="s">
        <v>669</v>
      </c>
      <c r="D11064" t="s">
        <v>1418</v>
      </c>
      <c r="E11064" t="s">
        <v>187</v>
      </c>
      <c r="F11064">
        <v>2012</v>
      </c>
      <c r="G11064">
        <v>0.129</v>
      </c>
    </row>
    <row r="11065" spans="1:7">
      <c r="A11065" t="s">
        <v>1297</v>
      </c>
      <c r="B11065" t="s">
        <v>1298</v>
      </c>
      <c r="C11065" t="s">
        <v>669</v>
      </c>
      <c r="D11065" t="s">
        <v>1418</v>
      </c>
      <c r="E11065" t="s">
        <v>187</v>
      </c>
      <c r="F11065">
        <v>2016</v>
      </c>
      <c r="G11065">
        <v>8.5999999999999993E-2</v>
      </c>
    </row>
    <row r="11066" spans="1:7">
      <c r="A11066" t="s">
        <v>1297</v>
      </c>
      <c r="B11066" t="s">
        <v>1298</v>
      </c>
      <c r="C11066" t="s">
        <v>669</v>
      </c>
      <c r="D11066" t="s">
        <v>1418</v>
      </c>
      <c r="E11066" t="s">
        <v>187</v>
      </c>
      <c r="F11066">
        <v>2020</v>
      </c>
      <c r="G11066">
        <v>9.2671000000000003E-2</v>
      </c>
    </row>
    <row r="11067" spans="1:7">
      <c r="A11067" t="s">
        <v>1297</v>
      </c>
      <c r="B11067" t="s">
        <v>1298</v>
      </c>
      <c r="C11067" t="s">
        <v>657</v>
      </c>
      <c r="D11067" t="s">
        <v>1418</v>
      </c>
      <c r="E11067" t="s">
        <v>187</v>
      </c>
      <c r="F11067">
        <v>2005</v>
      </c>
      <c r="G11067">
        <v>7.4663500000000003</v>
      </c>
    </row>
    <row r="11068" spans="1:7">
      <c r="A11068" t="s">
        <v>1297</v>
      </c>
      <c r="B11068" t="s">
        <v>1298</v>
      </c>
      <c r="C11068" t="s">
        <v>657</v>
      </c>
      <c r="D11068" t="s">
        <v>1418</v>
      </c>
      <c r="E11068" t="s">
        <v>187</v>
      </c>
      <c r="F11068">
        <v>2010</v>
      </c>
      <c r="G11068">
        <v>6.0206999999999997</v>
      </c>
    </row>
    <row r="11069" spans="1:7">
      <c r="A11069" t="s">
        <v>1297</v>
      </c>
      <c r="B11069" t="s">
        <v>1298</v>
      </c>
      <c r="C11069" t="s">
        <v>657</v>
      </c>
      <c r="D11069" t="s">
        <v>1418</v>
      </c>
      <c r="E11069" t="s">
        <v>187</v>
      </c>
      <c r="F11069">
        <v>2012</v>
      </c>
      <c r="G11069">
        <v>4.6543000000000001</v>
      </c>
    </row>
    <row r="11070" spans="1:7">
      <c r="A11070" t="s">
        <v>1297</v>
      </c>
      <c r="B11070" t="s">
        <v>1298</v>
      </c>
      <c r="C11070" t="s">
        <v>657</v>
      </c>
      <c r="D11070" t="s">
        <v>1418</v>
      </c>
      <c r="E11070" t="s">
        <v>187</v>
      </c>
      <c r="F11070">
        <v>2016</v>
      </c>
      <c r="G11070">
        <v>5.1915579999999997</v>
      </c>
    </row>
    <row r="11071" spans="1:7">
      <c r="A11071" t="s">
        <v>1297</v>
      </c>
      <c r="B11071" t="s">
        <v>1298</v>
      </c>
      <c r="C11071" t="s">
        <v>657</v>
      </c>
      <c r="D11071" t="s">
        <v>1418</v>
      </c>
      <c r="E11071" t="s">
        <v>187</v>
      </c>
      <c r="F11071">
        <v>2020</v>
      </c>
      <c r="G11071">
        <v>4.7320599999999997</v>
      </c>
    </row>
    <row r="11072" spans="1:7">
      <c r="A11072" t="s">
        <v>1297</v>
      </c>
      <c r="B11072" t="s">
        <v>1298</v>
      </c>
      <c r="C11072" t="s">
        <v>665</v>
      </c>
      <c r="D11072" t="s">
        <v>1418</v>
      </c>
      <c r="E11072" t="s">
        <v>187</v>
      </c>
      <c r="F11072">
        <v>2005</v>
      </c>
      <c r="G11072">
        <v>10.5304</v>
      </c>
    </row>
    <row r="11073" spans="1:7">
      <c r="A11073" t="s">
        <v>1297</v>
      </c>
      <c r="B11073" t="s">
        <v>1298</v>
      </c>
      <c r="C11073" t="s">
        <v>665</v>
      </c>
      <c r="D11073" t="s">
        <v>1418</v>
      </c>
      <c r="E11073" t="s">
        <v>187</v>
      </c>
      <c r="F11073">
        <v>2010</v>
      </c>
      <c r="G11073">
        <v>7.8040000000000003</v>
      </c>
    </row>
    <row r="11074" spans="1:7">
      <c r="A11074" t="s">
        <v>1297</v>
      </c>
      <c r="B11074" t="s">
        <v>1298</v>
      </c>
      <c r="C11074" t="s">
        <v>661</v>
      </c>
      <c r="D11074" t="s">
        <v>1418</v>
      </c>
      <c r="E11074" t="s">
        <v>187</v>
      </c>
      <c r="F11074">
        <v>2005</v>
      </c>
      <c r="G11074">
        <v>16.742193</v>
      </c>
    </row>
    <row r="11075" spans="1:7">
      <c r="A11075" t="s">
        <v>1297</v>
      </c>
      <c r="B11075" t="s">
        <v>1298</v>
      </c>
      <c r="C11075" t="s">
        <v>661</v>
      </c>
      <c r="D11075" t="s">
        <v>1418</v>
      </c>
      <c r="E11075" t="s">
        <v>187</v>
      </c>
      <c r="F11075">
        <v>2010</v>
      </c>
      <c r="G11075">
        <v>12.822901</v>
      </c>
    </row>
    <row r="11076" spans="1:7">
      <c r="A11076" t="s">
        <v>1297</v>
      </c>
      <c r="B11076" t="s">
        <v>1298</v>
      </c>
      <c r="C11076" t="s">
        <v>661</v>
      </c>
      <c r="D11076" t="s">
        <v>1418</v>
      </c>
      <c r="E11076" t="s">
        <v>187</v>
      </c>
      <c r="F11076">
        <v>2012</v>
      </c>
      <c r="G11076">
        <v>14.05833</v>
      </c>
    </row>
    <row r="11077" spans="1:7">
      <c r="A11077" t="s">
        <v>1297</v>
      </c>
      <c r="B11077" t="s">
        <v>1298</v>
      </c>
      <c r="C11077" t="s">
        <v>661</v>
      </c>
      <c r="D11077" t="s">
        <v>1418</v>
      </c>
      <c r="E11077" t="s">
        <v>187</v>
      </c>
      <c r="F11077">
        <v>2016</v>
      </c>
      <c r="G11077">
        <v>11.459669</v>
      </c>
    </row>
    <row r="11078" spans="1:7">
      <c r="A11078" t="s">
        <v>1297</v>
      </c>
      <c r="B11078" t="s">
        <v>1298</v>
      </c>
      <c r="C11078" t="s">
        <v>661</v>
      </c>
      <c r="D11078" t="s">
        <v>1418</v>
      </c>
      <c r="E11078" t="s">
        <v>187</v>
      </c>
      <c r="F11078">
        <v>2020</v>
      </c>
      <c r="G11078">
        <v>12.451359999999999</v>
      </c>
    </row>
    <row r="11079" spans="1:7">
      <c r="A11079" t="s">
        <v>1297</v>
      </c>
      <c r="B11079" t="s">
        <v>1298</v>
      </c>
      <c r="C11079" t="s">
        <v>659</v>
      </c>
      <c r="D11079" t="s">
        <v>1418</v>
      </c>
      <c r="E11079" t="s">
        <v>187</v>
      </c>
      <c r="F11079">
        <v>2012</v>
      </c>
      <c r="G11079">
        <v>1.647</v>
      </c>
    </row>
    <row r="11080" spans="1:7">
      <c r="A11080" t="s">
        <v>1297</v>
      </c>
      <c r="B11080" t="s">
        <v>1298</v>
      </c>
      <c r="C11080" t="s">
        <v>659</v>
      </c>
      <c r="D11080" t="s">
        <v>1418</v>
      </c>
      <c r="E11080" t="s">
        <v>187</v>
      </c>
      <c r="F11080">
        <v>2016</v>
      </c>
      <c r="G11080">
        <v>10.033300000000001</v>
      </c>
    </row>
    <row r="11081" spans="1:7">
      <c r="A11081" t="s">
        <v>1297</v>
      </c>
      <c r="B11081" t="s">
        <v>1298</v>
      </c>
      <c r="C11081" t="s">
        <v>659</v>
      </c>
      <c r="D11081" t="s">
        <v>1418</v>
      </c>
      <c r="E11081" t="s">
        <v>187</v>
      </c>
      <c r="F11081">
        <v>2020</v>
      </c>
      <c r="G11081">
        <v>11.7911</v>
      </c>
    </row>
    <row r="11082" spans="1:7">
      <c r="A11082" t="s">
        <v>1297</v>
      </c>
      <c r="B11082" t="s">
        <v>1298</v>
      </c>
      <c r="C11082" t="s">
        <v>681</v>
      </c>
      <c r="D11082" t="s">
        <v>1418</v>
      </c>
      <c r="E11082" t="s">
        <v>187</v>
      </c>
      <c r="F11082">
        <v>2005</v>
      </c>
      <c r="G11082">
        <v>1.045191</v>
      </c>
    </row>
    <row r="11083" spans="1:7">
      <c r="A11083" t="s">
        <v>1297</v>
      </c>
      <c r="B11083" t="s">
        <v>1298</v>
      </c>
      <c r="C11083" t="s">
        <v>681</v>
      </c>
      <c r="D11083" t="s">
        <v>1418</v>
      </c>
      <c r="E11083" t="s">
        <v>187</v>
      </c>
      <c r="F11083">
        <v>2010</v>
      </c>
      <c r="G11083">
        <v>0.81320000000000003</v>
      </c>
    </row>
    <row r="11084" spans="1:7">
      <c r="A11084" t="s">
        <v>1297</v>
      </c>
      <c r="B11084" t="s">
        <v>1298</v>
      </c>
      <c r="C11084" t="s">
        <v>681</v>
      </c>
      <c r="D11084" t="s">
        <v>1418</v>
      </c>
      <c r="E11084" t="s">
        <v>187</v>
      </c>
      <c r="F11084">
        <v>2012</v>
      </c>
      <c r="G11084">
        <v>0.94159999999999999</v>
      </c>
    </row>
    <row r="11085" spans="1:7">
      <c r="A11085" t="s">
        <v>1297</v>
      </c>
      <c r="B11085" t="s">
        <v>1298</v>
      </c>
      <c r="C11085" t="s">
        <v>681</v>
      </c>
      <c r="D11085" t="s">
        <v>1418</v>
      </c>
      <c r="E11085" t="s">
        <v>187</v>
      </c>
      <c r="F11085">
        <v>2016</v>
      </c>
      <c r="G11085">
        <v>1.2904</v>
      </c>
    </row>
    <row r="11086" spans="1:7">
      <c r="A11086" t="s">
        <v>1297</v>
      </c>
      <c r="B11086" t="s">
        <v>1298</v>
      </c>
      <c r="C11086" t="s">
        <v>681</v>
      </c>
      <c r="D11086" t="s">
        <v>1418</v>
      </c>
      <c r="E11086" t="s">
        <v>187</v>
      </c>
      <c r="F11086">
        <v>2020</v>
      </c>
      <c r="G11086">
        <v>1.634296</v>
      </c>
    </row>
    <row r="11087" spans="1:7">
      <c r="A11087" t="s">
        <v>1297</v>
      </c>
      <c r="B11087" t="s">
        <v>1298</v>
      </c>
      <c r="C11087" t="s">
        <v>658</v>
      </c>
      <c r="D11087" t="s">
        <v>1419</v>
      </c>
      <c r="E11087" t="s">
        <v>187</v>
      </c>
      <c r="F11087">
        <v>2016</v>
      </c>
      <c r="G11087">
        <v>0.44540000000000002</v>
      </c>
    </row>
    <row r="11088" spans="1:7">
      <c r="A11088" t="s">
        <v>1297</v>
      </c>
      <c r="B11088" t="s">
        <v>1298</v>
      </c>
      <c r="C11088" t="s">
        <v>658</v>
      </c>
      <c r="D11088" t="s">
        <v>1419</v>
      </c>
      <c r="E11088" t="s">
        <v>187</v>
      </c>
      <c r="F11088">
        <v>2020</v>
      </c>
      <c r="G11088">
        <v>0.38808500000000001</v>
      </c>
    </row>
    <row r="11089" spans="1:7">
      <c r="A11089" t="s">
        <v>1297</v>
      </c>
      <c r="B11089" t="s">
        <v>1298</v>
      </c>
      <c r="C11089" t="s">
        <v>686</v>
      </c>
      <c r="D11089" t="s">
        <v>1419</v>
      </c>
      <c r="E11089" t="s">
        <v>187</v>
      </c>
      <c r="F11089">
        <v>2005</v>
      </c>
      <c r="G11089">
        <v>0.98899999999999999</v>
      </c>
    </row>
    <row r="11090" spans="1:7">
      <c r="A11090" t="s">
        <v>1297</v>
      </c>
      <c r="B11090" t="s">
        <v>1298</v>
      </c>
      <c r="C11090" t="s">
        <v>686</v>
      </c>
      <c r="D11090" t="s">
        <v>1419</v>
      </c>
      <c r="E11090" t="s">
        <v>187</v>
      </c>
      <c r="F11090">
        <v>2010</v>
      </c>
      <c r="G11090">
        <v>1.3211219999999999</v>
      </c>
    </row>
    <row r="11091" spans="1:7">
      <c r="A11091" t="s">
        <v>1297</v>
      </c>
      <c r="B11091" t="s">
        <v>1298</v>
      </c>
      <c r="C11091" t="s">
        <v>686</v>
      </c>
      <c r="D11091" t="s">
        <v>1419</v>
      </c>
      <c r="E11091" t="s">
        <v>187</v>
      </c>
      <c r="F11091">
        <v>2012</v>
      </c>
      <c r="G11091">
        <v>3.8638080000000001</v>
      </c>
    </row>
    <row r="11092" spans="1:7">
      <c r="A11092" t="s">
        <v>1297</v>
      </c>
      <c r="B11092" t="s">
        <v>1298</v>
      </c>
      <c r="C11092" t="s">
        <v>686</v>
      </c>
      <c r="D11092" t="s">
        <v>1419</v>
      </c>
      <c r="E11092" t="s">
        <v>187</v>
      </c>
      <c r="F11092">
        <v>2016</v>
      </c>
      <c r="G11092">
        <v>2.7440380000000002</v>
      </c>
    </row>
    <row r="11093" spans="1:7">
      <c r="A11093" t="s">
        <v>1297</v>
      </c>
      <c r="B11093" t="s">
        <v>1298</v>
      </c>
      <c r="C11093" t="s">
        <v>686</v>
      </c>
      <c r="D11093" t="s">
        <v>1419</v>
      </c>
      <c r="E11093" t="s">
        <v>187</v>
      </c>
      <c r="F11093">
        <v>2020</v>
      </c>
      <c r="G11093">
        <v>1.982993</v>
      </c>
    </row>
    <row r="11094" spans="1:7">
      <c r="A11094" t="s">
        <v>1297</v>
      </c>
      <c r="B11094" t="s">
        <v>1298</v>
      </c>
      <c r="C11094" t="s">
        <v>659</v>
      </c>
      <c r="D11094" t="s">
        <v>1419</v>
      </c>
      <c r="E11094" t="s">
        <v>187</v>
      </c>
      <c r="F11094">
        <v>2005</v>
      </c>
      <c r="G11094">
        <v>181.80119999999999</v>
      </c>
    </row>
    <row r="11095" spans="1:7">
      <c r="A11095" t="s">
        <v>1297</v>
      </c>
      <c r="B11095" t="s">
        <v>1298</v>
      </c>
      <c r="C11095" t="s">
        <v>659</v>
      </c>
      <c r="D11095" t="s">
        <v>1419</v>
      </c>
      <c r="E11095" t="s">
        <v>187</v>
      </c>
      <c r="F11095">
        <v>2010</v>
      </c>
      <c r="G11095">
        <v>142.77420000000001</v>
      </c>
    </row>
    <row r="11096" spans="1:7">
      <c r="A11096" t="s">
        <v>1297</v>
      </c>
      <c r="B11096" t="s">
        <v>1298</v>
      </c>
      <c r="C11096" t="s">
        <v>659</v>
      </c>
      <c r="D11096" t="s">
        <v>1419</v>
      </c>
      <c r="E11096" t="s">
        <v>187</v>
      </c>
      <c r="F11096">
        <v>2012</v>
      </c>
      <c r="G11096">
        <v>116.7317</v>
      </c>
    </row>
    <row r="11097" spans="1:7">
      <c r="A11097" t="s">
        <v>1297</v>
      </c>
      <c r="B11097" t="s">
        <v>1298</v>
      </c>
      <c r="C11097" t="s">
        <v>659</v>
      </c>
      <c r="D11097" t="s">
        <v>1419</v>
      </c>
      <c r="E11097" t="s">
        <v>187</v>
      </c>
      <c r="F11097">
        <v>2016</v>
      </c>
      <c r="G11097">
        <v>116.8323</v>
      </c>
    </row>
    <row r="11098" spans="1:7">
      <c r="A11098" t="s">
        <v>1297</v>
      </c>
      <c r="B11098" t="s">
        <v>1298</v>
      </c>
      <c r="C11098" t="s">
        <v>659</v>
      </c>
      <c r="D11098" t="s">
        <v>1419</v>
      </c>
      <c r="E11098" t="s">
        <v>187</v>
      </c>
      <c r="F11098">
        <v>2020</v>
      </c>
      <c r="G11098">
        <v>100.37909999999999</v>
      </c>
    </row>
    <row r="11099" spans="1:7">
      <c r="A11099" t="s">
        <v>1297</v>
      </c>
      <c r="B11099" t="s">
        <v>1298</v>
      </c>
      <c r="C11099" t="s">
        <v>654</v>
      </c>
      <c r="D11099" t="s">
        <v>1419</v>
      </c>
      <c r="E11099" t="s">
        <v>187</v>
      </c>
      <c r="F11099">
        <v>2010</v>
      </c>
      <c r="G11099">
        <v>5.2302799999999996</v>
      </c>
    </row>
    <row r="11100" spans="1:7">
      <c r="A11100" t="s">
        <v>1297</v>
      </c>
      <c r="B11100" t="s">
        <v>1298</v>
      </c>
      <c r="C11100" t="s">
        <v>654</v>
      </c>
      <c r="D11100" t="s">
        <v>1419</v>
      </c>
      <c r="E11100" t="s">
        <v>187</v>
      </c>
      <c r="F11100">
        <v>2012</v>
      </c>
      <c r="G11100">
        <v>5.7518320000000003</v>
      </c>
    </row>
    <row r="11101" spans="1:7">
      <c r="A11101" t="s">
        <v>1297</v>
      </c>
      <c r="B11101" t="s">
        <v>1298</v>
      </c>
      <c r="C11101" t="s">
        <v>654</v>
      </c>
      <c r="D11101" t="s">
        <v>1419</v>
      </c>
      <c r="E11101" t="s">
        <v>187</v>
      </c>
      <c r="F11101">
        <v>2016</v>
      </c>
      <c r="G11101">
        <v>5.05863</v>
      </c>
    </row>
    <row r="11102" spans="1:7">
      <c r="A11102" t="s">
        <v>1297</v>
      </c>
      <c r="B11102" t="s">
        <v>1298</v>
      </c>
      <c r="C11102" t="s">
        <v>654</v>
      </c>
      <c r="D11102" t="s">
        <v>1419</v>
      </c>
      <c r="E11102" t="s">
        <v>187</v>
      </c>
      <c r="F11102">
        <v>2020</v>
      </c>
      <c r="G11102">
        <v>4.6598550000000003</v>
      </c>
    </row>
    <row r="11103" spans="1:7">
      <c r="A11103" t="s">
        <v>1297</v>
      </c>
      <c r="B11103" t="s">
        <v>1298</v>
      </c>
      <c r="C11103" t="s">
        <v>664</v>
      </c>
      <c r="D11103" t="s">
        <v>1419</v>
      </c>
      <c r="E11103" t="s">
        <v>187</v>
      </c>
      <c r="F11103">
        <v>2005</v>
      </c>
      <c r="G11103">
        <v>61.337555999999999</v>
      </c>
    </row>
    <row r="11104" spans="1:7">
      <c r="A11104" t="s">
        <v>1297</v>
      </c>
      <c r="B11104" t="s">
        <v>1298</v>
      </c>
      <c r="C11104" t="s">
        <v>664</v>
      </c>
      <c r="D11104" t="s">
        <v>1419</v>
      </c>
      <c r="E11104" t="s">
        <v>187</v>
      </c>
      <c r="F11104">
        <v>2010</v>
      </c>
      <c r="G11104">
        <v>67.112961999999996</v>
      </c>
    </row>
    <row r="11105" spans="1:7">
      <c r="A11105" t="s">
        <v>1297</v>
      </c>
      <c r="B11105" t="s">
        <v>1298</v>
      </c>
      <c r="C11105" t="s">
        <v>664</v>
      </c>
      <c r="D11105" t="s">
        <v>1419</v>
      </c>
      <c r="E11105" t="s">
        <v>187</v>
      </c>
      <c r="F11105">
        <v>2012</v>
      </c>
      <c r="G11105">
        <v>50.235436</v>
      </c>
    </row>
    <row r="11106" spans="1:7">
      <c r="A11106" t="s">
        <v>1297</v>
      </c>
      <c r="B11106" t="s">
        <v>1298</v>
      </c>
      <c r="C11106" t="s">
        <v>664</v>
      </c>
      <c r="D11106" t="s">
        <v>1419</v>
      </c>
      <c r="E11106" t="s">
        <v>187</v>
      </c>
      <c r="F11106">
        <v>2016</v>
      </c>
      <c r="G11106">
        <v>46.905887</v>
      </c>
    </row>
    <row r="11107" spans="1:7">
      <c r="A11107" t="s">
        <v>1297</v>
      </c>
      <c r="B11107" t="s">
        <v>1298</v>
      </c>
      <c r="C11107" t="s">
        <v>664</v>
      </c>
      <c r="D11107" t="s">
        <v>1419</v>
      </c>
      <c r="E11107" t="s">
        <v>187</v>
      </c>
      <c r="F11107">
        <v>2020</v>
      </c>
      <c r="G11107">
        <v>49.452767999999999</v>
      </c>
    </row>
    <row r="11108" spans="1:7">
      <c r="A11108" t="s">
        <v>1297</v>
      </c>
      <c r="B11108" t="s">
        <v>1298</v>
      </c>
      <c r="C11108" t="s">
        <v>1301</v>
      </c>
      <c r="D11108" t="s">
        <v>1419</v>
      </c>
      <c r="E11108" t="s">
        <v>187</v>
      </c>
      <c r="F11108">
        <v>2005</v>
      </c>
      <c r="G11108">
        <v>123.9388</v>
      </c>
    </row>
    <row r="11109" spans="1:7">
      <c r="A11109" t="s">
        <v>1297</v>
      </c>
      <c r="B11109" t="s">
        <v>1298</v>
      </c>
      <c r="C11109" t="s">
        <v>1301</v>
      </c>
      <c r="D11109" t="s">
        <v>1419</v>
      </c>
      <c r="E11109" t="s">
        <v>187</v>
      </c>
      <c r="F11109">
        <v>2010</v>
      </c>
      <c r="G11109">
        <v>62.414299999999997</v>
      </c>
    </row>
    <row r="11110" spans="1:7">
      <c r="A11110" t="s">
        <v>1297</v>
      </c>
      <c r="B11110" t="s">
        <v>1298</v>
      </c>
      <c r="C11110" t="s">
        <v>668</v>
      </c>
      <c r="D11110" t="s">
        <v>1419</v>
      </c>
      <c r="E11110" t="s">
        <v>187</v>
      </c>
      <c r="F11110">
        <v>2005</v>
      </c>
      <c r="G11110">
        <v>1.5769</v>
      </c>
    </row>
    <row r="11111" spans="1:7">
      <c r="A11111" t="s">
        <v>1297</v>
      </c>
      <c r="B11111" t="s">
        <v>1298</v>
      </c>
      <c r="C11111" t="s">
        <v>668</v>
      </c>
      <c r="D11111" t="s">
        <v>1419</v>
      </c>
      <c r="E11111" t="s">
        <v>187</v>
      </c>
      <c r="F11111">
        <v>2010</v>
      </c>
      <c r="G11111">
        <v>2.2368700000000001</v>
      </c>
    </row>
    <row r="11112" spans="1:7">
      <c r="A11112" t="s">
        <v>1297</v>
      </c>
      <c r="B11112" t="s">
        <v>1298</v>
      </c>
      <c r="C11112" t="s">
        <v>668</v>
      </c>
      <c r="D11112" t="s">
        <v>1419</v>
      </c>
      <c r="E11112" t="s">
        <v>187</v>
      </c>
      <c r="F11112">
        <v>2012</v>
      </c>
      <c r="G11112">
        <v>2.2368700000000001</v>
      </c>
    </row>
    <row r="11113" spans="1:7">
      <c r="A11113" t="s">
        <v>1297</v>
      </c>
      <c r="B11113" t="s">
        <v>1298</v>
      </c>
      <c r="C11113" t="s">
        <v>668</v>
      </c>
      <c r="D11113" t="s">
        <v>1419</v>
      </c>
      <c r="E11113" t="s">
        <v>187</v>
      </c>
      <c r="F11113">
        <v>2016</v>
      </c>
      <c r="G11113">
        <v>2.1412599999999999</v>
      </c>
    </row>
    <row r="11114" spans="1:7">
      <c r="A11114" t="s">
        <v>1297</v>
      </c>
      <c r="B11114" t="s">
        <v>1298</v>
      </c>
      <c r="C11114" t="s">
        <v>668</v>
      </c>
      <c r="D11114" t="s">
        <v>1419</v>
      </c>
      <c r="E11114" t="s">
        <v>187</v>
      </c>
      <c r="F11114">
        <v>2020</v>
      </c>
      <c r="G11114">
        <v>2.2179190000000002</v>
      </c>
    </row>
    <row r="11115" spans="1:7">
      <c r="A11115" t="s">
        <v>1297</v>
      </c>
      <c r="B11115" t="s">
        <v>1298</v>
      </c>
      <c r="C11115" t="s">
        <v>654</v>
      </c>
      <c r="D11115" t="s">
        <v>1419</v>
      </c>
      <c r="E11115" t="s">
        <v>187</v>
      </c>
      <c r="F11115">
        <v>2005</v>
      </c>
      <c r="G11115">
        <v>6.6452999999999998</v>
      </c>
    </row>
    <row r="11116" spans="1:7">
      <c r="A11116" t="s">
        <v>1297</v>
      </c>
      <c r="B11116" t="s">
        <v>1298</v>
      </c>
      <c r="C11116" t="s">
        <v>672</v>
      </c>
      <c r="D11116" t="s">
        <v>1419</v>
      </c>
      <c r="E11116" t="s">
        <v>187</v>
      </c>
      <c r="F11116">
        <v>2005</v>
      </c>
      <c r="G11116">
        <v>29.371549999999999</v>
      </c>
    </row>
    <row r="11117" spans="1:7">
      <c r="A11117" t="s">
        <v>1297</v>
      </c>
      <c r="B11117" t="s">
        <v>1298</v>
      </c>
      <c r="C11117" t="s">
        <v>672</v>
      </c>
      <c r="D11117" t="s">
        <v>1419</v>
      </c>
      <c r="E11117" t="s">
        <v>187</v>
      </c>
      <c r="F11117">
        <v>2010</v>
      </c>
      <c r="G11117">
        <v>28.519749999999998</v>
      </c>
    </row>
    <row r="11118" spans="1:7">
      <c r="A11118" t="s">
        <v>1297</v>
      </c>
      <c r="B11118" t="s">
        <v>1298</v>
      </c>
      <c r="C11118" t="s">
        <v>672</v>
      </c>
      <c r="D11118" t="s">
        <v>1419</v>
      </c>
      <c r="E11118" t="s">
        <v>187</v>
      </c>
      <c r="F11118">
        <v>2012</v>
      </c>
      <c r="G11118">
        <v>22.298999999999999</v>
      </c>
    </row>
    <row r="11119" spans="1:7">
      <c r="A11119" t="s">
        <v>1297</v>
      </c>
      <c r="B11119" t="s">
        <v>1298</v>
      </c>
      <c r="C11119" t="s">
        <v>672</v>
      </c>
      <c r="D11119" t="s">
        <v>1419</v>
      </c>
      <c r="E11119" t="s">
        <v>187</v>
      </c>
      <c r="F11119">
        <v>2016</v>
      </c>
      <c r="G11119">
        <v>18.007999999999999</v>
      </c>
    </row>
    <row r="11120" spans="1:7">
      <c r="A11120" t="s">
        <v>1297</v>
      </c>
      <c r="B11120" t="s">
        <v>1298</v>
      </c>
      <c r="C11120" t="s">
        <v>672</v>
      </c>
      <c r="D11120" t="s">
        <v>1419</v>
      </c>
      <c r="E11120" t="s">
        <v>187</v>
      </c>
      <c r="F11120">
        <v>2020</v>
      </c>
      <c r="G11120">
        <v>17.066347</v>
      </c>
    </row>
    <row r="11121" spans="1:7">
      <c r="A11121" t="s">
        <v>1297</v>
      </c>
      <c r="B11121" t="s">
        <v>1298</v>
      </c>
      <c r="C11121" t="s">
        <v>671</v>
      </c>
      <c r="D11121" t="s">
        <v>1419</v>
      </c>
      <c r="E11121" t="s">
        <v>187</v>
      </c>
      <c r="F11121">
        <v>2005</v>
      </c>
      <c r="G11121">
        <v>43</v>
      </c>
    </row>
    <row r="11122" spans="1:7">
      <c r="A11122" t="s">
        <v>1297</v>
      </c>
      <c r="B11122" t="s">
        <v>1298</v>
      </c>
      <c r="C11122" t="s">
        <v>671</v>
      </c>
      <c r="D11122" t="s">
        <v>1419</v>
      </c>
      <c r="E11122" t="s">
        <v>187</v>
      </c>
      <c r="F11122">
        <v>2010</v>
      </c>
      <c r="G11122">
        <v>29.386500000000002</v>
      </c>
    </row>
    <row r="11123" spans="1:7">
      <c r="A11123" t="s">
        <v>1297</v>
      </c>
      <c r="B11123" t="s">
        <v>1298</v>
      </c>
      <c r="C11123" t="s">
        <v>671</v>
      </c>
      <c r="D11123" t="s">
        <v>1419</v>
      </c>
      <c r="E11123" t="s">
        <v>187</v>
      </c>
      <c r="F11123">
        <v>2012</v>
      </c>
      <c r="G11123">
        <v>26.767099999999999</v>
      </c>
    </row>
    <row r="11124" spans="1:7">
      <c r="A11124" t="s">
        <v>1297</v>
      </c>
      <c r="B11124" t="s">
        <v>1298</v>
      </c>
      <c r="C11124" t="s">
        <v>671</v>
      </c>
      <c r="D11124" t="s">
        <v>1419</v>
      </c>
      <c r="E11124" t="s">
        <v>187</v>
      </c>
      <c r="F11124">
        <v>2016</v>
      </c>
      <c r="G11124">
        <v>24.63</v>
      </c>
    </row>
    <row r="11125" spans="1:7">
      <c r="A11125" t="s">
        <v>1297</v>
      </c>
      <c r="B11125" t="s">
        <v>1298</v>
      </c>
      <c r="C11125" t="s">
        <v>671</v>
      </c>
      <c r="D11125" t="s">
        <v>1419</v>
      </c>
      <c r="E11125" t="s">
        <v>187</v>
      </c>
      <c r="F11125">
        <v>2020</v>
      </c>
      <c r="G11125">
        <v>27.175000000000001</v>
      </c>
    </row>
    <row r="11126" spans="1:7">
      <c r="A11126" t="s">
        <v>1297</v>
      </c>
      <c r="B11126" t="s">
        <v>1298</v>
      </c>
      <c r="C11126" t="s">
        <v>667</v>
      </c>
      <c r="D11126" t="s">
        <v>1419</v>
      </c>
      <c r="E11126" t="s">
        <v>187</v>
      </c>
      <c r="F11126">
        <v>2005</v>
      </c>
      <c r="G11126">
        <v>9.7201160000000009</v>
      </c>
    </row>
    <row r="11127" spans="1:7">
      <c r="A11127" t="s">
        <v>1297</v>
      </c>
      <c r="B11127" t="s">
        <v>1298</v>
      </c>
      <c r="C11127" t="s">
        <v>667</v>
      </c>
      <c r="D11127" t="s">
        <v>1419</v>
      </c>
      <c r="E11127" t="s">
        <v>187</v>
      </c>
      <c r="F11127">
        <v>2010</v>
      </c>
      <c r="G11127">
        <v>8.1003410000000002</v>
      </c>
    </row>
    <row r="11128" spans="1:7">
      <c r="A11128" t="s">
        <v>1297</v>
      </c>
      <c r="B11128" t="s">
        <v>1298</v>
      </c>
      <c r="C11128" t="s">
        <v>667</v>
      </c>
      <c r="D11128" t="s">
        <v>1419</v>
      </c>
      <c r="E11128" t="s">
        <v>187</v>
      </c>
      <c r="F11128">
        <v>2012</v>
      </c>
      <c r="G11128">
        <v>8.0317699999999999</v>
      </c>
    </row>
    <row r="11129" spans="1:7">
      <c r="A11129" t="s">
        <v>1297</v>
      </c>
      <c r="B11129" t="s">
        <v>1298</v>
      </c>
      <c r="C11129" t="s">
        <v>667</v>
      </c>
      <c r="D11129" t="s">
        <v>1419</v>
      </c>
      <c r="E11129" t="s">
        <v>187</v>
      </c>
      <c r="F11129">
        <v>2016</v>
      </c>
      <c r="G11129">
        <v>7.367273</v>
      </c>
    </row>
    <row r="11130" spans="1:7">
      <c r="A11130" t="s">
        <v>1297</v>
      </c>
      <c r="B11130" t="s">
        <v>1298</v>
      </c>
      <c r="C11130" t="s">
        <v>667</v>
      </c>
      <c r="D11130" t="s">
        <v>1419</v>
      </c>
      <c r="E11130" t="s">
        <v>187</v>
      </c>
      <c r="F11130">
        <v>2020</v>
      </c>
      <c r="G11130">
        <v>4.8879650000000003</v>
      </c>
    </row>
    <row r="11131" spans="1:7">
      <c r="A11131" t="s">
        <v>1297</v>
      </c>
      <c r="B11131" t="s">
        <v>1298</v>
      </c>
      <c r="C11131" t="s">
        <v>658</v>
      </c>
      <c r="D11131" t="s">
        <v>1419</v>
      </c>
      <c r="E11131" t="s">
        <v>187</v>
      </c>
      <c r="F11131">
        <v>2005</v>
      </c>
      <c r="G11131">
        <v>0.39029999999999998</v>
      </c>
    </row>
    <row r="11132" spans="1:7">
      <c r="A11132" t="s">
        <v>1297</v>
      </c>
      <c r="B11132" t="s">
        <v>1298</v>
      </c>
      <c r="C11132" t="s">
        <v>658</v>
      </c>
      <c r="D11132" t="s">
        <v>1419</v>
      </c>
      <c r="E11132" t="s">
        <v>187</v>
      </c>
      <c r="F11132">
        <v>2010</v>
      </c>
      <c r="G11132">
        <v>0.349416</v>
      </c>
    </row>
    <row r="11133" spans="1:7">
      <c r="A11133" t="s">
        <v>1297</v>
      </c>
      <c r="B11133" t="s">
        <v>1298</v>
      </c>
      <c r="C11133" t="s">
        <v>658</v>
      </c>
      <c r="D11133" t="s">
        <v>1419</v>
      </c>
      <c r="E11133" t="s">
        <v>187</v>
      </c>
      <c r="F11133">
        <v>2012</v>
      </c>
      <c r="G11133">
        <v>0.34799999999999998</v>
      </c>
    </row>
    <row r="11134" spans="1:7">
      <c r="A11134" t="s">
        <v>1297</v>
      </c>
      <c r="B11134" t="s">
        <v>1298</v>
      </c>
      <c r="C11134" t="s">
        <v>657</v>
      </c>
      <c r="D11134" t="s">
        <v>1419</v>
      </c>
      <c r="E11134" t="s">
        <v>187</v>
      </c>
      <c r="F11134">
        <v>2005</v>
      </c>
      <c r="G11134">
        <v>26.155449999999998</v>
      </c>
    </row>
    <row r="11135" spans="1:7">
      <c r="A11135" t="s">
        <v>1297</v>
      </c>
      <c r="B11135" t="s">
        <v>1298</v>
      </c>
      <c r="C11135" t="s">
        <v>657</v>
      </c>
      <c r="D11135" t="s">
        <v>1419</v>
      </c>
      <c r="E11135" t="s">
        <v>187</v>
      </c>
      <c r="F11135">
        <v>2010</v>
      </c>
      <c r="G11135">
        <v>19.999818000000001</v>
      </c>
    </row>
    <row r="11136" spans="1:7">
      <c r="A11136" t="s">
        <v>1297</v>
      </c>
      <c r="B11136" t="s">
        <v>1298</v>
      </c>
      <c r="C11136" t="s">
        <v>657</v>
      </c>
      <c r="D11136" t="s">
        <v>1419</v>
      </c>
      <c r="E11136" t="s">
        <v>187</v>
      </c>
      <c r="F11136">
        <v>2012</v>
      </c>
      <c r="G11136">
        <v>14.178214000000001</v>
      </c>
    </row>
    <row r="11137" spans="1:7">
      <c r="A11137" t="s">
        <v>1297</v>
      </c>
      <c r="B11137" t="s">
        <v>1298</v>
      </c>
      <c r="C11137" t="s">
        <v>657</v>
      </c>
      <c r="D11137" t="s">
        <v>1419</v>
      </c>
      <c r="E11137" t="s">
        <v>187</v>
      </c>
      <c r="F11137">
        <v>2016</v>
      </c>
      <c r="G11137">
        <v>9.7698370000000008</v>
      </c>
    </row>
    <row r="11138" spans="1:7">
      <c r="A11138" t="s">
        <v>1297</v>
      </c>
      <c r="B11138" t="s">
        <v>1298</v>
      </c>
      <c r="C11138" t="s">
        <v>657</v>
      </c>
      <c r="D11138" t="s">
        <v>1419</v>
      </c>
      <c r="E11138" t="s">
        <v>187</v>
      </c>
      <c r="F11138">
        <v>2020</v>
      </c>
      <c r="G11138">
        <v>8.4835820000000002</v>
      </c>
    </row>
    <row r="11139" spans="1:7">
      <c r="A11139" t="s">
        <v>1297</v>
      </c>
      <c r="B11139" t="s">
        <v>1298</v>
      </c>
      <c r="C11139" t="s">
        <v>1301</v>
      </c>
      <c r="D11139" t="s">
        <v>1419</v>
      </c>
      <c r="E11139" t="s">
        <v>187</v>
      </c>
      <c r="F11139">
        <v>2012</v>
      </c>
      <c r="G11139">
        <v>37.812539000000001</v>
      </c>
    </row>
    <row r="11140" spans="1:7">
      <c r="A11140" t="s">
        <v>1297</v>
      </c>
      <c r="B11140" t="s">
        <v>1298</v>
      </c>
      <c r="C11140" t="s">
        <v>1301</v>
      </c>
      <c r="D11140" t="s">
        <v>1419</v>
      </c>
      <c r="E11140" t="s">
        <v>187</v>
      </c>
      <c r="F11140">
        <v>2016</v>
      </c>
      <c r="G11140">
        <v>10.4826</v>
      </c>
    </row>
    <row r="11141" spans="1:7">
      <c r="A11141" t="s">
        <v>1297</v>
      </c>
      <c r="B11141" t="s">
        <v>1298</v>
      </c>
      <c r="C11141" t="s">
        <v>1301</v>
      </c>
      <c r="D11141" t="s">
        <v>1419</v>
      </c>
      <c r="E11141" t="s">
        <v>187</v>
      </c>
      <c r="F11141">
        <v>2020</v>
      </c>
      <c r="G11141">
        <v>9.0028000000000006</v>
      </c>
    </row>
    <row r="11142" spans="1:7">
      <c r="A11142" t="s">
        <v>1297</v>
      </c>
      <c r="B11142" t="s">
        <v>1298</v>
      </c>
      <c r="C11142" t="s">
        <v>680</v>
      </c>
      <c r="D11142" t="s">
        <v>1419</v>
      </c>
      <c r="E11142" t="s">
        <v>187</v>
      </c>
      <c r="F11142">
        <v>2005</v>
      </c>
      <c r="G11142">
        <v>0.26229999999999998</v>
      </c>
    </row>
    <row r="11143" spans="1:7">
      <c r="A11143" t="s">
        <v>1297</v>
      </c>
      <c r="B11143" t="s">
        <v>1298</v>
      </c>
      <c r="C11143" t="s">
        <v>680</v>
      </c>
      <c r="D11143" t="s">
        <v>1419</v>
      </c>
      <c r="E11143" t="s">
        <v>187</v>
      </c>
      <c r="F11143">
        <v>2010</v>
      </c>
      <c r="G11143">
        <v>0.13300000000000001</v>
      </c>
    </row>
    <row r="11144" spans="1:7">
      <c r="A11144" t="s">
        <v>1297</v>
      </c>
      <c r="B11144" t="s">
        <v>1298</v>
      </c>
      <c r="C11144" t="s">
        <v>680</v>
      </c>
      <c r="D11144" t="s">
        <v>1419</v>
      </c>
      <c r="E11144" t="s">
        <v>187</v>
      </c>
      <c r="F11144">
        <v>2012</v>
      </c>
      <c r="G11144">
        <v>0.09</v>
      </c>
    </row>
    <row r="11145" spans="1:7">
      <c r="A11145" t="s">
        <v>1297</v>
      </c>
      <c r="B11145" t="s">
        <v>1298</v>
      </c>
      <c r="C11145" t="s">
        <v>680</v>
      </c>
      <c r="D11145" t="s">
        <v>1419</v>
      </c>
      <c r="E11145" t="s">
        <v>187</v>
      </c>
      <c r="F11145">
        <v>2016</v>
      </c>
      <c r="G11145">
        <v>8.4717000000000001E-2</v>
      </c>
    </row>
    <row r="11146" spans="1:7">
      <c r="A11146" t="s">
        <v>1297</v>
      </c>
      <c r="B11146" t="s">
        <v>1298</v>
      </c>
      <c r="C11146" t="s">
        <v>680</v>
      </c>
      <c r="D11146" t="s">
        <v>1419</v>
      </c>
      <c r="E11146" t="s">
        <v>187</v>
      </c>
      <c r="F11146">
        <v>2020</v>
      </c>
      <c r="G11146">
        <v>0.106568</v>
      </c>
    </row>
    <row r="11147" spans="1:7">
      <c r="A11147" t="s">
        <v>1297</v>
      </c>
      <c r="B11147" t="s">
        <v>1298</v>
      </c>
      <c r="C11147" t="s">
        <v>653</v>
      </c>
      <c r="D11147" t="s">
        <v>1419</v>
      </c>
      <c r="E11147" t="s">
        <v>187</v>
      </c>
      <c r="F11147">
        <v>2005</v>
      </c>
      <c r="G11147">
        <v>1.0880000000000001</v>
      </c>
    </row>
    <row r="11148" spans="1:7">
      <c r="A11148" t="s">
        <v>1297</v>
      </c>
      <c r="B11148" t="s">
        <v>1298</v>
      </c>
      <c r="C11148" t="s">
        <v>653</v>
      </c>
      <c r="D11148" t="s">
        <v>1419</v>
      </c>
      <c r="E11148" t="s">
        <v>187</v>
      </c>
      <c r="F11148">
        <v>2010</v>
      </c>
      <c r="G11148">
        <v>0.95860000000000001</v>
      </c>
    </row>
    <row r="11149" spans="1:7">
      <c r="A11149" t="s">
        <v>1297</v>
      </c>
      <c r="B11149" t="s">
        <v>1298</v>
      </c>
      <c r="C11149" t="s">
        <v>653</v>
      </c>
      <c r="D11149" t="s">
        <v>1419</v>
      </c>
      <c r="E11149" t="s">
        <v>187</v>
      </c>
      <c r="F11149">
        <v>2012</v>
      </c>
      <c r="G11149">
        <v>1.0543</v>
      </c>
    </row>
    <row r="11150" spans="1:7">
      <c r="A11150" t="s">
        <v>1297</v>
      </c>
      <c r="B11150" t="s">
        <v>1298</v>
      </c>
      <c r="C11150" t="s">
        <v>653</v>
      </c>
      <c r="D11150" t="s">
        <v>1419</v>
      </c>
      <c r="E11150" t="s">
        <v>187</v>
      </c>
      <c r="F11150">
        <v>2016</v>
      </c>
      <c r="G11150">
        <v>1.1499999999999999</v>
      </c>
    </row>
    <row r="11151" spans="1:7">
      <c r="A11151" t="s">
        <v>1297</v>
      </c>
      <c r="B11151" t="s">
        <v>1298</v>
      </c>
      <c r="C11151" t="s">
        <v>653</v>
      </c>
      <c r="D11151" t="s">
        <v>1419</v>
      </c>
      <c r="E11151" t="s">
        <v>187</v>
      </c>
      <c r="F11151">
        <v>2020</v>
      </c>
      <c r="G11151">
        <v>0.82787100000000002</v>
      </c>
    </row>
    <row r="11152" spans="1:7">
      <c r="A11152" t="s">
        <v>1297</v>
      </c>
      <c r="B11152" t="s">
        <v>1298</v>
      </c>
      <c r="C11152" t="s">
        <v>663</v>
      </c>
      <c r="D11152" t="s">
        <v>1419</v>
      </c>
      <c r="E11152" t="s">
        <v>187</v>
      </c>
      <c r="F11152">
        <v>2005</v>
      </c>
      <c r="G11152">
        <v>7.8879999999999999</v>
      </c>
    </row>
    <row r="11153" spans="1:7">
      <c r="A11153" t="s">
        <v>1297</v>
      </c>
      <c r="B11153" t="s">
        <v>1298</v>
      </c>
      <c r="C11153" t="s">
        <v>663</v>
      </c>
      <c r="D11153" t="s">
        <v>1419</v>
      </c>
      <c r="E11153" t="s">
        <v>187</v>
      </c>
      <c r="F11153">
        <v>2010</v>
      </c>
      <c r="G11153">
        <v>5.64</v>
      </c>
    </row>
    <row r="11154" spans="1:7">
      <c r="A11154" t="s">
        <v>1297</v>
      </c>
      <c r="B11154" t="s">
        <v>1298</v>
      </c>
      <c r="C11154" t="s">
        <v>663</v>
      </c>
      <c r="D11154" t="s">
        <v>1419</v>
      </c>
      <c r="E11154" t="s">
        <v>187</v>
      </c>
      <c r="F11154">
        <v>2012</v>
      </c>
      <c r="G11154">
        <v>3.29</v>
      </c>
    </row>
    <row r="11155" spans="1:7">
      <c r="A11155" t="s">
        <v>1297</v>
      </c>
      <c r="B11155" t="s">
        <v>1298</v>
      </c>
      <c r="C11155" t="s">
        <v>663</v>
      </c>
      <c r="D11155" t="s">
        <v>1419</v>
      </c>
      <c r="E11155" t="s">
        <v>187</v>
      </c>
      <c r="F11155">
        <v>2016</v>
      </c>
      <c r="G11155">
        <v>2.4926400000000002</v>
      </c>
    </row>
    <row r="11156" spans="1:7">
      <c r="A11156" t="s">
        <v>1297</v>
      </c>
      <c r="B11156" t="s">
        <v>1298</v>
      </c>
      <c r="C11156" t="s">
        <v>663</v>
      </c>
      <c r="D11156" t="s">
        <v>1419</v>
      </c>
      <c r="E11156" t="s">
        <v>187</v>
      </c>
      <c r="F11156">
        <v>2020</v>
      </c>
      <c r="G11156">
        <v>3.09138</v>
      </c>
    </row>
    <row r="11157" spans="1:7">
      <c r="A11157" t="s">
        <v>1297</v>
      </c>
      <c r="B11157" t="s">
        <v>1298</v>
      </c>
      <c r="C11157" t="s">
        <v>685</v>
      </c>
      <c r="D11157" t="s">
        <v>1419</v>
      </c>
      <c r="E11157" t="s">
        <v>187</v>
      </c>
      <c r="F11157">
        <v>2005</v>
      </c>
      <c r="G11157">
        <v>1.709033</v>
      </c>
    </row>
    <row r="11158" spans="1:7">
      <c r="A11158" t="s">
        <v>1297</v>
      </c>
      <c r="B11158" t="s">
        <v>1298</v>
      </c>
      <c r="C11158" t="s">
        <v>685</v>
      </c>
      <c r="D11158" t="s">
        <v>1419</v>
      </c>
      <c r="E11158" t="s">
        <v>187</v>
      </c>
      <c r="F11158">
        <v>2010</v>
      </c>
      <c r="G11158">
        <v>1.841799</v>
      </c>
    </row>
    <row r="11159" spans="1:7">
      <c r="A11159" t="s">
        <v>1297</v>
      </c>
      <c r="B11159" t="s">
        <v>1298</v>
      </c>
      <c r="C11159" t="s">
        <v>685</v>
      </c>
      <c r="D11159" t="s">
        <v>1419</v>
      </c>
      <c r="E11159" t="s">
        <v>187</v>
      </c>
      <c r="F11159">
        <v>2012</v>
      </c>
      <c r="G11159">
        <v>1.1946060000000001</v>
      </c>
    </row>
    <row r="11160" spans="1:7">
      <c r="A11160" t="s">
        <v>1297</v>
      </c>
      <c r="B11160" t="s">
        <v>1298</v>
      </c>
      <c r="C11160" t="s">
        <v>685</v>
      </c>
      <c r="D11160" t="s">
        <v>1419</v>
      </c>
      <c r="E11160" t="s">
        <v>187</v>
      </c>
      <c r="F11160">
        <v>2016</v>
      </c>
      <c r="G11160">
        <v>0.48205700000000001</v>
      </c>
    </row>
    <row r="11161" spans="1:7">
      <c r="A11161" t="s">
        <v>1297</v>
      </c>
      <c r="B11161" t="s">
        <v>1298</v>
      </c>
      <c r="C11161" t="s">
        <v>685</v>
      </c>
      <c r="D11161" t="s">
        <v>1419</v>
      </c>
      <c r="E11161" t="s">
        <v>187</v>
      </c>
      <c r="F11161">
        <v>2020</v>
      </c>
      <c r="G11161">
        <v>0.435417</v>
      </c>
    </row>
    <row r="11162" spans="1:7">
      <c r="A11162" t="s">
        <v>1297</v>
      </c>
      <c r="B11162" t="s">
        <v>1298</v>
      </c>
      <c r="C11162" t="s">
        <v>662</v>
      </c>
      <c r="D11162" t="s">
        <v>1419</v>
      </c>
      <c r="E11162" t="s">
        <v>187</v>
      </c>
      <c r="F11162">
        <v>2010</v>
      </c>
      <c r="G11162">
        <v>82.327399999999997</v>
      </c>
    </row>
    <row r="11163" spans="1:7">
      <c r="A11163" t="s">
        <v>1297</v>
      </c>
      <c r="B11163" t="s">
        <v>1298</v>
      </c>
      <c r="C11163" t="s">
        <v>662</v>
      </c>
      <c r="D11163" t="s">
        <v>1419</v>
      </c>
      <c r="E11163" t="s">
        <v>187</v>
      </c>
      <c r="F11163">
        <v>2012</v>
      </c>
      <c r="G11163">
        <v>80.142799999999994</v>
      </c>
    </row>
    <row r="11164" spans="1:7">
      <c r="A11164" t="s">
        <v>1297</v>
      </c>
      <c r="B11164" t="s">
        <v>1298</v>
      </c>
      <c r="C11164" t="s">
        <v>662</v>
      </c>
      <c r="D11164" t="s">
        <v>1419</v>
      </c>
      <c r="E11164" t="s">
        <v>187</v>
      </c>
      <c r="F11164">
        <v>2016</v>
      </c>
      <c r="G11164">
        <v>53.020600000000002</v>
      </c>
    </row>
    <row r="11165" spans="1:7">
      <c r="A11165" t="s">
        <v>1297</v>
      </c>
      <c r="B11165" t="s">
        <v>1298</v>
      </c>
      <c r="C11165" t="s">
        <v>662</v>
      </c>
      <c r="D11165" t="s">
        <v>1419</v>
      </c>
      <c r="E11165" t="s">
        <v>187</v>
      </c>
      <c r="F11165">
        <v>2020</v>
      </c>
      <c r="G11165">
        <v>48.294893999999999</v>
      </c>
    </row>
    <row r="11166" spans="1:7">
      <c r="A11166" t="s">
        <v>1297</v>
      </c>
      <c r="B11166" t="s">
        <v>1298</v>
      </c>
      <c r="C11166" t="s">
        <v>652</v>
      </c>
      <c r="D11166" t="s">
        <v>1419</v>
      </c>
      <c r="E11166" t="s">
        <v>187</v>
      </c>
      <c r="F11166">
        <v>2005</v>
      </c>
      <c r="G11166">
        <v>154.6746</v>
      </c>
    </row>
    <row r="11167" spans="1:7">
      <c r="A11167" t="s">
        <v>1297</v>
      </c>
      <c r="B11167" t="s">
        <v>1298</v>
      </c>
      <c r="C11167" t="s">
        <v>652</v>
      </c>
      <c r="D11167" t="s">
        <v>1419</v>
      </c>
      <c r="E11167" t="s">
        <v>187</v>
      </c>
      <c r="F11167">
        <v>2010</v>
      </c>
      <c r="G11167">
        <v>131.1842</v>
      </c>
    </row>
    <row r="11168" spans="1:7">
      <c r="A11168" t="s">
        <v>1297</v>
      </c>
      <c r="B11168" t="s">
        <v>1298</v>
      </c>
      <c r="C11168" t="s">
        <v>677</v>
      </c>
      <c r="D11168" t="s">
        <v>1419</v>
      </c>
      <c r="E11168" t="s">
        <v>187</v>
      </c>
      <c r="F11168">
        <v>2016</v>
      </c>
      <c r="G11168">
        <v>100.85203199999999</v>
      </c>
    </row>
    <row r="11169" spans="1:7">
      <c r="A11169" t="s">
        <v>1297</v>
      </c>
      <c r="B11169" t="s">
        <v>1298</v>
      </c>
      <c r="C11169" t="s">
        <v>677</v>
      </c>
      <c r="D11169" t="s">
        <v>1419</v>
      </c>
      <c r="E11169" t="s">
        <v>187</v>
      </c>
      <c r="F11169">
        <v>2020</v>
      </c>
      <c r="G11169">
        <v>101.24562400000001</v>
      </c>
    </row>
    <row r="11170" spans="1:7">
      <c r="A11170" t="s">
        <v>1297</v>
      </c>
      <c r="B11170" t="s">
        <v>1298</v>
      </c>
      <c r="C11170" t="s">
        <v>670</v>
      </c>
      <c r="D11170" t="s">
        <v>1419</v>
      </c>
      <c r="E11170" t="s">
        <v>187</v>
      </c>
      <c r="F11170">
        <v>2005</v>
      </c>
      <c r="G11170">
        <v>1.856312</v>
      </c>
    </row>
    <row r="11171" spans="1:7">
      <c r="A11171" t="s">
        <v>1297</v>
      </c>
      <c r="B11171" t="s">
        <v>1298</v>
      </c>
      <c r="C11171" t="s">
        <v>670</v>
      </c>
      <c r="D11171" t="s">
        <v>1419</v>
      </c>
      <c r="E11171" t="s">
        <v>187</v>
      </c>
      <c r="F11171">
        <v>2010</v>
      </c>
      <c r="G11171">
        <v>1.9599800000000001</v>
      </c>
    </row>
    <row r="11172" spans="1:7">
      <c r="A11172" t="s">
        <v>1297</v>
      </c>
      <c r="B11172" t="s">
        <v>1298</v>
      </c>
      <c r="C11172" t="s">
        <v>670</v>
      </c>
      <c r="D11172" t="s">
        <v>1419</v>
      </c>
      <c r="E11172" t="s">
        <v>187</v>
      </c>
      <c r="F11172">
        <v>2012</v>
      </c>
      <c r="G11172">
        <v>1.7360960000000001</v>
      </c>
    </row>
    <row r="11173" spans="1:7">
      <c r="A11173" t="s">
        <v>1297</v>
      </c>
      <c r="B11173" t="s">
        <v>1298</v>
      </c>
      <c r="C11173" t="s">
        <v>670</v>
      </c>
      <c r="D11173" t="s">
        <v>1419</v>
      </c>
      <c r="E11173" t="s">
        <v>187</v>
      </c>
      <c r="F11173">
        <v>2016</v>
      </c>
      <c r="G11173">
        <v>1.555056</v>
      </c>
    </row>
    <row r="11174" spans="1:7">
      <c r="A11174" t="s">
        <v>1297</v>
      </c>
      <c r="B11174" t="s">
        <v>1298</v>
      </c>
      <c r="C11174" t="s">
        <v>670</v>
      </c>
      <c r="D11174" t="s">
        <v>1419</v>
      </c>
      <c r="E11174" t="s">
        <v>187</v>
      </c>
      <c r="F11174">
        <v>2020</v>
      </c>
      <c r="G11174">
        <v>1.511477</v>
      </c>
    </row>
    <row r="11175" spans="1:7">
      <c r="A11175" t="s">
        <v>1297</v>
      </c>
      <c r="B11175" t="s">
        <v>1298</v>
      </c>
      <c r="C11175" t="s">
        <v>669</v>
      </c>
      <c r="D11175" t="s">
        <v>1419</v>
      </c>
      <c r="E11175" t="s">
        <v>187</v>
      </c>
      <c r="F11175">
        <v>2005</v>
      </c>
      <c r="G11175">
        <v>0.77539999999999998</v>
      </c>
    </row>
    <row r="11176" spans="1:7">
      <c r="A11176" t="s">
        <v>1297</v>
      </c>
      <c r="B11176" t="s">
        <v>1298</v>
      </c>
      <c r="C11176" t="s">
        <v>669</v>
      </c>
      <c r="D11176" t="s">
        <v>1419</v>
      </c>
      <c r="E11176" t="s">
        <v>187</v>
      </c>
      <c r="F11176">
        <v>2010</v>
      </c>
      <c r="G11176">
        <v>0.59799999999999998</v>
      </c>
    </row>
    <row r="11177" spans="1:7">
      <c r="A11177" t="s">
        <v>1297</v>
      </c>
      <c r="B11177" t="s">
        <v>1298</v>
      </c>
      <c r="C11177" t="s">
        <v>669</v>
      </c>
      <c r="D11177" t="s">
        <v>1419</v>
      </c>
      <c r="E11177" t="s">
        <v>187</v>
      </c>
      <c r="F11177">
        <v>2012</v>
      </c>
      <c r="G11177">
        <v>0.59799999999999998</v>
      </c>
    </row>
    <row r="11178" spans="1:7">
      <c r="A11178" t="s">
        <v>1297</v>
      </c>
      <c r="B11178" t="s">
        <v>1298</v>
      </c>
      <c r="C11178" t="s">
        <v>669</v>
      </c>
      <c r="D11178" t="s">
        <v>1419</v>
      </c>
      <c r="E11178" t="s">
        <v>187</v>
      </c>
      <c r="F11178">
        <v>2016</v>
      </c>
      <c r="G11178">
        <v>0.59799999999999998</v>
      </c>
    </row>
    <row r="11179" spans="1:7">
      <c r="A11179" t="s">
        <v>1297</v>
      </c>
      <c r="B11179" t="s">
        <v>1298</v>
      </c>
      <c r="C11179" t="s">
        <v>669</v>
      </c>
      <c r="D11179" t="s">
        <v>1419</v>
      </c>
      <c r="E11179" t="s">
        <v>187</v>
      </c>
      <c r="F11179">
        <v>2020</v>
      </c>
      <c r="G11179">
        <v>0.65936499999999998</v>
      </c>
    </row>
    <row r="11180" spans="1:7">
      <c r="A11180" t="s">
        <v>1297</v>
      </c>
      <c r="B11180" t="s">
        <v>1298</v>
      </c>
      <c r="C11180" t="s">
        <v>681</v>
      </c>
      <c r="D11180" t="s">
        <v>1419</v>
      </c>
      <c r="E11180" t="s">
        <v>187</v>
      </c>
      <c r="F11180">
        <v>2005</v>
      </c>
      <c r="G11180">
        <v>3.1085630000000002</v>
      </c>
    </row>
    <row r="11181" spans="1:7">
      <c r="A11181" t="s">
        <v>1297</v>
      </c>
      <c r="B11181" t="s">
        <v>1298</v>
      </c>
      <c r="C11181" t="s">
        <v>681</v>
      </c>
      <c r="D11181" t="s">
        <v>1419</v>
      </c>
      <c r="E11181" t="s">
        <v>187</v>
      </c>
      <c r="F11181">
        <v>2010</v>
      </c>
      <c r="G11181">
        <v>3.5382769999999999</v>
      </c>
    </row>
    <row r="11182" spans="1:7">
      <c r="A11182" t="s">
        <v>1297</v>
      </c>
      <c r="B11182" t="s">
        <v>1298</v>
      </c>
      <c r="C11182" t="s">
        <v>681</v>
      </c>
      <c r="D11182" t="s">
        <v>1419</v>
      </c>
      <c r="E11182" t="s">
        <v>187</v>
      </c>
      <c r="F11182">
        <v>2012</v>
      </c>
      <c r="G11182">
        <v>3.4005700000000001</v>
      </c>
    </row>
    <row r="11183" spans="1:7">
      <c r="A11183" t="s">
        <v>1297</v>
      </c>
      <c r="B11183" t="s">
        <v>1298</v>
      </c>
      <c r="C11183" t="s">
        <v>681</v>
      </c>
      <c r="D11183" t="s">
        <v>1419</v>
      </c>
      <c r="E11183" t="s">
        <v>187</v>
      </c>
      <c r="F11183">
        <v>2016</v>
      </c>
      <c r="G11183">
        <v>4.0214350000000003</v>
      </c>
    </row>
    <row r="11184" spans="1:7">
      <c r="A11184" t="s">
        <v>1297</v>
      </c>
      <c r="B11184" t="s">
        <v>1298</v>
      </c>
      <c r="C11184" t="s">
        <v>681</v>
      </c>
      <c r="D11184" t="s">
        <v>1419</v>
      </c>
      <c r="E11184" t="s">
        <v>187</v>
      </c>
      <c r="F11184">
        <v>2020</v>
      </c>
      <c r="G11184">
        <v>4.5891669999999998</v>
      </c>
    </row>
    <row r="11185" spans="1:7">
      <c r="A11185" t="s">
        <v>1297</v>
      </c>
      <c r="B11185" t="s">
        <v>1298</v>
      </c>
      <c r="C11185" t="s">
        <v>1302</v>
      </c>
      <c r="D11185" t="s">
        <v>1419</v>
      </c>
      <c r="E11185" t="s">
        <v>187</v>
      </c>
      <c r="F11185">
        <v>2005</v>
      </c>
      <c r="G11185">
        <v>0.98621999999999999</v>
      </c>
    </row>
    <row r="11186" spans="1:7">
      <c r="A11186" t="s">
        <v>1297</v>
      </c>
      <c r="B11186" t="s">
        <v>1298</v>
      </c>
      <c r="C11186" t="s">
        <v>1302</v>
      </c>
      <c r="D11186" t="s">
        <v>1419</v>
      </c>
      <c r="E11186" t="s">
        <v>187</v>
      </c>
      <c r="F11186">
        <v>2010</v>
      </c>
      <c r="G11186">
        <v>1.0787</v>
      </c>
    </row>
    <row r="11187" spans="1:7">
      <c r="A11187" t="s">
        <v>1297</v>
      </c>
      <c r="B11187" t="s">
        <v>1298</v>
      </c>
      <c r="C11187" t="s">
        <v>1302</v>
      </c>
      <c r="D11187" t="s">
        <v>1419</v>
      </c>
      <c r="E11187" t="s">
        <v>187</v>
      </c>
      <c r="F11187">
        <v>2012</v>
      </c>
      <c r="G11187">
        <v>0.76507000000000003</v>
      </c>
    </row>
    <row r="11188" spans="1:7">
      <c r="A11188" t="s">
        <v>1297</v>
      </c>
      <c r="B11188" t="s">
        <v>1298</v>
      </c>
      <c r="C11188" t="s">
        <v>1302</v>
      </c>
      <c r="D11188" t="s">
        <v>1419</v>
      </c>
      <c r="E11188" t="s">
        <v>187</v>
      </c>
      <c r="F11188">
        <v>2016</v>
      </c>
      <c r="G11188">
        <v>0.54011900000000002</v>
      </c>
    </row>
    <row r="11189" spans="1:7">
      <c r="A11189" t="s">
        <v>1297</v>
      </c>
      <c r="B11189" t="s">
        <v>1298</v>
      </c>
      <c r="C11189" t="s">
        <v>1302</v>
      </c>
      <c r="D11189" t="s">
        <v>1419</v>
      </c>
      <c r="E11189" t="s">
        <v>187</v>
      </c>
      <c r="F11189">
        <v>2020</v>
      </c>
      <c r="G11189">
        <v>0.49535499999999999</v>
      </c>
    </row>
    <row r="11190" spans="1:7">
      <c r="A11190" t="s">
        <v>1297</v>
      </c>
      <c r="B11190" t="s">
        <v>1298</v>
      </c>
      <c r="C11190" t="s">
        <v>656</v>
      </c>
      <c r="D11190" t="s">
        <v>1419</v>
      </c>
      <c r="E11190" t="s">
        <v>187</v>
      </c>
      <c r="F11190">
        <v>2005</v>
      </c>
      <c r="G11190">
        <v>727.20238700000004</v>
      </c>
    </row>
    <row r="11191" spans="1:7">
      <c r="A11191" t="s">
        <v>1297</v>
      </c>
      <c r="B11191" t="s">
        <v>1298</v>
      </c>
      <c r="C11191" t="s">
        <v>656</v>
      </c>
      <c r="D11191" t="s">
        <v>1419</v>
      </c>
      <c r="E11191" t="s">
        <v>187</v>
      </c>
      <c r="F11191">
        <v>2010</v>
      </c>
      <c r="G11191">
        <v>600.29928399999994</v>
      </c>
    </row>
    <row r="11192" spans="1:7">
      <c r="A11192" t="s">
        <v>1297</v>
      </c>
      <c r="B11192" t="s">
        <v>1298</v>
      </c>
      <c r="C11192" t="s">
        <v>656</v>
      </c>
      <c r="D11192" t="s">
        <v>1419</v>
      </c>
      <c r="E11192" t="s">
        <v>187</v>
      </c>
      <c r="F11192">
        <v>2012</v>
      </c>
      <c r="G11192">
        <v>545.47805400000004</v>
      </c>
    </row>
    <row r="11193" spans="1:7">
      <c r="A11193" t="s">
        <v>1297</v>
      </c>
      <c r="B11193" t="s">
        <v>1298</v>
      </c>
      <c r="C11193" t="s">
        <v>656</v>
      </c>
      <c r="D11193" t="s">
        <v>1419</v>
      </c>
      <c r="E11193" t="s">
        <v>187</v>
      </c>
      <c r="F11193">
        <v>2016</v>
      </c>
      <c r="G11193">
        <v>482.63819000000001</v>
      </c>
    </row>
    <row r="11194" spans="1:7">
      <c r="A11194" t="s">
        <v>1297</v>
      </c>
      <c r="B11194" t="s">
        <v>1298</v>
      </c>
      <c r="C11194" t="s">
        <v>656</v>
      </c>
      <c r="D11194" t="s">
        <v>1419</v>
      </c>
      <c r="E11194" t="s">
        <v>187</v>
      </c>
      <c r="F11194">
        <v>2020</v>
      </c>
      <c r="G11194">
        <v>496.92711800000001</v>
      </c>
    </row>
    <row r="11195" spans="1:7">
      <c r="A11195" t="s">
        <v>1297</v>
      </c>
      <c r="B11195" t="s">
        <v>1298</v>
      </c>
      <c r="C11195" t="s">
        <v>662</v>
      </c>
      <c r="D11195" t="s">
        <v>1419</v>
      </c>
      <c r="E11195" t="s">
        <v>187</v>
      </c>
      <c r="F11195">
        <v>2005</v>
      </c>
      <c r="G11195">
        <v>131.41329999999999</v>
      </c>
    </row>
    <row r="11196" spans="1:7">
      <c r="A11196" t="s">
        <v>1297</v>
      </c>
      <c r="B11196" t="s">
        <v>1298</v>
      </c>
      <c r="C11196" t="s">
        <v>665</v>
      </c>
      <c r="D11196" t="s">
        <v>1419</v>
      </c>
      <c r="E11196" t="s">
        <v>187</v>
      </c>
      <c r="F11196">
        <v>2020</v>
      </c>
      <c r="G11196">
        <v>82.717318000000006</v>
      </c>
    </row>
    <row r="11197" spans="1:7">
      <c r="A11197" t="s">
        <v>1297</v>
      </c>
      <c r="B11197" t="s">
        <v>1298</v>
      </c>
      <c r="C11197" t="s">
        <v>289</v>
      </c>
      <c r="D11197" t="s">
        <v>1419</v>
      </c>
      <c r="E11197" t="s">
        <v>187</v>
      </c>
      <c r="F11197">
        <v>2005</v>
      </c>
      <c r="G11197">
        <v>14.31588</v>
      </c>
    </row>
    <row r="11198" spans="1:7">
      <c r="A11198" t="s">
        <v>1297</v>
      </c>
      <c r="B11198" t="s">
        <v>1298</v>
      </c>
      <c r="C11198" t="s">
        <v>289</v>
      </c>
      <c r="D11198" t="s">
        <v>1419</v>
      </c>
      <c r="E11198" t="s">
        <v>187</v>
      </c>
      <c r="F11198">
        <v>2010</v>
      </c>
      <c r="G11198">
        <v>9.8011300000000006</v>
      </c>
    </row>
    <row r="11199" spans="1:7">
      <c r="A11199" t="s">
        <v>1297</v>
      </c>
      <c r="B11199" t="s">
        <v>1298</v>
      </c>
      <c r="C11199" t="s">
        <v>289</v>
      </c>
      <c r="D11199" t="s">
        <v>1419</v>
      </c>
      <c r="E11199" t="s">
        <v>187</v>
      </c>
      <c r="F11199">
        <v>2012</v>
      </c>
      <c r="G11199">
        <v>7.2589399999999999</v>
      </c>
    </row>
    <row r="11200" spans="1:7">
      <c r="A11200" t="s">
        <v>1297</v>
      </c>
      <c r="B11200" t="s">
        <v>1298</v>
      </c>
      <c r="C11200" t="s">
        <v>289</v>
      </c>
      <c r="D11200" t="s">
        <v>1419</v>
      </c>
      <c r="E11200" t="s">
        <v>187</v>
      </c>
      <c r="F11200">
        <v>2016</v>
      </c>
      <c r="G11200">
        <v>5.9660500000000001</v>
      </c>
    </row>
    <row r="11201" spans="1:7">
      <c r="A11201" t="s">
        <v>1297</v>
      </c>
      <c r="B11201" t="s">
        <v>1298</v>
      </c>
      <c r="C11201" t="s">
        <v>289</v>
      </c>
      <c r="D11201" t="s">
        <v>1419</v>
      </c>
      <c r="E11201" t="s">
        <v>187</v>
      </c>
      <c r="F11201">
        <v>2020</v>
      </c>
      <c r="G11201">
        <v>4.2093829999999999</v>
      </c>
    </row>
    <row r="11202" spans="1:7">
      <c r="A11202" t="s">
        <v>1297</v>
      </c>
      <c r="B11202" t="s">
        <v>1298</v>
      </c>
      <c r="C11202" t="s">
        <v>684</v>
      </c>
      <c r="D11202" t="s">
        <v>1419</v>
      </c>
      <c r="E11202" t="s">
        <v>187</v>
      </c>
      <c r="F11202">
        <v>2005</v>
      </c>
      <c r="G11202">
        <v>8.5419999999999996E-2</v>
      </c>
    </row>
    <row r="11203" spans="1:7">
      <c r="A11203" t="s">
        <v>1297</v>
      </c>
      <c r="B11203" t="s">
        <v>1298</v>
      </c>
      <c r="C11203" t="s">
        <v>684</v>
      </c>
      <c r="D11203" t="s">
        <v>1419</v>
      </c>
      <c r="E11203" t="s">
        <v>187</v>
      </c>
      <c r="F11203">
        <v>2012</v>
      </c>
      <c r="G11203">
        <v>4.2709999999999998E-2</v>
      </c>
    </row>
    <row r="11204" spans="1:7">
      <c r="A11204" t="s">
        <v>1297</v>
      </c>
      <c r="B11204" t="s">
        <v>1298</v>
      </c>
      <c r="C11204" t="s">
        <v>684</v>
      </c>
      <c r="D11204" t="s">
        <v>1419</v>
      </c>
      <c r="E11204" t="s">
        <v>187</v>
      </c>
      <c r="F11204">
        <v>2016</v>
      </c>
      <c r="G11204">
        <v>4.6890000000000001E-2</v>
      </c>
    </row>
    <row r="11205" spans="1:7">
      <c r="A11205" t="s">
        <v>1297</v>
      </c>
      <c r="B11205" t="s">
        <v>1298</v>
      </c>
      <c r="C11205" t="s">
        <v>684</v>
      </c>
      <c r="D11205" t="s">
        <v>1419</v>
      </c>
      <c r="E11205" t="s">
        <v>187</v>
      </c>
      <c r="F11205">
        <v>2020</v>
      </c>
      <c r="G11205">
        <v>7.5023999999999993E-2</v>
      </c>
    </row>
    <row r="11206" spans="1:7">
      <c r="A11206" t="s">
        <v>1297</v>
      </c>
      <c r="B11206" t="s">
        <v>1298</v>
      </c>
      <c r="C11206" t="s">
        <v>677</v>
      </c>
      <c r="D11206" t="s">
        <v>1419</v>
      </c>
      <c r="E11206" t="s">
        <v>187</v>
      </c>
      <c r="F11206">
        <v>2005</v>
      </c>
      <c r="G11206">
        <v>122.994618</v>
      </c>
    </row>
    <row r="11207" spans="1:7">
      <c r="A11207" t="s">
        <v>1297</v>
      </c>
      <c r="B11207" t="s">
        <v>1298</v>
      </c>
      <c r="C11207" t="s">
        <v>677</v>
      </c>
      <c r="D11207" t="s">
        <v>1419</v>
      </c>
      <c r="E11207" t="s">
        <v>187</v>
      </c>
      <c r="F11207">
        <v>2010</v>
      </c>
      <c r="G11207">
        <v>135.756066</v>
      </c>
    </row>
    <row r="11208" spans="1:7">
      <c r="A11208" t="s">
        <v>1297</v>
      </c>
      <c r="B11208" t="s">
        <v>1298</v>
      </c>
      <c r="C11208" t="s">
        <v>677</v>
      </c>
      <c r="D11208" t="s">
        <v>1419</v>
      </c>
      <c r="E11208" t="s">
        <v>187</v>
      </c>
      <c r="F11208">
        <v>2012</v>
      </c>
      <c r="G11208">
        <v>107.29261</v>
      </c>
    </row>
    <row r="11209" spans="1:7">
      <c r="A11209" t="s">
        <v>1297</v>
      </c>
      <c r="B11209" t="s">
        <v>1298</v>
      </c>
      <c r="C11209" t="s">
        <v>652</v>
      </c>
      <c r="D11209" t="s">
        <v>1419</v>
      </c>
      <c r="E11209" t="s">
        <v>187</v>
      </c>
      <c r="F11209">
        <v>2012</v>
      </c>
      <c r="G11209">
        <v>109.6236</v>
      </c>
    </row>
    <row r="11210" spans="1:7">
      <c r="A11210" t="s">
        <v>1297</v>
      </c>
      <c r="B11210" t="s">
        <v>1298</v>
      </c>
      <c r="C11210" t="s">
        <v>652</v>
      </c>
      <c r="D11210" t="s">
        <v>1419</v>
      </c>
      <c r="E11210" t="s">
        <v>187</v>
      </c>
      <c r="F11210">
        <v>2016</v>
      </c>
      <c r="G11210">
        <v>105.1534</v>
      </c>
    </row>
    <row r="11211" spans="1:7">
      <c r="A11211" t="s">
        <v>1297</v>
      </c>
      <c r="B11211" t="s">
        <v>1298</v>
      </c>
      <c r="C11211" t="s">
        <v>652</v>
      </c>
      <c r="D11211" t="s">
        <v>1419</v>
      </c>
      <c r="E11211" t="s">
        <v>187</v>
      </c>
      <c r="F11211">
        <v>2020</v>
      </c>
      <c r="G11211">
        <v>95.864999999999995</v>
      </c>
    </row>
    <row r="11212" spans="1:7">
      <c r="A11212" t="s">
        <v>1297</v>
      </c>
      <c r="B11212" t="s">
        <v>1298</v>
      </c>
      <c r="C11212" t="s">
        <v>666</v>
      </c>
      <c r="D11212" t="s">
        <v>1419</v>
      </c>
      <c r="E11212" t="s">
        <v>187</v>
      </c>
      <c r="F11212">
        <v>2005</v>
      </c>
      <c r="G11212">
        <v>2.6445400000000001</v>
      </c>
    </row>
    <row r="11213" spans="1:7">
      <c r="A11213" t="s">
        <v>1297</v>
      </c>
      <c r="B11213" t="s">
        <v>1298</v>
      </c>
      <c r="C11213" t="s">
        <v>666</v>
      </c>
      <c r="D11213" t="s">
        <v>1419</v>
      </c>
      <c r="E11213" t="s">
        <v>187</v>
      </c>
      <c r="F11213">
        <v>2010</v>
      </c>
      <c r="G11213">
        <v>1.97261</v>
      </c>
    </row>
    <row r="11214" spans="1:7">
      <c r="A11214" t="s">
        <v>1297</v>
      </c>
      <c r="B11214" t="s">
        <v>1298</v>
      </c>
      <c r="C11214" t="s">
        <v>666</v>
      </c>
      <c r="D11214" t="s">
        <v>1419</v>
      </c>
      <c r="E11214" t="s">
        <v>187</v>
      </c>
      <c r="F11214">
        <v>2012</v>
      </c>
      <c r="G11214">
        <v>2.4664799999999998</v>
      </c>
    </row>
    <row r="11215" spans="1:7">
      <c r="A11215" t="s">
        <v>1297</v>
      </c>
      <c r="B11215" t="s">
        <v>1298</v>
      </c>
      <c r="C11215" t="s">
        <v>666</v>
      </c>
      <c r="D11215" t="s">
        <v>1419</v>
      </c>
      <c r="E11215" t="s">
        <v>187</v>
      </c>
      <c r="F11215">
        <v>2016</v>
      </c>
      <c r="G11215">
        <v>2.0182899999999999</v>
      </c>
    </row>
    <row r="11216" spans="1:7">
      <c r="A11216" t="s">
        <v>1297</v>
      </c>
      <c r="B11216" t="s">
        <v>1298</v>
      </c>
      <c r="C11216" t="s">
        <v>666</v>
      </c>
      <c r="D11216" t="s">
        <v>1419</v>
      </c>
      <c r="E11216" t="s">
        <v>187</v>
      </c>
      <c r="F11216">
        <v>2020</v>
      </c>
      <c r="G11216">
        <v>2.4881630000000001</v>
      </c>
    </row>
    <row r="11217" spans="1:7">
      <c r="A11217" t="s">
        <v>1297</v>
      </c>
      <c r="B11217" t="s">
        <v>1298</v>
      </c>
      <c r="C11217" t="s">
        <v>660</v>
      </c>
      <c r="D11217" t="s">
        <v>1419</v>
      </c>
      <c r="E11217" t="s">
        <v>187</v>
      </c>
      <c r="F11217">
        <v>2005</v>
      </c>
      <c r="G11217">
        <v>29.1998</v>
      </c>
    </row>
    <row r="11218" spans="1:7">
      <c r="A11218" t="s">
        <v>1297</v>
      </c>
      <c r="B11218" t="s">
        <v>1298</v>
      </c>
      <c r="C11218" t="s">
        <v>660</v>
      </c>
      <c r="D11218" t="s">
        <v>1419</v>
      </c>
      <c r="E11218" t="s">
        <v>187</v>
      </c>
      <c r="F11218">
        <v>2010</v>
      </c>
      <c r="G11218">
        <v>25.464393999999999</v>
      </c>
    </row>
    <row r="11219" spans="1:7">
      <c r="A11219" t="s">
        <v>1297</v>
      </c>
      <c r="B11219" t="s">
        <v>1298</v>
      </c>
      <c r="C11219" t="s">
        <v>660</v>
      </c>
      <c r="D11219" t="s">
        <v>1419</v>
      </c>
      <c r="E11219" t="s">
        <v>187</v>
      </c>
      <c r="F11219">
        <v>2012</v>
      </c>
      <c r="G11219">
        <v>20.670915999999998</v>
      </c>
    </row>
    <row r="11220" spans="1:7">
      <c r="A11220" t="s">
        <v>1297</v>
      </c>
      <c r="B11220" t="s">
        <v>1298</v>
      </c>
      <c r="C11220" t="s">
        <v>660</v>
      </c>
      <c r="D11220" t="s">
        <v>1419</v>
      </c>
      <c r="E11220" t="s">
        <v>187</v>
      </c>
      <c r="F11220">
        <v>2016</v>
      </c>
      <c r="G11220">
        <v>16.174465999999999</v>
      </c>
    </row>
    <row r="11221" spans="1:7">
      <c r="A11221" t="s">
        <v>1297</v>
      </c>
      <c r="B11221" t="s">
        <v>1298</v>
      </c>
      <c r="C11221" t="s">
        <v>660</v>
      </c>
      <c r="D11221" t="s">
        <v>1419</v>
      </c>
      <c r="E11221" t="s">
        <v>187</v>
      </c>
      <c r="F11221">
        <v>2020</v>
      </c>
      <c r="G11221">
        <v>12.534433999999999</v>
      </c>
    </row>
    <row r="11222" spans="1:7">
      <c r="A11222" t="s">
        <v>1297</v>
      </c>
      <c r="B11222" t="s">
        <v>1298</v>
      </c>
      <c r="C11222" t="s">
        <v>674</v>
      </c>
      <c r="D11222" t="s">
        <v>1419</v>
      </c>
      <c r="E11222" t="s">
        <v>187</v>
      </c>
      <c r="F11222">
        <v>2005</v>
      </c>
      <c r="G11222">
        <v>31.404499000000001</v>
      </c>
    </row>
    <row r="11223" spans="1:7">
      <c r="A11223" t="s">
        <v>1297</v>
      </c>
      <c r="B11223" t="s">
        <v>1298</v>
      </c>
      <c r="C11223" t="s">
        <v>674</v>
      </c>
      <c r="D11223" t="s">
        <v>1419</v>
      </c>
      <c r="E11223" t="s">
        <v>187</v>
      </c>
      <c r="F11223">
        <v>2010</v>
      </c>
      <c r="G11223">
        <v>12.981170000000001</v>
      </c>
    </row>
    <row r="11224" spans="1:7">
      <c r="A11224" t="s">
        <v>1297</v>
      </c>
      <c r="B11224" t="s">
        <v>1298</v>
      </c>
      <c r="C11224" t="s">
        <v>674</v>
      </c>
      <c r="D11224" t="s">
        <v>1419</v>
      </c>
      <c r="E11224" t="s">
        <v>187</v>
      </c>
      <c r="F11224">
        <v>2012</v>
      </c>
      <c r="G11224">
        <v>10.845148999999999</v>
      </c>
    </row>
    <row r="11225" spans="1:7">
      <c r="A11225" t="s">
        <v>1297</v>
      </c>
      <c r="B11225" t="s">
        <v>1298</v>
      </c>
      <c r="C11225" t="s">
        <v>674</v>
      </c>
      <c r="D11225" t="s">
        <v>1419</v>
      </c>
      <c r="E11225" t="s">
        <v>187</v>
      </c>
      <c r="F11225">
        <v>2016</v>
      </c>
      <c r="G11225">
        <v>8.8153469999999992</v>
      </c>
    </row>
    <row r="11226" spans="1:7">
      <c r="A11226" t="s">
        <v>1297</v>
      </c>
      <c r="B11226" t="s">
        <v>1298</v>
      </c>
      <c r="C11226" t="s">
        <v>674</v>
      </c>
      <c r="D11226" t="s">
        <v>1419</v>
      </c>
      <c r="E11226" t="s">
        <v>187</v>
      </c>
      <c r="F11226">
        <v>2020</v>
      </c>
      <c r="G11226">
        <v>7.985252</v>
      </c>
    </row>
    <row r="11227" spans="1:7">
      <c r="A11227" t="s">
        <v>1297</v>
      </c>
      <c r="B11227" t="s">
        <v>1298</v>
      </c>
      <c r="C11227" t="s">
        <v>673</v>
      </c>
      <c r="D11227" t="s">
        <v>1419</v>
      </c>
      <c r="E11227" t="s">
        <v>187</v>
      </c>
      <c r="F11227">
        <v>2005</v>
      </c>
      <c r="G11227">
        <v>28.443480999999998</v>
      </c>
    </row>
    <row r="11228" spans="1:7">
      <c r="A11228" t="s">
        <v>1297</v>
      </c>
      <c r="B11228" t="s">
        <v>1298</v>
      </c>
      <c r="C11228" t="s">
        <v>673</v>
      </c>
      <c r="D11228" t="s">
        <v>1419</v>
      </c>
      <c r="E11228" t="s">
        <v>187</v>
      </c>
      <c r="F11228">
        <v>2010</v>
      </c>
      <c r="G11228">
        <v>9.8896580000000007</v>
      </c>
    </row>
    <row r="11229" spans="1:7">
      <c r="A11229" t="s">
        <v>1297</v>
      </c>
      <c r="B11229" t="s">
        <v>1298</v>
      </c>
      <c r="C11229" t="s">
        <v>673</v>
      </c>
      <c r="D11229" t="s">
        <v>1419</v>
      </c>
      <c r="E11229" t="s">
        <v>187</v>
      </c>
      <c r="F11229">
        <v>2012</v>
      </c>
      <c r="G11229">
        <v>8.3419950000000007</v>
      </c>
    </row>
    <row r="11230" spans="1:7">
      <c r="A11230" t="s">
        <v>1297</v>
      </c>
      <c r="B11230" t="s">
        <v>1298</v>
      </c>
      <c r="C11230" t="s">
        <v>673</v>
      </c>
      <c r="D11230" t="s">
        <v>1419</v>
      </c>
      <c r="E11230" t="s">
        <v>187</v>
      </c>
      <c r="F11230">
        <v>2016</v>
      </c>
      <c r="G11230">
        <v>10.508485</v>
      </c>
    </row>
    <row r="11231" spans="1:7">
      <c r="A11231" t="s">
        <v>1297</v>
      </c>
      <c r="B11231" t="s">
        <v>1298</v>
      </c>
      <c r="C11231" t="s">
        <v>673</v>
      </c>
      <c r="D11231" t="s">
        <v>1419</v>
      </c>
      <c r="E11231" t="s">
        <v>187</v>
      </c>
      <c r="F11231">
        <v>2020</v>
      </c>
      <c r="G11231">
        <v>13.200271000000001</v>
      </c>
    </row>
    <row r="11232" spans="1:7">
      <c r="A11232" t="s">
        <v>1297</v>
      </c>
      <c r="B11232" t="s">
        <v>1298</v>
      </c>
      <c r="C11232" t="s">
        <v>1300</v>
      </c>
      <c r="D11232" t="s">
        <v>1419</v>
      </c>
      <c r="E11232" t="s">
        <v>187</v>
      </c>
      <c r="F11232">
        <v>2010</v>
      </c>
      <c r="G11232">
        <v>1.8831199999999999</v>
      </c>
    </row>
    <row r="11233" spans="1:7">
      <c r="A11233" t="s">
        <v>1297</v>
      </c>
      <c r="B11233" t="s">
        <v>1298</v>
      </c>
      <c r="C11233" t="s">
        <v>1300</v>
      </c>
      <c r="D11233" t="s">
        <v>1419</v>
      </c>
      <c r="E11233" t="s">
        <v>187</v>
      </c>
      <c r="F11233">
        <v>2012</v>
      </c>
      <c r="G11233">
        <v>2.5798079999999999</v>
      </c>
    </row>
    <row r="11234" spans="1:7">
      <c r="A11234" t="s">
        <v>1297</v>
      </c>
      <c r="B11234" t="s">
        <v>1298</v>
      </c>
      <c r="C11234" t="s">
        <v>1300</v>
      </c>
      <c r="D11234" t="s">
        <v>1419</v>
      </c>
      <c r="E11234" t="s">
        <v>187</v>
      </c>
      <c r="F11234">
        <v>2016</v>
      </c>
      <c r="G11234">
        <v>2.9020320000000002</v>
      </c>
    </row>
    <row r="11235" spans="1:7">
      <c r="A11235" t="s">
        <v>1297</v>
      </c>
      <c r="B11235" t="s">
        <v>1298</v>
      </c>
      <c r="C11235" t="s">
        <v>1300</v>
      </c>
      <c r="D11235" t="s">
        <v>1419</v>
      </c>
      <c r="E11235" t="s">
        <v>187</v>
      </c>
      <c r="F11235">
        <v>2020</v>
      </c>
      <c r="G11235">
        <v>2.4091469999999999</v>
      </c>
    </row>
    <row r="11236" spans="1:7">
      <c r="A11236" t="s">
        <v>1297</v>
      </c>
      <c r="B11236" t="s">
        <v>1298</v>
      </c>
      <c r="C11236" t="s">
        <v>676</v>
      </c>
      <c r="D11236" t="s">
        <v>1419</v>
      </c>
      <c r="E11236" t="s">
        <v>187</v>
      </c>
      <c r="F11236">
        <v>2005</v>
      </c>
      <c r="G11236">
        <v>0.32200000000000001</v>
      </c>
    </row>
    <row r="11237" spans="1:7">
      <c r="A11237" t="s">
        <v>1297</v>
      </c>
      <c r="B11237" t="s">
        <v>1298</v>
      </c>
      <c r="C11237" t="s">
        <v>676</v>
      </c>
      <c r="D11237" t="s">
        <v>1419</v>
      </c>
      <c r="E11237" t="s">
        <v>187</v>
      </c>
      <c r="F11237">
        <v>2010</v>
      </c>
      <c r="G11237">
        <v>0.55200000000000005</v>
      </c>
    </row>
    <row r="11238" spans="1:7">
      <c r="A11238" t="s">
        <v>1297</v>
      </c>
      <c r="B11238" t="s">
        <v>1298</v>
      </c>
      <c r="C11238" t="s">
        <v>676</v>
      </c>
      <c r="D11238" t="s">
        <v>1419</v>
      </c>
      <c r="E11238" t="s">
        <v>187</v>
      </c>
      <c r="F11238">
        <v>2012</v>
      </c>
      <c r="G11238">
        <v>0.46</v>
      </c>
    </row>
    <row r="11239" spans="1:7">
      <c r="A11239" t="s">
        <v>1297</v>
      </c>
      <c r="B11239" t="s">
        <v>1298</v>
      </c>
      <c r="C11239" t="s">
        <v>676</v>
      </c>
      <c r="D11239" t="s">
        <v>1419</v>
      </c>
      <c r="E11239" t="s">
        <v>187</v>
      </c>
      <c r="F11239">
        <v>2016</v>
      </c>
      <c r="G11239">
        <v>0.36799999999999999</v>
      </c>
    </row>
    <row r="11240" spans="1:7">
      <c r="A11240" t="s">
        <v>1297</v>
      </c>
      <c r="B11240" t="s">
        <v>1298</v>
      </c>
      <c r="C11240" t="s">
        <v>676</v>
      </c>
      <c r="D11240" t="s">
        <v>1419</v>
      </c>
      <c r="E11240" t="s">
        <v>187</v>
      </c>
      <c r="F11240">
        <v>2020</v>
      </c>
      <c r="G11240">
        <v>0.27600000000000002</v>
      </c>
    </row>
    <row r="11241" spans="1:7">
      <c r="A11241" t="s">
        <v>1297</v>
      </c>
      <c r="B11241" t="s">
        <v>1298</v>
      </c>
      <c r="C11241" t="s">
        <v>1303</v>
      </c>
      <c r="D11241" t="s">
        <v>1419</v>
      </c>
      <c r="E11241" t="s">
        <v>187</v>
      </c>
      <c r="F11241">
        <v>2016</v>
      </c>
      <c r="G11241">
        <v>0.73599999999999999</v>
      </c>
    </row>
    <row r="11242" spans="1:7">
      <c r="A11242" t="s">
        <v>1297</v>
      </c>
      <c r="B11242" t="s">
        <v>1298</v>
      </c>
      <c r="C11242" t="s">
        <v>1303</v>
      </c>
      <c r="D11242" t="s">
        <v>1419</v>
      </c>
      <c r="E11242" t="s">
        <v>187</v>
      </c>
      <c r="F11242">
        <v>2020</v>
      </c>
      <c r="G11242">
        <v>0.44159999999999999</v>
      </c>
    </row>
    <row r="11243" spans="1:7">
      <c r="A11243" t="s">
        <v>1297</v>
      </c>
      <c r="B11243" t="s">
        <v>1298</v>
      </c>
      <c r="C11243" t="s">
        <v>655</v>
      </c>
      <c r="D11243" t="s">
        <v>1419</v>
      </c>
      <c r="E11243" t="s">
        <v>187</v>
      </c>
      <c r="F11243">
        <v>2005</v>
      </c>
      <c r="G11243">
        <v>1.3301099999999999</v>
      </c>
    </row>
    <row r="11244" spans="1:7">
      <c r="A11244" t="s">
        <v>1297</v>
      </c>
      <c r="B11244" t="s">
        <v>1298</v>
      </c>
      <c r="C11244" t="s">
        <v>655</v>
      </c>
      <c r="D11244" t="s">
        <v>1419</v>
      </c>
      <c r="E11244" t="s">
        <v>187</v>
      </c>
      <c r="F11244">
        <v>2010</v>
      </c>
      <c r="G11244">
        <v>1.007906</v>
      </c>
    </row>
    <row r="11245" spans="1:7">
      <c r="A11245" t="s">
        <v>1297</v>
      </c>
      <c r="B11245" t="s">
        <v>1298</v>
      </c>
      <c r="C11245" t="s">
        <v>655</v>
      </c>
      <c r="D11245" t="s">
        <v>1419</v>
      </c>
      <c r="E11245" t="s">
        <v>187</v>
      </c>
      <c r="F11245">
        <v>2012</v>
      </c>
      <c r="G11245">
        <v>1.8395999999999999</v>
      </c>
    </row>
    <row r="11246" spans="1:7">
      <c r="A11246" t="s">
        <v>1297</v>
      </c>
      <c r="B11246" t="s">
        <v>1298</v>
      </c>
      <c r="C11246" t="s">
        <v>655</v>
      </c>
      <c r="D11246" t="s">
        <v>1419</v>
      </c>
      <c r="E11246" t="s">
        <v>187</v>
      </c>
      <c r="F11246">
        <v>2016</v>
      </c>
      <c r="G11246">
        <v>1.8834</v>
      </c>
    </row>
    <row r="11247" spans="1:7">
      <c r="A11247" t="s">
        <v>1297</v>
      </c>
      <c r="B11247" t="s">
        <v>1298</v>
      </c>
      <c r="C11247" t="s">
        <v>655</v>
      </c>
      <c r="D11247" t="s">
        <v>1419</v>
      </c>
      <c r="E11247" t="s">
        <v>187</v>
      </c>
      <c r="F11247">
        <v>2020</v>
      </c>
      <c r="G11247">
        <v>1.8834</v>
      </c>
    </row>
    <row r="11248" spans="1:7">
      <c r="A11248" t="s">
        <v>1297</v>
      </c>
      <c r="B11248" t="s">
        <v>1298</v>
      </c>
      <c r="C11248" t="s">
        <v>682</v>
      </c>
      <c r="D11248" t="s">
        <v>1419</v>
      </c>
      <c r="E11248" t="s">
        <v>187</v>
      </c>
      <c r="F11248">
        <v>2016</v>
      </c>
      <c r="G11248">
        <v>3.53566</v>
      </c>
    </row>
    <row r="11249" spans="1:7">
      <c r="A11249" t="s">
        <v>1297</v>
      </c>
      <c r="B11249" t="s">
        <v>1298</v>
      </c>
      <c r="C11249" t="s">
        <v>682</v>
      </c>
      <c r="D11249" t="s">
        <v>1419</v>
      </c>
      <c r="E11249" t="s">
        <v>187</v>
      </c>
      <c r="F11249">
        <v>2020</v>
      </c>
      <c r="G11249">
        <v>0.58284400000000003</v>
      </c>
    </row>
    <row r="11250" spans="1:7">
      <c r="A11250" t="s">
        <v>1297</v>
      </c>
      <c r="B11250" t="s">
        <v>1298</v>
      </c>
      <c r="C11250" t="s">
        <v>1299</v>
      </c>
      <c r="D11250" t="s">
        <v>1419</v>
      </c>
      <c r="E11250" t="s">
        <v>187</v>
      </c>
      <c r="F11250">
        <v>2005</v>
      </c>
      <c r="G11250">
        <v>22.33</v>
      </c>
    </row>
    <row r="11251" spans="1:7">
      <c r="A11251" t="s">
        <v>1297</v>
      </c>
      <c r="B11251" t="s">
        <v>1298</v>
      </c>
      <c r="C11251" t="s">
        <v>1299</v>
      </c>
      <c r="D11251" t="s">
        <v>1419</v>
      </c>
      <c r="E11251" t="s">
        <v>187</v>
      </c>
      <c r="F11251">
        <v>2010</v>
      </c>
      <c r="G11251">
        <v>3.4260000000000002</v>
      </c>
    </row>
    <row r="11252" spans="1:7">
      <c r="A11252" t="s">
        <v>1297</v>
      </c>
      <c r="B11252" t="s">
        <v>1298</v>
      </c>
      <c r="C11252" t="s">
        <v>1299</v>
      </c>
      <c r="D11252" t="s">
        <v>1419</v>
      </c>
      <c r="E11252" t="s">
        <v>187</v>
      </c>
      <c r="F11252">
        <v>2012</v>
      </c>
      <c r="G11252">
        <v>2.3919999999999999</v>
      </c>
    </row>
    <row r="11253" spans="1:7">
      <c r="A11253" t="s">
        <v>1297</v>
      </c>
      <c r="B11253" t="s">
        <v>1298</v>
      </c>
      <c r="C11253" t="s">
        <v>1299</v>
      </c>
      <c r="D11253" t="s">
        <v>1419</v>
      </c>
      <c r="E11253" t="s">
        <v>187</v>
      </c>
      <c r="F11253">
        <v>2016</v>
      </c>
      <c r="G11253">
        <v>4.83</v>
      </c>
    </row>
    <row r="11254" spans="1:7">
      <c r="A11254" t="s">
        <v>1297</v>
      </c>
      <c r="B11254" t="s">
        <v>1298</v>
      </c>
      <c r="C11254" t="s">
        <v>1299</v>
      </c>
      <c r="D11254" t="s">
        <v>1419</v>
      </c>
      <c r="E11254" t="s">
        <v>187</v>
      </c>
      <c r="F11254">
        <v>2020</v>
      </c>
      <c r="G11254">
        <v>1.1499999999999999</v>
      </c>
    </row>
    <row r="11255" spans="1:7">
      <c r="A11255" t="s">
        <v>1297</v>
      </c>
      <c r="B11255" t="s">
        <v>1298</v>
      </c>
      <c r="C11255" t="s">
        <v>675</v>
      </c>
      <c r="D11255" t="s">
        <v>1419</v>
      </c>
      <c r="E11255" t="s">
        <v>187</v>
      </c>
      <c r="F11255">
        <v>2005</v>
      </c>
      <c r="G11255">
        <v>16.9635</v>
      </c>
    </row>
    <row r="11256" spans="1:7">
      <c r="A11256" t="s">
        <v>1297</v>
      </c>
      <c r="B11256" t="s">
        <v>1298</v>
      </c>
      <c r="C11256" t="s">
        <v>675</v>
      </c>
      <c r="D11256" t="s">
        <v>1419</v>
      </c>
      <c r="E11256" t="s">
        <v>187</v>
      </c>
      <c r="F11256">
        <v>2010</v>
      </c>
      <c r="G11256">
        <v>12.89385</v>
      </c>
    </row>
    <row r="11257" spans="1:7">
      <c r="A11257" t="s">
        <v>1297</v>
      </c>
      <c r="B11257" t="s">
        <v>1298</v>
      </c>
      <c r="C11257" t="s">
        <v>675</v>
      </c>
      <c r="D11257" t="s">
        <v>1419</v>
      </c>
      <c r="E11257" t="s">
        <v>187</v>
      </c>
      <c r="F11257">
        <v>2012</v>
      </c>
      <c r="G11257">
        <v>9.2268000000000008</v>
      </c>
    </row>
    <row r="11258" spans="1:7">
      <c r="A11258" t="s">
        <v>1297</v>
      </c>
      <c r="B11258" t="s">
        <v>1298</v>
      </c>
      <c r="C11258" t="s">
        <v>675</v>
      </c>
      <c r="D11258" t="s">
        <v>1419</v>
      </c>
      <c r="E11258" t="s">
        <v>187</v>
      </c>
      <c r="F11258">
        <v>2016</v>
      </c>
      <c r="G11258">
        <v>6.0213400000000004</v>
      </c>
    </row>
    <row r="11259" spans="1:7">
      <c r="A11259" t="s">
        <v>1297</v>
      </c>
      <c r="B11259" t="s">
        <v>1298</v>
      </c>
      <c r="C11259" t="s">
        <v>675</v>
      </c>
      <c r="D11259" t="s">
        <v>1419</v>
      </c>
      <c r="E11259" t="s">
        <v>187</v>
      </c>
      <c r="F11259">
        <v>2020</v>
      </c>
      <c r="G11259">
        <v>5.2375340000000001</v>
      </c>
    </row>
    <row r="11260" spans="1:7">
      <c r="A11260" t="s">
        <v>1297</v>
      </c>
      <c r="B11260" t="s">
        <v>1298</v>
      </c>
      <c r="C11260" t="s">
        <v>651</v>
      </c>
      <c r="D11260" t="s">
        <v>1419</v>
      </c>
      <c r="E11260" t="s">
        <v>187</v>
      </c>
      <c r="F11260">
        <v>2005</v>
      </c>
      <c r="G11260">
        <v>63.852818999999997</v>
      </c>
    </row>
    <row r="11261" spans="1:7">
      <c r="A11261" t="s">
        <v>1297</v>
      </c>
      <c r="B11261" t="s">
        <v>1298</v>
      </c>
      <c r="C11261" t="s">
        <v>651</v>
      </c>
      <c r="D11261" t="s">
        <v>1419</v>
      </c>
      <c r="E11261" t="s">
        <v>187</v>
      </c>
      <c r="F11261">
        <v>2010</v>
      </c>
      <c r="G11261">
        <v>55.880588000000003</v>
      </c>
    </row>
    <row r="11262" spans="1:7">
      <c r="A11262" t="s">
        <v>1297</v>
      </c>
      <c r="B11262" t="s">
        <v>1298</v>
      </c>
      <c r="C11262" t="s">
        <v>651</v>
      </c>
      <c r="D11262" t="s">
        <v>1419</v>
      </c>
      <c r="E11262" t="s">
        <v>187</v>
      </c>
      <c r="F11262">
        <v>2012</v>
      </c>
      <c r="G11262">
        <v>43.779663999999997</v>
      </c>
    </row>
    <row r="11263" spans="1:7">
      <c r="A11263" t="s">
        <v>1297</v>
      </c>
      <c r="B11263" t="s">
        <v>1298</v>
      </c>
      <c r="C11263" t="s">
        <v>651</v>
      </c>
      <c r="D11263" t="s">
        <v>1419</v>
      </c>
      <c r="E11263" t="s">
        <v>187</v>
      </c>
      <c r="F11263">
        <v>2016</v>
      </c>
      <c r="G11263">
        <v>42.501007000000001</v>
      </c>
    </row>
    <row r="11264" spans="1:7">
      <c r="A11264" t="s">
        <v>1297</v>
      </c>
      <c r="B11264" t="s">
        <v>1298</v>
      </c>
      <c r="C11264" t="s">
        <v>651</v>
      </c>
      <c r="D11264" t="s">
        <v>1419</v>
      </c>
      <c r="E11264" t="s">
        <v>187</v>
      </c>
      <c r="F11264">
        <v>2020</v>
      </c>
      <c r="G11264">
        <v>39.235294000000003</v>
      </c>
    </row>
    <row r="11265" spans="1:7">
      <c r="A11265" t="s">
        <v>1297</v>
      </c>
      <c r="B11265" t="s">
        <v>1298</v>
      </c>
      <c r="C11265" t="s">
        <v>661</v>
      </c>
      <c r="D11265" t="s">
        <v>1419</v>
      </c>
      <c r="E11265" t="s">
        <v>187</v>
      </c>
      <c r="F11265">
        <v>2005</v>
      </c>
      <c r="G11265">
        <v>403.81177000000002</v>
      </c>
    </row>
    <row r="11266" spans="1:7">
      <c r="A11266" t="s">
        <v>1297</v>
      </c>
      <c r="B11266" t="s">
        <v>1298</v>
      </c>
      <c r="C11266" t="s">
        <v>661</v>
      </c>
      <c r="D11266" t="s">
        <v>1419</v>
      </c>
      <c r="E11266" t="s">
        <v>187</v>
      </c>
      <c r="F11266">
        <v>2010</v>
      </c>
      <c r="G11266">
        <v>321.07198399999999</v>
      </c>
    </row>
    <row r="11267" spans="1:7">
      <c r="A11267" t="s">
        <v>1297</v>
      </c>
      <c r="B11267" t="s">
        <v>1298</v>
      </c>
      <c r="C11267" t="s">
        <v>661</v>
      </c>
      <c r="D11267" t="s">
        <v>1419</v>
      </c>
      <c r="E11267" t="s">
        <v>187</v>
      </c>
      <c r="F11267">
        <v>2012</v>
      </c>
      <c r="G11267">
        <v>277.14444700000001</v>
      </c>
    </row>
    <row r="11268" spans="1:7">
      <c r="A11268" t="s">
        <v>1297</v>
      </c>
      <c r="B11268" t="s">
        <v>1298</v>
      </c>
      <c r="C11268" t="s">
        <v>661</v>
      </c>
      <c r="D11268" t="s">
        <v>1419</v>
      </c>
      <c r="E11268" t="s">
        <v>187</v>
      </c>
      <c r="F11268">
        <v>2016</v>
      </c>
      <c r="G11268">
        <v>217.50269599999999</v>
      </c>
    </row>
    <row r="11269" spans="1:7">
      <c r="A11269" t="s">
        <v>1297</v>
      </c>
      <c r="B11269" t="s">
        <v>1298</v>
      </c>
      <c r="C11269" t="s">
        <v>661</v>
      </c>
      <c r="D11269" t="s">
        <v>1419</v>
      </c>
      <c r="E11269" t="s">
        <v>187</v>
      </c>
      <c r="F11269">
        <v>2020</v>
      </c>
      <c r="G11269">
        <v>181.925049</v>
      </c>
    </row>
    <row r="11270" spans="1:7">
      <c r="A11270" t="s">
        <v>1297</v>
      </c>
      <c r="B11270" t="s">
        <v>1298</v>
      </c>
      <c r="C11270" t="s">
        <v>679</v>
      </c>
      <c r="D11270" t="s">
        <v>1419</v>
      </c>
      <c r="E11270" t="s">
        <v>187</v>
      </c>
      <c r="F11270">
        <v>2005</v>
      </c>
      <c r="G11270">
        <v>9.7062000000000008</v>
      </c>
    </row>
    <row r="11271" spans="1:7">
      <c r="A11271" t="s">
        <v>1297</v>
      </c>
      <c r="B11271" t="s">
        <v>1298</v>
      </c>
      <c r="C11271" t="s">
        <v>679</v>
      </c>
      <c r="D11271" t="s">
        <v>1419</v>
      </c>
      <c r="E11271" t="s">
        <v>187</v>
      </c>
      <c r="F11271">
        <v>2010</v>
      </c>
      <c r="G11271">
        <v>8.2378</v>
      </c>
    </row>
    <row r="11272" spans="1:7">
      <c r="A11272" t="s">
        <v>1297</v>
      </c>
      <c r="B11272" t="s">
        <v>1298</v>
      </c>
      <c r="C11272" t="s">
        <v>679</v>
      </c>
      <c r="D11272" t="s">
        <v>1419</v>
      </c>
      <c r="E11272" t="s">
        <v>187</v>
      </c>
      <c r="F11272">
        <v>2012</v>
      </c>
      <c r="G11272">
        <v>4.9191000000000003</v>
      </c>
    </row>
    <row r="11273" spans="1:7">
      <c r="A11273" t="s">
        <v>1297</v>
      </c>
      <c r="B11273" t="s">
        <v>1298</v>
      </c>
      <c r="C11273" t="s">
        <v>679</v>
      </c>
      <c r="D11273" t="s">
        <v>1419</v>
      </c>
      <c r="E11273" t="s">
        <v>187</v>
      </c>
      <c r="F11273">
        <v>2016</v>
      </c>
      <c r="G11273">
        <v>4.0113000000000003</v>
      </c>
    </row>
    <row r="11274" spans="1:7">
      <c r="A11274" t="s">
        <v>1297</v>
      </c>
      <c r="B11274" t="s">
        <v>1298</v>
      </c>
      <c r="C11274" t="s">
        <v>679</v>
      </c>
      <c r="D11274" t="s">
        <v>1419</v>
      </c>
      <c r="E11274" t="s">
        <v>187</v>
      </c>
      <c r="F11274">
        <v>2020</v>
      </c>
      <c r="G11274">
        <v>0.60318499999999997</v>
      </c>
    </row>
    <row r="11275" spans="1:7">
      <c r="A11275" t="s">
        <v>1297</v>
      </c>
      <c r="B11275" t="s">
        <v>1298</v>
      </c>
      <c r="C11275" t="s">
        <v>665</v>
      </c>
      <c r="D11275" t="s">
        <v>1419</v>
      </c>
      <c r="E11275" t="s">
        <v>187</v>
      </c>
      <c r="F11275">
        <v>2005</v>
      </c>
      <c r="G11275">
        <v>222.89179999999999</v>
      </c>
    </row>
    <row r="11276" spans="1:7">
      <c r="A11276" t="s">
        <v>1297</v>
      </c>
      <c r="B11276" t="s">
        <v>1298</v>
      </c>
      <c r="C11276" t="s">
        <v>665</v>
      </c>
      <c r="D11276" t="s">
        <v>1419</v>
      </c>
      <c r="E11276" t="s">
        <v>187</v>
      </c>
      <c r="F11276">
        <v>2010</v>
      </c>
      <c r="G11276">
        <v>139.22739999999999</v>
      </c>
    </row>
    <row r="11277" spans="1:7">
      <c r="A11277" t="s">
        <v>1297</v>
      </c>
      <c r="B11277" t="s">
        <v>1298</v>
      </c>
      <c r="C11277" t="s">
        <v>665</v>
      </c>
      <c r="D11277" t="s">
        <v>1419</v>
      </c>
      <c r="E11277" t="s">
        <v>187</v>
      </c>
      <c r="F11277">
        <v>2012</v>
      </c>
      <c r="G11277">
        <v>117.6066</v>
      </c>
    </row>
    <row r="11278" spans="1:7">
      <c r="A11278" t="s">
        <v>1297</v>
      </c>
      <c r="B11278" t="s">
        <v>1298</v>
      </c>
      <c r="C11278" t="s">
        <v>665</v>
      </c>
      <c r="D11278" t="s">
        <v>1419</v>
      </c>
      <c r="E11278" t="s">
        <v>187</v>
      </c>
      <c r="F11278">
        <v>2016</v>
      </c>
      <c r="G11278">
        <v>95.858800000000002</v>
      </c>
    </row>
    <row r="11279" spans="1:7">
      <c r="A11279" t="s">
        <v>1297</v>
      </c>
      <c r="B11279" t="s">
        <v>1298</v>
      </c>
      <c r="C11279" t="s">
        <v>656</v>
      </c>
      <c r="D11279" t="s">
        <v>1420</v>
      </c>
      <c r="E11279" t="s">
        <v>187</v>
      </c>
      <c r="F11279">
        <v>2005</v>
      </c>
      <c r="G11279">
        <v>0.54363399999999995</v>
      </c>
    </row>
    <row r="11280" spans="1:7">
      <c r="A11280" t="s">
        <v>1297</v>
      </c>
      <c r="B11280" t="s">
        <v>1298</v>
      </c>
      <c r="C11280" t="s">
        <v>656</v>
      </c>
      <c r="D11280" t="s">
        <v>1420</v>
      </c>
      <c r="E11280" t="s">
        <v>187</v>
      </c>
      <c r="F11280">
        <v>2010</v>
      </c>
      <c r="G11280">
        <v>0.45999800000000002</v>
      </c>
    </row>
    <row r="11281" spans="1:7">
      <c r="A11281" t="s">
        <v>1297</v>
      </c>
      <c r="B11281" t="s">
        <v>1298</v>
      </c>
      <c r="C11281" t="s">
        <v>656</v>
      </c>
      <c r="D11281" t="s">
        <v>1420</v>
      </c>
      <c r="E11281" t="s">
        <v>187</v>
      </c>
      <c r="F11281">
        <v>2012</v>
      </c>
      <c r="G11281">
        <v>0.45999800000000002</v>
      </c>
    </row>
    <row r="11282" spans="1:7">
      <c r="A11282" t="s">
        <v>1297</v>
      </c>
      <c r="B11282" t="s">
        <v>1298</v>
      </c>
      <c r="C11282" t="s">
        <v>656</v>
      </c>
      <c r="D11282" t="s">
        <v>1420</v>
      </c>
      <c r="E11282" t="s">
        <v>187</v>
      </c>
      <c r="F11282">
        <v>2016</v>
      </c>
      <c r="G11282">
        <v>0.41818</v>
      </c>
    </row>
    <row r="11283" spans="1:7">
      <c r="A11283" t="s">
        <v>1297</v>
      </c>
      <c r="B11283" t="s">
        <v>1298</v>
      </c>
      <c r="C11283" t="s">
        <v>656</v>
      </c>
      <c r="D11283" t="s">
        <v>1420</v>
      </c>
      <c r="E11283" t="s">
        <v>187</v>
      </c>
      <c r="F11283">
        <v>2020</v>
      </c>
      <c r="G11283">
        <v>0.62726999999999999</v>
      </c>
    </row>
    <row r="11284" spans="1:7">
      <c r="A11284" t="s">
        <v>1297</v>
      </c>
      <c r="B11284" t="s">
        <v>1298</v>
      </c>
      <c r="C11284" t="s">
        <v>652</v>
      </c>
      <c r="D11284" t="s">
        <v>1420</v>
      </c>
      <c r="E11284" t="s">
        <v>187</v>
      </c>
      <c r="F11284">
        <v>2012</v>
      </c>
      <c r="G11284">
        <v>0.45600000000000002</v>
      </c>
    </row>
    <row r="11285" spans="1:7">
      <c r="A11285" t="s">
        <v>1297</v>
      </c>
      <c r="B11285" t="s">
        <v>1298</v>
      </c>
      <c r="C11285" t="s">
        <v>652</v>
      </c>
      <c r="D11285" t="s">
        <v>1420</v>
      </c>
      <c r="E11285" t="s">
        <v>187</v>
      </c>
      <c r="F11285">
        <v>2016</v>
      </c>
      <c r="G11285">
        <v>0.378</v>
      </c>
    </row>
    <row r="11286" spans="1:7">
      <c r="A11286" t="s">
        <v>1297</v>
      </c>
      <c r="B11286" t="s">
        <v>1298</v>
      </c>
      <c r="C11286" t="s">
        <v>652</v>
      </c>
      <c r="D11286" t="s">
        <v>1420</v>
      </c>
      <c r="E11286" t="s">
        <v>187</v>
      </c>
      <c r="F11286">
        <v>2020</v>
      </c>
      <c r="G11286">
        <v>0.32340000000000002</v>
      </c>
    </row>
    <row r="11287" spans="1:7">
      <c r="A11287" t="s">
        <v>1297</v>
      </c>
      <c r="B11287" t="s">
        <v>1298</v>
      </c>
      <c r="C11287" t="s">
        <v>681</v>
      </c>
      <c r="D11287" t="s">
        <v>1420</v>
      </c>
      <c r="E11287" t="s">
        <v>187</v>
      </c>
      <c r="F11287">
        <v>2005</v>
      </c>
      <c r="G11287">
        <v>1.433568</v>
      </c>
    </row>
    <row r="11288" spans="1:7">
      <c r="A11288" t="s">
        <v>1297</v>
      </c>
      <c r="B11288" t="s">
        <v>1298</v>
      </c>
      <c r="C11288" t="s">
        <v>685</v>
      </c>
      <c r="D11288" t="s">
        <v>1420</v>
      </c>
      <c r="E11288" t="s">
        <v>187</v>
      </c>
      <c r="F11288">
        <v>2005</v>
      </c>
      <c r="G11288">
        <v>8.0402000000000001E-2</v>
      </c>
    </row>
    <row r="11289" spans="1:7">
      <c r="A11289" t="s">
        <v>1297</v>
      </c>
      <c r="B11289" t="s">
        <v>1298</v>
      </c>
      <c r="C11289" t="s">
        <v>685</v>
      </c>
      <c r="D11289" t="s">
        <v>1420</v>
      </c>
      <c r="E11289" t="s">
        <v>187</v>
      </c>
      <c r="F11289">
        <v>2010</v>
      </c>
      <c r="G11289">
        <v>4.0201000000000001E-2</v>
      </c>
    </row>
    <row r="11290" spans="1:7">
      <c r="A11290" t="s">
        <v>1297</v>
      </c>
      <c r="B11290" t="s">
        <v>1298</v>
      </c>
      <c r="C11290" t="s">
        <v>685</v>
      </c>
      <c r="D11290" t="s">
        <v>1420</v>
      </c>
      <c r="E11290" t="s">
        <v>187</v>
      </c>
      <c r="F11290">
        <v>2012</v>
      </c>
      <c r="G11290">
        <v>0.04</v>
      </c>
    </row>
    <row r="11291" spans="1:7">
      <c r="A11291" t="s">
        <v>1297</v>
      </c>
      <c r="B11291" t="s">
        <v>1298</v>
      </c>
      <c r="C11291" t="s">
        <v>685</v>
      </c>
      <c r="D11291" t="s">
        <v>1420</v>
      </c>
      <c r="E11291" t="s">
        <v>187</v>
      </c>
      <c r="F11291">
        <v>2016</v>
      </c>
      <c r="G11291">
        <v>1.54E-2</v>
      </c>
    </row>
    <row r="11292" spans="1:7">
      <c r="A11292" t="s">
        <v>1297</v>
      </c>
      <c r="B11292" t="s">
        <v>1298</v>
      </c>
      <c r="C11292" t="s">
        <v>685</v>
      </c>
      <c r="D11292" t="s">
        <v>1420</v>
      </c>
      <c r="E11292" t="s">
        <v>187</v>
      </c>
      <c r="F11292">
        <v>2020</v>
      </c>
      <c r="G11292">
        <v>1.392E-2</v>
      </c>
    </row>
    <row r="11293" spans="1:7">
      <c r="A11293" t="s">
        <v>1297</v>
      </c>
      <c r="B11293" t="s">
        <v>1298</v>
      </c>
      <c r="C11293" t="s">
        <v>679</v>
      </c>
      <c r="D11293" t="s">
        <v>1420</v>
      </c>
      <c r="E11293" t="s">
        <v>187</v>
      </c>
      <c r="F11293">
        <v>2016</v>
      </c>
      <c r="G11293">
        <v>1.6377999999999999</v>
      </c>
    </row>
    <row r="11294" spans="1:7">
      <c r="A11294" t="s">
        <v>1297</v>
      </c>
      <c r="B11294" t="s">
        <v>1298</v>
      </c>
      <c r="C11294" t="s">
        <v>679</v>
      </c>
      <c r="D11294" t="s">
        <v>1420</v>
      </c>
      <c r="E11294" t="s">
        <v>187</v>
      </c>
      <c r="F11294">
        <v>2020</v>
      </c>
      <c r="G11294">
        <v>1.8773569999999999</v>
      </c>
    </row>
    <row r="11295" spans="1:7">
      <c r="A11295" t="s">
        <v>1297</v>
      </c>
      <c r="B11295" t="s">
        <v>1298</v>
      </c>
      <c r="C11295" t="s">
        <v>659</v>
      </c>
      <c r="D11295" t="s">
        <v>1420</v>
      </c>
      <c r="E11295" t="s">
        <v>187</v>
      </c>
      <c r="F11295">
        <v>2005</v>
      </c>
      <c r="G11295">
        <v>0.96479999999999999</v>
      </c>
    </row>
    <row r="11296" spans="1:7">
      <c r="A11296" t="s">
        <v>1297</v>
      </c>
      <c r="B11296" t="s">
        <v>1298</v>
      </c>
      <c r="C11296" t="s">
        <v>659</v>
      </c>
      <c r="D11296" t="s">
        <v>1420</v>
      </c>
      <c r="E11296" t="s">
        <v>187</v>
      </c>
      <c r="F11296">
        <v>2010</v>
      </c>
      <c r="G11296">
        <v>1.0049999999999999</v>
      </c>
    </row>
    <row r="11297" spans="1:7">
      <c r="A11297" t="s">
        <v>1297</v>
      </c>
      <c r="B11297" t="s">
        <v>1298</v>
      </c>
      <c r="C11297" t="s">
        <v>659</v>
      </c>
      <c r="D11297" t="s">
        <v>1420</v>
      </c>
      <c r="E11297" t="s">
        <v>187</v>
      </c>
      <c r="F11297">
        <v>2012</v>
      </c>
      <c r="G11297">
        <v>1.0049999999999999</v>
      </c>
    </row>
    <row r="11298" spans="1:7">
      <c r="A11298" t="s">
        <v>1297</v>
      </c>
      <c r="B11298" t="s">
        <v>1298</v>
      </c>
      <c r="C11298" t="s">
        <v>659</v>
      </c>
      <c r="D11298" t="s">
        <v>1420</v>
      </c>
      <c r="E11298" t="s">
        <v>187</v>
      </c>
      <c r="F11298">
        <v>2016</v>
      </c>
      <c r="G11298">
        <v>0.72360000000000002</v>
      </c>
    </row>
    <row r="11299" spans="1:7">
      <c r="A11299" t="s">
        <v>1297</v>
      </c>
      <c r="B11299" t="s">
        <v>1298</v>
      </c>
      <c r="C11299" t="s">
        <v>659</v>
      </c>
      <c r="D11299" t="s">
        <v>1420</v>
      </c>
      <c r="E11299" t="s">
        <v>187</v>
      </c>
      <c r="F11299">
        <v>2020</v>
      </c>
      <c r="G11299">
        <v>0.64319999999999999</v>
      </c>
    </row>
    <row r="11300" spans="1:7">
      <c r="A11300" t="s">
        <v>1297</v>
      </c>
      <c r="B11300" t="s">
        <v>1298</v>
      </c>
      <c r="C11300" t="s">
        <v>1303</v>
      </c>
      <c r="D11300" t="s">
        <v>1420</v>
      </c>
      <c r="E11300" t="s">
        <v>187</v>
      </c>
      <c r="F11300">
        <v>2016</v>
      </c>
      <c r="G11300">
        <v>7.5999999999999998E-2</v>
      </c>
    </row>
    <row r="11301" spans="1:7">
      <c r="A11301" t="s">
        <v>1297</v>
      </c>
      <c r="B11301" t="s">
        <v>1298</v>
      </c>
      <c r="C11301" t="s">
        <v>1303</v>
      </c>
      <c r="D11301" t="s">
        <v>1420</v>
      </c>
      <c r="E11301" t="s">
        <v>187</v>
      </c>
      <c r="F11301">
        <v>2020</v>
      </c>
      <c r="G11301">
        <v>1.7479999999999999E-2</v>
      </c>
    </row>
    <row r="11302" spans="1:7">
      <c r="A11302" t="s">
        <v>1297</v>
      </c>
      <c r="B11302" t="s">
        <v>1298</v>
      </c>
      <c r="C11302" t="s">
        <v>653</v>
      </c>
      <c r="D11302" t="s">
        <v>1420</v>
      </c>
      <c r="E11302" t="s">
        <v>187</v>
      </c>
      <c r="F11302">
        <v>2020</v>
      </c>
      <c r="G11302">
        <v>0.11416800000000001</v>
      </c>
    </row>
    <row r="11303" spans="1:7">
      <c r="A11303" t="s">
        <v>1297</v>
      </c>
      <c r="B11303" t="s">
        <v>1298</v>
      </c>
      <c r="C11303" t="s">
        <v>684</v>
      </c>
      <c r="D11303" t="s">
        <v>1420</v>
      </c>
      <c r="E11303" t="s">
        <v>187</v>
      </c>
      <c r="F11303">
        <v>2005</v>
      </c>
      <c r="G11303">
        <v>4.0189999999999997E-2</v>
      </c>
    </row>
    <row r="11304" spans="1:7">
      <c r="A11304" t="s">
        <v>1297</v>
      </c>
      <c r="B11304" t="s">
        <v>1298</v>
      </c>
      <c r="C11304" t="s">
        <v>684</v>
      </c>
      <c r="D11304" t="s">
        <v>1420</v>
      </c>
      <c r="E11304" t="s">
        <v>187</v>
      </c>
      <c r="F11304">
        <v>2010</v>
      </c>
      <c r="G11304">
        <v>4.0189999999999997E-2</v>
      </c>
    </row>
    <row r="11305" spans="1:7">
      <c r="A11305" t="s">
        <v>1297</v>
      </c>
      <c r="B11305" t="s">
        <v>1298</v>
      </c>
      <c r="C11305" t="s">
        <v>684</v>
      </c>
      <c r="D11305" t="s">
        <v>1420</v>
      </c>
      <c r="E11305" t="s">
        <v>187</v>
      </c>
      <c r="F11305">
        <v>2012</v>
      </c>
      <c r="G11305">
        <v>8.0379999999999993E-2</v>
      </c>
    </row>
    <row r="11306" spans="1:7">
      <c r="A11306" t="s">
        <v>1297</v>
      </c>
      <c r="B11306" t="s">
        <v>1298</v>
      </c>
      <c r="C11306" t="s">
        <v>684</v>
      </c>
      <c r="D11306" t="s">
        <v>1420</v>
      </c>
      <c r="E11306" t="s">
        <v>187</v>
      </c>
      <c r="F11306">
        <v>2016</v>
      </c>
      <c r="G11306">
        <v>0.20094999999999999</v>
      </c>
    </row>
    <row r="11307" spans="1:7">
      <c r="A11307" t="s">
        <v>1297</v>
      </c>
      <c r="B11307" t="s">
        <v>1298</v>
      </c>
      <c r="C11307" t="s">
        <v>684</v>
      </c>
      <c r="D11307" t="s">
        <v>1420</v>
      </c>
      <c r="E11307" t="s">
        <v>187</v>
      </c>
      <c r="F11307">
        <v>2020</v>
      </c>
      <c r="G11307">
        <v>0.20496900000000001</v>
      </c>
    </row>
    <row r="11308" spans="1:7">
      <c r="A11308" t="s">
        <v>1297</v>
      </c>
      <c r="B11308" t="s">
        <v>1298</v>
      </c>
      <c r="C11308" t="s">
        <v>671</v>
      </c>
      <c r="D11308" t="s">
        <v>1420</v>
      </c>
      <c r="E11308" t="s">
        <v>187</v>
      </c>
      <c r="F11308">
        <v>2005</v>
      </c>
      <c r="G11308">
        <v>4.1807999999999996</v>
      </c>
    </row>
    <row r="11309" spans="1:7">
      <c r="A11309" t="s">
        <v>1297</v>
      </c>
      <c r="B11309" t="s">
        <v>1298</v>
      </c>
      <c r="C11309" t="s">
        <v>671</v>
      </c>
      <c r="D11309" t="s">
        <v>1420</v>
      </c>
      <c r="E11309" t="s">
        <v>187</v>
      </c>
      <c r="F11309">
        <v>2010</v>
      </c>
      <c r="G11309">
        <v>7.2416</v>
      </c>
    </row>
    <row r="11310" spans="1:7">
      <c r="A11310" t="s">
        <v>1297</v>
      </c>
      <c r="B11310" t="s">
        <v>1298</v>
      </c>
      <c r="C11310" t="s">
        <v>671</v>
      </c>
      <c r="D11310" t="s">
        <v>1420</v>
      </c>
      <c r="E11310" t="s">
        <v>187</v>
      </c>
      <c r="F11310">
        <v>2012</v>
      </c>
      <c r="G11310">
        <v>7.8832000000000004</v>
      </c>
    </row>
    <row r="11311" spans="1:7">
      <c r="A11311" t="s">
        <v>1297</v>
      </c>
      <c r="B11311" t="s">
        <v>1298</v>
      </c>
      <c r="C11311" t="s">
        <v>671</v>
      </c>
      <c r="D11311" t="s">
        <v>1420</v>
      </c>
      <c r="E11311" t="s">
        <v>187</v>
      </c>
      <c r="F11311">
        <v>2016</v>
      </c>
      <c r="G11311">
        <v>10.523199999999999</v>
      </c>
    </row>
    <row r="11312" spans="1:7">
      <c r="A11312" t="s">
        <v>1297</v>
      </c>
      <c r="B11312" t="s">
        <v>1298</v>
      </c>
      <c r="C11312" t="s">
        <v>671</v>
      </c>
      <c r="D11312" t="s">
        <v>1420</v>
      </c>
      <c r="E11312" t="s">
        <v>187</v>
      </c>
      <c r="F11312">
        <v>2020</v>
      </c>
      <c r="G11312">
        <v>11.607632000000001</v>
      </c>
    </row>
    <row r="11313" spans="1:7">
      <c r="A11313" t="s">
        <v>1297</v>
      </c>
      <c r="B11313" t="s">
        <v>1298</v>
      </c>
      <c r="C11313" t="s">
        <v>661</v>
      </c>
      <c r="D11313" t="s">
        <v>1420</v>
      </c>
      <c r="E11313" t="s">
        <v>187</v>
      </c>
      <c r="F11313">
        <v>2005</v>
      </c>
      <c r="G11313">
        <v>2.94014</v>
      </c>
    </row>
    <row r="11314" spans="1:7">
      <c r="A11314" t="s">
        <v>1297</v>
      </c>
      <c r="B11314" t="s">
        <v>1298</v>
      </c>
      <c r="C11314" t="s">
        <v>673</v>
      </c>
      <c r="D11314" t="s">
        <v>1420</v>
      </c>
      <c r="E11314" t="s">
        <v>187</v>
      </c>
      <c r="F11314">
        <v>2005</v>
      </c>
      <c r="G11314">
        <v>5.8688060000000002</v>
      </c>
    </row>
    <row r="11315" spans="1:7">
      <c r="A11315" t="s">
        <v>1297</v>
      </c>
      <c r="B11315" t="s">
        <v>1298</v>
      </c>
      <c r="C11315" t="s">
        <v>673</v>
      </c>
      <c r="D11315" t="s">
        <v>1420</v>
      </c>
      <c r="E11315" t="s">
        <v>187</v>
      </c>
      <c r="F11315">
        <v>2010</v>
      </c>
      <c r="G11315">
        <v>0.17580000000000001</v>
      </c>
    </row>
    <row r="11316" spans="1:7">
      <c r="A11316" t="s">
        <v>1297</v>
      </c>
      <c r="B11316" t="s">
        <v>1298</v>
      </c>
      <c r="C11316" t="s">
        <v>673</v>
      </c>
      <c r="D11316" t="s">
        <v>1420</v>
      </c>
      <c r="E11316" t="s">
        <v>187</v>
      </c>
      <c r="F11316">
        <v>2012</v>
      </c>
      <c r="G11316">
        <v>0.59772000000000003</v>
      </c>
    </row>
    <row r="11317" spans="1:7">
      <c r="A11317" t="s">
        <v>1297</v>
      </c>
      <c r="B11317" t="s">
        <v>1298</v>
      </c>
      <c r="C11317" t="s">
        <v>289</v>
      </c>
      <c r="D11317" t="s">
        <v>1420</v>
      </c>
      <c r="E11317" t="s">
        <v>187</v>
      </c>
      <c r="F11317">
        <v>2005</v>
      </c>
      <c r="G11317">
        <v>3.3500000000000002E-2</v>
      </c>
    </row>
    <row r="11318" spans="1:7">
      <c r="A11318" t="s">
        <v>1297</v>
      </c>
      <c r="B11318" t="s">
        <v>1298</v>
      </c>
      <c r="C11318" t="s">
        <v>289</v>
      </c>
      <c r="D11318" t="s">
        <v>1420</v>
      </c>
      <c r="E11318" t="s">
        <v>187</v>
      </c>
      <c r="F11318">
        <v>2010</v>
      </c>
      <c r="G11318">
        <v>3.3500000000000002E-2</v>
      </c>
    </row>
    <row r="11319" spans="1:7">
      <c r="A11319" t="s">
        <v>1297</v>
      </c>
      <c r="B11319" t="s">
        <v>1298</v>
      </c>
      <c r="C11319" t="s">
        <v>289</v>
      </c>
      <c r="D11319" t="s">
        <v>1420</v>
      </c>
      <c r="E11319" t="s">
        <v>187</v>
      </c>
      <c r="F11319">
        <v>2012</v>
      </c>
      <c r="G11319">
        <v>3.3500000000000002E-2</v>
      </c>
    </row>
    <row r="11320" spans="1:7">
      <c r="A11320" t="s">
        <v>1297</v>
      </c>
      <c r="B11320" t="s">
        <v>1298</v>
      </c>
      <c r="C11320" t="s">
        <v>289</v>
      </c>
      <c r="D11320" t="s">
        <v>1420</v>
      </c>
      <c r="E11320" t="s">
        <v>187</v>
      </c>
      <c r="F11320">
        <v>2016</v>
      </c>
      <c r="G11320">
        <v>3.3500000000000002E-2</v>
      </c>
    </row>
    <row r="11321" spans="1:7">
      <c r="A11321" t="s">
        <v>1297</v>
      </c>
      <c r="B11321" t="s">
        <v>1298</v>
      </c>
      <c r="C11321" t="s">
        <v>289</v>
      </c>
      <c r="D11321" t="s">
        <v>1420</v>
      </c>
      <c r="E11321" t="s">
        <v>187</v>
      </c>
      <c r="F11321">
        <v>2020</v>
      </c>
      <c r="G11321">
        <v>4.02E-2</v>
      </c>
    </row>
    <row r="11322" spans="1:7">
      <c r="A11322" t="s">
        <v>1297</v>
      </c>
      <c r="B11322" t="s">
        <v>1298</v>
      </c>
      <c r="C11322" t="s">
        <v>675</v>
      </c>
      <c r="D11322" t="s">
        <v>1420</v>
      </c>
      <c r="E11322" t="s">
        <v>187</v>
      </c>
      <c r="F11322">
        <v>2005</v>
      </c>
      <c r="G11322">
        <v>0.96479999999999999</v>
      </c>
    </row>
    <row r="11323" spans="1:7">
      <c r="A11323" t="s">
        <v>1297</v>
      </c>
      <c r="B11323" t="s">
        <v>1298</v>
      </c>
      <c r="C11323" t="s">
        <v>675</v>
      </c>
      <c r="D11323" t="s">
        <v>1420</v>
      </c>
      <c r="E11323" t="s">
        <v>187</v>
      </c>
      <c r="F11323">
        <v>2010</v>
      </c>
      <c r="G11323">
        <v>0.60299999999999998</v>
      </c>
    </row>
    <row r="11324" spans="1:7">
      <c r="A11324" t="s">
        <v>1297</v>
      </c>
      <c r="B11324" t="s">
        <v>1298</v>
      </c>
      <c r="C11324" t="s">
        <v>675</v>
      </c>
      <c r="D11324" t="s">
        <v>1420</v>
      </c>
      <c r="E11324" t="s">
        <v>187</v>
      </c>
      <c r="F11324">
        <v>2012</v>
      </c>
      <c r="G11324">
        <v>0.72360000000000002</v>
      </c>
    </row>
    <row r="11325" spans="1:7">
      <c r="A11325" t="s">
        <v>1297</v>
      </c>
      <c r="B11325" t="s">
        <v>1298</v>
      </c>
      <c r="C11325" t="s">
        <v>680</v>
      </c>
      <c r="D11325" t="s">
        <v>1420</v>
      </c>
      <c r="E11325" t="s">
        <v>187</v>
      </c>
      <c r="F11325">
        <v>2005</v>
      </c>
      <c r="G11325">
        <v>0.2412</v>
      </c>
    </row>
    <row r="11326" spans="1:7">
      <c r="A11326" t="s">
        <v>1297</v>
      </c>
      <c r="B11326" t="s">
        <v>1298</v>
      </c>
      <c r="C11326" t="s">
        <v>680</v>
      </c>
      <c r="D11326" t="s">
        <v>1420</v>
      </c>
      <c r="E11326" t="s">
        <v>187</v>
      </c>
      <c r="F11326">
        <v>2010</v>
      </c>
      <c r="G11326">
        <v>0.16</v>
      </c>
    </row>
    <row r="11327" spans="1:7">
      <c r="A11327" t="s">
        <v>1297</v>
      </c>
      <c r="B11327" t="s">
        <v>1298</v>
      </c>
      <c r="C11327" t="s">
        <v>680</v>
      </c>
      <c r="D11327" t="s">
        <v>1420</v>
      </c>
      <c r="E11327" t="s">
        <v>187</v>
      </c>
      <c r="F11327">
        <v>2012</v>
      </c>
      <c r="G11327">
        <v>0.16</v>
      </c>
    </row>
    <row r="11328" spans="1:7">
      <c r="A11328" t="s">
        <v>1297</v>
      </c>
      <c r="B11328" t="s">
        <v>1298</v>
      </c>
      <c r="C11328" t="s">
        <v>680</v>
      </c>
      <c r="D11328" t="s">
        <v>1420</v>
      </c>
      <c r="E11328" t="s">
        <v>187</v>
      </c>
      <c r="F11328">
        <v>2016</v>
      </c>
      <c r="G11328">
        <v>0.16344</v>
      </c>
    </row>
    <row r="11329" spans="1:7">
      <c r="A11329" t="s">
        <v>1297</v>
      </c>
      <c r="B11329" t="s">
        <v>1298</v>
      </c>
      <c r="C11329" t="s">
        <v>680</v>
      </c>
      <c r="D11329" t="s">
        <v>1420</v>
      </c>
      <c r="E11329" t="s">
        <v>187</v>
      </c>
      <c r="F11329">
        <v>2020</v>
      </c>
      <c r="G11329">
        <v>0.14191999999999999</v>
      </c>
    </row>
    <row r="11330" spans="1:7">
      <c r="A11330" t="s">
        <v>1297</v>
      </c>
      <c r="B11330" t="s">
        <v>1298</v>
      </c>
      <c r="C11330" t="s">
        <v>657</v>
      </c>
      <c r="D11330" t="s">
        <v>1420</v>
      </c>
      <c r="E11330" t="s">
        <v>187</v>
      </c>
      <c r="F11330">
        <v>2005</v>
      </c>
      <c r="G11330">
        <v>0.71230000000000004</v>
      </c>
    </row>
    <row r="11331" spans="1:7">
      <c r="A11331" t="s">
        <v>1297</v>
      </c>
      <c r="B11331" t="s">
        <v>1298</v>
      </c>
      <c r="C11331" t="s">
        <v>657</v>
      </c>
      <c r="D11331" t="s">
        <v>1420</v>
      </c>
      <c r="E11331" t="s">
        <v>187</v>
      </c>
      <c r="F11331">
        <v>2010</v>
      </c>
      <c r="G11331">
        <v>0.29330000000000001</v>
      </c>
    </row>
    <row r="11332" spans="1:7">
      <c r="A11332" t="s">
        <v>1297</v>
      </c>
      <c r="B11332" t="s">
        <v>1298</v>
      </c>
      <c r="C11332" t="s">
        <v>657</v>
      </c>
      <c r="D11332" t="s">
        <v>1420</v>
      </c>
      <c r="E11332" t="s">
        <v>187</v>
      </c>
      <c r="F11332">
        <v>2012</v>
      </c>
      <c r="G11332">
        <v>0.37709999999999999</v>
      </c>
    </row>
    <row r="11333" spans="1:7">
      <c r="A11333" t="s">
        <v>1297</v>
      </c>
      <c r="B11333" t="s">
        <v>1298</v>
      </c>
      <c r="C11333" t="s">
        <v>657</v>
      </c>
      <c r="D11333" t="s">
        <v>1420</v>
      </c>
      <c r="E11333" t="s">
        <v>187</v>
      </c>
      <c r="F11333">
        <v>2016</v>
      </c>
      <c r="G11333">
        <v>0.37709999999999999</v>
      </c>
    </row>
    <row r="11334" spans="1:7">
      <c r="A11334" t="s">
        <v>1297</v>
      </c>
      <c r="B11334" t="s">
        <v>1298</v>
      </c>
      <c r="C11334" t="s">
        <v>657</v>
      </c>
      <c r="D11334" t="s">
        <v>1420</v>
      </c>
      <c r="E11334" t="s">
        <v>187</v>
      </c>
      <c r="F11334">
        <v>2020</v>
      </c>
      <c r="G11334">
        <v>0.37709999999999999</v>
      </c>
    </row>
    <row r="11335" spans="1:7">
      <c r="A11335" t="s">
        <v>1297</v>
      </c>
      <c r="B11335" t="s">
        <v>1298</v>
      </c>
      <c r="C11335" t="s">
        <v>672</v>
      </c>
      <c r="D11335" t="s">
        <v>1420</v>
      </c>
      <c r="E11335" t="s">
        <v>187</v>
      </c>
      <c r="F11335">
        <v>2005</v>
      </c>
      <c r="G11335">
        <v>3.8180499999999999</v>
      </c>
    </row>
    <row r="11336" spans="1:7">
      <c r="A11336" t="s">
        <v>1297</v>
      </c>
      <c r="B11336" t="s">
        <v>1298</v>
      </c>
      <c r="C11336" t="s">
        <v>672</v>
      </c>
      <c r="D11336" t="s">
        <v>1420</v>
      </c>
      <c r="E11336" t="s">
        <v>187</v>
      </c>
      <c r="F11336">
        <v>2010</v>
      </c>
      <c r="G11336">
        <v>0.23699999999999999</v>
      </c>
    </row>
    <row r="11337" spans="1:7">
      <c r="A11337" t="s">
        <v>1297</v>
      </c>
      <c r="B11337" t="s">
        <v>1298</v>
      </c>
      <c r="C11337" t="s">
        <v>672</v>
      </c>
      <c r="D11337" t="s">
        <v>1420</v>
      </c>
      <c r="E11337" t="s">
        <v>187</v>
      </c>
      <c r="F11337">
        <v>2012</v>
      </c>
      <c r="G11337">
        <v>0.20574999999999999</v>
      </c>
    </row>
    <row r="11338" spans="1:7">
      <c r="A11338" t="s">
        <v>1297</v>
      </c>
      <c r="B11338" t="s">
        <v>1298</v>
      </c>
      <c r="C11338" t="s">
        <v>672</v>
      </c>
      <c r="D11338" t="s">
        <v>1420</v>
      </c>
      <c r="E11338" t="s">
        <v>187</v>
      </c>
      <c r="F11338">
        <v>2016</v>
      </c>
      <c r="G11338">
        <v>0.12759999999999999</v>
      </c>
    </row>
    <row r="11339" spans="1:7">
      <c r="A11339" t="s">
        <v>1297</v>
      </c>
      <c r="B11339" t="s">
        <v>1298</v>
      </c>
      <c r="C11339" t="s">
        <v>672</v>
      </c>
      <c r="D11339" t="s">
        <v>1420</v>
      </c>
      <c r="E11339" t="s">
        <v>187</v>
      </c>
      <c r="F11339">
        <v>2020</v>
      </c>
      <c r="G11339">
        <v>0.30874000000000001</v>
      </c>
    </row>
    <row r="11340" spans="1:7">
      <c r="A11340" t="s">
        <v>1297</v>
      </c>
      <c r="B11340" t="s">
        <v>1298</v>
      </c>
      <c r="C11340" t="s">
        <v>662</v>
      </c>
      <c r="D11340" t="s">
        <v>1420</v>
      </c>
      <c r="E11340" t="s">
        <v>187</v>
      </c>
      <c r="F11340">
        <v>2005</v>
      </c>
      <c r="G11340">
        <v>0.1206</v>
      </c>
    </row>
    <row r="11341" spans="1:7">
      <c r="A11341" t="s">
        <v>1297</v>
      </c>
      <c r="B11341" t="s">
        <v>1298</v>
      </c>
      <c r="C11341" t="s">
        <v>662</v>
      </c>
      <c r="D11341" t="s">
        <v>1420</v>
      </c>
      <c r="E11341" t="s">
        <v>187</v>
      </c>
      <c r="F11341">
        <v>2010</v>
      </c>
      <c r="G11341">
        <v>8.4000000000000005E-2</v>
      </c>
    </row>
    <row r="11342" spans="1:7">
      <c r="A11342" t="s">
        <v>1297</v>
      </c>
      <c r="B11342" t="s">
        <v>1298</v>
      </c>
      <c r="C11342" t="s">
        <v>662</v>
      </c>
      <c r="D11342" t="s">
        <v>1420</v>
      </c>
      <c r="E11342" t="s">
        <v>187</v>
      </c>
      <c r="F11342">
        <v>2012</v>
      </c>
      <c r="G11342">
        <v>0.67200000000000004</v>
      </c>
    </row>
    <row r="11343" spans="1:7">
      <c r="A11343" t="s">
        <v>1297</v>
      </c>
      <c r="B11343" t="s">
        <v>1298</v>
      </c>
      <c r="C11343" t="s">
        <v>662</v>
      </c>
      <c r="D11343" t="s">
        <v>1420</v>
      </c>
      <c r="E11343" t="s">
        <v>187</v>
      </c>
      <c r="F11343">
        <v>2016</v>
      </c>
      <c r="G11343">
        <v>0.21</v>
      </c>
    </row>
    <row r="11344" spans="1:7">
      <c r="A11344" t="s">
        <v>1297</v>
      </c>
      <c r="B11344" t="s">
        <v>1298</v>
      </c>
      <c r="C11344" t="s">
        <v>662</v>
      </c>
      <c r="D11344" t="s">
        <v>1420</v>
      </c>
      <c r="E11344" t="s">
        <v>187</v>
      </c>
      <c r="F11344">
        <v>2020</v>
      </c>
      <c r="G11344">
        <v>0.17061000000000001</v>
      </c>
    </row>
    <row r="11345" spans="1:7">
      <c r="A11345" t="s">
        <v>1297</v>
      </c>
      <c r="B11345" t="s">
        <v>1298</v>
      </c>
      <c r="C11345" t="s">
        <v>670</v>
      </c>
      <c r="D11345" t="s">
        <v>1420</v>
      </c>
      <c r="E11345" t="s">
        <v>187</v>
      </c>
      <c r="F11345">
        <v>2005</v>
      </c>
      <c r="G11345">
        <v>2.2355999999999998</v>
      </c>
    </row>
    <row r="11346" spans="1:7">
      <c r="A11346" t="s">
        <v>1297</v>
      </c>
      <c r="B11346" t="s">
        <v>1298</v>
      </c>
      <c r="C11346" t="s">
        <v>670</v>
      </c>
      <c r="D11346" t="s">
        <v>1420</v>
      </c>
      <c r="E11346" t="s">
        <v>187</v>
      </c>
      <c r="F11346">
        <v>2010</v>
      </c>
      <c r="G11346">
        <v>1.5731999999999999</v>
      </c>
    </row>
    <row r="11347" spans="1:7">
      <c r="A11347" t="s">
        <v>1297</v>
      </c>
      <c r="B11347" t="s">
        <v>1298</v>
      </c>
      <c r="C11347" t="s">
        <v>670</v>
      </c>
      <c r="D11347" t="s">
        <v>1420</v>
      </c>
      <c r="E11347" t="s">
        <v>187</v>
      </c>
      <c r="F11347">
        <v>2012</v>
      </c>
      <c r="G11347">
        <v>1.2834000000000001</v>
      </c>
    </row>
    <row r="11348" spans="1:7">
      <c r="A11348" t="s">
        <v>1297</v>
      </c>
      <c r="B11348" t="s">
        <v>1298</v>
      </c>
      <c r="C11348" t="s">
        <v>670</v>
      </c>
      <c r="D11348" t="s">
        <v>1420</v>
      </c>
      <c r="E11348" t="s">
        <v>187</v>
      </c>
      <c r="F11348">
        <v>2016</v>
      </c>
      <c r="G11348">
        <v>1.5351999999999999</v>
      </c>
    </row>
    <row r="11349" spans="1:7">
      <c r="A11349" t="s">
        <v>1297</v>
      </c>
      <c r="B11349" t="s">
        <v>1298</v>
      </c>
      <c r="C11349" t="s">
        <v>670</v>
      </c>
      <c r="D11349" t="s">
        <v>1420</v>
      </c>
      <c r="E11349" t="s">
        <v>187</v>
      </c>
      <c r="F11349">
        <v>2020</v>
      </c>
      <c r="G11349">
        <v>1.6044719999999999</v>
      </c>
    </row>
    <row r="11350" spans="1:7">
      <c r="A11350" t="s">
        <v>1297</v>
      </c>
      <c r="B11350" t="s">
        <v>1298</v>
      </c>
      <c r="C11350" t="s">
        <v>1299</v>
      </c>
      <c r="D11350" t="s">
        <v>1420</v>
      </c>
      <c r="E11350" t="s">
        <v>187</v>
      </c>
      <c r="F11350">
        <v>2005</v>
      </c>
      <c r="G11350">
        <v>0.28000000000000003</v>
      </c>
    </row>
    <row r="11351" spans="1:7">
      <c r="A11351" t="s">
        <v>1297</v>
      </c>
      <c r="B11351" t="s">
        <v>1298</v>
      </c>
      <c r="C11351" t="s">
        <v>1299</v>
      </c>
      <c r="D11351" t="s">
        <v>1420</v>
      </c>
      <c r="E11351" t="s">
        <v>187</v>
      </c>
      <c r="F11351">
        <v>2010</v>
      </c>
      <c r="G11351">
        <v>3.0044620000000002</v>
      </c>
    </row>
    <row r="11352" spans="1:7">
      <c r="A11352" t="s">
        <v>1297</v>
      </c>
      <c r="B11352" t="s">
        <v>1298</v>
      </c>
      <c r="C11352" t="s">
        <v>1299</v>
      </c>
      <c r="D11352" t="s">
        <v>1420</v>
      </c>
      <c r="E11352" t="s">
        <v>187</v>
      </c>
      <c r="F11352">
        <v>2012</v>
      </c>
      <c r="G11352">
        <v>3.1749999999999998</v>
      </c>
    </row>
    <row r="11353" spans="1:7">
      <c r="A11353" t="s">
        <v>1297</v>
      </c>
      <c r="B11353" t="s">
        <v>1298</v>
      </c>
      <c r="C11353" t="s">
        <v>1299</v>
      </c>
      <c r="D11353" t="s">
        <v>1420</v>
      </c>
      <c r="E11353" t="s">
        <v>187</v>
      </c>
      <c r="F11353">
        <v>2016</v>
      </c>
      <c r="G11353">
        <v>4.2750000000000004</v>
      </c>
    </row>
    <row r="11354" spans="1:7">
      <c r="A11354" t="s">
        <v>1297</v>
      </c>
      <c r="B11354" t="s">
        <v>1298</v>
      </c>
      <c r="C11354" t="s">
        <v>1299</v>
      </c>
      <c r="D11354" t="s">
        <v>1420</v>
      </c>
      <c r="E11354" t="s">
        <v>187</v>
      </c>
      <c r="F11354">
        <v>2020</v>
      </c>
      <c r="G11354">
        <v>16.629977</v>
      </c>
    </row>
    <row r="11355" spans="1:7">
      <c r="A11355" t="s">
        <v>1297</v>
      </c>
      <c r="B11355" t="s">
        <v>1298</v>
      </c>
      <c r="C11355" t="s">
        <v>651</v>
      </c>
      <c r="D11355" t="s">
        <v>1420</v>
      </c>
      <c r="E11355" t="s">
        <v>187</v>
      </c>
      <c r="F11355">
        <v>2005</v>
      </c>
      <c r="G11355">
        <v>8.4938E-2</v>
      </c>
    </row>
    <row r="11356" spans="1:7">
      <c r="A11356" t="s">
        <v>1297</v>
      </c>
      <c r="B11356" t="s">
        <v>1298</v>
      </c>
      <c r="C11356" t="s">
        <v>651</v>
      </c>
      <c r="D11356" t="s">
        <v>1420</v>
      </c>
      <c r="E11356" t="s">
        <v>187</v>
      </c>
      <c r="F11356">
        <v>2010</v>
      </c>
      <c r="G11356">
        <v>7.6869999999999994E-2</v>
      </c>
    </row>
    <row r="11357" spans="1:7">
      <c r="A11357" t="s">
        <v>1297</v>
      </c>
      <c r="B11357" t="s">
        <v>1298</v>
      </c>
      <c r="C11357" t="s">
        <v>651</v>
      </c>
      <c r="D11357" t="s">
        <v>1420</v>
      </c>
      <c r="E11357" t="s">
        <v>187</v>
      </c>
      <c r="F11357">
        <v>2012</v>
      </c>
      <c r="G11357">
        <v>6.2784000000000006E-2</v>
      </c>
    </row>
    <row r="11358" spans="1:7">
      <c r="A11358" t="s">
        <v>1297</v>
      </c>
      <c r="B11358" t="s">
        <v>1298</v>
      </c>
      <c r="C11358" t="s">
        <v>651</v>
      </c>
      <c r="D11358" t="s">
        <v>1420</v>
      </c>
      <c r="E11358" t="s">
        <v>187</v>
      </c>
      <c r="F11358">
        <v>2016</v>
      </c>
      <c r="G11358">
        <v>4.3221000000000002E-2</v>
      </c>
    </row>
    <row r="11359" spans="1:7">
      <c r="A11359" t="s">
        <v>1297</v>
      </c>
      <c r="B11359" t="s">
        <v>1298</v>
      </c>
      <c r="C11359" t="s">
        <v>651</v>
      </c>
      <c r="D11359" t="s">
        <v>1420</v>
      </c>
      <c r="E11359" t="s">
        <v>187</v>
      </c>
      <c r="F11359">
        <v>2020</v>
      </c>
      <c r="G11359">
        <v>3.6366000000000002E-2</v>
      </c>
    </row>
    <row r="11360" spans="1:7">
      <c r="A11360" t="s">
        <v>1297</v>
      </c>
      <c r="B11360" t="s">
        <v>1298</v>
      </c>
      <c r="C11360" t="s">
        <v>652</v>
      </c>
      <c r="D11360" t="s">
        <v>1420</v>
      </c>
      <c r="E11360" t="s">
        <v>187</v>
      </c>
      <c r="F11360">
        <v>2005</v>
      </c>
      <c r="G11360">
        <v>0.46800000000000003</v>
      </c>
    </row>
    <row r="11361" spans="1:7">
      <c r="A11361" t="s">
        <v>1297</v>
      </c>
      <c r="B11361" t="s">
        <v>1298</v>
      </c>
      <c r="C11361" t="s">
        <v>652</v>
      </c>
      <c r="D11361" t="s">
        <v>1420</v>
      </c>
      <c r="E11361" t="s">
        <v>187</v>
      </c>
      <c r="F11361">
        <v>2010</v>
      </c>
      <c r="G11361">
        <v>0.45900000000000002</v>
      </c>
    </row>
    <row r="11362" spans="1:7">
      <c r="A11362" t="s">
        <v>1297</v>
      </c>
      <c r="B11362" t="s">
        <v>1298</v>
      </c>
      <c r="C11362" t="s">
        <v>661</v>
      </c>
      <c r="D11362" t="s">
        <v>1420</v>
      </c>
      <c r="E11362" t="s">
        <v>187</v>
      </c>
      <c r="F11362">
        <v>2010</v>
      </c>
      <c r="G11362">
        <v>2.94014</v>
      </c>
    </row>
    <row r="11363" spans="1:7">
      <c r="A11363" t="s">
        <v>1297</v>
      </c>
      <c r="B11363" t="s">
        <v>1298</v>
      </c>
      <c r="C11363" t="s">
        <v>661</v>
      </c>
      <c r="D11363" t="s">
        <v>1420</v>
      </c>
      <c r="E11363" t="s">
        <v>187</v>
      </c>
      <c r="F11363">
        <v>2012</v>
      </c>
      <c r="G11363">
        <v>3.6961759999999999</v>
      </c>
    </row>
    <row r="11364" spans="1:7">
      <c r="A11364" t="s">
        <v>1297</v>
      </c>
      <c r="B11364" t="s">
        <v>1298</v>
      </c>
      <c r="C11364" t="s">
        <v>661</v>
      </c>
      <c r="D11364" t="s">
        <v>1420</v>
      </c>
      <c r="E11364" t="s">
        <v>187</v>
      </c>
      <c r="F11364">
        <v>2016</v>
      </c>
      <c r="G11364">
        <v>3.738178</v>
      </c>
    </row>
    <row r="11365" spans="1:7">
      <c r="A11365" t="s">
        <v>1297</v>
      </c>
      <c r="B11365" t="s">
        <v>1298</v>
      </c>
      <c r="C11365" t="s">
        <v>661</v>
      </c>
      <c r="D11365" t="s">
        <v>1420</v>
      </c>
      <c r="E11365" t="s">
        <v>187</v>
      </c>
      <c r="F11365">
        <v>2020</v>
      </c>
      <c r="G11365">
        <v>3.528168</v>
      </c>
    </row>
    <row r="11366" spans="1:7">
      <c r="A11366" t="s">
        <v>1297</v>
      </c>
      <c r="B11366" t="s">
        <v>1298</v>
      </c>
      <c r="C11366" t="s">
        <v>658</v>
      </c>
      <c r="D11366" t="s">
        <v>1420</v>
      </c>
      <c r="E11366" t="s">
        <v>187</v>
      </c>
      <c r="F11366">
        <v>2010</v>
      </c>
      <c r="G11366">
        <v>8.4000000000000005E-2</v>
      </c>
    </row>
    <row r="11367" spans="1:7">
      <c r="A11367" t="s">
        <v>1297</v>
      </c>
      <c r="B11367" t="s">
        <v>1298</v>
      </c>
      <c r="C11367" t="s">
        <v>658</v>
      </c>
      <c r="D11367" t="s">
        <v>1420</v>
      </c>
      <c r="E11367" t="s">
        <v>187</v>
      </c>
      <c r="F11367">
        <v>2012</v>
      </c>
      <c r="G11367">
        <v>4.2000000000000003E-2</v>
      </c>
    </row>
    <row r="11368" spans="1:7">
      <c r="A11368" t="s">
        <v>1297</v>
      </c>
      <c r="B11368" t="s">
        <v>1298</v>
      </c>
      <c r="C11368" t="s">
        <v>658</v>
      </c>
      <c r="D11368" t="s">
        <v>1420</v>
      </c>
      <c r="E11368" t="s">
        <v>187</v>
      </c>
      <c r="F11368">
        <v>2020</v>
      </c>
      <c r="G11368">
        <v>2.1000000000000001E-2</v>
      </c>
    </row>
    <row r="11369" spans="1:7">
      <c r="A11369" t="s">
        <v>1297</v>
      </c>
      <c r="B11369" t="s">
        <v>1298</v>
      </c>
      <c r="C11369" t="s">
        <v>668</v>
      </c>
      <c r="D11369" t="s">
        <v>1420</v>
      </c>
      <c r="E11369" t="s">
        <v>187</v>
      </c>
      <c r="F11369">
        <v>2012</v>
      </c>
      <c r="G11369">
        <v>4.1860000000000001E-2</v>
      </c>
    </row>
    <row r="11370" spans="1:7">
      <c r="A11370" t="s">
        <v>1297</v>
      </c>
      <c r="B11370" t="s">
        <v>1298</v>
      </c>
      <c r="C11370" t="s">
        <v>668</v>
      </c>
      <c r="D11370" t="s">
        <v>1420</v>
      </c>
      <c r="E11370" t="s">
        <v>187</v>
      </c>
      <c r="F11370">
        <v>2016</v>
      </c>
      <c r="G11370">
        <v>4.1860000000000001E-2</v>
      </c>
    </row>
    <row r="11371" spans="1:7">
      <c r="A11371" t="s">
        <v>1297</v>
      </c>
      <c r="B11371" t="s">
        <v>1298</v>
      </c>
      <c r="C11371" t="s">
        <v>668</v>
      </c>
      <c r="D11371" t="s">
        <v>1420</v>
      </c>
      <c r="E11371" t="s">
        <v>187</v>
      </c>
      <c r="F11371">
        <v>2020</v>
      </c>
      <c r="G11371">
        <v>4.2733E-2</v>
      </c>
    </row>
    <row r="11372" spans="1:7">
      <c r="A11372" t="s">
        <v>1297</v>
      </c>
      <c r="B11372" t="s">
        <v>1298</v>
      </c>
      <c r="C11372" t="s">
        <v>673</v>
      </c>
      <c r="D11372" t="s">
        <v>1420</v>
      </c>
      <c r="E11372" t="s">
        <v>187</v>
      </c>
      <c r="F11372">
        <v>2016</v>
      </c>
      <c r="G11372">
        <v>0.45707999999999999</v>
      </c>
    </row>
    <row r="11373" spans="1:7">
      <c r="A11373" t="s">
        <v>1297</v>
      </c>
      <c r="B11373" t="s">
        <v>1298</v>
      </c>
      <c r="C11373" t="s">
        <v>673</v>
      </c>
      <c r="D11373" t="s">
        <v>1420</v>
      </c>
      <c r="E11373" t="s">
        <v>187</v>
      </c>
      <c r="F11373">
        <v>2020</v>
      </c>
      <c r="G11373">
        <v>0.199685</v>
      </c>
    </row>
    <row r="11374" spans="1:7">
      <c r="A11374" t="s">
        <v>1297</v>
      </c>
      <c r="B11374" t="s">
        <v>1298</v>
      </c>
      <c r="C11374" t="s">
        <v>677</v>
      </c>
      <c r="D11374" t="s">
        <v>1420</v>
      </c>
      <c r="E11374" t="s">
        <v>187</v>
      </c>
      <c r="F11374">
        <v>2005</v>
      </c>
      <c r="G11374">
        <v>5.9093999999999998</v>
      </c>
    </row>
    <row r="11375" spans="1:7">
      <c r="A11375" t="s">
        <v>1297</v>
      </c>
      <c r="B11375" t="s">
        <v>1298</v>
      </c>
      <c r="C11375" t="s">
        <v>677</v>
      </c>
      <c r="D11375" t="s">
        <v>1420</v>
      </c>
      <c r="E11375" t="s">
        <v>187</v>
      </c>
      <c r="F11375">
        <v>2010</v>
      </c>
      <c r="G11375">
        <v>4.6631999999999998</v>
      </c>
    </row>
    <row r="11376" spans="1:7">
      <c r="A11376" t="s">
        <v>1297</v>
      </c>
      <c r="B11376" t="s">
        <v>1298</v>
      </c>
      <c r="C11376" t="s">
        <v>677</v>
      </c>
      <c r="D11376" t="s">
        <v>1420</v>
      </c>
      <c r="E11376" t="s">
        <v>187</v>
      </c>
      <c r="F11376">
        <v>2012</v>
      </c>
      <c r="G11376">
        <v>4.5023999999999997</v>
      </c>
    </row>
    <row r="11377" spans="1:7">
      <c r="A11377" t="s">
        <v>1297</v>
      </c>
      <c r="B11377" t="s">
        <v>1298</v>
      </c>
      <c r="C11377" t="s">
        <v>677</v>
      </c>
      <c r="D11377" t="s">
        <v>1420</v>
      </c>
      <c r="E11377" t="s">
        <v>187</v>
      </c>
      <c r="F11377">
        <v>2016</v>
      </c>
      <c r="G11377">
        <v>2.5409139999999999</v>
      </c>
    </row>
    <row r="11378" spans="1:7">
      <c r="A11378" t="s">
        <v>1297</v>
      </c>
      <c r="B11378" t="s">
        <v>1298</v>
      </c>
      <c r="C11378" t="s">
        <v>677</v>
      </c>
      <c r="D11378" t="s">
        <v>1420</v>
      </c>
      <c r="E11378" t="s">
        <v>187</v>
      </c>
      <c r="F11378">
        <v>2020</v>
      </c>
      <c r="G11378">
        <v>3.0817070000000002</v>
      </c>
    </row>
    <row r="11379" spans="1:7">
      <c r="A11379" t="s">
        <v>1297</v>
      </c>
      <c r="B11379" t="s">
        <v>1298</v>
      </c>
      <c r="C11379" t="s">
        <v>664</v>
      </c>
      <c r="D11379" t="s">
        <v>1420</v>
      </c>
      <c r="E11379" t="s">
        <v>187</v>
      </c>
      <c r="F11379">
        <v>2005</v>
      </c>
      <c r="G11379">
        <v>2.0241380000000002</v>
      </c>
    </row>
    <row r="11380" spans="1:7">
      <c r="A11380" t="s">
        <v>1297</v>
      </c>
      <c r="B11380" t="s">
        <v>1298</v>
      </c>
      <c r="C11380" t="s">
        <v>664</v>
      </c>
      <c r="D11380" t="s">
        <v>1420</v>
      </c>
      <c r="E11380" t="s">
        <v>187</v>
      </c>
      <c r="F11380">
        <v>2010</v>
      </c>
      <c r="G11380">
        <v>8.8006000000000001E-2</v>
      </c>
    </row>
    <row r="11381" spans="1:7">
      <c r="A11381" t="s">
        <v>1297</v>
      </c>
      <c r="B11381" t="s">
        <v>1298</v>
      </c>
      <c r="C11381" t="s">
        <v>664</v>
      </c>
      <c r="D11381" t="s">
        <v>1420</v>
      </c>
      <c r="E11381" t="s">
        <v>187</v>
      </c>
      <c r="F11381">
        <v>2012</v>
      </c>
      <c r="G11381">
        <v>4.4003E-2</v>
      </c>
    </row>
    <row r="11382" spans="1:7">
      <c r="A11382" t="s">
        <v>1297</v>
      </c>
      <c r="B11382" t="s">
        <v>1298</v>
      </c>
      <c r="C11382" t="s">
        <v>664</v>
      </c>
      <c r="D11382" t="s">
        <v>1420</v>
      </c>
      <c r="E11382" t="s">
        <v>187</v>
      </c>
      <c r="F11382">
        <v>2016</v>
      </c>
      <c r="G11382">
        <v>8.8006000000000001E-2</v>
      </c>
    </row>
    <row r="11383" spans="1:7">
      <c r="A11383" t="s">
        <v>1297</v>
      </c>
      <c r="B11383" t="s">
        <v>1298</v>
      </c>
      <c r="C11383" t="s">
        <v>664</v>
      </c>
      <c r="D11383" t="s">
        <v>1420</v>
      </c>
      <c r="E11383" t="s">
        <v>187</v>
      </c>
      <c r="F11383">
        <v>2020</v>
      </c>
      <c r="G11383">
        <v>9.0514999999999998E-2</v>
      </c>
    </row>
    <row r="11384" spans="1:7">
      <c r="A11384" t="s">
        <v>1297</v>
      </c>
      <c r="B11384" t="s">
        <v>1298</v>
      </c>
      <c r="C11384" t="s">
        <v>676</v>
      </c>
      <c r="D11384" t="s">
        <v>1420</v>
      </c>
      <c r="E11384" t="s">
        <v>187</v>
      </c>
      <c r="F11384">
        <v>2005</v>
      </c>
      <c r="G11384">
        <v>2.3717999999999999</v>
      </c>
    </row>
    <row r="11385" spans="1:7">
      <c r="A11385" t="s">
        <v>1297</v>
      </c>
      <c r="B11385" t="s">
        <v>1298</v>
      </c>
      <c r="C11385" t="s">
        <v>676</v>
      </c>
      <c r="D11385" t="s">
        <v>1420</v>
      </c>
      <c r="E11385" t="s">
        <v>187</v>
      </c>
      <c r="F11385">
        <v>2010</v>
      </c>
      <c r="G11385">
        <v>1.6629080000000001</v>
      </c>
    </row>
    <row r="11386" spans="1:7">
      <c r="A11386" t="s">
        <v>1297</v>
      </c>
      <c r="B11386" t="s">
        <v>1298</v>
      </c>
      <c r="C11386" t="s">
        <v>676</v>
      </c>
      <c r="D11386" t="s">
        <v>1420</v>
      </c>
      <c r="E11386" t="s">
        <v>187</v>
      </c>
      <c r="F11386">
        <v>2012</v>
      </c>
      <c r="G11386">
        <v>2.0270280000000001</v>
      </c>
    </row>
    <row r="11387" spans="1:7">
      <c r="A11387" t="s">
        <v>1297</v>
      </c>
      <c r="B11387" t="s">
        <v>1298</v>
      </c>
      <c r="C11387" t="s">
        <v>676</v>
      </c>
      <c r="D11387" t="s">
        <v>1420</v>
      </c>
      <c r="E11387" t="s">
        <v>187</v>
      </c>
      <c r="F11387">
        <v>2016</v>
      </c>
      <c r="G11387">
        <v>1.969452</v>
      </c>
    </row>
    <row r="11388" spans="1:7">
      <c r="A11388" t="s">
        <v>1297</v>
      </c>
      <c r="B11388" t="s">
        <v>1298</v>
      </c>
      <c r="C11388" t="s">
        <v>676</v>
      </c>
      <c r="D11388" t="s">
        <v>1420</v>
      </c>
      <c r="E11388" t="s">
        <v>187</v>
      </c>
      <c r="F11388">
        <v>2020</v>
      </c>
      <c r="G11388">
        <v>1.569742</v>
      </c>
    </row>
    <row r="11389" spans="1:7">
      <c r="A11389" t="s">
        <v>1297</v>
      </c>
      <c r="B11389" t="s">
        <v>1298</v>
      </c>
      <c r="C11389" t="s">
        <v>1300</v>
      </c>
      <c r="D11389" t="s">
        <v>1420</v>
      </c>
      <c r="E11389" t="s">
        <v>187</v>
      </c>
      <c r="F11389">
        <v>2010</v>
      </c>
      <c r="G11389">
        <v>0.169817</v>
      </c>
    </row>
    <row r="11390" spans="1:7">
      <c r="A11390" t="s">
        <v>1297</v>
      </c>
      <c r="B11390" t="s">
        <v>1298</v>
      </c>
      <c r="C11390" t="s">
        <v>1300</v>
      </c>
      <c r="D11390" t="s">
        <v>1420</v>
      </c>
      <c r="E11390" t="s">
        <v>187</v>
      </c>
      <c r="F11390">
        <v>2012</v>
      </c>
      <c r="G11390">
        <v>8.4379999999999997E-2</v>
      </c>
    </row>
    <row r="11391" spans="1:7">
      <c r="A11391" t="s">
        <v>1297</v>
      </c>
      <c r="B11391" t="s">
        <v>1298</v>
      </c>
      <c r="C11391" t="s">
        <v>1300</v>
      </c>
      <c r="D11391" t="s">
        <v>1420</v>
      </c>
      <c r="E11391" t="s">
        <v>187</v>
      </c>
      <c r="F11391">
        <v>2020</v>
      </c>
      <c r="G11391">
        <v>6.1794000000000002E-2</v>
      </c>
    </row>
    <row r="11392" spans="1:7">
      <c r="A11392" t="s">
        <v>1297</v>
      </c>
      <c r="B11392" t="s">
        <v>1298</v>
      </c>
      <c r="C11392" t="s">
        <v>677</v>
      </c>
      <c r="D11392" t="s">
        <v>1421</v>
      </c>
      <c r="E11392" t="s">
        <v>187</v>
      </c>
      <c r="F11392">
        <v>2005</v>
      </c>
      <c r="G11392">
        <v>18.163</v>
      </c>
    </row>
    <row r="11393" spans="1:7">
      <c r="A11393" t="s">
        <v>1297</v>
      </c>
      <c r="B11393" t="s">
        <v>1298</v>
      </c>
      <c r="C11393" t="s">
        <v>677</v>
      </c>
      <c r="D11393" t="s">
        <v>1421</v>
      </c>
      <c r="E11393" t="s">
        <v>187</v>
      </c>
      <c r="F11393">
        <v>2010</v>
      </c>
      <c r="G11393">
        <v>9.7954889999999999</v>
      </c>
    </row>
    <row r="11394" spans="1:7">
      <c r="A11394" t="s">
        <v>1297</v>
      </c>
      <c r="B11394" t="s">
        <v>1298</v>
      </c>
      <c r="C11394" t="s">
        <v>677</v>
      </c>
      <c r="D11394" t="s">
        <v>1421</v>
      </c>
      <c r="E11394" t="s">
        <v>187</v>
      </c>
      <c r="F11394">
        <v>2012</v>
      </c>
      <c r="G11394">
        <v>10.383798000000001</v>
      </c>
    </row>
    <row r="11395" spans="1:7">
      <c r="A11395" t="s">
        <v>1297</v>
      </c>
      <c r="B11395" t="s">
        <v>1298</v>
      </c>
      <c r="C11395" t="s">
        <v>677</v>
      </c>
      <c r="D11395" t="s">
        <v>1421</v>
      </c>
      <c r="E11395" t="s">
        <v>187</v>
      </c>
      <c r="F11395">
        <v>2016</v>
      </c>
      <c r="G11395">
        <v>18.363149</v>
      </c>
    </row>
    <row r="11396" spans="1:7">
      <c r="A11396" t="s">
        <v>1297</v>
      </c>
      <c r="B11396" t="s">
        <v>1298</v>
      </c>
      <c r="C11396" t="s">
        <v>677</v>
      </c>
      <c r="D11396" t="s">
        <v>1421</v>
      </c>
      <c r="E11396" t="s">
        <v>187</v>
      </c>
      <c r="F11396">
        <v>2020</v>
      </c>
      <c r="G11396">
        <v>17.320937000000001</v>
      </c>
    </row>
    <row r="11397" spans="1:7">
      <c r="A11397" t="s">
        <v>1297</v>
      </c>
      <c r="B11397" t="s">
        <v>1298</v>
      </c>
      <c r="C11397" t="s">
        <v>655</v>
      </c>
      <c r="D11397" t="s">
        <v>1421</v>
      </c>
      <c r="E11397" t="s">
        <v>187</v>
      </c>
      <c r="F11397">
        <v>2005</v>
      </c>
      <c r="G11397">
        <v>0.92771800000000004</v>
      </c>
    </row>
    <row r="11398" spans="1:7">
      <c r="A11398" t="s">
        <v>1297</v>
      </c>
      <c r="B11398" t="s">
        <v>1298</v>
      </c>
      <c r="C11398" t="s">
        <v>655</v>
      </c>
      <c r="D11398" t="s">
        <v>1421</v>
      </c>
      <c r="E11398" t="s">
        <v>187</v>
      </c>
      <c r="F11398">
        <v>2010</v>
      </c>
      <c r="G11398">
        <v>0.76826700000000003</v>
      </c>
    </row>
    <row r="11399" spans="1:7">
      <c r="A11399" t="s">
        <v>1297</v>
      </c>
      <c r="B11399" t="s">
        <v>1298</v>
      </c>
      <c r="C11399" t="s">
        <v>655</v>
      </c>
      <c r="D11399" t="s">
        <v>1421</v>
      </c>
      <c r="E11399" t="s">
        <v>187</v>
      </c>
      <c r="F11399">
        <v>2012</v>
      </c>
      <c r="G11399">
        <v>0.68300799999999995</v>
      </c>
    </row>
    <row r="11400" spans="1:7">
      <c r="A11400" t="s">
        <v>1297</v>
      </c>
      <c r="B11400" t="s">
        <v>1298</v>
      </c>
      <c r="C11400" t="s">
        <v>655</v>
      </c>
      <c r="D11400" t="s">
        <v>1421</v>
      </c>
      <c r="E11400" t="s">
        <v>187</v>
      </c>
      <c r="F11400">
        <v>2016</v>
      </c>
      <c r="G11400">
        <v>0.46944900000000001</v>
      </c>
    </row>
    <row r="11401" spans="1:7">
      <c r="A11401" t="s">
        <v>1297</v>
      </c>
      <c r="B11401" t="s">
        <v>1298</v>
      </c>
      <c r="C11401" t="s">
        <v>655</v>
      </c>
      <c r="D11401" t="s">
        <v>1421</v>
      </c>
      <c r="E11401" t="s">
        <v>187</v>
      </c>
      <c r="F11401">
        <v>2020</v>
      </c>
      <c r="G11401">
        <v>0.42925600000000003</v>
      </c>
    </row>
    <row r="11402" spans="1:7">
      <c r="A11402" t="s">
        <v>1297</v>
      </c>
      <c r="B11402" t="s">
        <v>1298</v>
      </c>
      <c r="C11402" t="s">
        <v>672</v>
      </c>
      <c r="D11402" t="s">
        <v>1421</v>
      </c>
      <c r="E11402" t="s">
        <v>187</v>
      </c>
      <c r="F11402">
        <v>2005</v>
      </c>
      <c r="G11402">
        <v>1.07016</v>
      </c>
    </row>
    <row r="11403" spans="1:7">
      <c r="A11403" t="s">
        <v>1297</v>
      </c>
      <c r="B11403" t="s">
        <v>1298</v>
      </c>
      <c r="C11403" t="s">
        <v>672</v>
      </c>
      <c r="D11403" t="s">
        <v>1421</v>
      </c>
      <c r="E11403" t="s">
        <v>187</v>
      </c>
      <c r="F11403">
        <v>2010</v>
      </c>
      <c r="G11403">
        <v>1.204</v>
      </c>
    </row>
    <row r="11404" spans="1:7">
      <c r="A11404" t="s">
        <v>1297</v>
      </c>
      <c r="B11404" t="s">
        <v>1298</v>
      </c>
      <c r="C11404" t="s">
        <v>672</v>
      </c>
      <c r="D11404" t="s">
        <v>1421</v>
      </c>
      <c r="E11404" t="s">
        <v>187</v>
      </c>
      <c r="F11404">
        <v>2012</v>
      </c>
      <c r="G11404">
        <v>0.86</v>
      </c>
    </row>
    <row r="11405" spans="1:7">
      <c r="A11405" t="s">
        <v>1297</v>
      </c>
      <c r="B11405" t="s">
        <v>1298</v>
      </c>
      <c r="C11405" t="s">
        <v>672</v>
      </c>
      <c r="D11405" t="s">
        <v>1421</v>
      </c>
      <c r="E11405" t="s">
        <v>187</v>
      </c>
      <c r="F11405">
        <v>2016</v>
      </c>
      <c r="G11405">
        <v>0.94299999999999995</v>
      </c>
    </row>
    <row r="11406" spans="1:7">
      <c r="A11406" t="s">
        <v>1297</v>
      </c>
      <c r="B11406" t="s">
        <v>1298</v>
      </c>
      <c r="C11406" t="s">
        <v>672</v>
      </c>
      <c r="D11406" t="s">
        <v>1421</v>
      </c>
      <c r="E11406" t="s">
        <v>187</v>
      </c>
      <c r="F11406">
        <v>2020</v>
      </c>
      <c r="G11406">
        <v>1.0762400000000001</v>
      </c>
    </row>
    <row r="11407" spans="1:7">
      <c r="A11407" t="s">
        <v>1297</v>
      </c>
      <c r="B11407" t="s">
        <v>1298</v>
      </c>
      <c r="C11407" t="s">
        <v>680</v>
      </c>
      <c r="D11407" t="s">
        <v>1421</v>
      </c>
      <c r="E11407" t="s">
        <v>187</v>
      </c>
      <c r="F11407">
        <v>2016</v>
      </c>
      <c r="G11407">
        <v>2.2130000000000001E-3</v>
      </c>
    </row>
    <row r="11408" spans="1:7">
      <c r="A11408" t="s">
        <v>1297</v>
      </c>
      <c r="B11408" t="s">
        <v>1298</v>
      </c>
      <c r="C11408" t="s">
        <v>680</v>
      </c>
      <c r="D11408" t="s">
        <v>1421</v>
      </c>
      <c r="E11408" t="s">
        <v>187</v>
      </c>
      <c r="F11408">
        <v>2020</v>
      </c>
      <c r="G11408">
        <v>1.9935000000000001E-2</v>
      </c>
    </row>
    <row r="11409" spans="1:7">
      <c r="A11409" t="s">
        <v>1297</v>
      </c>
      <c r="B11409" t="s">
        <v>1298</v>
      </c>
      <c r="C11409" t="s">
        <v>1300</v>
      </c>
      <c r="D11409" t="s">
        <v>1421</v>
      </c>
      <c r="E11409" t="s">
        <v>187</v>
      </c>
      <c r="F11409">
        <v>2010</v>
      </c>
      <c r="G11409">
        <v>0.17508599999999999</v>
      </c>
    </row>
    <row r="11410" spans="1:7">
      <c r="A11410" t="s">
        <v>1297</v>
      </c>
      <c r="B11410" t="s">
        <v>1298</v>
      </c>
      <c r="C11410" t="s">
        <v>1300</v>
      </c>
      <c r="D11410" t="s">
        <v>1421</v>
      </c>
      <c r="E11410" t="s">
        <v>187</v>
      </c>
      <c r="F11410">
        <v>2012</v>
      </c>
      <c r="G11410">
        <v>8.8618000000000002E-2</v>
      </c>
    </row>
    <row r="11411" spans="1:7">
      <c r="A11411" t="s">
        <v>1297</v>
      </c>
      <c r="B11411" t="s">
        <v>1298</v>
      </c>
      <c r="C11411" t="s">
        <v>673</v>
      </c>
      <c r="D11411" t="s">
        <v>1421</v>
      </c>
      <c r="E11411" t="s">
        <v>187</v>
      </c>
      <c r="F11411">
        <v>2005</v>
      </c>
      <c r="G11411">
        <v>15.112755</v>
      </c>
    </row>
    <row r="11412" spans="1:7">
      <c r="A11412" t="s">
        <v>1297</v>
      </c>
      <c r="B11412" t="s">
        <v>1298</v>
      </c>
      <c r="C11412" t="s">
        <v>673</v>
      </c>
      <c r="D11412" t="s">
        <v>1421</v>
      </c>
      <c r="E11412" t="s">
        <v>187</v>
      </c>
      <c r="F11412">
        <v>2010</v>
      </c>
      <c r="G11412">
        <v>3.7410000000000001</v>
      </c>
    </row>
    <row r="11413" spans="1:7">
      <c r="A11413" t="s">
        <v>1297</v>
      </c>
      <c r="B11413" t="s">
        <v>1298</v>
      </c>
      <c r="C11413" t="s">
        <v>679</v>
      </c>
      <c r="D11413" t="s">
        <v>1421</v>
      </c>
      <c r="E11413" t="s">
        <v>187</v>
      </c>
      <c r="F11413">
        <v>2005</v>
      </c>
      <c r="G11413">
        <v>3.9651999999999998</v>
      </c>
    </row>
    <row r="11414" spans="1:7">
      <c r="A11414" t="s">
        <v>1297</v>
      </c>
      <c r="B11414" t="s">
        <v>1298</v>
      </c>
      <c r="C11414" t="s">
        <v>679</v>
      </c>
      <c r="D11414" t="s">
        <v>1421</v>
      </c>
      <c r="E11414" t="s">
        <v>187</v>
      </c>
      <c r="F11414">
        <v>2010</v>
      </c>
      <c r="G11414">
        <v>3.5350000000000001</v>
      </c>
    </row>
    <row r="11415" spans="1:7">
      <c r="A11415" t="s">
        <v>1297</v>
      </c>
      <c r="B11415" t="s">
        <v>1298</v>
      </c>
      <c r="C11415" t="s">
        <v>679</v>
      </c>
      <c r="D11415" t="s">
        <v>1421</v>
      </c>
      <c r="E11415" t="s">
        <v>187</v>
      </c>
      <c r="F11415">
        <v>2012</v>
      </c>
      <c r="G11415">
        <v>3.4487999999999999</v>
      </c>
    </row>
    <row r="11416" spans="1:7">
      <c r="A11416" t="s">
        <v>1297</v>
      </c>
      <c r="B11416" t="s">
        <v>1298</v>
      </c>
      <c r="C11416" t="s">
        <v>679</v>
      </c>
      <c r="D11416" t="s">
        <v>1421</v>
      </c>
      <c r="E11416" t="s">
        <v>187</v>
      </c>
      <c r="F11416">
        <v>2016</v>
      </c>
      <c r="G11416">
        <v>2.7584</v>
      </c>
    </row>
    <row r="11417" spans="1:7">
      <c r="A11417" t="s">
        <v>1297</v>
      </c>
      <c r="B11417" t="s">
        <v>1298</v>
      </c>
      <c r="C11417" t="s">
        <v>679</v>
      </c>
      <c r="D11417" t="s">
        <v>1421</v>
      </c>
      <c r="E11417" t="s">
        <v>187</v>
      </c>
      <c r="F11417">
        <v>2020</v>
      </c>
      <c r="G11417">
        <v>1.3892899999999999</v>
      </c>
    </row>
    <row r="11418" spans="1:7">
      <c r="A11418" t="s">
        <v>1297</v>
      </c>
      <c r="B11418" t="s">
        <v>1298</v>
      </c>
      <c r="C11418" t="s">
        <v>671</v>
      </c>
      <c r="D11418" t="s">
        <v>1421</v>
      </c>
      <c r="E11418" t="s">
        <v>187</v>
      </c>
      <c r="F11418">
        <v>2010</v>
      </c>
      <c r="G11418">
        <v>4.2999999999999997E-2</v>
      </c>
    </row>
    <row r="11419" spans="1:7">
      <c r="A11419" t="s">
        <v>1297</v>
      </c>
      <c r="B11419" t="s">
        <v>1298</v>
      </c>
      <c r="C11419" t="s">
        <v>671</v>
      </c>
      <c r="D11419" t="s">
        <v>1421</v>
      </c>
      <c r="E11419" t="s">
        <v>187</v>
      </c>
      <c r="F11419">
        <v>2012</v>
      </c>
      <c r="G11419">
        <v>4.2999999999999997E-2</v>
      </c>
    </row>
    <row r="11420" spans="1:7">
      <c r="A11420" t="s">
        <v>1297</v>
      </c>
      <c r="B11420" t="s">
        <v>1298</v>
      </c>
      <c r="C11420" t="s">
        <v>671</v>
      </c>
      <c r="D11420" t="s">
        <v>1421</v>
      </c>
      <c r="E11420" t="s">
        <v>187</v>
      </c>
      <c r="F11420">
        <v>2020</v>
      </c>
      <c r="G11420">
        <v>5.8910000000000004E-3</v>
      </c>
    </row>
    <row r="11421" spans="1:7">
      <c r="A11421" t="s">
        <v>1297</v>
      </c>
      <c r="B11421" t="s">
        <v>1298</v>
      </c>
      <c r="C11421" t="s">
        <v>663</v>
      </c>
      <c r="D11421" t="s">
        <v>1421</v>
      </c>
      <c r="E11421" t="s">
        <v>187</v>
      </c>
      <c r="F11421">
        <v>2016</v>
      </c>
      <c r="G11421">
        <v>0.34316000000000002</v>
      </c>
    </row>
    <row r="11422" spans="1:7">
      <c r="A11422" t="s">
        <v>1297</v>
      </c>
      <c r="B11422" t="s">
        <v>1298</v>
      </c>
      <c r="C11422" t="s">
        <v>663</v>
      </c>
      <c r="D11422" t="s">
        <v>1421</v>
      </c>
      <c r="E11422" t="s">
        <v>187</v>
      </c>
      <c r="F11422">
        <v>2020</v>
      </c>
      <c r="G11422">
        <v>0.38677600000000001</v>
      </c>
    </row>
    <row r="11423" spans="1:7">
      <c r="A11423" t="s">
        <v>1297</v>
      </c>
      <c r="B11423" t="s">
        <v>1298</v>
      </c>
      <c r="C11423" t="s">
        <v>1302</v>
      </c>
      <c r="D11423" t="s">
        <v>1421</v>
      </c>
      <c r="E11423" t="s">
        <v>187</v>
      </c>
      <c r="F11423">
        <v>2010</v>
      </c>
      <c r="G11423">
        <v>3.6839999999999998E-2</v>
      </c>
    </row>
    <row r="11424" spans="1:7">
      <c r="A11424" t="s">
        <v>1297</v>
      </c>
      <c r="B11424" t="s">
        <v>1298</v>
      </c>
      <c r="C11424" t="s">
        <v>652</v>
      </c>
      <c r="D11424" t="s">
        <v>1421</v>
      </c>
      <c r="E11424" t="s">
        <v>187</v>
      </c>
      <c r="F11424">
        <v>2005</v>
      </c>
      <c r="G11424">
        <v>2.7307999999999999</v>
      </c>
    </row>
    <row r="11425" spans="1:7">
      <c r="A11425" t="s">
        <v>1297</v>
      </c>
      <c r="B11425" t="s">
        <v>1298</v>
      </c>
      <c r="C11425" t="s">
        <v>652</v>
      </c>
      <c r="D11425" t="s">
        <v>1421</v>
      </c>
      <c r="E11425" t="s">
        <v>187</v>
      </c>
      <c r="F11425">
        <v>2010</v>
      </c>
      <c r="G11425">
        <v>1.5869</v>
      </c>
    </row>
    <row r="11426" spans="1:7">
      <c r="A11426" t="s">
        <v>1297</v>
      </c>
      <c r="B11426" t="s">
        <v>1298</v>
      </c>
      <c r="C11426" t="s">
        <v>652</v>
      </c>
      <c r="D11426" t="s">
        <v>1421</v>
      </c>
      <c r="E11426" t="s">
        <v>187</v>
      </c>
      <c r="F11426">
        <v>2012</v>
      </c>
      <c r="G11426">
        <v>2.1503000000000001</v>
      </c>
    </row>
    <row r="11427" spans="1:7">
      <c r="A11427" t="s">
        <v>1297</v>
      </c>
      <c r="B11427" t="s">
        <v>1298</v>
      </c>
      <c r="C11427" t="s">
        <v>652</v>
      </c>
      <c r="D11427" t="s">
        <v>1421</v>
      </c>
      <c r="E11427" t="s">
        <v>187</v>
      </c>
      <c r="F11427">
        <v>2016</v>
      </c>
      <c r="G11427">
        <v>2.0398999999999998</v>
      </c>
    </row>
    <row r="11428" spans="1:7">
      <c r="A11428" t="s">
        <v>1297</v>
      </c>
      <c r="B11428" t="s">
        <v>1298</v>
      </c>
      <c r="C11428" t="s">
        <v>652</v>
      </c>
      <c r="D11428" t="s">
        <v>1421</v>
      </c>
      <c r="E11428" t="s">
        <v>187</v>
      </c>
      <c r="F11428">
        <v>2020</v>
      </c>
      <c r="G11428">
        <v>1.63</v>
      </c>
    </row>
    <row r="11429" spans="1:7">
      <c r="A11429" t="s">
        <v>1297</v>
      </c>
      <c r="B11429" t="s">
        <v>1298</v>
      </c>
      <c r="C11429" t="s">
        <v>659</v>
      </c>
      <c r="D11429" t="s">
        <v>1421</v>
      </c>
      <c r="E11429" t="s">
        <v>187</v>
      </c>
      <c r="F11429">
        <v>2012</v>
      </c>
      <c r="G11429">
        <v>8.5999999999999993E-2</v>
      </c>
    </row>
    <row r="11430" spans="1:7">
      <c r="A11430" t="s">
        <v>1297</v>
      </c>
      <c r="B11430" t="s">
        <v>1298</v>
      </c>
      <c r="C11430" t="s">
        <v>659</v>
      </c>
      <c r="D11430" t="s">
        <v>1421</v>
      </c>
      <c r="E11430" t="s">
        <v>187</v>
      </c>
      <c r="F11430">
        <v>2016</v>
      </c>
      <c r="G11430">
        <v>1.6329</v>
      </c>
    </row>
    <row r="11431" spans="1:7">
      <c r="A11431" t="s">
        <v>1297</v>
      </c>
      <c r="B11431" t="s">
        <v>1298</v>
      </c>
      <c r="C11431" t="s">
        <v>659</v>
      </c>
      <c r="D11431" t="s">
        <v>1421</v>
      </c>
      <c r="E11431" t="s">
        <v>187</v>
      </c>
      <c r="F11431">
        <v>2020</v>
      </c>
      <c r="G11431">
        <v>1.5117</v>
      </c>
    </row>
    <row r="11432" spans="1:7">
      <c r="A11432" t="s">
        <v>1297</v>
      </c>
      <c r="B11432" t="s">
        <v>1298</v>
      </c>
      <c r="C11432" t="s">
        <v>681</v>
      </c>
      <c r="D11432" t="s">
        <v>1421</v>
      </c>
      <c r="E11432" t="s">
        <v>187</v>
      </c>
      <c r="F11432">
        <v>2005</v>
      </c>
      <c r="G11432">
        <v>0.97558299999999998</v>
      </c>
    </row>
    <row r="11433" spans="1:7">
      <c r="A11433" t="s">
        <v>1297</v>
      </c>
      <c r="B11433" t="s">
        <v>1298</v>
      </c>
      <c r="C11433" t="s">
        <v>668</v>
      </c>
      <c r="D11433" t="s">
        <v>1421</v>
      </c>
      <c r="E11433" t="s">
        <v>187</v>
      </c>
      <c r="F11433">
        <v>2010</v>
      </c>
      <c r="G11433">
        <v>8.498E-2</v>
      </c>
    </row>
    <row r="11434" spans="1:7">
      <c r="A11434" t="s">
        <v>1297</v>
      </c>
      <c r="B11434" t="s">
        <v>1298</v>
      </c>
      <c r="C11434" t="s">
        <v>668</v>
      </c>
      <c r="D11434" t="s">
        <v>1421</v>
      </c>
      <c r="E11434" t="s">
        <v>187</v>
      </c>
      <c r="F11434">
        <v>2012</v>
      </c>
      <c r="G11434">
        <v>4.249E-2</v>
      </c>
    </row>
    <row r="11435" spans="1:7">
      <c r="A11435" t="s">
        <v>1297</v>
      </c>
      <c r="B11435" t="s">
        <v>1298</v>
      </c>
      <c r="C11435" t="s">
        <v>668</v>
      </c>
      <c r="D11435" t="s">
        <v>1421</v>
      </c>
      <c r="E11435" t="s">
        <v>187</v>
      </c>
      <c r="F11435">
        <v>2016</v>
      </c>
      <c r="G11435">
        <v>8.5699999999999998E-2</v>
      </c>
    </row>
    <row r="11436" spans="1:7">
      <c r="A11436" t="s">
        <v>1297</v>
      </c>
      <c r="B11436" t="s">
        <v>1298</v>
      </c>
      <c r="C11436" t="s">
        <v>668</v>
      </c>
      <c r="D11436" t="s">
        <v>1421</v>
      </c>
      <c r="E11436" t="s">
        <v>187</v>
      </c>
      <c r="F11436">
        <v>2020</v>
      </c>
      <c r="G11436">
        <v>0.32191700000000001</v>
      </c>
    </row>
    <row r="11437" spans="1:7">
      <c r="A11437" t="s">
        <v>1297</v>
      </c>
      <c r="B11437" t="s">
        <v>1298</v>
      </c>
      <c r="C11437" t="s">
        <v>657</v>
      </c>
      <c r="D11437" t="s">
        <v>1421</v>
      </c>
      <c r="E11437" t="s">
        <v>187</v>
      </c>
      <c r="F11437">
        <v>2016</v>
      </c>
      <c r="G11437">
        <v>4.2050000000000004E-3</v>
      </c>
    </row>
    <row r="11438" spans="1:7">
      <c r="A11438" t="s">
        <v>1297</v>
      </c>
      <c r="B11438" t="s">
        <v>1298</v>
      </c>
      <c r="C11438" t="s">
        <v>657</v>
      </c>
      <c r="D11438" t="s">
        <v>1421</v>
      </c>
      <c r="E11438" t="s">
        <v>187</v>
      </c>
      <c r="F11438">
        <v>2020</v>
      </c>
      <c r="G11438">
        <v>7.2269999999999999E-3</v>
      </c>
    </row>
    <row r="11439" spans="1:7">
      <c r="A11439" t="s">
        <v>1297</v>
      </c>
      <c r="B11439" t="s">
        <v>1298</v>
      </c>
      <c r="C11439" t="s">
        <v>670</v>
      </c>
      <c r="D11439" t="s">
        <v>1421</v>
      </c>
      <c r="E11439" t="s">
        <v>187</v>
      </c>
      <c r="F11439">
        <v>2010</v>
      </c>
      <c r="G11439">
        <v>4.2888000000000002</v>
      </c>
    </row>
    <row r="11440" spans="1:7">
      <c r="A11440" t="s">
        <v>1297</v>
      </c>
      <c r="B11440" t="s">
        <v>1298</v>
      </c>
      <c r="C11440" t="s">
        <v>670</v>
      </c>
      <c r="D11440" t="s">
        <v>1421</v>
      </c>
      <c r="E11440" t="s">
        <v>187</v>
      </c>
      <c r="F11440">
        <v>2012</v>
      </c>
      <c r="G11440">
        <v>2.7732000000000001</v>
      </c>
    </row>
    <row r="11441" spans="1:7">
      <c r="A11441" t="s">
        <v>1297</v>
      </c>
      <c r="B11441" t="s">
        <v>1298</v>
      </c>
      <c r="C11441" t="s">
        <v>670</v>
      </c>
      <c r="D11441" t="s">
        <v>1421</v>
      </c>
      <c r="E11441" t="s">
        <v>187</v>
      </c>
      <c r="F11441">
        <v>2016</v>
      </c>
      <c r="G11441">
        <v>2.9009879999999999</v>
      </c>
    </row>
    <row r="11442" spans="1:7">
      <c r="A11442" t="s">
        <v>1297</v>
      </c>
      <c r="B11442" t="s">
        <v>1298</v>
      </c>
      <c r="C11442" t="s">
        <v>670</v>
      </c>
      <c r="D11442" t="s">
        <v>1421</v>
      </c>
      <c r="E11442" t="s">
        <v>187</v>
      </c>
      <c r="F11442">
        <v>2020</v>
      </c>
      <c r="G11442">
        <v>2.7346339999999998</v>
      </c>
    </row>
    <row r="11443" spans="1:7">
      <c r="A11443" t="s">
        <v>1297</v>
      </c>
      <c r="B11443" t="s">
        <v>1298</v>
      </c>
      <c r="C11443" t="s">
        <v>660</v>
      </c>
      <c r="D11443" t="s">
        <v>1421</v>
      </c>
      <c r="E11443" t="s">
        <v>187</v>
      </c>
      <c r="F11443">
        <v>2005</v>
      </c>
      <c r="G11443">
        <v>11.424799999999999</v>
      </c>
    </row>
    <row r="11444" spans="1:7">
      <c r="A11444" t="s">
        <v>1297</v>
      </c>
      <c r="B11444" t="s">
        <v>1298</v>
      </c>
      <c r="C11444" t="s">
        <v>660</v>
      </c>
      <c r="D11444" t="s">
        <v>1421</v>
      </c>
      <c r="E11444" t="s">
        <v>187</v>
      </c>
      <c r="F11444">
        <v>2010</v>
      </c>
      <c r="G11444">
        <v>7.4765180000000004</v>
      </c>
    </row>
    <row r="11445" spans="1:7">
      <c r="A11445" t="s">
        <v>1297</v>
      </c>
      <c r="B11445" t="s">
        <v>1298</v>
      </c>
      <c r="C11445" t="s">
        <v>660</v>
      </c>
      <c r="D11445" t="s">
        <v>1421</v>
      </c>
      <c r="E11445" t="s">
        <v>187</v>
      </c>
      <c r="F11445">
        <v>2012</v>
      </c>
      <c r="G11445">
        <v>7.0803640000000003</v>
      </c>
    </row>
    <row r="11446" spans="1:7">
      <c r="A11446" t="s">
        <v>1297</v>
      </c>
      <c r="B11446" t="s">
        <v>1298</v>
      </c>
      <c r="C11446" t="s">
        <v>660</v>
      </c>
      <c r="D11446" t="s">
        <v>1421</v>
      </c>
      <c r="E11446" t="s">
        <v>187</v>
      </c>
      <c r="F11446">
        <v>2016</v>
      </c>
      <c r="G11446">
        <v>7.6765999999999996</v>
      </c>
    </row>
    <row r="11447" spans="1:7">
      <c r="A11447" t="s">
        <v>1297</v>
      </c>
      <c r="B11447" t="s">
        <v>1298</v>
      </c>
      <c r="C11447" t="s">
        <v>660</v>
      </c>
      <c r="D11447" t="s">
        <v>1421</v>
      </c>
      <c r="E11447" t="s">
        <v>187</v>
      </c>
      <c r="F11447">
        <v>2020</v>
      </c>
      <c r="G11447">
        <v>7.3209330000000001</v>
      </c>
    </row>
    <row r="11448" spans="1:7">
      <c r="A11448" t="s">
        <v>1297</v>
      </c>
      <c r="B11448" t="s">
        <v>1298</v>
      </c>
      <c r="C11448" t="s">
        <v>665</v>
      </c>
      <c r="D11448" t="s">
        <v>1421</v>
      </c>
      <c r="E11448" t="s">
        <v>187</v>
      </c>
      <c r="F11448">
        <v>2005</v>
      </c>
      <c r="G11448">
        <v>6.7939999999999996</v>
      </c>
    </row>
    <row r="11449" spans="1:7">
      <c r="A11449" t="s">
        <v>1297</v>
      </c>
      <c r="B11449" t="s">
        <v>1298</v>
      </c>
      <c r="C11449" t="s">
        <v>665</v>
      </c>
      <c r="D11449" t="s">
        <v>1421</v>
      </c>
      <c r="E11449" t="s">
        <v>187</v>
      </c>
      <c r="F11449">
        <v>2010</v>
      </c>
      <c r="G11449">
        <v>5.4610000000000003</v>
      </c>
    </row>
    <row r="11450" spans="1:7">
      <c r="A11450" t="s">
        <v>1297</v>
      </c>
      <c r="B11450" t="s">
        <v>1298</v>
      </c>
      <c r="C11450" t="s">
        <v>665</v>
      </c>
      <c r="D11450" t="s">
        <v>1421</v>
      </c>
      <c r="E11450" t="s">
        <v>187</v>
      </c>
      <c r="F11450">
        <v>2012</v>
      </c>
      <c r="G11450">
        <v>5.2030000000000003</v>
      </c>
    </row>
    <row r="11451" spans="1:7">
      <c r="A11451" t="s">
        <v>1297</v>
      </c>
      <c r="B11451" t="s">
        <v>1298</v>
      </c>
      <c r="C11451" t="s">
        <v>665</v>
      </c>
      <c r="D11451" t="s">
        <v>1421</v>
      </c>
      <c r="E11451" t="s">
        <v>187</v>
      </c>
      <c r="F11451">
        <v>2016</v>
      </c>
      <c r="G11451">
        <v>6.02</v>
      </c>
    </row>
    <row r="11452" spans="1:7">
      <c r="A11452" t="s">
        <v>1297</v>
      </c>
      <c r="B11452" t="s">
        <v>1298</v>
      </c>
      <c r="C11452" t="s">
        <v>665</v>
      </c>
      <c r="D11452" t="s">
        <v>1421</v>
      </c>
      <c r="E11452" t="s">
        <v>187</v>
      </c>
      <c r="F11452">
        <v>2020</v>
      </c>
      <c r="G11452">
        <v>2.336319</v>
      </c>
    </row>
    <row r="11453" spans="1:7">
      <c r="A11453" t="s">
        <v>1297</v>
      </c>
      <c r="B11453" t="s">
        <v>1298</v>
      </c>
      <c r="C11453" t="s">
        <v>675</v>
      </c>
      <c r="D11453" t="s">
        <v>1421</v>
      </c>
      <c r="E11453" t="s">
        <v>187</v>
      </c>
      <c r="F11453">
        <v>2020</v>
      </c>
      <c r="G11453">
        <v>1.3118380000000001</v>
      </c>
    </row>
    <row r="11454" spans="1:7">
      <c r="A11454" t="s">
        <v>1297</v>
      </c>
      <c r="B11454" t="s">
        <v>1298</v>
      </c>
      <c r="C11454" t="s">
        <v>666</v>
      </c>
      <c r="D11454" t="s">
        <v>1421</v>
      </c>
      <c r="E11454" t="s">
        <v>187</v>
      </c>
      <c r="F11454">
        <v>2005</v>
      </c>
      <c r="G11454">
        <v>0.17280000000000001</v>
      </c>
    </row>
    <row r="11455" spans="1:7">
      <c r="A11455" t="s">
        <v>1297</v>
      </c>
      <c r="B11455" t="s">
        <v>1298</v>
      </c>
      <c r="C11455" t="s">
        <v>666</v>
      </c>
      <c r="D11455" t="s">
        <v>1421</v>
      </c>
      <c r="E11455" t="s">
        <v>187</v>
      </c>
      <c r="F11455">
        <v>2010</v>
      </c>
      <c r="G11455">
        <v>0.21579999999999999</v>
      </c>
    </row>
    <row r="11456" spans="1:7">
      <c r="A11456" t="s">
        <v>1297</v>
      </c>
      <c r="B11456" t="s">
        <v>1298</v>
      </c>
      <c r="C11456" t="s">
        <v>666</v>
      </c>
      <c r="D11456" t="s">
        <v>1421</v>
      </c>
      <c r="E11456" t="s">
        <v>187</v>
      </c>
      <c r="F11456">
        <v>2012</v>
      </c>
      <c r="G11456">
        <v>0.12948000000000001</v>
      </c>
    </row>
    <row r="11457" spans="1:7">
      <c r="A11457" t="s">
        <v>1297</v>
      </c>
      <c r="B11457" t="s">
        <v>1298</v>
      </c>
      <c r="C11457" t="s">
        <v>666</v>
      </c>
      <c r="D11457" t="s">
        <v>1421</v>
      </c>
      <c r="E11457" t="s">
        <v>187</v>
      </c>
      <c r="F11457">
        <v>2016</v>
      </c>
      <c r="G11457">
        <v>0.34560000000000002</v>
      </c>
    </row>
    <row r="11458" spans="1:7">
      <c r="A11458" t="s">
        <v>1297</v>
      </c>
      <c r="B11458" t="s">
        <v>1298</v>
      </c>
      <c r="C11458" t="s">
        <v>666</v>
      </c>
      <c r="D11458" t="s">
        <v>1421</v>
      </c>
      <c r="E11458" t="s">
        <v>187</v>
      </c>
      <c r="F11458">
        <v>2020</v>
      </c>
      <c r="G11458">
        <v>0.40683200000000003</v>
      </c>
    </row>
    <row r="11459" spans="1:7">
      <c r="A11459" t="s">
        <v>1297</v>
      </c>
      <c r="B11459" t="s">
        <v>1298</v>
      </c>
      <c r="C11459" t="s">
        <v>686</v>
      </c>
      <c r="D11459" t="s">
        <v>1421</v>
      </c>
      <c r="E11459" t="s">
        <v>187</v>
      </c>
      <c r="F11459">
        <v>2005</v>
      </c>
      <c r="G11459">
        <v>3.56</v>
      </c>
    </row>
    <row r="11460" spans="1:7">
      <c r="A11460" t="s">
        <v>1297</v>
      </c>
      <c r="B11460" t="s">
        <v>1298</v>
      </c>
      <c r="C11460" t="s">
        <v>656</v>
      </c>
      <c r="D11460" t="s">
        <v>1421</v>
      </c>
      <c r="E11460" t="s">
        <v>187</v>
      </c>
      <c r="F11460">
        <v>2005</v>
      </c>
      <c r="G11460">
        <v>13.935468999999999</v>
      </c>
    </row>
    <row r="11461" spans="1:7">
      <c r="A11461" t="s">
        <v>1297</v>
      </c>
      <c r="B11461" t="s">
        <v>1298</v>
      </c>
      <c r="C11461" t="s">
        <v>656</v>
      </c>
      <c r="D11461" t="s">
        <v>1421</v>
      </c>
      <c r="E11461" t="s">
        <v>187</v>
      </c>
      <c r="F11461">
        <v>2010</v>
      </c>
      <c r="G11461">
        <v>7.4378260000000003</v>
      </c>
    </row>
    <row r="11462" spans="1:7">
      <c r="A11462" t="s">
        <v>1297</v>
      </c>
      <c r="B11462" t="s">
        <v>1298</v>
      </c>
      <c r="C11462" t="s">
        <v>656</v>
      </c>
      <c r="D11462" t="s">
        <v>1421</v>
      </c>
      <c r="E11462" t="s">
        <v>187</v>
      </c>
      <c r="F11462">
        <v>2012</v>
      </c>
      <c r="G11462">
        <v>6.5747960000000001</v>
      </c>
    </row>
    <row r="11463" spans="1:7">
      <c r="A11463" t="s">
        <v>1297</v>
      </c>
      <c r="B11463" t="s">
        <v>1298</v>
      </c>
      <c r="C11463" t="s">
        <v>656</v>
      </c>
      <c r="D11463" t="s">
        <v>1421</v>
      </c>
      <c r="E11463" t="s">
        <v>187</v>
      </c>
      <c r="F11463">
        <v>2016</v>
      </c>
      <c r="G11463">
        <v>4.4233539999999998</v>
      </c>
    </row>
    <row r="11464" spans="1:7">
      <c r="A11464" t="s">
        <v>1297</v>
      </c>
      <c r="B11464" t="s">
        <v>1298</v>
      </c>
      <c r="C11464" t="s">
        <v>656</v>
      </c>
      <c r="D11464" t="s">
        <v>1421</v>
      </c>
      <c r="E11464" t="s">
        <v>187</v>
      </c>
      <c r="F11464">
        <v>2020</v>
      </c>
      <c r="G11464">
        <v>2.539444</v>
      </c>
    </row>
    <row r="11465" spans="1:7">
      <c r="A11465" t="s">
        <v>1297</v>
      </c>
      <c r="B11465" t="s">
        <v>1298</v>
      </c>
      <c r="C11465" t="s">
        <v>1299</v>
      </c>
      <c r="D11465" t="s">
        <v>1421</v>
      </c>
      <c r="E11465" t="s">
        <v>187</v>
      </c>
      <c r="F11465">
        <v>2016</v>
      </c>
      <c r="G11465">
        <v>1.266</v>
      </c>
    </row>
    <row r="11466" spans="1:7">
      <c r="A11466" t="s">
        <v>1297</v>
      </c>
      <c r="B11466" t="s">
        <v>1298</v>
      </c>
      <c r="C11466" t="s">
        <v>654</v>
      </c>
      <c r="D11466" t="s">
        <v>1421</v>
      </c>
      <c r="E11466" t="s">
        <v>187</v>
      </c>
      <c r="F11466">
        <v>2010</v>
      </c>
      <c r="G11466">
        <v>0.25901999999999997</v>
      </c>
    </row>
    <row r="11467" spans="1:7">
      <c r="A11467" t="s">
        <v>1297</v>
      </c>
      <c r="B11467" t="s">
        <v>1298</v>
      </c>
      <c r="C11467" t="s">
        <v>654</v>
      </c>
      <c r="D11467" t="s">
        <v>1421</v>
      </c>
      <c r="E11467" t="s">
        <v>187</v>
      </c>
      <c r="F11467">
        <v>2012</v>
      </c>
      <c r="G11467">
        <v>0.25838499999999998</v>
      </c>
    </row>
    <row r="11468" spans="1:7">
      <c r="A11468" t="s">
        <v>1297</v>
      </c>
      <c r="B11468" t="s">
        <v>1298</v>
      </c>
      <c r="C11468" t="s">
        <v>654</v>
      </c>
      <c r="D11468" t="s">
        <v>1421</v>
      </c>
      <c r="E11468" t="s">
        <v>187</v>
      </c>
      <c r="F11468">
        <v>2016</v>
      </c>
      <c r="G11468">
        <v>0.34893200000000002</v>
      </c>
    </row>
    <row r="11469" spans="1:7">
      <c r="A11469" t="s">
        <v>1297</v>
      </c>
      <c r="B11469" t="s">
        <v>1298</v>
      </c>
      <c r="C11469" t="s">
        <v>654</v>
      </c>
      <c r="D11469" t="s">
        <v>1421</v>
      </c>
      <c r="E11469" t="s">
        <v>187</v>
      </c>
      <c r="F11469">
        <v>2020</v>
      </c>
      <c r="G11469">
        <v>0.35924</v>
      </c>
    </row>
    <row r="11470" spans="1:7">
      <c r="A11470" t="s">
        <v>1297</v>
      </c>
      <c r="B11470" t="s">
        <v>1298</v>
      </c>
      <c r="C11470" t="s">
        <v>662</v>
      </c>
      <c r="D11470" t="s">
        <v>1421</v>
      </c>
      <c r="E11470" t="s">
        <v>187</v>
      </c>
      <c r="F11470">
        <v>2012</v>
      </c>
      <c r="G11470">
        <v>18.284400000000002</v>
      </c>
    </row>
    <row r="11471" spans="1:7">
      <c r="A11471" t="s">
        <v>1297</v>
      </c>
      <c r="B11471" t="s">
        <v>1298</v>
      </c>
      <c r="C11471" t="s">
        <v>662</v>
      </c>
      <c r="D11471" t="s">
        <v>1421</v>
      </c>
      <c r="E11471" t="s">
        <v>187</v>
      </c>
      <c r="F11471">
        <v>2016</v>
      </c>
      <c r="G11471">
        <v>9.7309999999999999</v>
      </c>
    </row>
    <row r="11472" spans="1:7">
      <c r="A11472" t="s">
        <v>1297</v>
      </c>
      <c r="B11472" t="s">
        <v>1298</v>
      </c>
      <c r="C11472" t="s">
        <v>662</v>
      </c>
      <c r="D11472" t="s">
        <v>1421</v>
      </c>
      <c r="E11472" t="s">
        <v>187</v>
      </c>
      <c r="F11472">
        <v>2020</v>
      </c>
      <c r="G11472">
        <v>9.2845130000000005</v>
      </c>
    </row>
    <row r="11473" spans="1:7">
      <c r="A11473" t="s">
        <v>1297</v>
      </c>
      <c r="B11473" t="s">
        <v>1298</v>
      </c>
      <c r="C11473" t="s">
        <v>661</v>
      </c>
      <c r="D11473" t="s">
        <v>1421</v>
      </c>
      <c r="E11473" t="s">
        <v>187</v>
      </c>
      <c r="F11473">
        <v>2005</v>
      </c>
      <c r="G11473">
        <v>35.523943000000003</v>
      </c>
    </row>
    <row r="11474" spans="1:7">
      <c r="A11474" t="s">
        <v>1297</v>
      </c>
      <c r="B11474" t="s">
        <v>1298</v>
      </c>
      <c r="C11474" t="s">
        <v>661</v>
      </c>
      <c r="D11474" t="s">
        <v>1421</v>
      </c>
      <c r="E11474" t="s">
        <v>187</v>
      </c>
      <c r="F11474">
        <v>2010</v>
      </c>
      <c r="G11474">
        <v>30.588733999999999</v>
      </c>
    </row>
    <row r="11475" spans="1:7">
      <c r="A11475" t="s">
        <v>1297</v>
      </c>
      <c r="B11475" t="s">
        <v>1298</v>
      </c>
      <c r="C11475" t="s">
        <v>661</v>
      </c>
      <c r="D11475" t="s">
        <v>1421</v>
      </c>
      <c r="E11475" t="s">
        <v>187</v>
      </c>
      <c r="F11475">
        <v>2012</v>
      </c>
      <c r="G11475">
        <v>30.935127999999999</v>
      </c>
    </row>
    <row r="11476" spans="1:7">
      <c r="A11476" t="s">
        <v>1297</v>
      </c>
      <c r="B11476" t="s">
        <v>1298</v>
      </c>
      <c r="C11476" t="s">
        <v>661</v>
      </c>
      <c r="D11476" t="s">
        <v>1421</v>
      </c>
      <c r="E11476" t="s">
        <v>187</v>
      </c>
      <c r="F11476">
        <v>2016</v>
      </c>
      <c r="G11476">
        <v>18.253972999999998</v>
      </c>
    </row>
    <row r="11477" spans="1:7">
      <c r="A11477" t="s">
        <v>1297</v>
      </c>
      <c r="B11477" t="s">
        <v>1298</v>
      </c>
      <c r="C11477" t="s">
        <v>661</v>
      </c>
      <c r="D11477" t="s">
        <v>1421</v>
      </c>
      <c r="E11477" t="s">
        <v>187</v>
      </c>
      <c r="F11477">
        <v>2020</v>
      </c>
      <c r="G11477">
        <v>19.166525</v>
      </c>
    </row>
    <row r="11478" spans="1:7">
      <c r="A11478" t="s">
        <v>1297</v>
      </c>
      <c r="B11478" t="s">
        <v>1298</v>
      </c>
      <c r="C11478" t="s">
        <v>670</v>
      </c>
      <c r="D11478" t="s">
        <v>1421</v>
      </c>
      <c r="E11478" t="s">
        <v>187</v>
      </c>
      <c r="F11478">
        <v>2005</v>
      </c>
      <c r="G11478">
        <v>3.4695999999999998</v>
      </c>
    </row>
    <row r="11479" spans="1:7">
      <c r="A11479" t="s">
        <v>1297</v>
      </c>
      <c r="B11479" t="s">
        <v>1298</v>
      </c>
      <c r="C11479" t="s">
        <v>673</v>
      </c>
      <c r="D11479" t="s">
        <v>1421</v>
      </c>
      <c r="E11479" t="s">
        <v>187</v>
      </c>
      <c r="F11479">
        <v>2012</v>
      </c>
      <c r="G11479">
        <v>7.5534299999999996</v>
      </c>
    </row>
    <row r="11480" spans="1:7">
      <c r="A11480" t="s">
        <v>1297</v>
      </c>
      <c r="B11480" t="s">
        <v>1298</v>
      </c>
      <c r="C11480" t="s">
        <v>673</v>
      </c>
      <c r="D11480" t="s">
        <v>1421</v>
      </c>
      <c r="E11480" t="s">
        <v>187</v>
      </c>
      <c r="F11480">
        <v>2016</v>
      </c>
      <c r="G11480">
        <v>5.6014200000000001</v>
      </c>
    </row>
    <row r="11481" spans="1:7">
      <c r="A11481" t="s">
        <v>1297</v>
      </c>
      <c r="B11481" t="s">
        <v>1298</v>
      </c>
      <c r="C11481" t="s">
        <v>673</v>
      </c>
      <c r="D11481" t="s">
        <v>1421</v>
      </c>
      <c r="E11481" t="s">
        <v>187</v>
      </c>
      <c r="F11481">
        <v>2020</v>
      </c>
      <c r="G11481">
        <v>8.6675609999999992</v>
      </c>
    </row>
    <row r="11482" spans="1:7">
      <c r="A11482" t="s">
        <v>1297</v>
      </c>
      <c r="B11482" t="s">
        <v>1298</v>
      </c>
      <c r="C11482" t="s">
        <v>674</v>
      </c>
      <c r="D11482" t="s">
        <v>1421</v>
      </c>
      <c r="E11482" t="s">
        <v>187</v>
      </c>
      <c r="F11482">
        <v>2005</v>
      </c>
      <c r="G11482">
        <v>0.81699999999999995</v>
      </c>
    </row>
    <row r="11483" spans="1:7">
      <c r="A11483" t="s">
        <v>1297</v>
      </c>
      <c r="B11483" t="s">
        <v>1298</v>
      </c>
      <c r="C11483" t="s">
        <v>674</v>
      </c>
      <c r="D11483" t="s">
        <v>1421</v>
      </c>
      <c r="E11483" t="s">
        <v>187</v>
      </c>
      <c r="F11483">
        <v>2010</v>
      </c>
      <c r="G11483">
        <v>0.34399999999999997</v>
      </c>
    </row>
    <row r="11484" spans="1:7">
      <c r="A11484" t="s">
        <v>1297</v>
      </c>
      <c r="B11484" t="s">
        <v>1298</v>
      </c>
      <c r="C11484" t="s">
        <v>675</v>
      </c>
      <c r="D11484" t="s">
        <v>1421</v>
      </c>
      <c r="E11484" t="s">
        <v>187</v>
      </c>
      <c r="F11484">
        <v>2005</v>
      </c>
      <c r="G11484">
        <v>0.9425</v>
      </c>
    </row>
    <row r="11485" spans="1:7">
      <c r="A11485" t="s">
        <v>1297</v>
      </c>
      <c r="B11485" t="s">
        <v>1298</v>
      </c>
      <c r="C11485" t="s">
        <v>675</v>
      </c>
      <c r="D11485" t="s">
        <v>1421</v>
      </c>
      <c r="E11485" t="s">
        <v>187</v>
      </c>
      <c r="F11485">
        <v>2010</v>
      </c>
      <c r="G11485">
        <v>1.1973</v>
      </c>
    </row>
    <row r="11486" spans="1:7">
      <c r="A11486" t="s">
        <v>1297</v>
      </c>
      <c r="B11486" t="s">
        <v>1298</v>
      </c>
      <c r="C11486" t="s">
        <v>675</v>
      </c>
      <c r="D11486" t="s">
        <v>1421</v>
      </c>
      <c r="E11486" t="s">
        <v>187</v>
      </c>
      <c r="F11486">
        <v>2012</v>
      </c>
      <c r="G11486">
        <v>0.96704999999999997</v>
      </c>
    </row>
    <row r="11487" spans="1:7">
      <c r="A11487" t="s">
        <v>1297</v>
      </c>
      <c r="B11487" t="s">
        <v>1298</v>
      </c>
      <c r="C11487" t="s">
        <v>675</v>
      </c>
      <c r="D11487" t="s">
        <v>1421</v>
      </c>
      <c r="E11487" t="s">
        <v>187</v>
      </c>
      <c r="F11487">
        <v>2016</v>
      </c>
      <c r="G11487">
        <v>0.69074999999999998</v>
      </c>
    </row>
    <row r="11488" spans="1:7">
      <c r="A11488" t="s">
        <v>1297</v>
      </c>
      <c r="B11488" t="s">
        <v>1298</v>
      </c>
      <c r="C11488" t="s">
        <v>676</v>
      </c>
      <c r="D11488" t="s">
        <v>1422</v>
      </c>
      <c r="E11488" t="s">
        <v>187</v>
      </c>
      <c r="F11488">
        <v>2005</v>
      </c>
      <c r="G11488">
        <v>70.928815999999998</v>
      </c>
    </row>
    <row r="11489" spans="1:7">
      <c r="A11489" t="s">
        <v>1297</v>
      </c>
      <c r="B11489" t="s">
        <v>1298</v>
      </c>
      <c r="C11489" t="s">
        <v>676</v>
      </c>
      <c r="D11489" t="s">
        <v>1422</v>
      </c>
      <c r="E11489" t="s">
        <v>187</v>
      </c>
      <c r="F11489">
        <v>2010</v>
      </c>
      <c r="G11489">
        <v>86.036872000000002</v>
      </c>
    </row>
    <row r="11490" spans="1:7">
      <c r="A11490" t="s">
        <v>1297</v>
      </c>
      <c r="B11490" t="s">
        <v>1298</v>
      </c>
      <c r="C11490" t="s">
        <v>676</v>
      </c>
      <c r="D11490" t="s">
        <v>1422</v>
      </c>
      <c r="E11490" t="s">
        <v>187</v>
      </c>
      <c r="F11490">
        <v>2012</v>
      </c>
      <c r="G11490">
        <v>82.047809999999998</v>
      </c>
    </row>
    <row r="11491" spans="1:7">
      <c r="A11491" t="s">
        <v>1297</v>
      </c>
      <c r="B11491" t="s">
        <v>1298</v>
      </c>
      <c r="C11491" t="s">
        <v>676</v>
      </c>
      <c r="D11491" t="s">
        <v>1422</v>
      </c>
      <c r="E11491" t="s">
        <v>187</v>
      </c>
      <c r="F11491">
        <v>2016</v>
      </c>
      <c r="G11491">
        <v>87.556425000000004</v>
      </c>
    </row>
    <row r="11492" spans="1:7">
      <c r="A11492" t="s">
        <v>1297</v>
      </c>
      <c r="B11492" t="s">
        <v>1298</v>
      </c>
      <c r="C11492" t="s">
        <v>676</v>
      </c>
      <c r="D11492" t="s">
        <v>1422</v>
      </c>
      <c r="E11492" t="s">
        <v>187</v>
      </c>
      <c r="F11492">
        <v>2020</v>
      </c>
      <c r="G11492">
        <v>100.58797800000001</v>
      </c>
    </row>
    <row r="11493" spans="1:7">
      <c r="A11493" t="s">
        <v>1297</v>
      </c>
      <c r="B11493" t="s">
        <v>1298</v>
      </c>
      <c r="C11493" t="s">
        <v>652</v>
      </c>
      <c r="D11493" t="s">
        <v>1422</v>
      </c>
      <c r="E11493" t="s">
        <v>187</v>
      </c>
      <c r="F11493">
        <v>2005</v>
      </c>
      <c r="G11493">
        <v>357.37256000000002</v>
      </c>
    </row>
    <row r="11494" spans="1:7">
      <c r="A11494" t="s">
        <v>1297</v>
      </c>
      <c r="B11494" t="s">
        <v>1298</v>
      </c>
      <c r="C11494" t="s">
        <v>652</v>
      </c>
      <c r="D11494" t="s">
        <v>1422</v>
      </c>
      <c r="E11494" t="s">
        <v>187</v>
      </c>
      <c r="F11494">
        <v>2010</v>
      </c>
      <c r="G11494">
        <v>350.619731</v>
      </c>
    </row>
    <row r="11495" spans="1:7">
      <c r="A11495" t="s">
        <v>1297</v>
      </c>
      <c r="B11495" t="s">
        <v>1298</v>
      </c>
      <c r="C11495" t="s">
        <v>652</v>
      </c>
      <c r="D11495" t="s">
        <v>1422</v>
      </c>
      <c r="E11495" t="s">
        <v>187</v>
      </c>
      <c r="F11495">
        <v>2012</v>
      </c>
      <c r="G11495">
        <v>335.09736199999998</v>
      </c>
    </row>
    <row r="11496" spans="1:7">
      <c r="A11496" t="s">
        <v>1297</v>
      </c>
      <c r="B11496" t="s">
        <v>1298</v>
      </c>
      <c r="C11496" t="s">
        <v>652</v>
      </c>
      <c r="D11496" t="s">
        <v>1422</v>
      </c>
      <c r="E11496" t="s">
        <v>187</v>
      </c>
      <c r="F11496">
        <v>2016</v>
      </c>
      <c r="G11496">
        <v>351.21171900000002</v>
      </c>
    </row>
    <row r="11497" spans="1:7">
      <c r="A11497" t="s">
        <v>1297</v>
      </c>
      <c r="B11497" t="s">
        <v>1298</v>
      </c>
      <c r="C11497" t="s">
        <v>652</v>
      </c>
      <c r="D11497" t="s">
        <v>1422</v>
      </c>
      <c r="E11497" t="s">
        <v>187</v>
      </c>
      <c r="F11497">
        <v>2020</v>
      </c>
      <c r="G11497">
        <v>341.05703799999998</v>
      </c>
    </row>
    <row r="11498" spans="1:7">
      <c r="A11498" t="s">
        <v>1297</v>
      </c>
      <c r="B11498" t="s">
        <v>1298</v>
      </c>
      <c r="C11498" t="s">
        <v>655</v>
      </c>
      <c r="D11498" t="s">
        <v>1422</v>
      </c>
      <c r="E11498" t="s">
        <v>187</v>
      </c>
      <c r="F11498">
        <v>2005</v>
      </c>
      <c r="G11498">
        <v>232.409695</v>
      </c>
    </row>
    <row r="11499" spans="1:7">
      <c r="A11499" t="s">
        <v>1297</v>
      </c>
      <c r="B11499" t="s">
        <v>1298</v>
      </c>
      <c r="C11499" t="s">
        <v>655</v>
      </c>
      <c r="D11499" t="s">
        <v>1422</v>
      </c>
      <c r="E11499" t="s">
        <v>187</v>
      </c>
      <c r="F11499">
        <v>2010</v>
      </c>
      <c r="G11499">
        <v>229.03514300000001</v>
      </c>
    </row>
    <row r="11500" spans="1:7">
      <c r="A11500" t="s">
        <v>1297</v>
      </c>
      <c r="B11500" t="s">
        <v>1298</v>
      </c>
      <c r="C11500" t="s">
        <v>655</v>
      </c>
      <c r="D11500" t="s">
        <v>1422</v>
      </c>
      <c r="E11500" t="s">
        <v>187</v>
      </c>
      <c r="F11500">
        <v>2012</v>
      </c>
      <c r="G11500">
        <v>222.88202799999999</v>
      </c>
    </row>
    <row r="11501" spans="1:7">
      <c r="A11501" t="s">
        <v>1297</v>
      </c>
      <c r="B11501" t="s">
        <v>1298</v>
      </c>
      <c r="C11501" t="s">
        <v>655</v>
      </c>
      <c r="D11501" t="s">
        <v>1422</v>
      </c>
      <c r="E11501" t="s">
        <v>187</v>
      </c>
      <c r="F11501">
        <v>2016</v>
      </c>
      <c r="G11501">
        <v>247.850773</v>
      </c>
    </row>
    <row r="11502" spans="1:7">
      <c r="A11502" t="s">
        <v>1297</v>
      </c>
      <c r="B11502" t="s">
        <v>1298</v>
      </c>
      <c r="C11502" t="s">
        <v>655</v>
      </c>
      <c r="D11502" t="s">
        <v>1422</v>
      </c>
      <c r="E11502" t="s">
        <v>187</v>
      </c>
      <c r="F11502">
        <v>2020</v>
      </c>
      <c r="G11502">
        <v>259.12305500000002</v>
      </c>
    </row>
    <row r="11503" spans="1:7">
      <c r="A11503" t="s">
        <v>1297</v>
      </c>
      <c r="B11503" t="s">
        <v>1298</v>
      </c>
      <c r="C11503" t="s">
        <v>1300</v>
      </c>
      <c r="D11503" t="s">
        <v>1422</v>
      </c>
      <c r="E11503" t="s">
        <v>187</v>
      </c>
      <c r="F11503">
        <v>2010</v>
      </c>
      <c r="G11503">
        <v>23.847939</v>
      </c>
    </row>
    <row r="11504" spans="1:7">
      <c r="A11504" t="s">
        <v>1297</v>
      </c>
      <c r="B11504" t="s">
        <v>1298</v>
      </c>
      <c r="C11504" t="s">
        <v>1300</v>
      </c>
      <c r="D11504" t="s">
        <v>1422</v>
      </c>
      <c r="E11504" t="s">
        <v>187</v>
      </c>
      <c r="F11504">
        <v>2012</v>
      </c>
      <c r="G11504">
        <v>22.282354000000002</v>
      </c>
    </row>
    <row r="11505" spans="1:7">
      <c r="A11505" t="s">
        <v>1297</v>
      </c>
      <c r="B11505" t="s">
        <v>1298</v>
      </c>
      <c r="C11505" t="s">
        <v>1300</v>
      </c>
      <c r="D11505" t="s">
        <v>1422</v>
      </c>
      <c r="E11505" t="s">
        <v>187</v>
      </c>
      <c r="F11505">
        <v>2016</v>
      </c>
      <c r="G11505">
        <v>27.385971999999999</v>
      </c>
    </row>
    <row r="11506" spans="1:7">
      <c r="A11506" t="s">
        <v>1297</v>
      </c>
      <c r="B11506" t="s">
        <v>1298</v>
      </c>
      <c r="C11506" t="s">
        <v>1300</v>
      </c>
      <c r="D11506" t="s">
        <v>1422</v>
      </c>
      <c r="E11506" t="s">
        <v>187</v>
      </c>
      <c r="F11506">
        <v>2020</v>
      </c>
      <c r="G11506">
        <v>29.14827</v>
      </c>
    </row>
    <row r="11507" spans="1:7">
      <c r="A11507" t="s">
        <v>1297</v>
      </c>
      <c r="B11507" t="s">
        <v>1298</v>
      </c>
      <c r="C11507" t="s">
        <v>668</v>
      </c>
      <c r="D11507" t="s">
        <v>1422</v>
      </c>
      <c r="E11507" t="s">
        <v>187</v>
      </c>
      <c r="F11507">
        <v>2005</v>
      </c>
      <c r="G11507">
        <v>41.486870000000003</v>
      </c>
    </row>
    <row r="11508" spans="1:7">
      <c r="A11508" t="s">
        <v>1297</v>
      </c>
      <c r="B11508" t="s">
        <v>1298</v>
      </c>
      <c r="C11508" t="s">
        <v>668</v>
      </c>
      <c r="D11508" t="s">
        <v>1422</v>
      </c>
      <c r="E11508" t="s">
        <v>187</v>
      </c>
      <c r="F11508">
        <v>2010</v>
      </c>
      <c r="G11508">
        <v>43.77881</v>
      </c>
    </row>
    <row r="11509" spans="1:7">
      <c r="A11509" t="s">
        <v>1297</v>
      </c>
      <c r="B11509" t="s">
        <v>1298</v>
      </c>
      <c r="C11509" t="s">
        <v>668</v>
      </c>
      <c r="D11509" t="s">
        <v>1422</v>
      </c>
      <c r="E11509" t="s">
        <v>187</v>
      </c>
      <c r="F11509">
        <v>2012</v>
      </c>
      <c r="G11509">
        <v>37.631599999999999</v>
      </c>
    </row>
    <row r="11510" spans="1:7">
      <c r="A11510" t="s">
        <v>1297</v>
      </c>
      <c r="B11510" t="s">
        <v>1298</v>
      </c>
      <c r="C11510" t="s">
        <v>668</v>
      </c>
      <c r="D11510" t="s">
        <v>1422</v>
      </c>
      <c r="E11510" t="s">
        <v>187</v>
      </c>
      <c r="F11510">
        <v>2016</v>
      </c>
      <c r="G11510">
        <v>42.435169999999999</v>
      </c>
    </row>
    <row r="11511" spans="1:7">
      <c r="A11511" t="s">
        <v>1297</v>
      </c>
      <c r="B11511" t="s">
        <v>1298</v>
      </c>
      <c r="C11511" t="s">
        <v>668</v>
      </c>
      <c r="D11511" t="s">
        <v>1422</v>
      </c>
      <c r="E11511" t="s">
        <v>187</v>
      </c>
      <c r="F11511">
        <v>2020</v>
      </c>
      <c r="G11511">
        <v>44.174733000000003</v>
      </c>
    </row>
    <row r="11512" spans="1:7">
      <c r="A11512" t="s">
        <v>1297</v>
      </c>
      <c r="B11512" t="s">
        <v>1298</v>
      </c>
      <c r="C11512" t="s">
        <v>661</v>
      </c>
      <c r="D11512" t="s">
        <v>1422</v>
      </c>
      <c r="E11512" t="s">
        <v>187</v>
      </c>
      <c r="F11512">
        <v>2005</v>
      </c>
      <c r="G11512">
        <v>1797.095624</v>
      </c>
    </row>
    <row r="11513" spans="1:7">
      <c r="A11513" t="s">
        <v>1297</v>
      </c>
      <c r="B11513" t="s">
        <v>1298</v>
      </c>
      <c r="C11513" t="s">
        <v>661</v>
      </c>
      <c r="D11513" t="s">
        <v>1422</v>
      </c>
      <c r="E11513" t="s">
        <v>187</v>
      </c>
      <c r="F11513">
        <v>2010</v>
      </c>
      <c r="G11513">
        <v>1685.3385780000001</v>
      </c>
    </row>
    <row r="11514" spans="1:7">
      <c r="A11514" t="s">
        <v>1297</v>
      </c>
      <c r="B11514" t="s">
        <v>1298</v>
      </c>
      <c r="C11514" t="s">
        <v>661</v>
      </c>
      <c r="D11514" t="s">
        <v>1422</v>
      </c>
      <c r="E11514" t="s">
        <v>187</v>
      </c>
      <c r="F11514">
        <v>2012</v>
      </c>
      <c r="G11514">
        <v>1739.6609410000001</v>
      </c>
    </row>
    <row r="11515" spans="1:7">
      <c r="A11515" t="s">
        <v>1297</v>
      </c>
      <c r="B11515" t="s">
        <v>1298</v>
      </c>
      <c r="C11515" t="s">
        <v>661</v>
      </c>
      <c r="D11515" t="s">
        <v>1422</v>
      </c>
      <c r="E11515" t="s">
        <v>187</v>
      </c>
      <c r="F11515">
        <v>2016</v>
      </c>
      <c r="G11515">
        <v>1750.3872269999999</v>
      </c>
    </row>
    <row r="11516" spans="1:7">
      <c r="A11516" t="s">
        <v>1297</v>
      </c>
      <c r="B11516" t="s">
        <v>1298</v>
      </c>
      <c r="C11516" t="s">
        <v>661</v>
      </c>
      <c r="D11516" t="s">
        <v>1422</v>
      </c>
      <c r="E11516" t="s">
        <v>187</v>
      </c>
      <c r="F11516">
        <v>2020</v>
      </c>
      <c r="G11516">
        <v>1716.1139820000001</v>
      </c>
    </row>
    <row r="11517" spans="1:7">
      <c r="A11517" t="s">
        <v>1297</v>
      </c>
      <c r="B11517" t="s">
        <v>1298</v>
      </c>
      <c r="C11517" t="s">
        <v>682</v>
      </c>
      <c r="D11517" t="s">
        <v>1422</v>
      </c>
      <c r="E11517" t="s">
        <v>187</v>
      </c>
      <c r="F11517">
        <v>2016</v>
      </c>
      <c r="G11517">
        <v>49.84592</v>
      </c>
    </row>
    <row r="11518" spans="1:7">
      <c r="A11518" t="s">
        <v>1297</v>
      </c>
      <c r="B11518" t="s">
        <v>1298</v>
      </c>
      <c r="C11518" t="s">
        <v>682</v>
      </c>
      <c r="D11518" t="s">
        <v>1422</v>
      </c>
      <c r="E11518" t="s">
        <v>187</v>
      </c>
      <c r="F11518">
        <v>2020</v>
      </c>
      <c r="G11518">
        <v>55.047111999999998</v>
      </c>
    </row>
    <row r="11519" spans="1:7">
      <c r="A11519" t="s">
        <v>1297</v>
      </c>
      <c r="B11519" t="s">
        <v>1298</v>
      </c>
      <c r="C11519" t="s">
        <v>662</v>
      </c>
      <c r="D11519" t="s">
        <v>1422</v>
      </c>
      <c r="E11519" t="s">
        <v>187</v>
      </c>
      <c r="F11519">
        <v>2005</v>
      </c>
      <c r="G11519">
        <v>307.4522</v>
      </c>
    </row>
    <row r="11520" spans="1:7">
      <c r="A11520" t="s">
        <v>1297</v>
      </c>
      <c r="B11520" t="s">
        <v>1298</v>
      </c>
      <c r="C11520" t="s">
        <v>662</v>
      </c>
      <c r="D11520" t="s">
        <v>1422</v>
      </c>
      <c r="E11520" t="s">
        <v>187</v>
      </c>
      <c r="F11520">
        <v>2010</v>
      </c>
      <c r="G11520">
        <v>306.56079999999997</v>
      </c>
    </row>
    <row r="11521" spans="1:7">
      <c r="A11521" t="s">
        <v>1297</v>
      </c>
      <c r="B11521" t="s">
        <v>1298</v>
      </c>
      <c r="C11521" t="s">
        <v>662</v>
      </c>
      <c r="D11521" t="s">
        <v>1422</v>
      </c>
      <c r="E11521" t="s">
        <v>187</v>
      </c>
      <c r="F11521">
        <v>2012</v>
      </c>
      <c r="G11521">
        <v>229.48580000000001</v>
      </c>
    </row>
    <row r="11522" spans="1:7">
      <c r="A11522" t="s">
        <v>1297</v>
      </c>
      <c r="B11522" t="s">
        <v>1298</v>
      </c>
      <c r="C11522" t="s">
        <v>662</v>
      </c>
      <c r="D11522" t="s">
        <v>1422</v>
      </c>
      <c r="E11522" t="s">
        <v>187</v>
      </c>
      <c r="F11522">
        <v>2016</v>
      </c>
      <c r="G11522">
        <v>239.1782</v>
      </c>
    </row>
    <row r="11523" spans="1:7">
      <c r="A11523" t="s">
        <v>1297</v>
      </c>
      <c r="B11523" t="s">
        <v>1298</v>
      </c>
      <c r="C11523" t="s">
        <v>662</v>
      </c>
      <c r="D11523" t="s">
        <v>1422</v>
      </c>
      <c r="E11523" t="s">
        <v>187</v>
      </c>
      <c r="F11523">
        <v>2020</v>
      </c>
      <c r="G11523">
        <v>243.92175800000001</v>
      </c>
    </row>
    <row r="11524" spans="1:7">
      <c r="A11524" t="s">
        <v>1297</v>
      </c>
      <c r="B11524" t="s">
        <v>1298</v>
      </c>
      <c r="C11524" t="s">
        <v>674</v>
      </c>
      <c r="D11524" t="s">
        <v>1422</v>
      </c>
      <c r="E11524" t="s">
        <v>187</v>
      </c>
      <c r="F11524">
        <v>2005</v>
      </c>
      <c r="G11524">
        <v>296.10130900000001</v>
      </c>
    </row>
    <row r="11525" spans="1:7">
      <c r="A11525" t="s">
        <v>1297</v>
      </c>
      <c r="B11525" t="s">
        <v>1298</v>
      </c>
      <c r="C11525" t="s">
        <v>674</v>
      </c>
      <c r="D11525" t="s">
        <v>1422</v>
      </c>
      <c r="E11525" t="s">
        <v>187</v>
      </c>
      <c r="F11525">
        <v>2010</v>
      </c>
      <c r="G11525">
        <v>289.09332899999998</v>
      </c>
    </row>
    <row r="11526" spans="1:7">
      <c r="A11526" t="s">
        <v>1297</v>
      </c>
      <c r="B11526" t="s">
        <v>1298</v>
      </c>
      <c r="C11526" t="s">
        <v>674</v>
      </c>
      <c r="D11526" t="s">
        <v>1422</v>
      </c>
      <c r="E11526" t="s">
        <v>187</v>
      </c>
      <c r="F11526">
        <v>2012</v>
      </c>
      <c r="G11526">
        <v>269.18691999999999</v>
      </c>
    </row>
    <row r="11527" spans="1:7">
      <c r="A11527" t="s">
        <v>1297</v>
      </c>
      <c r="B11527" t="s">
        <v>1298</v>
      </c>
      <c r="C11527" t="s">
        <v>674</v>
      </c>
      <c r="D11527" t="s">
        <v>1422</v>
      </c>
      <c r="E11527" t="s">
        <v>187</v>
      </c>
      <c r="F11527">
        <v>2016</v>
      </c>
      <c r="G11527">
        <v>244.74505099999999</v>
      </c>
    </row>
    <row r="11528" spans="1:7">
      <c r="A11528" t="s">
        <v>1297</v>
      </c>
      <c r="B11528" t="s">
        <v>1298</v>
      </c>
      <c r="C11528" t="s">
        <v>674</v>
      </c>
      <c r="D11528" t="s">
        <v>1422</v>
      </c>
      <c r="E11528" t="s">
        <v>187</v>
      </c>
      <c r="F11528">
        <v>2020</v>
      </c>
      <c r="G11528">
        <v>225.411089</v>
      </c>
    </row>
    <row r="11529" spans="1:7">
      <c r="A11529" t="s">
        <v>1297</v>
      </c>
      <c r="B11529" t="s">
        <v>1298</v>
      </c>
      <c r="C11529" t="s">
        <v>670</v>
      </c>
      <c r="D11529" t="s">
        <v>1422</v>
      </c>
      <c r="E11529" t="s">
        <v>187</v>
      </c>
      <c r="F11529">
        <v>2005</v>
      </c>
      <c r="G11529">
        <v>470.54064</v>
      </c>
    </row>
    <row r="11530" spans="1:7">
      <c r="A11530" t="s">
        <v>1297</v>
      </c>
      <c r="B11530" t="s">
        <v>1298</v>
      </c>
      <c r="C11530" t="s">
        <v>670</v>
      </c>
      <c r="D11530" t="s">
        <v>1422</v>
      </c>
      <c r="E11530" t="s">
        <v>187</v>
      </c>
      <c r="F11530">
        <v>2010</v>
      </c>
      <c r="G11530">
        <v>471.75002799999999</v>
      </c>
    </row>
    <row r="11531" spans="1:7">
      <c r="A11531" t="s">
        <v>1297</v>
      </c>
      <c r="B11531" t="s">
        <v>1298</v>
      </c>
      <c r="C11531" t="s">
        <v>670</v>
      </c>
      <c r="D11531" t="s">
        <v>1422</v>
      </c>
      <c r="E11531" t="s">
        <v>187</v>
      </c>
      <c r="F11531">
        <v>2012</v>
      </c>
      <c r="G11531">
        <v>451.76987200000002</v>
      </c>
    </row>
    <row r="11532" spans="1:7">
      <c r="A11532" t="s">
        <v>1297</v>
      </c>
      <c r="B11532" t="s">
        <v>1298</v>
      </c>
      <c r="C11532" t="s">
        <v>670</v>
      </c>
      <c r="D11532" t="s">
        <v>1422</v>
      </c>
      <c r="E11532" t="s">
        <v>187</v>
      </c>
      <c r="F11532">
        <v>2016</v>
      </c>
      <c r="G11532">
        <v>416.470709</v>
      </c>
    </row>
    <row r="11533" spans="1:7">
      <c r="A11533" t="s">
        <v>1297</v>
      </c>
      <c r="B11533" t="s">
        <v>1298</v>
      </c>
      <c r="C11533" t="s">
        <v>670</v>
      </c>
      <c r="D11533" t="s">
        <v>1422</v>
      </c>
      <c r="E11533" t="s">
        <v>187</v>
      </c>
      <c r="F11533">
        <v>2020</v>
      </c>
      <c r="G11533">
        <v>420.75910099999999</v>
      </c>
    </row>
    <row r="11534" spans="1:7">
      <c r="A11534" t="s">
        <v>1297</v>
      </c>
      <c r="B11534" t="s">
        <v>1298</v>
      </c>
      <c r="C11534" t="s">
        <v>664</v>
      </c>
      <c r="D11534" t="s">
        <v>1422</v>
      </c>
      <c r="E11534" t="s">
        <v>187</v>
      </c>
      <c r="F11534">
        <v>2005</v>
      </c>
      <c r="G11534">
        <v>178.59418199999999</v>
      </c>
    </row>
    <row r="11535" spans="1:7">
      <c r="A11535" t="s">
        <v>1297</v>
      </c>
      <c r="B11535" t="s">
        <v>1298</v>
      </c>
      <c r="C11535" t="s">
        <v>664</v>
      </c>
      <c r="D11535" t="s">
        <v>1422</v>
      </c>
      <c r="E11535" t="s">
        <v>187</v>
      </c>
      <c r="F11535">
        <v>2010</v>
      </c>
      <c r="G11535">
        <v>159.487122</v>
      </c>
    </row>
    <row r="11536" spans="1:7">
      <c r="A11536" t="s">
        <v>1297</v>
      </c>
      <c r="B11536" t="s">
        <v>1298</v>
      </c>
      <c r="C11536" t="s">
        <v>664</v>
      </c>
      <c r="D11536" t="s">
        <v>1422</v>
      </c>
      <c r="E11536" t="s">
        <v>187</v>
      </c>
      <c r="F11536">
        <v>2012</v>
      </c>
      <c r="G11536">
        <v>147.948386</v>
      </c>
    </row>
    <row r="11537" spans="1:7">
      <c r="A11537" t="s">
        <v>1297</v>
      </c>
      <c r="B11537" t="s">
        <v>1298</v>
      </c>
      <c r="C11537" t="s">
        <v>664</v>
      </c>
      <c r="D11537" t="s">
        <v>1422</v>
      </c>
      <c r="E11537" t="s">
        <v>187</v>
      </c>
      <c r="F11537">
        <v>2016</v>
      </c>
      <c r="G11537">
        <v>165.80711199999999</v>
      </c>
    </row>
    <row r="11538" spans="1:7">
      <c r="A11538" t="s">
        <v>1297</v>
      </c>
      <c r="B11538" t="s">
        <v>1298</v>
      </c>
      <c r="C11538" t="s">
        <v>664</v>
      </c>
      <c r="D11538" t="s">
        <v>1422</v>
      </c>
      <c r="E11538" t="s">
        <v>187</v>
      </c>
      <c r="F11538">
        <v>2020</v>
      </c>
      <c r="G11538">
        <v>163.49607499999999</v>
      </c>
    </row>
    <row r="11539" spans="1:7">
      <c r="A11539" t="s">
        <v>1297</v>
      </c>
      <c r="B11539" t="s">
        <v>1298</v>
      </c>
      <c r="C11539" t="s">
        <v>1302</v>
      </c>
      <c r="D11539" t="s">
        <v>1422</v>
      </c>
      <c r="E11539" t="s">
        <v>187</v>
      </c>
      <c r="F11539">
        <v>2005</v>
      </c>
      <c r="G11539">
        <v>11.342510000000001</v>
      </c>
    </row>
    <row r="11540" spans="1:7">
      <c r="A11540" t="s">
        <v>1297</v>
      </c>
      <c r="B11540" t="s">
        <v>1298</v>
      </c>
      <c r="C11540" t="s">
        <v>1302</v>
      </c>
      <c r="D11540" t="s">
        <v>1422</v>
      </c>
      <c r="E11540" t="s">
        <v>187</v>
      </c>
      <c r="F11540">
        <v>2010</v>
      </c>
      <c r="G11540">
        <v>13.38298</v>
      </c>
    </row>
    <row r="11541" spans="1:7">
      <c r="A11541" t="s">
        <v>1297</v>
      </c>
      <c r="B11541" t="s">
        <v>1298</v>
      </c>
      <c r="C11541" t="s">
        <v>1302</v>
      </c>
      <c r="D11541" t="s">
        <v>1422</v>
      </c>
      <c r="E11541" t="s">
        <v>187</v>
      </c>
      <c r="F11541">
        <v>2012</v>
      </c>
      <c r="G11541">
        <v>13.962387</v>
      </c>
    </row>
    <row r="11542" spans="1:7">
      <c r="A11542" t="s">
        <v>1297</v>
      </c>
      <c r="B11542" t="s">
        <v>1298</v>
      </c>
      <c r="C11542" t="s">
        <v>1302</v>
      </c>
      <c r="D11542" t="s">
        <v>1422</v>
      </c>
      <c r="E11542" t="s">
        <v>187</v>
      </c>
      <c r="F11542">
        <v>2016</v>
      </c>
      <c r="G11542">
        <v>16.578935999999999</v>
      </c>
    </row>
    <row r="11543" spans="1:7">
      <c r="A11543" t="s">
        <v>1297</v>
      </c>
      <c r="B11543" t="s">
        <v>1298</v>
      </c>
      <c r="C11543" t="s">
        <v>1302</v>
      </c>
      <c r="D11543" t="s">
        <v>1422</v>
      </c>
      <c r="E11543" t="s">
        <v>187</v>
      </c>
      <c r="F11543">
        <v>2020</v>
      </c>
      <c r="G11543">
        <v>17.927215</v>
      </c>
    </row>
    <row r="11544" spans="1:7">
      <c r="A11544" t="s">
        <v>1297</v>
      </c>
      <c r="B11544" t="s">
        <v>1298</v>
      </c>
      <c r="C11544" t="s">
        <v>653</v>
      </c>
      <c r="D11544" t="s">
        <v>1422</v>
      </c>
      <c r="E11544" t="s">
        <v>187</v>
      </c>
      <c r="F11544">
        <v>2005</v>
      </c>
      <c r="G11544">
        <v>102.125585</v>
      </c>
    </row>
    <row r="11545" spans="1:7">
      <c r="A11545" t="s">
        <v>1297</v>
      </c>
      <c r="B11545" t="s">
        <v>1298</v>
      </c>
      <c r="C11545" t="s">
        <v>653</v>
      </c>
      <c r="D11545" t="s">
        <v>1422</v>
      </c>
      <c r="E11545" t="s">
        <v>187</v>
      </c>
      <c r="F11545">
        <v>2010</v>
      </c>
      <c r="G11545">
        <v>102.1698</v>
      </c>
    </row>
    <row r="11546" spans="1:7">
      <c r="A11546" t="s">
        <v>1297</v>
      </c>
      <c r="B11546" t="s">
        <v>1298</v>
      </c>
      <c r="C11546" t="s">
        <v>653</v>
      </c>
      <c r="D11546" t="s">
        <v>1422</v>
      </c>
      <c r="E11546" t="s">
        <v>187</v>
      </c>
      <c r="F11546">
        <v>2012</v>
      </c>
      <c r="G11546">
        <v>106.1028</v>
      </c>
    </row>
    <row r="11547" spans="1:7">
      <c r="A11547" t="s">
        <v>1297</v>
      </c>
      <c r="B11547" t="s">
        <v>1298</v>
      </c>
      <c r="C11547" t="s">
        <v>653</v>
      </c>
      <c r="D11547" t="s">
        <v>1422</v>
      </c>
      <c r="E11547" t="s">
        <v>187</v>
      </c>
      <c r="F11547">
        <v>2016</v>
      </c>
      <c r="G11547">
        <v>119.608</v>
      </c>
    </row>
    <row r="11548" spans="1:7">
      <c r="A11548" t="s">
        <v>1297</v>
      </c>
      <c r="B11548" t="s">
        <v>1298</v>
      </c>
      <c r="C11548" t="s">
        <v>653</v>
      </c>
      <c r="D11548" t="s">
        <v>1422</v>
      </c>
      <c r="E11548" t="s">
        <v>187</v>
      </c>
      <c r="F11548">
        <v>2020</v>
      </c>
      <c r="G11548">
        <v>128.02067299999999</v>
      </c>
    </row>
    <row r="11549" spans="1:7">
      <c r="A11549" t="s">
        <v>1297</v>
      </c>
      <c r="B11549" t="s">
        <v>1298</v>
      </c>
      <c r="C11549" t="s">
        <v>660</v>
      </c>
      <c r="D11549" t="s">
        <v>1422</v>
      </c>
      <c r="E11549" t="s">
        <v>187</v>
      </c>
      <c r="F11549">
        <v>2005</v>
      </c>
      <c r="G11549">
        <v>173.63319999999999</v>
      </c>
    </row>
    <row r="11550" spans="1:7">
      <c r="A11550" t="s">
        <v>1297</v>
      </c>
      <c r="B11550" t="s">
        <v>1298</v>
      </c>
      <c r="C11550" t="s">
        <v>660</v>
      </c>
      <c r="D11550" t="s">
        <v>1422</v>
      </c>
      <c r="E11550" t="s">
        <v>187</v>
      </c>
      <c r="F11550">
        <v>2010</v>
      </c>
      <c r="G11550">
        <v>171.06003799999999</v>
      </c>
    </row>
    <row r="11551" spans="1:7">
      <c r="A11551" t="s">
        <v>1297</v>
      </c>
      <c r="B11551" t="s">
        <v>1298</v>
      </c>
      <c r="C11551" t="s">
        <v>660</v>
      </c>
      <c r="D11551" t="s">
        <v>1422</v>
      </c>
      <c r="E11551" t="s">
        <v>187</v>
      </c>
      <c r="F11551">
        <v>2012</v>
      </c>
      <c r="G11551">
        <v>164.41004000000001</v>
      </c>
    </row>
    <row r="11552" spans="1:7">
      <c r="A11552" t="s">
        <v>1297</v>
      </c>
      <c r="B11552" t="s">
        <v>1298</v>
      </c>
      <c r="C11552" t="s">
        <v>660</v>
      </c>
      <c r="D11552" t="s">
        <v>1422</v>
      </c>
      <c r="E11552" t="s">
        <v>187</v>
      </c>
      <c r="F11552">
        <v>2016</v>
      </c>
      <c r="G11552">
        <v>164.72753399999999</v>
      </c>
    </row>
    <row r="11553" spans="1:7">
      <c r="A11553" t="s">
        <v>1297</v>
      </c>
      <c r="B11553" t="s">
        <v>1298</v>
      </c>
      <c r="C11553" t="s">
        <v>660</v>
      </c>
      <c r="D11553" t="s">
        <v>1422</v>
      </c>
      <c r="E11553" t="s">
        <v>187</v>
      </c>
      <c r="F11553">
        <v>2020</v>
      </c>
      <c r="G11553">
        <v>153.11857699999999</v>
      </c>
    </row>
    <row r="11554" spans="1:7">
      <c r="A11554" t="s">
        <v>1297</v>
      </c>
      <c r="B11554" t="s">
        <v>1298</v>
      </c>
      <c r="C11554" t="s">
        <v>673</v>
      </c>
      <c r="D11554" t="s">
        <v>1422</v>
      </c>
      <c r="E11554" t="s">
        <v>187</v>
      </c>
      <c r="F11554">
        <v>2005</v>
      </c>
      <c r="G11554">
        <v>166.75599600000001</v>
      </c>
    </row>
    <row r="11555" spans="1:7">
      <c r="A11555" t="s">
        <v>1297</v>
      </c>
      <c r="B11555" t="s">
        <v>1298</v>
      </c>
      <c r="C11555" t="s">
        <v>673</v>
      </c>
      <c r="D11555" t="s">
        <v>1422</v>
      </c>
      <c r="E11555" t="s">
        <v>187</v>
      </c>
      <c r="F11555">
        <v>2010</v>
      </c>
      <c r="G11555">
        <v>197.73689200000001</v>
      </c>
    </row>
    <row r="11556" spans="1:7">
      <c r="A11556" t="s">
        <v>1297</v>
      </c>
      <c r="B11556" t="s">
        <v>1298</v>
      </c>
      <c r="C11556" t="s">
        <v>673</v>
      </c>
      <c r="D11556" t="s">
        <v>1422</v>
      </c>
      <c r="E11556" t="s">
        <v>187</v>
      </c>
      <c r="F11556">
        <v>2012</v>
      </c>
      <c r="G11556">
        <v>209.84291099999999</v>
      </c>
    </row>
    <row r="11557" spans="1:7">
      <c r="A11557" t="s">
        <v>1297</v>
      </c>
      <c r="B11557" t="s">
        <v>1298</v>
      </c>
      <c r="C11557" t="s">
        <v>673</v>
      </c>
      <c r="D11557" t="s">
        <v>1422</v>
      </c>
      <c r="E11557" t="s">
        <v>187</v>
      </c>
      <c r="F11557">
        <v>2016</v>
      </c>
      <c r="G11557">
        <v>225.65575899999999</v>
      </c>
    </row>
    <row r="11558" spans="1:7">
      <c r="A11558" t="s">
        <v>1297</v>
      </c>
      <c r="B11558" t="s">
        <v>1298</v>
      </c>
      <c r="C11558" t="s">
        <v>673</v>
      </c>
      <c r="D11558" t="s">
        <v>1422</v>
      </c>
      <c r="E11558" t="s">
        <v>187</v>
      </c>
      <c r="F11558">
        <v>2020</v>
      </c>
      <c r="G11558">
        <v>254.067125</v>
      </c>
    </row>
    <row r="11559" spans="1:7">
      <c r="A11559" t="s">
        <v>1297</v>
      </c>
      <c r="B11559" t="s">
        <v>1298</v>
      </c>
      <c r="C11559" t="s">
        <v>1301</v>
      </c>
      <c r="D11559" t="s">
        <v>1422</v>
      </c>
      <c r="E11559" t="s">
        <v>187</v>
      </c>
      <c r="F11559">
        <v>2005</v>
      </c>
      <c r="G11559">
        <v>519.49469999999997</v>
      </c>
    </row>
    <row r="11560" spans="1:7">
      <c r="A11560" t="s">
        <v>1297</v>
      </c>
      <c r="B11560" t="s">
        <v>1298</v>
      </c>
      <c r="C11560" t="s">
        <v>1301</v>
      </c>
      <c r="D11560" t="s">
        <v>1422</v>
      </c>
      <c r="E11560" t="s">
        <v>187</v>
      </c>
      <c r="F11560">
        <v>2010</v>
      </c>
      <c r="G11560">
        <v>608.70849999999996</v>
      </c>
    </row>
    <row r="11561" spans="1:7">
      <c r="A11561" t="s">
        <v>1297</v>
      </c>
      <c r="B11561" t="s">
        <v>1298</v>
      </c>
      <c r="C11561" t="s">
        <v>1301</v>
      </c>
      <c r="D11561" t="s">
        <v>1422</v>
      </c>
      <c r="E11561" t="s">
        <v>187</v>
      </c>
      <c r="F11561">
        <v>2012</v>
      </c>
      <c r="G11561">
        <v>727.86256600000002</v>
      </c>
    </row>
    <row r="11562" spans="1:7">
      <c r="A11562" t="s">
        <v>1297</v>
      </c>
      <c r="B11562" t="s">
        <v>1298</v>
      </c>
      <c r="C11562" t="s">
        <v>1301</v>
      </c>
      <c r="D11562" t="s">
        <v>1422</v>
      </c>
      <c r="E11562" t="s">
        <v>187</v>
      </c>
      <c r="F11562">
        <v>2016</v>
      </c>
      <c r="G11562">
        <v>1106.1831</v>
      </c>
    </row>
    <row r="11563" spans="1:7">
      <c r="A11563" t="s">
        <v>1297</v>
      </c>
      <c r="B11563" t="s">
        <v>1298</v>
      </c>
      <c r="C11563" t="s">
        <v>1301</v>
      </c>
      <c r="D11563" t="s">
        <v>1422</v>
      </c>
      <c r="E11563" t="s">
        <v>187</v>
      </c>
      <c r="F11563">
        <v>2020</v>
      </c>
      <c r="G11563">
        <v>1161.7420999999999</v>
      </c>
    </row>
    <row r="11564" spans="1:7">
      <c r="A11564" t="s">
        <v>1297</v>
      </c>
      <c r="B11564" t="s">
        <v>1298</v>
      </c>
      <c r="C11564" t="s">
        <v>665</v>
      </c>
      <c r="D11564" t="s">
        <v>1422</v>
      </c>
      <c r="E11564" t="s">
        <v>187</v>
      </c>
      <c r="F11564">
        <v>2005</v>
      </c>
      <c r="G11564">
        <v>1692.7154</v>
      </c>
    </row>
    <row r="11565" spans="1:7">
      <c r="A11565" t="s">
        <v>1297</v>
      </c>
      <c r="B11565" t="s">
        <v>1298</v>
      </c>
      <c r="C11565" t="s">
        <v>665</v>
      </c>
      <c r="D11565" t="s">
        <v>1422</v>
      </c>
      <c r="E11565" t="s">
        <v>187</v>
      </c>
      <c r="F11565">
        <v>2010</v>
      </c>
      <c r="G11565">
        <v>1487.7568000000001</v>
      </c>
    </row>
    <row r="11566" spans="1:7">
      <c r="A11566" t="s">
        <v>1297</v>
      </c>
      <c r="B11566" t="s">
        <v>1298</v>
      </c>
      <c r="C11566" t="s">
        <v>665</v>
      </c>
      <c r="D11566" t="s">
        <v>1422</v>
      </c>
      <c r="E11566" t="s">
        <v>187</v>
      </c>
      <c r="F11566">
        <v>2012</v>
      </c>
      <c r="G11566">
        <v>1388.7574</v>
      </c>
    </row>
    <row r="11567" spans="1:7">
      <c r="A11567" t="s">
        <v>1297</v>
      </c>
      <c r="B11567" t="s">
        <v>1298</v>
      </c>
      <c r="C11567" t="s">
        <v>665</v>
      </c>
      <c r="D11567" t="s">
        <v>1422</v>
      </c>
      <c r="E11567" t="s">
        <v>187</v>
      </c>
      <c r="F11567">
        <v>2016</v>
      </c>
      <c r="G11567">
        <v>1369.4236000000001</v>
      </c>
    </row>
    <row r="11568" spans="1:7">
      <c r="A11568" t="s">
        <v>1297</v>
      </c>
      <c r="B11568" t="s">
        <v>1298</v>
      </c>
      <c r="C11568" t="s">
        <v>665</v>
      </c>
      <c r="D11568" t="s">
        <v>1422</v>
      </c>
      <c r="E11568" t="s">
        <v>187</v>
      </c>
      <c r="F11568">
        <v>2020</v>
      </c>
      <c r="G11568">
        <v>1358.4229680000001</v>
      </c>
    </row>
    <row r="11569" spans="1:7">
      <c r="A11569" t="s">
        <v>1297</v>
      </c>
      <c r="B11569" t="s">
        <v>1298</v>
      </c>
      <c r="C11569" t="s">
        <v>654</v>
      </c>
      <c r="D11569" t="s">
        <v>1422</v>
      </c>
      <c r="E11569" t="s">
        <v>187</v>
      </c>
      <c r="F11569">
        <v>2005</v>
      </c>
      <c r="G11569">
        <v>28.300899999999999</v>
      </c>
    </row>
    <row r="11570" spans="1:7">
      <c r="A11570" t="s">
        <v>1297</v>
      </c>
      <c r="B11570" t="s">
        <v>1298</v>
      </c>
      <c r="C11570" t="s">
        <v>654</v>
      </c>
      <c r="D11570" t="s">
        <v>1422</v>
      </c>
      <c r="E11570" t="s">
        <v>187</v>
      </c>
      <c r="F11570">
        <v>2010</v>
      </c>
      <c r="G11570">
        <v>31.418735999999999</v>
      </c>
    </row>
    <row r="11571" spans="1:7">
      <c r="A11571" t="s">
        <v>1297</v>
      </c>
      <c r="B11571" t="s">
        <v>1298</v>
      </c>
      <c r="C11571" t="s">
        <v>654</v>
      </c>
      <c r="D11571" t="s">
        <v>1422</v>
      </c>
      <c r="E11571" t="s">
        <v>187</v>
      </c>
      <c r="F11571">
        <v>2012</v>
      </c>
      <c r="G11571">
        <v>28.136704000000002</v>
      </c>
    </row>
    <row r="11572" spans="1:7">
      <c r="A11572" t="s">
        <v>1297</v>
      </c>
      <c r="B11572" t="s">
        <v>1298</v>
      </c>
      <c r="C11572" t="s">
        <v>654</v>
      </c>
      <c r="D11572" t="s">
        <v>1422</v>
      </c>
      <c r="E11572" t="s">
        <v>187</v>
      </c>
      <c r="F11572">
        <v>2016</v>
      </c>
      <c r="G11572">
        <v>27.185296000000001</v>
      </c>
    </row>
    <row r="11573" spans="1:7">
      <c r="A11573" t="s">
        <v>1297</v>
      </c>
      <c r="B11573" t="s">
        <v>1298</v>
      </c>
      <c r="C11573" t="s">
        <v>654</v>
      </c>
      <c r="D11573" t="s">
        <v>1422</v>
      </c>
      <c r="E11573" t="s">
        <v>187</v>
      </c>
      <c r="F11573">
        <v>2020</v>
      </c>
      <c r="G11573">
        <v>28.565957999999998</v>
      </c>
    </row>
    <row r="11574" spans="1:7">
      <c r="A11574" t="s">
        <v>1297</v>
      </c>
      <c r="B11574" t="s">
        <v>1298</v>
      </c>
      <c r="C11574" t="s">
        <v>657</v>
      </c>
      <c r="D11574" t="s">
        <v>1422</v>
      </c>
      <c r="E11574" t="s">
        <v>187</v>
      </c>
      <c r="F11574">
        <v>2005</v>
      </c>
      <c r="G11574">
        <v>185.357</v>
      </c>
    </row>
    <row r="11575" spans="1:7">
      <c r="A11575" t="s">
        <v>1297</v>
      </c>
      <c r="B11575" t="s">
        <v>1298</v>
      </c>
      <c r="C11575" t="s">
        <v>657</v>
      </c>
      <c r="D11575" t="s">
        <v>1422</v>
      </c>
      <c r="E11575" t="s">
        <v>187</v>
      </c>
      <c r="F11575">
        <v>2010</v>
      </c>
      <c r="G11575">
        <v>180.49234999999999</v>
      </c>
    </row>
    <row r="11576" spans="1:7">
      <c r="A11576" t="s">
        <v>1297</v>
      </c>
      <c r="B11576" t="s">
        <v>1298</v>
      </c>
      <c r="C11576" t="s">
        <v>657</v>
      </c>
      <c r="D11576" t="s">
        <v>1422</v>
      </c>
      <c r="E11576" t="s">
        <v>187</v>
      </c>
      <c r="F11576">
        <v>2012</v>
      </c>
      <c r="G11576">
        <v>160.86415</v>
      </c>
    </row>
    <row r="11577" spans="1:7">
      <c r="A11577" t="s">
        <v>1297</v>
      </c>
      <c r="B11577" t="s">
        <v>1298</v>
      </c>
      <c r="C11577" t="s">
        <v>657</v>
      </c>
      <c r="D11577" t="s">
        <v>1422</v>
      </c>
      <c r="E11577" t="s">
        <v>187</v>
      </c>
      <c r="F11577">
        <v>2016</v>
      </c>
      <c r="G11577">
        <v>167.29887600000001</v>
      </c>
    </row>
    <row r="11578" spans="1:7">
      <c r="A11578" t="s">
        <v>1297</v>
      </c>
      <c r="B11578" t="s">
        <v>1298</v>
      </c>
      <c r="C11578" t="s">
        <v>657</v>
      </c>
      <c r="D11578" t="s">
        <v>1422</v>
      </c>
      <c r="E11578" t="s">
        <v>187</v>
      </c>
      <c r="F11578">
        <v>2020</v>
      </c>
      <c r="G11578">
        <v>166.71985000000001</v>
      </c>
    </row>
    <row r="11579" spans="1:7">
      <c r="A11579" t="s">
        <v>1297</v>
      </c>
      <c r="B11579" t="s">
        <v>1298</v>
      </c>
      <c r="C11579" t="s">
        <v>669</v>
      </c>
      <c r="D11579" t="s">
        <v>1422</v>
      </c>
      <c r="E11579" t="s">
        <v>187</v>
      </c>
      <c r="F11579">
        <v>2005</v>
      </c>
      <c r="G11579">
        <v>6.9139999999999997</v>
      </c>
    </row>
    <row r="11580" spans="1:7">
      <c r="A11580" t="s">
        <v>1297</v>
      </c>
      <c r="B11580" t="s">
        <v>1298</v>
      </c>
      <c r="C11580" t="s">
        <v>669</v>
      </c>
      <c r="D11580" t="s">
        <v>1422</v>
      </c>
      <c r="E11580" t="s">
        <v>187</v>
      </c>
      <c r="F11580">
        <v>2010</v>
      </c>
      <c r="G11580">
        <v>7.7309999999999999</v>
      </c>
    </row>
    <row r="11581" spans="1:7">
      <c r="A11581" t="s">
        <v>1297</v>
      </c>
      <c r="B11581" t="s">
        <v>1298</v>
      </c>
      <c r="C11581" t="s">
        <v>669</v>
      </c>
      <c r="D11581" t="s">
        <v>1422</v>
      </c>
      <c r="E11581" t="s">
        <v>187</v>
      </c>
      <c r="F11581">
        <v>2012</v>
      </c>
      <c r="G11581">
        <v>7.476</v>
      </c>
    </row>
    <row r="11582" spans="1:7">
      <c r="A11582" t="s">
        <v>1297</v>
      </c>
      <c r="B11582" t="s">
        <v>1298</v>
      </c>
      <c r="C11582" t="s">
        <v>669</v>
      </c>
      <c r="D11582" t="s">
        <v>1422</v>
      </c>
      <c r="E11582" t="s">
        <v>187</v>
      </c>
      <c r="F11582">
        <v>2016</v>
      </c>
      <c r="G11582">
        <v>8.0869999999999997</v>
      </c>
    </row>
    <row r="11583" spans="1:7">
      <c r="A11583" t="s">
        <v>1297</v>
      </c>
      <c r="B11583" t="s">
        <v>1298</v>
      </c>
      <c r="C11583" t="s">
        <v>669</v>
      </c>
      <c r="D11583" t="s">
        <v>1422</v>
      </c>
      <c r="E11583" t="s">
        <v>187</v>
      </c>
      <c r="F11583">
        <v>2020</v>
      </c>
      <c r="G11583">
        <v>10.102966</v>
      </c>
    </row>
    <row r="11584" spans="1:7">
      <c r="A11584" t="s">
        <v>1297</v>
      </c>
      <c r="B11584" t="s">
        <v>1298</v>
      </c>
      <c r="C11584" t="s">
        <v>651</v>
      </c>
      <c r="D11584" t="s">
        <v>1422</v>
      </c>
      <c r="E11584" t="s">
        <v>187</v>
      </c>
      <c r="F11584">
        <v>2005</v>
      </c>
      <c r="G11584">
        <v>330.41663799999998</v>
      </c>
    </row>
    <row r="11585" spans="1:7">
      <c r="A11585" t="s">
        <v>1297</v>
      </c>
      <c r="B11585" t="s">
        <v>1298</v>
      </c>
      <c r="C11585" t="s">
        <v>651</v>
      </c>
      <c r="D11585" t="s">
        <v>1422</v>
      </c>
      <c r="E11585" t="s">
        <v>187</v>
      </c>
      <c r="F11585">
        <v>2010</v>
      </c>
      <c r="G11585">
        <v>300.66660999999999</v>
      </c>
    </row>
    <row r="11586" spans="1:7">
      <c r="A11586" t="s">
        <v>1297</v>
      </c>
      <c r="B11586" t="s">
        <v>1298</v>
      </c>
      <c r="C11586" t="s">
        <v>651</v>
      </c>
      <c r="D11586" t="s">
        <v>1422</v>
      </c>
      <c r="E11586" t="s">
        <v>187</v>
      </c>
      <c r="F11586">
        <v>2012</v>
      </c>
      <c r="G11586">
        <v>285.79161099999999</v>
      </c>
    </row>
    <row r="11587" spans="1:7">
      <c r="A11587" t="s">
        <v>1297</v>
      </c>
      <c r="B11587" t="s">
        <v>1298</v>
      </c>
      <c r="C11587" t="s">
        <v>651</v>
      </c>
      <c r="D11587" t="s">
        <v>1422</v>
      </c>
      <c r="E11587" t="s">
        <v>187</v>
      </c>
      <c r="F11587">
        <v>2016</v>
      </c>
      <c r="G11587">
        <v>314.67320999999998</v>
      </c>
    </row>
    <row r="11588" spans="1:7">
      <c r="A11588" t="s">
        <v>1297</v>
      </c>
      <c r="B11588" t="s">
        <v>1298</v>
      </c>
      <c r="C11588" t="s">
        <v>651</v>
      </c>
      <c r="D11588" t="s">
        <v>1422</v>
      </c>
      <c r="E11588" t="s">
        <v>187</v>
      </c>
      <c r="F11588">
        <v>2020</v>
      </c>
      <c r="G11588">
        <v>330.007114</v>
      </c>
    </row>
    <row r="11589" spans="1:7">
      <c r="A11589" t="s">
        <v>1297</v>
      </c>
      <c r="B11589" t="s">
        <v>1298</v>
      </c>
      <c r="C11589" t="s">
        <v>656</v>
      </c>
      <c r="D11589" t="s">
        <v>1422</v>
      </c>
      <c r="E11589" t="s">
        <v>187</v>
      </c>
      <c r="F11589">
        <v>2005</v>
      </c>
      <c r="G11589">
        <v>2137.1686530000002</v>
      </c>
    </row>
    <row r="11590" spans="1:7">
      <c r="A11590" t="s">
        <v>1297</v>
      </c>
      <c r="B11590" t="s">
        <v>1298</v>
      </c>
      <c r="C11590" t="s">
        <v>656</v>
      </c>
      <c r="D11590" t="s">
        <v>1422</v>
      </c>
      <c r="E11590" t="s">
        <v>187</v>
      </c>
      <c r="F11590">
        <v>2010</v>
      </c>
      <c r="G11590">
        <v>2039.555083</v>
      </c>
    </row>
    <row r="11591" spans="1:7">
      <c r="A11591" t="s">
        <v>1297</v>
      </c>
      <c r="B11591" t="s">
        <v>1298</v>
      </c>
      <c r="C11591" t="s">
        <v>656</v>
      </c>
      <c r="D11591" t="s">
        <v>1422</v>
      </c>
      <c r="E11591" t="s">
        <v>187</v>
      </c>
      <c r="F11591">
        <v>2012</v>
      </c>
      <c r="G11591">
        <v>2043.3215439999999</v>
      </c>
    </row>
    <row r="11592" spans="1:7">
      <c r="A11592" t="s">
        <v>1297</v>
      </c>
      <c r="B11592" t="s">
        <v>1298</v>
      </c>
      <c r="C11592" t="s">
        <v>656</v>
      </c>
      <c r="D11592" t="s">
        <v>1422</v>
      </c>
      <c r="E11592" t="s">
        <v>187</v>
      </c>
      <c r="F11592">
        <v>2016</v>
      </c>
      <c r="G11592">
        <v>2199.305143</v>
      </c>
    </row>
    <row r="11593" spans="1:7">
      <c r="A11593" t="s">
        <v>1297</v>
      </c>
      <c r="B11593" t="s">
        <v>1298</v>
      </c>
      <c r="C11593" t="s">
        <v>656</v>
      </c>
      <c r="D11593" t="s">
        <v>1422</v>
      </c>
      <c r="E11593" t="s">
        <v>187</v>
      </c>
      <c r="F11593">
        <v>2020</v>
      </c>
      <c r="G11593">
        <v>2172.557906</v>
      </c>
    </row>
    <row r="11594" spans="1:7">
      <c r="A11594" t="s">
        <v>1297</v>
      </c>
      <c r="B11594" t="s">
        <v>1298</v>
      </c>
      <c r="C11594" t="s">
        <v>677</v>
      </c>
      <c r="D11594" t="s">
        <v>1422</v>
      </c>
      <c r="E11594" t="s">
        <v>187</v>
      </c>
      <c r="F11594">
        <v>2005</v>
      </c>
      <c r="G11594">
        <v>1793.5910040000001</v>
      </c>
    </row>
    <row r="11595" spans="1:7">
      <c r="A11595" t="s">
        <v>1297</v>
      </c>
      <c r="B11595" t="s">
        <v>1298</v>
      </c>
      <c r="C11595" t="s">
        <v>677</v>
      </c>
      <c r="D11595" t="s">
        <v>1422</v>
      </c>
      <c r="E11595" t="s">
        <v>187</v>
      </c>
      <c r="F11595">
        <v>2010</v>
      </c>
      <c r="G11595">
        <v>1629.64932</v>
      </c>
    </row>
    <row r="11596" spans="1:7">
      <c r="A11596" t="s">
        <v>1297</v>
      </c>
      <c r="B11596" t="s">
        <v>1298</v>
      </c>
      <c r="C11596" t="s">
        <v>677</v>
      </c>
      <c r="D11596" t="s">
        <v>1422</v>
      </c>
      <c r="E11596" t="s">
        <v>187</v>
      </c>
      <c r="F11596">
        <v>2012</v>
      </c>
      <c r="G11596">
        <v>1610.1237599999999</v>
      </c>
    </row>
    <row r="11597" spans="1:7">
      <c r="A11597" t="s">
        <v>1297</v>
      </c>
      <c r="B11597" t="s">
        <v>1298</v>
      </c>
      <c r="C11597" t="s">
        <v>677</v>
      </c>
      <c r="D11597" t="s">
        <v>1422</v>
      </c>
      <c r="E11597" t="s">
        <v>187</v>
      </c>
      <c r="F11597">
        <v>2016</v>
      </c>
      <c r="G11597">
        <v>1693.761825</v>
      </c>
    </row>
    <row r="11598" spans="1:7">
      <c r="A11598" t="s">
        <v>1297</v>
      </c>
      <c r="B11598" t="s">
        <v>1298</v>
      </c>
      <c r="C11598" t="s">
        <v>677</v>
      </c>
      <c r="D11598" t="s">
        <v>1422</v>
      </c>
      <c r="E11598" t="s">
        <v>187</v>
      </c>
      <c r="F11598">
        <v>2020</v>
      </c>
      <c r="G11598">
        <v>1646.719779</v>
      </c>
    </row>
    <row r="11599" spans="1:7">
      <c r="A11599" t="s">
        <v>1297</v>
      </c>
      <c r="B11599" t="s">
        <v>1298</v>
      </c>
      <c r="C11599" t="s">
        <v>289</v>
      </c>
      <c r="D11599" t="s">
        <v>1422</v>
      </c>
      <c r="E11599" t="s">
        <v>187</v>
      </c>
      <c r="F11599">
        <v>2005</v>
      </c>
      <c r="G11599">
        <v>75.832420999999997</v>
      </c>
    </row>
    <row r="11600" spans="1:7">
      <c r="A11600" t="s">
        <v>1297</v>
      </c>
      <c r="B11600" t="s">
        <v>1298</v>
      </c>
      <c r="C11600" t="s">
        <v>289</v>
      </c>
      <c r="D11600" t="s">
        <v>1422</v>
      </c>
      <c r="E11600" t="s">
        <v>187</v>
      </c>
      <c r="F11600">
        <v>2010</v>
      </c>
      <c r="G11600">
        <v>81.786282</v>
      </c>
    </row>
    <row r="11601" spans="1:7">
      <c r="A11601" t="s">
        <v>1297</v>
      </c>
      <c r="B11601" t="s">
        <v>1298</v>
      </c>
      <c r="C11601" t="s">
        <v>289</v>
      </c>
      <c r="D11601" t="s">
        <v>1422</v>
      </c>
      <c r="E11601" t="s">
        <v>187</v>
      </c>
      <c r="F11601">
        <v>2012</v>
      </c>
      <c r="G11601">
        <v>77.262315000000001</v>
      </c>
    </row>
    <row r="11602" spans="1:7">
      <c r="A11602" t="s">
        <v>1297</v>
      </c>
      <c r="B11602" t="s">
        <v>1298</v>
      </c>
      <c r="C11602" t="s">
        <v>289</v>
      </c>
      <c r="D11602" t="s">
        <v>1422</v>
      </c>
      <c r="E11602" t="s">
        <v>187</v>
      </c>
      <c r="F11602">
        <v>2016</v>
      </c>
      <c r="G11602">
        <v>84.509516000000005</v>
      </c>
    </row>
    <row r="11603" spans="1:7">
      <c r="A11603" t="s">
        <v>1297</v>
      </c>
      <c r="B11603" t="s">
        <v>1298</v>
      </c>
      <c r="C11603" t="s">
        <v>289</v>
      </c>
      <c r="D11603" t="s">
        <v>1422</v>
      </c>
      <c r="E11603" t="s">
        <v>187</v>
      </c>
      <c r="F11603">
        <v>2020</v>
      </c>
      <c r="G11603">
        <v>89.812337999999997</v>
      </c>
    </row>
    <row r="11604" spans="1:7">
      <c r="A11604" t="s">
        <v>1297</v>
      </c>
      <c r="B11604" t="s">
        <v>1298</v>
      </c>
      <c r="C11604" t="s">
        <v>680</v>
      </c>
      <c r="D11604" t="s">
        <v>1422</v>
      </c>
      <c r="E11604" t="s">
        <v>187</v>
      </c>
      <c r="F11604">
        <v>2005</v>
      </c>
      <c r="G11604">
        <v>9.5755999999999997</v>
      </c>
    </row>
    <row r="11605" spans="1:7">
      <c r="A11605" t="s">
        <v>1297</v>
      </c>
      <c r="B11605" t="s">
        <v>1298</v>
      </c>
      <c r="C11605" t="s">
        <v>680</v>
      </c>
      <c r="D11605" t="s">
        <v>1422</v>
      </c>
      <c r="E11605" t="s">
        <v>187</v>
      </c>
      <c r="F11605">
        <v>2010</v>
      </c>
      <c r="G11605">
        <v>11.887499999999999</v>
      </c>
    </row>
    <row r="11606" spans="1:7">
      <c r="A11606" t="s">
        <v>1297</v>
      </c>
      <c r="B11606" t="s">
        <v>1298</v>
      </c>
      <c r="C11606" t="s">
        <v>680</v>
      </c>
      <c r="D11606" t="s">
        <v>1422</v>
      </c>
      <c r="E11606" t="s">
        <v>187</v>
      </c>
      <c r="F11606">
        <v>2012</v>
      </c>
      <c r="G11606">
        <v>11.237</v>
      </c>
    </row>
    <row r="11607" spans="1:7">
      <c r="A11607" t="s">
        <v>1297</v>
      </c>
      <c r="B11607" t="s">
        <v>1298</v>
      </c>
      <c r="C11607" t="s">
        <v>680</v>
      </c>
      <c r="D11607" t="s">
        <v>1422</v>
      </c>
      <c r="E11607" t="s">
        <v>187</v>
      </c>
      <c r="F11607">
        <v>2016</v>
      </c>
      <c r="G11607">
        <v>13.014984999999999</v>
      </c>
    </row>
    <row r="11608" spans="1:7">
      <c r="A11608" t="s">
        <v>1297</v>
      </c>
      <c r="B11608" t="s">
        <v>1298</v>
      </c>
      <c r="C11608" t="s">
        <v>680</v>
      </c>
      <c r="D11608" t="s">
        <v>1422</v>
      </c>
      <c r="E11608" t="s">
        <v>187</v>
      </c>
      <c r="F11608">
        <v>2020</v>
      </c>
      <c r="G11608">
        <v>14.133903</v>
      </c>
    </row>
    <row r="11609" spans="1:7">
      <c r="A11609" t="s">
        <v>1297</v>
      </c>
      <c r="B11609" t="s">
        <v>1298</v>
      </c>
      <c r="C11609" t="s">
        <v>679</v>
      </c>
      <c r="D11609" t="s">
        <v>1422</v>
      </c>
      <c r="E11609" t="s">
        <v>187</v>
      </c>
      <c r="F11609">
        <v>2005</v>
      </c>
      <c r="G11609">
        <v>181.87370000000001</v>
      </c>
    </row>
    <row r="11610" spans="1:7">
      <c r="A11610" t="s">
        <v>1297</v>
      </c>
      <c r="B11610" t="s">
        <v>1298</v>
      </c>
      <c r="C11610" t="s">
        <v>679</v>
      </c>
      <c r="D11610" t="s">
        <v>1422</v>
      </c>
      <c r="E11610" t="s">
        <v>187</v>
      </c>
      <c r="F11610">
        <v>2010</v>
      </c>
      <c r="G11610">
        <v>195.0444</v>
      </c>
    </row>
    <row r="11611" spans="1:7">
      <c r="A11611" t="s">
        <v>1297</v>
      </c>
      <c r="B11611" t="s">
        <v>1298</v>
      </c>
      <c r="C11611" t="s">
        <v>679</v>
      </c>
      <c r="D11611" t="s">
        <v>1422</v>
      </c>
      <c r="E11611" t="s">
        <v>187</v>
      </c>
      <c r="F11611">
        <v>2012</v>
      </c>
      <c r="G11611">
        <v>182.7704</v>
      </c>
    </row>
    <row r="11612" spans="1:7">
      <c r="A11612" t="s">
        <v>1297</v>
      </c>
      <c r="B11612" t="s">
        <v>1298</v>
      </c>
      <c r="C11612" t="s">
        <v>679</v>
      </c>
      <c r="D11612" t="s">
        <v>1422</v>
      </c>
      <c r="E11612" t="s">
        <v>187</v>
      </c>
      <c r="F11612">
        <v>2016</v>
      </c>
      <c r="G11612">
        <v>186.2748</v>
      </c>
    </row>
    <row r="11613" spans="1:7">
      <c r="A11613" t="s">
        <v>1297</v>
      </c>
      <c r="B11613" t="s">
        <v>1298</v>
      </c>
      <c r="C11613" t="s">
        <v>679</v>
      </c>
      <c r="D11613" t="s">
        <v>1422</v>
      </c>
      <c r="E11613" t="s">
        <v>187</v>
      </c>
      <c r="F11613">
        <v>2020</v>
      </c>
      <c r="G11613">
        <v>156.421109</v>
      </c>
    </row>
    <row r="11614" spans="1:7">
      <c r="A11614" t="s">
        <v>1297</v>
      </c>
      <c r="B11614" t="s">
        <v>1298</v>
      </c>
      <c r="C11614" t="s">
        <v>659</v>
      </c>
      <c r="D11614" t="s">
        <v>1422</v>
      </c>
      <c r="E11614" t="s">
        <v>187</v>
      </c>
      <c r="F11614">
        <v>2005</v>
      </c>
      <c r="G11614">
        <v>1513.2800999999999</v>
      </c>
    </row>
    <row r="11615" spans="1:7">
      <c r="A11615" t="s">
        <v>1297</v>
      </c>
      <c r="B11615" t="s">
        <v>1298</v>
      </c>
      <c r="C11615" t="s">
        <v>659</v>
      </c>
      <c r="D11615" t="s">
        <v>1422</v>
      </c>
      <c r="E11615" t="s">
        <v>187</v>
      </c>
      <c r="F11615">
        <v>2010</v>
      </c>
      <c r="G11615">
        <v>1356.8326999999999</v>
      </c>
    </row>
    <row r="11616" spans="1:7">
      <c r="A11616" t="s">
        <v>1297</v>
      </c>
      <c r="B11616" t="s">
        <v>1298</v>
      </c>
      <c r="C11616" t="s">
        <v>659</v>
      </c>
      <c r="D11616" t="s">
        <v>1422</v>
      </c>
      <c r="E11616" t="s">
        <v>187</v>
      </c>
      <c r="F11616">
        <v>2012</v>
      </c>
      <c r="G11616">
        <v>1138.2643</v>
      </c>
    </row>
    <row r="11617" spans="1:7">
      <c r="A11617" t="s">
        <v>1297</v>
      </c>
      <c r="B11617" t="s">
        <v>1298</v>
      </c>
      <c r="C11617" t="s">
        <v>659</v>
      </c>
      <c r="D11617" t="s">
        <v>1422</v>
      </c>
      <c r="E11617" t="s">
        <v>187</v>
      </c>
      <c r="F11617">
        <v>2016</v>
      </c>
      <c r="G11617">
        <v>1214.8868</v>
      </c>
    </row>
    <row r="11618" spans="1:7">
      <c r="A11618" t="s">
        <v>1297</v>
      </c>
      <c r="B11618" t="s">
        <v>1298</v>
      </c>
      <c r="C11618" t="s">
        <v>659</v>
      </c>
      <c r="D11618" t="s">
        <v>1422</v>
      </c>
      <c r="E11618" t="s">
        <v>187</v>
      </c>
      <c r="F11618">
        <v>2020</v>
      </c>
      <c r="G11618">
        <v>1286.7119</v>
      </c>
    </row>
    <row r="11619" spans="1:7">
      <c r="A11619" t="s">
        <v>1297</v>
      </c>
      <c r="B11619" t="s">
        <v>1298</v>
      </c>
      <c r="C11619" t="s">
        <v>672</v>
      </c>
      <c r="D11619" t="s">
        <v>1422</v>
      </c>
      <c r="E11619" t="s">
        <v>187</v>
      </c>
      <c r="F11619">
        <v>2005</v>
      </c>
      <c r="G11619">
        <v>267.22149000000002</v>
      </c>
    </row>
    <row r="11620" spans="1:7">
      <c r="A11620" t="s">
        <v>1297</v>
      </c>
      <c r="B11620" t="s">
        <v>1298</v>
      </c>
      <c r="C11620" t="s">
        <v>672</v>
      </c>
      <c r="D11620" t="s">
        <v>1422</v>
      </c>
      <c r="E11620" t="s">
        <v>187</v>
      </c>
      <c r="F11620">
        <v>2010</v>
      </c>
      <c r="G11620">
        <v>255.529</v>
      </c>
    </row>
    <row r="11621" spans="1:7">
      <c r="A11621" t="s">
        <v>1297</v>
      </c>
      <c r="B11621" t="s">
        <v>1298</v>
      </c>
      <c r="C11621" t="s">
        <v>672</v>
      </c>
      <c r="D11621" t="s">
        <v>1422</v>
      </c>
      <c r="E11621" t="s">
        <v>187</v>
      </c>
      <c r="F11621">
        <v>2012</v>
      </c>
      <c r="G11621">
        <v>218.2</v>
      </c>
    </row>
    <row r="11622" spans="1:7">
      <c r="A11622" t="s">
        <v>1297</v>
      </c>
      <c r="B11622" t="s">
        <v>1298</v>
      </c>
      <c r="C11622" t="s">
        <v>672</v>
      </c>
      <c r="D11622" t="s">
        <v>1422</v>
      </c>
      <c r="E11622" t="s">
        <v>187</v>
      </c>
      <c r="F11622">
        <v>2016</v>
      </c>
      <c r="G11622">
        <v>225.036</v>
      </c>
    </row>
    <row r="11623" spans="1:7">
      <c r="A11623" t="s">
        <v>1297</v>
      </c>
      <c r="B11623" t="s">
        <v>1298</v>
      </c>
      <c r="C11623" t="s">
        <v>672</v>
      </c>
      <c r="D11623" t="s">
        <v>1422</v>
      </c>
      <c r="E11623" t="s">
        <v>187</v>
      </c>
      <c r="F11623">
        <v>2020</v>
      </c>
      <c r="G11623">
        <v>236.57689300000001</v>
      </c>
    </row>
    <row r="11624" spans="1:7">
      <c r="A11624" t="s">
        <v>1297</v>
      </c>
      <c r="B11624" t="s">
        <v>1298</v>
      </c>
      <c r="C11624" t="s">
        <v>663</v>
      </c>
      <c r="D11624" t="s">
        <v>1422</v>
      </c>
      <c r="E11624" t="s">
        <v>187</v>
      </c>
      <c r="F11624">
        <v>2005</v>
      </c>
      <c r="G11624">
        <v>164.62260000000001</v>
      </c>
    </row>
    <row r="11625" spans="1:7">
      <c r="A11625" t="s">
        <v>1297</v>
      </c>
      <c r="B11625" t="s">
        <v>1298</v>
      </c>
      <c r="C11625" t="s">
        <v>663</v>
      </c>
      <c r="D11625" t="s">
        <v>1422</v>
      </c>
      <c r="E11625" t="s">
        <v>187</v>
      </c>
      <c r="F11625">
        <v>2010</v>
      </c>
      <c r="G11625">
        <v>158.726</v>
      </c>
    </row>
    <row r="11626" spans="1:7">
      <c r="A11626" t="s">
        <v>1297</v>
      </c>
      <c r="B11626" t="s">
        <v>1298</v>
      </c>
      <c r="C11626" t="s">
        <v>663</v>
      </c>
      <c r="D11626" t="s">
        <v>1422</v>
      </c>
      <c r="E11626" t="s">
        <v>187</v>
      </c>
      <c r="F11626">
        <v>2012</v>
      </c>
      <c r="G11626">
        <v>142.18700000000001</v>
      </c>
    </row>
    <row r="11627" spans="1:7">
      <c r="A11627" t="s">
        <v>1297</v>
      </c>
      <c r="B11627" t="s">
        <v>1298</v>
      </c>
      <c r="C11627" t="s">
        <v>663</v>
      </c>
      <c r="D11627" t="s">
        <v>1422</v>
      </c>
      <c r="E11627" t="s">
        <v>187</v>
      </c>
      <c r="F11627">
        <v>2016</v>
      </c>
      <c r="G11627">
        <v>164.3415</v>
      </c>
    </row>
    <row r="11628" spans="1:7">
      <c r="A11628" t="s">
        <v>1297</v>
      </c>
      <c r="B11628" t="s">
        <v>1298</v>
      </c>
      <c r="C11628" t="s">
        <v>663</v>
      </c>
      <c r="D11628" t="s">
        <v>1422</v>
      </c>
      <c r="E11628" t="s">
        <v>187</v>
      </c>
      <c r="F11628">
        <v>2020</v>
      </c>
      <c r="G11628">
        <v>195.93701999999999</v>
      </c>
    </row>
    <row r="11629" spans="1:7">
      <c r="A11629" t="s">
        <v>1297</v>
      </c>
      <c r="B11629" t="s">
        <v>1298</v>
      </c>
      <c r="C11629" t="s">
        <v>667</v>
      </c>
      <c r="D11629" t="s">
        <v>1422</v>
      </c>
      <c r="E11629" t="s">
        <v>187</v>
      </c>
      <c r="F11629">
        <v>2005</v>
      </c>
      <c r="G11629">
        <v>98.011791000000002</v>
      </c>
    </row>
    <row r="11630" spans="1:7">
      <c r="A11630" t="s">
        <v>1297</v>
      </c>
      <c r="B11630" t="s">
        <v>1298</v>
      </c>
      <c r="C11630" t="s">
        <v>667</v>
      </c>
      <c r="D11630" t="s">
        <v>1422</v>
      </c>
      <c r="E11630" t="s">
        <v>187</v>
      </c>
      <c r="F11630">
        <v>2010</v>
      </c>
      <c r="G11630">
        <v>88.906829999999999</v>
      </c>
    </row>
    <row r="11631" spans="1:7">
      <c r="A11631" t="s">
        <v>1297</v>
      </c>
      <c r="B11631" t="s">
        <v>1298</v>
      </c>
      <c r="C11631" t="s">
        <v>667</v>
      </c>
      <c r="D11631" t="s">
        <v>1422</v>
      </c>
      <c r="E11631" t="s">
        <v>187</v>
      </c>
      <c r="F11631">
        <v>2012</v>
      </c>
      <c r="G11631">
        <v>89.902343999999999</v>
      </c>
    </row>
    <row r="11632" spans="1:7">
      <c r="A11632" t="s">
        <v>1297</v>
      </c>
      <c r="B11632" t="s">
        <v>1298</v>
      </c>
      <c r="C11632" t="s">
        <v>667</v>
      </c>
      <c r="D11632" t="s">
        <v>1422</v>
      </c>
      <c r="E11632" t="s">
        <v>187</v>
      </c>
      <c r="F11632">
        <v>2016</v>
      </c>
      <c r="G11632">
        <v>75.637354000000002</v>
      </c>
    </row>
    <row r="11633" spans="1:7">
      <c r="A11633" t="s">
        <v>1297</v>
      </c>
      <c r="B11633" t="s">
        <v>1298</v>
      </c>
      <c r="C11633" t="s">
        <v>667</v>
      </c>
      <c r="D11633" t="s">
        <v>1422</v>
      </c>
      <c r="E11633" t="s">
        <v>187</v>
      </c>
      <c r="F11633">
        <v>2020</v>
      </c>
      <c r="G11633">
        <v>84.227964</v>
      </c>
    </row>
    <row r="11634" spans="1:7">
      <c r="A11634" t="s">
        <v>1297</v>
      </c>
      <c r="B11634" t="s">
        <v>1298</v>
      </c>
      <c r="C11634" t="s">
        <v>658</v>
      </c>
      <c r="D11634" t="s">
        <v>1422</v>
      </c>
      <c r="E11634" t="s">
        <v>187</v>
      </c>
      <c r="F11634">
        <v>2005</v>
      </c>
      <c r="G11634">
        <v>29.67999</v>
      </c>
    </row>
    <row r="11635" spans="1:7">
      <c r="A11635" t="s">
        <v>1297</v>
      </c>
      <c r="B11635" t="s">
        <v>1298</v>
      </c>
      <c r="C11635" t="s">
        <v>658</v>
      </c>
      <c r="D11635" t="s">
        <v>1422</v>
      </c>
      <c r="E11635" t="s">
        <v>187</v>
      </c>
      <c r="F11635">
        <v>2010</v>
      </c>
      <c r="G11635">
        <v>30.947711999999999</v>
      </c>
    </row>
    <row r="11636" spans="1:7">
      <c r="A11636" t="s">
        <v>1297</v>
      </c>
      <c r="B11636" t="s">
        <v>1298</v>
      </c>
      <c r="C11636" t="s">
        <v>658</v>
      </c>
      <c r="D11636" t="s">
        <v>1422</v>
      </c>
      <c r="E11636" t="s">
        <v>187</v>
      </c>
      <c r="F11636">
        <v>2012</v>
      </c>
      <c r="G11636">
        <v>31.260392</v>
      </c>
    </row>
    <row r="11637" spans="1:7">
      <c r="A11637" t="s">
        <v>1297</v>
      </c>
      <c r="B11637" t="s">
        <v>1298</v>
      </c>
      <c r="C11637" t="s">
        <v>658</v>
      </c>
      <c r="D11637" t="s">
        <v>1422</v>
      </c>
      <c r="E11637" t="s">
        <v>187</v>
      </c>
      <c r="F11637">
        <v>2016</v>
      </c>
      <c r="G11637">
        <v>32.101053</v>
      </c>
    </row>
    <row r="11638" spans="1:7">
      <c r="A11638" t="s">
        <v>1297</v>
      </c>
      <c r="B11638" t="s">
        <v>1298</v>
      </c>
      <c r="C11638" t="s">
        <v>658</v>
      </c>
      <c r="D11638" t="s">
        <v>1422</v>
      </c>
      <c r="E11638" t="s">
        <v>187</v>
      </c>
      <c r="F11638">
        <v>2020</v>
      </c>
      <c r="G11638">
        <v>33.000323999999999</v>
      </c>
    </row>
    <row r="11639" spans="1:7">
      <c r="A11639" t="s">
        <v>1297</v>
      </c>
      <c r="B11639" t="s">
        <v>1298</v>
      </c>
      <c r="C11639" t="s">
        <v>684</v>
      </c>
      <c r="D11639" t="s">
        <v>1422</v>
      </c>
      <c r="E11639" t="s">
        <v>187</v>
      </c>
      <c r="F11639">
        <v>2005</v>
      </c>
      <c r="G11639">
        <v>6.54697</v>
      </c>
    </row>
    <row r="11640" spans="1:7">
      <c r="A11640" t="s">
        <v>1297</v>
      </c>
      <c r="B11640" t="s">
        <v>1298</v>
      </c>
      <c r="C11640" t="s">
        <v>684</v>
      </c>
      <c r="D11640" t="s">
        <v>1422</v>
      </c>
      <c r="E11640" t="s">
        <v>187</v>
      </c>
      <c r="F11640">
        <v>2010</v>
      </c>
      <c r="G11640">
        <v>9.5460700000000003</v>
      </c>
    </row>
    <row r="11641" spans="1:7">
      <c r="A11641" t="s">
        <v>1297</v>
      </c>
      <c r="B11641" t="s">
        <v>1298</v>
      </c>
      <c r="C11641" t="s">
        <v>684</v>
      </c>
      <c r="D11641" t="s">
        <v>1422</v>
      </c>
      <c r="E11641" t="s">
        <v>187</v>
      </c>
      <c r="F11641">
        <v>2012</v>
      </c>
      <c r="G11641">
        <v>8.4388400000000008</v>
      </c>
    </row>
    <row r="11642" spans="1:7">
      <c r="A11642" t="s">
        <v>1297</v>
      </c>
      <c r="B11642" t="s">
        <v>1298</v>
      </c>
      <c r="C11642" t="s">
        <v>684</v>
      </c>
      <c r="D11642" t="s">
        <v>1422</v>
      </c>
      <c r="E11642" t="s">
        <v>187</v>
      </c>
      <c r="F11642">
        <v>2016</v>
      </c>
      <c r="G11642">
        <v>9.1110500000000005</v>
      </c>
    </row>
    <row r="11643" spans="1:7">
      <c r="A11643" t="s">
        <v>1297</v>
      </c>
      <c r="B11643" t="s">
        <v>1298</v>
      </c>
      <c r="C11643" t="s">
        <v>684</v>
      </c>
      <c r="D11643" t="s">
        <v>1422</v>
      </c>
      <c r="E11643" t="s">
        <v>187</v>
      </c>
      <c r="F11643">
        <v>2020</v>
      </c>
      <c r="G11643">
        <v>11.049177</v>
      </c>
    </row>
    <row r="11644" spans="1:7">
      <c r="A11644" t="s">
        <v>1297</v>
      </c>
      <c r="B11644" t="s">
        <v>1298</v>
      </c>
      <c r="C11644" t="s">
        <v>1303</v>
      </c>
      <c r="D11644" t="s">
        <v>1422</v>
      </c>
      <c r="E11644" t="s">
        <v>187</v>
      </c>
      <c r="F11644">
        <v>2016</v>
      </c>
      <c r="G11644">
        <v>49.866390000000003</v>
      </c>
    </row>
    <row r="11645" spans="1:7">
      <c r="A11645" t="s">
        <v>1297</v>
      </c>
      <c r="B11645" t="s">
        <v>1298</v>
      </c>
      <c r="C11645" t="s">
        <v>1303</v>
      </c>
      <c r="D11645" t="s">
        <v>1422</v>
      </c>
      <c r="E11645" t="s">
        <v>187</v>
      </c>
      <c r="F11645">
        <v>2020</v>
      </c>
      <c r="G11645">
        <v>45.211345000000001</v>
      </c>
    </row>
    <row r="11646" spans="1:7">
      <c r="A11646" t="s">
        <v>1297</v>
      </c>
      <c r="B11646" t="s">
        <v>1298</v>
      </c>
      <c r="C11646" t="s">
        <v>675</v>
      </c>
      <c r="D11646" t="s">
        <v>1422</v>
      </c>
      <c r="E11646" t="s">
        <v>187</v>
      </c>
      <c r="F11646">
        <v>2005</v>
      </c>
      <c r="G11646">
        <v>60.531599999999997</v>
      </c>
    </row>
    <row r="11647" spans="1:7">
      <c r="A11647" t="s">
        <v>1297</v>
      </c>
      <c r="B11647" t="s">
        <v>1298</v>
      </c>
      <c r="C11647" t="s">
        <v>675</v>
      </c>
      <c r="D11647" t="s">
        <v>1422</v>
      </c>
      <c r="E11647" t="s">
        <v>187</v>
      </c>
      <c r="F11647">
        <v>2010</v>
      </c>
      <c r="G11647">
        <v>71.919799999999995</v>
      </c>
    </row>
    <row r="11648" spans="1:7">
      <c r="A11648" t="s">
        <v>1297</v>
      </c>
      <c r="B11648" t="s">
        <v>1298</v>
      </c>
      <c r="C11648" t="s">
        <v>675</v>
      </c>
      <c r="D11648" t="s">
        <v>1422</v>
      </c>
      <c r="E11648" t="s">
        <v>187</v>
      </c>
      <c r="F11648">
        <v>2012</v>
      </c>
      <c r="G11648">
        <v>76.740399999999994</v>
      </c>
    </row>
    <row r="11649" spans="1:7">
      <c r="A11649" t="s">
        <v>1297</v>
      </c>
      <c r="B11649" t="s">
        <v>1298</v>
      </c>
      <c r="C11649" t="s">
        <v>675</v>
      </c>
      <c r="D11649" t="s">
        <v>1422</v>
      </c>
      <c r="E11649" t="s">
        <v>187</v>
      </c>
      <c r="F11649">
        <v>2016</v>
      </c>
      <c r="G11649">
        <v>77.330027000000001</v>
      </c>
    </row>
    <row r="11650" spans="1:7">
      <c r="A11650" t="s">
        <v>1297</v>
      </c>
      <c r="B11650" t="s">
        <v>1298</v>
      </c>
      <c r="C11650" t="s">
        <v>675</v>
      </c>
      <c r="D11650" t="s">
        <v>1422</v>
      </c>
      <c r="E11650" t="s">
        <v>187</v>
      </c>
      <c r="F11650">
        <v>2020</v>
      </c>
      <c r="G11650">
        <v>75.660741000000002</v>
      </c>
    </row>
    <row r="11651" spans="1:7">
      <c r="A11651" t="s">
        <v>1297</v>
      </c>
      <c r="B11651" t="s">
        <v>1298</v>
      </c>
      <c r="C11651" t="s">
        <v>681</v>
      </c>
      <c r="D11651" t="s">
        <v>1422</v>
      </c>
      <c r="E11651" t="s">
        <v>187</v>
      </c>
      <c r="F11651">
        <v>2005</v>
      </c>
      <c r="G11651">
        <v>32.802379000000002</v>
      </c>
    </row>
    <row r="11652" spans="1:7">
      <c r="A11652" t="s">
        <v>1297</v>
      </c>
      <c r="B11652" t="s">
        <v>1298</v>
      </c>
      <c r="C11652" t="s">
        <v>681</v>
      </c>
      <c r="D11652" t="s">
        <v>1422</v>
      </c>
      <c r="E11652" t="s">
        <v>187</v>
      </c>
      <c r="F11652">
        <v>2010</v>
      </c>
      <c r="G11652">
        <v>30.680391</v>
      </c>
    </row>
    <row r="11653" spans="1:7">
      <c r="A11653" t="s">
        <v>1297</v>
      </c>
      <c r="B11653" t="s">
        <v>1298</v>
      </c>
      <c r="C11653" t="s">
        <v>681</v>
      </c>
      <c r="D11653" t="s">
        <v>1422</v>
      </c>
      <c r="E11653" t="s">
        <v>187</v>
      </c>
      <c r="F11653">
        <v>2012</v>
      </c>
      <c r="G11653">
        <v>30.857644000000001</v>
      </c>
    </row>
    <row r="11654" spans="1:7">
      <c r="A11654" t="s">
        <v>1297</v>
      </c>
      <c r="B11654" t="s">
        <v>1298</v>
      </c>
      <c r="C11654" t="s">
        <v>681</v>
      </c>
      <c r="D11654" t="s">
        <v>1422</v>
      </c>
      <c r="E11654" t="s">
        <v>187</v>
      </c>
      <c r="F11654">
        <v>2016</v>
      </c>
      <c r="G11654">
        <v>31.428066000000001</v>
      </c>
    </row>
    <row r="11655" spans="1:7">
      <c r="A11655" t="s">
        <v>1297</v>
      </c>
      <c r="B11655" t="s">
        <v>1298</v>
      </c>
      <c r="C11655" t="s">
        <v>681</v>
      </c>
      <c r="D11655" t="s">
        <v>1422</v>
      </c>
      <c r="E11655" t="s">
        <v>187</v>
      </c>
      <c r="F11655">
        <v>2020</v>
      </c>
      <c r="G11655">
        <v>29.909236</v>
      </c>
    </row>
    <row r="11656" spans="1:7">
      <c r="A11656" t="s">
        <v>1297</v>
      </c>
      <c r="B11656" t="s">
        <v>1298</v>
      </c>
      <c r="C11656" t="s">
        <v>686</v>
      </c>
      <c r="D11656" t="s">
        <v>1422</v>
      </c>
      <c r="E11656" t="s">
        <v>187</v>
      </c>
      <c r="F11656">
        <v>2005</v>
      </c>
      <c r="G11656">
        <v>91.444599999999994</v>
      </c>
    </row>
    <row r="11657" spans="1:7">
      <c r="A11657" t="s">
        <v>1297</v>
      </c>
      <c r="B11657" t="s">
        <v>1298</v>
      </c>
      <c r="C11657" t="s">
        <v>686</v>
      </c>
      <c r="D11657" t="s">
        <v>1422</v>
      </c>
      <c r="E11657" t="s">
        <v>187</v>
      </c>
      <c r="F11657">
        <v>2010</v>
      </c>
      <c r="G11657">
        <v>92.417357999999993</v>
      </c>
    </row>
    <row r="11658" spans="1:7">
      <c r="A11658" t="s">
        <v>1297</v>
      </c>
      <c r="B11658" t="s">
        <v>1298</v>
      </c>
      <c r="C11658" t="s">
        <v>686</v>
      </c>
      <c r="D11658" t="s">
        <v>1422</v>
      </c>
      <c r="E11658" t="s">
        <v>187</v>
      </c>
      <c r="F11658">
        <v>2012</v>
      </c>
      <c r="G11658">
        <v>73.728928999999994</v>
      </c>
    </row>
    <row r="11659" spans="1:7">
      <c r="A11659" t="s">
        <v>1297</v>
      </c>
      <c r="B11659" t="s">
        <v>1298</v>
      </c>
      <c r="C11659" t="s">
        <v>686</v>
      </c>
      <c r="D11659" t="s">
        <v>1422</v>
      </c>
      <c r="E11659" t="s">
        <v>187</v>
      </c>
      <c r="F11659">
        <v>2016</v>
      </c>
      <c r="G11659">
        <v>83.484718000000001</v>
      </c>
    </row>
    <row r="11660" spans="1:7">
      <c r="A11660" t="s">
        <v>1297</v>
      </c>
      <c r="B11660" t="s">
        <v>1298</v>
      </c>
      <c r="C11660" t="s">
        <v>686</v>
      </c>
      <c r="D11660" t="s">
        <v>1422</v>
      </c>
      <c r="E11660" t="s">
        <v>187</v>
      </c>
      <c r="F11660">
        <v>2020</v>
      </c>
      <c r="G11660">
        <v>94.783394999999999</v>
      </c>
    </row>
    <row r="11661" spans="1:7">
      <c r="A11661" t="s">
        <v>1297</v>
      </c>
      <c r="B11661" t="s">
        <v>1298</v>
      </c>
      <c r="C11661" t="s">
        <v>1299</v>
      </c>
      <c r="D11661" t="s">
        <v>1422</v>
      </c>
      <c r="E11661" t="s">
        <v>187</v>
      </c>
      <c r="F11661">
        <v>2005</v>
      </c>
      <c r="G11661">
        <v>320.6284</v>
      </c>
    </row>
    <row r="11662" spans="1:7">
      <c r="A11662" t="s">
        <v>1297</v>
      </c>
      <c r="B11662" t="s">
        <v>1298</v>
      </c>
      <c r="C11662" t="s">
        <v>1299</v>
      </c>
      <c r="D11662" t="s">
        <v>1422</v>
      </c>
      <c r="E11662" t="s">
        <v>187</v>
      </c>
      <c r="F11662">
        <v>2010</v>
      </c>
      <c r="G11662">
        <v>369.03160000000003</v>
      </c>
    </row>
    <row r="11663" spans="1:7">
      <c r="A11663" t="s">
        <v>1297</v>
      </c>
      <c r="B11663" t="s">
        <v>1298</v>
      </c>
      <c r="C11663" t="s">
        <v>1299</v>
      </c>
      <c r="D11663" t="s">
        <v>1422</v>
      </c>
      <c r="E11663" t="s">
        <v>187</v>
      </c>
      <c r="F11663">
        <v>2012</v>
      </c>
      <c r="G11663">
        <v>373.1071</v>
      </c>
    </row>
    <row r="11664" spans="1:7">
      <c r="A11664" t="s">
        <v>1297</v>
      </c>
      <c r="B11664" t="s">
        <v>1298</v>
      </c>
      <c r="C11664" t="s">
        <v>1299</v>
      </c>
      <c r="D11664" t="s">
        <v>1422</v>
      </c>
      <c r="E11664" t="s">
        <v>187</v>
      </c>
      <c r="F11664">
        <v>2016</v>
      </c>
      <c r="G11664">
        <v>297.50040000000001</v>
      </c>
    </row>
    <row r="11665" spans="1:7">
      <c r="A11665" t="s">
        <v>1297</v>
      </c>
      <c r="B11665" t="s">
        <v>1298</v>
      </c>
      <c r="C11665" t="s">
        <v>1299</v>
      </c>
      <c r="D11665" t="s">
        <v>1422</v>
      </c>
      <c r="E11665" t="s">
        <v>187</v>
      </c>
      <c r="F11665">
        <v>2020</v>
      </c>
      <c r="G11665">
        <v>327.81362000000001</v>
      </c>
    </row>
    <row r="11666" spans="1:7">
      <c r="A11666" t="s">
        <v>1297</v>
      </c>
      <c r="B11666" t="s">
        <v>1298</v>
      </c>
      <c r="C11666" t="s">
        <v>671</v>
      </c>
      <c r="D11666" t="s">
        <v>1422</v>
      </c>
      <c r="E11666" t="s">
        <v>187</v>
      </c>
      <c r="F11666">
        <v>2005</v>
      </c>
      <c r="G11666">
        <v>485.52280000000002</v>
      </c>
    </row>
    <row r="11667" spans="1:7">
      <c r="A11667" t="s">
        <v>1297</v>
      </c>
      <c r="B11667" t="s">
        <v>1298</v>
      </c>
      <c r="C11667" t="s">
        <v>671</v>
      </c>
      <c r="D11667" t="s">
        <v>1422</v>
      </c>
      <c r="E11667" t="s">
        <v>187</v>
      </c>
      <c r="F11667">
        <v>2010</v>
      </c>
      <c r="G11667">
        <v>661.99540000000002</v>
      </c>
    </row>
    <row r="11668" spans="1:7">
      <c r="A11668" t="s">
        <v>1297</v>
      </c>
      <c r="B11668" t="s">
        <v>1298</v>
      </c>
      <c r="C11668" t="s">
        <v>671</v>
      </c>
      <c r="D11668" t="s">
        <v>1422</v>
      </c>
      <c r="E11668" t="s">
        <v>187</v>
      </c>
      <c r="F11668">
        <v>2012</v>
      </c>
      <c r="G11668">
        <v>642.24519999999995</v>
      </c>
    </row>
    <row r="11669" spans="1:7">
      <c r="A11669" t="s">
        <v>1297</v>
      </c>
      <c r="B11669" t="s">
        <v>1298</v>
      </c>
      <c r="C11669" t="s">
        <v>671</v>
      </c>
      <c r="D11669" t="s">
        <v>1422</v>
      </c>
      <c r="E11669" t="s">
        <v>187</v>
      </c>
      <c r="F11669">
        <v>2016</v>
      </c>
      <c r="G11669">
        <v>729.947</v>
      </c>
    </row>
    <row r="11670" spans="1:7">
      <c r="A11670" t="s">
        <v>1297</v>
      </c>
      <c r="B11670" t="s">
        <v>1298</v>
      </c>
      <c r="C11670" t="s">
        <v>671</v>
      </c>
      <c r="D11670" t="s">
        <v>1422</v>
      </c>
      <c r="E11670" t="s">
        <v>187</v>
      </c>
      <c r="F11670">
        <v>2020</v>
      </c>
      <c r="G11670">
        <v>882.38949700000001</v>
      </c>
    </row>
    <row r="11671" spans="1:7">
      <c r="A11671" t="s">
        <v>1297</v>
      </c>
      <c r="B11671" t="s">
        <v>1298</v>
      </c>
      <c r="C11671" t="s">
        <v>685</v>
      </c>
      <c r="D11671" t="s">
        <v>1422</v>
      </c>
      <c r="E11671" t="s">
        <v>187</v>
      </c>
      <c r="F11671">
        <v>2005</v>
      </c>
      <c r="G11671">
        <v>14.309678999999999</v>
      </c>
    </row>
    <row r="11672" spans="1:7">
      <c r="A11672" t="s">
        <v>1297</v>
      </c>
      <c r="B11672" t="s">
        <v>1298</v>
      </c>
      <c r="C11672" t="s">
        <v>685</v>
      </c>
      <c r="D11672" t="s">
        <v>1422</v>
      </c>
      <c r="E11672" t="s">
        <v>187</v>
      </c>
      <c r="F11672">
        <v>2010</v>
      </c>
      <c r="G11672">
        <v>18.921741000000001</v>
      </c>
    </row>
    <row r="11673" spans="1:7">
      <c r="A11673" t="s">
        <v>1297</v>
      </c>
      <c r="B11673" t="s">
        <v>1298</v>
      </c>
      <c r="C11673" t="s">
        <v>685</v>
      </c>
      <c r="D11673" t="s">
        <v>1422</v>
      </c>
      <c r="E11673" t="s">
        <v>187</v>
      </c>
      <c r="F11673">
        <v>2012</v>
      </c>
      <c r="G11673">
        <v>18.902542</v>
      </c>
    </row>
    <row r="11674" spans="1:7">
      <c r="A11674" t="s">
        <v>1297</v>
      </c>
      <c r="B11674" t="s">
        <v>1298</v>
      </c>
      <c r="C11674" t="s">
        <v>685</v>
      </c>
      <c r="D11674" t="s">
        <v>1422</v>
      </c>
      <c r="E11674" t="s">
        <v>187</v>
      </c>
      <c r="F11674">
        <v>2016</v>
      </c>
      <c r="G11674">
        <v>28.408723999999999</v>
      </c>
    </row>
    <row r="11675" spans="1:7">
      <c r="A11675" t="s">
        <v>1297</v>
      </c>
      <c r="B11675" t="s">
        <v>1298</v>
      </c>
      <c r="C11675" t="s">
        <v>685</v>
      </c>
      <c r="D11675" t="s">
        <v>1422</v>
      </c>
      <c r="E11675" t="s">
        <v>187</v>
      </c>
      <c r="F11675">
        <v>2020</v>
      </c>
      <c r="G11675">
        <v>31.681819000000001</v>
      </c>
    </row>
    <row r="11676" spans="1:7">
      <c r="A11676" t="s">
        <v>1297</v>
      </c>
      <c r="B11676" t="s">
        <v>1298</v>
      </c>
      <c r="C11676" t="s">
        <v>666</v>
      </c>
      <c r="D11676" t="s">
        <v>1422</v>
      </c>
      <c r="E11676" t="s">
        <v>187</v>
      </c>
      <c r="F11676">
        <v>2005</v>
      </c>
      <c r="G11676">
        <v>56.89237</v>
      </c>
    </row>
    <row r="11677" spans="1:7">
      <c r="A11677" t="s">
        <v>1297</v>
      </c>
      <c r="B11677" t="s">
        <v>1298</v>
      </c>
      <c r="C11677" t="s">
        <v>666</v>
      </c>
      <c r="D11677" t="s">
        <v>1422</v>
      </c>
      <c r="E11677" t="s">
        <v>187</v>
      </c>
      <c r="F11677">
        <v>2010</v>
      </c>
      <c r="G11677">
        <v>59.49145</v>
      </c>
    </row>
    <row r="11678" spans="1:7">
      <c r="A11678" t="s">
        <v>1297</v>
      </c>
      <c r="B11678" t="s">
        <v>1298</v>
      </c>
      <c r="C11678" t="s">
        <v>666</v>
      </c>
      <c r="D11678" t="s">
        <v>1422</v>
      </c>
      <c r="E11678" t="s">
        <v>187</v>
      </c>
      <c r="F11678">
        <v>2012</v>
      </c>
      <c r="G11678">
        <v>59.021389999999997</v>
      </c>
    </row>
    <row r="11679" spans="1:7">
      <c r="A11679" t="s">
        <v>1297</v>
      </c>
      <c r="B11679" t="s">
        <v>1298</v>
      </c>
      <c r="C11679" t="s">
        <v>666</v>
      </c>
      <c r="D11679" t="s">
        <v>1422</v>
      </c>
      <c r="E11679" t="s">
        <v>187</v>
      </c>
      <c r="F11679">
        <v>2016</v>
      </c>
      <c r="G11679">
        <v>74.122010000000003</v>
      </c>
    </row>
    <row r="11680" spans="1:7">
      <c r="A11680" t="s">
        <v>1297</v>
      </c>
      <c r="B11680" t="s">
        <v>1298</v>
      </c>
      <c r="C11680" t="s">
        <v>666</v>
      </c>
      <c r="D11680" t="s">
        <v>1422</v>
      </c>
      <c r="E11680" t="s">
        <v>187</v>
      </c>
      <c r="F11680">
        <v>2020</v>
      </c>
      <c r="G11680">
        <v>85.513471999999993</v>
      </c>
    </row>
    <row r="11681" spans="1:7">
      <c r="A11681" t="s">
        <v>1297</v>
      </c>
      <c r="B11681" t="s">
        <v>1298</v>
      </c>
      <c r="C11681" t="s">
        <v>666</v>
      </c>
      <c r="D11681" t="s">
        <v>1423</v>
      </c>
      <c r="E11681" t="s">
        <v>187</v>
      </c>
      <c r="F11681">
        <v>2005</v>
      </c>
      <c r="G11681">
        <v>1.1732</v>
      </c>
    </row>
    <row r="11682" spans="1:7">
      <c r="A11682" t="s">
        <v>1297</v>
      </c>
      <c r="B11682" t="s">
        <v>1298</v>
      </c>
      <c r="C11682" t="s">
        <v>666</v>
      </c>
      <c r="D11682" t="s">
        <v>1423</v>
      </c>
      <c r="E11682" t="s">
        <v>187</v>
      </c>
      <c r="F11682">
        <v>2010</v>
      </c>
      <c r="G11682">
        <v>0.84</v>
      </c>
    </row>
    <row r="11683" spans="1:7">
      <c r="A11683" t="s">
        <v>1297</v>
      </c>
      <c r="B11683" t="s">
        <v>1298</v>
      </c>
      <c r="C11683" t="s">
        <v>666</v>
      </c>
      <c r="D11683" t="s">
        <v>1423</v>
      </c>
      <c r="E11683" t="s">
        <v>187</v>
      </c>
      <c r="F11683">
        <v>2012</v>
      </c>
      <c r="G11683">
        <v>0.84</v>
      </c>
    </row>
    <row r="11684" spans="1:7">
      <c r="A11684" t="s">
        <v>1297</v>
      </c>
      <c r="B11684" t="s">
        <v>1298</v>
      </c>
      <c r="C11684" t="s">
        <v>666</v>
      </c>
      <c r="D11684" t="s">
        <v>1423</v>
      </c>
      <c r="E11684" t="s">
        <v>187</v>
      </c>
      <c r="F11684">
        <v>2016</v>
      </c>
      <c r="G11684">
        <v>0.75600000000000001</v>
      </c>
    </row>
    <row r="11685" spans="1:7">
      <c r="A11685" t="s">
        <v>1297</v>
      </c>
      <c r="B11685" t="s">
        <v>1298</v>
      </c>
      <c r="C11685" t="s">
        <v>666</v>
      </c>
      <c r="D11685" t="s">
        <v>1423</v>
      </c>
      <c r="E11685" t="s">
        <v>187</v>
      </c>
      <c r="F11685">
        <v>2020</v>
      </c>
      <c r="G11685">
        <v>1.0289999999999999</v>
      </c>
    </row>
    <row r="11686" spans="1:7">
      <c r="A11686" t="s">
        <v>1297</v>
      </c>
      <c r="B11686" t="s">
        <v>1298</v>
      </c>
      <c r="C11686" t="s">
        <v>655</v>
      </c>
      <c r="D11686" t="s">
        <v>1423</v>
      </c>
      <c r="E11686" t="s">
        <v>187</v>
      </c>
      <c r="F11686">
        <v>2005</v>
      </c>
      <c r="G11686">
        <v>6.3103009999999999</v>
      </c>
    </row>
    <row r="11687" spans="1:7">
      <c r="A11687" t="s">
        <v>1297</v>
      </c>
      <c r="B11687" t="s">
        <v>1298</v>
      </c>
      <c r="C11687" t="s">
        <v>655</v>
      </c>
      <c r="D11687" t="s">
        <v>1423</v>
      </c>
      <c r="E11687" t="s">
        <v>187</v>
      </c>
      <c r="F11687">
        <v>2010</v>
      </c>
      <c r="G11687">
        <v>6.0691430000000004</v>
      </c>
    </row>
    <row r="11688" spans="1:7">
      <c r="A11688" t="s">
        <v>1297</v>
      </c>
      <c r="B11688" t="s">
        <v>1298</v>
      </c>
      <c r="C11688" t="s">
        <v>655</v>
      </c>
      <c r="D11688" t="s">
        <v>1423</v>
      </c>
      <c r="E11688" t="s">
        <v>187</v>
      </c>
      <c r="F11688">
        <v>2012</v>
      </c>
      <c r="G11688">
        <v>5.5868270000000004</v>
      </c>
    </row>
    <row r="11689" spans="1:7">
      <c r="A11689" t="s">
        <v>1297</v>
      </c>
      <c r="B11689" t="s">
        <v>1298</v>
      </c>
      <c r="C11689" t="s">
        <v>655</v>
      </c>
      <c r="D11689" t="s">
        <v>1423</v>
      </c>
      <c r="E11689" t="s">
        <v>187</v>
      </c>
      <c r="F11689">
        <v>2016</v>
      </c>
      <c r="G11689">
        <v>5.8681780000000003</v>
      </c>
    </row>
    <row r="11690" spans="1:7">
      <c r="A11690" t="s">
        <v>1297</v>
      </c>
      <c r="B11690" t="s">
        <v>1298</v>
      </c>
      <c r="C11690" t="s">
        <v>655</v>
      </c>
      <c r="D11690" t="s">
        <v>1423</v>
      </c>
      <c r="E11690" t="s">
        <v>187</v>
      </c>
      <c r="F11690">
        <v>2020</v>
      </c>
      <c r="G11690">
        <v>6.5514590000000004</v>
      </c>
    </row>
    <row r="11691" spans="1:7">
      <c r="A11691" t="s">
        <v>1297</v>
      </c>
      <c r="B11691" t="s">
        <v>1298</v>
      </c>
      <c r="C11691" t="s">
        <v>665</v>
      </c>
      <c r="D11691" t="s">
        <v>1423</v>
      </c>
      <c r="E11691" t="s">
        <v>187</v>
      </c>
      <c r="F11691">
        <v>2005</v>
      </c>
      <c r="G11691">
        <v>17.808</v>
      </c>
    </row>
    <row r="11692" spans="1:7">
      <c r="A11692" t="s">
        <v>1297</v>
      </c>
      <c r="B11692" t="s">
        <v>1298</v>
      </c>
      <c r="C11692" t="s">
        <v>665</v>
      </c>
      <c r="D11692" t="s">
        <v>1423</v>
      </c>
      <c r="E11692" t="s">
        <v>187</v>
      </c>
      <c r="F11692">
        <v>2010</v>
      </c>
      <c r="G11692">
        <v>8.6839999999999993</v>
      </c>
    </row>
    <row r="11693" spans="1:7">
      <c r="A11693" t="s">
        <v>1297</v>
      </c>
      <c r="B11693" t="s">
        <v>1298</v>
      </c>
      <c r="C11693" t="s">
        <v>665</v>
      </c>
      <c r="D11693" t="s">
        <v>1423</v>
      </c>
      <c r="E11693" t="s">
        <v>187</v>
      </c>
      <c r="F11693">
        <v>2012</v>
      </c>
      <c r="G11693">
        <v>13.635999999999999</v>
      </c>
    </row>
    <row r="11694" spans="1:7">
      <c r="A11694" t="s">
        <v>1297</v>
      </c>
      <c r="B11694" t="s">
        <v>1298</v>
      </c>
      <c r="C11694" t="s">
        <v>665</v>
      </c>
      <c r="D11694" t="s">
        <v>1423</v>
      </c>
      <c r="E11694" t="s">
        <v>187</v>
      </c>
      <c r="F11694">
        <v>2016</v>
      </c>
      <c r="G11694">
        <v>13.096</v>
      </c>
    </row>
    <row r="11695" spans="1:7">
      <c r="A11695" t="s">
        <v>1297</v>
      </c>
      <c r="B11695" t="s">
        <v>1298</v>
      </c>
      <c r="C11695" t="s">
        <v>665</v>
      </c>
      <c r="D11695" t="s">
        <v>1423</v>
      </c>
      <c r="E11695" t="s">
        <v>187</v>
      </c>
      <c r="F11695">
        <v>2020</v>
      </c>
      <c r="G11695">
        <v>9.2316000000000003</v>
      </c>
    </row>
    <row r="11696" spans="1:7">
      <c r="A11696" t="s">
        <v>1297</v>
      </c>
      <c r="B11696" t="s">
        <v>1298</v>
      </c>
      <c r="C11696" t="s">
        <v>679</v>
      </c>
      <c r="D11696" t="s">
        <v>1423</v>
      </c>
      <c r="E11696" t="s">
        <v>187</v>
      </c>
      <c r="F11696">
        <v>2016</v>
      </c>
      <c r="G11696">
        <v>0.1206</v>
      </c>
    </row>
    <row r="11697" spans="1:7">
      <c r="A11697" t="s">
        <v>1297</v>
      </c>
      <c r="B11697" t="s">
        <v>1298</v>
      </c>
      <c r="C11697" t="s">
        <v>679</v>
      </c>
      <c r="D11697" t="s">
        <v>1423</v>
      </c>
      <c r="E11697" t="s">
        <v>187</v>
      </c>
      <c r="F11697">
        <v>2020</v>
      </c>
      <c r="G11697">
        <v>0.12847900000000001</v>
      </c>
    </row>
    <row r="11698" spans="1:7">
      <c r="A11698" t="s">
        <v>1297</v>
      </c>
      <c r="B11698" t="s">
        <v>1298</v>
      </c>
      <c r="C11698" t="s">
        <v>658</v>
      </c>
      <c r="D11698" t="s">
        <v>1423</v>
      </c>
      <c r="E11698" t="s">
        <v>187</v>
      </c>
      <c r="F11698">
        <v>2005</v>
      </c>
      <c r="G11698">
        <v>0.126</v>
      </c>
    </row>
    <row r="11699" spans="1:7">
      <c r="A11699" t="s">
        <v>1297</v>
      </c>
      <c r="B11699" t="s">
        <v>1298</v>
      </c>
      <c r="C11699" t="s">
        <v>658</v>
      </c>
      <c r="D11699" t="s">
        <v>1423</v>
      </c>
      <c r="E11699" t="s">
        <v>187</v>
      </c>
      <c r="F11699">
        <v>2010</v>
      </c>
      <c r="G11699">
        <v>4.2000000000000003E-2</v>
      </c>
    </row>
    <row r="11700" spans="1:7">
      <c r="A11700" t="s">
        <v>1297</v>
      </c>
      <c r="B11700" t="s">
        <v>1298</v>
      </c>
      <c r="C11700" t="s">
        <v>658</v>
      </c>
      <c r="D11700" t="s">
        <v>1423</v>
      </c>
      <c r="E11700" t="s">
        <v>187</v>
      </c>
      <c r="F11700">
        <v>2016</v>
      </c>
      <c r="G11700">
        <v>4.2000000000000003E-2</v>
      </c>
    </row>
    <row r="11701" spans="1:7">
      <c r="A11701" t="s">
        <v>1297</v>
      </c>
      <c r="B11701" t="s">
        <v>1298</v>
      </c>
      <c r="C11701" t="s">
        <v>658</v>
      </c>
      <c r="D11701" t="s">
        <v>1423</v>
      </c>
      <c r="E11701" t="s">
        <v>187</v>
      </c>
      <c r="F11701">
        <v>2020</v>
      </c>
      <c r="G11701">
        <v>3.3599999999999998E-2</v>
      </c>
    </row>
    <row r="11702" spans="1:7">
      <c r="A11702" t="s">
        <v>1297</v>
      </c>
      <c r="B11702" t="s">
        <v>1298</v>
      </c>
      <c r="C11702" t="s">
        <v>653</v>
      </c>
      <c r="D11702" t="s">
        <v>1423</v>
      </c>
      <c r="E11702" t="s">
        <v>187</v>
      </c>
      <c r="F11702">
        <v>2020</v>
      </c>
      <c r="G11702">
        <v>0.83809</v>
      </c>
    </row>
    <row r="11703" spans="1:7">
      <c r="A11703" t="s">
        <v>1297</v>
      </c>
      <c r="B11703" t="s">
        <v>1298</v>
      </c>
      <c r="C11703" t="s">
        <v>652</v>
      </c>
      <c r="D11703" t="s">
        <v>1423</v>
      </c>
      <c r="E11703" t="s">
        <v>187</v>
      </c>
      <c r="F11703">
        <v>2005</v>
      </c>
      <c r="G11703">
        <v>1.9319999999999999</v>
      </c>
    </row>
    <row r="11704" spans="1:7">
      <c r="A11704" t="s">
        <v>1297</v>
      </c>
      <c r="B11704" t="s">
        <v>1298</v>
      </c>
      <c r="C11704" t="s">
        <v>652</v>
      </c>
      <c r="D11704" t="s">
        <v>1423</v>
      </c>
      <c r="E11704" t="s">
        <v>187</v>
      </c>
      <c r="F11704">
        <v>2010</v>
      </c>
      <c r="G11704">
        <v>0.79800000000000004</v>
      </c>
    </row>
    <row r="11705" spans="1:7">
      <c r="A11705" t="s">
        <v>1297</v>
      </c>
      <c r="B11705" t="s">
        <v>1298</v>
      </c>
      <c r="C11705" t="s">
        <v>652</v>
      </c>
      <c r="D11705" t="s">
        <v>1423</v>
      </c>
      <c r="E11705" t="s">
        <v>187</v>
      </c>
      <c r="F11705">
        <v>2012</v>
      </c>
      <c r="G11705">
        <v>0.71399999999999997</v>
      </c>
    </row>
    <row r="11706" spans="1:7">
      <c r="A11706" t="s">
        <v>1297</v>
      </c>
      <c r="B11706" t="s">
        <v>1298</v>
      </c>
      <c r="C11706" t="s">
        <v>652</v>
      </c>
      <c r="D11706" t="s">
        <v>1423</v>
      </c>
      <c r="E11706" t="s">
        <v>187</v>
      </c>
      <c r="F11706">
        <v>2016</v>
      </c>
      <c r="G11706">
        <v>0.71399999999999997</v>
      </c>
    </row>
    <row r="11707" spans="1:7">
      <c r="A11707" t="s">
        <v>1297</v>
      </c>
      <c r="B11707" t="s">
        <v>1298</v>
      </c>
      <c r="C11707" t="s">
        <v>652</v>
      </c>
      <c r="D11707" t="s">
        <v>1423</v>
      </c>
      <c r="E11707" t="s">
        <v>187</v>
      </c>
      <c r="F11707">
        <v>2020</v>
      </c>
      <c r="G11707">
        <v>0.7056</v>
      </c>
    </row>
    <row r="11708" spans="1:7">
      <c r="A11708" t="s">
        <v>1297</v>
      </c>
      <c r="B11708" t="s">
        <v>1298</v>
      </c>
      <c r="C11708" t="s">
        <v>656</v>
      </c>
      <c r="D11708" t="s">
        <v>1423</v>
      </c>
      <c r="E11708" t="s">
        <v>187</v>
      </c>
      <c r="F11708">
        <v>2005</v>
      </c>
      <c r="G11708">
        <v>15.389023999999999</v>
      </c>
    </row>
    <row r="11709" spans="1:7">
      <c r="A11709" t="s">
        <v>1297</v>
      </c>
      <c r="B11709" t="s">
        <v>1298</v>
      </c>
      <c r="C11709" t="s">
        <v>656</v>
      </c>
      <c r="D11709" t="s">
        <v>1423</v>
      </c>
      <c r="E11709" t="s">
        <v>187</v>
      </c>
      <c r="F11709">
        <v>2010</v>
      </c>
      <c r="G11709">
        <v>12.629035999999999</v>
      </c>
    </row>
    <row r="11710" spans="1:7">
      <c r="A11710" t="s">
        <v>1297</v>
      </c>
      <c r="B11710" t="s">
        <v>1298</v>
      </c>
      <c r="C11710" t="s">
        <v>656</v>
      </c>
      <c r="D11710" t="s">
        <v>1423</v>
      </c>
      <c r="E11710" t="s">
        <v>187</v>
      </c>
      <c r="F11710">
        <v>2012</v>
      </c>
      <c r="G11710">
        <v>12.085402</v>
      </c>
    </row>
    <row r="11711" spans="1:7">
      <c r="A11711" t="s">
        <v>1297</v>
      </c>
      <c r="B11711" t="s">
        <v>1298</v>
      </c>
      <c r="C11711" t="s">
        <v>656</v>
      </c>
      <c r="D11711" t="s">
        <v>1423</v>
      </c>
      <c r="E11711" t="s">
        <v>187</v>
      </c>
      <c r="F11711">
        <v>2016</v>
      </c>
      <c r="G11711">
        <v>13.549032</v>
      </c>
    </row>
    <row r="11712" spans="1:7">
      <c r="A11712" t="s">
        <v>1297</v>
      </c>
      <c r="B11712" t="s">
        <v>1298</v>
      </c>
      <c r="C11712" t="s">
        <v>656</v>
      </c>
      <c r="D11712" t="s">
        <v>1423</v>
      </c>
      <c r="E11712" t="s">
        <v>187</v>
      </c>
      <c r="F11712">
        <v>2020</v>
      </c>
      <c r="G11712">
        <v>12.503582</v>
      </c>
    </row>
    <row r="11713" spans="1:7">
      <c r="A11713" t="s">
        <v>1297</v>
      </c>
      <c r="B11713" t="s">
        <v>1298</v>
      </c>
      <c r="C11713" t="s">
        <v>659</v>
      </c>
      <c r="D11713" t="s">
        <v>1423</v>
      </c>
      <c r="E11713" t="s">
        <v>187</v>
      </c>
      <c r="F11713">
        <v>2005</v>
      </c>
      <c r="G11713">
        <v>14.874000000000001</v>
      </c>
    </row>
    <row r="11714" spans="1:7">
      <c r="A11714" t="s">
        <v>1297</v>
      </c>
      <c r="B11714" t="s">
        <v>1298</v>
      </c>
      <c r="C11714" t="s">
        <v>659</v>
      </c>
      <c r="D11714" t="s">
        <v>1423</v>
      </c>
      <c r="E11714" t="s">
        <v>187</v>
      </c>
      <c r="F11714">
        <v>2010</v>
      </c>
      <c r="G11714">
        <v>9.0449999999999999</v>
      </c>
    </row>
    <row r="11715" spans="1:7">
      <c r="A11715" t="s">
        <v>1297</v>
      </c>
      <c r="B11715" t="s">
        <v>1298</v>
      </c>
      <c r="C11715" t="s">
        <v>659</v>
      </c>
      <c r="D11715" t="s">
        <v>1423</v>
      </c>
      <c r="E11715" t="s">
        <v>187</v>
      </c>
      <c r="F11715">
        <v>2012</v>
      </c>
      <c r="G11715">
        <v>8.2812000000000001</v>
      </c>
    </row>
    <row r="11716" spans="1:7">
      <c r="A11716" t="s">
        <v>1297</v>
      </c>
      <c r="B11716" t="s">
        <v>1298</v>
      </c>
      <c r="C11716" t="s">
        <v>659</v>
      </c>
      <c r="D11716" t="s">
        <v>1423</v>
      </c>
      <c r="E11716" t="s">
        <v>187</v>
      </c>
      <c r="F11716">
        <v>2016</v>
      </c>
      <c r="G11716">
        <v>7.8792</v>
      </c>
    </row>
    <row r="11717" spans="1:7">
      <c r="A11717" t="s">
        <v>1297</v>
      </c>
      <c r="B11717" t="s">
        <v>1298</v>
      </c>
      <c r="C11717" t="s">
        <v>659</v>
      </c>
      <c r="D11717" t="s">
        <v>1423</v>
      </c>
      <c r="E11717" t="s">
        <v>187</v>
      </c>
      <c r="F11717">
        <v>2020</v>
      </c>
      <c r="G11717">
        <v>8.2409999999999997</v>
      </c>
    </row>
    <row r="11718" spans="1:7">
      <c r="A11718" t="s">
        <v>1297</v>
      </c>
      <c r="B11718" t="s">
        <v>1298</v>
      </c>
      <c r="C11718" t="s">
        <v>289</v>
      </c>
      <c r="D11718" t="s">
        <v>1423</v>
      </c>
      <c r="E11718" t="s">
        <v>187</v>
      </c>
      <c r="F11718">
        <v>2005</v>
      </c>
      <c r="G11718">
        <v>0.83750000000000002</v>
      </c>
    </row>
    <row r="11719" spans="1:7">
      <c r="A11719" t="s">
        <v>1297</v>
      </c>
      <c r="B11719" t="s">
        <v>1298</v>
      </c>
      <c r="C11719" t="s">
        <v>289</v>
      </c>
      <c r="D11719" t="s">
        <v>1423</v>
      </c>
      <c r="E11719" t="s">
        <v>187</v>
      </c>
      <c r="F11719">
        <v>2010</v>
      </c>
      <c r="G11719">
        <v>0.67</v>
      </c>
    </row>
    <row r="11720" spans="1:7">
      <c r="A11720" t="s">
        <v>1297</v>
      </c>
      <c r="B11720" t="s">
        <v>1298</v>
      </c>
      <c r="C11720" t="s">
        <v>289</v>
      </c>
      <c r="D11720" t="s">
        <v>1423</v>
      </c>
      <c r="E11720" t="s">
        <v>187</v>
      </c>
      <c r="F11720">
        <v>2012</v>
      </c>
      <c r="G11720">
        <v>0.60299999999999998</v>
      </c>
    </row>
    <row r="11721" spans="1:7">
      <c r="A11721" t="s">
        <v>1297</v>
      </c>
      <c r="B11721" t="s">
        <v>1298</v>
      </c>
      <c r="C11721" t="s">
        <v>289</v>
      </c>
      <c r="D11721" t="s">
        <v>1423</v>
      </c>
      <c r="E11721" t="s">
        <v>187</v>
      </c>
      <c r="F11721">
        <v>2016</v>
      </c>
      <c r="G11721">
        <v>0.70350000000000001</v>
      </c>
    </row>
    <row r="11722" spans="1:7">
      <c r="A11722" t="s">
        <v>1297</v>
      </c>
      <c r="B11722" t="s">
        <v>1298</v>
      </c>
      <c r="C11722" t="s">
        <v>289</v>
      </c>
      <c r="D11722" t="s">
        <v>1423</v>
      </c>
      <c r="E11722" t="s">
        <v>187</v>
      </c>
      <c r="F11722">
        <v>2020</v>
      </c>
      <c r="G11722">
        <v>0.73699999999999999</v>
      </c>
    </row>
    <row r="11723" spans="1:7">
      <c r="A11723" t="s">
        <v>1297</v>
      </c>
      <c r="B11723" t="s">
        <v>1298</v>
      </c>
      <c r="C11723" t="s">
        <v>654</v>
      </c>
      <c r="D11723" t="s">
        <v>1423</v>
      </c>
      <c r="E11723" t="s">
        <v>187</v>
      </c>
      <c r="F11723">
        <v>2005</v>
      </c>
      <c r="G11723">
        <v>8.0399999999999999E-2</v>
      </c>
    </row>
    <row r="11724" spans="1:7">
      <c r="A11724" t="s">
        <v>1297</v>
      </c>
      <c r="B11724" t="s">
        <v>1298</v>
      </c>
      <c r="C11724" t="s">
        <v>654</v>
      </c>
      <c r="D11724" t="s">
        <v>1423</v>
      </c>
      <c r="E11724" t="s">
        <v>187</v>
      </c>
      <c r="F11724">
        <v>2010</v>
      </c>
      <c r="G11724">
        <v>8.0399999999999999E-2</v>
      </c>
    </row>
    <row r="11725" spans="1:7">
      <c r="A11725" t="s">
        <v>1297</v>
      </c>
      <c r="B11725" t="s">
        <v>1298</v>
      </c>
      <c r="C11725" t="s">
        <v>654</v>
      </c>
      <c r="D11725" t="s">
        <v>1423</v>
      </c>
      <c r="E11725" t="s">
        <v>187</v>
      </c>
      <c r="F11725">
        <v>2012</v>
      </c>
      <c r="G11725">
        <v>4.02E-2</v>
      </c>
    </row>
    <row r="11726" spans="1:7">
      <c r="A11726" t="s">
        <v>1297</v>
      </c>
      <c r="B11726" t="s">
        <v>1298</v>
      </c>
      <c r="C11726" t="s">
        <v>654</v>
      </c>
      <c r="D11726" t="s">
        <v>1423</v>
      </c>
      <c r="E11726" t="s">
        <v>187</v>
      </c>
      <c r="F11726">
        <v>2016</v>
      </c>
      <c r="G11726">
        <v>4.02E-2</v>
      </c>
    </row>
    <row r="11727" spans="1:7">
      <c r="A11727" t="s">
        <v>1297</v>
      </c>
      <c r="B11727" t="s">
        <v>1298</v>
      </c>
      <c r="C11727" t="s">
        <v>654</v>
      </c>
      <c r="D11727" t="s">
        <v>1423</v>
      </c>
      <c r="E11727" t="s">
        <v>187</v>
      </c>
      <c r="F11727">
        <v>2020</v>
      </c>
      <c r="G11727">
        <v>9.7564999999999999E-2</v>
      </c>
    </row>
    <row r="11728" spans="1:7">
      <c r="A11728" t="s">
        <v>1297</v>
      </c>
      <c r="B11728" t="s">
        <v>1298</v>
      </c>
      <c r="C11728" t="s">
        <v>671</v>
      </c>
      <c r="D11728" t="s">
        <v>1423</v>
      </c>
      <c r="E11728" t="s">
        <v>187</v>
      </c>
      <c r="F11728">
        <v>2005</v>
      </c>
      <c r="G11728">
        <v>6.5526</v>
      </c>
    </row>
    <row r="11729" spans="1:7">
      <c r="A11729" t="s">
        <v>1297</v>
      </c>
      <c r="B11729" t="s">
        <v>1298</v>
      </c>
      <c r="C11729" t="s">
        <v>671</v>
      </c>
      <c r="D11729" t="s">
        <v>1423</v>
      </c>
      <c r="E11729" t="s">
        <v>187</v>
      </c>
      <c r="F11729">
        <v>2010</v>
      </c>
      <c r="G11729">
        <v>5.4180000000000001</v>
      </c>
    </row>
    <row r="11730" spans="1:7">
      <c r="A11730" t="s">
        <v>1297</v>
      </c>
      <c r="B11730" t="s">
        <v>1298</v>
      </c>
      <c r="C11730" t="s">
        <v>671</v>
      </c>
      <c r="D11730" t="s">
        <v>1423</v>
      </c>
      <c r="E11730" t="s">
        <v>187</v>
      </c>
      <c r="F11730">
        <v>2012</v>
      </c>
      <c r="G11730">
        <v>4.8719999999999999</v>
      </c>
    </row>
    <row r="11731" spans="1:7">
      <c r="A11731" t="s">
        <v>1297</v>
      </c>
      <c r="B11731" t="s">
        <v>1298</v>
      </c>
      <c r="C11731" t="s">
        <v>671</v>
      </c>
      <c r="D11731" t="s">
        <v>1423</v>
      </c>
      <c r="E11731" t="s">
        <v>187</v>
      </c>
      <c r="F11731">
        <v>2016</v>
      </c>
      <c r="G11731">
        <v>5.4180000000000001</v>
      </c>
    </row>
    <row r="11732" spans="1:7">
      <c r="A11732" t="s">
        <v>1297</v>
      </c>
      <c r="B11732" t="s">
        <v>1298</v>
      </c>
      <c r="C11732" t="s">
        <v>671</v>
      </c>
      <c r="D11732" t="s">
        <v>1423</v>
      </c>
      <c r="E11732" t="s">
        <v>187</v>
      </c>
      <c r="F11732">
        <v>2020</v>
      </c>
      <c r="G11732">
        <v>5.4560519999999997</v>
      </c>
    </row>
    <row r="11733" spans="1:7">
      <c r="A11733" t="s">
        <v>1297</v>
      </c>
      <c r="B11733" t="s">
        <v>1298</v>
      </c>
      <c r="C11733" t="s">
        <v>1299</v>
      </c>
      <c r="D11733" t="s">
        <v>1423</v>
      </c>
      <c r="E11733" t="s">
        <v>187</v>
      </c>
      <c r="F11733">
        <v>2010</v>
      </c>
      <c r="G11733">
        <v>1.2090000000000001</v>
      </c>
    </row>
    <row r="11734" spans="1:7">
      <c r="A11734" t="s">
        <v>1297</v>
      </c>
      <c r="B11734" t="s">
        <v>1298</v>
      </c>
      <c r="C11734" t="s">
        <v>1299</v>
      </c>
      <c r="D11734" t="s">
        <v>1423</v>
      </c>
      <c r="E11734" t="s">
        <v>187</v>
      </c>
      <c r="F11734">
        <v>2012</v>
      </c>
      <c r="G11734">
        <v>1.05</v>
      </c>
    </row>
    <row r="11735" spans="1:7">
      <c r="A11735" t="s">
        <v>1297</v>
      </c>
      <c r="B11735" t="s">
        <v>1298</v>
      </c>
      <c r="C11735" t="s">
        <v>1299</v>
      </c>
      <c r="D11735" t="s">
        <v>1423</v>
      </c>
      <c r="E11735" t="s">
        <v>187</v>
      </c>
      <c r="F11735">
        <v>2016</v>
      </c>
      <c r="G11735">
        <v>0.502</v>
      </c>
    </row>
    <row r="11736" spans="1:7">
      <c r="A11736" t="s">
        <v>1297</v>
      </c>
      <c r="B11736" t="s">
        <v>1298</v>
      </c>
      <c r="C11736" t="s">
        <v>1299</v>
      </c>
      <c r="D11736" t="s">
        <v>1423</v>
      </c>
      <c r="E11736" t="s">
        <v>187</v>
      </c>
      <c r="F11736">
        <v>2020</v>
      </c>
      <c r="G11736">
        <v>0.46200000000000002</v>
      </c>
    </row>
    <row r="11737" spans="1:7">
      <c r="A11737" t="s">
        <v>1297</v>
      </c>
      <c r="B11737" t="s">
        <v>1298</v>
      </c>
      <c r="C11737" t="s">
        <v>651</v>
      </c>
      <c r="D11737" t="s">
        <v>1423</v>
      </c>
      <c r="E11737" t="s">
        <v>187</v>
      </c>
      <c r="F11737">
        <v>2020</v>
      </c>
      <c r="G11737">
        <v>0.57863699999999996</v>
      </c>
    </row>
    <row r="11738" spans="1:7">
      <c r="A11738" t="s">
        <v>1297</v>
      </c>
      <c r="B11738" t="s">
        <v>1298</v>
      </c>
      <c r="C11738" t="s">
        <v>685</v>
      </c>
      <c r="D11738" t="s">
        <v>1423</v>
      </c>
      <c r="E11738" t="s">
        <v>187</v>
      </c>
      <c r="F11738">
        <v>2010</v>
      </c>
      <c r="G11738">
        <v>0.28140700000000002</v>
      </c>
    </row>
    <row r="11739" spans="1:7">
      <c r="A11739" t="s">
        <v>1297</v>
      </c>
      <c r="B11739" t="s">
        <v>1298</v>
      </c>
      <c r="C11739" t="s">
        <v>685</v>
      </c>
      <c r="D11739" t="s">
        <v>1423</v>
      </c>
      <c r="E11739" t="s">
        <v>187</v>
      </c>
      <c r="F11739">
        <v>2012</v>
      </c>
      <c r="G11739">
        <v>0.241206</v>
      </c>
    </row>
    <row r="11740" spans="1:7">
      <c r="A11740" t="s">
        <v>1297</v>
      </c>
      <c r="B11740" t="s">
        <v>1298</v>
      </c>
      <c r="C11740" t="s">
        <v>685</v>
      </c>
      <c r="D11740" t="s">
        <v>1423</v>
      </c>
      <c r="E11740" t="s">
        <v>187</v>
      </c>
      <c r="F11740">
        <v>2016</v>
      </c>
      <c r="G11740">
        <v>0.31357800000000002</v>
      </c>
    </row>
    <row r="11741" spans="1:7">
      <c r="A11741" t="s">
        <v>1297</v>
      </c>
      <c r="B11741" t="s">
        <v>1298</v>
      </c>
      <c r="C11741" t="s">
        <v>685</v>
      </c>
      <c r="D11741" t="s">
        <v>1423</v>
      </c>
      <c r="E11741" t="s">
        <v>187</v>
      </c>
      <c r="F11741">
        <v>2020</v>
      </c>
      <c r="G11741">
        <v>0.40146999999999999</v>
      </c>
    </row>
    <row r="11742" spans="1:7">
      <c r="A11742" t="s">
        <v>1297</v>
      </c>
      <c r="B11742" t="s">
        <v>1298</v>
      </c>
      <c r="C11742" t="s">
        <v>673</v>
      </c>
      <c r="D11742" t="s">
        <v>1423</v>
      </c>
      <c r="E11742" t="s">
        <v>187</v>
      </c>
      <c r="F11742">
        <v>2005</v>
      </c>
      <c r="G11742">
        <v>1.15848</v>
      </c>
    </row>
    <row r="11743" spans="1:7">
      <c r="A11743" t="s">
        <v>1297</v>
      </c>
      <c r="B11743" t="s">
        <v>1298</v>
      </c>
      <c r="C11743" t="s">
        <v>673</v>
      </c>
      <c r="D11743" t="s">
        <v>1423</v>
      </c>
      <c r="E11743" t="s">
        <v>187</v>
      </c>
      <c r="F11743">
        <v>2010</v>
      </c>
      <c r="G11743">
        <v>1.570973</v>
      </c>
    </row>
    <row r="11744" spans="1:7">
      <c r="A11744" t="s">
        <v>1297</v>
      </c>
      <c r="B11744" t="s">
        <v>1298</v>
      </c>
      <c r="C11744" t="s">
        <v>673</v>
      </c>
      <c r="D11744" t="s">
        <v>1423</v>
      </c>
      <c r="E11744" t="s">
        <v>187</v>
      </c>
      <c r="F11744">
        <v>2012</v>
      </c>
      <c r="G11744">
        <v>1.8283199999999999</v>
      </c>
    </row>
    <row r="11745" spans="1:7">
      <c r="A11745" t="s">
        <v>1297</v>
      </c>
      <c r="B11745" t="s">
        <v>1298</v>
      </c>
      <c r="C11745" t="s">
        <v>673</v>
      </c>
      <c r="D11745" t="s">
        <v>1423</v>
      </c>
      <c r="E11745" t="s">
        <v>187</v>
      </c>
      <c r="F11745">
        <v>2016</v>
      </c>
      <c r="G11745">
        <v>2.2150799999999999</v>
      </c>
    </row>
    <row r="11746" spans="1:7">
      <c r="A11746" t="s">
        <v>1297</v>
      </c>
      <c r="B11746" t="s">
        <v>1298</v>
      </c>
      <c r="C11746" t="s">
        <v>673</v>
      </c>
      <c r="D11746" t="s">
        <v>1423</v>
      </c>
      <c r="E11746" t="s">
        <v>187</v>
      </c>
      <c r="F11746">
        <v>2020</v>
      </c>
      <c r="G11746">
        <v>3.2442850000000001</v>
      </c>
    </row>
    <row r="11747" spans="1:7">
      <c r="A11747" t="s">
        <v>1297</v>
      </c>
      <c r="B11747" t="s">
        <v>1298</v>
      </c>
      <c r="C11747" t="s">
        <v>664</v>
      </c>
      <c r="D11747" t="s">
        <v>1423</v>
      </c>
      <c r="E11747" t="s">
        <v>187</v>
      </c>
      <c r="F11747">
        <v>2005</v>
      </c>
      <c r="G11747">
        <v>3.9749780000000001</v>
      </c>
    </row>
    <row r="11748" spans="1:7">
      <c r="A11748" t="s">
        <v>1297</v>
      </c>
      <c r="B11748" t="s">
        <v>1298</v>
      </c>
      <c r="C11748" t="s">
        <v>664</v>
      </c>
      <c r="D11748" t="s">
        <v>1423</v>
      </c>
      <c r="E11748" t="s">
        <v>187</v>
      </c>
      <c r="F11748">
        <v>2010</v>
      </c>
      <c r="G11748">
        <v>0.80345299999999997</v>
      </c>
    </row>
    <row r="11749" spans="1:7">
      <c r="A11749" t="s">
        <v>1297</v>
      </c>
      <c r="B11749" t="s">
        <v>1298</v>
      </c>
      <c r="C11749" t="s">
        <v>664</v>
      </c>
      <c r="D11749" t="s">
        <v>1423</v>
      </c>
      <c r="E11749" t="s">
        <v>187</v>
      </c>
      <c r="F11749">
        <v>2012</v>
      </c>
      <c r="G11749">
        <v>0.97260100000000005</v>
      </c>
    </row>
    <row r="11750" spans="1:7">
      <c r="A11750" t="s">
        <v>1297</v>
      </c>
      <c r="B11750" t="s">
        <v>1298</v>
      </c>
      <c r="C11750" t="s">
        <v>664</v>
      </c>
      <c r="D11750" t="s">
        <v>1423</v>
      </c>
      <c r="E11750" t="s">
        <v>187</v>
      </c>
      <c r="F11750">
        <v>2016</v>
      </c>
      <c r="G11750">
        <v>1.057175</v>
      </c>
    </row>
    <row r="11751" spans="1:7">
      <c r="A11751" t="s">
        <v>1297</v>
      </c>
      <c r="B11751" t="s">
        <v>1298</v>
      </c>
      <c r="C11751" t="s">
        <v>664</v>
      </c>
      <c r="D11751" t="s">
        <v>1423</v>
      </c>
      <c r="E11751" t="s">
        <v>187</v>
      </c>
      <c r="F11751">
        <v>2020</v>
      </c>
      <c r="G11751">
        <v>1.073574</v>
      </c>
    </row>
    <row r="11752" spans="1:7">
      <c r="A11752" t="s">
        <v>1297</v>
      </c>
      <c r="B11752" t="s">
        <v>1298</v>
      </c>
      <c r="C11752" t="s">
        <v>662</v>
      </c>
      <c r="D11752" t="s">
        <v>1423</v>
      </c>
      <c r="E11752" t="s">
        <v>187</v>
      </c>
      <c r="F11752">
        <v>2005</v>
      </c>
      <c r="G11752">
        <v>2.8944000000000001</v>
      </c>
    </row>
    <row r="11753" spans="1:7">
      <c r="A11753" t="s">
        <v>1297</v>
      </c>
      <c r="B11753" t="s">
        <v>1298</v>
      </c>
      <c r="C11753" t="s">
        <v>662</v>
      </c>
      <c r="D11753" t="s">
        <v>1423</v>
      </c>
      <c r="E11753" t="s">
        <v>187</v>
      </c>
      <c r="F11753">
        <v>2010</v>
      </c>
      <c r="G11753">
        <v>1.3859999999999999</v>
      </c>
    </row>
    <row r="11754" spans="1:7">
      <c r="A11754" t="s">
        <v>1297</v>
      </c>
      <c r="B11754" t="s">
        <v>1298</v>
      </c>
      <c r="C11754" t="s">
        <v>662</v>
      </c>
      <c r="D11754" t="s">
        <v>1423</v>
      </c>
      <c r="E11754" t="s">
        <v>187</v>
      </c>
      <c r="F11754">
        <v>2012</v>
      </c>
      <c r="G11754">
        <v>0.54600000000000004</v>
      </c>
    </row>
    <row r="11755" spans="1:7">
      <c r="A11755" t="s">
        <v>1297</v>
      </c>
      <c r="B11755" t="s">
        <v>1298</v>
      </c>
      <c r="C11755" t="s">
        <v>662</v>
      </c>
      <c r="D11755" t="s">
        <v>1423</v>
      </c>
      <c r="E11755" t="s">
        <v>187</v>
      </c>
      <c r="F11755">
        <v>2016</v>
      </c>
      <c r="G11755">
        <v>0.58799999999999997</v>
      </c>
    </row>
    <row r="11756" spans="1:7">
      <c r="A11756" t="s">
        <v>1297</v>
      </c>
      <c r="B11756" t="s">
        <v>1298</v>
      </c>
      <c r="C11756" t="s">
        <v>662</v>
      </c>
      <c r="D11756" t="s">
        <v>1423</v>
      </c>
      <c r="E11756" t="s">
        <v>187</v>
      </c>
      <c r="F11756">
        <v>2020</v>
      </c>
      <c r="G11756">
        <v>0.58846200000000004</v>
      </c>
    </row>
    <row r="11757" spans="1:7">
      <c r="A11757" t="s">
        <v>1297</v>
      </c>
      <c r="B11757" t="s">
        <v>1298</v>
      </c>
      <c r="C11757" t="s">
        <v>676</v>
      </c>
      <c r="D11757" t="s">
        <v>1423</v>
      </c>
      <c r="E11757" t="s">
        <v>187</v>
      </c>
      <c r="F11757">
        <v>2005</v>
      </c>
      <c r="G11757">
        <v>4.02E-2</v>
      </c>
    </row>
    <row r="11758" spans="1:7">
      <c r="A11758" t="s">
        <v>1297</v>
      </c>
      <c r="B11758" t="s">
        <v>1298</v>
      </c>
      <c r="C11758" t="s">
        <v>1303</v>
      </c>
      <c r="D11758" t="s">
        <v>1423</v>
      </c>
      <c r="E11758" t="s">
        <v>187</v>
      </c>
      <c r="F11758">
        <v>2016</v>
      </c>
      <c r="G11758">
        <v>0.60799999999999998</v>
      </c>
    </row>
    <row r="11759" spans="1:7">
      <c r="A11759" t="s">
        <v>1297</v>
      </c>
      <c r="B11759" t="s">
        <v>1298</v>
      </c>
      <c r="C11759" t="s">
        <v>1303</v>
      </c>
      <c r="D11759" t="s">
        <v>1423</v>
      </c>
      <c r="E11759" t="s">
        <v>187</v>
      </c>
      <c r="F11759">
        <v>2020</v>
      </c>
      <c r="G11759">
        <v>0.60621400000000003</v>
      </c>
    </row>
    <row r="11760" spans="1:7">
      <c r="A11760" t="s">
        <v>1297</v>
      </c>
      <c r="B11760" t="s">
        <v>1298</v>
      </c>
      <c r="C11760" t="s">
        <v>686</v>
      </c>
      <c r="D11760" t="s">
        <v>1423</v>
      </c>
      <c r="E11760" t="s">
        <v>187</v>
      </c>
      <c r="F11760">
        <v>2010</v>
      </c>
      <c r="G11760">
        <v>0.60289499999999996</v>
      </c>
    </row>
    <row r="11761" spans="1:7">
      <c r="A11761" t="s">
        <v>1297</v>
      </c>
      <c r="B11761" t="s">
        <v>1298</v>
      </c>
      <c r="C11761" t="s">
        <v>686</v>
      </c>
      <c r="D11761" t="s">
        <v>1423</v>
      </c>
      <c r="E11761" t="s">
        <v>187</v>
      </c>
      <c r="F11761">
        <v>2012</v>
      </c>
      <c r="G11761">
        <v>0.72347399999999995</v>
      </c>
    </row>
    <row r="11762" spans="1:7">
      <c r="A11762" t="s">
        <v>1297</v>
      </c>
      <c r="B11762" t="s">
        <v>1298</v>
      </c>
      <c r="C11762" t="s">
        <v>686</v>
      </c>
      <c r="D11762" t="s">
        <v>1423</v>
      </c>
      <c r="E11762" t="s">
        <v>187</v>
      </c>
      <c r="F11762">
        <v>2016</v>
      </c>
      <c r="G11762">
        <v>0.68328100000000003</v>
      </c>
    </row>
    <row r="11763" spans="1:7">
      <c r="A11763" t="s">
        <v>1297</v>
      </c>
      <c r="B11763" t="s">
        <v>1298</v>
      </c>
      <c r="C11763" t="s">
        <v>686</v>
      </c>
      <c r="D11763" t="s">
        <v>1423</v>
      </c>
      <c r="E11763" t="s">
        <v>187</v>
      </c>
      <c r="F11763">
        <v>2020</v>
      </c>
      <c r="G11763">
        <v>0.50462300000000004</v>
      </c>
    </row>
    <row r="11764" spans="1:7">
      <c r="A11764" t="s">
        <v>1297</v>
      </c>
      <c r="B11764" t="s">
        <v>1298</v>
      </c>
      <c r="C11764" t="s">
        <v>684</v>
      </c>
      <c r="D11764" t="s">
        <v>1423</v>
      </c>
      <c r="E11764" t="s">
        <v>187</v>
      </c>
      <c r="F11764">
        <v>2005</v>
      </c>
      <c r="G11764">
        <v>8.0379999999999993E-2</v>
      </c>
    </row>
    <row r="11765" spans="1:7">
      <c r="A11765" t="s">
        <v>1297</v>
      </c>
      <c r="B11765" t="s">
        <v>1298</v>
      </c>
      <c r="C11765" t="s">
        <v>684</v>
      </c>
      <c r="D11765" t="s">
        <v>1423</v>
      </c>
      <c r="E11765" t="s">
        <v>187</v>
      </c>
      <c r="F11765">
        <v>2010</v>
      </c>
      <c r="G11765">
        <v>4.0189999999999997E-2</v>
      </c>
    </row>
    <row r="11766" spans="1:7">
      <c r="A11766" t="s">
        <v>1297</v>
      </c>
      <c r="B11766" t="s">
        <v>1298</v>
      </c>
      <c r="C11766" t="s">
        <v>684</v>
      </c>
      <c r="D11766" t="s">
        <v>1423</v>
      </c>
      <c r="E11766" t="s">
        <v>187</v>
      </c>
      <c r="F11766">
        <v>2012</v>
      </c>
      <c r="G11766">
        <v>4.0189999999999997E-2</v>
      </c>
    </row>
    <row r="11767" spans="1:7">
      <c r="A11767" t="s">
        <v>1297</v>
      </c>
      <c r="B11767" t="s">
        <v>1298</v>
      </c>
      <c r="C11767" t="s">
        <v>684</v>
      </c>
      <c r="D11767" t="s">
        <v>1423</v>
      </c>
      <c r="E11767" t="s">
        <v>187</v>
      </c>
      <c r="F11767">
        <v>2016</v>
      </c>
      <c r="G11767">
        <v>0.24113999999999999</v>
      </c>
    </row>
    <row r="11768" spans="1:7">
      <c r="A11768" t="s">
        <v>1297</v>
      </c>
      <c r="B11768" t="s">
        <v>1298</v>
      </c>
      <c r="C11768" t="s">
        <v>684</v>
      </c>
      <c r="D11768" t="s">
        <v>1423</v>
      </c>
      <c r="E11768" t="s">
        <v>187</v>
      </c>
      <c r="F11768">
        <v>2020</v>
      </c>
      <c r="G11768">
        <v>0.24113999999999999</v>
      </c>
    </row>
    <row r="11769" spans="1:7">
      <c r="A11769" t="s">
        <v>1297</v>
      </c>
      <c r="B11769" t="s">
        <v>1298</v>
      </c>
      <c r="C11769" t="s">
        <v>1300</v>
      </c>
      <c r="D11769" t="s">
        <v>1423</v>
      </c>
      <c r="E11769" t="s">
        <v>187</v>
      </c>
      <c r="F11769">
        <v>2010</v>
      </c>
      <c r="G11769">
        <v>0.16875999999999999</v>
      </c>
    </row>
    <row r="11770" spans="1:7">
      <c r="A11770" t="s">
        <v>1297</v>
      </c>
      <c r="B11770" t="s">
        <v>1298</v>
      </c>
      <c r="C11770" t="s">
        <v>1300</v>
      </c>
      <c r="D11770" t="s">
        <v>1423</v>
      </c>
      <c r="E11770" t="s">
        <v>187</v>
      </c>
      <c r="F11770">
        <v>2012</v>
      </c>
      <c r="G11770">
        <v>0.25313999999999998</v>
      </c>
    </row>
    <row r="11771" spans="1:7">
      <c r="A11771" t="s">
        <v>1297</v>
      </c>
      <c r="B11771" t="s">
        <v>1298</v>
      </c>
      <c r="C11771" t="s">
        <v>1300</v>
      </c>
      <c r="D11771" t="s">
        <v>1423</v>
      </c>
      <c r="E11771" t="s">
        <v>187</v>
      </c>
      <c r="F11771">
        <v>2016</v>
      </c>
      <c r="G11771">
        <v>0.37940400000000002</v>
      </c>
    </row>
    <row r="11772" spans="1:7">
      <c r="A11772" t="s">
        <v>1297</v>
      </c>
      <c r="B11772" t="s">
        <v>1298</v>
      </c>
      <c r="C11772" t="s">
        <v>1300</v>
      </c>
      <c r="D11772" t="s">
        <v>1423</v>
      </c>
      <c r="E11772" t="s">
        <v>187</v>
      </c>
      <c r="F11772">
        <v>2020</v>
      </c>
      <c r="G11772">
        <v>0.35832599999999998</v>
      </c>
    </row>
    <row r="11773" spans="1:7">
      <c r="A11773" t="s">
        <v>1297</v>
      </c>
      <c r="B11773" t="s">
        <v>1298</v>
      </c>
      <c r="C11773" t="s">
        <v>1301</v>
      </c>
      <c r="D11773" t="s">
        <v>1423</v>
      </c>
      <c r="E11773" t="s">
        <v>187</v>
      </c>
      <c r="F11773">
        <v>2005</v>
      </c>
      <c r="G11773">
        <v>16.401599999999998</v>
      </c>
    </row>
    <row r="11774" spans="1:7">
      <c r="A11774" t="s">
        <v>1297</v>
      </c>
      <c r="B11774" t="s">
        <v>1298</v>
      </c>
      <c r="C11774" t="s">
        <v>1301</v>
      </c>
      <c r="D11774" t="s">
        <v>1423</v>
      </c>
      <c r="E11774" t="s">
        <v>187</v>
      </c>
      <c r="F11774">
        <v>2010</v>
      </c>
      <c r="G11774">
        <v>28.0596</v>
      </c>
    </row>
    <row r="11775" spans="1:7">
      <c r="A11775" t="s">
        <v>1297</v>
      </c>
      <c r="B11775" t="s">
        <v>1298</v>
      </c>
      <c r="C11775" t="s">
        <v>1301</v>
      </c>
      <c r="D11775" t="s">
        <v>1423</v>
      </c>
      <c r="E11775" t="s">
        <v>187</v>
      </c>
      <c r="F11775">
        <v>2012</v>
      </c>
      <c r="G11775">
        <v>39.661149999999999</v>
      </c>
    </row>
    <row r="11776" spans="1:7">
      <c r="A11776" t="s">
        <v>1297</v>
      </c>
      <c r="B11776" t="s">
        <v>1298</v>
      </c>
      <c r="C11776" t="s">
        <v>1301</v>
      </c>
      <c r="D11776" t="s">
        <v>1423</v>
      </c>
      <c r="E11776" t="s">
        <v>187</v>
      </c>
      <c r="F11776">
        <v>2016</v>
      </c>
      <c r="G11776">
        <v>8.8620000000000001</v>
      </c>
    </row>
    <row r="11777" spans="1:7">
      <c r="A11777" t="s">
        <v>1297</v>
      </c>
      <c r="B11777" t="s">
        <v>1298</v>
      </c>
      <c r="C11777" t="s">
        <v>1301</v>
      </c>
      <c r="D11777" t="s">
        <v>1423</v>
      </c>
      <c r="E11777" t="s">
        <v>187</v>
      </c>
      <c r="F11777">
        <v>2020</v>
      </c>
      <c r="G11777">
        <v>7.2495000000000003</v>
      </c>
    </row>
    <row r="11778" spans="1:7">
      <c r="A11778" t="s">
        <v>1297</v>
      </c>
      <c r="B11778" t="s">
        <v>1298</v>
      </c>
      <c r="C11778" t="s">
        <v>661</v>
      </c>
      <c r="D11778" t="s">
        <v>1423</v>
      </c>
      <c r="E11778" t="s">
        <v>187</v>
      </c>
      <c r="F11778">
        <v>2005</v>
      </c>
      <c r="G11778">
        <v>13.482642</v>
      </c>
    </row>
    <row r="11779" spans="1:7">
      <c r="A11779" t="s">
        <v>1297</v>
      </c>
      <c r="B11779" t="s">
        <v>1298</v>
      </c>
      <c r="C11779" t="s">
        <v>661</v>
      </c>
      <c r="D11779" t="s">
        <v>1423</v>
      </c>
      <c r="E11779" t="s">
        <v>187</v>
      </c>
      <c r="F11779">
        <v>2010</v>
      </c>
      <c r="G11779">
        <v>10.416496</v>
      </c>
    </row>
    <row r="11780" spans="1:7">
      <c r="A11780" t="s">
        <v>1297</v>
      </c>
      <c r="B11780" t="s">
        <v>1298</v>
      </c>
      <c r="C11780" t="s">
        <v>661</v>
      </c>
      <c r="D11780" t="s">
        <v>1423</v>
      </c>
      <c r="E11780" t="s">
        <v>187</v>
      </c>
      <c r="F11780">
        <v>2012</v>
      </c>
      <c r="G11780">
        <v>10.500500000000001</v>
      </c>
    </row>
    <row r="11781" spans="1:7">
      <c r="A11781" t="s">
        <v>1297</v>
      </c>
      <c r="B11781" t="s">
        <v>1298</v>
      </c>
      <c r="C11781" t="s">
        <v>661</v>
      </c>
      <c r="D11781" t="s">
        <v>1423</v>
      </c>
      <c r="E11781" t="s">
        <v>187</v>
      </c>
      <c r="F11781">
        <v>2016</v>
      </c>
      <c r="G11781">
        <v>9.7864660000000008</v>
      </c>
    </row>
    <row r="11782" spans="1:7">
      <c r="A11782" t="s">
        <v>1297</v>
      </c>
      <c r="B11782" t="s">
        <v>1298</v>
      </c>
      <c r="C11782" t="s">
        <v>661</v>
      </c>
      <c r="D11782" t="s">
        <v>1423</v>
      </c>
      <c r="E11782" t="s">
        <v>187</v>
      </c>
      <c r="F11782">
        <v>2020</v>
      </c>
      <c r="G11782">
        <v>8.868722</v>
      </c>
    </row>
    <row r="11783" spans="1:7">
      <c r="A11783" t="s">
        <v>1297</v>
      </c>
      <c r="B11783" t="s">
        <v>1298</v>
      </c>
      <c r="C11783" t="s">
        <v>674</v>
      </c>
      <c r="D11783" t="s">
        <v>1423</v>
      </c>
      <c r="E11783" t="s">
        <v>187</v>
      </c>
      <c r="F11783">
        <v>2005</v>
      </c>
      <c r="G11783">
        <v>7.9997999999999996</v>
      </c>
    </row>
    <row r="11784" spans="1:7">
      <c r="A11784" t="s">
        <v>1297</v>
      </c>
      <c r="B11784" t="s">
        <v>1298</v>
      </c>
      <c r="C11784" t="s">
        <v>674</v>
      </c>
      <c r="D11784" t="s">
        <v>1423</v>
      </c>
      <c r="E11784" t="s">
        <v>187</v>
      </c>
      <c r="F11784">
        <v>2010</v>
      </c>
      <c r="G11784">
        <v>2.3315999999999999</v>
      </c>
    </row>
    <row r="11785" spans="1:7">
      <c r="A11785" t="s">
        <v>1297</v>
      </c>
      <c r="B11785" t="s">
        <v>1298</v>
      </c>
      <c r="C11785" t="s">
        <v>674</v>
      </c>
      <c r="D11785" t="s">
        <v>1423</v>
      </c>
      <c r="E11785" t="s">
        <v>187</v>
      </c>
      <c r="F11785">
        <v>2012</v>
      </c>
      <c r="G11785">
        <v>0.92459999999999998</v>
      </c>
    </row>
    <row r="11786" spans="1:7">
      <c r="A11786" t="s">
        <v>1297</v>
      </c>
      <c r="B11786" t="s">
        <v>1298</v>
      </c>
      <c r="C11786" t="s">
        <v>674</v>
      </c>
      <c r="D11786" t="s">
        <v>1423</v>
      </c>
      <c r="E11786" t="s">
        <v>187</v>
      </c>
      <c r="F11786">
        <v>2016</v>
      </c>
      <c r="G11786">
        <v>2.2109999999999999</v>
      </c>
    </row>
    <row r="11787" spans="1:7">
      <c r="A11787" t="s">
        <v>1297</v>
      </c>
      <c r="B11787" t="s">
        <v>1298</v>
      </c>
      <c r="C11787" t="s">
        <v>670</v>
      </c>
      <c r="D11787" t="s">
        <v>1423</v>
      </c>
      <c r="E11787" t="s">
        <v>187</v>
      </c>
      <c r="F11787">
        <v>2005</v>
      </c>
      <c r="G11787">
        <v>4.0571999999999999</v>
      </c>
    </row>
    <row r="11788" spans="1:7">
      <c r="A11788" t="s">
        <v>1297</v>
      </c>
      <c r="B11788" t="s">
        <v>1298</v>
      </c>
      <c r="C11788" t="s">
        <v>670</v>
      </c>
      <c r="D11788" t="s">
        <v>1423</v>
      </c>
      <c r="E11788" t="s">
        <v>187</v>
      </c>
      <c r="F11788">
        <v>2010</v>
      </c>
      <c r="G11788">
        <v>2.8980000000000001</v>
      </c>
    </row>
    <row r="11789" spans="1:7">
      <c r="A11789" t="s">
        <v>1297</v>
      </c>
      <c r="B11789" t="s">
        <v>1298</v>
      </c>
      <c r="C11789" t="s">
        <v>670</v>
      </c>
      <c r="D11789" t="s">
        <v>1423</v>
      </c>
      <c r="E11789" t="s">
        <v>187</v>
      </c>
      <c r="F11789">
        <v>2012</v>
      </c>
      <c r="G11789">
        <v>2.3184</v>
      </c>
    </row>
    <row r="11790" spans="1:7">
      <c r="A11790" t="s">
        <v>1297</v>
      </c>
      <c r="B11790" t="s">
        <v>1298</v>
      </c>
      <c r="C11790" t="s">
        <v>670</v>
      </c>
      <c r="D11790" t="s">
        <v>1423</v>
      </c>
      <c r="E11790" t="s">
        <v>187</v>
      </c>
      <c r="F11790">
        <v>2016</v>
      </c>
      <c r="G11790">
        <v>2.6496</v>
      </c>
    </row>
    <row r="11791" spans="1:7">
      <c r="A11791" t="s">
        <v>1297</v>
      </c>
      <c r="B11791" t="s">
        <v>1298</v>
      </c>
      <c r="C11791" t="s">
        <v>670</v>
      </c>
      <c r="D11791" t="s">
        <v>1423</v>
      </c>
      <c r="E11791" t="s">
        <v>187</v>
      </c>
      <c r="F11791">
        <v>2020</v>
      </c>
      <c r="G11791">
        <v>2.7865350000000002</v>
      </c>
    </row>
    <row r="11792" spans="1:7">
      <c r="A11792" t="s">
        <v>1297</v>
      </c>
      <c r="B11792" t="s">
        <v>1298</v>
      </c>
      <c r="C11792" t="s">
        <v>657</v>
      </c>
      <c r="D11792" t="s">
        <v>1423</v>
      </c>
      <c r="E11792" t="s">
        <v>187</v>
      </c>
      <c r="F11792">
        <v>2005</v>
      </c>
      <c r="G11792">
        <v>1.3408</v>
      </c>
    </row>
    <row r="11793" spans="1:7">
      <c r="A11793" t="s">
        <v>1297</v>
      </c>
      <c r="B11793" t="s">
        <v>1298</v>
      </c>
      <c r="C11793" t="s">
        <v>657</v>
      </c>
      <c r="D11793" t="s">
        <v>1423</v>
      </c>
      <c r="E11793" t="s">
        <v>187</v>
      </c>
      <c r="F11793">
        <v>2010</v>
      </c>
      <c r="G11793">
        <v>1.3408</v>
      </c>
    </row>
    <row r="11794" spans="1:7">
      <c r="A11794" t="s">
        <v>1297</v>
      </c>
      <c r="B11794" t="s">
        <v>1298</v>
      </c>
      <c r="C11794" t="s">
        <v>657</v>
      </c>
      <c r="D11794" t="s">
        <v>1423</v>
      </c>
      <c r="E11794" t="s">
        <v>187</v>
      </c>
      <c r="F11794">
        <v>2012</v>
      </c>
      <c r="G11794">
        <v>1.3408</v>
      </c>
    </row>
    <row r="11795" spans="1:7">
      <c r="A11795" t="s">
        <v>1297</v>
      </c>
      <c r="B11795" t="s">
        <v>1298</v>
      </c>
      <c r="C11795" t="s">
        <v>657</v>
      </c>
      <c r="D11795" t="s">
        <v>1423</v>
      </c>
      <c r="E11795" t="s">
        <v>187</v>
      </c>
      <c r="F11795">
        <v>2016</v>
      </c>
      <c r="G11795">
        <v>1.3542080000000001</v>
      </c>
    </row>
    <row r="11796" spans="1:7">
      <c r="A11796" t="s">
        <v>1297</v>
      </c>
      <c r="B11796" t="s">
        <v>1298</v>
      </c>
      <c r="C11796" t="s">
        <v>657</v>
      </c>
      <c r="D11796" t="s">
        <v>1423</v>
      </c>
      <c r="E11796" t="s">
        <v>187</v>
      </c>
      <c r="F11796">
        <v>2020</v>
      </c>
      <c r="G11796">
        <v>1.3542080000000001</v>
      </c>
    </row>
    <row r="11797" spans="1:7">
      <c r="A11797" t="s">
        <v>1297</v>
      </c>
      <c r="B11797" t="s">
        <v>1298</v>
      </c>
      <c r="C11797" t="s">
        <v>685</v>
      </c>
      <c r="D11797" t="s">
        <v>1423</v>
      </c>
      <c r="E11797" t="s">
        <v>187</v>
      </c>
      <c r="F11797">
        <v>2005</v>
      </c>
      <c r="G11797">
        <v>0.321608</v>
      </c>
    </row>
    <row r="11798" spans="1:7">
      <c r="A11798" t="s">
        <v>1297</v>
      </c>
      <c r="B11798" t="s">
        <v>1298</v>
      </c>
      <c r="C11798" t="s">
        <v>663</v>
      </c>
      <c r="D11798" t="s">
        <v>1423</v>
      </c>
      <c r="E11798" t="s">
        <v>187</v>
      </c>
      <c r="F11798">
        <v>2005</v>
      </c>
      <c r="G11798">
        <v>3.2635999999999998</v>
      </c>
    </row>
    <row r="11799" spans="1:7">
      <c r="A11799" t="s">
        <v>1297</v>
      </c>
      <c r="B11799" t="s">
        <v>1298</v>
      </c>
      <c r="C11799" t="s">
        <v>663</v>
      </c>
      <c r="D11799" t="s">
        <v>1423</v>
      </c>
      <c r="E11799" t="s">
        <v>187</v>
      </c>
      <c r="F11799">
        <v>2010</v>
      </c>
      <c r="G11799">
        <v>2.1890000000000001</v>
      </c>
    </row>
    <row r="11800" spans="1:7">
      <c r="A11800" t="s">
        <v>1297</v>
      </c>
      <c r="B11800" t="s">
        <v>1298</v>
      </c>
      <c r="C11800" t="s">
        <v>663</v>
      </c>
      <c r="D11800" t="s">
        <v>1423</v>
      </c>
      <c r="E11800" t="s">
        <v>187</v>
      </c>
      <c r="F11800">
        <v>2012</v>
      </c>
      <c r="G11800">
        <v>1.7909999999999999</v>
      </c>
    </row>
    <row r="11801" spans="1:7">
      <c r="A11801" t="s">
        <v>1297</v>
      </c>
      <c r="B11801" t="s">
        <v>1298</v>
      </c>
      <c r="C11801" t="s">
        <v>663</v>
      </c>
      <c r="D11801" t="s">
        <v>1423</v>
      </c>
      <c r="E11801" t="s">
        <v>187</v>
      </c>
      <c r="F11801">
        <v>2016</v>
      </c>
      <c r="G11801">
        <v>1.7114</v>
      </c>
    </row>
    <row r="11802" spans="1:7">
      <c r="A11802" t="s">
        <v>1297</v>
      </c>
      <c r="B11802" t="s">
        <v>1298</v>
      </c>
      <c r="C11802" t="s">
        <v>663</v>
      </c>
      <c r="D11802" t="s">
        <v>1423</v>
      </c>
      <c r="E11802" t="s">
        <v>187</v>
      </c>
      <c r="F11802">
        <v>2020</v>
      </c>
      <c r="G11802">
        <v>1.5522</v>
      </c>
    </row>
    <row r="11803" spans="1:7">
      <c r="A11803" t="s">
        <v>1297</v>
      </c>
      <c r="B11803" t="s">
        <v>1298</v>
      </c>
      <c r="C11803" t="s">
        <v>668</v>
      </c>
      <c r="D11803" t="s">
        <v>1423</v>
      </c>
      <c r="E11803" t="s">
        <v>187</v>
      </c>
      <c r="F11803">
        <v>2005</v>
      </c>
      <c r="G11803">
        <v>1.08836</v>
      </c>
    </row>
    <row r="11804" spans="1:7">
      <c r="A11804" t="s">
        <v>1297</v>
      </c>
      <c r="B11804" t="s">
        <v>1298</v>
      </c>
      <c r="C11804" t="s">
        <v>668</v>
      </c>
      <c r="D11804" t="s">
        <v>1423</v>
      </c>
      <c r="E11804" t="s">
        <v>187</v>
      </c>
      <c r="F11804">
        <v>2010</v>
      </c>
      <c r="G11804">
        <v>0.58604000000000001</v>
      </c>
    </row>
    <row r="11805" spans="1:7">
      <c r="A11805" t="s">
        <v>1297</v>
      </c>
      <c r="B11805" t="s">
        <v>1298</v>
      </c>
      <c r="C11805" t="s">
        <v>668</v>
      </c>
      <c r="D11805" t="s">
        <v>1423</v>
      </c>
      <c r="E11805" t="s">
        <v>187</v>
      </c>
      <c r="F11805">
        <v>2012</v>
      </c>
      <c r="G11805">
        <v>0.87905999999999995</v>
      </c>
    </row>
    <row r="11806" spans="1:7">
      <c r="A11806" t="s">
        <v>1297</v>
      </c>
      <c r="B11806" t="s">
        <v>1298</v>
      </c>
      <c r="C11806" t="s">
        <v>668</v>
      </c>
      <c r="D11806" t="s">
        <v>1423</v>
      </c>
      <c r="E11806" t="s">
        <v>187</v>
      </c>
      <c r="F11806">
        <v>2016</v>
      </c>
      <c r="G11806">
        <v>1.3813800000000001</v>
      </c>
    </row>
    <row r="11807" spans="1:7">
      <c r="A11807" t="s">
        <v>1297</v>
      </c>
      <c r="B11807" t="s">
        <v>1298</v>
      </c>
      <c r="C11807" t="s">
        <v>668</v>
      </c>
      <c r="D11807" t="s">
        <v>1423</v>
      </c>
      <c r="E11807" t="s">
        <v>187</v>
      </c>
      <c r="F11807">
        <v>2020</v>
      </c>
      <c r="G11807">
        <v>1.0750280000000001</v>
      </c>
    </row>
    <row r="11808" spans="1:7">
      <c r="A11808" t="s">
        <v>1297</v>
      </c>
      <c r="B11808" t="s">
        <v>1298</v>
      </c>
      <c r="C11808" t="s">
        <v>672</v>
      </c>
      <c r="D11808" t="s">
        <v>1423</v>
      </c>
      <c r="E11808" t="s">
        <v>187</v>
      </c>
      <c r="F11808">
        <v>2005</v>
      </c>
      <c r="G11808">
        <v>2.1702599999999999</v>
      </c>
    </row>
    <row r="11809" spans="1:7">
      <c r="A11809" t="s">
        <v>1297</v>
      </c>
      <c r="B11809" t="s">
        <v>1298</v>
      </c>
      <c r="C11809" t="s">
        <v>672</v>
      </c>
      <c r="D11809" t="s">
        <v>1423</v>
      </c>
      <c r="E11809" t="s">
        <v>187</v>
      </c>
      <c r="F11809">
        <v>2010</v>
      </c>
      <c r="G11809">
        <v>1.764</v>
      </c>
    </row>
    <row r="11810" spans="1:7">
      <c r="A11810" t="s">
        <v>1297</v>
      </c>
      <c r="B11810" t="s">
        <v>1298</v>
      </c>
      <c r="C11810" t="s">
        <v>672</v>
      </c>
      <c r="D11810" t="s">
        <v>1423</v>
      </c>
      <c r="E11810" t="s">
        <v>187</v>
      </c>
      <c r="F11810">
        <v>2012</v>
      </c>
      <c r="G11810">
        <v>1.26</v>
      </c>
    </row>
    <row r="11811" spans="1:7">
      <c r="A11811" t="s">
        <v>1297</v>
      </c>
      <c r="B11811" t="s">
        <v>1298</v>
      </c>
      <c r="C11811" t="s">
        <v>672</v>
      </c>
      <c r="D11811" t="s">
        <v>1423</v>
      </c>
      <c r="E11811" t="s">
        <v>187</v>
      </c>
      <c r="F11811">
        <v>2016</v>
      </c>
      <c r="G11811">
        <v>1.26</v>
      </c>
    </row>
    <row r="11812" spans="1:7">
      <c r="A11812" t="s">
        <v>1297</v>
      </c>
      <c r="B11812" t="s">
        <v>1298</v>
      </c>
      <c r="C11812" t="s">
        <v>672</v>
      </c>
      <c r="D11812" t="s">
        <v>1423</v>
      </c>
      <c r="E11812" t="s">
        <v>187</v>
      </c>
      <c r="F11812">
        <v>2020</v>
      </c>
      <c r="G11812">
        <v>1.397424</v>
      </c>
    </row>
    <row r="11813" spans="1:7">
      <c r="A11813" t="s">
        <v>1297</v>
      </c>
      <c r="B11813" t="s">
        <v>1298</v>
      </c>
      <c r="C11813" t="s">
        <v>667</v>
      </c>
      <c r="D11813" t="s">
        <v>1423</v>
      </c>
      <c r="E11813" t="s">
        <v>187</v>
      </c>
      <c r="F11813">
        <v>2005</v>
      </c>
      <c r="G11813">
        <v>0.36180000000000001</v>
      </c>
    </row>
    <row r="11814" spans="1:7">
      <c r="A11814" t="s">
        <v>1297</v>
      </c>
      <c r="B11814" t="s">
        <v>1298</v>
      </c>
      <c r="C11814" t="s">
        <v>667</v>
      </c>
      <c r="D11814" t="s">
        <v>1423</v>
      </c>
      <c r="E11814" t="s">
        <v>187</v>
      </c>
      <c r="F11814">
        <v>2010</v>
      </c>
      <c r="G11814">
        <v>0.29723899999999998</v>
      </c>
    </row>
    <row r="11815" spans="1:7">
      <c r="A11815" t="s">
        <v>1297</v>
      </c>
      <c r="B11815" t="s">
        <v>1298</v>
      </c>
      <c r="C11815" t="s">
        <v>667</v>
      </c>
      <c r="D11815" t="s">
        <v>1423</v>
      </c>
      <c r="E11815" t="s">
        <v>187</v>
      </c>
      <c r="F11815">
        <v>2012</v>
      </c>
      <c r="G11815">
        <v>0.323932</v>
      </c>
    </row>
    <row r="11816" spans="1:7">
      <c r="A11816" t="s">
        <v>1297</v>
      </c>
      <c r="B11816" t="s">
        <v>1298</v>
      </c>
      <c r="C11816" t="s">
        <v>667</v>
      </c>
      <c r="D11816" t="s">
        <v>1423</v>
      </c>
      <c r="E11816" t="s">
        <v>187</v>
      </c>
      <c r="F11816">
        <v>2016</v>
      </c>
      <c r="G11816">
        <v>0.35255399999999998</v>
      </c>
    </row>
    <row r="11817" spans="1:7">
      <c r="A11817" t="s">
        <v>1297</v>
      </c>
      <c r="B11817" t="s">
        <v>1298</v>
      </c>
      <c r="C11817" t="s">
        <v>667</v>
      </c>
      <c r="D11817" t="s">
        <v>1423</v>
      </c>
      <c r="E11817" t="s">
        <v>187</v>
      </c>
      <c r="F11817">
        <v>2020</v>
      </c>
      <c r="G11817">
        <v>0.31975100000000001</v>
      </c>
    </row>
    <row r="11818" spans="1:7">
      <c r="A11818" t="s">
        <v>1297</v>
      </c>
      <c r="B11818" t="s">
        <v>1298</v>
      </c>
      <c r="C11818" t="s">
        <v>677</v>
      </c>
      <c r="D11818" t="s">
        <v>1423</v>
      </c>
      <c r="E11818" t="s">
        <v>187</v>
      </c>
      <c r="F11818">
        <v>2005</v>
      </c>
      <c r="G11818">
        <v>9.6882000000000001</v>
      </c>
    </row>
    <row r="11819" spans="1:7">
      <c r="A11819" t="s">
        <v>1297</v>
      </c>
      <c r="B11819" t="s">
        <v>1298</v>
      </c>
      <c r="C11819" t="s">
        <v>677</v>
      </c>
      <c r="D11819" t="s">
        <v>1423</v>
      </c>
      <c r="E11819" t="s">
        <v>187</v>
      </c>
      <c r="F11819">
        <v>2010</v>
      </c>
      <c r="G11819">
        <v>6.9947999999999997</v>
      </c>
    </row>
    <row r="11820" spans="1:7">
      <c r="A11820" t="s">
        <v>1297</v>
      </c>
      <c r="B11820" t="s">
        <v>1298</v>
      </c>
      <c r="C11820" t="s">
        <v>677</v>
      </c>
      <c r="D11820" t="s">
        <v>1423</v>
      </c>
      <c r="E11820" t="s">
        <v>187</v>
      </c>
      <c r="F11820">
        <v>2012</v>
      </c>
      <c r="G11820">
        <v>8.2007999999999992</v>
      </c>
    </row>
    <row r="11821" spans="1:7">
      <c r="A11821" t="s">
        <v>1297</v>
      </c>
      <c r="B11821" t="s">
        <v>1298</v>
      </c>
      <c r="C11821" t="s">
        <v>677</v>
      </c>
      <c r="D11821" t="s">
        <v>1423</v>
      </c>
      <c r="E11821" t="s">
        <v>187</v>
      </c>
      <c r="F11821">
        <v>2016</v>
      </c>
      <c r="G11821">
        <v>2.618852</v>
      </c>
    </row>
    <row r="11822" spans="1:7">
      <c r="A11822" t="s">
        <v>1297</v>
      </c>
      <c r="B11822" t="s">
        <v>1298</v>
      </c>
      <c r="C11822" t="s">
        <v>677</v>
      </c>
      <c r="D11822" t="s">
        <v>1423</v>
      </c>
      <c r="E11822" t="s">
        <v>187</v>
      </c>
      <c r="F11822">
        <v>2020</v>
      </c>
      <c r="G11822">
        <v>2.7237659999999999</v>
      </c>
    </row>
    <row r="11823" spans="1:7">
      <c r="A11823" t="s">
        <v>1297</v>
      </c>
      <c r="B11823" t="s">
        <v>1298</v>
      </c>
      <c r="C11823" t="s">
        <v>651</v>
      </c>
      <c r="D11823" t="s">
        <v>1423</v>
      </c>
      <c r="E11823" t="s">
        <v>187</v>
      </c>
      <c r="F11823">
        <v>2005</v>
      </c>
      <c r="G11823">
        <v>1.353818</v>
      </c>
    </row>
    <row r="11824" spans="1:7">
      <c r="A11824" t="s">
        <v>1297</v>
      </c>
      <c r="B11824" t="s">
        <v>1298</v>
      </c>
      <c r="C11824" t="s">
        <v>651</v>
      </c>
      <c r="D11824" t="s">
        <v>1423</v>
      </c>
      <c r="E11824" t="s">
        <v>187</v>
      </c>
      <c r="F11824">
        <v>2010</v>
      </c>
      <c r="G11824">
        <v>1.225033</v>
      </c>
    </row>
    <row r="11825" spans="1:7">
      <c r="A11825" t="s">
        <v>1297</v>
      </c>
      <c r="B11825" t="s">
        <v>1298</v>
      </c>
      <c r="C11825" t="s">
        <v>651</v>
      </c>
      <c r="D11825" t="s">
        <v>1423</v>
      </c>
      <c r="E11825" t="s">
        <v>187</v>
      </c>
      <c r="F11825">
        <v>2012</v>
      </c>
      <c r="G11825">
        <v>1.0006079999999999</v>
      </c>
    </row>
    <row r="11826" spans="1:7">
      <c r="A11826" t="s">
        <v>1297</v>
      </c>
      <c r="B11826" t="s">
        <v>1298</v>
      </c>
      <c r="C11826" t="s">
        <v>651</v>
      </c>
      <c r="D11826" t="s">
        <v>1423</v>
      </c>
      <c r="E11826" t="s">
        <v>187</v>
      </c>
      <c r="F11826">
        <v>2016</v>
      </c>
      <c r="G11826">
        <v>0.68781899999999996</v>
      </c>
    </row>
    <row r="11827" spans="1:7">
      <c r="A11827" t="s">
        <v>1297</v>
      </c>
      <c r="B11827" t="s">
        <v>1298</v>
      </c>
      <c r="C11827" t="s">
        <v>668</v>
      </c>
      <c r="D11827" t="s">
        <v>1424</v>
      </c>
      <c r="E11827" t="s">
        <v>187</v>
      </c>
      <c r="F11827">
        <v>2005</v>
      </c>
      <c r="G11827">
        <v>2.1600000000000001E-2</v>
      </c>
    </row>
    <row r="11828" spans="1:7">
      <c r="A11828" t="s">
        <v>1297</v>
      </c>
      <c r="B11828" t="s">
        <v>1298</v>
      </c>
      <c r="C11828" t="s">
        <v>668</v>
      </c>
      <c r="D11828" t="s">
        <v>1424</v>
      </c>
      <c r="E11828" t="s">
        <v>187</v>
      </c>
      <c r="F11828">
        <v>2010</v>
      </c>
      <c r="G11828">
        <v>7.1999999999999998E-3</v>
      </c>
    </row>
    <row r="11829" spans="1:7">
      <c r="A11829" t="s">
        <v>1297</v>
      </c>
      <c r="B11829" t="s">
        <v>1298</v>
      </c>
      <c r="C11829" t="s">
        <v>668</v>
      </c>
      <c r="D11829" t="s">
        <v>1424</v>
      </c>
      <c r="E11829" t="s">
        <v>187</v>
      </c>
      <c r="F11829">
        <v>2012</v>
      </c>
      <c r="G11829">
        <v>3.5999999999999999E-3</v>
      </c>
    </row>
    <row r="11830" spans="1:7">
      <c r="A11830" t="s">
        <v>1297</v>
      </c>
      <c r="B11830" t="s">
        <v>1298</v>
      </c>
      <c r="C11830" t="s">
        <v>668</v>
      </c>
      <c r="D11830" t="s">
        <v>1424</v>
      </c>
      <c r="E11830" t="s">
        <v>187</v>
      </c>
      <c r="F11830">
        <v>2020</v>
      </c>
      <c r="G11830">
        <v>1.0939999999999999E-3</v>
      </c>
    </row>
    <row r="11831" spans="1:7">
      <c r="A11831" t="s">
        <v>1297</v>
      </c>
      <c r="B11831" t="s">
        <v>1298</v>
      </c>
      <c r="C11831" t="s">
        <v>669</v>
      </c>
      <c r="D11831" t="s">
        <v>1424</v>
      </c>
      <c r="E11831" t="s">
        <v>187</v>
      </c>
      <c r="F11831">
        <v>2005</v>
      </c>
      <c r="G11831">
        <v>8.0640000000000001</v>
      </c>
    </row>
    <row r="11832" spans="1:7">
      <c r="A11832" t="s">
        <v>1297</v>
      </c>
      <c r="B11832" t="s">
        <v>1298</v>
      </c>
      <c r="C11832" t="s">
        <v>669</v>
      </c>
      <c r="D11832" t="s">
        <v>1424</v>
      </c>
      <c r="E11832" t="s">
        <v>187</v>
      </c>
      <c r="F11832">
        <v>2010</v>
      </c>
      <c r="G11832">
        <v>7.6067999999999998</v>
      </c>
    </row>
    <row r="11833" spans="1:7">
      <c r="A11833" t="s">
        <v>1297</v>
      </c>
      <c r="B11833" t="s">
        <v>1298</v>
      </c>
      <c r="C11833" t="s">
        <v>669</v>
      </c>
      <c r="D11833" t="s">
        <v>1424</v>
      </c>
      <c r="E11833" t="s">
        <v>187</v>
      </c>
      <c r="F11833">
        <v>2012</v>
      </c>
      <c r="G11833">
        <v>8.1647999999999996</v>
      </c>
    </row>
    <row r="11834" spans="1:7">
      <c r="A11834" t="s">
        <v>1297</v>
      </c>
      <c r="B11834" t="s">
        <v>1298</v>
      </c>
      <c r="C11834" t="s">
        <v>669</v>
      </c>
      <c r="D11834" t="s">
        <v>1424</v>
      </c>
      <c r="E11834" t="s">
        <v>187</v>
      </c>
      <c r="F11834">
        <v>2016</v>
      </c>
      <c r="G11834">
        <v>2.595002</v>
      </c>
    </row>
    <row r="11835" spans="1:7">
      <c r="A11835" t="s">
        <v>1297</v>
      </c>
      <c r="B11835" t="s">
        <v>1298</v>
      </c>
      <c r="C11835" t="s">
        <v>669</v>
      </c>
      <c r="D11835" t="s">
        <v>1424</v>
      </c>
      <c r="E11835" t="s">
        <v>187</v>
      </c>
      <c r="F11835">
        <v>2020</v>
      </c>
      <c r="G11835">
        <v>0.108533</v>
      </c>
    </row>
    <row r="11836" spans="1:7">
      <c r="A11836" t="s">
        <v>1297</v>
      </c>
      <c r="B11836" t="s">
        <v>1298</v>
      </c>
      <c r="C11836" t="s">
        <v>289</v>
      </c>
      <c r="D11836" t="s">
        <v>1424</v>
      </c>
      <c r="E11836" t="s">
        <v>187</v>
      </c>
      <c r="F11836">
        <v>2005</v>
      </c>
      <c r="G11836">
        <v>6.6779999999999999</v>
      </c>
    </row>
    <row r="11837" spans="1:7">
      <c r="A11837" t="s">
        <v>1297</v>
      </c>
      <c r="B11837" t="s">
        <v>1298</v>
      </c>
      <c r="C11837" t="s">
        <v>289</v>
      </c>
      <c r="D11837" t="s">
        <v>1424</v>
      </c>
      <c r="E11837" t="s">
        <v>187</v>
      </c>
      <c r="F11837">
        <v>2010</v>
      </c>
      <c r="G11837">
        <v>2.016</v>
      </c>
    </row>
    <row r="11838" spans="1:7">
      <c r="A11838" t="s">
        <v>1297</v>
      </c>
      <c r="B11838" t="s">
        <v>1298</v>
      </c>
      <c r="C11838" t="s">
        <v>289</v>
      </c>
      <c r="D11838" t="s">
        <v>1424</v>
      </c>
      <c r="E11838" t="s">
        <v>187</v>
      </c>
      <c r="F11838">
        <v>2012</v>
      </c>
      <c r="G11838">
        <v>2.0952000000000002</v>
      </c>
    </row>
    <row r="11839" spans="1:7">
      <c r="A11839" t="s">
        <v>1297</v>
      </c>
      <c r="B11839" t="s">
        <v>1298</v>
      </c>
      <c r="C11839" t="s">
        <v>289</v>
      </c>
      <c r="D11839" t="s">
        <v>1424</v>
      </c>
      <c r="E11839" t="s">
        <v>187</v>
      </c>
      <c r="F11839">
        <v>2016</v>
      </c>
      <c r="G11839">
        <v>0.24840000000000001</v>
      </c>
    </row>
    <row r="11840" spans="1:7">
      <c r="A11840" t="s">
        <v>1297</v>
      </c>
      <c r="B11840" t="s">
        <v>1298</v>
      </c>
      <c r="C11840" t="s">
        <v>289</v>
      </c>
      <c r="D11840" t="s">
        <v>1424</v>
      </c>
      <c r="E11840" t="s">
        <v>187</v>
      </c>
      <c r="F11840">
        <v>2020</v>
      </c>
      <c r="G11840">
        <v>0.13752</v>
      </c>
    </row>
    <row r="11841" spans="1:7">
      <c r="A11841" t="s">
        <v>1297</v>
      </c>
      <c r="B11841" t="s">
        <v>1298</v>
      </c>
      <c r="C11841" t="s">
        <v>661</v>
      </c>
      <c r="D11841" t="s">
        <v>1424</v>
      </c>
      <c r="E11841" t="s">
        <v>187</v>
      </c>
      <c r="F11841">
        <v>2005</v>
      </c>
      <c r="G11841">
        <v>28.53</v>
      </c>
    </row>
    <row r="11842" spans="1:7">
      <c r="A11842" t="s">
        <v>1297</v>
      </c>
      <c r="B11842" t="s">
        <v>1298</v>
      </c>
      <c r="C11842" t="s">
        <v>661</v>
      </c>
      <c r="D11842" t="s">
        <v>1424</v>
      </c>
      <c r="E11842" t="s">
        <v>187</v>
      </c>
      <c r="F11842">
        <v>2010</v>
      </c>
      <c r="G11842">
        <v>19.876007000000001</v>
      </c>
    </row>
    <row r="11843" spans="1:7">
      <c r="A11843" t="s">
        <v>1297</v>
      </c>
      <c r="B11843" t="s">
        <v>1298</v>
      </c>
      <c r="C11843" t="s">
        <v>661</v>
      </c>
      <c r="D11843" t="s">
        <v>1424</v>
      </c>
      <c r="E11843" t="s">
        <v>187</v>
      </c>
      <c r="F11843">
        <v>2012</v>
      </c>
      <c r="G11843">
        <v>26.226403000000001</v>
      </c>
    </row>
    <row r="11844" spans="1:7">
      <c r="A11844" t="s">
        <v>1297</v>
      </c>
      <c r="B11844" t="s">
        <v>1298</v>
      </c>
      <c r="C11844" t="s">
        <v>661</v>
      </c>
      <c r="D11844" t="s">
        <v>1424</v>
      </c>
      <c r="E11844" t="s">
        <v>187</v>
      </c>
      <c r="F11844">
        <v>2016</v>
      </c>
      <c r="G11844">
        <v>24.680562999999999</v>
      </c>
    </row>
    <row r="11845" spans="1:7">
      <c r="A11845" t="s">
        <v>1297</v>
      </c>
      <c r="B11845" t="s">
        <v>1298</v>
      </c>
      <c r="C11845" t="s">
        <v>661</v>
      </c>
      <c r="D11845" t="s">
        <v>1424</v>
      </c>
      <c r="E11845" t="s">
        <v>187</v>
      </c>
      <c r="F11845">
        <v>2020</v>
      </c>
      <c r="G11845">
        <v>21.292157</v>
      </c>
    </row>
    <row r="11846" spans="1:7">
      <c r="A11846" t="s">
        <v>1297</v>
      </c>
      <c r="B11846" t="s">
        <v>1298</v>
      </c>
      <c r="C11846" t="s">
        <v>673</v>
      </c>
      <c r="D11846" t="s">
        <v>1424</v>
      </c>
      <c r="E11846" t="s">
        <v>187</v>
      </c>
      <c r="F11846">
        <v>2005</v>
      </c>
      <c r="G11846">
        <v>6.8183999999999996</v>
      </c>
    </row>
    <row r="11847" spans="1:7">
      <c r="A11847" t="s">
        <v>1297</v>
      </c>
      <c r="B11847" t="s">
        <v>1298</v>
      </c>
      <c r="C11847" t="s">
        <v>673</v>
      </c>
      <c r="D11847" t="s">
        <v>1424</v>
      </c>
      <c r="E11847" t="s">
        <v>187</v>
      </c>
      <c r="F11847">
        <v>2010</v>
      </c>
      <c r="G11847">
        <v>2.4912000000000001</v>
      </c>
    </row>
    <row r="11848" spans="1:7">
      <c r="A11848" t="s">
        <v>1297</v>
      </c>
      <c r="B11848" t="s">
        <v>1298</v>
      </c>
      <c r="C11848" t="s">
        <v>673</v>
      </c>
      <c r="D11848" t="s">
        <v>1424</v>
      </c>
      <c r="E11848" t="s">
        <v>187</v>
      </c>
      <c r="F11848">
        <v>2012</v>
      </c>
      <c r="G11848">
        <v>2.7035999999999998</v>
      </c>
    </row>
    <row r="11849" spans="1:7">
      <c r="A11849" t="s">
        <v>1297</v>
      </c>
      <c r="B11849" t="s">
        <v>1298</v>
      </c>
      <c r="C11849" t="s">
        <v>673</v>
      </c>
      <c r="D11849" t="s">
        <v>1424</v>
      </c>
      <c r="E11849" t="s">
        <v>187</v>
      </c>
      <c r="F11849">
        <v>2016</v>
      </c>
      <c r="G11849">
        <v>2.5344000000000002</v>
      </c>
    </row>
    <row r="11850" spans="1:7">
      <c r="A11850" t="s">
        <v>1297</v>
      </c>
      <c r="B11850" t="s">
        <v>1298</v>
      </c>
      <c r="C11850" t="s">
        <v>673</v>
      </c>
      <c r="D11850" t="s">
        <v>1424</v>
      </c>
      <c r="E11850" t="s">
        <v>187</v>
      </c>
      <c r="F11850">
        <v>2020</v>
      </c>
      <c r="G11850">
        <v>2.154096</v>
      </c>
    </row>
    <row r="11851" spans="1:7">
      <c r="A11851" t="s">
        <v>1297</v>
      </c>
      <c r="B11851" t="s">
        <v>1298</v>
      </c>
      <c r="C11851" t="s">
        <v>664</v>
      </c>
      <c r="D11851" t="s">
        <v>1424</v>
      </c>
      <c r="E11851" t="s">
        <v>187</v>
      </c>
      <c r="F11851">
        <v>2005</v>
      </c>
      <c r="G11851">
        <v>12.023999999999999</v>
      </c>
    </row>
    <row r="11852" spans="1:7">
      <c r="A11852" t="s">
        <v>1297</v>
      </c>
      <c r="B11852" t="s">
        <v>1298</v>
      </c>
      <c r="C11852" t="s">
        <v>664</v>
      </c>
      <c r="D11852" t="s">
        <v>1424</v>
      </c>
      <c r="E11852" t="s">
        <v>187</v>
      </c>
      <c r="F11852">
        <v>2010</v>
      </c>
      <c r="G11852">
        <v>2.171484</v>
      </c>
    </row>
    <row r="11853" spans="1:7">
      <c r="A11853" t="s">
        <v>1297</v>
      </c>
      <c r="B11853" t="s">
        <v>1298</v>
      </c>
      <c r="C11853" t="s">
        <v>664</v>
      </c>
      <c r="D11853" t="s">
        <v>1424</v>
      </c>
      <c r="E11853" t="s">
        <v>187</v>
      </c>
      <c r="F11853">
        <v>2012</v>
      </c>
      <c r="G11853">
        <v>0.84892000000000001</v>
      </c>
    </row>
    <row r="11854" spans="1:7">
      <c r="A11854" t="s">
        <v>1297</v>
      </c>
      <c r="B11854" t="s">
        <v>1298</v>
      </c>
      <c r="C11854" t="s">
        <v>664</v>
      </c>
      <c r="D11854" t="s">
        <v>1424</v>
      </c>
      <c r="E11854" t="s">
        <v>187</v>
      </c>
      <c r="F11854">
        <v>2016</v>
      </c>
      <c r="G11854">
        <v>1.0541590000000001</v>
      </c>
    </row>
    <row r="11855" spans="1:7">
      <c r="A11855" t="s">
        <v>1297</v>
      </c>
      <c r="B11855" t="s">
        <v>1298</v>
      </c>
      <c r="C11855" t="s">
        <v>664</v>
      </c>
      <c r="D11855" t="s">
        <v>1424</v>
      </c>
      <c r="E11855" t="s">
        <v>187</v>
      </c>
      <c r="F11855">
        <v>2020</v>
      </c>
      <c r="G11855">
        <v>1.0088779999999999</v>
      </c>
    </row>
    <row r="11856" spans="1:7">
      <c r="A11856" t="s">
        <v>1297</v>
      </c>
      <c r="B11856" t="s">
        <v>1298</v>
      </c>
      <c r="C11856" t="s">
        <v>653</v>
      </c>
      <c r="D11856" t="s">
        <v>1424</v>
      </c>
      <c r="E11856" t="s">
        <v>187</v>
      </c>
      <c r="F11856">
        <v>2005</v>
      </c>
      <c r="G11856">
        <v>2.1816</v>
      </c>
    </row>
    <row r="11857" spans="1:7">
      <c r="A11857" t="s">
        <v>1297</v>
      </c>
      <c r="B11857" t="s">
        <v>1298</v>
      </c>
      <c r="C11857" t="s">
        <v>653</v>
      </c>
      <c r="D11857" t="s">
        <v>1424</v>
      </c>
      <c r="E11857" t="s">
        <v>187</v>
      </c>
      <c r="F11857">
        <v>2010</v>
      </c>
      <c r="G11857">
        <v>1.4148000000000001</v>
      </c>
    </row>
    <row r="11858" spans="1:7">
      <c r="A11858" t="s">
        <v>1297</v>
      </c>
      <c r="B11858" t="s">
        <v>1298</v>
      </c>
      <c r="C11858" t="s">
        <v>653</v>
      </c>
      <c r="D11858" t="s">
        <v>1424</v>
      </c>
      <c r="E11858" t="s">
        <v>187</v>
      </c>
      <c r="F11858">
        <v>2012</v>
      </c>
      <c r="G11858">
        <v>0.79200000000000004</v>
      </c>
    </row>
    <row r="11859" spans="1:7">
      <c r="A11859" t="s">
        <v>1297</v>
      </c>
      <c r="B11859" t="s">
        <v>1298</v>
      </c>
      <c r="C11859" t="s">
        <v>653</v>
      </c>
      <c r="D11859" t="s">
        <v>1424</v>
      </c>
      <c r="E11859" t="s">
        <v>187</v>
      </c>
      <c r="F11859">
        <v>2016</v>
      </c>
      <c r="G11859">
        <v>1.1448</v>
      </c>
    </row>
    <row r="11860" spans="1:7">
      <c r="A11860" t="s">
        <v>1297</v>
      </c>
      <c r="B11860" t="s">
        <v>1298</v>
      </c>
      <c r="C11860" t="s">
        <v>653</v>
      </c>
      <c r="D11860" t="s">
        <v>1424</v>
      </c>
      <c r="E11860" t="s">
        <v>187</v>
      </c>
      <c r="F11860">
        <v>2020</v>
      </c>
      <c r="G11860">
        <v>1.3364389999999999</v>
      </c>
    </row>
    <row r="11861" spans="1:7">
      <c r="A11861" t="s">
        <v>1297</v>
      </c>
      <c r="B11861" t="s">
        <v>1298</v>
      </c>
      <c r="C11861" t="s">
        <v>658</v>
      </c>
      <c r="D11861" t="s">
        <v>1424</v>
      </c>
      <c r="E11861" t="s">
        <v>187</v>
      </c>
      <c r="F11861">
        <v>2005</v>
      </c>
      <c r="G11861">
        <v>0.1152</v>
      </c>
    </row>
    <row r="11862" spans="1:7">
      <c r="A11862" t="s">
        <v>1297</v>
      </c>
      <c r="B11862" t="s">
        <v>1298</v>
      </c>
      <c r="C11862" t="s">
        <v>658</v>
      </c>
      <c r="D11862" t="s">
        <v>1424</v>
      </c>
      <c r="E11862" t="s">
        <v>187</v>
      </c>
      <c r="F11862">
        <v>2010</v>
      </c>
      <c r="G11862">
        <v>0.14760000000000001</v>
      </c>
    </row>
    <row r="11863" spans="1:7">
      <c r="A11863" t="s">
        <v>1297</v>
      </c>
      <c r="B11863" t="s">
        <v>1298</v>
      </c>
      <c r="C11863" t="s">
        <v>658</v>
      </c>
      <c r="D11863" t="s">
        <v>1424</v>
      </c>
      <c r="E11863" t="s">
        <v>187</v>
      </c>
      <c r="F11863">
        <v>2012</v>
      </c>
      <c r="G11863">
        <v>0.20880000000000001</v>
      </c>
    </row>
    <row r="11864" spans="1:7">
      <c r="A11864" t="s">
        <v>1297</v>
      </c>
      <c r="B11864" t="s">
        <v>1298</v>
      </c>
      <c r="C11864" t="s">
        <v>658</v>
      </c>
      <c r="D11864" t="s">
        <v>1424</v>
      </c>
      <c r="E11864" t="s">
        <v>187</v>
      </c>
      <c r="F11864">
        <v>2016</v>
      </c>
      <c r="G11864">
        <v>0.91800000000000004</v>
      </c>
    </row>
    <row r="11865" spans="1:7">
      <c r="A11865" t="s">
        <v>1297</v>
      </c>
      <c r="B11865" t="s">
        <v>1298</v>
      </c>
      <c r="C11865" t="s">
        <v>658</v>
      </c>
      <c r="D11865" t="s">
        <v>1424</v>
      </c>
      <c r="E11865" t="s">
        <v>187</v>
      </c>
      <c r="F11865">
        <v>2020</v>
      </c>
      <c r="G11865">
        <v>0.1008</v>
      </c>
    </row>
    <row r="11866" spans="1:7">
      <c r="A11866" t="s">
        <v>1297</v>
      </c>
      <c r="B11866" t="s">
        <v>1298</v>
      </c>
      <c r="C11866" t="s">
        <v>671</v>
      </c>
      <c r="D11866" t="s">
        <v>1424</v>
      </c>
      <c r="E11866" t="s">
        <v>187</v>
      </c>
      <c r="F11866">
        <v>2005</v>
      </c>
      <c r="G11866">
        <v>9.9252000000000002</v>
      </c>
    </row>
    <row r="11867" spans="1:7">
      <c r="A11867" t="s">
        <v>1297</v>
      </c>
      <c r="B11867" t="s">
        <v>1298</v>
      </c>
      <c r="C11867" t="s">
        <v>671</v>
      </c>
      <c r="D11867" t="s">
        <v>1424</v>
      </c>
      <c r="E11867" t="s">
        <v>187</v>
      </c>
      <c r="F11867">
        <v>2010</v>
      </c>
      <c r="G11867">
        <v>10.411199999999999</v>
      </c>
    </row>
    <row r="11868" spans="1:7">
      <c r="A11868" t="s">
        <v>1297</v>
      </c>
      <c r="B11868" t="s">
        <v>1298</v>
      </c>
      <c r="C11868" t="s">
        <v>671</v>
      </c>
      <c r="D11868" t="s">
        <v>1424</v>
      </c>
      <c r="E11868" t="s">
        <v>187</v>
      </c>
      <c r="F11868">
        <v>2012</v>
      </c>
      <c r="G11868">
        <v>7.3620000000000001</v>
      </c>
    </row>
    <row r="11869" spans="1:7">
      <c r="A11869" t="s">
        <v>1297</v>
      </c>
      <c r="B11869" t="s">
        <v>1298</v>
      </c>
      <c r="C11869" t="s">
        <v>671</v>
      </c>
      <c r="D11869" t="s">
        <v>1424</v>
      </c>
      <c r="E11869" t="s">
        <v>187</v>
      </c>
      <c r="F11869">
        <v>2016</v>
      </c>
      <c r="G11869">
        <v>8.2872000000000003</v>
      </c>
    </row>
    <row r="11870" spans="1:7">
      <c r="A11870" t="s">
        <v>1297</v>
      </c>
      <c r="B11870" t="s">
        <v>1298</v>
      </c>
      <c r="C11870" t="s">
        <v>671</v>
      </c>
      <c r="D11870" t="s">
        <v>1424</v>
      </c>
      <c r="E11870" t="s">
        <v>187</v>
      </c>
      <c r="F11870">
        <v>2020</v>
      </c>
      <c r="G11870">
        <v>6.3684539999999998</v>
      </c>
    </row>
    <row r="11871" spans="1:7">
      <c r="A11871" t="s">
        <v>1297</v>
      </c>
      <c r="B11871" t="s">
        <v>1298</v>
      </c>
      <c r="C11871" t="s">
        <v>672</v>
      </c>
      <c r="D11871" t="s">
        <v>1424</v>
      </c>
      <c r="E11871" t="s">
        <v>187</v>
      </c>
      <c r="F11871">
        <v>2005</v>
      </c>
      <c r="G11871">
        <v>31.647600000000001</v>
      </c>
    </row>
    <row r="11872" spans="1:7">
      <c r="A11872" t="s">
        <v>1297</v>
      </c>
      <c r="B11872" t="s">
        <v>1298</v>
      </c>
      <c r="C11872" t="s">
        <v>672</v>
      </c>
      <c r="D11872" t="s">
        <v>1424</v>
      </c>
      <c r="E11872" t="s">
        <v>187</v>
      </c>
      <c r="F11872">
        <v>2010</v>
      </c>
      <c r="G11872">
        <v>10.828799999999999</v>
      </c>
    </row>
    <row r="11873" spans="1:7">
      <c r="A11873" t="s">
        <v>1297</v>
      </c>
      <c r="B11873" t="s">
        <v>1298</v>
      </c>
      <c r="C11873" t="s">
        <v>672</v>
      </c>
      <c r="D11873" t="s">
        <v>1424</v>
      </c>
      <c r="E11873" t="s">
        <v>187</v>
      </c>
      <c r="F11873">
        <v>2012</v>
      </c>
      <c r="G11873">
        <v>7.8840000000000003</v>
      </c>
    </row>
    <row r="11874" spans="1:7">
      <c r="A11874" t="s">
        <v>1297</v>
      </c>
      <c r="B11874" t="s">
        <v>1298</v>
      </c>
      <c r="C11874" t="s">
        <v>672</v>
      </c>
      <c r="D11874" t="s">
        <v>1424</v>
      </c>
      <c r="E11874" t="s">
        <v>187</v>
      </c>
      <c r="F11874">
        <v>2016</v>
      </c>
      <c r="G11874">
        <v>4.68</v>
      </c>
    </row>
    <row r="11875" spans="1:7">
      <c r="A11875" t="s">
        <v>1297</v>
      </c>
      <c r="B11875" t="s">
        <v>1298</v>
      </c>
      <c r="C11875" t="s">
        <v>672</v>
      </c>
      <c r="D11875" t="s">
        <v>1424</v>
      </c>
      <c r="E11875" t="s">
        <v>187</v>
      </c>
      <c r="F11875">
        <v>2020</v>
      </c>
      <c r="G11875">
        <v>4.51206</v>
      </c>
    </row>
    <row r="11876" spans="1:7">
      <c r="A11876" t="s">
        <v>1297</v>
      </c>
      <c r="B11876" t="s">
        <v>1298</v>
      </c>
      <c r="C11876" t="s">
        <v>652</v>
      </c>
      <c r="D11876" t="s">
        <v>1424</v>
      </c>
      <c r="E11876" t="s">
        <v>187</v>
      </c>
      <c r="F11876">
        <v>2005</v>
      </c>
      <c r="G11876">
        <v>6.2640000000000002</v>
      </c>
    </row>
    <row r="11877" spans="1:7">
      <c r="A11877" t="s">
        <v>1297</v>
      </c>
      <c r="B11877" t="s">
        <v>1298</v>
      </c>
      <c r="C11877" t="s">
        <v>652</v>
      </c>
      <c r="D11877" t="s">
        <v>1424</v>
      </c>
      <c r="E11877" t="s">
        <v>187</v>
      </c>
      <c r="F11877">
        <v>2010</v>
      </c>
      <c r="G11877">
        <v>1.4616</v>
      </c>
    </row>
    <row r="11878" spans="1:7">
      <c r="A11878" t="s">
        <v>1297</v>
      </c>
      <c r="B11878" t="s">
        <v>1298</v>
      </c>
      <c r="C11878" t="s">
        <v>652</v>
      </c>
      <c r="D11878" t="s">
        <v>1424</v>
      </c>
      <c r="E11878" t="s">
        <v>187</v>
      </c>
      <c r="F11878">
        <v>2012</v>
      </c>
      <c r="G11878">
        <v>1.20024</v>
      </c>
    </row>
    <row r="11879" spans="1:7">
      <c r="A11879" t="s">
        <v>1297</v>
      </c>
      <c r="B11879" t="s">
        <v>1298</v>
      </c>
      <c r="C11879" t="s">
        <v>665</v>
      </c>
      <c r="D11879" t="s">
        <v>1424</v>
      </c>
      <c r="E11879" t="s">
        <v>187</v>
      </c>
      <c r="F11879">
        <v>2010</v>
      </c>
      <c r="G11879">
        <v>78.170400000000001</v>
      </c>
    </row>
    <row r="11880" spans="1:7">
      <c r="A11880" t="s">
        <v>1297</v>
      </c>
      <c r="B11880" t="s">
        <v>1298</v>
      </c>
      <c r="C11880" t="s">
        <v>665</v>
      </c>
      <c r="D11880" t="s">
        <v>1424</v>
      </c>
      <c r="E11880" t="s">
        <v>187</v>
      </c>
      <c r="F11880">
        <v>2012</v>
      </c>
      <c r="G11880">
        <v>68.004000000000005</v>
      </c>
    </row>
    <row r="11881" spans="1:7">
      <c r="A11881" t="s">
        <v>1297</v>
      </c>
      <c r="B11881" t="s">
        <v>1298</v>
      </c>
      <c r="C11881" t="s">
        <v>665</v>
      </c>
      <c r="D11881" t="s">
        <v>1424</v>
      </c>
      <c r="E11881" t="s">
        <v>187</v>
      </c>
      <c r="F11881">
        <v>2016</v>
      </c>
      <c r="G11881">
        <v>43.671599999999998</v>
      </c>
    </row>
    <row r="11882" spans="1:7">
      <c r="A11882" t="s">
        <v>1297</v>
      </c>
      <c r="B11882" t="s">
        <v>1298</v>
      </c>
      <c r="C11882" t="s">
        <v>665</v>
      </c>
      <c r="D11882" t="s">
        <v>1424</v>
      </c>
      <c r="E11882" t="s">
        <v>187</v>
      </c>
      <c r="F11882">
        <v>2020</v>
      </c>
      <c r="G11882">
        <v>36.551214000000002</v>
      </c>
    </row>
    <row r="11883" spans="1:7">
      <c r="A11883" t="s">
        <v>1297</v>
      </c>
      <c r="B11883" t="s">
        <v>1298</v>
      </c>
      <c r="C11883" t="s">
        <v>1299</v>
      </c>
      <c r="D11883" t="s">
        <v>1424</v>
      </c>
      <c r="E11883" t="s">
        <v>187</v>
      </c>
      <c r="F11883">
        <v>2005</v>
      </c>
      <c r="G11883">
        <v>2.1095999999999999</v>
      </c>
    </row>
    <row r="11884" spans="1:7">
      <c r="A11884" t="s">
        <v>1297</v>
      </c>
      <c r="B11884" t="s">
        <v>1298</v>
      </c>
      <c r="C11884" t="s">
        <v>1299</v>
      </c>
      <c r="D11884" t="s">
        <v>1424</v>
      </c>
      <c r="E11884" t="s">
        <v>187</v>
      </c>
      <c r="F11884">
        <v>2010</v>
      </c>
      <c r="G11884">
        <v>2.9592000000000001</v>
      </c>
    </row>
    <row r="11885" spans="1:7">
      <c r="A11885" t="s">
        <v>1297</v>
      </c>
      <c r="B11885" t="s">
        <v>1298</v>
      </c>
      <c r="C11885" t="s">
        <v>1299</v>
      </c>
      <c r="D11885" t="s">
        <v>1424</v>
      </c>
      <c r="E11885" t="s">
        <v>187</v>
      </c>
      <c r="F11885">
        <v>2012</v>
      </c>
      <c r="G11885">
        <v>1.9259999999999999</v>
      </c>
    </row>
    <row r="11886" spans="1:7">
      <c r="A11886" t="s">
        <v>1297</v>
      </c>
      <c r="B11886" t="s">
        <v>1298</v>
      </c>
      <c r="C11886" t="s">
        <v>1299</v>
      </c>
      <c r="D11886" t="s">
        <v>1424</v>
      </c>
      <c r="E11886" t="s">
        <v>187</v>
      </c>
      <c r="F11886">
        <v>2016</v>
      </c>
      <c r="G11886">
        <v>5.8121999999999998</v>
      </c>
    </row>
    <row r="11887" spans="1:7">
      <c r="A11887" t="s">
        <v>1297</v>
      </c>
      <c r="B11887" t="s">
        <v>1298</v>
      </c>
      <c r="C11887" t="s">
        <v>1299</v>
      </c>
      <c r="D11887" t="s">
        <v>1424</v>
      </c>
      <c r="E11887" t="s">
        <v>187</v>
      </c>
      <c r="F11887">
        <v>2020</v>
      </c>
      <c r="G11887">
        <v>1.6812</v>
      </c>
    </row>
    <row r="11888" spans="1:7">
      <c r="A11888" t="s">
        <v>1297</v>
      </c>
      <c r="B11888" t="s">
        <v>1298</v>
      </c>
      <c r="C11888" t="s">
        <v>663</v>
      </c>
      <c r="D11888" t="s">
        <v>1424</v>
      </c>
      <c r="E11888" t="s">
        <v>187</v>
      </c>
      <c r="F11888">
        <v>2005</v>
      </c>
      <c r="G11888">
        <v>1.6379999999999999</v>
      </c>
    </row>
    <row r="11889" spans="1:7">
      <c r="A11889" t="s">
        <v>1297</v>
      </c>
      <c r="B11889" t="s">
        <v>1298</v>
      </c>
      <c r="C11889" t="s">
        <v>663</v>
      </c>
      <c r="D11889" t="s">
        <v>1424</v>
      </c>
      <c r="E11889" t="s">
        <v>187</v>
      </c>
      <c r="F11889">
        <v>2010</v>
      </c>
      <c r="G11889">
        <v>1.764</v>
      </c>
    </row>
    <row r="11890" spans="1:7">
      <c r="A11890" t="s">
        <v>1297</v>
      </c>
      <c r="B11890" t="s">
        <v>1298</v>
      </c>
      <c r="C11890" t="s">
        <v>663</v>
      </c>
      <c r="D11890" t="s">
        <v>1424</v>
      </c>
      <c r="E11890" t="s">
        <v>187</v>
      </c>
      <c r="F11890">
        <v>2012</v>
      </c>
      <c r="G11890">
        <v>0.66600000000000004</v>
      </c>
    </row>
    <row r="11891" spans="1:7">
      <c r="A11891" t="s">
        <v>1297</v>
      </c>
      <c r="B11891" t="s">
        <v>1298</v>
      </c>
      <c r="C11891" t="s">
        <v>663</v>
      </c>
      <c r="D11891" t="s">
        <v>1424</v>
      </c>
      <c r="E11891" t="s">
        <v>187</v>
      </c>
      <c r="F11891">
        <v>2016</v>
      </c>
      <c r="G11891">
        <v>0.2268</v>
      </c>
    </row>
    <row r="11892" spans="1:7">
      <c r="A11892" t="s">
        <v>1297</v>
      </c>
      <c r="B11892" t="s">
        <v>1298</v>
      </c>
      <c r="C11892" t="s">
        <v>663</v>
      </c>
      <c r="D11892" t="s">
        <v>1424</v>
      </c>
      <c r="E11892" t="s">
        <v>187</v>
      </c>
      <c r="F11892">
        <v>2020</v>
      </c>
      <c r="G11892">
        <v>0.252</v>
      </c>
    </row>
    <row r="11893" spans="1:7">
      <c r="A11893" t="s">
        <v>1297</v>
      </c>
      <c r="B11893" t="s">
        <v>1298</v>
      </c>
      <c r="C11893" t="s">
        <v>655</v>
      </c>
      <c r="D11893" t="s">
        <v>1424</v>
      </c>
      <c r="E11893" t="s">
        <v>187</v>
      </c>
      <c r="F11893">
        <v>2005</v>
      </c>
      <c r="G11893">
        <v>1.1736</v>
      </c>
    </row>
    <row r="11894" spans="1:7">
      <c r="A11894" t="s">
        <v>1297</v>
      </c>
      <c r="B11894" t="s">
        <v>1298</v>
      </c>
      <c r="C11894" t="s">
        <v>655</v>
      </c>
      <c r="D11894" t="s">
        <v>1424</v>
      </c>
      <c r="E11894" t="s">
        <v>187</v>
      </c>
      <c r="F11894">
        <v>2010</v>
      </c>
      <c r="G11894">
        <v>0.71640000000000004</v>
      </c>
    </row>
    <row r="11895" spans="1:7">
      <c r="A11895" t="s">
        <v>1297</v>
      </c>
      <c r="B11895" t="s">
        <v>1298</v>
      </c>
      <c r="C11895" t="s">
        <v>655</v>
      </c>
      <c r="D11895" t="s">
        <v>1424</v>
      </c>
      <c r="E11895" t="s">
        <v>187</v>
      </c>
      <c r="F11895">
        <v>2012</v>
      </c>
      <c r="G11895">
        <v>0.40679999999999999</v>
      </c>
    </row>
    <row r="11896" spans="1:7">
      <c r="A11896" t="s">
        <v>1297</v>
      </c>
      <c r="B11896" t="s">
        <v>1298</v>
      </c>
      <c r="C11896" t="s">
        <v>655</v>
      </c>
      <c r="D11896" t="s">
        <v>1424</v>
      </c>
      <c r="E11896" t="s">
        <v>187</v>
      </c>
      <c r="F11896">
        <v>2016</v>
      </c>
      <c r="G11896">
        <v>0.33119999999999999</v>
      </c>
    </row>
    <row r="11897" spans="1:7">
      <c r="A11897" t="s">
        <v>1297</v>
      </c>
      <c r="B11897" t="s">
        <v>1298</v>
      </c>
      <c r="C11897" t="s">
        <v>655</v>
      </c>
      <c r="D11897" t="s">
        <v>1424</v>
      </c>
      <c r="E11897" t="s">
        <v>187</v>
      </c>
      <c r="F11897">
        <v>2020</v>
      </c>
      <c r="G11897">
        <v>0.42491499999999999</v>
      </c>
    </row>
    <row r="11898" spans="1:7">
      <c r="A11898" t="s">
        <v>1297</v>
      </c>
      <c r="B11898" t="s">
        <v>1298</v>
      </c>
      <c r="C11898" t="s">
        <v>675</v>
      </c>
      <c r="D11898" t="s">
        <v>1424</v>
      </c>
      <c r="E11898" t="s">
        <v>187</v>
      </c>
      <c r="F11898">
        <v>2005</v>
      </c>
      <c r="G11898">
        <v>0.1512</v>
      </c>
    </row>
    <row r="11899" spans="1:7">
      <c r="A11899" t="s">
        <v>1297</v>
      </c>
      <c r="B11899" t="s">
        <v>1298</v>
      </c>
      <c r="C11899" t="s">
        <v>675</v>
      </c>
      <c r="D11899" t="s">
        <v>1424</v>
      </c>
      <c r="E11899" t="s">
        <v>187</v>
      </c>
      <c r="F11899">
        <v>2010</v>
      </c>
      <c r="G11899">
        <v>2.8799999999999999E-2</v>
      </c>
    </row>
    <row r="11900" spans="1:7">
      <c r="A11900" t="s">
        <v>1297</v>
      </c>
      <c r="B11900" t="s">
        <v>1298</v>
      </c>
      <c r="C11900" t="s">
        <v>675</v>
      </c>
      <c r="D11900" t="s">
        <v>1424</v>
      </c>
      <c r="E11900" t="s">
        <v>187</v>
      </c>
      <c r="F11900">
        <v>2012</v>
      </c>
      <c r="G11900">
        <v>3.2399999999999998E-2</v>
      </c>
    </row>
    <row r="11901" spans="1:7">
      <c r="A11901" t="s">
        <v>1297</v>
      </c>
      <c r="B11901" t="s">
        <v>1298</v>
      </c>
      <c r="C11901" t="s">
        <v>675</v>
      </c>
      <c r="D11901" t="s">
        <v>1424</v>
      </c>
      <c r="E11901" t="s">
        <v>187</v>
      </c>
      <c r="F11901">
        <v>2016</v>
      </c>
      <c r="G11901">
        <v>3.9600000000000003E-2</v>
      </c>
    </row>
    <row r="11902" spans="1:7">
      <c r="A11902" t="s">
        <v>1297</v>
      </c>
      <c r="B11902" t="s">
        <v>1298</v>
      </c>
      <c r="C11902" t="s">
        <v>675</v>
      </c>
      <c r="D11902" t="s">
        <v>1424</v>
      </c>
      <c r="E11902" t="s">
        <v>187</v>
      </c>
      <c r="F11902">
        <v>2020</v>
      </c>
      <c r="G11902">
        <v>3.7831999999999998E-2</v>
      </c>
    </row>
    <row r="11903" spans="1:7">
      <c r="A11903" t="s">
        <v>1297</v>
      </c>
      <c r="B11903" t="s">
        <v>1298</v>
      </c>
      <c r="C11903" t="s">
        <v>651</v>
      </c>
      <c r="D11903" t="s">
        <v>1424</v>
      </c>
      <c r="E11903" t="s">
        <v>187</v>
      </c>
      <c r="F11903">
        <v>2005</v>
      </c>
      <c r="G11903">
        <v>5.9121249999999996</v>
      </c>
    </row>
    <row r="11904" spans="1:7">
      <c r="A11904" t="s">
        <v>1297</v>
      </c>
      <c r="B11904" t="s">
        <v>1298</v>
      </c>
      <c r="C11904" t="s">
        <v>651</v>
      </c>
      <c r="D11904" t="s">
        <v>1424</v>
      </c>
      <c r="E11904" t="s">
        <v>187</v>
      </c>
      <c r="F11904">
        <v>2010</v>
      </c>
      <c r="G11904">
        <v>4.5855360000000003</v>
      </c>
    </row>
    <row r="11905" spans="1:7">
      <c r="A11905" t="s">
        <v>1297</v>
      </c>
      <c r="B11905" t="s">
        <v>1298</v>
      </c>
      <c r="C11905" t="s">
        <v>651</v>
      </c>
      <c r="D11905" t="s">
        <v>1424</v>
      </c>
      <c r="E11905" t="s">
        <v>187</v>
      </c>
      <c r="F11905">
        <v>2012</v>
      </c>
      <c r="G11905">
        <v>2.6777989999999998</v>
      </c>
    </row>
    <row r="11906" spans="1:7">
      <c r="A11906" t="s">
        <v>1297</v>
      </c>
      <c r="B11906" t="s">
        <v>1298</v>
      </c>
      <c r="C11906" t="s">
        <v>667</v>
      </c>
      <c r="D11906" t="s">
        <v>1424</v>
      </c>
      <c r="E11906" t="s">
        <v>187</v>
      </c>
      <c r="F11906">
        <v>2005</v>
      </c>
      <c r="G11906">
        <v>2.225E-3</v>
      </c>
    </row>
    <row r="11907" spans="1:7">
      <c r="A11907" t="s">
        <v>1297</v>
      </c>
      <c r="B11907" t="s">
        <v>1298</v>
      </c>
      <c r="C11907" t="s">
        <v>667</v>
      </c>
      <c r="D11907" t="s">
        <v>1424</v>
      </c>
      <c r="E11907" t="s">
        <v>187</v>
      </c>
      <c r="F11907">
        <v>2010</v>
      </c>
      <c r="G11907">
        <v>1.9189999999999999E-3</v>
      </c>
    </row>
    <row r="11908" spans="1:7">
      <c r="A11908" t="s">
        <v>1297</v>
      </c>
      <c r="B11908" t="s">
        <v>1298</v>
      </c>
      <c r="C11908" t="s">
        <v>667</v>
      </c>
      <c r="D11908" t="s">
        <v>1424</v>
      </c>
      <c r="E11908" t="s">
        <v>187</v>
      </c>
      <c r="F11908">
        <v>2012</v>
      </c>
      <c r="G11908">
        <v>1.8E-3</v>
      </c>
    </row>
    <row r="11909" spans="1:7">
      <c r="A11909" t="s">
        <v>1297</v>
      </c>
      <c r="B11909" t="s">
        <v>1298</v>
      </c>
      <c r="C11909" t="s">
        <v>667</v>
      </c>
      <c r="D11909" t="s">
        <v>1424</v>
      </c>
      <c r="E11909" t="s">
        <v>187</v>
      </c>
      <c r="F11909">
        <v>2016</v>
      </c>
      <c r="G11909">
        <v>1.145E-3</v>
      </c>
    </row>
    <row r="11910" spans="1:7">
      <c r="A11910" t="s">
        <v>1297</v>
      </c>
      <c r="B11910" t="s">
        <v>1298</v>
      </c>
      <c r="C11910" t="s">
        <v>667</v>
      </c>
      <c r="D11910" t="s">
        <v>1424</v>
      </c>
      <c r="E11910" t="s">
        <v>187</v>
      </c>
      <c r="F11910">
        <v>2020</v>
      </c>
      <c r="G11910">
        <v>1.5799999999999999E-4</v>
      </c>
    </row>
    <row r="11911" spans="1:7">
      <c r="A11911" t="s">
        <v>1297</v>
      </c>
      <c r="B11911" t="s">
        <v>1298</v>
      </c>
      <c r="C11911" t="s">
        <v>656</v>
      </c>
      <c r="D11911" t="s">
        <v>1424</v>
      </c>
      <c r="E11911" t="s">
        <v>187</v>
      </c>
      <c r="F11911">
        <v>2005</v>
      </c>
      <c r="G11911">
        <v>43.192799999999998</v>
      </c>
    </row>
    <row r="11912" spans="1:7">
      <c r="A11912" t="s">
        <v>1297</v>
      </c>
      <c r="B11912" t="s">
        <v>1298</v>
      </c>
      <c r="C11912" t="s">
        <v>656</v>
      </c>
      <c r="D11912" t="s">
        <v>1424</v>
      </c>
      <c r="E11912" t="s">
        <v>187</v>
      </c>
      <c r="F11912">
        <v>2010</v>
      </c>
      <c r="G11912">
        <v>31.467600000000001</v>
      </c>
    </row>
    <row r="11913" spans="1:7">
      <c r="A11913" t="s">
        <v>1297</v>
      </c>
      <c r="B11913" t="s">
        <v>1298</v>
      </c>
      <c r="C11913" t="s">
        <v>656</v>
      </c>
      <c r="D11913" t="s">
        <v>1424</v>
      </c>
      <c r="E11913" t="s">
        <v>187</v>
      </c>
      <c r="F11913">
        <v>2012</v>
      </c>
      <c r="G11913">
        <v>27.4572</v>
      </c>
    </row>
    <row r="11914" spans="1:7">
      <c r="A11914" t="s">
        <v>1297</v>
      </c>
      <c r="B11914" t="s">
        <v>1298</v>
      </c>
      <c r="C11914" t="s">
        <v>656</v>
      </c>
      <c r="D11914" t="s">
        <v>1424</v>
      </c>
      <c r="E11914" t="s">
        <v>187</v>
      </c>
      <c r="F11914">
        <v>2016</v>
      </c>
      <c r="G11914">
        <v>21.0456</v>
      </c>
    </row>
    <row r="11915" spans="1:7">
      <c r="A11915" t="s">
        <v>1297</v>
      </c>
      <c r="B11915" t="s">
        <v>1298</v>
      </c>
      <c r="C11915" t="s">
        <v>656</v>
      </c>
      <c r="D11915" t="s">
        <v>1424</v>
      </c>
      <c r="E11915" t="s">
        <v>187</v>
      </c>
      <c r="F11915">
        <v>2020</v>
      </c>
      <c r="G11915">
        <v>17.1936</v>
      </c>
    </row>
    <row r="11916" spans="1:7">
      <c r="A11916" t="s">
        <v>1297</v>
      </c>
      <c r="B11916" t="s">
        <v>1298</v>
      </c>
      <c r="C11916" t="s">
        <v>670</v>
      </c>
      <c r="D11916" t="s">
        <v>1424</v>
      </c>
      <c r="E11916" t="s">
        <v>187</v>
      </c>
      <c r="F11916">
        <v>2005</v>
      </c>
      <c r="G11916">
        <v>8.1432000000000002</v>
      </c>
    </row>
    <row r="11917" spans="1:7">
      <c r="A11917" t="s">
        <v>1297</v>
      </c>
      <c r="B11917" t="s">
        <v>1298</v>
      </c>
      <c r="C11917" t="s">
        <v>670</v>
      </c>
      <c r="D11917" t="s">
        <v>1424</v>
      </c>
      <c r="E11917" t="s">
        <v>187</v>
      </c>
      <c r="F11917">
        <v>2010</v>
      </c>
      <c r="G11917">
        <v>4.5107999999999997</v>
      </c>
    </row>
    <row r="11918" spans="1:7">
      <c r="A11918" t="s">
        <v>1297</v>
      </c>
      <c r="B11918" t="s">
        <v>1298</v>
      </c>
      <c r="C11918" t="s">
        <v>670</v>
      </c>
      <c r="D11918" t="s">
        <v>1424</v>
      </c>
      <c r="E11918" t="s">
        <v>187</v>
      </c>
      <c r="F11918">
        <v>2012</v>
      </c>
      <c r="G11918">
        <v>3.8123999999999998</v>
      </c>
    </row>
    <row r="11919" spans="1:7">
      <c r="A11919" t="s">
        <v>1297</v>
      </c>
      <c r="B11919" t="s">
        <v>1298</v>
      </c>
      <c r="C11919" t="s">
        <v>670</v>
      </c>
      <c r="D11919" t="s">
        <v>1424</v>
      </c>
      <c r="E11919" t="s">
        <v>187</v>
      </c>
      <c r="F11919">
        <v>2016</v>
      </c>
      <c r="G11919">
        <v>4.565423</v>
      </c>
    </row>
    <row r="11920" spans="1:7">
      <c r="A11920" t="s">
        <v>1297</v>
      </c>
      <c r="B11920" t="s">
        <v>1298</v>
      </c>
      <c r="C11920" t="s">
        <v>670</v>
      </c>
      <c r="D11920" t="s">
        <v>1424</v>
      </c>
      <c r="E11920" t="s">
        <v>187</v>
      </c>
      <c r="F11920">
        <v>2020</v>
      </c>
      <c r="G11920">
        <v>5.0778359999999996</v>
      </c>
    </row>
    <row r="11921" spans="1:7">
      <c r="A11921" t="s">
        <v>1297</v>
      </c>
      <c r="B11921" t="s">
        <v>1298</v>
      </c>
      <c r="C11921" t="s">
        <v>1301</v>
      </c>
      <c r="D11921" t="s">
        <v>1424</v>
      </c>
      <c r="E11921" t="s">
        <v>187</v>
      </c>
      <c r="F11921">
        <v>2005</v>
      </c>
      <c r="G11921">
        <v>19.738800000000001</v>
      </c>
    </row>
    <row r="11922" spans="1:7">
      <c r="A11922" t="s">
        <v>1297</v>
      </c>
      <c r="B11922" t="s">
        <v>1298</v>
      </c>
      <c r="C11922" t="s">
        <v>1301</v>
      </c>
      <c r="D11922" t="s">
        <v>1424</v>
      </c>
      <c r="E11922" t="s">
        <v>187</v>
      </c>
      <c r="F11922">
        <v>2010</v>
      </c>
      <c r="G11922">
        <v>7.8479999999999999</v>
      </c>
    </row>
    <row r="11923" spans="1:7">
      <c r="A11923" t="s">
        <v>1297</v>
      </c>
      <c r="B11923" t="s">
        <v>1298</v>
      </c>
      <c r="C11923" t="s">
        <v>1301</v>
      </c>
      <c r="D11923" t="s">
        <v>1424</v>
      </c>
      <c r="E11923" t="s">
        <v>187</v>
      </c>
      <c r="F11923">
        <v>2012</v>
      </c>
      <c r="G11923">
        <v>5.9004000000000003</v>
      </c>
    </row>
    <row r="11924" spans="1:7">
      <c r="A11924" t="s">
        <v>1297</v>
      </c>
      <c r="B11924" t="s">
        <v>1298</v>
      </c>
      <c r="C11924" t="s">
        <v>1301</v>
      </c>
      <c r="D11924" t="s">
        <v>1424</v>
      </c>
      <c r="E11924" t="s">
        <v>187</v>
      </c>
      <c r="F11924">
        <v>2016</v>
      </c>
      <c r="G11924">
        <v>6.9336000000000002</v>
      </c>
    </row>
    <row r="11925" spans="1:7">
      <c r="A11925" t="s">
        <v>1297</v>
      </c>
      <c r="B11925" t="s">
        <v>1298</v>
      </c>
      <c r="C11925" t="s">
        <v>1301</v>
      </c>
      <c r="D11925" t="s">
        <v>1424</v>
      </c>
      <c r="E11925" t="s">
        <v>187</v>
      </c>
      <c r="F11925">
        <v>2020</v>
      </c>
      <c r="G11925">
        <v>1.209614</v>
      </c>
    </row>
    <row r="11926" spans="1:7">
      <c r="A11926" t="s">
        <v>1297</v>
      </c>
      <c r="B11926" t="s">
        <v>1298</v>
      </c>
      <c r="C11926" t="s">
        <v>679</v>
      </c>
      <c r="D11926" t="s">
        <v>1424</v>
      </c>
      <c r="E11926" t="s">
        <v>187</v>
      </c>
      <c r="F11926">
        <v>2005</v>
      </c>
      <c r="G11926">
        <v>8.2799999999999999E-2</v>
      </c>
    </row>
    <row r="11927" spans="1:7">
      <c r="A11927" t="s">
        <v>1297</v>
      </c>
      <c r="B11927" t="s">
        <v>1298</v>
      </c>
      <c r="C11927" t="s">
        <v>679</v>
      </c>
      <c r="D11927" t="s">
        <v>1424</v>
      </c>
      <c r="E11927" t="s">
        <v>187</v>
      </c>
      <c r="F11927">
        <v>2010</v>
      </c>
      <c r="G11927">
        <v>0.34920000000000001</v>
      </c>
    </row>
    <row r="11928" spans="1:7">
      <c r="A11928" t="s">
        <v>1297</v>
      </c>
      <c r="B11928" t="s">
        <v>1298</v>
      </c>
      <c r="C11928" t="s">
        <v>679</v>
      </c>
      <c r="D11928" t="s">
        <v>1424</v>
      </c>
      <c r="E11928" t="s">
        <v>187</v>
      </c>
      <c r="F11928">
        <v>2012</v>
      </c>
      <c r="G11928">
        <v>1.5516000000000001</v>
      </c>
    </row>
    <row r="11929" spans="1:7">
      <c r="A11929" t="s">
        <v>1297</v>
      </c>
      <c r="B11929" t="s">
        <v>1298</v>
      </c>
      <c r="C11929" t="s">
        <v>679</v>
      </c>
      <c r="D11929" t="s">
        <v>1424</v>
      </c>
      <c r="E11929" t="s">
        <v>187</v>
      </c>
      <c r="F11929">
        <v>2016</v>
      </c>
      <c r="G11929">
        <v>1.5192000000000001</v>
      </c>
    </row>
    <row r="11930" spans="1:7">
      <c r="A11930" t="s">
        <v>1297</v>
      </c>
      <c r="B11930" t="s">
        <v>1298</v>
      </c>
      <c r="C11930" t="s">
        <v>679</v>
      </c>
      <c r="D11930" t="s">
        <v>1424</v>
      </c>
      <c r="E11930" t="s">
        <v>187</v>
      </c>
      <c r="F11930">
        <v>2020</v>
      </c>
      <c r="G11930">
        <v>1.2284600000000001</v>
      </c>
    </row>
    <row r="11931" spans="1:7">
      <c r="A11931" t="s">
        <v>1297</v>
      </c>
      <c r="B11931" t="s">
        <v>1298</v>
      </c>
      <c r="C11931" t="s">
        <v>685</v>
      </c>
      <c r="D11931" t="s">
        <v>1424</v>
      </c>
      <c r="E11931" t="s">
        <v>187</v>
      </c>
      <c r="F11931">
        <v>2005</v>
      </c>
      <c r="G11931">
        <v>5.04E-2</v>
      </c>
    </row>
    <row r="11932" spans="1:7">
      <c r="A11932" t="s">
        <v>1297</v>
      </c>
      <c r="B11932" t="s">
        <v>1298</v>
      </c>
      <c r="C11932" t="s">
        <v>685</v>
      </c>
      <c r="D11932" t="s">
        <v>1424</v>
      </c>
      <c r="E11932" t="s">
        <v>187</v>
      </c>
      <c r="F11932">
        <v>2010</v>
      </c>
      <c r="G11932">
        <v>0.21959999999999999</v>
      </c>
    </row>
    <row r="11933" spans="1:7">
      <c r="A11933" t="s">
        <v>1297</v>
      </c>
      <c r="B11933" t="s">
        <v>1298</v>
      </c>
      <c r="C11933" t="s">
        <v>685</v>
      </c>
      <c r="D11933" t="s">
        <v>1424</v>
      </c>
      <c r="E11933" t="s">
        <v>187</v>
      </c>
      <c r="F11933">
        <v>2012</v>
      </c>
      <c r="G11933">
        <v>0.31680000000000003</v>
      </c>
    </row>
    <row r="11934" spans="1:7">
      <c r="A11934" t="s">
        <v>1297</v>
      </c>
      <c r="B11934" t="s">
        <v>1298</v>
      </c>
      <c r="C11934" t="s">
        <v>685</v>
      </c>
      <c r="D11934" t="s">
        <v>1424</v>
      </c>
      <c r="E11934" t="s">
        <v>187</v>
      </c>
      <c r="F11934">
        <v>2016</v>
      </c>
      <c r="G11934">
        <v>0.36222799999999999</v>
      </c>
    </row>
    <row r="11935" spans="1:7">
      <c r="A11935" t="s">
        <v>1297</v>
      </c>
      <c r="B11935" t="s">
        <v>1298</v>
      </c>
      <c r="C11935" t="s">
        <v>685</v>
      </c>
      <c r="D11935" t="s">
        <v>1424</v>
      </c>
      <c r="E11935" t="s">
        <v>187</v>
      </c>
      <c r="F11935">
        <v>2020</v>
      </c>
      <c r="G11935">
        <v>0.21981600000000001</v>
      </c>
    </row>
    <row r="11936" spans="1:7">
      <c r="A11936" t="s">
        <v>1297</v>
      </c>
      <c r="B11936" t="s">
        <v>1298</v>
      </c>
      <c r="C11936" t="s">
        <v>1302</v>
      </c>
      <c r="D11936" t="s">
        <v>1424</v>
      </c>
      <c r="E11936" t="s">
        <v>187</v>
      </c>
      <c r="F11936">
        <v>2005</v>
      </c>
      <c r="G11936">
        <v>9.7199999999999995E-2</v>
      </c>
    </row>
    <row r="11937" spans="1:7">
      <c r="A11937" t="s">
        <v>1297</v>
      </c>
      <c r="B11937" t="s">
        <v>1298</v>
      </c>
      <c r="C11937" t="s">
        <v>1302</v>
      </c>
      <c r="D11937" t="s">
        <v>1424</v>
      </c>
      <c r="E11937" t="s">
        <v>187</v>
      </c>
      <c r="F11937">
        <v>2010</v>
      </c>
      <c r="G11937">
        <v>7.9200000000000007E-2</v>
      </c>
    </row>
    <row r="11938" spans="1:7">
      <c r="A11938" t="s">
        <v>1297</v>
      </c>
      <c r="B11938" t="s">
        <v>1298</v>
      </c>
      <c r="C11938" t="s">
        <v>1302</v>
      </c>
      <c r="D11938" t="s">
        <v>1424</v>
      </c>
      <c r="E11938" t="s">
        <v>187</v>
      </c>
      <c r="F11938">
        <v>2012</v>
      </c>
      <c r="G11938">
        <v>5.04E-2</v>
      </c>
    </row>
    <row r="11939" spans="1:7">
      <c r="A11939" t="s">
        <v>1297</v>
      </c>
      <c r="B11939" t="s">
        <v>1298</v>
      </c>
      <c r="C11939" t="s">
        <v>1302</v>
      </c>
      <c r="D11939" t="s">
        <v>1424</v>
      </c>
      <c r="E11939" t="s">
        <v>187</v>
      </c>
      <c r="F11939">
        <v>2016</v>
      </c>
      <c r="G11939">
        <v>5.3999999999999999E-2</v>
      </c>
    </row>
    <row r="11940" spans="1:7">
      <c r="A11940" t="s">
        <v>1297</v>
      </c>
      <c r="B11940" t="s">
        <v>1298</v>
      </c>
      <c r="C11940" t="s">
        <v>1302</v>
      </c>
      <c r="D11940" t="s">
        <v>1424</v>
      </c>
      <c r="E11940" t="s">
        <v>187</v>
      </c>
      <c r="F11940">
        <v>2020</v>
      </c>
      <c r="G11940">
        <v>6.2650999999999998E-2</v>
      </c>
    </row>
    <row r="11941" spans="1:7">
      <c r="A11941" t="s">
        <v>1297</v>
      </c>
      <c r="B11941" t="s">
        <v>1298</v>
      </c>
      <c r="C11941" t="s">
        <v>665</v>
      </c>
      <c r="D11941" t="s">
        <v>1424</v>
      </c>
      <c r="E11941" t="s">
        <v>187</v>
      </c>
      <c r="F11941">
        <v>2005</v>
      </c>
      <c r="G11941">
        <v>169.6464</v>
      </c>
    </row>
    <row r="11942" spans="1:7">
      <c r="A11942" t="s">
        <v>1297</v>
      </c>
      <c r="B11942" t="s">
        <v>1298</v>
      </c>
      <c r="C11942" t="s">
        <v>652</v>
      </c>
      <c r="D11942" t="s">
        <v>1424</v>
      </c>
      <c r="E11942" t="s">
        <v>187</v>
      </c>
      <c r="F11942">
        <v>2016</v>
      </c>
      <c r="G11942">
        <v>0.71172000000000002</v>
      </c>
    </row>
    <row r="11943" spans="1:7">
      <c r="A11943" t="s">
        <v>1297</v>
      </c>
      <c r="B11943" t="s">
        <v>1298</v>
      </c>
      <c r="C11943" t="s">
        <v>652</v>
      </c>
      <c r="D11943" t="s">
        <v>1424</v>
      </c>
      <c r="E11943" t="s">
        <v>187</v>
      </c>
      <c r="F11943">
        <v>2020</v>
      </c>
      <c r="G11943">
        <v>0.25668000000000002</v>
      </c>
    </row>
    <row r="11944" spans="1:7">
      <c r="A11944" t="s">
        <v>1297</v>
      </c>
      <c r="B11944" t="s">
        <v>1298</v>
      </c>
      <c r="C11944" t="s">
        <v>677</v>
      </c>
      <c r="D11944" t="s">
        <v>1424</v>
      </c>
      <c r="E11944" t="s">
        <v>187</v>
      </c>
      <c r="F11944">
        <v>2005</v>
      </c>
      <c r="G11944">
        <v>19.220400000000001</v>
      </c>
    </row>
    <row r="11945" spans="1:7">
      <c r="A11945" t="s">
        <v>1297</v>
      </c>
      <c r="B11945" t="s">
        <v>1298</v>
      </c>
      <c r="C11945" t="s">
        <v>677</v>
      </c>
      <c r="D11945" t="s">
        <v>1424</v>
      </c>
      <c r="E11945" t="s">
        <v>187</v>
      </c>
      <c r="F11945">
        <v>2010</v>
      </c>
      <c r="G11945">
        <v>17.297999999999998</v>
      </c>
    </row>
    <row r="11946" spans="1:7">
      <c r="A11946" t="s">
        <v>1297</v>
      </c>
      <c r="B11946" t="s">
        <v>1298</v>
      </c>
      <c r="C11946" t="s">
        <v>677</v>
      </c>
      <c r="D11946" t="s">
        <v>1424</v>
      </c>
      <c r="E11946" t="s">
        <v>187</v>
      </c>
      <c r="F11946">
        <v>2012</v>
      </c>
      <c r="G11946">
        <v>10.411199999999999</v>
      </c>
    </row>
    <row r="11947" spans="1:7">
      <c r="A11947" t="s">
        <v>1297</v>
      </c>
      <c r="B11947" t="s">
        <v>1298</v>
      </c>
      <c r="C11947" t="s">
        <v>677</v>
      </c>
      <c r="D11947" t="s">
        <v>1424</v>
      </c>
      <c r="E11947" t="s">
        <v>187</v>
      </c>
      <c r="F11947">
        <v>2016</v>
      </c>
      <c r="G11947">
        <v>6.8063900000000004</v>
      </c>
    </row>
    <row r="11948" spans="1:7">
      <c r="A11948" t="s">
        <v>1297</v>
      </c>
      <c r="B11948" t="s">
        <v>1298</v>
      </c>
      <c r="C11948" t="s">
        <v>677</v>
      </c>
      <c r="D11948" t="s">
        <v>1424</v>
      </c>
      <c r="E11948" t="s">
        <v>187</v>
      </c>
      <c r="F11948">
        <v>2020</v>
      </c>
      <c r="G11948">
        <v>5.3183020000000001</v>
      </c>
    </row>
    <row r="11949" spans="1:7">
      <c r="A11949" t="s">
        <v>1297</v>
      </c>
      <c r="B11949" t="s">
        <v>1298</v>
      </c>
      <c r="C11949" t="s">
        <v>666</v>
      </c>
      <c r="D11949" t="s">
        <v>1424</v>
      </c>
      <c r="E11949" t="s">
        <v>187</v>
      </c>
      <c r="F11949">
        <v>2005</v>
      </c>
      <c r="G11949">
        <v>1.4436</v>
      </c>
    </row>
    <row r="11950" spans="1:7">
      <c r="A11950" t="s">
        <v>1297</v>
      </c>
      <c r="B11950" t="s">
        <v>1298</v>
      </c>
      <c r="C11950" t="s">
        <v>666</v>
      </c>
      <c r="D11950" t="s">
        <v>1424</v>
      </c>
      <c r="E11950" t="s">
        <v>187</v>
      </c>
      <c r="F11950">
        <v>2010</v>
      </c>
      <c r="G11950">
        <v>2.3292000000000002</v>
      </c>
    </row>
    <row r="11951" spans="1:7">
      <c r="A11951" t="s">
        <v>1297</v>
      </c>
      <c r="B11951" t="s">
        <v>1298</v>
      </c>
      <c r="C11951" t="s">
        <v>666</v>
      </c>
      <c r="D11951" t="s">
        <v>1424</v>
      </c>
      <c r="E11951" t="s">
        <v>187</v>
      </c>
      <c r="F11951">
        <v>2012</v>
      </c>
      <c r="G11951">
        <v>0.86399999999999999</v>
      </c>
    </row>
    <row r="11952" spans="1:7">
      <c r="A11952" t="s">
        <v>1297</v>
      </c>
      <c r="B11952" t="s">
        <v>1298</v>
      </c>
      <c r="C11952" t="s">
        <v>666</v>
      </c>
      <c r="D11952" t="s">
        <v>1424</v>
      </c>
      <c r="E11952" t="s">
        <v>187</v>
      </c>
      <c r="F11952">
        <v>2016</v>
      </c>
      <c r="G11952">
        <v>0.79559999999999997</v>
      </c>
    </row>
    <row r="11953" spans="1:7">
      <c r="A11953" t="s">
        <v>1297</v>
      </c>
      <c r="B11953" t="s">
        <v>1298</v>
      </c>
      <c r="C11953" t="s">
        <v>666</v>
      </c>
      <c r="D11953" t="s">
        <v>1424</v>
      </c>
      <c r="E11953" t="s">
        <v>187</v>
      </c>
      <c r="F11953">
        <v>2020</v>
      </c>
      <c r="G11953">
        <v>0.24371999999999999</v>
      </c>
    </row>
    <row r="11954" spans="1:7">
      <c r="A11954" t="s">
        <v>1297</v>
      </c>
      <c r="B11954" t="s">
        <v>1298</v>
      </c>
      <c r="C11954" t="s">
        <v>682</v>
      </c>
      <c r="D11954" t="s">
        <v>1424</v>
      </c>
      <c r="E11954" t="s">
        <v>187</v>
      </c>
      <c r="F11954">
        <v>2016</v>
      </c>
      <c r="G11954">
        <v>0.21240000000000001</v>
      </c>
    </row>
    <row r="11955" spans="1:7">
      <c r="A11955" t="s">
        <v>1297</v>
      </c>
      <c r="B11955" t="s">
        <v>1298</v>
      </c>
      <c r="C11955" t="s">
        <v>682</v>
      </c>
      <c r="D11955" t="s">
        <v>1424</v>
      </c>
      <c r="E11955" t="s">
        <v>187</v>
      </c>
      <c r="F11955">
        <v>2020</v>
      </c>
      <c r="G11955">
        <v>0.1656</v>
      </c>
    </row>
    <row r="11956" spans="1:7">
      <c r="A11956" t="s">
        <v>1297</v>
      </c>
      <c r="B11956" t="s">
        <v>1298</v>
      </c>
      <c r="C11956" t="s">
        <v>657</v>
      </c>
      <c r="D11956" t="s">
        <v>1424</v>
      </c>
      <c r="E11956" t="s">
        <v>187</v>
      </c>
      <c r="F11956">
        <v>2020</v>
      </c>
      <c r="G11956">
        <v>0.87051199999999995</v>
      </c>
    </row>
    <row r="11957" spans="1:7">
      <c r="A11957" t="s">
        <v>1297</v>
      </c>
      <c r="B11957" t="s">
        <v>1298</v>
      </c>
      <c r="C11957" t="s">
        <v>686</v>
      </c>
      <c r="D11957" t="s">
        <v>1424</v>
      </c>
      <c r="E11957" t="s">
        <v>187</v>
      </c>
      <c r="F11957">
        <v>2005</v>
      </c>
      <c r="G11957">
        <v>2.4588000000000001</v>
      </c>
    </row>
    <row r="11958" spans="1:7">
      <c r="A11958" t="s">
        <v>1297</v>
      </c>
      <c r="B11958" t="s">
        <v>1298</v>
      </c>
      <c r="C11958" t="s">
        <v>686</v>
      </c>
      <c r="D11958" t="s">
        <v>1424</v>
      </c>
      <c r="E11958" t="s">
        <v>187</v>
      </c>
      <c r="F11958">
        <v>2010</v>
      </c>
      <c r="G11958">
        <v>0.39960000000000001</v>
      </c>
    </row>
    <row r="11959" spans="1:7">
      <c r="A11959" t="s">
        <v>1297</v>
      </c>
      <c r="B11959" t="s">
        <v>1298</v>
      </c>
      <c r="C11959" t="s">
        <v>686</v>
      </c>
      <c r="D11959" t="s">
        <v>1424</v>
      </c>
      <c r="E11959" t="s">
        <v>187</v>
      </c>
      <c r="F11959">
        <v>2012</v>
      </c>
      <c r="G11959">
        <v>0.24479999999999999</v>
      </c>
    </row>
    <row r="11960" spans="1:7">
      <c r="A11960" t="s">
        <v>1297</v>
      </c>
      <c r="B11960" t="s">
        <v>1298</v>
      </c>
      <c r="C11960" t="s">
        <v>686</v>
      </c>
      <c r="D11960" t="s">
        <v>1424</v>
      </c>
      <c r="E11960" t="s">
        <v>187</v>
      </c>
      <c r="F11960">
        <v>2016</v>
      </c>
      <c r="G11960">
        <v>0.18720000000000001</v>
      </c>
    </row>
    <row r="11961" spans="1:7">
      <c r="A11961" t="s">
        <v>1297</v>
      </c>
      <c r="B11961" t="s">
        <v>1298</v>
      </c>
      <c r="C11961" t="s">
        <v>686</v>
      </c>
      <c r="D11961" t="s">
        <v>1424</v>
      </c>
      <c r="E11961" t="s">
        <v>187</v>
      </c>
      <c r="F11961">
        <v>2020</v>
      </c>
      <c r="G11961">
        <v>7.9260999999999998E-2</v>
      </c>
    </row>
    <row r="11962" spans="1:7">
      <c r="A11962" t="s">
        <v>1297</v>
      </c>
      <c r="B11962" t="s">
        <v>1298</v>
      </c>
      <c r="C11962" t="s">
        <v>662</v>
      </c>
      <c r="D11962" t="s">
        <v>1424</v>
      </c>
      <c r="E11962" t="s">
        <v>187</v>
      </c>
      <c r="F11962">
        <v>2005</v>
      </c>
      <c r="G11962">
        <v>33.145200000000003</v>
      </c>
    </row>
    <row r="11963" spans="1:7">
      <c r="A11963" t="s">
        <v>1297</v>
      </c>
      <c r="B11963" t="s">
        <v>1298</v>
      </c>
      <c r="C11963" t="s">
        <v>662</v>
      </c>
      <c r="D11963" t="s">
        <v>1424</v>
      </c>
      <c r="E11963" t="s">
        <v>187</v>
      </c>
      <c r="F11963">
        <v>2010</v>
      </c>
      <c r="G11963">
        <v>21.920400000000001</v>
      </c>
    </row>
    <row r="11964" spans="1:7">
      <c r="A11964" t="s">
        <v>1297</v>
      </c>
      <c r="B11964" t="s">
        <v>1298</v>
      </c>
      <c r="C11964" t="s">
        <v>662</v>
      </c>
      <c r="D11964" t="s">
        <v>1424</v>
      </c>
      <c r="E11964" t="s">
        <v>187</v>
      </c>
      <c r="F11964">
        <v>2012</v>
      </c>
      <c r="G11964">
        <v>21.888000000000002</v>
      </c>
    </row>
    <row r="11965" spans="1:7">
      <c r="A11965" t="s">
        <v>1297</v>
      </c>
      <c r="B11965" t="s">
        <v>1298</v>
      </c>
      <c r="C11965" t="s">
        <v>662</v>
      </c>
      <c r="D11965" t="s">
        <v>1424</v>
      </c>
      <c r="E11965" t="s">
        <v>187</v>
      </c>
      <c r="F11965">
        <v>2016</v>
      </c>
      <c r="G11965">
        <v>20.033999999999999</v>
      </c>
    </row>
    <row r="11966" spans="1:7">
      <c r="A11966" t="s">
        <v>1297</v>
      </c>
      <c r="B11966" t="s">
        <v>1298</v>
      </c>
      <c r="C11966" t="s">
        <v>662</v>
      </c>
      <c r="D11966" t="s">
        <v>1424</v>
      </c>
      <c r="E11966" t="s">
        <v>187</v>
      </c>
      <c r="F11966">
        <v>2020</v>
      </c>
      <c r="G11966">
        <v>20.049061999999999</v>
      </c>
    </row>
    <row r="11967" spans="1:7">
      <c r="A11967" t="s">
        <v>1297</v>
      </c>
      <c r="B11967" t="s">
        <v>1298</v>
      </c>
      <c r="C11967" t="s">
        <v>1300</v>
      </c>
      <c r="D11967" t="s">
        <v>1424</v>
      </c>
      <c r="E11967" t="s">
        <v>187</v>
      </c>
      <c r="F11967">
        <v>2010</v>
      </c>
      <c r="G11967">
        <v>0.10440000000000001</v>
      </c>
    </row>
    <row r="11968" spans="1:7">
      <c r="A11968" t="s">
        <v>1297</v>
      </c>
      <c r="B11968" t="s">
        <v>1298</v>
      </c>
      <c r="C11968" t="s">
        <v>1300</v>
      </c>
      <c r="D11968" t="s">
        <v>1424</v>
      </c>
      <c r="E11968" t="s">
        <v>187</v>
      </c>
      <c r="F11968">
        <v>2012</v>
      </c>
      <c r="G11968">
        <v>5.7599999999999998E-2</v>
      </c>
    </row>
    <row r="11969" spans="1:7">
      <c r="A11969" t="s">
        <v>1297</v>
      </c>
      <c r="B11969" t="s">
        <v>1298</v>
      </c>
      <c r="C11969" t="s">
        <v>1300</v>
      </c>
      <c r="D11969" t="s">
        <v>1424</v>
      </c>
      <c r="E11969" t="s">
        <v>187</v>
      </c>
      <c r="F11969">
        <v>2016</v>
      </c>
      <c r="G11969">
        <v>6.1199999999999997E-2</v>
      </c>
    </row>
    <row r="11970" spans="1:7">
      <c r="A11970" t="s">
        <v>1297</v>
      </c>
      <c r="B11970" t="s">
        <v>1298</v>
      </c>
      <c r="C11970" t="s">
        <v>1300</v>
      </c>
      <c r="D11970" t="s">
        <v>1424</v>
      </c>
      <c r="E11970" t="s">
        <v>187</v>
      </c>
      <c r="F11970">
        <v>2020</v>
      </c>
      <c r="G11970">
        <v>1.44E-2</v>
      </c>
    </row>
    <row r="11971" spans="1:7">
      <c r="A11971" t="s">
        <v>1297</v>
      </c>
      <c r="B11971" t="s">
        <v>1298</v>
      </c>
      <c r="C11971" t="s">
        <v>681</v>
      </c>
      <c r="D11971" t="s">
        <v>1424</v>
      </c>
      <c r="E11971" t="s">
        <v>187</v>
      </c>
      <c r="F11971">
        <v>2005</v>
      </c>
      <c r="G11971">
        <v>0.252</v>
      </c>
    </row>
    <row r="11972" spans="1:7">
      <c r="A11972" t="s">
        <v>1297</v>
      </c>
      <c r="B11972" t="s">
        <v>1298</v>
      </c>
      <c r="C11972" t="s">
        <v>681</v>
      </c>
      <c r="D11972" t="s">
        <v>1424</v>
      </c>
      <c r="E11972" t="s">
        <v>187</v>
      </c>
      <c r="F11972">
        <v>2010</v>
      </c>
      <c r="G11972">
        <v>3.5999999999999999E-3</v>
      </c>
    </row>
    <row r="11973" spans="1:7">
      <c r="A11973" t="s">
        <v>1297</v>
      </c>
      <c r="B11973" t="s">
        <v>1298</v>
      </c>
      <c r="C11973" t="s">
        <v>651</v>
      </c>
      <c r="D11973" t="s">
        <v>1424</v>
      </c>
      <c r="E11973" t="s">
        <v>187</v>
      </c>
      <c r="F11973">
        <v>2016</v>
      </c>
      <c r="G11973">
        <v>3.600047</v>
      </c>
    </row>
    <row r="11974" spans="1:7">
      <c r="A11974" t="s">
        <v>1297</v>
      </c>
      <c r="B11974" t="s">
        <v>1298</v>
      </c>
      <c r="C11974" t="s">
        <v>651</v>
      </c>
      <c r="D11974" t="s">
        <v>1424</v>
      </c>
      <c r="E11974" t="s">
        <v>187</v>
      </c>
      <c r="F11974">
        <v>2020</v>
      </c>
      <c r="G11974">
        <v>2.4933350000000001</v>
      </c>
    </row>
    <row r="11975" spans="1:7">
      <c r="A11975" t="s">
        <v>1297</v>
      </c>
      <c r="B11975" t="s">
        <v>1298</v>
      </c>
      <c r="C11975" t="s">
        <v>654</v>
      </c>
      <c r="D11975" t="s">
        <v>1424</v>
      </c>
      <c r="E11975" t="s">
        <v>187</v>
      </c>
      <c r="F11975">
        <v>2005</v>
      </c>
      <c r="G11975">
        <v>15.7536</v>
      </c>
    </row>
    <row r="11976" spans="1:7">
      <c r="A11976" t="s">
        <v>1297</v>
      </c>
      <c r="B11976" t="s">
        <v>1298</v>
      </c>
      <c r="C11976" t="s">
        <v>654</v>
      </c>
      <c r="D11976" t="s">
        <v>1424</v>
      </c>
      <c r="E11976" t="s">
        <v>187</v>
      </c>
      <c r="F11976">
        <v>2010</v>
      </c>
      <c r="G11976">
        <v>18.8964</v>
      </c>
    </row>
    <row r="11977" spans="1:7">
      <c r="A11977" t="s">
        <v>1297</v>
      </c>
      <c r="B11977" t="s">
        <v>1298</v>
      </c>
      <c r="C11977" t="s">
        <v>654</v>
      </c>
      <c r="D11977" t="s">
        <v>1424</v>
      </c>
      <c r="E11977" t="s">
        <v>187</v>
      </c>
      <c r="F11977">
        <v>2012</v>
      </c>
      <c r="G11977">
        <v>16.056000000000001</v>
      </c>
    </row>
    <row r="11978" spans="1:7">
      <c r="A11978" t="s">
        <v>1297</v>
      </c>
      <c r="B11978" t="s">
        <v>1298</v>
      </c>
      <c r="C11978" t="s">
        <v>654</v>
      </c>
      <c r="D11978" t="s">
        <v>1424</v>
      </c>
      <c r="E11978" t="s">
        <v>187</v>
      </c>
      <c r="F11978">
        <v>2016</v>
      </c>
      <c r="G11978">
        <v>16.066800000000001</v>
      </c>
    </row>
    <row r="11979" spans="1:7">
      <c r="A11979" t="s">
        <v>1297</v>
      </c>
      <c r="B11979" t="s">
        <v>1298</v>
      </c>
      <c r="C11979" t="s">
        <v>654</v>
      </c>
      <c r="D11979" t="s">
        <v>1424</v>
      </c>
      <c r="E11979" t="s">
        <v>187</v>
      </c>
      <c r="F11979">
        <v>2020</v>
      </c>
      <c r="G11979">
        <v>16.65626</v>
      </c>
    </row>
    <row r="11980" spans="1:7">
      <c r="A11980" t="s">
        <v>1297</v>
      </c>
      <c r="B11980" t="s">
        <v>1298</v>
      </c>
      <c r="C11980" t="s">
        <v>676</v>
      </c>
      <c r="D11980" t="s">
        <v>1424</v>
      </c>
      <c r="E11980" t="s">
        <v>187</v>
      </c>
      <c r="F11980">
        <v>2005</v>
      </c>
      <c r="G11980">
        <v>2.6676000000000002</v>
      </c>
    </row>
    <row r="11981" spans="1:7">
      <c r="A11981" t="s">
        <v>1297</v>
      </c>
      <c r="B11981" t="s">
        <v>1298</v>
      </c>
      <c r="C11981" t="s">
        <v>676</v>
      </c>
      <c r="D11981" t="s">
        <v>1424</v>
      </c>
      <c r="E11981" t="s">
        <v>187</v>
      </c>
      <c r="F11981">
        <v>2010</v>
      </c>
      <c r="G11981">
        <v>2.16</v>
      </c>
    </row>
    <row r="11982" spans="1:7">
      <c r="A11982" t="s">
        <v>1297</v>
      </c>
      <c r="B11982" t="s">
        <v>1298</v>
      </c>
      <c r="C11982" t="s">
        <v>676</v>
      </c>
      <c r="D11982" t="s">
        <v>1424</v>
      </c>
      <c r="E11982" t="s">
        <v>187</v>
      </c>
      <c r="F11982">
        <v>2012</v>
      </c>
      <c r="G11982">
        <v>1.8216000000000001</v>
      </c>
    </row>
    <row r="11983" spans="1:7">
      <c r="A11983" t="s">
        <v>1297</v>
      </c>
      <c r="B11983" t="s">
        <v>1298</v>
      </c>
      <c r="C11983" t="s">
        <v>676</v>
      </c>
      <c r="D11983" t="s">
        <v>1424</v>
      </c>
      <c r="E11983" t="s">
        <v>187</v>
      </c>
      <c r="F11983">
        <v>2016</v>
      </c>
      <c r="G11983">
        <v>1.6919999999999999</v>
      </c>
    </row>
    <row r="11984" spans="1:7">
      <c r="A11984" t="s">
        <v>1297</v>
      </c>
      <c r="B11984" t="s">
        <v>1298</v>
      </c>
      <c r="C11984" t="s">
        <v>676</v>
      </c>
      <c r="D11984" t="s">
        <v>1424</v>
      </c>
      <c r="E11984" t="s">
        <v>187</v>
      </c>
      <c r="F11984">
        <v>2020</v>
      </c>
      <c r="G11984">
        <v>1.6452</v>
      </c>
    </row>
    <row r="11985" spans="1:7">
      <c r="A11985" t="s">
        <v>1297</v>
      </c>
      <c r="B11985" t="s">
        <v>1298</v>
      </c>
      <c r="C11985" t="s">
        <v>660</v>
      </c>
      <c r="D11985" t="s">
        <v>1424</v>
      </c>
      <c r="E11985" t="s">
        <v>187</v>
      </c>
      <c r="F11985">
        <v>2005</v>
      </c>
      <c r="G11985">
        <v>1.8</v>
      </c>
    </row>
    <row r="11986" spans="1:7">
      <c r="A11986" t="s">
        <v>1297</v>
      </c>
      <c r="B11986" t="s">
        <v>1298</v>
      </c>
      <c r="C11986" t="s">
        <v>660</v>
      </c>
      <c r="D11986" t="s">
        <v>1424</v>
      </c>
      <c r="E11986" t="s">
        <v>187</v>
      </c>
      <c r="F11986">
        <v>2010</v>
      </c>
      <c r="G11986">
        <v>1.7423999999999999</v>
      </c>
    </row>
    <row r="11987" spans="1:7">
      <c r="A11987" t="s">
        <v>1297</v>
      </c>
      <c r="B11987" t="s">
        <v>1298</v>
      </c>
      <c r="C11987" t="s">
        <v>660</v>
      </c>
      <c r="D11987" t="s">
        <v>1424</v>
      </c>
      <c r="E11987" t="s">
        <v>187</v>
      </c>
      <c r="F11987">
        <v>2012</v>
      </c>
      <c r="G11987">
        <v>1.1232</v>
      </c>
    </row>
    <row r="11988" spans="1:7">
      <c r="A11988" t="s">
        <v>1297</v>
      </c>
      <c r="B11988" t="s">
        <v>1298</v>
      </c>
      <c r="C11988" t="s">
        <v>660</v>
      </c>
      <c r="D11988" t="s">
        <v>1424</v>
      </c>
      <c r="E11988" t="s">
        <v>187</v>
      </c>
      <c r="F11988">
        <v>2016</v>
      </c>
      <c r="G11988">
        <v>0.72</v>
      </c>
    </row>
    <row r="11989" spans="1:7">
      <c r="A11989" t="s">
        <v>1297</v>
      </c>
      <c r="B11989" t="s">
        <v>1298</v>
      </c>
      <c r="C11989" t="s">
        <v>660</v>
      </c>
      <c r="D11989" t="s">
        <v>1424</v>
      </c>
      <c r="E11989" t="s">
        <v>187</v>
      </c>
      <c r="F11989">
        <v>2020</v>
      </c>
      <c r="G11989">
        <v>1.1015999999999999</v>
      </c>
    </row>
    <row r="11990" spans="1:7">
      <c r="A11990" t="s">
        <v>1297</v>
      </c>
      <c r="B11990" t="s">
        <v>1298</v>
      </c>
      <c r="C11990" t="s">
        <v>659</v>
      </c>
      <c r="D11990" t="s">
        <v>1424</v>
      </c>
      <c r="E11990" t="s">
        <v>187</v>
      </c>
      <c r="F11990">
        <v>2005</v>
      </c>
      <c r="G11990">
        <v>87.912000000000006</v>
      </c>
    </row>
    <row r="11991" spans="1:7">
      <c r="A11991" t="s">
        <v>1297</v>
      </c>
      <c r="B11991" t="s">
        <v>1298</v>
      </c>
      <c r="C11991" t="s">
        <v>659</v>
      </c>
      <c r="D11991" t="s">
        <v>1424</v>
      </c>
      <c r="E11991" t="s">
        <v>187</v>
      </c>
      <c r="F11991">
        <v>2010</v>
      </c>
      <c r="G11991">
        <v>59.623199999999997</v>
      </c>
    </row>
    <row r="11992" spans="1:7">
      <c r="A11992" t="s">
        <v>1297</v>
      </c>
      <c r="B11992" t="s">
        <v>1298</v>
      </c>
      <c r="C11992" t="s">
        <v>659</v>
      </c>
      <c r="D11992" t="s">
        <v>1424</v>
      </c>
      <c r="E11992" t="s">
        <v>187</v>
      </c>
      <c r="F11992">
        <v>2012</v>
      </c>
      <c r="G11992">
        <v>55.1556</v>
      </c>
    </row>
    <row r="11993" spans="1:7">
      <c r="A11993" t="s">
        <v>1297</v>
      </c>
      <c r="B11993" t="s">
        <v>1298</v>
      </c>
      <c r="C11993" t="s">
        <v>659</v>
      </c>
      <c r="D11993" t="s">
        <v>1424</v>
      </c>
      <c r="E11993" t="s">
        <v>187</v>
      </c>
      <c r="F11993">
        <v>2016</v>
      </c>
      <c r="G11993">
        <v>60.915599999999998</v>
      </c>
    </row>
    <row r="11994" spans="1:7">
      <c r="A11994" t="s">
        <v>1297</v>
      </c>
      <c r="B11994" t="s">
        <v>1298</v>
      </c>
      <c r="C11994" t="s">
        <v>659</v>
      </c>
      <c r="D11994" t="s">
        <v>1424</v>
      </c>
      <c r="E11994" t="s">
        <v>187</v>
      </c>
      <c r="F11994">
        <v>2020</v>
      </c>
      <c r="G11994">
        <v>46.378799999999998</v>
      </c>
    </row>
    <row r="11995" spans="1:7">
      <c r="A11995" t="s">
        <v>1297</v>
      </c>
      <c r="B11995" t="s">
        <v>1298</v>
      </c>
      <c r="C11995" t="s">
        <v>680</v>
      </c>
      <c r="D11995" t="s">
        <v>1424</v>
      </c>
      <c r="E11995" t="s">
        <v>187</v>
      </c>
      <c r="F11995">
        <v>2005</v>
      </c>
      <c r="G11995">
        <v>1.7999999999999999E-2</v>
      </c>
    </row>
    <row r="11996" spans="1:7">
      <c r="A11996" t="s">
        <v>1297</v>
      </c>
      <c r="B11996" t="s">
        <v>1298</v>
      </c>
      <c r="C11996" t="s">
        <v>680</v>
      </c>
      <c r="D11996" t="s">
        <v>1424</v>
      </c>
      <c r="E11996" t="s">
        <v>187</v>
      </c>
      <c r="F11996">
        <v>2010</v>
      </c>
      <c r="G11996">
        <v>7.1999999999999998E-3</v>
      </c>
    </row>
    <row r="11997" spans="1:7">
      <c r="A11997" t="s">
        <v>1297</v>
      </c>
      <c r="B11997" t="s">
        <v>1298</v>
      </c>
      <c r="C11997" t="s">
        <v>680</v>
      </c>
      <c r="D11997" t="s">
        <v>1424</v>
      </c>
      <c r="E11997" t="s">
        <v>187</v>
      </c>
      <c r="F11997">
        <v>2012</v>
      </c>
      <c r="G11997">
        <v>1.0800000000000001E-2</v>
      </c>
    </row>
    <row r="11998" spans="1:7">
      <c r="A11998" t="s">
        <v>1297</v>
      </c>
      <c r="B11998" t="s">
        <v>1298</v>
      </c>
      <c r="C11998" t="s">
        <v>680</v>
      </c>
      <c r="D11998" t="s">
        <v>1424</v>
      </c>
      <c r="E11998" t="s">
        <v>187</v>
      </c>
      <c r="F11998">
        <v>2016</v>
      </c>
      <c r="G11998">
        <v>1.0800000000000001E-2</v>
      </c>
    </row>
    <row r="11999" spans="1:7">
      <c r="A11999" t="s">
        <v>1297</v>
      </c>
      <c r="B11999" t="s">
        <v>1298</v>
      </c>
      <c r="C11999" t="s">
        <v>680</v>
      </c>
      <c r="D11999" t="s">
        <v>1424</v>
      </c>
      <c r="E11999" t="s">
        <v>187</v>
      </c>
      <c r="F11999">
        <v>2020</v>
      </c>
      <c r="G11999">
        <v>9.5829999999999995E-3</v>
      </c>
    </row>
    <row r="12000" spans="1:7">
      <c r="A12000" t="s">
        <v>1297</v>
      </c>
      <c r="B12000" t="s">
        <v>1298</v>
      </c>
      <c r="C12000" t="s">
        <v>674</v>
      </c>
      <c r="D12000" t="s">
        <v>1424</v>
      </c>
      <c r="E12000" t="s">
        <v>187</v>
      </c>
      <c r="F12000">
        <v>2005</v>
      </c>
      <c r="G12000">
        <v>4.9644000000000004</v>
      </c>
    </row>
    <row r="12001" spans="1:7">
      <c r="A12001" t="s">
        <v>1297</v>
      </c>
      <c r="B12001" t="s">
        <v>1298</v>
      </c>
      <c r="C12001" t="s">
        <v>674</v>
      </c>
      <c r="D12001" t="s">
        <v>1424</v>
      </c>
      <c r="E12001" t="s">
        <v>187</v>
      </c>
      <c r="F12001">
        <v>2010</v>
      </c>
      <c r="G12001">
        <v>6.3864000000000001</v>
      </c>
    </row>
    <row r="12002" spans="1:7">
      <c r="A12002" t="s">
        <v>1297</v>
      </c>
      <c r="B12002" t="s">
        <v>1298</v>
      </c>
      <c r="C12002" t="s">
        <v>674</v>
      </c>
      <c r="D12002" t="s">
        <v>1424</v>
      </c>
      <c r="E12002" t="s">
        <v>187</v>
      </c>
      <c r="F12002">
        <v>2012</v>
      </c>
      <c r="G12002">
        <v>2.3328000000000002</v>
      </c>
    </row>
    <row r="12003" spans="1:7">
      <c r="A12003" t="s">
        <v>1297</v>
      </c>
      <c r="B12003" t="s">
        <v>1298</v>
      </c>
      <c r="C12003" t="s">
        <v>674</v>
      </c>
      <c r="D12003" t="s">
        <v>1424</v>
      </c>
      <c r="E12003" t="s">
        <v>187</v>
      </c>
      <c r="F12003">
        <v>2016</v>
      </c>
      <c r="G12003">
        <v>1.4328000000000001</v>
      </c>
    </row>
    <row r="12004" spans="1:7">
      <c r="A12004" t="s">
        <v>1297</v>
      </c>
      <c r="B12004" t="s">
        <v>1298</v>
      </c>
      <c r="C12004" t="s">
        <v>674</v>
      </c>
      <c r="D12004" t="s">
        <v>1424</v>
      </c>
      <c r="E12004" t="s">
        <v>187</v>
      </c>
      <c r="F12004">
        <v>2020</v>
      </c>
      <c r="G12004">
        <v>0.78120000000000001</v>
      </c>
    </row>
    <row r="12005" spans="1:7">
      <c r="A12005" t="s">
        <v>1297</v>
      </c>
      <c r="B12005" t="s">
        <v>1298</v>
      </c>
      <c r="C12005" t="s">
        <v>657</v>
      </c>
      <c r="D12005" t="s">
        <v>1424</v>
      </c>
      <c r="E12005" t="s">
        <v>187</v>
      </c>
      <c r="F12005">
        <v>2005</v>
      </c>
      <c r="G12005">
        <v>4.95</v>
      </c>
    </row>
    <row r="12006" spans="1:7">
      <c r="A12006" t="s">
        <v>1297</v>
      </c>
      <c r="B12006" t="s">
        <v>1298</v>
      </c>
      <c r="C12006" t="s">
        <v>657</v>
      </c>
      <c r="D12006" t="s">
        <v>1424</v>
      </c>
      <c r="E12006" t="s">
        <v>187</v>
      </c>
      <c r="F12006">
        <v>2010</v>
      </c>
      <c r="G12006">
        <v>2.7864</v>
      </c>
    </row>
    <row r="12007" spans="1:7">
      <c r="A12007" t="s">
        <v>1297</v>
      </c>
      <c r="B12007" t="s">
        <v>1298</v>
      </c>
      <c r="C12007" t="s">
        <v>657</v>
      </c>
      <c r="D12007" t="s">
        <v>1424</v>
      </c>
      <c r="E12007" t="s">
        <v>187</v>
      </c>
      <c r="F12007">
        <v>2012</v>
      </c>
      <c r="G12007">
        <v>1.4508000000000001</v>
      </c>
    </row>
    <row r="12008" spans="1:7">
      <c r="A12008" t="s">
        <v>1297</v>
      </c>
      <c r="B12008" t="s">
        <v>1298</v>
      </c>
      <c r="C12008" t="s">
        <v>657</v>
      </c>
      <c r="D12008" t="s">
        <v>1424</v>
      </c>
      <c r="E12008" t="s">
        <v>187</v>
      </c>
      <c r="F12008">
        <v>2016</v>
      </c>
      <c r="G12008">
        <v>1.16618</v>
      </c>
    </row>
    <row r="12009" spans="1:7">
      <c r="A12009" t="s">
        <v>1297</v>
      </c>
      <c r="B12009" t="s">
        <v>1298</v>
      </c>
      <c r="C12009" t="s">
        <v>663</v>
      </c>
      <c r="D12009" t="s">
        <v>1425</v>
      </c>
      <c r="E12009" t="s">
        <v>187</v>
      </c>
      <c r="F12009">
        <v>2005</v>
      </c>
      <c r="G12009">
        <v>1.04</v>
      </c>
    </row>
    <row r="12010" spans="1:7">
      <c r="A12010" t="s">
        <v>1297</v>
      </c>
      <c r="B12010" t="s">
        <v>1298</v>
      </c>
      <c r="C12010" t="s">
        <v>663</v>
      </c>
      <c r="D12010" t="s">
        <v>1425</v>
      </c>
      <c r="E12010" t="s">
        <v>187</v>
      </c>
      <c r="F12010">
        <v>2010</v>
      </c>
      <c r="G12010">
        <v>0.21099999999999999</v>
      </c>
    </row>
    <row r="12011" spans="1:7">
      <c r="A12011" t="s">
        <v>1297</v>
      </c>
      <c r="B12011" t="s">
        <v>1298</v>
      </c>
      <c r="C12011" t="s">
        <v>663</v>
      </c>
      <c r="D12011" t="s">
        <v>1425</v>
      </c>
      <c r="E12011" t="s">
        <v>187</v>
      </c>
      <c r="F12011">
        <v>2012</v>
      </c>
      <c r="G12011">
        <v>0.23799999999999999</v>
      </c>
    </row>
    <row r="12012" spans="1:7">
      <c r="A12012" t="s">
        <v>1297</v>
      </c>
      <c r="B12012" t="s">
        <v>1298</v>
      </c>
      <c r="C12012" t="s">
        <v>663</v>
      </c>
      <c r="D12012" t="s">
        <v>1425</v>
      </c>
      <c r="E12012" t="s">
        <v>187</v>
      </c>
      <c r="F12012">
        <v>2016</v>
      </c>
      <c r="G12012">
        <v>0.11899999999999999</v>
      </c>
    </row>
    <row r="12013" spans="1:7">
      <c r="A12013" t="s">
        <v>1297</v>
      </c>
      <c r="B12013" t="s">
        <v>1298</v>
      </c>
      <c r="C12013" t="s">
        <v>663</v>
      </c>
      <c r="D12013" t="s">
        <v>1425</v>
      </c>
      <c r="E12013" t="s">
        <v>187</v>
      </c>
      <c r="F12013">
        <v>2020</v>
      </c>
      <c r="G12013">
        <v>7.1999999999999995E-2</v>
      </c>
    </row>
    <row r="12014" spans="1:7">
      <c r="A12014" t="s">
        <v>1297</v>
      </c>
      <c r="B12014" t="s">
        <v>1298</v>
      </c>
      <c r="C12014" t="s">
        <v>1302</v>
      </c>
      <c r="D12014" t="s">
        <v>1425</v>
      </c>
      <c r="E12014" t="s">
        <v>187</v>
      </c>
      <c r="F12014">
        <v>2020</v>
      </c>
      <c r="G12014">
        <v>2.7997000000000001E-2</v>
      </c>
    </row>
    <row r="12015" spans="1:7">
      <c r="A12015" t="s">
        <v>1297</v>
      </c>
      <c r="B12015" t="s">
        <v>1298</v>
      </c>
      <c r="C12015" t="s">
        <v>653</v>
      </c>
      <c r="D12015" t="s">
        <v>1425</v>
      </c>
      <c r="E12015" t="s">
        <v>187</v>
      </c>
      <c r="F12015">
        <v>2005</v>
      </c>
      <c r="G12015">
        <v>2.262</v>
      </c>
    </row>
    <row r="12016" spans="1:7">
      <c r="A12016" t="s">
        <v>1297</v>
      </c>
      <c r="B12016" t="s">
        <v>1298</v>
      </c>
      <c r="C12016" t="s">
        <v>653</v>
      </c>
      <c r="D12016" t="s">
        <v>1425</v>
      </c>
      <c r="E12016" t="s">
        <v>187</v>
      </c>
      <c r="F12016">
        <v>2010</v>
      </c>
      <c r="G12016">
        <v>5.2750000000000004</v>
      </c>
    </row>
    <row r="12017" spans="1:7">
      <c r="A12017" t="s">
        <v>1297</v>
      </c>
      <c r="B12017" t="s">
        <v>1298</v>
      </c>
      <c r="C12017" t="s">
        <v>653</v>
      </c>
      <c r="D12017" t="s">
        <v>1425</v>
      </c>
      <c r="E12017" t="s">
        <v>187</v>
      </c>
      <c r="F12017">
        <v>2012</v>
      </c>
      <c r="G12017">
        <v>4.7949999999999999</v>
      </c>
    </row>
    <row r="12018" spans="1:7">
      <c r="A12018" t="s">
        <v>1297</v>
      </c>
      <c r="B12018" t="s">
        <v>1298</v>
      </c>
      <c r="C12018" t="s">
        <v>653</v>
      </c>
      <c r="D12018" t="s">
        <v>1425</v>
      </c>
      <c r="E12018" t="s">
        <v>187</v>
      </c>
      <c r="F12018">
        <v>2016</v>
      </c>
      <c r="G12018">
        <v>6.2530000000000001</v>
      </c>
    </row>
    <row r="12019" spans="1:7">
      <c r="A12019" t="s">
        <v>1297</v>
      </c>
      <c r="B12019" t="s">
        <v>1298</v>
      </c>
      <c r="C12019" t="s">
        <v>653</v>
      </c>
      <c r="D12019" t="s">
        <v>1425</v>
      </c>
      <c r="E12019" t="s">
        <v>187</v>
      </c>
      <c r="F12019">
        <v>2020</v>
      </c>
      <c r="G12019">
        <v>4.9972000000000003E-2</v>
      </c>
    </row>
    <row r="12020" spans="1:7">
      <c r="A12020" t="s">
        <v>1297</v>
      </c>
      <c r="B12020" t="s">
        <v>1298</v>
      </c>
      <c r="C12020" t="s">
        <v>679</v>
      </c>
      <c r="D12020" t="s">
        <v>1425</v>
      </c>
      <c r="E12020" t="s">
        <v>187</v>
      </c>
      <c r="F12020">
        <v>2005</v>
      </c>
      <c r="G12020">
        <v>0.44700000000000001</v>
      </c>
    </row>
    <row r="12021" spans="1:7">
      <c r="A12021" t="s">
        <v>1297</v>
      </c>
      <c r="B12021" t="s">
        <v>1298</v>
      </c>
      <c r="C12021" t="s">
        <v>679</v>
      </c>
      <c r="D12021" t="s">
        <v>1425</v>
      </c>
      <c r="E12021" t="s">
        <v>187</v>
      </c>
      <c r="F12021">
        <v>2010</v>
      </c>
      <c r="G12021">
        <v>2.9780000000000002</v>
      </c>
    </row>
    <row r="12022" spans="1:7">
      <c r="A12022" t="s">
        <v>1297</v>
      </c>
      <c r="B12022" t="s">
        <v>1298</v>
      </c>
      <c r="C12022" t="s">
        <v>679</v>
      </c>
      <c r="D12022" t="s">
        <v>1425</v>
      </c>
      <c r="E12022" t="s">
        <v>187</v>
      </c>
      <c r="F12022">
        <v>2012</v>
      </c>
      <c r="G12022">
        <v>0.752</v>
      </c>
    </row>
    <row r="12023" spans="1:7">
      <c r="A12023" t="s">
        <v>1297</v>
      </c>
      <c r="B12023" t="s">
        <v>1298</v>
      </c>
      <c r="C12023" t="s">
        <v>679</v>
      </c>
      <c r="D12023" t="s">
        <v>1425</v>
      </c>
      <c r="E12023" t="s">
        <v>187</v>
      </c>
      <c r="F12023">
        <v>2016</v>
      </c>
      <c r="G12023">
        <v>0.56499999999999995</v>
      </c>
    </row>
    <row r="12024" spans="1:7">
      <c r="A12024" t="s">
        <v>1297</v>
      </c>
      <c r="B12024" t="s">
        <v>1298</v>
      </c>
      <c r="C12024" t="s">
        <v>679</v>
      </c>
      <c r="D12024" t="s">
        <v>1425</v>
      </c>
      <c r="E12024" t="s">
        <v>187</v>
      </c>
      <c r="F12024">
        <v>2020</v>
      </c>
      <c r="G12024">
        <v>0.63855099999999998</v>
      </c>
    </row>
    <row r="12025" spans="1:7">
      <c r="A12025" t="s">
        <v>1297</v>
      </c>
      <c r="B12025" t="s">
        <v>1298</v>
      </c>
      <c r="C12025" t="s">
        <v>1300</v>
      </c>
      <c r="D12025" t="s">
        <v>1425</v>
      </c>
      <c r="E12025" t="s">
        <v>187</v>
      </c>
      <c r="F12025">
        <v>2010</v>
      </c>
      <c r="G12025">
        <v>0.67400000000000004</v>
      </c>
    </row>
    <row r="12026" spans="1:7">
      <c r="A12026" t="s">
        <v>1297</v>
      </c>
      <c r="B12026" t="s">
        <v>1298</v>
      </c>
      <c r="C12026" t="s">
        <v>1300</v>
      </c>
      <c r="D12026" t="s">
        <v>1425</v>
      </c>
      <c r="E12026" t="s">
        <v>187</v>
      </c>
      <c r="F12026">
        <v>2012</v>
      </c>
      <c r="G12026">
        <v>0.40500000000000003</v>
      </c>
    </row>
    <row r="12027" spans="1:7">
      <c r="A12027" t="s">
        <v>1297</v>
      </c>
      <c r="B12027" t="s">
        <v>1298</v>
      </c>
      <c r="C12027" t="s">
        <v>1300</v>
      </c>
      <c r="D12027" t="s">
        <v>1425</v>
      </c>
      <c r="E12027" t="s">
        <v>187</v>
      </c>
      <c r="F12027">
        <v>2016</v>
      </c>
      <c r="G12027">
        <v>0.47099999999999997</v>
      </c>
    </row>
    <row r="12028" spans="1:7">
      <c r="A12028" t="s">
        <v>1297</v>
      </c>
      <c r="B12028" t="s">
        <v>1298</v>
      </c>
      <c r="C12028" t="s">
        <v>1300</v>
      </c>
      <c r="D12028" t="s">
        <v>1425</v>
      </c>
      <c r="E12028" t="s">
        <v>187</v>
      </c>
      <c r="F12028">
        <v>2020</v>
      </c>
      <c r="G12028">
        <v>8.8999999999999996E-2</v>
      </c>
    </row>
    <row r="12029" spans="1:7">
      <c r="A12029" t="s">
        <v>1297</v>
      </c>
      <c r="B12029" t="s">
        <v>1298</v>
      </c>
      <c r="C12029" t="s">
        <v>665</v>
      </c>
      <c r="D12029" t="s">
        <v>1425</v>
      </c>
      <c r="E12029" t="s">
        <v>187</v>
      </c>
      <c r="F12029">
        <v>2005</v>
      </c>
      <c r="G12029">
        <v>55.792000000000002</v>
      </c>
    </row>
    <row r="12030" spans="1:7">
      <c r="A12030" t="s">
        <v>1297</v>
      </c>
      <c r="B12030" t="s">
        <v>1298</v>
      </c>
      <c r="C12030" t="s">
        <v>665</v>
      </c>
      <c r="D12030" t="s">
        <v>1425</v>
      </c>
      <c r="E12030" t="s">
        <v>187</v>
      </c>
      <c r="F12030">
        <v>2010</v>
      </c>
      <c r="G12030">
        <v>60.271999999999998</v>
      </c>
    </row>
    <row r="12031" spans="1:7">
      <c r="A12031" t="s">
        <v>1297</v>
      </c>
      <c r="B12031" t="s">
        <v>1298</v>
      </c>
      <c r="C12031" t="s">
        <v>665</v>
      </c>
      <c r="D12031" t="s">
        <v>1425</v>
      </c>
      <c r="E12031" t="s">
        <v>187</v>
      </c>
      <c r="F12031">
        <v>2012</v>
      </c>
      <c r="G12031">
        <v>45.476999999999997</v>
      </c>
    </row>
    <row r="12032" spans="1:7">
      <c r="A12032" t="s">
        <v>1297</v>
      </c>
      <c r="B12032" t="s">
        <v>1298</v>
      </c>
      <c r="C12032" t="s">
        <v>665</v>
      </c>
      <c r="D12032" t="s">
        <v>1425</v>
      </c>
      <c r="E12032" t="s">
        <v>187</v>
      </c>
      <c r="F12032">
        <v>2016</v>
      </c>
      <c r="G12032">
        <v>33.784999999999997</v>
      </c>
    </row>
    <row r="12033" spans="1:7">
      <c r="A12033" t="s">
        <v>1297</v>
      </c>
      <c r="B12033" t="s">
        <v>1298</v>
      </c>
      <c r="C12033" t="s">
        <v>665</v>
      </c>
      <c r="D12033" t="s">
        <v>1425</v>
      </c>
      <c r="E12033" t="s">
        <v>187</v>
      </c>
      <c r="F12033">
        <v>2020</v>
      </c>
      <c r="G12033">
        <v>28.549198000000001</v>
      </c>
    </row>
    <row r="12034" spans="1:7">
      <c r="A12034" t="s">
        <v>1297</v>
      </c>
      <c r="B12034" t="s">
        <v>1298</v>
      </c>
      <c r="C12034" t="s">
        <v>668</v>
      </c>
      <c r="D12034" t="s">
        <v>1425</v>
      </c>
      <c r="E12034" t="s">
        <v>187</v>
      </c>
      <c r="F12034">
        <v>2005</v>
      </c>
      <c r="G12034">
        <v>1.87</v>
      </c>
    </row>
    <row r="12035" spans="1:7">
      <c r="A12035" t="s">
        <v>1297</v>
      </c>
      <c r="B12035" t="s">
        <v>1298</v>
      </c>
      <c r="C12035" t="s">
        <v>668</v>
      </c>
      <c r="D12035" t="s">
        <v>1425</v>
      </c>
      <c r="E12035" t="s">
        <v>187</v>
      </c>
      <c r="F12035">
        <v>2010</v>
      </c>
      <c r="G12035">
        <v>0.64200000000000002</v>
      </c>
    </row>
    <row r="12036" spans="1:7">
      <c r="A12036" t="s">
        <v>1297</v>
      </c>
      <c r="B12036" t="s">
        <v>1298</v>
      </c>
      <c r="C12036" t="s">
        <v>668</v>
      </c>
      <c r="D12036" t="s">
        <v>1425</v>
      </c>
      <c r="E12036" t="s">
        <v>187</v>
      </c>
      <c r="F12036">
        <v>2012</v>
      </c>
      <c r="G12036">
        <v>0.433</v>
      </c>
    </row>
    <row r="12037" spans="1:7">
      <c r="A12037" t="s">
        <v>1297</v>
      </c>
      <c r="B12037" t="s">
        <v>1298</v>
      </c>
      <c r="C12037" t="s">
        <v>668</v>
      </c>
      <c r="D12037" t="s">
        <v>1425</v>
      </c>
      <c r="E12037" t="s">
        <v>187</v>
      </c>
      <c r="F12037">
        <v>2016</v>
      </c>
      <c r="G12037">
        <v>0.04</v>
      </c>
    </row>
    <row r="12038" spans="1:7">
      <c r="A12038" t="s">
        <v>1297</v>
      </c>
      <c r="B12038" t="s">
        <v>1298</v>
      </c>
      <c r="C12038" t="s">
        <v>668</v>
      </c>
      <c r="D12038" t="s">
        <v>1425</v>
      </c>
      <c r="E12038" t="s">
        <v>187</v>
      </c>
      <c r="F12038">
        <v>2020</v>
      </c>
      <c r="G12038">
        <v>4.5753000000000002E-2</v>
      </c>
    </row>
    <row r="12039" spans="1:7">
      <c r="A12039" t="s">
        <v>1297</v>
      </c>
      <c r="B12039" t="s">
        <v>1298</v>
      </c>
      <c r="C12039" t="s">
        <v>651</v>
      </c>
      <c r="D12039" t="s">
        <v>1425</v>
      </c>
      <c r="E12039" t="s">
        <v>187</v>
      </c>
      <c r="F12039">
        <v>2005</v>
      </c>
      <c r="G12039">
        <v>8.9897299999999998</v>
      </c>
    </row>
    <row r="12040" spans="1:7">
      <c r="A12040" t="s">
        <v>1297</v>
      </c>
      <c r="B12040" t="s">
        <v>1298</v>
      </c>
      <c r="C12040" t="s">
        <v>651</v>
      </c>
      <c r="D12040" t="s">
        <v>1425</v>
      </c>
      <c r="E12040" t="s">
        <v>187</v>
      </c>
      <c r="F12040">
        <v>2010</v>
      </c>
      <c r="G12040">
        <v>7.3871250000000002</v>
      </c>
    </row>
    <row r="12041" spans="1:7">
      <c r="A12041" t="s">
        <v>1297</v>
      </c>
      <c r="B12041" t="s">
        <v>1298</v>
      </c>
      <c r="C12041" t="s">
        <v>651</v>
      </c>
      <c r="D12041" t="s">
        <v>1425</v>
      </c>
      <c r="E12041" t="s">
        <v>187</v>
      </c>
      <c r="F12041">
        <v>2012</v>
      </c>
      <c r="G12041">
        <v>5.0704289999999999</v>
      </c>
    </row>
    <row r="12042" spans="1:7">
      <c r="A12042" t="s">
        <v>1297</v>
      </c>
      <c r="B12042" t="s">
        <v>1298</v>
      </c>
      <c r="C12042" t="s">
        <v>651</v>
      </c>
      <c r="D12042" t="s">
        <v>1425</v>
      </c>
      <c r="E12042" t="s">
        <v>187</v>
      </c>
      <c r="F12042">
        <v>2016</v>
      </c>
      <c r="G12042">
        <v>5.4397970000000004</v>
      </c>
    </row>
    <row r="12043" spans="1:7">
      <c r="A12043" t="s">
        <v>1297</v>
      </c>
      <c r="B12043" t="s">
        <v>1298</v>
      </c>
      <c r="C12043" t="s">
        <v>651</v>
      </c>
      <c r="D12043" t="s">
        <v>1425</v>
      </c>
      <c r="E12043" t="s">
        <v>187</v>
      </c>
      <c r="F12043">
        <v>2020</v>
      </c>
      <c r="G12043">
        <v>2.3366669999999998</v>
      </c>
    </row>
    <row r="12044" spans="1:7">
      <c r="A12044" t="s">
        <v>1297</v>
      </c>
      <c r="B12044" t="s">
        <v>1298</v>
      </c>
      <c r="C12044" t="s">
        <v>680</v>
      </c>
      <c r="D12044" t="s">
        <v>1425</v>
      </c>
      <c r="E12044" t="s">
        <v>187</v>
      </c>
      <c r="F12044">
        <v>2010</v>
      </c>
      <c r="G12044">
        <v>1.0999999999999999E-2</v>
      </c>
    </row>
    <row r="12045" spans="1:7">
      <c r="A12045" t="s">
        <v>1297</v>
      </c>
      <c r="B12045" t="s">
        <v>1298</v>
      </c>
      <c r="C12045" t="s">
        <v>680</v>
      </c>
      <c r="D12045" t="s">
        <v>1425</v>
      </c>
      <c r="E12045" t="s">
        <v>187</v>
      </c>
      <c r="F12045">
        <v>2012</v>
      </c>
      <c r="G12045">
        <v>0.04</v>
      </c>
    </row>
    <row r="12046" spans="1:7">
      <c r="A12046" t="s">
        <v>1297</v>
      </c>
      <c r="B12046" t="s">
        <v>1298</v>
      </c>
      <c r="C12046" t="s">
        <v>680</v>
      </c>
      <c r="D12046" t="s">
        <v>1425</v>
      </c>
      <c r="E12046" t="s">
        <v>187</v>
      </c>
      <c r="F12046">
        <v>2016</v>
      </c>
      <c r="G12046">
        <v>1.2999999999999999E-2</v>
      </c>
    </row>
    <row r="12047" spans="1:7">
      <c r="A12047" t="s">
        <v>1297</v>
      </c>
      <c r="B12047" t="s">
        <v>1298</v>
      </c>
      <c r="C12047" t="s">
        <v>680</v>
      </c>
      <c r="D12047" t="s">
        <v>1425</v>
      </c>
      <c r="E12047" t="s">
        <v>187</v>
      </c>
      <c r="F12047">
        <v>2020</v>
      </c>
      <c r="G12047">
        <v>1.6499E-2</v>
      </c>
    </row>
    <row r="12048" spans="1:7">
      <c r="A12048" t="s">
        <v>1297</v>
      </c>
      <c r="B12048" t="s">
        <v>1298</v>
      </c>
      <c r="C12048" t="s">
        <v>677</v>
      </c>
      <c r="D12048" t="s">
        <v>1425</v>
      </c>
      <c r="E12048" t="s">
        <v>187</v>
      </c>
      <c r="F12048">
        <v>2005</v>
      </c>
      <c r="G12048">
        <v>1.665</v>
      </c>
    </row>
    <row r="12049" spans="1:7">
      <c r="A12049" t="s">
        <v>1297</v>
      </c>
      <c r="B12049" t="s">
        <v>1298</v>
      </c>
      <c r="C12049" t="s">
        <v>677</v>
      </c>
      <c r="D12049" t="s">
        <v>1425</v>
      </c>
      <c r="E12049" t="s">
        <v>187</v>
      </c>
      <c r="F12049">
        <v>2010</v>
      </c>
      <c r="G12049">
        <v>1.583</v>
      </c>
    </row>
    <row r="12050" spans="1:7">
      <c r="A12050" t="s">
        <v>1297</v>
      </c>
      <c r="B12050" t="s">
        <v>1298</v>
      </c>
      <c r="C12050" t="s">
        <v>677</v>
      </c>
      <c r="D12050" t="s">
        <v>1425</v>
      </c>
      <c r="E12050" t="s">
        <v>187</v>
      </c>
      <c r="F12050">
        <v>2012</v>
      </c>
      <c r="G12050">
        <v>1.726</v>
      </c>
    </row>
    <row r="12051" spans="1:7">
      <c r="A12051" t="s">
        <v>1297</v>
      </c>
      <c r="B12051" t="s">
        <v>1298</v>
      </c>
      <c r="C12051" t="s">
        <v>677</v>
      </c>
      <c r="D12051" t="s">
        <v>1425</v>
      </c>
      <c r="E12051" t="s">
        <v>187</v>
      </c>
      <c r="F12051">
        <v>2016</v>
      </c>
      <c r="G12051">
        <v>1.1310249999999999</v>
      </c>
    </row>
    <row r="12052" spans="1:7">
      <c r="A12052" t="s">
        <v>1297</v>
      </c>
      <c r="B12052" t="s">
        <v>1298</v>
      </c>
      <c r="C12052" t="s">
        <v>677</v>
      </c>
      <c r="D12052" t="s">
        <v>1425</v>
      </c>
      <c r="E12052" t="s">
        <v>187</v>
      </c>
      <c r="F12052">
        <v>2020</v>
      </c>
      <c r="G12052">
        <v>1.107723</v>
      </c>
    </row>
    <row r="12053" spans="1:7">
      <c r="A12053" t="s">
        <v>1297</v>
      </c>
      <c r="B12053" t="s">
        <v>1298</v>
      </c>
      <c r="C12053" t="s">
        <v>671</v>
      </c>
      <c r="D12053" t="s">
        <v>1425</v>
      </c>
      <c r="E12053" t="s">
        <v>187</v>
      </c>
      <c r="F12053">
        <v>2005</v>
      </c>
      <c r="G12053">
        <v>6.6769999999999996</v>
      </c>
    </row>
    <row r="12054" spans="1:7">
      <c r="A12054" t="s">
        <v>1297</v>
      </c>
      <c r="B12054" t="s">
        <v>1298</v>
      </c>
      <c r="C12054" t="s">
        <v>671</v>
      </c>
      <c r="D12054" t="s">
        <v>1425</v>
      </c>
      <c r="E12054" t="s">
        <v>187</v>
      </c>
      <c r="F12054">
        <v>2010</v>
      </c>
      <c r="G12054">
        <v>6.5490000000000004</v>
      </c>
    </row>
    <row r="12055" spans="1:7">
      <c r="A12055" t="s">
        <v>1297</v>
      </c>
      <c r="B12055" t="s">
        <v>1298</v>
      </c>
      <c r="C12055" t="s">
        <v>671</v>
      </c>
      <c r="D12055" t="s">
        <v>1425</v>
      </c>
      <c r="E12055" t="s">
        <v>187</v>
      </c>
      <c r="F12055">
        <v>2012</v>
      </c>
      <c r="G12055">
        <v>4.2370000000000001</v>
      </c>
    </row>
    <row r="12056" spans="1:7">
      <c r="A12056" t="s">
        <v>1297</v>
      </c>
      <c r="B12056" t="s">
        <v>1298</v>
      </c>
      <c r="C12056" t="s">
        <v>671</v>
      </c>
      <c r="D12056" t="s">
        <v>1425</v>
      </c>
      <c r="E12056" t="s">
        <v>187</v>
      </c>
      <c r="F12056">
        <v>2016</v>
      </c>
      <c r="G12056">
        <v>3.6269999999999998</v>
      </c>
    </row>
    <row r="12057" spans="1:7">
      <c r="A12057" t="s">
        <v>1297</v>
      </c>
      <c r="B12057" t="s">
        <v>1298</v>
      </c>
      <c r="C12057" t="s">
        <v>671</v>
      </c>
      <c r="D12057" t="s">
        <v>1425</v>
      </c>
      <c r="E12057" t="s">
        <v>187</v>
      </c>
      <c r="F12057">
        <v>2020</v>
      </c>
      <c r="G12057">
        <v>3.275379</v>
      </c>
    </row>
    <row r="12058" spans="1:7">
      <c r="A12058" t="s">
        <v>1297</v>
      </c>
      <c r="B12058" t="s">
        <v>1298</v>
      </c>
      <c r="C12058" t="s">
        <v>655</v>
      </c>
      <c r="D12058" t="s">
        <v>1425</v>
      </c>
      <c r="E12058" t="s">
        <v>187</v>
      </c>
      <c r="F12058">
        <v>2005</v>
      </c>
      <c r="G12058">
        <v>5.6680000000000001</v>
      </c>
    </row>
    <row r="12059" spans="1:7">
      <c r="A12059" t="s">
        <v>1297</v>
      </c>
      <c r="B12059" t="s">
        <v>1298</v>
      </c>
      <c r="C12059" t="s">
        <v>655</v>
      </c>
      <c r="D12059" t="s">
        <v>1425</v>
      </c>
      <c r="E12059" t="s">
        <v>187</v>
      </c>
      <c r="F12059">
        <v>2010</v>
      </c>
      <c r="G12059">
        <v>2.41</v>
      </c>
    </row>
    <row r="12060" spans="1:7">
      <c r="A12060" t="s">
        <v>1297</v>
      </c>
      <c r="B12060" t="s">
        <v>1298</v>
      </c>
      <c r="C12060" t="s">
        <v>655</v>
      </c>
      <c r="D12060" t="s">
        <v>1425</v>
      </c>
      <c r="E12060" t="s">
        <v>187</v>
      </c>
      <c r="F12060">
        <v>2012</v>
      </c>
      <c r="G12060">
        <v>2.3439999999999999</v>
      </c>
    </row>
    <row r="12061" spans="1:7">
      <c r="A12061" t="s">
        <v>1297</v>
      </c>
      <c r="B12061" t="s">
        <v>1298</v>
      </c>
      <c r="C12061" t="s">
        <v>655</v>
      </c>
      <c r="D12061" t="s">
        <v>1425</v>
      </c>
      <c r="E12061" t="s">
        <v>187</v>
      </c>
      <c r="F12061">
        <v>2016</v>
      </c>
      <c r="G12061">
        <v>1.093</v>
      </c>
    </row>
    <row r="12062" spans="1:7">
      <c r="A12062" t="s">
        <v>1297</v>
      </c>
      <c r="B12062" t="s">
        <v>1298</v>
      </c>
      <c r="C12062" t="s">
        <v>655</v>
      </c>
      <c r="D12062" t="s">
        <v>1425</v>
      </c>
      <c r="E12062" t="s">
        <v>187</v>
      </c>
      <c r="F12062">
        <v>2020</v>
      </c>
      <c r="G12062">
        <v>1.1866749999999999</v>
      </c>
    </row>
    <row r="12063" spans="1:7">
      <c r="A12063" t="s">
        <v>1297</v>
      </c>
      <c r="B12063" t="s">
        <v>1298</v>
      </c>
      <c r="C12063" t="s">
        <v>675</v>
      </c>
      <c r="D12063" t="s">
        <v>1425</v>
      </c>
      <c r="E12063" t="s">
        <v>187</v>
      </c>
      <c r="F12063">
        <v>2005</v>
      </c>
      <c r="G12063">
        <v>0.20499999999999999</v>
      </c>
    </row>
    <row r="12064" spans="1:7">
      <c r="A12064" t="s">
        <v>1297</v>
      </c>
      <c r="B12064" t="s">
        <v>1298</v>
      </c>
      <c r="C12064" t="s">
        <v>675</v>
      </c>
      <c r="D12064" t="s">
        <v>1425</v>
      </c>
      <c r="E12064" t="s">
        <v>187</v>
      </c>
      <c r="F12064">
        <v>2010</v>
      </c>
      <c r="G12064">
        <v>0.189</v>
      </c>
    </row>
    <row r="12065" spans="1:7">
      <c r="A12065" t="s">
        <v>1297</v>
      </c>
      <c r="B12065" t="s">
        <v>1298</v>
      </c>
      <c r="C12065" t="s">
        <v>675</v>
      </c>
      <c r="D12065" t="s">
        <v>1425</v>
      </c>
      <c r="E12065" t="s">
        <v>187</v>
      </c>
      <c r="F12065">
        <v>2012</v>
      </c>
      <c r="G12065">
        <v>0.19900000000000001</v>
      </c>
    </row>
    <row r="12066" spans="1:7">
      <c r="A12066" t="s">
        <v>1297</v>
      </c>
      <c r="B12066" t="s">
        <v>1298</v>
      </c>
      <c r="C12066" t="s">
        <v>675</v>
      </c>
      <c r="D12066" t="s">
        <v>1425</v>
      </c>
      <c r="E12066" t="s">
        <v>187</v>
      </c>
      <c r="F12066">
        <v>2016</v>
      </c>
      <c r="G12066">
        <v>0.16300000000000001</v>
      </c>
    </row>
    <row r="12067" spans="1:7">
      <c r="A12067" t="s">
        <v>1297</v>
      </c>
      <c r="B12067" t="s">
        <v>1298</v>
      </c>
      <c r="C12067" t="s">
        <v>675</v>
      </c>
      <c r="D12067" t="s">
        <v>1425</v>
      </c>
      <c r="E12067" t="s">
        <v>187</v>
      </c>
      <c r="F12067">
        <v>2020</v>
      </c>
      <c r="G12067">
        <v>0.143758</v>
      </c>
    </row>
    <row r="12068" spans="1:7">
      <c r="A12068" t="s">
        <v>1297</v>
      </c>
      <c r="B12068" t="s">
        <v>1298</v>
      </c>
      <c r="C12068" t="s">
        <v>661</v>
      </c>
      <c r="D12068" t="s">
        <v>1425</v>
      </c>
      <c r="E12068" t="s">
        <v>187</v>
      </c>
      <c r="F12068">
        <v>2005</v>
      </c>
      <c r="G12068">
        <v>28.536999999999999</v>
      </c>
    </row>
    <row r="12069" spans="1:7">
      <c r="A12069" t="s">
        <v>1297</v>
      </c>
      <c r="B12069" t="s">
        <v>1298</v>
      </c>
      <c r="C12069" t="s">
        <v>661</v>
      </c>
      <c r="D12069" t="s">
        <v>1425</v>
      </c>
      <c r="E12069" t="s">
        <v>187</v>
      </c>
      <c r="F12069">
        <v>2010</v>
      </c>
      <c r="G12069">
        <v>19.553000000000001</v>
      </c>
    </row>
    <row r="12070" spans="1:7">
      <c r="A12070" t="s">
        <v>1297</v>
      </c>
      <c r="B12070" t="s">
        <v>1298</v>
      </c>
      <c r="C12070" t="s">
        <v>661</v>
      </c>
      <c r="D12070" t="s">
        <v>1425</v>
      </c>
      <c r="E12070" t="s">
        <v>187</v>
      </c>
      <c r="F12070">
        <v>2012</v>
      </c>
      <c r="G12070">
        <v>10.017386</v>
      </c>
    </row>
    <row r="12071" spans="1:7">
      <c r="A12071" t="s">
        <v>1297</v>
      </c>
      <c r="B12071" t="s">
        <v>1298</v>
      </c>
      <c r="C12071" t="s">
        <v>661</v>
      </c>
      <c r="D12071" t="s">
        <v>1425</v>
      </c>
      <c r="E12071" t="s">
        <v>187</v>
      </c>
      <c r="F12071">
        <v>2016</v>
      </c>
      <c r="G12071">
        <v>8.7425569999999997</v>
      </c>
    </row>
    <row r="12072" spans="1:7">
      <c r="A12072" t="s">
        <v>1297</v>
      </c>
      <c r="B12072" t="s">
        <v>1298</v>
      </c>
      <c r="C12072" t="s">
        <v>661</v>
      </c>
      <c r="D12072" t="s">
        <v>1425</v>
      </c>
      <c r="E12072" t="s">
        <v>187</v>
      </c>
      <c r="F12072">
        <v>2020</v>
      </c>
      <c r="G12072">
        <v>0.86784099999999997</v>
      </c>
    </row>
    <row r="12073" spans="1:7">
      <c r="A12073" t="s">
        <v>1297</v>
      </c>
      <c r="B12073" t="s">
        <v>1298</v>
      </c>
      <c r="C12073" t="s">
        <v>682</v>
      </c>
      <c r="D12073" t="s">
        <v>1425</v>
      </c>
      <c r="E12073" t="s">
        <v>187</v>
      </c>
      <c r="F12073">
        <v>2016</v>
      </c>
      <c r="G12073">
        <v>0.58199999999999996</v>
      </c>
    </row>
    <row r="12074" spans="1:7">
      <c r="A12074" t="s">
        <v>1297</v>
      </c>
      <c r="B12074" t="s">
        <v>1298</v>
      </c>
      <c r="C12074" t="s">
        <v>682</v>
      </c>
      <c r="D12074" t="s">
        <v>1425</v>
      </c>
      <c r="E12074" t="s">
        <v>187</v>
      </c>
      <c r="F12074">
        <v>2020</v>
      </c>
      <c r="G12074">
        <v>5.7000000000000002E-2</v>
      </c>
    </row>
    <row r="12075" spans="1:7">
      <c r="A12075" t="s">
        <v>1297</v>
      </c>
      <c r="B12075" t="s">
        <v>1298</v>
      </c>
      <c r="C12075" t="s">
        <v>660</v>
      </c>
      <c r="D12075" t="s">
        <v>1425</v>
      </c>
      <c r="E12075" t="s">
        <v>187</v>
      </c>
      <c r="F12075">
        <v>2005</v>
      </c>
      <c r="G12075">
        <v>12.679</v>
      </c>
    </row>
    <row r="12076" spans="1:7">
      <c r="A12076" t="s">
        <v>1297</v>
      </c>
      <c r="B12076" t="s">
        <v>1298</v>
      </c>
      <c r="C12076" t="s">
        <v>660</v>
      </c>
      <c r="D12076" t="s">
        <v>1425</v>
      </c>
      <c r="E12076" t="s">
        <v>187</v>
      </c>
      <c r="F12076">
        <v>2010</v>
      </c>
      <c r="G12076">
        <v>14.157</v>
      </c>
    </row>
    <row r="12077" spans="1:7">
      <c r="A12077" t="s">
        <v>1297</v>
      </c>
      <c r="B12077" t="s">
        <v>1298</v>
      </c>
      <c r="C12077" t="s">
        <v>660</v>
      </c>
      <c r="D12077" t="s">
        <v>1425</v>
      </c>
      <c r="E12077" t="s">
        <v>187</v>
      </c>
      <c r="F12077">
        <v>2012</v>
      </c>
      <c r="G12077">
        <v>10.146000000000001</v>
      </c>
    </row>
    <row r="12078" spans="1:7">
      <c r="A12078" t="s">
        <v>1297</v>
      </c>
      <c r="B12078" t="s">
        <v>1298</v>
      </c>
      <c r="C12078" t="s">
        <v>660</v>
      </c>
      <c r="D12078" t="s">
        <v>1425</v>
      </c>
      <c r="E12078" t="s">
        <v>187</v>
      </c>
      <c r="F12078">
        <v>2016</v>
      </c>
      <c r="G12078">
        <v>9.516</v>
      </c>
    </row>
    <row r="12079" spans="1:7">
      <c r="A12079" t="s">
        <v>1297</v>
      </c>
      <c r="B12079" t="s">
        <v>1298</v>
      </c>
      <c r="C12079" t="s">
        <v>660</v>
      </c>
      <c r="D12079" t="s">
        <v>1425</v>
      </c>
      <c r="E12079" t="s">
        <v>187</v>
      </c>
      <c r="F12079">
        <v>2020</v>
      </c>
      <c r="G12079">
        <v>7.9219999999999997</v>
      </c>
    </row>
    <row r="12080" spans="1:7">
      <c r="A12080" t="s">
        <v>1297</v>
      </c>
      <c r="B12080" t="s">
        <v>1298</v>
      </c>
      <c r="C12080" t="s">
        <v>1302</v>
      </c>
      <c r="D12080" t="s">
        <v>1425</v>
      </c>
      <c r="E12080" t="s">
        <v>187</v>
      </c>
      <c r="F12080">
        <v>2005</v>
      </c>
      <c r="G12080">
        <v>0.41099999999999998</v>
      </c>
    </row>
    <row r="12081" spans="1:7">
      <c r="A12081" t="s">
        <v>1297</v>
      </c>
      <c r="B12081" t="s">
        <v>1298</v>
      </c>
      <c r="C12081" t="s">
        <v>1302</v>
      </c>
      <c r="D12081" t="s">
        <v>1425</v>
      </c>
      <c r="E12081" t="s">
        <v>187</v>
      </c>
      <c r="F12081">
        <v>2010</v>
      </c>
      <c r="G12081">
        <v>0.23100000000000001</v>
      </c>
    </row>
    <row r="12082" spans="1:7">
      <c r="A12082" t="s">
        <v>1297</v>
      </c>
      <c r="B12082" t="s">
        <v>1298</v>
      </c>
      <c r="C12082" t="s">
        <v>1302</v>
      </c>
      <c r="D12082" t="s">
        <v>1425</v>
      </c>
      <c r="E12082" t="s">
        <v>187</v>
      </c>
      <c r="F12082">
        <v>2012</v>
      </c>
      <c r="G12082">
        <v>0.19500000000000001</v>
      </c>
    </row>
    <row r="12083" spans="1:7">
      <c r="A12083" t="s">
        <v>1297</v>
      </c>
      <c r="B12083" t="s">
        <v>1298</v>
      </c>
      <c r="C12083" t="s">
        <v>1302</v>
      </c>
      <c r="D12083" t="s">
        <v>1425</v>
      </c>
      <c r="E12083" t="s">
        <v>187</v>
      </c>
      <c r="F12083">
        <v>2016</v>
      </c>
      <c r="G12083">
        <v>4.5999999999999999E-2</v>
      </c>
    </row>
    <row r="12084" spans="1:7">
      <c r="A12084" t="s">
        <v>1297</v>
      </c>
      <c r="B12084" t="s">
        <v>1298</v>
      </c>
      <c r="C12084" t="s">
        <v>685</v>
      </c>
      <c r="D12084" t="s">
        <v>1425</v>
      </c>
      <c r="E12084" t="s">
        <v>187</v>
      </c>
      <c r="F12084">
        <v>2005</v>
      </c>
      <c r="G12084">
        <v>2.7770000000000001</v>
      </c>
    </row>
    <row r="12085" spans="1:7">
      <c r="A12085" t="s">
        <v>1297</v>
      </c>
      <c r="B12085" t="s">
        <v>1298</v>
      </c>
      <c r="C12085" t="s">
        <v>685</v>
      </c>
      <c r="D12085" t="s">
        <v>1425</v>
      </c>
      <c r="E12085" t="s">
        <v>187</v>
      </c>
      <c r="F12085">
        <v>2010</v>
      </c>
      <c r="G12085">
        <v>0.67200000000000004</v>
      </c>
    </row>
    <row r="12086" spans="1:7">
      <c r="A12086" t="s">
        <v>1297</v>
      </c>
      <c r="B12086" t="s">
        <v>1298</v>
      </c>
      <c r="C12086" t="s">
        <v>685</v>
      </c>
      <c r="D12086" t="s">
        <v>1425</v>
      </c>
      <c r="E12086" t="s">
        <v>187</v>
      </c>
      <c r="F12086">
        <v>2012</v>
      </c>
      <c r="G12086">
        <v>0.61499999999999999</v>
      </c>
    </row>
    <row r="12087" spans="1:7">
      <c r="A12087" t="s">
        <v>1297</v>
      </c>
      <c r="B12087" t="s">
        <v>1298</v>
      </c>
      <c r="C12087" t="s">
        <v>670</v>
      </c>
      <c r="D12087" t="s">
        <v>1425</v>
      </c>
      <c r="E12087" t="s">
        <v>187</v>
      </c>
      <c r="F12087">
        <v>2005</v>
      </c>
      <c r="G12087">
        <v>41.103000000000002</v>
      </c>
    </row>
    <row r="12088" spans="1:7">
      <c r="A12088" t="s">
        <v>1297</v>
      </c>
      <c r="B12088" t="s">
        <v>1298</v>
      </c>
      <c r="C12088" t="s">
        <v>672</v>
      </c>
      <c r="D12088" t="s">
        <v>1425</v>
      </c>
      <c r="E12088" t="s">
        <v>187</v>
      </c>
      <c r="F12088">
        <v>2005</v>
      </c>
      <c r="G12088">
        <v>5.0149999999999997</v>
      </c>
    </row>
    <row r="12089" spans="1:7">
      <c r="A12089" t="s">
        <v>1297</v>
      </c>
      <c r="B12089" t="s">
        <v>1298</v>
      </c>
      <c r="C12089" t="s">
        <v>672</v>
      </c>
      <c r="D12089" t="s">
        <v>1425</v>
      </c>
      <c r="E12089" t="s">
        <v>187</v>
      </c>
      <c r="F12089">
        <v>2010</v>
      </c>
      <c r="G12089">
        <v>2.8679999999999999</v>
      </c>
    </row>
    <row r="12090" spans="1:7">
      <c r="A12090" t="s">
        <v>1297</v>
      </c>
      <c r="B12090" t="s">
        <v>1298</v>
      </c>
      <c r="C12090" t="s">
        <v>672</v>
      </c>
      <c r="D12090" t="s">
        <v>1425</v>
      </c>
      <c r="E12090" t="s">
        <v>187</v>
      </c>
      <c r="F12090">
        <v>2012</v>
      </c>
      <c r="G12090">
        <v>2.1110000000000002</v>
      </c>
    </row>
    <row r="12091" spans="1:7">
      <c r="A12091" t="s">
        <v>1297</v>
      </c>
      <c r="B12091" t="s">
        <v>1298</v>
      </c>
      <c r="C12091" t="s">
        <v>672</v>
      </c>
      <c r="D12091" t="s">
        <v>1425</v>
      </c>
      <c r="E12091" t="s">
        <v>187</v>
      </c>
      <c r="F12091">
        <v>2016</v>
      </c>
      <c r="G12091">
        <v>0.19600000000000001</v>
      </c>
    </row>
    <row r="12092" spans="1:7">
      <c r="A12092" t="s">
        <v>1297</v>
      </c>
      <c r="B12092" t="s">
        <v>1298</v>
      </c>
      <c r="C12092" t="s">
        <v>672</v>
      </c>
      <c r="D12092" t="s">
        <v>1425</v>
      </c>
      <c r="E12092" t="s">
        <v>187</v>
      </c>
      <c r="F12092">
        <v>2020</v>
      </c>
      <c r="G12092">
        <v>0.210872</v>
      </c>
    </row>
    <row r="12093" spans="1:7">
      <c r="A12093" t="s">
        <v>1297</v>
      </c>
      <c r="B12093" t="s">
        <v>1298</v>
      </c>
      <c r="C12093" t="s">
        <v>670</v>
      </c>
      <c r="D12093" t="s">
        <v>1425</v>
      </c>
      <c r="E12093" t="s">
        <v>187</v>
      </c>
      <c r="F12093">
        <v>2010</v>
      </c>
      <c r="G12093">
        <v>15.773999999999999</v>
      </c>
    </row>
    <row r="12094" spans="1:7">
      <c r="A12094" t="s">
        <v>1297</v>
      </c>
      <c r="B12094" t="s">
        <v>1298</v>
      </c>
      <c r="C12094" t="s">
        <v>670</v>
      </c>
      <c r="D12094" t="s">
        <v>1425</v>
      </c>
      <c r="E12094" t="s">
        <v>187</v>
      </c>
      <c r="F12094">
        <v>2012</v>
      </c>
      <c r="G12094">
        <v>15.829000000000001</v>
      </c>
    </row>
    <row r="12095" spans="1:7">
      <c r="A12095" t="s">
        <v>1297</v>
      </c>
      <c r="B12095" t="s">
        <v>1298</v>
      </c>
      <c r="C12095" t="s">
        <v>670</v>
      </c>
      <c r="D12095" t="s">
        <v>1425</v>
      </c>
      <c r="E12095" t="s">
        <v>187</v>
      </c>
      <c r="F12095">
        <v>2016</v>
      </c>
      <c r="G12095">
        <v>12.670045</v>
      </c>
    </row>
    <row r="12096" spans="1:7">
      <c r="A12096" t="s">
        <v>1297</v>
      </c>
      <c r="B12096" t="s">
        <v>1298</v>
      </c>
      <c r="C12096" t="s">
        <v>670</v>
      </c>
      <c r="D12096" t="s">
        <v>1425</v>
      </c>
      <c r="E12096" t="s">
        <v>187</v>
      </c>
      <c r="F12096">
        <v>2020</v>
      </c>
      <c r="G12096">
        <v>11.365282000000001</v>
      </c>
    </row>
    <row r="12097" spans="1:7">
      <c r="A12097" t="s">
        <v>1297</v>
      </c>
      <c r="B12097" t="s">
        <v>1298</v>
      </c>
      <c r="C12097" t="s">
        <v>289</v>
      </c>
      <c r="D12097" t="s">
        <v>1425</v>
      </c>
      <c r="E12097" t="s">
        <v>187</v>
      </c>
      <c r="F12097">
        <v>2005</v>
      </c>
      <c r="G12097">
        <v>4.6459999999999999</v>
      </c>
    </row>
    <row r="12098" spans="1:7">
      <c r="A12098" t="s">
        <v>1297</v>
      </c>
      <c r="B12098" t="s">
        <v>1298</v>
      </c>
      <c r="C12098" t="s">
        <v>289</v>
      </c>
      <c r="D12098" t="s">
        <v>1425</v>
      </c>
      <c r="E12098" t="s">
        <v>187</v>
      </c>
      <c r="F12098">
        <v>2010</v>
      </c>
      <c r="G12098">
        <v>2.6960000000000002</v>
      </c>
    </row>
    <row r="12099" spans="1:7">
      <c r="A12099" t="s">
        <v>1297</v>
      </c>
      <c r="B12099" t="s">
        <v>1298</v>
      </c>
      <c r="C12099" t="s">
        <v>289</v>
      </c>
      <c r="D12099" t="s">
        <v>1425</v>
      </c>
      <c r="E12099" t="s">
        <v>187</v>
      </c>
      <c r="F12099">
        <v>2012</v>
      </c>
      <c r="G12099">
        <v>1.2629999999999999</v>
      </c>
    </row>
    <row r="12100" spans="1:7">
      <c r="A12100" t="s">
        <v>1297</v>
      </c>
      <c r="B12100" t="s">
        <v>1298</v>
      </c>
      <c r="C12100" t="s">
        <v>289</v>
      </c>
      <c r="D12100" t="s">
        <v>1425</v>
      </c>
      <c r="E12100" t="s">
        <v>187</v>
      </c>
      <c r="F12100">
        <v>2016</v>
      </c>
      <c r="G12100">
        <v>0.247</v>
      </c>
    </row>
    <row r="12101" spans="1:7">
      <c r="A12101" t="s">
        <v>1297</v>
      </c>
      <c r="B12101" t="s">
        <v>1298</v>
      </c>
      <c r="C12101" t="s">
        <v>289</v>
      </c>
      <c r="D12101" t="s">
        <v>1425</v>
      </c>
      <c r="E12101" t="s">
        <v>187</v>
      </c>
      <c r="F12101">
        <v>2020</v>
      </c>
      <c r="G12101">
        <v>0.1469</v>
      </c>
    </row>
    <row r="12102" spans="1:7">
      <c r="A12102" t="s">
        <v>1297</v>
      </c>
      <c r="B12102" t="s">
        <v>1298</v>
      </c>
      <c r="C12102" t="s">
        <v>667</v>
      </c>
      <c r="D12102" t="s">
        <v>1425</v>
      </c>
      <c r="E12102" t="s">
        <v>187</v>
      </c>
      <c r="F12102">
        <v>2005</v>
      </c>
      <c r="G12102">
        <v>1.4773E-2</v>
      </c>
    </row>
    <row r="12103" spans="1:7">
      <c r="A12103" t="s">
        <v>1297</v>
      </c>
      <c r="B12103" t="s">
        <v>1298</v>
      </c>
      <c r="C12103" t="s">
        <v>667</v>
      </c>
      <c r="D12103" t="s">
        <v>1425</v>
      </c>
      <c r="E12103" t="s">
        <v>187</v>
      </c>
      <c r="F12103">
        <v>2010</v>
      </c>
      <c r="G12103">
        <v>1.1377E-2</v>
      </c>
    </row>
    <row r="12104" spans="1:7">
      <c r="A12104" t="s">
        <v>1297</v>
      </c>
      <c r="B12104" t="s">
        <v>1298</v>
      </c>
      <c r="C12104" t="s">
        <v>667</v>
      </c>
      <c r="D12104" t="s">
        <v>1425</v>
      </c>
      <c r="E12104" t="s">
        <v>187</v>
      </c>
      <c r="F12104">
        <v>2012</v>
      </c>
      <c r="G12104">
        <v>1.2609E-2</v>
      </c>
    </row>
    <row r="12105" spans="1:7">
      <c r="A12105" t="s">
        <v>1297</v>
      </c>
      <c r="B12105" t="s">
        <v>1298</v>
      </c>
      <c r="C12105" t="s">
        <v>667</v>
      </c>
      <c r="D12105" t="s">
        <v>1425</v>
      </c>
      <c r="E12105" t="s">
        <v>187</v>
      </c>
      <c r="F12105">
        <v>2016</v>
      </c>
      <c r="G12105">
        <v>1.7321E-2</v>
      </c>
    </row>
    <row r="12106" spans="1:7">
      <c r="A12106" t="s">
        <v>1297</v>
      </c>
      <c r="B12106" t="s">
        <v>1298</v>
      </c>
      <c r="C12106" t="s">
        <v>667</v>
      </c>
      <c r="D12106" t="s">
        <v>1425</v>
      </c>
      <c r="E12106" t="s">
        <v>187</v>
      </c>
      <c r="F12106">
        <v>2020</v>
      </c>
      <c r="G12106">
        <v>1.0456E-2</v>
      </c>
    </row>
    <row r="12107" spans="1:7">
      <c r="A12107" t="s">
        <v>1297</v>
      </c>
      <c r="B12107" t="s">
        <v>1298</v>
      </c>
      <c r="C12107" t="s">
        <v>1301</v>
      </c>
      <c r="D12107" t="s">
        <v>1425</v>
      </c>
      <c r="E12107" t="s">
        <v>187</v>
      </c>
      <c r="F12107">
        <v>2005</v>
      </c>
      <c r="G12107">
        <v>1.476</v>
      </c>
    </row>
    <row r="12108" spans="1:7">
      <c r="A12108" t="s">
        <v>1297</v>
      </c>
      <c r="B12108" t="s">
        <v>1298</v>
      </c>
      <c r="C12108" t="s">
        <v>1301</v>
      </c>
      <c r="D12108" t="s">
        <v>1425</v>
      </c>
      <c r="E12108" t="s">
        <v>187</v>
      </c>
      <c r="F12108">
        <v>2010</v>
      </c>
      <c r="G12108">
        <v>0.93899999999999995</v>
      </c>
    </row>
    <row r="12109" spans="1:7">
      <c r="A12109" t="s">
        <v>1297</v>
      </c>
      <c r="B12109" t="s">
        <v>1298</v>
      </c>
      <c r="C12109" t="s">
        <v>1301</v>
      </c>
      <c r="D12109" t="s">
        <v>1425</v>
      </c>
      <c r="E12109" t="s">
        <v>187</v>
      </c>
      <c r="F12109">
        <v>2012</v>
      </c>
      <c r="G12109">
        <v>1.24</v>
      </c>
    </row>
    <row r="12110" spans="1:7">
      <c r="A12110" t="s">
        <v>1297</v>
      </c>
      <c r="B12110" t="s">
        <v>1298</v>
      </c>
      <c r="C12110" t="s">
        <v>1301</v>
      </c>
      <c r="D12110" t="s">
        <v>1425</v>
      </c>
      <c r="E12110" t="s">
        <v>187</v>
      </c>
      <c r="F12110">
        <v>2016</v>
      </c>
      <c r="G12110">
        <v>1.73</v>
      </c>
    </row>
    <row r="12111" spans="1:7">
      <c r="A12111" t="s">
        <v>1297</v>
      </c>
      <c r="B12111" t="s">
        <v>1298</v>
      </c>
      <c r="C12111" t="s">
        <v>1301</v>
      </c>
      <c r="D12111" t="s">
        <v>1425</v>
      </c>
      <c r="E12111" t="s">
        <v>187</v>
      </c>
      <c r="F12111">
        <v>2020</v>
      </c>
      <c r="G12111">
        <v>2.0862409999999998</v>
      </c>
    </row>
    <row r="12112" spans="1:7">
      <c r="A12112" t="s">
        <v>1297</v>
      </c>
      <c r="B12112" t="s">
        <v>1298</v>
      </c>
      <c r="C12112" t="s">
        <v>662</v>
      </c>
      <c r="D12112" t="s">
        <v>1425</v>
      </c>
      <c r="E12112" t="s">
        <v>187</v>
      </c>
      <c r="F12112">
        <v>2005</v>
      </c>
      <c r="G12112">
        <v>1.4999999999999999E-2</v>
      </c>
    </row>
    <row r="12113" spans="1:7">
      <c r="A12113" t="s">
        <v>1297</v>
      </c>
      <c r="B12113" t="s">
        <v>1298</v>
      </c>
      <c r="C12113" t="s">
        <v>662</v>
      </c>
      <c r="D12113" t="s">
        <v>1425</v>
      </c>
      <c r="E12113" t="s">
        <v>187</v>
      </c>
      <c r="F12113">
        <v>2010</v>
      </c>
      <c r="G12113">
        <v>3.5999999999999997E-2</v>
      </c>
    </row>
    <row r="12114" spans="1:7">
      <c r="A12114" t="s">
        <v>1297</v>
      </c>
      <c r="B12114" t="s">
        <v>1298</v>
      </c>
      <c r="C12114" t="s">
        <v>662</v>
      </c>
      <c r="D12114" t="s">
        <v>1425</v>
      </c>
      <c r="E12114" t="s">
        <v>187</v>
      </c>
      <c r="F12114">
        <v>2012</v>
      </c>
      <c r="G12114">
        <v>3.5999999999999997E-2</v>
      </c>
    </row>
    <row r="12115" spans="1:7">
      <c r="A12115" t="s">
        <v>1297</v>
      </c>
      <c r="B12115" t="s">
        <v>1298</v>
      </c>
      <c r="C12115" t="s">
        <v>662</v>
      </c>
      <c r="D12115" t="s">
        <v>1425</v>
      </c>
      <c r="E12115" t="s">
        <v>187</v>
      </c>
      <c r="F12115">
        <v>2016</v>
      </c>
      <c r="G12115">
        <v>1.0999999999999999E-2</v>
      </c>
    </row>
    <row r="12116" spans="1:7">
      <c r="A12116" t="s">
        <v>1297</v>
      </c>
      <c r="B12116" t="s">
        <v>1298</v>
      </c>
      <c r="C12116" t="s">
        <v>662</v>
      </c>
      <c r="D12116" t="s">
        <v>1425</v>
      </c>
      <c r="E12116" t="s">
        <v>187</v>
      </c>
      <c r="F12116">
        <v>2020</v>
      </c>
      <c r="G12116">
        <v>1.4999999999999999E-2</v>
      </c>
    </row>
    <row r="12117" spans="1:7">
      <c r="A12117" t="s">
        <v>1297</v>
      </c>
      <c r="B12117" t="s">
        <v>1298</v>
      </c>
      <c r="C12117" t="s">
        <v>676</v>
      </c>
      <c r="D12117" t="s">
        <v>1425</v>
      </c>
      <c r="E12117" t="s">
        <v>187</v>
      </c>
      <c r="F12117">
        <v>2005</v>
      </c>
      <c r="G12117">
        <v>0.25700000000000001</v>
      </c>
    </row>
    <row r="12118" spans="1:7">
      <c r="A12118" t="s">
        <v>1297</v>
      </c>
      <c r="B12118" t="s">
        <v>1298</v>
      </c>
      <c r="C12118" t="s">
        <v>676</v>
      </c>
      <c r="D12118" t="s">
        <v>1425</v>
      </c>
      <c r="E12118" t="s">
        <v>187</v>
      </c>
      <c r="F12118">
        <v>2010</v>
      </c>
      <c r="G12118">
        <v>6.3789999999999996</v>
      </c>
    </row>
    <row r="12119" spans="1:7">
      <c r="A12119" t="s">
        <v>1297</v>
      </c>
      <c r="B12119" t="s">
        <v>1298</v>
      </c>
      <c r="C12119" t="s">
        <v>676</v>
      </c>
      <c r="D12119" t="s">
        <v>1425</v>
      </c>
      <c r="E12119" t="s">
        <v>187</v>
      </c>
      <c r="F12119">
        <v>2012</v>
      </c>
      <c r="G12119">
        <v>4.8099999999999996</v>
      </c>
    </row>
    <row r="12120" spans="1:7">
      <c r="A12120" t="s">
        <v>1297</v>
      </c>
      <c r="B12120" t="s">
        <v>1298</v>
      </c>
      <c r="C12120" t="s">
        <v>676</v>
      </c>
      <c r="D12120" t="s">
        <v>1425</v>
      </c>
      <c r="E12120" t="s">
        <v>187</v>
      </c>
      <c r="F12120">
        <v>2016</v>
      </c>
      <c r="G12120">
        <v>4.649</v>
      </c>
    </row>
    <row r="12121" spans="1:7">
      <c r="A12121" t="s">
        <v>1297</v>
      </c>
      <c r="B12121" t="s">
        <v>1298</v>
      </c>
      <c r="C12121" t="s">
        <v>676</v>
      </c>
      <c r="D12121" t="s">
        <v>1425</v>
      </c>
      <c r="E12121" t="s">
        <v>187</v>
      </c>
      <c r="F12121">
        <v>2020</v>
      </c>
      <c r="G12121">
        <v>0.39</v>
      </c>
    </row>
    <row r="12122" spans="1:7">
      <c r="A12122" t="s">
        <v>1297</v>
      </c>
      <c r="B12122" t="s">
        <v>1298</v>
      </c>
      <c r="C12122" t="s">
        <v>656</v>
      </c>
      <c r="D12122" t="s">
        <v>1425</v>
      </c>
      <c r="E12122" t="s">
        <v>187</v>
      </c>
      <c r="F12122">
        <v>2010</v>
      </c>
      <c r="G12122">
        <v>8.14</v>
      </c>
    </row>
    <row r="12123" spans="1:7">
      <c r="A12123" t="s">
        <v>1297</v>
      </c>
      <c r="B12123" t="s">
        <v>1298</v>
      </c>
      <c r="C12123" t="s">
        <v>656</v>
      </c>
      <c r="D12123" t="s">
        <v>1425</v>
      </c>
      <c r="E12123" t="s">
        <v>187</v>
      </c>
      <c r="F12123">
        <v>2012</v>
      </c>
      <c r="G12123">
        <v>7.4059999999999997</v>
      </c>
    </row>
    <row r="12124" spans="1:7">
      <c r="A12124" t="s">
        <v>1297</v>
      </c>
      <c r="B12124" t="s">
        <v>1298</v>
      </c>
      <c r="C12124" t="s">
        <v>656</v>
      </c>
      <c r="D12124" t="s">
        <v>1425</v>
      </c>
      <c r="E12124" t="s">
        <v>187</v>
      </c>
      <c r="F12124">
        <v>2016</v>
      </c>
      <c r="G12124">
        <v>5.1660000000000004</v>
      </c>
    </row>
    <row r="12125" spans="1:7">
      <c r="A12125" t="s">
        <v>1297</v>
      </c>
      <c r="B12125" t="s">
        <v>1298</v>
      </c>
      <c r="C12125" t="s">
        <v>656</v>
      </c>
      <c r="D12125" t="s">
        <v>1425</v>
      </c>
      <c r="E12125" t="s">
        <v>187</v>
      </c>
      <c r="F12125">
        <v>2020</v>
      </c>
      <c r="G12125">
        <v>4.6369999999999996</v>
      </c>
    </row>
    <row r="12126" spans="1:7">
      <c r="A12126" t="s">
        <v>1297</v>
      </c>
      <c r="B12126" t="s">
        <v>1298</v>
      </c>
      <c r="C12126" t="s">
        <v>658</v>
      </c>
      <c r="D12126" t="s">
        <v>1425</v>
      </c>
      <c r="E12126" t="s">
        <v>187</v>
      </c>
      <c r="F12126">
        <v>2005</v>
      </c>
      <c r="G12126">
        <v>2.3969999999999998</v>
      </c>
    </row>
    <row r="12127" spans="1:7">
      <c r="A12127" t="s">
        <v>1297</v>
      </c>
      <c r="B12127" t="s">
        <v>1298</v>
      </c>
      <c r="C12127" t="s">
        <v>658</v>
      </c>
      <c r="D12127" t="s">
        <v>1425</v>
      </c>
      <c r="E12127" t="s">
        <v>187</v>
      </c>
      <c r="F12127">
        <v>2010</v>
      </c>
      <c r="G12127">
        <v>1.7529999999999999</v>
      </c>
    </row>
    <row r="12128" spans="1:7">
      <c r="A12128" t="s">
        <v>1297</v>
      </c>
      <c r="B12128" t="s">
        <v>1298</v>
      </c>
      <c r="C12128" t="s">
        <v>658</v>
      </c>
      <c r="D12128" t="s">
        <v>1425</v>
      </c>
      <c r="E12128" t="s">
        <v>187</v>
      </c>
      <c r="F12128">
        <v>2012</v>
      </c>
      <c r="G12128">
        <v>1.1399999999999999</v>
      </c>
    </row>
    <row r="12129" spans="1:7">
      <c r="A12129" t="s">
        <v>1297</v>
      </c>
      <c r="B12129" t="s">
        <v>1298</v>
      </c>
      <c r="C12129" t="s">
        <v>658</v>
      </c>
      <c r="D12129" t="s">
        <v>1425</v>
      </c>
      <c r="E12129" t="s">
        <v>187</v>
      </c>
      <c r="F12129">
        <v>2016</v>
      </c>
      <c r="G12129">
        <v>0.63500000000000001</v>
      </c>
    </row>
    <row r="12130" spans="1:7">
      <c r="A12130" t="s">
        <v>1297</v>
      </c>
      <c r="B12130" t="s">
        <v>1298</v>
      </c>
      <c r="C12130" t="s">
        <v>658</v>
      </c>
      <c r="D12130" t="s">
        <v>1425</v>
      </c>
      <c r="E12130" t="s">
        <v>187</v>
      </c>
      <c r="F12130">
        <v>2020</v>
      </c>
      <c r="G12130">
        <v>0.221</v>
      </c>
    </row>
    <row r="12131" spans="1:7">
      <c r="A12131" t="s">
        <v>1297</v>
      </c>
      <c r="B12131" t="s">
        <v>1298</v>
      </c>
      <c r="C12131" t="s">
        <v>673</v>
      </c>
      <c r="D12131" t="s">
        <v>1425</v>
      </c>
      <c r="E12131" t="s">
        <v>187</v>
      </c>
      <c r="F12131">
        <v>2005</v>
      </c>
      <c r="G12131">
        <v>18.588000000000001</v>
      </c>
    </row>
    <row r="12132" spans="1:7">
      <c r="A12132" t="s">
        <v>1297</v>
      </c>
      <c r="B12132" t="s">
        <v>1298</v>
      </c>
      <c r="C12132" t="s">
        <v>673</v>
      </c>
      <c r="D12132" t="s">
        <v>1425</v>
      </c>
      <c r="E12132" t="s">
        <v>187</v>
      </c>
      <c r="F12132">
        <v>2010</v>
      </c>
      <c r="G12132">
        <v>9.0510000000000002</v>
      </c>
    </row>
    <row r="12133" spans="1:7">
      <c r="A12133" t="s">
        <v>1297</v>
      </c>
      <c r="B12133" t="s">
        <v>1298</v>
      </c>
      <c r="C12133" t="s">
        <v>673</v>
      </c>
      <c r="D12133" t="s">
        <v>1425</v>
      </c>
      <c r="E12133" t="s">
        <v>187</v>
      </c>
      <c r="F12133">
        <v>2012</v>
      </c>
      <c r="G12133">
        <v>8.1769999999999996</v>
      </c>
    </row>
    <row r="12134" spans="1:7">
      <c r="A12134" t="s">
        <v>1297</v>
      </c>
      <c r="B12134" t="s">
        <v>1298</v>
      </c>
      <c r="C12134" t="s">
        <v>673</v>
      </c>
      <c r="D12134" t="s">
        <v>1425</v>
      </c>
      <c r="E12134" t="s">
        <v>187</v>
      </c>
      <c r="F12134">
        <v>2016</v>
      </c>
      <c r="G12134">
        <v>6.5469999999999997</v>
      </c>
    </row>
    <row r="12135" spans="1:7">
      <c r="A12135" t="s">
        <v>1297</v>
      </c>
      <c r="B12135" t="s">
        <v>1298</v>
      </c>
      <c r="C12135" t="s">
        <v>673</v>
      </c>
      <c r="D12135" t="s">
        <v>1425</v>
      </c>
      <c r="E12135" t="s">
        <v>187</v>
      </c>
      <c r="F12135">
        <v>2020</v>
      </c>
      <c r="G12135">
        <v>3.239179</v>
      </c>
    </row>
    <row r="12136" spans="1:7">
      <c r="A12136" t="s">
        <v>1297</v>
      </c>
      <c r="B12136" t="s">
        <v>1298</v>
      </c>
      <c r="C12136" t="s">
        <v>656</v>
      </c>
      <c r="D12136" t="s">
        <v>1425</v>
      </c>
      <c r="E12136" t="s">
        <v>187</v>
      </c>
      <c r="F12136">
        <v>2005</v>
      </c>
      <c r="G12136">
        <v>9.3190000000000008</v>
      </c>
    </row>
    <row r="12137" spans="1:7">
      <c r="A12137" t="s">
        <v>1297</v>
      </c>
      <c r="B12137" t="s">
        <v>1298</v>
      </c>
      <c r="C12137" t="s">
        <v>674</v>
      </c>
      <c r="D12137" t="s">
        <v>1425</v>
      </c>
      <c r="E12137" t="s">
        <v>187</v>
      </c>
      <c r="F12137">
        <v>2005</v>
      </c>
      <c r="G12137">
        <v>10.458</v>
      </c>
    </row>
    <row r="12138" spans="1:7">
      <c r="A12138" t="s">
        <v>1297</v>
      </c>
      <c r="B12138" t="s">
        <v>1298</v>
      </c>
      <c r="C12138" t="s">
        <v>674</v>
      </c>
      <c r="D12138" t="s">
        <v>1425</v>
      </c>
      <c r="E12138" t="s">
        <v>187</v>
      </c>
      <c r="F12138">
        <v>2010</v>
      </c>
      <c r="G12138">
        <v>14.975</v>
      </c>
    </row>
    <row r="12139" spans="1:7">
      <c r="A12139" t="s">
        <v>1297</v>
      </c>
      <c r="B12139" t="s">
        <v>1298</v>
      </c>
      <c r="C12139" t="s">
        <v>674</v>
      </c>
      <c r="D12139" t="s">
        <v>1425</v>
      </c>
      <c r="E12139" t="s">
        <v>187</v>
      </c>
      <c r="F12139">
        <v>2012</v>
      </c>
      <c r="G12139">
        <v>6.4210000000000003</v>
      </c>
    </row>
    <row r="12140" spans="1:7">
      <c r="A12140" t="s">
        <v>1297</v>
      </c>
      <c r="B12140" t="s">
        <v>1298</v>
      </c>
      <c r="C12140" t="s">
        <v>674</v>
      </c>
      <c r="D12140" t="s">
        <v>1425</v>
      </c>
      <c r="E12140" t="s">
        <v>187</v>
      </c>
      <c r="F12140">
        <v>2016</v>
      </c>
      <c r="G12140">
        <v>4.2610000000000001</v>
      </c>
    </row>
    <row r="12141" spans="1:7">
      <c r="A12141" t="s">
        <v>1297</v>
      </c>
      <c r="B12141" t="s">
        <v>1298</v>
      </c>
      <c r="C12141" t="s">
        <v>674</v>
      </c>
      <c r="D12141" t="s">
        <v>1425</v>
      </c>
      <c r="E12141" t="s">
        <v>187</v>
      </c>
      <c r="F12141">
        <v>2020</v>
      </c>
      <c r="G12141">
        <v>2.4079999999999999</v>
      </c>
    </row>
    <row r="12142" spans="1:7">
      <c r="A12142" t="s">
        <v>1297</v>
      </c>
      <c r="B12142" t="s">
        <v>1298</v>
      </c>
      <c r="C12142" t="s">
        <v>666</v>
      </c>
      <c r="D12142" t="s">
        <v>1425</v>
      </c>
      <c r="E12142" t="s">
        <v>187</v>
      </c>
      <c r="F12142">
        <v>2005</v>
      </c>
      <c r="G12142">
        <v>3.593</v>
      </c>
    </row>
    <row r="12143" spans="1:7">
      <c r="A12143" t="s">
        <v>1297</v>
      </c>
      <c r="B12143" t="s">
        <v>1298</v>
      </c>
      <c r="C12143" t="s">
        <v>666</v>
      </c>
      <c r="D12143" t="s">
        <v>1425</v>
      </c>
      <c r="E12143" t="s">
        <v>187</v>
      </c>
      <c r="F12143">
        <v>2010</v>
      </c>
      <c r="G12143">
        <v>1.4690000000000001</v>
      </c>
    </row>
    <row r="12144" spans="1:7">
      <c r="A12144" t="s">
        <v>1297</v>
      </c>
      <c r="B12144" t="s">
        <v>1298</v>
      </c>
      <c r="C12144" t="s">
        <v>666</v>
      </c>
      <c r="D12144" t="s">
        <v>1425</v>
      </c>
      <c r="E12144" t="s">
        <v>187</v>
      </c>
      <c r="F12144">
        <v>2012</v>
      </c>
      <c r="G12144">
        <v>3.58</v>
      </c>
    </row>
    <row r="12145" spans="1:7">
      <c r="A12145" t="s">
        <v>1297</v>
      </c>
      <c r="B12145" t="s">
        <v>1298</v>
      </c>
      <c r="C12145" t="s">
        <v>666</v>
      </c>
      <c r="D12145" t="s">
        <v>1425</v>
      </c>
      <c r="E12145" t="s">
        <v>187</v>
      </c>
      <c r="F12145">
        <v>2016</v>
      </c>
      <c r="G12145">
        <v>0.33900000000000002</v>
      </c>
    </row>
    <row r="12146" spans="1:7">
      <c r="A12146" t="s">
        <v>1297</v>
      </c>
      <c r="B12146" t="s">
        <v>1298</v>
      </c>
      <c r="C12146" t="s">
        <v>666</v>
      </c>
      <c r="D12146" t="s">
        <v>1425</v>
      </c>
      <c r="E12146" t="s">
        <v>187</v>
      </c>
      <c r="F12146">
        <v>2020</v>
      </c>
      <c r="G12146">
        <v>0.184</v>
      </c>
    </row>
    <row r="12147" spans="1:7">
      <c r="A12147" t="s">
        <v>1297</v>
      </c>
      <c r="B12147" t="s">
        <v>1298</v>
      </c>
      <c r="C12147" t="s">
        <v>686</v>
      </c>
      <c r="D12147" t="s">
        <v>1425</v>
      </c>
      <c r="E12147" t="s">
        <v>187</v>
      </c>
      <c r="F12147">
        <v>2005</v>
      </c>
      <c r="G12147">
        <v>12.358000000000001</v>
      </c>
    </row>
    <row r="12148" spans="1:7">
      <c r="A12148" t="s">
        <v>1297</v>
      </c>
      <c r="B12148" t="s">
        <v>1298</v>
      </c>
      <c r="C12148" t="s">
        <v>686</v>
      </c>
      <c r="D12148" t="s">
        <v>1425</v>
      </c>
      <c r="E12148" t="s">
        <v>187</v>
      </c>
      <c r="F12148">
        <v>2010</v>
      </c>
      <c r="G12148">
        <v>9.7769999999999992</v>
      </c>
    </row>
    <row r="12149" spans="1:7">
      <c r="A12149" t="s">
        <v>1297</v>
      </c>
      <c r="B12149" t="s">
        <v>1298</v>
      </c>
      <c r="C12149" t="s">
        <v>686</v>
      </c>
      <c r="D12149" t="s">
        <v>1425</v>
      </c>
      <c r="E12149" t="s">
        <v>187</v>
      </c>
      <c r="F12149">
        <v>2012</v>
      </c>
      <c r="G12149">
        <v>6.4409999999999998</v>
      </c>
    </row>
    <row r="12150" spans="1:7">
      <c r="A12150" t="s">
        <v>1297</v>
      </c>
      <c r="B12150" t="s">
        <v>1298</v>
      </c>
      <c r="C12150" t="s">
        <v>686</v>
      </c>
      <c r="D12150" t="s">
        <v>1425</v>
      </c>
      <c r="E12150" t="s">
        <v>187</v>
      </c>
      <c r="F12150">
        <v>2016</v>
      </c>
      <c r="G12150">
        <v>6.5469999999999997</v>
      </c>
    </row>
    <row r="12151" spans="1:7">
      <c r="A12151" t="s">
        <v>1297</v>
      </c>
      <c r="B12151" t="s">
        <v>1298</v>
      </c>
      <c r="C12151" t="s">
        <v>686</v>
      </c>
      <c r="D12151" t="s">
        <v>1425</v>
      </c>
      <c r="E12151" t="s">
        <v>187</v>
      </c>
      <c r="F12151">
        <v>2020</v>
      </c>
      <c r="G12151">
        <v>3.839089</v>
      </c>
    </row>
    <row r="12152" spans="1:7">
      <c r="A12152" t="s">
        <v>1297</v>
      </c>
      <c r="B12152" t="s">
        <v>1298</v>
      </c>
      <c r="C12152" t="s">
        <v>652</v>
      </c>
      <c r="D12152" t="s">
        <v>1425</v>
      </c>
      <c r="E12152" t="s">
        <v>187</v>
      </c>
      <c r="F12152">
        <v>2005</v>
      </c>
      <c r="G12152">
        <v>6.4000000000000001E-2</v>
      </c>
    </row>
    <row r="12153" spans="1:7">
      <c r="A12153" t="s">
        <v>1297</v>
      </c>
      <c r="B12153" t="s">
        <v>1298</v>
      </c>
      <c r="C12153" t="s">
        <v>652</v>
      </c>
      <c r="D12153" t="s">
        <v>1425</v>
      </c>
      <c r="E12153" t="s">
        <v>187</v>
      </c>
      <c r="F12153">
        <v>2010</v>
      </c>
      <c r="G12153">
        <v>0.51800000000000002</v>
      </c>
    </row>
    <row r="12154" spans="1:7">
      <c r="A12154" t="s">
        <v>1297</v>
      </c>
      <c r="B12154" t="s">
        <v>1298</v>
      </c>
      <c r="C12154" t="s">
        <v>652</v>
      </c>
      <c r="D12154" t="s">
        <v>1425</v>
      </c>
      <c r="E12154" t="s">
        <v>187</v>
      </c>
      <c r="F12154">
        <v>2012</v>
      </c>
      <c r="G12154">
        <v>0.45900000000000002</v>
      </c>
    </row>
    <row r="12155" spans="1:7">
      <c r="A12155" t="s">
        <v>1297</v>
      </c>
      <c r="B12155" t="s">
        <v>1298</v>
      </c>
      <c r="C12155" t="s">
        <v>652</v>
      </c>
      <c r="D12155" t="s">
        <v>1425</v>
      </c>
      <c r="E12155" t="s">
        <v>187</v>
      </c>
      <c r="F12155">
        <v>2016</v>
      </c>
      <c r="G12155">
        <v>0.3755</v>
      </c>
    </row>
    <row r="12156" spans="1:7">
      <c r="A12156" t="s">
        <v>1297</v>
      </c>
      <c r="B12156" t="s">
        <v>1298</v>
      </c>
      <c r="C12156" t="s">
        <v>652</v>
      </c>
      <c r="D12156" t="s">
        <v>1425</v>
      </c>
      <c r="E12156" t="s">
        <v>187</v>
      </c>
      <c r="F12156">
        <v>2020</v>
      </c>
      <c r="G12156">
        <v>8.6E-3</v>
      </c>
    </row>
    <row r="12157" spans="1:7">
      <c r="A12157" t="s">
        <v>1297</v>
      </c>
      <c r="B12157" t="s">
        <v>1298</v>
      </c>
      <c r="C12157" t="s">
        <v>1299</v>
      </c>
      <c r="D12157" t="s">
        <v>1425</v>
      </c>
      <c r="E12157" t="s">
        <v>187</v>
      </c>
      <c r="F12157">
        <v>2005</v>
      </c>
      <c r="G12157">
        <v>0.39900000000000002</v>
      </c>
    </row>
    <row r="12158" spans="1:7">
      <c r="A12158" t="s">
        <v>1297</v>
      </c>
      <c r="B12158" t="s">
        <v>1298</v>
      </c>
      <c r="C12158" t="s">
        <v>1299</v>
      </c>
      <c r="D12158" t="s">
        <v>1425</v>
      </c>
      <c r="E12158" t="s">
        <v>187</v>
      </c>
      <c r="F12158">
        <v>2010</v>
      </c>
      <c r="G12158">
        <v>8.0280000000000005</v>
      </c>
    </row>
    <row r="12159" spans="1:7">
      <c r="A12159" t="s">
        <v>1297</v>
      </c>
      <c r="B12159" t="s">
        <v>1298</v>
      </c>
      <c r="C12159" t="s">
        <v>1299</v>
      </c>
      <c r="D12159" t="s">
        <v>1425</v>
      </c>
      <c r="E12159" t="s">
        <v>187</v>
      </c>
      <c r="F12159">
        <v>2012</v>
      </c>
      <c r="G12159">
        <v>4.9429999999999996</v>
      </c>
    </row>
    <row r="12160" spans="1:7">
      <c r="A12160" t="s">
        <v>1297</v>
      </c>
      <c r="B12160" t="s">
        <v>1298</v>
      </c>
      <c r="C12160" t="s">
        <v>1299</v>
      </c>
      <c r="D12160" t="s">
        <v>1425</v>
      </c>
      <c r="E12160" t="s">
        <v>187</v>
      </c>
      <c r="F12160">
        <v>2016</v>
      </c>
      <c r="G12160">
        <v>41.436999999999998</v>
      </c>
    </row>
    <row r="12161" spans="1:7">
      <c r="A12161" t="s">
        <v>1297</v>
      </c>
      <c r="B12161" t="s">
        <v>1298</v>
      </c>
      <c r="C12161" t="s">
        <v>1299</v>
      </c>
      <c r="D12161" t="s">
        <v>1425</v>
      </c>
      <c r="E12161" t="s">
        <v>187</v>
      </c>
      <c r="F12161">
        <v>2020</v>
      </c>
      <c r="G12161">
        <v>1.944</v>
      </c>
    </row>
    <row r="12162" spans="1:7">
      <c r="A12162" t="s">
        <v>1297</v>
      </c>
      <c r="B12162" t="s">
        <v>1298</v>
      </c>
      <c r="C12162" t="s">
        <v>657</v>
      </c>
      <c r="D12162" t="s">
        <v>1425</v>
      </c>
      <c r="E12162" t="s">
        <v>187</v>
      </c>
      <c r="F12162">
        <v>2005</v>
      </c>
      <c r="G12162">
        <v>6.1050000000000004</v>
      </c>
    </row>
    <row r="12163" spans="1:7">
      <c r="A12163" t="s">
        <v>1297</v>
      </c>
      <c r="B12163" t="s">
        <v>1298</v>
      </c>
      <c r="C12163" t="s">
        <v>657</v>
      </c>
      <c r="D12163" t="s">
        <v>1425</v>
      </c>
      <c r="E12163" t="s">
        <v>187</v>
      </c>
      <c r="F12163">
        <v>2010</v>
      </c>
      <c r="G12163">
        <v>4.6280000000000001</v>
      </c>
    </row>
    <row r="12164" spans="1:7">
      <c r="A12164" t="s">
        <v>1297</v>
      </c>
      <c r="B12164" t="s">
        <v>1298</v>
      </c>
      <c r="C12164" t="s">
        <v>657</v>
      </c>
      <c r="D12164" t="s">
        <v>1425</v>
      </c>
      <c r="E12164" t="s">
        <v>187</v>
      </c>
      <c r="F12164">
        <v>2012</v>
      </c>
      <c r="G12164">
        <v>2.3759999999999999</v>
      </c>
    </row>
    <row r="12165" spans="1:7">
      <c r="A12165" t="s">
        <v>1297</v>
      </c>
      <c r="B12165" t="s">
        <v>1298</v>
      </c>
      <c r="C12165" t="s">
        <v>657</v>
      </c>
      <c r="D12165" t="s">
        <v>1425</v>
      </c>
      <c r="E12165" t="s">
        <v>187</v>
      </c>
      <c r="F12165">
        <v>2016</v>
      </c>
      <c r="G12165">
        <v>1.377758</v>
      </c>
    </row>
    <row r="12166" spans="1:7">
      <c r="A12166" t="s">
        <v>1297</v>
      </c>
      <c r="B12166" t="s">
        <v>1298</v>
      </c>
      <c r="C12166" t="s">
        <v>657</v>
      </c>
      <c r="D12166" t="s">
        <v>1425</v>
      </c>
      <c r="E12166" t="s">
        <v>187</v>
      </c>
      <c r="F12166">
        <v>2020</v>
      </c>
      <c r="G12166">
        <v>1.082063</v>
      </c>
    </row>
    <row r="12167" spans="1:7">
      <c r="A12167" t="s">
        <v>1297</v>
      </c>
      <c r="B12167" t="s">
        <v>1298</v>
      </c>
      <c r="C12167" t="s">
        <v>289</v>
      </c>
      <c r="D12167" t="s">
        <v>1426</v>
      </c>
      <c r="E12167" t="s">
        <v>187</v>
      </c>
      <c r="F12167">
        <v>2005</v>
      </c>
      <c r="G12167">
        <v>231.41079999999999</v>
      </c>
    </row>
    <row r="12168" spans="1:7">
      <c r="A12168" t="s">
        <v>1297</v>
      </c>
      <c r="B12168" t="s">
        <v>1298</v>
      </c>
      <c r="C12168" t="s">
        <v>289</v>
      </c>
      <c r="D12168" t="s">
        <v>1426</v>
      </c>
      <c r="E12168" t="s">
        <v>187</v>
      </c>
      <c r="F12168">
        <v>2010</v>
      </c>
      <c r="G12168">
        <v>208.25230999999999</v>
      </c>
    </row>
    <row r="12169" spans="1:7">
      <c r="A12169" t="s">
        <v>1297</v>
      </c>
      <c r="B12169" t="s">
        <v>1298</v>
      </c>
      <c r="C12169" t="s">
        <v>289</v>
      </c>
      <c r="D12169" t="s">
        <v>1426</v>
      </c>
      <c r="E12169" t="s">
        <v>187</v>
      </c>
      <c r="F12169">
        <v>2012</v>
      </c>
      <c r="G12169">
        <v>169.91522000000001</v>
      </c>
    </row>
    <row r="12170" spans="1:7">
      <c r="A12170" t="s">
        <v>1297</v>
      </c>
      <c r="B12170" t="s">
        <v>1298</v>
      </c>
      <c r="C12170" t="s">
        <v>289</v>
      </c>
      <c r="D12170" t="s">
        <v>1426</v>
      </c>
      <c r="E12170" t="s">
        <v>187</v>
      </c>
      <c r="F12170">
        <v>2016</v>
      </c>
      <c r="G12170">
        <v>196.47995</v>
      </c>
    </row>
    <row r="12171" spans="1:7">
      <c r="A12171" t="s">
        <v>1297</v>
      </c>
      <c r="B12171" t="s">
        <v>1298</v>
      </c>
      <c r="C12171" t="s">
        <v>289</v>
      </c>
      <c r="D12171" t="s">
        <v>1426</v>
      </c>
      <c r="E12171" t="s">
        <v>187</v>
      </c>
      <c r="F12171">
        <v>2020</v>
      </c>
      <c r="G12171">
        <v>203.16124300000001</v>
      </c>
    </row>
    <row r="12172" spans="1:7">
      <c r="A12172" t="s">
        <v>1297</v>
      </c>
      <c r="B12172" t="s">
        <v>1298</v>
      </c>
      <c r="C12172" t="s">
        <v>679</v>
      </c>
      <c r="D12172" t="s">
        <v>1426</v>
      </c>
      <c r="E12172" t="s">
        <v>187</v>
      </c>
      <c r="F12172">
        <v>2005</v>
      </c>
      <c r="G12172">
        <v>209.26419999999999</v>
      </c>
    </row>
    <row r="12173" spans="1:7">
      <c r="A12173" t="s">
        <v>1297</v>
      </c>
      <c r="B12173" t="s">
        <v>1298</v>
      </c>
      <c r="C12173" t="s">
        <v>679</v>
      </c>
      <c r="D12173" t="s">
        <v>1426</v>
      </c>
      <c r="E12173" t="s">
        <v>187</v>
      </c>
      <c r="F12173">
        <v>2010</v>
      </c>
      <c r="G12173">
        <v>253.37260000000001</v>
      </c>
    </row>
    <row r="12174" spans="1:7">
      <c r="A12174" t="s">
        <v>1297</v>
      </c>
      <c r="B12174" t="s">
        <v>1298</v>
      </c>
      <c r="C12174" t="s">
        <v>679</v>
      </c>
      <c r="D12174" t="s">
        <v>1426</v>
      </c>
      <c r="E12174" t="s">
        <v>187</v>
      </c>
      <c r="F12174">
        <v>2012</v>
      </c>
      <c r="G12174">
        <v>237.83410000000001</v>
      </c>
    </row>
    <row r="12175" spans="1:7">
      <c r="A12175" t="s">
        <v>1297</v>
      </c>
      <c r="B12175" t="s">
        <v>1298</v>
      </c>
      <c r="C12175" t="s">
        <v>679</v>
      </c>
      <c r="D12175" t="s">
        <v>1426</v>
      </c>
      <c r="E12175" t="s">
        <v>187</v>
      </c>
      <c r="F12175">
        <v>2016</v>
      </c>
      <c r="G12175">
        <v>263.66699999999997</v>
      </c>
    </row>
    <row r="12176" spans="1:7">
      <c r="A12176" t="s">
        <v>1297</v>
      </c>
      <c r="B12176" t="s">
        <v>1298</v>
      </c>
      <c r="C12176" t="s">
        <v>679</v>
      </c>
      <c r="D12176" t="s">
        <v>1426</v>
      </c>
      <c r="E12176" t="s">
        <v>187</v>
      </c>
      <c r="F12176">
        <v>2020</v>
      </c>
      <c r="G12176">
        <v>386.94706100000002</v>
      </c>
    </row>
    <row r="12177" spans="1:7">
      <c r="A12177" t="s">
        <v>1297</v>
      </c>
      <c r="B12177" t="s">
        <v>1298</v>
      </c>
      <c r="C12177" t="s">
        <v>658</v>
      </c>
      <c r="D12177" t="s">
        <v>1426</v>
      </c>
      <c r="E12177" t="s">
        <v>187</v>
      </c>
      <c r="F12177">
        <v>2005</v>
      </c>
      <c r="G12177">
        <v>48.064534999999999</v>
      </c>
    </row>
    <row r="12178" spans="1:7">
      <c r="A12178" t="s">
        <v>1297</v>
      </c>
      <c r="B12178" t="s">
        <v>1298</v>
      </c>
      <c r="C12178" t="s">
        <v>658</v>
      </c>
      <c r="D12178" t="s">
        <v>1426</v>
      </c>
      <c r="E12178" t="s">
        <v>187</v>
      </c>
      <c r="F12178">
        <v>2010</v>
      </c>
      <c r="G12178">
        <v>47.994802999999997</v>
      </c>
    </row>
    <row r="12179" spans="1:7">
      <c r="A12179" t="s">
        <v>1297</v>
      </c>
      <c r="B12179" t="s">
        <v>1298</v>
      </c>
      <c r="C12179" t="s">
        <v>658</v>
      </c>
      <c r="D12179" t="s">
        <v>1426</v>
      </c>
      <c r="E12179" t="s">
        <v>187</v>
      </c>
      <c r="F12179">
        <v>2012</v>
      </c>
      <c r="G12179">
        <v>93.968765000000005</v>
      </c>
    </row>
    <row r="12180" spans="1:7">
      <c r="A12180" t="s">
        <v>1297</v>
      </c>
      <c r="B12180" t="s">
        <v>1298</v>
      </c>
      <c r="C12180" t="s">
        <v>658</v>
      </c>
      <c r="D12180" t="s">
        <v>1426</v>
      </c>
      <c r="E12180" t="s">
        <v>187</v>
      </c>
      <c r="F12180">
        <v>2016</v>
      </c>
      <c r="G12180">
        <v>76.178319999999999</v>
      </c>
    </row>
    <row r="12181" spans="1:7">
      <c r="A12181" t="s">
        <v>1297</v>
      </c>
      <c r="B12181" t="s">
        <v>1298</v>
      </c>
      <c r="C12181" t="s">
        <v>658</v>
      </c>
      <c r="D12181" t="s">
        <v>1426</v>
      </c>
      <c r="E12181" t="s">
        <v>187</v>
      </c>
      <c r="F12181">
        <v>2020</v>
      </c>
      <c r="G12181">
        <v>76.715894000000006</v>
      </c>
    </row>
    <row r="12182" spans="1:7">
      <c r="A12182" t="s">
        <v>1297</v>
      </c>
      <c r="B12182" t="s">
        <v>1298</v>
      </c>
      <c r="C12182" t="s">
        <v>686</v>
      </c>
      <c r="D12182" t="s">
        <v>1426</v>
      </c>
      <c r="E12182" t="s">
        <v>187</v>
      </c>
      <c r="F12182">
        <v>2005</v>
      </c>
      <c r="G12182">
        <v>162.005731</v>
      </c>
    </row>
    <row r="12183" spans="1:7">
      <c r="A12183" t="s">
        <v>1297</v>
      </c>
      <c r="B12183" t="s">
        <v>1298</v>
      </c>
      <c r="C12183" t="s">
        <v>686</v>
      </c>
      <c r="D12183" t="s">
        <v>1426</v>
      </c>
      <c r="E12183" t="s">
        <v>187</v>
      </c>
      <c r="F12183">
        <v>2010</v>
      </c>
      <c r="G12183">
        <v>139.94707299999999</v>
      </c>
    </row>
    <row r="12184" spans="1:7">
      <c r="A12184" t="s">
        <v>1297</v>
      </c>
      <c r="B12184" t="s">
        <v>1298</v>
      </c>
      <c r="C12184" t="s">
        <v>686</v>
      </c>
      <c r="D12184" t="s">
        <v>1426</v>
      </c>
      <c r="E12184" t="s">
        <v>187</v>
      </c>
      <c r="F12184">
        <v>2012</v>
      </c>
      <c r="G12184">
        <v>106.133714</v>
      </c>
    </row>
    <row r="12185" spans="1:7">
      <c r="A12185" t="s">
        <v>1297</v>
      </c>
      <c r="B12185" t="s">
        <v>1298</v>
      </c>
      <c r="C12185" t="s">
        <v>686</v>
      </c>
      <c r="D12185" t="s">
        <v>1426</v>
      </c>
      <c r="E12185" t="s">
        <v>187</v>
      </c>
      <c r="F12185">
        <v>2016</v>
      </c>
      <c r="G12185">
        <v>146.92869099999999</v>
      </c>
    </row>
    <row r="12186" spans="1:7">
      <c r="A12186" t="s">
        <v>1297</v>
      </c>
      <c r="B12186" t="s">
        <v>1298</v>
      </c>
      <c r="C12186" t="s">
        <v>686</v>
      </c>
      <c r="D12186" t="s">
        <v>1426</v>
      </c>
      <c r="E12186" t="s">
        <v>187</v>
      </c>
      <c r="F12186">
        <v>2020</v>
      </c>
      <c r="G12186">
        <v>156.716387</v>
      </c>
    </row>
    <row r="12187" spans="1:7">
      <c r="A12187" t="s">
        <v>1297</v>
      </c>
      <c r="B12187" t="s">
        <v>1298</v>
      </c>
      <c r="C12187" t="s">
        <v>655</v>
      </c>
      <c r="D12187" t="s">
        <v>1426</v>
      </c>
      <c r="E12187" t="s">
        <v>187</v>
      </c>
      <c r="F12187">
        <v>2020</v>
      </c>
      <c r="G12187">
        <v>496.64419600000002</v>
      </c>
    </row>
    <row r="12188" spans="1:7">
      <c r="A12188" t="s">
        <v>1297</v>
      </c>
      <c r="B12188" t="s">
        <v>1298</v>
      </c>
      <c r="C12188" t="s">
        <v>656</v>
      </c>
      <c r="D12188" t="s">
        <v>1426</v>
      </c>
      <c r="E12188" t="s">
        <v>187</v>
      </c>
      <c r="F12188">
        <v>2005</v>
      </c>
      <c r="G12188">
        <v>6317.0849749999998</v>
      </c>
    </row>
    <row r="12189" spans="1:7">
      <c r="A12189" t="s">
        <v>1297</v>
      </c>
      <c r="B12189" t="s">
        <v>1298</v>
      </c>
      <c r="C12189" t="s">
        <v>656</v>
      </c>
      <c r="D12189" t="s">
        <v>1426</v>
      </c>
      <c r="E12189" t="s">
        <v>187</v>
      </c>
      <c r="F12189">
        <v>2010</v>
      </c>
      <c r="G12189">
        <v>5476.0509259999999</v>
      </c>
    </row>
    <row r="12190" spans="1:7">
      <c r="A12190" t="s">
        <v>1297</v>
      </c>
      <c r="B12190" t="s">
        <v>1298</v>
      </c>
      <c r="C12190" t="s">
        <v>656</v>
      </c>
      <c r="D12190" t="s">
        <v>1426</v>
      </c>
      <c r="E12190" t="s">
        <v>187</v>
      </c>
      <c r="F12190">
        <v>2012</v>
      </c>
      <c r="G12190">
        <v>5347.1654259999996</v>
      </c>
    </row>
    <row r="12191" spans="1:7">
      <c r="A12191" t="s">
        <v>1297</v>
      </c>
      <c r="B12191" t="s">
        <v>1298</v>
      </c>
      <c r="C12191" t="s">
        <v>656</v>
      </c>
      <c r="D12191" t="s">
        <v>1426</v>
      </c>
      <c r="E12191" t="s">
        <v>187</v>
      </c>
      <c r="F12191">
        <v>2016</v>
      </c>
      <c r="G12191">
        <v>5534.9385480000001</v>
      </c>
    </row>
    <row r="12192" spans="1:7">
      <c r="A12192" t="s">
        <v>1297</v>
      </c>
      <c r="B12192" t="s">
        <v>1298</v>
      </c>
      <c r="C12192" t="s">
        <v>656</v>
      </c>
      <c r="D12192" t="s">
        <v>1426</v>
      </c>
      <c r="E12192" t="s">
        <v>187</v>
      </c>
      <c r="F12192">
        <v>2020</v>
      </c>
      <c r="G12192">
        <v>5449.7382610000004</v>
      </c>
    </row>
    <row r="12193" spans="1:7">
      <c r="A12193" t="s">
        <v>1297</v>
      </c>
      <c r="B12193" t="s">
        <v>1298</v>
      </c>
      <c r="C12193" t="s">
        <v>667</v>
      </c>
      <c r="D12193" t="s">
        <v>1426</v>
      </c>
      <c r="E12193" t="s">
        <v>187</v>
      </c>
      <c r="F12193">
        <v>2005</v>
      </c>
      <c r="G12193">
        <v>132.194031</v>
      </c>
    </row>
    <row r="12194" spans="1:7">
      <c r="A12194" t="s">
        <v>1297</v>
      </c>
      <c r="B12194" t="s">
        <v>1298</v>
      </c>
      <c r="C12194" t="s">
        <v>667</v>
      </c>
      <c r="D12194" t="s">
        <v>1426</v>
      </c>
      <c r="E12194" t="s">
        <v>187</v>
      </c>
      <c r="F12194">
        <v>2010</v>
      </c>
      <c r="G12194">
        <v>119.78621200000001</v>
      </c>
    </row>
    <row r="12195" spans="1:7">
      <c r="A12195" t="s">
        <v>1297</v>
      </c>
      <c r="B12195" t="s">
        <v>1298</v>
      </c>
      <c r="C12195" t="s">
        <v>667</v>
      </c>
      <c r="D12195" t="s">
        <v>1426</v>
      </c>
      <c r="E12195" t="s">
        <v>187</v>
      </c>
      <c r="F12195">
        <v>2012</v>
      </c>
      <c r="G12195">
        <v>119.437347</v>
      </c>
    </row>
    <row r="12196" spans="1:7">
      <c r="A12196" t="s">
        <v>1297</v>
      </c>
      <c r="B12196" t="s">
        <v>1298</v>
      </c>
      <c r="C12196" t="s">
        <v>667</v>
      </c>
      <c r="D12196" t="s">
        <v>1426</v>
      </c>
      <c r="E12196" t="s">
        <v>187</v>
      </c>
      <c r="F12196">
        <v>2016</v>
      </c>
      <c r="G12196">
        <v>110.764264</v>
      </c>
    </row>
    <row r="12197" spans="1:7">
      <c r="A12197" t="s">
        <v>1297</v>
      </c>
      <c r="B12197" t="s">
        <v>1298</v>
      </c>
      <c r="C12197" t="s">
        <v>667</v>
      </c>
      <c r="D12197" t="s">
        <v>1426</v>
      </c>
      <c r="E12197" t="s">
        <v>187</v>
      </c>
      <c r="F12197">
        <v>2020</v>
      </c>
      <c r="G12197">
        <v>124.13133500000001</v>
      </c>
    </row>
    <row r="12198" spans="1:7">
      <c r="A12198" t="s">
        <v>1297</v>
      </c>
      <c r="B12198" t="s">
        <v>1298</v>
      </c>
      <c r="C12198" t="s">
        <v>676</v>
      </c>
      <c r="D12198" t="s">
        <v>1426</v>
      </c>
      <c r="E12198" t="s">
        <v>187</v>
      </c>
      <c r="F12198">
        <v>2005</v>
      </c>
      <c r="G12198">
        <v>285.79578199999997</v>
      </c>
    </row>
    <row r="12199" spans="1:7">
      <c r="A12199" t="s">
        <v>1297</v>
      </c>
      <c r="B12199" t="s">
        <v>1298</v>
      </c>
      <c r="C12199" t="s">
        <v>676</v>
      </c>
      <c r="D12199" t="s">
        <v>1426</v>
      </c>
      <c r="E12199" t="s">
        <v>187</v>
      </c>
      <c r="F12199">
        <v>2010</v>
      </c>
      <c r="G12199">
        <v>286.97257000000002</v>
      </c>
    </row>
    <row r="12200" spans="1:7">
      <c r="A12200" t="s">
        <v>1297</v>
      </c>
      <c r="B12200" t="s">
        <v>1298</v>
      </c>
      <c r="C12200" t="s">
        <v>676</v>
      </c>
      <c r="D12200" t="s">
        <v>1426</v>
      </c>
      <c r="E12200" t="s">
        <v>187</v>
      </c>
      <c r="F12200">
        <v>2012</v>
      </c>
      <c r="G12200">
        <v>278.445562</v>
      </c>
    </row>
    <row r="12201" spans="1:7">
      <c r="A12201" t="s">
        <v>1297</v>
      </c>
      <c r="B12201" t="s">
        <v>1298</v>
      </c>
      <c r="C12201" t="s">
        <v>676</v>
      </c>
      <c r="D12201" t="s">
        <v>1426</v>
      </c>
      <c r="E12201" t="s">
        <v>187</v>
      </c>
      <c r="F12201">
        <v>2016</v>
      </c>
      <c r="G12201">
        <v>316.39925099999999</v>
      </c>
    </row>
    <row r="12202" spans="1:7">
      <c r="A12202" t="s">
        <v>1297</v>
      </c>
      <c r="B12202" t="s">
        <v>1298</v>
      </c>
      <c r="C12202" t="s">
        <v>676</v>
      </c>
      <c r="D12202" t="s">
        <v>1426</v>
      </c>
      <c r="E12202" t="s">
        <v>187</v>
      </c>
      <c r="F12202">
        <v>2020</v>
      </c>
      <c r="G12202">
        <v>293.822023</v>
      </c>
    </row>
    <row r="12203" spans="1:7">
      <c r="A12203" t="s">
        <v>1297</v>
      </c>
      <c r="B12203" t="s">
        <v>1298</v>
      </c>
      <c r="C12203" t="s">
        <v>663</v>
      </c>
      <c r="D12203" t="s">
        <v>1426</v>
      </c>
      <c r="E12203" t="s">
        <v>187</v>
      </c>
      <c r="F12203">
        <v>2005</v>
      </c>
      <c r="G12203">
        <v>382.2131</v>
      </c>
    </row>
    <row r="12204" spans="1:7">
      <c r="A12204" t="s">
        <v>1297</v>
      </c>
      <c r="B12204" t="s">
        <v>1298</v>
      </c>
      <c r="C12204" t="s">
        <v>663</v>
      </c>
      <c r="D12204" t="s">
        <v>1426</v>
      </c>
      <c r="E12204" t="s">
        <v>187</v>
      </c>
      <c r="F12204">
        <v>2010</v>
      </c>
      <c r="G12204">
        <v>356.94943000000001</v>
      </c>
    </row>
    <row r="12205" spans="1:7">
      <c r="A12205" t="s">
        <v>1297</v>
      </c>
      <c r="B12205" t="s">
        <v>1298</v>
      </c>
      <c r="C12205" t="s">
        <v>663</v>
      </c>
      <c r="D12205" t="s">
        <v>1426</v>
      </c>
      <c r="E12205" t="s">
        <v>187</v>
      </c>
      <c r="F12205">
        <v>2012</v>
      </c>
      <c r="G12205">
        <v>323.58640000000003</v>
      </c>
    </row>
    <row r="12206" spans="1:7">
      <c r="A12206" t="s">
        <v>1297</v>
      </c>
      <c r="B12206" t="s">
        <v>1298</v>
      </c>
      <c r="C12206" t="s">
        <v>663</v>
      </c>
      <c r="D12206" t="s">
        <v>1426</v>
      </c>
      <c r="E12206" t="s">
        <v>187</v>
      </c>
      <c r="F12206">
        <v>2016</v>
      </c>
      <c r="G12206">
        <v>384.54072000000002</v>
      </c>
    </row>
    <row r="12207" spans="1:7">
      <c r="A12207" t="s">
        <v>1297</v>
      </c>
      <c r="B12207" t="s">
        <v>1298</v>
      </c>
      <c r="C12207" t="s">
        <v>663</v>
      </c>
      <c r="D12207" t="s">
        <v>1426</v>
      </c>
      <c r="E12207" t="s">
        <v>187</v>
      </c>
      <c r="F12207">
        <v>2020</v>
      </c>
      <c r="G12207">
        <v>436.833011</v>
      </c>
    </row>
    <row r="12208" spans="1:7">
      <c r="A12208" t="s">
        <v>1297</v>
      </c>
      <c r="B12208" t="s">
        <v>1298</v>
      </c>
      <c r="C12208" t="s">
        <v>670</v>
      </c>
      <c r="D12208" t="s">
        <v>1426</v>
      </c>
      <c r="E12208" t="s">
        <v>187</v>
      </c>
      <c r="F12208">
        <v>2005</v>
      </c>
      <c r="G12208">
        <v>5248.1759940000002</v>
      </c>
    </row>
    <row r="12209" spans="1:7">
      <c r="A12209" t="s">
        <v>1297</v>
      </c>
      <c r="B12209" t="s">
        <v>1298</v>
      </c>
      <c r="C12209" t="s">
        <v>670</v>
      </c>
      <c r="D12209" t="s">
        <v>1426</v>
      </c>
      <c r="E12209" t="s">
        <v>187</v>
      </c>
      <c r="F12209">
        <v>2010</v>
      </c>
      <c r="G12209">
        <v>6142.176469</v>
      </c>
    </row>
    <row r="12210" spans="1:7">
      <c r="A12210" t="s">
        <v>1297</v>
      </c>
      <c r="B12210" t="s">
        <v>1298</v>
      </c>
      <c r="C12210" t="s">
        <v>670</v>
      </c>
      <c r="D12210" t="s">
        <v>1426</v>
      </c>
      <c r="E12210" t="s">
        <v>187</v>
      </c>
      <c r="F12210">
        <v>2012</v>
      </c>
      <c r="G12210">
        <v>6249.0797899999998</v>
      </c>
    </row>
    <row r="12211" spans="1:7">
      <c r="A12211" t="s">
        <v>1297</v>
      </c>
      <c r="B12211" t="s">
        <v>1298</v>
      </c>
      <c r="C12211" t="s">
        <v>670</v>
      </c>
      <c r="D12211" t="s">
        <v>1426</v>
      </c>
      <c r="E12211" t="s">
        <v>187</v>
      </c>
      <c r="F12211">
        <v>2016</v>
      </c>
      <c r="G12211">
        <v>6572.1072510000004</v>
      </c>
    </row>
    <row r="12212" spans="1:7">
      <c r="A12212" t="s">
        <v>1297</v>
      </c>
      <c r="B12212" t="s">
        <v>1298</v>
      </c>
      <c r="C12212" t="s">
        <v>670</v>
      </c>
      <c r="D12212" t="s">
        <v>1426</v>
      </c>
      <c r="E12212" t="s">
        <v>187</v>
      </c>
      <c r="F12212">
        <v>2020</v>
      </c>
      <c r="G12212">
        <v>6214.0099200000004</v>
      </c>
    </row>
    <row r="12213" spans="1:7">
      <c r="A12213" t="s">
        <v>1297</v>
      </c>
      <c r="B12213" t="s">
        <v>1298</v>
      </c>
      <c r="C12213" t="s">
        <v>682</v>
      </c>
      <c r="D12213" t="s">
        <v>1426</v>
      </c>
      <c r="E12213" t="s">
        <v>187</v>
      </c>
      <c r="F12213">
        <v>2016</v>
      </c>
      <c r="G12213">
        <v>85.665940000000006</v>
      </c>
    </row>
    <row r="12214" spans="1:7">
      <c r="A12214" t="s">
        <v>1297</v>
      </c>
      <c r="B12214" t="s">
        <v>1298</v>
      </c>
      <c r="C12214" t="s">
        <v>682</v>
      </c>
      <c r="D12214" t="s">
        <v>1426</v>
      </c>
      <c r="E12214" t="s">
        <v>187</v>
      </c>
      <c r="F12214">
        <v>2020</v>
      </c>
      <c r="G12214">
        <v>66.474070999999995</v>
      </c>
    </row>
    <row r="12215" spans="1:7">
      <c r="A12215" t="s">
        <v>1297</v>
      </c>
      <c r="B12215" t="s">
        <v>1298</v>
      </c>
      <c r="C12215" t="s">
        <v>671</v>
      </c>
      <c r="D12215" t="s">
        <v>1426</v>
      </c>
      <c r="E12215" t="s">
        <v>187</v>
      </c>
      <c r="F12215">
        <v>2005</v>
      </c>
      <c r="G12215">
        <v>1045.044545</v>
      </c>
    </row>
    <row r="12216" spans="1:7">
      <c r="A12216" t="s">
        <v>1297</v>
      </c>
      <c r="B12216" t="s">
        <v>1298</v>
      </c>
      <c r="C12216" t="s">
        <v>1302</v>
      </c>
      <c r="D12216" t="s">
        <v>1426</v>
      </c>
      <c r="E12216" t="s">
        <v>187</v>
      </c>
      <c r="F12216">
        <v>2005</v>
      </c>
      <c r="G12216">
        <v>19.19772</v>
      </c>
    </row>
    <row r="12217" spans="1:7">
      <c r="A12217" t="s">
        <v>1297</v>
      </c>
      <c r="B12217" t="s">
        <v>1298</v>
      </c>
      <c r="C12217" t="s">
        <v>1302</v>
      </c>
      <c r="D12217" t="s">
        <v>1426</v>
      </c>
      <c r="E12217" t="s">
        <v>187</v>
      </c>
      <c r="F12217">
        <v>2010</v>
      </c>
      <c r="G12217">
        <v>23.107073</v>
      </c>
    </row>
    <row r="12218" spans="1:7">
      <c r="A12218" t="s">
        <v>1297</v>
      </c>
      <c r="B12218" t="s">
        <v>1298</v>
      </c>
      <c r="C12218" t="s">
        <v>1302</v>
      </c>
      <c r="D12218" t="s">
        <v>1426</v>
      </c>
      <c r="E12218" t="s">
        <v>187</v>
      </c>
      <c r="F12218">
        <v>2012</v>
      </c>
      <c r="G12218">
        <v>24.423528999999998</v>
      </c>
    </row>
    <row r="12219" spans="1:7">
      <c r="A12219" t="s">
        <v>1297</v>
      </c>
      <c r="B12219" t="s">
        <v>1298</v>
      </c>
      <c r="C12219" t="s">
        <v>1302</v>
      </c>
      <c r="D12219" t="s">
        <v>1426</v>
      </c>
      <c r="E12219" t="s">
        <v>187</v>
      </c>
      <c r="F12219">
        <v>2016</v>
      </c>
      <c r="G12219">
        <v>28.497667</v>
      </c>
    </row>
    <row r="12220" spans="1:7">
      <c r="A12220" t="s">
        <v>1297</v>
      </c>
      <c r="B12220" t="s">
        <v>1298</v>
      </c>
      <c r="C12220" t="s">
        <v>1302</v>
      </c>
      <c r="D12220" t="s">
        <v>1426</v>
      </c>
      <c r="E12220" t="s">
        <v>187</v>
      </c>
      <c r="F12220">
        <v>2020</v>
      </c>
      <c r="G12220">
        <v>32.293291000000004</v>
      </c>
    </row>
    <row r="12221" spans="1:7">
      <c r="A12221" t="s">
        <v>1297</v>
      </c>
      <c r="B12221" t="s">
        <v>1298</v>
      </c>
      <c r="C12221" t="s">
        <v>651</v>
      </c>
      <c r="D12221" t="s">
        <v>1426</v>
      </c>
      <c r="E12221" t="s">
        <v>187</v>
      </c>
      <c r="F12221">
        <v>2005</v>
      </c>
      <c r="G12221">
        <v>647.72472200000004</v>
      </c>
    </row>
    <row r="12222" spans="1:7">
      <c r="A12222" t="s">
        <v>1297</v>
      </c>
      <c r="B12222" t="s">
        <v>1298</v>
      </c>
      <c r="C12222" t="s">
        <v>651</v>
      </c>
      <c r="D12222" t="s">
        <v>1426</v>
      </c>
      <c r="E12222" t="s">
        <v>187</v>
      </c>
      <c r="F12222">
        <v>2010</v>
      </c>
      <c r="G12222">
        <v>584.43904799999996</v>
      </c>
    </row>
    <row r="12223" spans="1:7">
      <c r="A12223" t="s">
        <v>1297</v>
      </c>
      <c r="B12223" t="s">
        <v>1298</v>
      </c>
      <c r="C12223" t="s">
        <v>651</v>
      </c>
      <c r="D12223" t="s">
        <v>1426</v>
      </c>
      <c r="E12223" t="s">
        <v>187</v>
      </c>
      <c r="F12223">
        <v>2012</v>
      </c>
      <c r="G12223">
        <v>564.37565800000004</v>
      </c>
    </row>
    <row r="12224" spans="1:7">
      <c r="A12224" t="s">
        <v>1297</v>
      </c>
      <c r="B12224" t="s">
        <v>1298</v>
      </c>
      <c r="C12224" t="s">
        <v>651</v>
      </c>
      <c r="D12224" t="s">
        <v>1426</v>
      </c>
      <c r="E12224" t="s">
        <v>187</v>
      </c>
      <c r="F12224">
        <v>2016</v>
      </c>
      <c r="G12224">
        <v>583.71365000000003</v>
      </c>
    </row>
    <row r="12225" spans="1:7">
      <c r="A12225" t="s">
        <v>1297</v>
      </c>
      <c r="B12225" t="s">
        <v>1298</v>
      </c>
      <c r="C12225" t="s">
        <v>651</v>
      </c>
      <c r="D12225" t="s">
        <v>1426</v>
      </c>
      <c r="E12225" t="s">
        <v>187</v>
      </c>
      <c r="F12225">
        <v>2020</v>
      </c>
      <c r="G12225">
        <v>637.31257600000004</v>
      </c>
    </row>
    <row r="12226" spans="1:7">
      <c r="A12226" t="s">
        <v>1297</v>
      </c>
      <c r="B12226" t="s">
        <v>1298</v>
      </c>
      <c r="C12226" t="s">
        <v>657</v>
      </c>
      <c r="D12226" t="s">
        <v>1426</v>
      </c>
      <c r="E12226" t="s">
        <v>187</v>
      </c>
      <c r="F12226">
        <v>2005</v>
      </c>
      <c r="G12226">
        <v>368.11770000000001</v>
      </c>
    </row>
    <row r="12227" spans="1:7">
      <c r="A12227" t="s">
        <v>1297</v>
      </c>
      <c r="B12227" t="s">
        <v>1298</v>
      </c>
      <c r="C12227" t="s">
        <v>657</v>
      </c>
      <c r="D12227" t="s">
        <v>1426</v>
      </c>
      <c r="E12227" t="s">
        <v>187</v>
      </c>
      <c r="F12227">
        <v>2010</v>
      </c>
      <c r="G12227">
        <v>398.64389999999997</v>
      </c>
    </row>
    <row r="12228" spans="1:7">
      <c r="A12228" t="s">
        <v>1297</v>
      </c>
      <c r="B12228" t="s">
        <v>1298</v>
      </c>
      <c r="C12228" t="s">
        <v>657</v>
      </c>
      <c r="D12228" t="s">
        <v>1426</v>
      </c>
      <c r="E12228" t="s">
        <v>187</v>
      </c>
      <c r="F12228">
        <v>2012</v>
      </c>
      <c r="G12228">
        <v>422.16919999999999</v>
      </c>
    </row>
    <row r="12229" spans="1:7">
      <c r="A12229" t="s">
        <v>1297</v>
      </c>
      <c r="B12229" t="s">
        <v>1298</v>
      </c>
      <c r="C12229" t="s">
        <v>657</v>
      </c>
      <c r="D12229" t="s">
        <v>1426</v>
      </c>
      <c r="E12229" t="s">
        <v>187</v>
      </c>
      <c r="F12229">
        <v>2016</v>
      </c>
      <c r="G12229">
        <v>551.40112799999997</v>
      </c>
    </row>
    <row r="12230" spans="1:7">
      <c r="A12230" t="s">
        <v>1297</v>
      </c>
      <c r="B12230" t="s">
        <v>1298</v>
      </c>
      <c r="C12230" t="s">
        <v>657</v>
      </c>
      <c r="D12230" t="s">
        <v>1426</v>
      </c>
      <c r="E12230" t="s">
        <v>187</v>
      </c>
      <c r="F12230">
        <v>2020</v>
      </c>
      <c r="G12230">
        <v>517.32252400000004</v>
      </c>
    </row>
    <row r="12231" spans="1:7">
      <c r="A12231" t="s">
        <v>1297</v>
      </c>
      <c r="B12231" t="s">
        <v>1298</v>
      </c>
      <c r="C12231" t="s">
        <v>666</v>
      </c>
      <c r="D12231" t="s">
        <v>1426</v>
      </c>
      <c r="E12231" t="s">
        <v>187</v>
      </c>
      <c r="F12231">
        <v>2005</v>
      </c>
      <c r="G12231">
        <v>403.23151999999999</v>
      </c>
    </row>
    <row r="12232" spans="1:7">
      <c r="A12232" t="s">
        <v>1297</v>
      </c>
      <c r="B12232" t="s">
        <v>1298</v>
      </c>
      <c r="C12232" t="s">
        <v>666</v>
      </c>
      <c r="D12232" t="s">
        <v>1426</v>
      </c>
      <c r="E12232" t="s">
        <v>187</v>
      </c>
      <c r="F12232">
        <v>2010</v>
      </c>
      <c r="G12232">
        <v>429.35253999999998</v>
      </c>
    </row>
    <row r="12233" spans="1:7">
      <c r="A12233" t="s">
        <v>1297</v>
      </c>
      <c r="B12233" t="s">
        <v>1298</v>
      </c>
      <c r="C12233" t="s">
        <v>662</v>
      </c>
      <c r="D12233" t="s">
        <v>1426</v>
      </c>
      <c r="E12233" t="s">
        <v>187</v>
      </c>
      <c r="F12233">
        <v>2005</v>
      </c>
      <c r="G12233">
        <v>1092.0946200000001</v>
      </c>
    </row>
    <row r="12234" spans="1:7">
      <c r="A12234" t="s">
        <v>1297</v>
      </c>
      <c r="B12234" t="s">
        <v>1298</v>
      </c>
      <c r="C12234" t="s">
        <v>662</v>
      </c>
      <c r="D12234" t="s">
        <v>1426</v>
      </c>
      <c r="E12234" t="s">
        <v>187</v>
      </c>
      <c r="F12234">
        <v>2010</v>
      </c>
      <c r="G12234">
        <v>1114.2309580000001</v>
      </c>
    </row>
    <row r="12235" spans="1:7">
      <c r="A12235" t="s">
        <v>1297</v>
      </c>
      <c r="B12235" t="s">
        <v>1298</v>
      </c>
      <c r="C12235" t="s">
        <v>662</v>
      </c>
      <c r="D12235" t="s">
        <v>1426</v>
      </c>
      <c r="E12235" t="s">
        <v>187</v>
      </c>
      <c r="F12235">
        <v>2012</v>
      </c>
      <c r="G12235">
        <v>1162.282432</v>
      </c>
    </row>
    <row r="12236" spans="1:7">
      <c r="A12236" t="s">
        <v>1297</v>
      </c>
      <c r="B12236" t="s">
        <v>1298</v>
      </c>
      <c r="C12236" t="s">
        <v>662</v>
      </c>
      <c r="D12236" t="s">
        <v>1426</v>
      </c>
      <c r="E12236" t="s">
        <v>187</v>
      </c>
      <c r="F12236">
        <v>2016</v>
      </c>
      <c r="G12236">
        <v>1352.7492139999999</v>
      </c>
    </row>
    <row r="12237" spans="1:7">
      <c r="A12237" t="s">
        <v>1297</v>
      </c>
      <c r="B12237" t="s">
        <v>1298</v>
      </c>
      <c r="C12237" t="s">
        <v>662</v>
      </c>
      <c r="D12237" t="s">
        <v>1426</v>
      </c>
      <c r="E12237" t="s">
        <v>187</v>
      </c>
      <c r="F12237">
        <v>2020</v>
      </c>
      <c r="G12237">
        <v>1350.067894</v>
      </c>
    </row>
    <row r="12238" spans="1:7">
      <c r="A12238" t="s">
        <v>1297</v>
      </c>
      <c r="B12238" t="s">
        <v>1298</v>
      </c>
      <c r="C12238" t="s">
        <v>660</v>
      </c>
      <c r="D12238" t="s">
        <v>1426</v>
      </c>
      <c r="E12238" t="s">
        <v>187</v>
      </c>
      <c r="F12238">
        <v>2005</v>
      </c>
      <c r="G12238">
        <v>671.43492900000001</v>
      </c>
    </row>
    <row r="12239" spans="1:7">
      <c r="A12239" t="s">
        <v>1297</v>
      </c>
      <c r="B12239" t="s">
        <v>1298</v>
      </c>
      <c r="C12239" t="s">
        <v>660</v>
      </c>
      <c r="D12239" t="s">
        <v>1426</v>
      </c>
      <c r="E12239" t="s">
        <v>187</v>
      </c>
      <c r="F12239">
        <v>2010</v>
      </c>
      <c r="G12239">
        <v>682.31238099999996</v>
      </c>
    </row>
    <row r="12240" spans="1:7">
      <c r="A12240" t="s">
        <v>1297</v>
      </c>
      <c r="B12240" t="s">
        <v>1298</v>
      </c>
      <c r="C12240" t="s">
        <v>660</v>
      </c>
      <c r="D12240" t="s">
        <v>1426</v>
      </c>
      <c r="E12240" t="s">
        <v>187</v>
      </c>
      <c r="F12240">
        <v>2012</v>
      </c>
      <c r="G12240">
        <v>700.66949699999998</v>
      </c>
    </row>
    <row r="12241" spans="1:7">
      <c r="A12241" t="s">
        <v>1297</v>
      </c>
      <c r="B12241" t="s">
        <v>1298</v>
      </c>
      <c r="C12241" t="s">
        <v>660</v>
      </c>
      <c r="D12241" t="s">
        <v>1426</v>
      </c>
      <c r="E12241" t="s">
        <v>187</v>
      </c>
      <c r="F12241">
        <v>2016</v>
      </c>
      <c r="G12241">
        <v>773.32325900000001</v>
      </c>
    </row>
    <row r="12242" spans="1:7">
      <c r="A12242" t="s">
        <v>1297</v>
      </c>
      <c r="B12242" t="s">
        <v>1298</v>
      </c>
      <c r="C12242" t="s">
        <v>660</v>
      </c>
      <c r="D12242" t="s">
        <v>1426</v>
      </c>
      <c r="E12242" t="s">
        <v>187</v>
      </c>
      <c r="F12242">
        <v>2020</v>
      </c>
      <c r="G12242">
        <v>757.75747899999999</v>
      </c>
    </row>
    <row r="12243" spans="1:7">
      <c r="A12243" t="s">
        <v>1297</v>
      </c>
      <c r="B12243" t="s">
        <v>1298</v>
      </c>
      <c r="C12243" t="s">
        <v>672</v>
      </c>
      <c r="D12243" t="s">
        <v>1426</v>
      </c>
      <c r="E12243" t="s">
        <v>187</v>
      </c>
      <c r="F12243">
        <v>2005</v>
      </c>
      <c r="G12243">
        <v>817.30865400000005</v>
      </c>
    </row>
    <row r="12244" spans="1:7">
      <c r="A12244" t="s">
        <v>1297</v>
      </c>
      <c r="B12244" t="s">
        <v>1298</v>
      </c>
      <c r="C12244" t="s">
        <v>672</v>
      </c>
      <c r="D12244" t="s">
        <v>1426</v>
      </c>
      <c r="E12244" t="s">
        <v>187</v>
      </c>
      <c r="F12244">
        <v>2010</v>
      </c>
      <c r="G12244">
        <v>644.68521799999996</v>
      </c>
    </row>
    <row r="12245" spans="1:7">
      <c r="A12245" t="s">
        <v>1297</v>
      </c>
      <c r="B12245" t="s">
        <v>1298</v>
      </c>
      <c r="C12245" t="s">
        <v>672</v>
      </c>
      <c r="D12245" t="s">
        <v>1426</v>
      </c>
      <c r="E12245" t="s">
        <v>187</v>
      </c>
      <c r="F12245">
        <v>2012</v>
      </c>
      <c r="G12245">
        <v>609.31103399999995</v>
      </c>
    </row>
    <row r="12246" spans="1:7">
      <c r="A12246" t="s">
        <v>1297</v>
      </c>
      <c r="B12246" t="s">
        <v>1298</v>
      </c>
      <c r="C12246" t="s">
        <v>672</v>
      </c>
      <c r="D12246" t="s">
        <v>1426</v>
      </c>
      <c r="E12246" t="s">
        <v>187</v>
      </c>
      <c r="F12246">
        <v>2016</v>
      </c>
      <c r="G12246">
        <v>744.02778999999998</v>
      </c>
    </row>
    <row r="12247" spans="1:7">
      <c r="A12247" t="s">
        <v>1297</v>
      </c>
      <c r="B12247" t="s">
        <v>1298</v>
      </c>
      <c r="C12247" t="s">
        <v>672</v>
      </c>
      <c r="D12247" t="s">
        <v>1426</v>
      </c>
      <c r="E12247" t="s">
        <v>187</v>
      </c>
      <c r="F12247">
        <v>2020</v>
      </c>
      <c r="G12247">
        <v>688.97779700000001</v>
      </c>
    </row>
    <row r="12248" spans="1:7">
      <c r="A12248" t="s">
        <v>1297</v>
      </c>
      <c r="B12248" t="s">
        <v>1298</v>
      </c>
      <c r="C12248" t="s">
        <v>666</v>
      </c>
      <c r="D12248" t="s">
        <v>1426</v>
      </c>
      <c r="E12248" t="s">
        <v>187</v>
      </c>
      <c r="F12248">
        <v>2012</v>
      </c>
      <c r="G12248">
        <v>432.34974</v>
      </c>
    </row>
    <row r="12249" spans="1:7">
      <c r="A12249" t="s">
        <v>1297</v>
      </c>
      <c r="B12249" t="s">
        <v>1298</v>
      </c>
      <c r="C12249" t="s">
        <v>666</v>
      </c>
      <c r="D12249" t="s">
        <v>1426</v>
      </c>
      <c r="E12249" t="s">
        <v>187</v>
      </c>
      <c r="F12249">
        <v>2016</v>
      </c>
      <c r="G12249">
        <v>485.84715799999998</v>
      </c>
    </row>
    <row r="12250" spans="1:7">
      <c r="A12250" t="s">
        <v>1297</v>
      </c>
      <c r="B12250" t="s">
        <v>1298</v>
      </c>
      <c r="C12250" t="s">
        <v>666</v>
      </c>
      <c r="D12250" t="s">
        <v>1426</v>
      </c>
      <c r="E12250" t="s">
        <v>187</v>
      </c>
      <c r="F12250">
        <v>2020</v>
      </c>
      <c r="G12250">
        <v>452.79450700000001</v>
      </c>
    </row>
    <row r="12251" spans="1:7">
      <c r="A12251" t="s">
        <v>1297</v>
      </c>
      <c r="B12251" t="s">
        <v>1298</v>
      </c>
      <c r="C12251" t="s">
        <v>673</v>
      </c>
      <c r="D12251" t="s">
        <v>1426</v>
      </c>
      <c r="E12251" t="s">
        <v>187</v>
      </c>
      <c r="F12251">
        <v>2005</v>
      </c>
      <c r="G12251">
        <v>406.556757</v>
      </c>
    </row>
    <row r="12252" spans="1:7">
      <c r="A12252" t="s">
        <v>1297</v>
      </c>
      <c r="B12252" t="s">
        <v>1298</v>
      </c>
      <c r="C12252" t="s">
        <v>673</v>
      </c>
      <c r="D12252" t="s">
        <v>1426</v>
      </c>
      <c r="E12252" t="s">
        <v>187</v>
      </c>
      <c r="F12252">
        <v>2010</v>
      </c>
      <c r="G12252">
        <v>342.16190999999998</v>
      </c>
    </row>
    <row r="12253" spans="1:7">
      <c r="A12253" t="s">
        <v>1297</v>
      </c>
      <c r="B12253" t="s">
        <v>1298</v>
      </c>
      <c r="C12253" t="s">
        <v>673</v>
      </c>
      <c r="D12253" t="s">
        <v>1426</v>
      </c>
      <c r="E12253" t="s">
        <v>187</v>
      </c>
      <c r="F12253">
        <v>2012</v>
      </c>
      <c r="G12253">
        <v>329.05052899999998</v>
      </c>
    </row>
    <row r="12254" spans="1:7">
      <c r="A12254" t="s">
        <v>1297</v>
      </c>
      <c r="B12254" t="s">
        <v>1298</v>
      </c>
      <c r="C12254" t="s">
        <v>673</v>
      </c>
      <c r="D12254" t="s">
        <v>1426</v>
      </c>
      <c r="E12254" t="s">
        <v>187</v>
      </c>
      <c r="F12254">
        <v>2016</v>
      </c>
      <c r="G12254">
        <v>436.00242600000001</v>
      </c>
    </row>
    <row r="12255" spans="1:7">
      <c r="A12255" t="s">
        <v>1297</v>
      </c>
      <c r="B12255" t="s">
        <v>1298</v>
      </c>
      <c r="C12255" t="s">
        <v>673</v>
      </c>
      <c r="D12255" t="s">
        <v>1426</v>
      </c>
      <c r="E12255" t="s">
        <v>187</v>
      </c>
      <c r="F12255">
        <v>2020</v>
      </c>
      <c r="G12255">
        <v>505.27385199999998</v>
      </c>
    </row>
    <row r="12256" spans="1:7">
      <c r="A12256" t="s">
        <v>1297</v>
      </c>
      <c r="B12256" t="s">
        <v>1298</v>
      </c>
      <c r="C12256" t="s">
        <v>681</v>
      </c>
      <c r="D12256" t="s">
        <v>1426</v>
      </c>
      <c r="E12256" t="s">
        <v>187</v>
      </c>
      <c r="F12256">
        <v>2005</v>
      </c>
      <c r="G12256">
        <v>47.328381</v>
      </c>
    </row>
    <row r="12257" spans="1:7">
      <c r="A12257" t="s">
        <v>1297</v>
      </c>
      <c r="B12257" t="s">
        <v>1298</v>
      </c>
      <c r="C12257" t="s">
        <v>681</v>
      </c>
      <c r="D12257" t="s">
        <v>1426</v>
      </c>
      <c r="E12257" t="s">
        <v>187</v>
      </c>
      <c r="F12257">
        <v>2010</v>
      </c>
      <c r="G12257">
        <v>45.895257000000001</v>
      </c>
    </row>
    <row r="12258" spans="1:7">
      <c r="A12258" t="s">
        <v>1297</v>
      </c>
      <c r="B12258" t="s">
        <v>1298</v>
      </c>
      <c r="C12258" t="s">
        <v>681</v>
      </c>
      <c r="D12258" t="s">
        <v>1426</v>
      </c>
      <c r="E12258" t="s">
        <v>187</v>
      </c>
      <c r="F12258">
        <v>2012</v>
      </c>
      <c r="G12258">
        <v>41.764147999999999</v>
      </c>
    </row>
    <row r="12259" spans="1:7">
      <c r="A12259" t="s">
        <v>1297</v>
      </c>
      <c r="B12259" t="s">
        <v>1298</v>
      </c>
      <c r="C12259" t="s">
        <v>681</v>
      </c>
      <c r="D12259" t="s">
        <v>1426</v>
      </c>
      <c r="E12259" t="s">
        <v>187</v>
      </c>
      <c r="F12259">
        <v>2016</v>
      </c>
      <c r="G12259">
        <v>51.980625000000003</v>
      </c>
    </row>
    <row r="12260" spans="1:7">
      <c r="A12260" t="s">
        <v>1297</v>
      </c>
      <c r="B12260" t="s">
        <v>1298</v>
      </c>
      <c r="C12260" t="s">
        <v>681</v>
      </c>
      <c r="D12260" t="s">
        <v>1426</v>
      </c>
      <c r="E12260" t="s">
        <v>187</v>
      </c>
      <c r="F12260">
        <v>2020</v>
      </c>
      <c r="G12260">
        <v>48.659292000000001</v>
      </c>
    </row>
    <row r="12261" spans="1:7">
      <c r="A12261" t="s">
        <v>1297</v>
      </c>
      <c r="B12261" t="s">
        <v>1298</v>
      </c>
      <c r="C12261" t="s">
        <v>1303</v>
      </c>
      <c r="D12261" t="s">
        <v>1426</v>
      </c>
      <c r="E12261" t="s">
        <v>187</v>
      </c>
      <c r="F12261">
        <v>2016</v>
      </c>
      <c r="G12261">
        <v>66.153559999999999</v>
      </c>
    </row>
    <row r="12262" spans="1:7">
      <c r="A12262" t="s">
        <v>1297</v>
      </c>
      <c r="B12262" t="s">
        <v>1298</v>
      </c>
      <c r="C12262" t="s">
        <v>1303</v>
      </c>
      <c r="D12262" t="s">
        <v>1426</v>
      </c>
      <c r="E12262" t="s">
        <v>187</v>
      </c>
      <c r="F12262">
        <v>2020</v>
      </c>
      <c r="G12262">
        <v>61.060071999999998</v>
      </c>
    </row>
    <row r="12263" spans="1:7">
      <c r="A12263" t="s">
        <v>1297</v>
      </c>
      <c r="B12263" t="s">
        <v>1298</v>
      </c>
      <c r="C12263" t="s">
        <v>1301</v>
      </c>
      <c r="D12263" t="s">
        <v>1426</v>
      </c>
      <c r="E12263" t="s">
        <v>187</v>
      </c>
      <c r="F12263">
        <v>2005</v>
      </c>
      <c r="G12263">
        <v>1406.90993</v>
      </c>
    </row>
    <row r="12264" spans="1:7">
      <c r="A12264" t="s">
        <v>1297</v>
      </c>
      <c r="B12264" t="s">
        <v>1298</v>
      </c>
      <c r="C12264" t="s">
        <v>1301</v>
      </c>
      <c r="D12264" t="s">
        <v>1426</v>
      </c>
      <c r="E12264" t="s">
        <v>187</v>
      </c>
      <c r="F12264">
        <v>2010</v>
      </c>
      <c r="G12264">
        <v>1499.3763799999999</v>
      </c>
    </row>
    <row r="12265" spans="1:7">
      <c r="A12265" t="s">
        <v>1297</v>
      </c>
      <c r="B12265" t="s">
        <v>1298</v>
      </c>
      <c r="C12265" t="s">
        <v>1301</v>
      </c>
      <c r="D12265" t="s">
        <v>1426</v>
      </c>
      <c r="E12265" t="s">
        <v>187</v>
      </c>
      <c r="F12265">
        <v>2012</v>
      </c>
      <c r="G12265">
        <v>1687.853744</v>
      </c>
    </row>
    <row r="12266" spans="1:7">
      <c r="A12266" t="s">
        <v>1297</v>
      </c>
      <c r="B12266" t="s">
        <v>1298</v>
      </c>
      <c r="C12266" t="s">
        <v>1301</v>
      </c>
      <c r="D12266" t="s">
        <v>1426</v>
      </c>
      <c r="E12266" t="s">
        <v>187</v>
      </c>
      <c r="F12266">
        <v>2016</v>
      </c>
      <c r="G12266">
        <v>2147.0012099999999</v>
      </c>
    </row>
    <row r="12267" spans="1:7">
      <c r="A12267" t="s">
        <v>1297</v>
      </c>
      <c r="B12267" t="s">
        <v>1298</v>
      </c>
      <c r="C12267" t="s">
        <v>1301</v>
      </c>
      <c r="D12267" t="s">
        <v>1426</v>
      </c>
      <c r="E12267" t="s">
        <v>187</v>
      </c>
      <c r="F12267">
        <v>2020</v>
      </c>
      <c r="G12267">
        <v>2244.7476000000001</v>
      </c>
    </row>
    <row r="12268" spans="1:7">
      <c r="A12268" t="s">
        <v>1297</v>
      </c>
      <c r="B12268" t="s">
        <v>1298</v>
      </c>
      <c r="C12268" t="s">
        <v>680</v>
      </c>
      <c r="D12268" t="s">
        <v>1426</v>
      </c>
      <c r="E12268" t="s">
        <v>187</v>
      </c>
      <c r="F12268">
        <v>2005</v>
      </c>
      <c r="G12268">
        <v>40.796399999999998</v>
      </c>
    </row>
    <row r="12269" spans="1:7">
      <c r="A12269" t="s">
        <v>1297</v>
      </c>
      <c r="B12269" t="s">
        <v>1298</v>
      </c>
      <c r="C12269" t="s">
        <v>680</v>
      </c>
      <c r="D12269" t="s">
        <v>1426</v>
      </c>
      <c r="E12269" t="s">
        <v>187</v>
      </c>
      <c r="F12269">
        <v>2010</v>
      </c>
      <c r="G12269">
        <v>28.874500000000001</v>
      </c>
    </row>
    <row r="12270" spans="1:7">
      <c r="A12270" t="s">
        <v>1297</v>
      </c>
      <c r="B12270" t="s">
        <v>1298</v>
      </c>
      <c r="C12270" t="s">
        <v>680</v>
      </c>
      <c r="D12270" t="s">
        <v>1426</v>
      </c>
      <c r="E12270" t="s">
        <v>187</v>
      </c>
      <c r="F12270">
        <v>2012</v>
      </c>
      <c r="G12270">
        <v>29.5504</v>
      </c>
    </row>
    <row r="12271" spans="1:7">
      <c r="A12271" t="s">
        <v>1297</v>
      </c>
      <c r="B12271" t="s">
        <v>1298</v>
      </c>
      <c r="C12271" t="s">
        <v>680</v>
      </c>
      <c r="D12271" t="s">
        <v>1426</v>
      </c>
      <c r="E12271" t="s">
        <v>187</v>
      </c>
      <c r="F12271">
        <v>2016</v>
      </c>
      <c r="G12271">
        <v>40.227114</v>
      </c>
    </row>
    <row r="12272" spans="1:7">
      <c r="A12272" t="s">
        <v>1297</v>
      </c>
      <c r="B12272" t="s">
        <v>1298</v>
      </c>
      <c r="C12272" t="s">
        <v>680</v>
      </c>
      <c r="D12272" t="s">
        <v>1426</v>
      </c>
      <c r="E12272" t="s">
        <v>187</v>
      </c>
      <c r="F12272">
        <v>2020</v>
      </c>
      <c r="G12272">
        <v>38.044797000000003</v>
      </c>
    </row>
    <row r="12273" spans="1:7">
      <c r="A12273" t="s">
        <v>1297</v>
      </c>
      <c r="B12273" t="s">
        <v>1298</v>
      </c>
      <c r="C12273" t="s">
        <v>665</v>
      </c>
      <c r="D12273" t="s">
        <v>1426</v>
      </c>
      <c r="E12273" t="s">
        <v>187</v>
      </c>
      <c r="F12273">
        <v>2005</v>
      </c>
      <c r="G12273">
        <v>4532.0293339999998</v>
      </c>
    </row>
    <row r="12274" spans="1:7">
      <c r="A12274" t="s">
        <v>1297</v>
      </c>
      <c r="B12274" t="s">
        <v>1298</v>
      </c>
      <c r="C12274" t="s">
        <v>665</v>
      </c>
      <c r="D12274" t="s">
        <v>1426</v>
      </c>
      <c r="E12274" t="s">
        <v>187</v>
      </c>
      <c r="F12274">
        <v>2010</v>
      </c>
      <c r="G12274">
        <v>4056.6306049999998</v>
      </c>
    </row>
    <row r="12275" spans="1:7">
      <c r="A12275" t="s">
        <v>1297</v>
      </c>
      <c r="B12275" t="s">
        <v>1298</v>
      </c>
      <c r="C12275" t="s">
        <v>665</v>
      </c>
      <c r="D12275" t="s">
        <v>1426</v>
      </c>
      <c r="E12275" t="s">
        <v>187</v>
      </c>
      <c r="F12275">
        <v>2012</v>
      </c>
      <c r="G12275">
        <v>3576.4014590000002</v>
      </c>
    </row>
    <row r="12276" spans="1:7">
      <c r="A12276" t="s">
        <v>1297</v>
      </c>
      <c r="B12276" t="s">
        <v>1298</v>
      </c>
      <c r="C12276" t="s">
        <v>665</v>
      </c>
      <c r="D12276" t="s">
        <v>1426</v>
      </c>
      <c r="E12276" t="s">
        <v>187</v>
      </c>
      <c r="F12276">
        <v>2016</v>
      </c>
      <c r="G12276">
        <v>3423.620304</v>
      </c>
    </row>
    <row r="12277" spans="1:7">
      <c r="A12277" t="s">
        <v>1297</v>
      </c>
      <c r="B12277" t="s">
        <v>1298</v>
      </c>
      <c r="C12277" t="s">
        <v>665</v>
      </c>
      <c r="D12277" t="s">
        <v>1426</v>
      </c>
      <c r="E12277" t="s">
        <v>187</v>
      </c>
      <c r="F12277">
        <v>2020</v>
      </c>
      <c r="G12277">
        <v>3374.2650090000002</v>
      </c>
    </row>
    <row r="12278" spans="1:7">
      <c r="A12278" t="s">
        <v>1297</v>
      </c>
      <c r="B12278" t="s">
        <v>1298</v>
      </c>
      <c r="C12278" t="s">
        <v>684</v>
      </c>
      <c r="D12278" t="s">
        <v>1426</v>
      </c>
      <c r="E12278" t="s">
        <v>187</v>
      </c>
      <c r="F12278">
        <v>2005</v>
      </c>
      <c r="G12278">
        <v>12.46102</v>
      </c>
    </row>
    <row r="12279" spans="1:7">
      <c r="A12279" t="s">
        <v>1297</v>
      </c>
      <c r="B12279" t="s">
        <v>1298</v>
      </c>
      <c r="C12279" t="s">
        <v>684</v>
      </c>
      <c r="D12279" t="s">
        <v>1426</v>
      </c>
      <c r="E12279" t="s">
        <v>187</v>
      </c>
      <c r="F12279">
        <v>2010</v>
      </c>
      <c r="G12279">
        <v>13.795120000000001</v>
      </c>
    </row>
    <row r="12280" spans="1:7">
      <c r="A12280" t="s">
        <v>1297</v>
      </c>
      <c r="B12280" t="s">
        <v>1298</v>
      </c>
      <c r="C12280" t="s">
        <v>684</v>
      </c>
      <c r="D12280" t="s">
        <v>1426</v>
      </c>
      <c r="E12280" t="s">
        <v>187</v>
      </c>
      <c r="F12280">
        <v>2012</v>
      </c>
      <c r="G12280">
        <v>12.326420000000001</v>
      </c>
    </row>
    <row r="12281" spans="1:7">
      <c r="A12281" t="s">
        <v>1297</v>
      </c>
      <c r="B12281" t="s">
        <v>1298</v>
      </c>
      <c r="C12281" t="s">
        <v>684</v>
      </c>
      <c r="D12281" t="s">
        <v>1426</v>
      </c>
      <c r="E12281" t="s">
        <v>187</v>
      </c>
      <c r="F12281">
        <v>2016</v>
      </c>
      <c r="G12281">
        <v>15.088229999999999</v>
      </c>
    </row>
    <row r="12282" spans="1:7">
      <c r="A12282" t="s">
        <v>1297</v>
      </c>
      <c r="B12282" t="s">
        <v>1298</v>
      </c>
      <c r="C12282" t="s">
        <v>684</v>
      </c>
      <c r="D12282" t="s">
        <v>1426</v>
      </c>
      <c r="E12282" t="s">
        <v>187</v>
      </c>
      <c r="F12282">
        <v>2020</v>
      </c>
      <c r="G12282">
        <v>17.956775</v>
      </c>
    </row>
    <row r="12283" spans="1:7">
      <c r="A12283" t="s">
        <v>1297</v>
      </c>
      <c r="B12283" t="s">
        <v>1298</v>
      </c>
      <c r="C12283" t="s">
        <v>669</v>
      </c>
      <c r="D12283" t="s">
        <v>1426</v>
      </c>
      <c r="E12283" t="s">
        <v>187</v>
      </c>
      <c r="F12283">
        <v>2005</v>
      </c>
      <c r="G12283">
        <v>66.721400000000003</v>
      </c>
    </row>
    <row r="12284" spans="1:7">
      <c r="A12284" t="s">
        <v>1297</v>
      </c>
      <c r="B12284" t="s">
        <v>1298</v>
      </c>
      <c r="C12284" t="s">
        <v>669</v>
      </c>
      <c r="D12284" t="s">
        <v>1426</v>
      </c>
      <c r="E12284" t="s">
        <v>187</v>
      </c>
      <c r="F12284">
        <v>2010</v>
      </c>
      <c r="G12284">
        <v>99.665000000000006</v>
      </c>
    </row>
    <row r="12285" spans="1:7">
      <c r="A12285" t="s">
        <v>1297</v>
      </c>
      <c r="B12285" t="s">
        <v>1298</v>
      </c>
      <c r="C12285" t="s">
        <v>669</v>
      </c>
      <c r="D12285" t="s">
        <v>1426</v>
      </c>
      <c r="E12285" t="s">
        <v>187</v>
      </c>
      <c r="F12285">
        <v>2012</v>
      </c>
      <c r="G12285">
        <v>91.800299999999993</v>
      </c>
    </row>
    <row r="12286" spans="1:7">
      <c r="A12286" t="s">
        <v>1297</v>
      </c>
      <c r="B12286" t="s">
        <v>1298</v>
      </c>
      <c r="C12286" t="s">
        <v>669</v>
      </c>
      <c r="D12286" t="s">
        <v>1426</v>
      </c>
      <c r="E12286" t="s">
        <v>187</v>
      </c>
      <c r="F12286">
        <v>2016</v>
      </c>
      <c r="G12286">
        <v>110.333</v>
      </c>
    </row>
    <row r="12287" spans="1:7">
      <c r="A12287" t="s">
        <v>1297</v>
      </c>
      <c r="B12287" t="s">
        <v>1298</v>
      </c>
      <c r="C12287" t="s">
        <v>669</v>
      </c>
      <c r="D12287" t="s">
        <v>1426</v>
      </c>
      <c r="E12287" t="s">
        <v>187</v>
      </c>
      <c r="F12287">
        <v>2020</v>
      </c>
      <c r="G12287">
        <v>128.38522800000001</v>
      </c>
    </row>
    <row r="12288" spans="1:7">
      <c r="A12288" t="s">
        <v>1297</v>
      </c>
      <c r="B12288" t="s">
        <v>1298</v>
      </c>
      <c r="C12288" t="s">
        <v>668</v>
      </c>
      <c r="D12288" t="s">
        <v>1426</v>
      </c>
      <c r="E12288" t="s">
        <v>187</v>
      </c>
      <c r="F12288">
        <v>2005</v>
      </c>
      <c r="G12288">
        <v>95.743144999999998</v>
      </c>
    </row>
    <row r="12289" spans="1:7">
      <c r="A12289" t="s">
        <v>1297</v>
      </c>
      <c r="B12289" t="s">
        <v>1298</v>
      </c>
      <c r="C12289" t="s">
        <v>668</v>
      </c>
      <c r="D12289" t="s">
        <v>1426</v>
      </c>
      <c r="E12289" t="s">
        <v>187</v>
      </c>
      <c r="F12289">
        <v>2010</v>
      </c>
      <c r="G12289">
        <v>81.240140999999994</v>
      </c>
    </row>
    <row r="12290" spans="1:7">
      <c r="A12290" t="s">
        <v>1297</v>
      </c>
      <c r="B12290" t="s">
        <v>1298</v>
      </c>
      <c r="C12290" t="s">
        <v>668</v>
      </c>
      <c r="D12290" t="s">
        <v>1426</v>
      </c>
      <c r="E12290" t="s">
        <v>187</v>
      </c>
      <c r="F12290">
        <v>2012</v>
      </c>
      <c r="G12290">
        <v>91.388788000000005</v>
      </c>
    </row>
    <row r="12291" spans="1:7">
      <c r="A12291" t="s">
        <v>1297</v>
      </c>
      <c r="B12291" t="s">
        <v>1298</v>
      </c>
      <c r="C12291" t="s">
        <v>668</v>
      </c>
      <c r="D12291" t="s">
        <v>1426</v>
      </c>
      <c r="E12291" t="s">
        <v>187</v>
      </c>
      <c r="F12291">
        <v>2016</v>
      </c>
      <c r="G12291">
        <v>117.08884</v>
      </c>
    </row>
    <row r="12292" spans="1:7">
      <c r="A12292" t="s">
        <v>1297</v>
      </c>
      <c r="B12292" t="s">
        <v>1298</v>
      </c>
      <c r="C12292" t="s">
        <v>668</v>
      </c>
      <c r="D12292" t="s">
        <v>1426</v>
      </c>
      <c r="E12292" t="s">
        <v>187</v>
      </c>
      <c r="F12292">
        <v>2020</v>
      </c>
      <c r="G12292">
        <v>97.646904000000006</v>
      </c>
    </row>
    <row r="12293" spans="1:7">
      <c r="A12293" t="s">
        <v>1297</v>
      </c>
      <c r="B12293" t="s">
        <v>1298</v>
      </c>
      <c r="C12293" t="s">
        <v>653</v>
      </c>
      <c r="D12293" t="s">
        <v>1426</v>
      </c>
      <c r="E12293" t="s">
        <v>187</v>
      </c>
      <c r="F12293">
        <v>2005</v>
      </c>
      <c r="G12293">
        <v>328.48258399999997</v>
      </c>
    </row>
    <row r="12294" spans="1:7">
      <c r="A12294" t="s">
        <v>1297</v>
      </c>
      <c r="B12294" t="s">
        <v>1298</v>
      </c>
      <c r="C12294" t="s">
        <v>653</v>
      </c>
      <c r="D12294" t="s">
        <v>1426</v>
      </c>
      <c r="E12294" t="s">
        <v>187</v>
      </c>
      <c r="F12294">
        <v>2010</v>
      </c>
      <c r="G12294">
        <v>324.70189599999998</v>
      </c>
    </row>
    <row r="12295" spans="1:7">
      <c r="A12295" t="s">
        <v>1297</v>
      </c>
      <c r="B12295" t="s">
        <v>1298</v>
      </c>
      <c r="C12295" t="s">
        <v>671</v>
      </c>
      <c r="D12295" t="s">
        <v>1426</v>
      </c>
      <c r="E12295" t="s">
        <v>187</v>
      </c>
      <c r="F12295">
        <v>2010</v>
      </c>
      <c r="G12295">
        <v>1223.3864840000001</v>
      </c>
    </row>
    <row r="12296" spans="1:7">
      <c r="A12296" t="s">
        <v>1297</v>
      </c>
      <c r="B12296" t="s">
        <v>1298</v>
      </c>
      <c r="C12296" t="s">
        <v>671</v>
      </c>
      <c r="D12296" t="s">
        <v>1426</v>
      </c>
      <c r="E12296" t="s">
        <v>187</v>
      </c>
      <c r="F12296">
        <v>2012</v>
      </c>
      <c r="G12296">
        <v>1262.5975060000001</v>
      </c>
    </row>
    <row r="12297" spans="1:7">
      <c r="A12297" t="s">
        <v>1297</v>
      </c>
      <c r="B12297" t="s">
        <v>1298</v>
      </c>
      <c r="C12297" t="s">
        <v>671</v>
      </c>
      <c r="D12297" t="s">
        <v>1426</v>
      </c>
      <c r="E12297" t="s">
        <v>187</v>
      </c>
      <c r="F12297">
        <v>2016</v>
      </c>
      <c r="G12297">
        <v>1365.891611</v>
      </c>
    </row>
    <row r="12298" spans="1:7">
      <c r="A12298" t="s">
        <v>1297</v>
      </c>
      <c r="B12298" t="s">
        <v>1298</v>
      </c>
      <c r="C12298" t="s">
        <v>671</v>
      </c>
      <c r="D12298" t="s">
        <v>1426</v>
      </c>
      <c r="E12298" t="s">
        <v>187</v>
      </c>
      <c r="F12298">
        <v>2020</v>
      </c>
      <c r="G12298">
        <v>1513.935287</v>
      </c>
    </row>
    <row r="12299" spans="1:7">
      <c r="A12299" t="s">
        <v>1297</v>
      </c>
      <c r="B12299" t="s">
        <v>1298</v>
      </c>
      <c r="C12299" t="s">
        <v>674</v>
      </c>
      <c r="D12299" t="s">
        <v>1426</v>
      </c>
      <c r="E12299" t="s">
        <v>187</v>
      </c>
      <c r="F12299">
        <v>2005</v>
      </c>
      <c r="G12299">
        <v>1175.0271580000001</v>
      </c>
    </row>
    <row r="12300" spans="1:7">
      <c r="A12300" t="s">
        <v>1297</v>
      </c>
      <c r="B12300" t="s">
        <v>1298</v>
      </c>
      <c r="C12300" t="s">
        <v>674</v>
      </c>
      <c r="D12300" t="s">
        <v>1426</v>
      </c>
      <c r="E12300" t="s">
        <v>187</v>
      </c>
      <c r="F12300">
        <v>2010</v>
      </c>
      <c r="G12300">
        <v>1186.5116969999999</v>
      </c>
    </row>
    <row r="12301" spans="1:7">
      <c r="A12301" t="s">
        <v>1297</v>
      </c>
      <c r="B12301" t="s">
        <v>1298</v>
      </c>
      <c r="C12301" t="s">
        <v>674</v>
      </c>
      <c r="D12301" t="s">
        <v>1426</v>
      </c>
      <c r="E12301" t="s">
        <v>187</v>
      </c>
      <c r="F12301">
        <v>2012</v>
      </c>
      <c r="G12301">
        <v>1170.3827690000001</v>
      </c>
    </row>
    <row r="12302" spans="1:7">
      <c r="A12302" t="s">
        <v>1297</v>
      </c>
      <c r="B12302" t="s">
        <v>1298</v>
      </c>
      <c r="C12302" t="s">
        <v>674</v>
      </c>
      <c r="D12302" t="s">
        <v>1426</v>
      </c>
      <c r="E12302" t="s">
        <v>187</v>
      </c>
      <c r="F12302">
        <v>2016</v>
      </c>
      <c r="G12302">
        <v>1298.1355370000001</v>
      </c>
    </row>
    <row r="12303" spans="1:7">
      <c r="A12303" t="s">
        <v>1297</v>
      </c>
      <c r="B12303" t="s">
        <v>1298</v>
      </c>
      <c r="C12303" t="s">
        <v>674</v>
      </c>
      <c r="D12303" t="s">
        <v>1426</v>
      </c>
      <c r="E12303" t="s">
        <v>187</v>
      </c>
      <c r="F12303">
        <v>2020</v>
      </c>
      <c r="G12303">
        <v>1056.3117999999999</v>
      </c>
    </row>
    <row r="12304" spans="1:7">
      <c r="A12304" t="s">
        <v>1297</v>
      </c>
      <c r="B12304" t="s">
        <v>1298</v>
      </c>
      <c r="C12304" t="s">
        <v>685</v>
      </c>
      <c r="D12304" t="s">
        <v>1426</v>
      </c>
      <c r="E12304" t="s">
        <v>187</v>
      </c>
      <c r="F12304">
        <v>2005</v>
      </c>
      <c r="G12304">
        <v>52.923299</v>
      </c>
    </row>
    <row r="12305" spans="1:7">
      <c r="A12305" t="s">
        <v>1297</v>
      </c>
      <c r="B12305" t="s">
        <v>1298</v>
      </c>
      <c r="C12305" t="s">
        <v>685</v>
      </c>
      <c r="D12305" t="s">
        <v>1426</v>
      </c>
      <c r="E12305" t="s">
        <v>187</v>
      </c>
      <c r="F12305">
        <v>2010</v>
      </c>
      <c r="G12305">
        <v>52.502170999999997</v>
      </c>
    </row>
    <row r="12306" spans="1:7">
      <c r="A12306" t="s">
        <v>1297</v>
      </c>
      <c r="B12306" t="s">
        <v>1298</v>
      </c>
      <c r="C12306" t="s">
        <v>685</v>
      </c>
      <c r="D12306" t="s">
        <v>1426</v>
      </c>
      <c r="E12306" t="s">
        <v>187</v>
      </c>
      <c r="F12306">
        <v>2012</v>
      </c>
      <c r="G12306">
        <v>51.968060999999999</v>
      </c>
    </row>
    <row r="12307" spans="1:7">
      <c r="A12307" t="s">
        <v>1297</v>
      </c>
      <c r="B12307" t="s">
        <v>1298</v>
      </c>
      <c r="C12307" t="s">
        <v>685</v>
      </c>
      <c r="D12307" t="s">
        <v>1426</v>
      </c>
      <c r="E12307" t="s">
        <v>187</v>
      </c>
      <c r="F12307">
        <v>2016</v>
      </c>
      <c r="G12307">
        <v>50.559961000000001</v>
      </c>
    </row>
    <row r="12308" spans="1:7">
      <c r="A12308" t="s">
        <v>1297</v>
      </c>
      <c r="B12308" t="s">
        <v>1298</v>
      </c>
      <c r="C12308" t="s">
        <v>685</v>
      </c>
      <c r="D12308" t="s">
        <v>1426</v>
      </c>
      <c r="E12308" t="s">
        <v>187</v>
      </c>
      <c r="F12308">
        <v>2020</v>
      </c>
      <c r="G12308">
        <v>52.639682999999998</v>
      </c>
    </row>
    <row r="12309" spans="1:7">
      <c r="A12309" t="s">
        <v>1297</v>
      </c>
      <c r="B12309" t="s">
        <v>1298</v>
      </c>
      <c r="C12309" t="s">
        <v>661</v>
      </c>
      <c r="D12309" t="s">
        <v>1426</v>
      </c>
      <c r="E12309" t="s">
        <v>187</v>
      </c>
      <c r="F12309">
        <v>2005</v>
      </c>
      <c r="G12309">
        <v>5164.4479069999998</v>
      </c>
    </row>
    <row r="12310" spans="1:7">
      <c r="A12310" t="s">
        <v>1297</v>
      </c>
      <c r="B12310" t="s">
        <v>1298</v>
      </c>
      <c r="C12310" t="s">
        <v>661</v>
      </c>
      <c r="D12310" t="s">
        <v>1426</v>
      </c>
      <c r="E12310" t="s">
        <v>187</v>
      </c>
      <c r="F12310">
        <v>2010</v>
      </c>
      <c r="G12310">
        <v>4450.7722389999999</v>
      </c>
    </row>
    <row r="12311" spans="1:7">
      <c r="A12311" t="s">
        <v>1297</v>
      </c>
      <c r="B12311" t="s">
        <v>1298</v>
      </c>
      <c r="C12311" t="s">
        <v>661</v>
      </c>
      <c r="D12311" t="s">
        <v>1426</v>
      </c>
      <c r="E12311" t="s">
        <v>187</v>
      </c>
      <c r="F12311">
        <v>2012</v>
      </c>
      <c r="G12311">
        <v>4334.5719449999997</v>
      </c>
    </row>
    <row r="12312" spans="1:7">
      <c r="A12312" t="s">
        <v>1297</v>
      </c>
      <c r="B12312" t="s">
        <v>1298</v>
      </c>
      <c r="C12312" t="s">
        <v>661</v>
      </c>
      <c r="D12312" t="s">
        <v>1426</v>
      </c>
      <c r="E12312" t="s">
        <v>187</v>
      </c>
      <c r="F12312">
        <v>2016</v>
      </c>
      <c r="G12312">
        <v>4152.6826769999998</v>
      </c>
    </row>
    <row r="12313" spans="1:7">
      <c r="A12313" t="s">
        <v>1297</v>
      </c>
      <c r="B12313" t="s">
        <v>1298</v>
      </c>
      <c r="C12313" t="s">
        <v>661</v>
      </c>
      <c r="D12313" t="s">
        <v>1426</v>
      </c>
      <c r="E12313" t="s">
        <v>187</v>
      </c>
      <c r="F12313">
        <v>2020</v>
      </c>
      <c r="G12313">
        <v>3987.1119090000002</v>
      </c>
    </row>
    <row r="12314" spans="1:7">
      <c r="A12314" t="s">
        <v>1297</v>
      </c>
      <c r="B12314" t="s">
        <v>1298</v>
      </c>
      <c r="C12314" t="s">
        <v>653</v>
      </c>
      <c r="D12314" t="s">
        <v>1426</v>
      </c>
      <c r="E12314" t="s">
        <v>187</v>
      </c>
      <c r="F12314">
        <v>2012</v>
      </c>
      <c r="G12314">
        <v>341.10695500000003</v>
      </c>
    </row>
    <row r="12315" spans="1:7">
      <c r="A12315" t="s">
        <v>1297</v>
      </c>
      <c r="B12315" t="s">
        <v>1298</v>
      </c>
      <c r="C12315" t="s">
        <v>653</v>
      </c>
      <c r="D12315" t="s">
        <v>1426</v>
      </c>
      <c r="E12315" t="s">
        <v>187</v>
      </c>
      <c r="F12315">
        <v>2016</v>
      </c>
      <c r="G12315">
        <v>379.47416700000002</v>
      </c>
    </row>
    <row r="12316" spans="1:7">
      <c r="A12316" t="s">
        <v>1297</v>
      </c>
      <c r="B12316" t="s">
        <v>1298</v>
      </c>
      <c r="C12316" t="s">
        <v>653</v>
      </c>
      <c r="D12316" t="s">
        <v>1426</v>
      </c>
      <c r="E12316" t="s">
        <v>187</v>
      </c>
      <c r="F12316">
        <v>2020</v>
      </c>
      <c r="G12316">
        <v>390.04633200000001</v>
      </c>
    </row>
    <row r="12317" spans="1:7">
      <c r="A12317" t="s">
        <v>1297</v>
      </c>
      <c r="B12317" t="s">
        <v>1298</v>
      </c>
      <c r="C12317" t="s">
        <v>654</v>
      </c>
      <c r="D12317" t="s">
        <v>1426</v>
      </c>
      <c r="E12317" t="s">
        <v>187</v>
      </c>
      <c r="F12317">
        <v>2005</v>
      </c>
      <c r="G12317">
        <v>117.486198</v>
      </c>
    </row>
    <row r="12318" spans="1:7">
      <c r="A12318" t="s">
        <v>1297</v>
      </c>
      <c r="B12318" t="s">
        <v>1298</v>
      </c>
      <c r="C12318" t="s">
        <v>654</v>
      </c>
      <c r="D12318" t="s">
        <v>1426</v>
      </c>
      <c r="E12318" t="s">
        <v>187</v>
      </c>
      <c r="F12318">
        <v>2010</v>
      </c>
      <c r="G12318">
        <v>122.65893</v>
      </c>
    </row>
    <row r="12319" spans="1:7">
      <c r="A12319" t="s">
        <v>1297</v>
      </c>
      <c r="B12319" t="s">
        <v>1298</v>
      </c>
      <c r="C12319" t="s">
        <v>654</v>
      </c>
      <c r="D12319" t="s">
        <v>1426</v>
      </c>
      <c r="E12319" t="s">
        <v>187</v>
      </c>
      <c r="F12319">
        <v>2012</v>
      </c>
      <c r="G12319">
        <v>109.898416</v>
      </c>
    </row>
    <row r="12320" spans="1:7">
      <c r="A12320" t="s">
        <v>1297</v>
      </c>
      <c r="B12320" t="s">
        <v>1298</v>
      </c>
      <c r="C12320" t="s">
        <v>654</v>
      </c>
      <c r="D12320" t="s">
        <v>1426</v>
      </c>
      <c r="E12320" t="s">
        <v>187</v>
      </c>
      <c r="F12320">
        <v>2016</v>
      </c>
      <c r="G12320">
        <v>109.12617</v>
      </c>
    </row>
    <row r="12321" spans="1:7">
      <c r="A12321" t="s">
        <v>1297</v>
      </c>
      <c r="B12321" t="s">
        <v>1298</v>
      </c>
      <c r="C12321" t="s">
        <v>654</v>
      </c>
      <c r="D12321" t="s">
        <v>1426</v>
      </c>
      <c r="E12321" t="s">
        <v>187</v>
      </c>
      <c r="F12321">
        <v>2020</v>
      </c>
      <c r="G12321">
        <v>109.145003</v>
      </c>
    </row>
    <row r="12322" spans="1:7">
      <c r="A12322" t="s">
        <v>1297</v>
      </c>
      <c r="B12322" t="s">
        <v>1298</v>
      </c>
      <c r="C12322" t="s">
        <v>675</v>
      </c>
      <c r="D12322" t="s">
        <v>1426</v>
      </c>
      <c r="E12322" t="s">
        <v>187</v>
      </c>
      <c r="F12322">
        <v>2005</v>
      </c>
      <c r="G12322">
        <v>119.4637</v>
      </c>
    </row>
    <row r="12323" spans="1:7">
      <c r="A12323" t="s">
        <v>1297</v>
      </c>
      <c r="B12323" t="s">
        <v>1298</v>
      </c>
      <c r="C12323" t="s">
        <v>675</v>
      </c>
      <c r="D12323" t="s">
        <v>1426</v>
      </c>
      <c r="E12323" t="s">
        <v>187</v>
      </c>
      <c r="F12323">
        <v>2010</v>
      </c>
      <c r="G12323">
        <v>137.63237599999999</v>
      </c>
    </row>
    <row r="12324" spans="1:7">
      <c r="A12324" t="s">
        <v>1297</v>
      </c>
      <c r="B12324" t="s">
        <v>1298</v>
      </c>
      <c r="C12324" t="s">
        <v>675</v>
      </c>
      <c r="D12324" t="s">
        <v>1426</v>
      </c>
      <c r="E12324" t="s">
        <v>187</v>
      </c>
      <c r="F12324">
        <v>2012</v>
      </c>
      <c r="G12324">
        <v>146.28859800000001</v>
      </c>
    </row>
    <row r="12325" spans="1:7">
      <c r="A12325" t="s">
        <v>1297</v>
      </c>
      <c r="B12325" t="s">
        <v>1298</v>
      </c>
      <c r="C12325" t="s">
        <v>675</v>
      </c>
      <c r="D12325" t="s">
        <v>1426</v>
      </c>
      <c r="E12325" t="s">
        <v>187</v>
      </c>
      <c r="F12325">
        <v>2016</v>
      </c>
      <c r="G12325">
        <v>192.85044300000001</v>
      </c>
    </row>
    <row r="12326" spans="1:7">
      <c r="A12326" t="s">
        <v>1297</v>
      </c>
      <c r="B12326" t="s">
        <v>1298</v>
      </c>
      <c r="C12326" t="s">
        <v>675</v>
      </c>
      <c r="D12326" t="s">
        <v>1426</v>
      </c>
      <c r="E12326" t="s">
        <v>187</v>
      </c>
      <c r="F12326">
        <v>2020</v>
      </c>
      <c r="G12326">
        <v>207.31983700000001</v>
      </c>
    </row>
    <row r="12327" spans="1:7">
      <c r="A12327" t="s">
        <v>1297</v>
      </c>
      <c r="B12327" t="s">
        <v>1298</v>
      </c>
      <c r="C12327" t="s">
        <v>659</v>
      </c>
      <c r="D12327" t="s">
        <v>1426</v>
      </c>
      <c r="E12327" t="s">
        <v>187</v>
      </c>
      <c r="F12327">
        <v>2005</v>
      </c>
      <c r="G12327">
        <v>3690.0617999999999</v>
      </c>
    </row>
    <row r="12328" spans="1:7">
      <c r="A12328" t="s">
        <v>1297</v>
      </c>
      <c r="B12328" t="s">
        <v>1298</v>
      </c>
      <c r="C12328" t="s">
        <v>659</v>
      </c>
      <c r="D12328" t="s">
        <v>1426</v>
      </c>
      <c r="E12328" t="s">
        <v>187</v>
      </c>
      <c r="F12328">
        <v>2010</v>
      </c>
      <c r="G12328">
        <v>3386.2060999999999</v>
      </c>
    </row>
    <row r="12329" spans="1:7">
      <c r="A12329" t="s">
        <v>1297</v>
      </c>
      <c r="B12329" t="s">
        <v>1298</v>
      </c>
      <c r="C12329" t="s">
        <v>659</v>
      </c>
      <c r="D12329" t="s">
        <v>1426</v>
      </c>
      <c r="E12329" t="s">
        <v>187</v>
      </c>
      <c r="F12329">
        <v>2012</v>
      </c>
      <c r="G12329">
        <v>3325.4137999999998</v>
      </c>
    </row>
    <row r="12330" spans="1:7">
      <c r="A12330" t="s">
        <v>1297</v>
      </c>
      <c r="B12330" t="s">
        <v>1298</v>
      </c>
      <c r="C12330" t="s">
        <v>659</v>
      </c>
      <c r="D12330" t="s">
        <v>1426</v>
      </c>
      <c r="E12330" t="s">
        <v>187</v>
      </c>
      <c r="F12330">
        <v>2016</v>
      </c>
      <c r="G12330">
        <v>3601.1253999999999</v>
      </c>
    </row>
    <row r="12331" spans="1:7">
      <c r="A12331" t="s">
        <v>1297</v>
      </c>
      <c r="B12331" t="s">
        <v>1298</v>
      </c>
      <c r="C12331" t="s">
        <v>659</v>
      </c>
      <c r="D12331" t="s">
        <v>1426</v>
      </c>
      <c r="E12331" t="s">
        <v>187</v>
      </c>
      <c r="F12331">
        <v>2020</v>
      </c>
      <c r="G12331">
        <v>3716.8307</v>
      </c>
    </row>
    <row r="12332" spans="1:7">
      <c r="A12332" t="s">
        <v>1297</v>
      </c>
      <c r="B12332" t="s">
        <v>1298</v>
      </c>
      <c r="C12332" t="s">
        <v>1300</v>
      </c>
      <c r="D12332" t="s">
        <v>1426</v>
      </c>
      <c r="E12332" t="s">
        <v>187</v>
      </c>
      <c r="F12332">
        <v>2010</v>
      </c>
      <c r="G12332">
        <v>31.073326999999999</v>
      </c>
    </row>
    <row r="12333" spans="1:7">
      <c r="A12333" t="s">
        <v>1297</v>
      </c>
      <c r="B12333" t="s">
        <v>1298</v>
      </c>
      <c r="C12333" t="s">
        <v>1300</v>
      </c>
      <c r="D12333" t="s">
        <v>1426</v>
      </c>
      <c r="E12333" t="s">
        <v>187</v>
      </c>
      <c r="F12333">
        <v>2012</v>
      </c>
      <c r="G12333">
        <v>31.950289000000001</v>
      </c>
    </row>
    <row r="12334" spans="1:7">
      <c r="A12334" t="s">
        <v>1297</v>
      </c>
      <c r="B12334" t="s">
        <v>1298</v>
      </c>
      <c r="C12334" t="s">
        <v>1300</v>
      </c>
      <c r="D12334" t="s">
        <v>1426</v>
      </c>
      <c r="E12334" t="s">
        <v>187</v>
      </c>
      <c r="F12334">
        <v>2016</v>
      </c>
      <c r="G12334">
        <v>38.574796999999997</v>
      </c>
    </row>
    <row r="12335" spans="1:7">
      <c r="A12335" t="s">
        <v>1297</v>
      </c>
      <c r="B12335" t="s">
        <v>1298</v>
      </c>
      <c r="C12335" t="s">
        <v>1300</v>
      </c>
      <c r="D12335" t="s">
        <v>1426</v>
      </c>
      <c r="E12335" t="s">
        <v>187</v>
      </c>
      <c r="F12335">
        <v>2020</v>
      </c>
      <c r="G12335">
        <v>43.271273000000001</v>
      </c>
    </row>
    <row r="12336" spans="1:7">
      <c r="A12336" t="s">
        <v>1297</v>
      </c>
      <c r="B12336" t="s">
        <v>1298</v>
      </c>
      <c r="C12336" t="s">
        <v>1299</v>
      </c>
      <c r="D12336" t="s">
        <v>1426</v>
      </c>
      <c r="E12336" t="s">
        <v>187</v>
      </c>
      <c r="F12336">
        <v>2005</v>
      </c>
      <c r="G12336">
        <v>719.51502100000005</v>
      </c>
    </row>
    <row r="12337" spans="1:7">
      <c r="A12337" t="s">
        <v>1297</v>
      </c>
      <c r="B12337" t="s">
        <v>1298</v>
      </c>
      <c r="C12337" t="s">
        <v>1299</v>
      </c>
      <c r="D12337" t="s">
        <v>1426</v>
      </c>
      <c r="E12337" t="s">
        <v>187</v>
      </c>
      <c r="F12337">
        <v>2010</v>
      </c>
      <c r="G12337">
        <v>582.55037900000002</v>
      </c>
    </row>
    <row r="12338" spans="1:7">
      <c r="A12338" t="s">
        <v>1297</v>
      </c>
      <c r="B12338" t="s">
        <v>1298</v>
      </c>
      <c r="C12338" t="s">
        <v>1299</v>
      </c>
      <c r="D12338" t="s">
        <v>1426</v>
      </c>
      <c r="E12338" t="s">
        <v>187</v>
      </c>
      <c r="F12338">
        <v>2012</v>
      </c>
      <c r="G12338">
        <v>417.52773200000001</v>
      </c>
    </row>
    <row r="12339" spans="1:7">
      <c r="A12339" t="s">
        <v>1297</v>
      </c>
      <c r="B12339" t="s">
        <v>1298</v>
      </c>
      <c r="C12339" t="s">
        <v>1299</v>
      </c>
      <c r="D12339" t="s">
        <v>1426</v>
      </c>
      <c r="E12339" t="s">
        <v>187</v>
      </c>
      <c r="F12339">
        <v>2016</v>
      </c>
      <c r="G12339">
        <v>403.29592400000001</v>
      </c>
    </row>
    <row r="12340" spans="1:7">
      <c r="A12340" t="s">
        <v>1297</v>
      </c>
      <c r="B12340" t="s">
        <v>1298</v>
      </c>
      <c r="C12340" t="s">
        <v>1299</v>
      </c>
      <c r="D12340" t="s">
        <v>1426</v>
      </c>
      <c r="E12340" t="s">
        <v>187</v>
      </c>
      <c r="F12340">
        <v>2020</v>
      </c>
      <c r="G12340">
        <v>490.84228999999999</v>
      </c>
    </row>
    <row r="12341" spans="1:7">
      <c r="A12341" t="s">
        <v>1297</v>
      </c>
      <c r="B12341" t="s">
        <v>1298</v>
      </c>
      <c r="C12341" t="s">
        <v>655</v>
      </c>
      <c r="D12341" t="s">
        <v>1426</v>
      </c>
      <c r="E12341" t="s">
        <v>187</v>
      </c>
      <c r="F12341">
        <v>2005</v>
      </c>
      <c r="G12341">
        <v>458.72459500000002</v>
      </c>
    </row>
    <row r="12342" spans="1:7">
      <c r="A12342" t="s">
        <v>1297</v>
      </c>
      <c r="B12342" t="s">
        <v>1298</v>
      </c>
      <c r="C12342" t="s">
        <v>655</v>
      </c>
      <c r="D12342" t="s">
        <v>1426</v>
      </c>
      <c r="E12342" t="s">
        <v>187</v>
      </c>
      <c r="F12342">
        <v>2010</v>
      </c>
      <c r="G12342">
        <v>444.17654800000003</v>
      </c>
    </row>
    <row r="12343" spans="1:7">
      <c r="A12343" t="s">
        <v>1297</v>
      </c>
      <c r="B12343" t="s">
        <v>1298</v>
      </c>
      <c r="C12343" t="s">
        <v>655</v>
      </c>
      <c r="D12343" t="s">
        <v>1426</v>
      </c>
      <c r="E12343" t="s">
        <v>187</v>
      </c>
      <c r="F12343">
        <v>2012</v>
      </c>
      <c r="G12343">
        <v>427.05303500000002</v>
      </c>
    </row>
    <row r="12344" spans="1:7">
      <c r="A12344" t="s">
        <v>1297</v>
      </c>
      <c r="B12344" t="s">
        <v>1298</v>
      </c>
      <c r="C12344" t="s">
        <v>655</v>
      </c>
      <c r="D12344" t="s">
        <v>1426</v>
      </c>
      <c r="E12344" t="s">
        <v>187</v>
      </c>
      <c r="F12344">
        <v>2016</v>
      </c>
      <c r="G12344">
        <v>431.15137800000002</v>
      </c>
    </row>
    <row r="12345" spans="1:7">
      <c r="A12345" t="s">
        <v>1297</v>
      </c>
      <c r="B12345" t="s">
        <v>1298</v>
      </c>
      <c r="C12345" t="s">
        <v>652</v>
      </c>
      <c r="D12345" t="s">
        <v>1426</v>
      </c>
      <c r="E12345" t="s">
        <v>187</v>
      </c>
      <c r="F12345">
        <v>2005</v>
      </c>
      <c r="G12345">
        <v>2446.7556909999998</v>
      </c>
    </row>
    <row r="12346" spans="1:7">
      <c r="A12346" t="s">
        <v>1297</v>
      </c>
      <c r="B12346" t="s">
        <v>1298</v>
      </c>
      <c r="C12346" t="s">
        <v>652</v>
      </c>
      <c r="D12346" t="s">
        <v>1426</v>
      </c>
      <c r="E12346" t="s">
        <v>187</v>
      </c>
      <c r="F12346">
        <v>2010</v>
      </c>
      <c r="G12346">
        <v>2376.2245440000002</v>
      </c>
    </row>
    <row r="12347" spans="1:7">
      <c r="A12347" t="s">
        <v>1297</v>
      </c>
      <c r="B12347" t="s">
        <v>1298</v>
      </c>
      <c r="C12347" t="s">
        <v>652</v>
      </c>
      <c r="D12347" t="s">
        <v>1426</v>
      </c>
      <c r="E12347" t="s">
        <v>187</v>
      </c>
      <c r="F12347">
        <v>2012</v>
      </c>
      <c r="G12347">
        <v>2284.423468</v>
      </c>
    </row>
    <row r="12348" spans="1:7">
      <c r="A12348" t="s">
        <v>1297</v>
      </c>
      <c r="B12348" t="s">
        <v>1298</v>
      </c>
      <c r="C12348" t="s">
        <v>652</v>
      </c>
      <c r="D12348" t="s">
        <v>1426</v>
      </c>
      <c r="E12348" t="s">
        <v>187</v>
      </c>
      <c r="F12348">
        <v>2016</v>
      </c>
      <c r="G12348">
        <v>2462.1618800000001</v>
      </c>
    </row>
    <row r="12349" spans="1:7">
      <c r="A12349" t="s">
        <v>1297</v>
      </c>
      <c r="B12349" t="s">
        <v>1298</v>
      </c>
      <c r="C12349" t="s">
        <v>652</v>
      </c>
      <c r="D12349" t="s">
        <v>1426</v>
      </c>
      <c r="E12349" t="s">
        <v>187</v>
      </c>
      <c r="F12349">
        <v>2020</v>
      </c>
      <c r="G12349">
        <v>2641.5368450000001</v>
      </c>
    </row>
    <row r="12350" spans="1:7">
      <c r="A12350" t="s">
        <v>1297</v>
      </c>
      <c r="B12350" t="s">
        <v>1298</v>
      </c>
      <c r="C12350" t="s">
        <v>664</v>
      </c>
      <c r="D12350" t="s">
        <v>1426</v>
      </c>
      <c r="E12350" t="s">
        <v>187</v>
      </c>
      <c r="F12350">
        <v>2005</v>
      </c>
      <c r="G12350">
        <v>433.46299800000003</v>
      </c>
    </row>
    <row r="12351" spans="1:7">
      <c r="A12351" t="s">
        <v>1297</v>
      </c>
      <c r="B12351" t="s">
        <v>1298</v>
      </c>
      <c r="C12351" t="s">
        <v>664</v>
      </c>
      <c r="D12351" t="s">
        <v>1426</v>
      </c>
      <c r="E12351" t="s">
        <v>187</v>
      </c>
      <c r="F12351">
        <v>2010</v>
      </c>
      <c r="G12351">
        <v>385.68579999999997</v>
      </c>
    </row>
    <row r="12352" spans="1:7">
      <c r="A12352" t="s">
        <v>1297</v>
      </c>
      <c r="B12352" t="s">
        <v>1298</v>
      </c>
      <c r="C12352" t="s">
        <v>664</v>
      </c>
      <c r="D12352" t="s">
        <v>1426</v>
      </c>
      <c r="E12352" t="s">
        <v>187</v>
      </c>
      <c r="F12352">
        <v>2012</v>
      </c>
      <c r="G12352">
        <v>350.41774600000002</v>
      </c>
    </row>
    <row r="12353" spans="1:7">
      <c r="A12353" t="s">
        <v>1297</v>
      </c>
      <c r="B12353" t="s">
        <v>1298</v>
      </c>
      <c r="C12353" t="s">
        <v>664</v>
      </c>
      <c r="D12353" t="s">
        <v>1426</v>
      </c>
      <c r="E12353" t="s">
        <v>187</v>
      </c>
      <c r="F12353">
        <v>2016</v>
      </c>
      <c r="G12353">
        <v>381.91100499999999</v>
      </c>
    </row>
    <row r="12354" spans="1:7">
      <c r="A12354" t="s">
        <v>1297</v>
      </c>
      <c r="B12354" t="s">
        <v>1298</v>
      </c>
      <c r="C12354" t="s">
        <v>664</v>
      </c>
      <c r="D12354" t="s">
        <v>1426</v>
      </c>
      <c r="E12354" t="s">
        <v>187</v>
      </c>
      <c r="F12354">
        <v>2020</v>
      </c>
      <c r="G12354">
        <v>377.24084699999997</v>
      </c>
    </row>
    <row r="12355" spans="1:7">
      <c r="A12355" t="s">
        <v>1297</v>
      </c>
      <c r="B12355" t="s">
        <v>1298</v>
      </c>
      <c r="C12355" t="s">
        <v>677</v>
      </c>
      <c r="D12355" t="s">
        <v>1426</v>
      </c>
      <c r="E12355" t="s">
        <v>187</v>
      </c>
      <c r="F12355">
        <v>2005</v>
      </c>
      <c r="G12355">
        <v>3516.3537780000001</v>
      </c>
    </row>
    <row r="12356" spans="1:7">
      <c r="A12356" t="s">
        <v>1297</v>
      </c>
      <c r="B12356" t="s">
        <v>1298</v>
      </c>
      <c r="C12356" t="s">
        <v>677</v>
      </c>
      <c r="D12356" t="s">
        <v>1426</v>
      </c>
      <c r="E12356" t="s">
        <v>187</v>
      </c>
      <c r="F12356">
        <v>2010</v>
      </c>
      <c r="G12356">
        <v>3400.3314399999999</v>
      </c>
    </row>
    <row r="12357" spans="1:7">
      <c r="A12357" t="s">
        <v>1297</v>
      </c>
      <c r="B12357" t="s">
        <v>1298</v>
      </c>
      <c r="C12357" t="s">
        <v>677</v>
      </c>
      <c r="D12357" t="s">
        <v>1426</v>
      </c>
      <c r="E12357" t="s">
        <v>187</v>
      </c>
      <c r="F12357">
        <v>2012</v>
      </c>
      <c r="G12357">
        <v>3756.0025460000002</v>
      </c>
    </row>
    <row r="12358" spans="1:7">
      <c r="A12358" t="s">
        <v>1297</v>
      </c>
      <c r="B12358" t="s">
        <v>1298</v>
      </c>
      <c r="C12358" t="s">
        <v>677</v>
      </c>
      <c r="D12358" t="s">
        <v>1426</v>
      </c>
      <c r="E12358" t="s">
        <v>187</v>
      </c>
      <c r="F12358">
        <v>2016</v>
      </c>
      <c r="G12358">
        <v>3636.6040069999999</v>
      </c>
    </row>
    <row r="12359" spans="1:7">
      <c r="A12359" t="s">
        <v>1297</v>
      </c>
      <c r="B12359" t="s">
        <v>1298</v>
      </c>
      <c r="C12359" t="s">
        <v>677</v>
      </c>
      <c r="D12359" t="s">
        <v>1426</v>
      </c>
      <c r="E12359" t="s">
        <v>187</v>
      </c>
      <c r="F12359">
        <v>2020</v>
      </c>
      <c r="G12359">
        <v>3704.4854089999999</v>
      </c>
    </row>
    <row r="12360" spans="1:7">
      <c r="A12360" t="s">
        <v>1297</v>
      </c>
      <c r="B12360" t="s">
        <v>1298</v>
      </c>
      <c r="C12360" t="s">
        <v>652</v>
      </c>
      <c r="D12360" t="s">
        <v>1427</v>
      </c>
      <c r="E12360" t="s">
        <v>187</v>
      </c>
      <c r="F12360">
        <v>2012</v>
      </c>
      <c r="G12360">
        <v>56.312800000000003</v>
      </c>
    </row>
    <row r="12361" spans="1:7">
      <c r="A12361" t="s">
        <v>1297</v>
      </c>
      <c r="B12361" t="s">
        <v>1298</v>
      </c>
      <c r="C12361" t="s">
        <v>652</v>
      </c>
      <c r="D12361" t="s">
        <v>1427</v>
      </c>
      <c r="E12361" t="s">
        <v>187</v>
      </c>
      <c r="F12361">
        <v>2016</v>
      </c>
      <c r="G12361">
        <v>60.251600000000003</v>
      </c>
    </row>
    <row r="12362" spans="1:7">
      <c r="A12362" t="s">
        <v>1297</v>
      </c>
      <c r="B12362" t="s">
        <v>1298</v>
      </c>
      <c r="C12362" t="s">
        <v>652</v>
      </c>
      <c r="D12362" t="s">
        <v>1427</v>
      </c>
      <c r="E12362" t="s">
        <v>187</v>
      </c>
      <c r="F12362">
        <v>2020</v>
      </c>
      <c r="G12362">
        <v>71.358500000000006</v>
      </c>
    </row>
    <row r="12363" spans="1:7">
      <c r="A12363" t="s">
        <v>1297</v>
      </c>
      <c r="B12363" t="s">
        <v>1298</v>
      </c>
      <c r="C12363" t="s">
        <v>663</v>
      </c>
      <c r="D12363" t="s">
        <v>1427</v>
      </c>
      <c r="E12363" t="s">
        <v>187</v>
      </c>
      <c r="F12363">
        <v>2005</v>
      </c>
      <c r="G12363">
        <v>10.909800000000001</v>
      </c>
    </row>
    <row r="12364" spans="1:7">
      <c r="A12364" t="s">
        <v>1297</v>
      </c>
      <c r="B12364" t="s">
        <v>1298</v>
      </c>
      <c r="C12364" t="s">
        <v>663</v>
      </c>
      <c r="D12364" t="s">
        <v>1427</v>
      </c>
      <c r="E12364" t="s">
        <v>187</v>
      </c>
      <c r="F12364">
        <v>2010</v>
      </c>
      <c r="G12364">
        <v>9.6180000000000003</v>
      </c>
    </row>
    <row r="12365" spans="1:7">
      <c r="A12365" t="s">
        <v>1297</v>
      </c>
      <c r="B12365" t="s">
        <v>1298</v>
      </c>
      <c r="C12365" t="s">
        <v>663</v>
      </c>
      <c r="D12365" t="s">
        <v>1427</v>
      </c>
      <c r="E12365" t="s">
        <v>187</v>
      </c>
      <c r="F12365">
        <v>2012</v>
      </c>
      <c r="G12365">
        <v>6.9720000000000004</v>
      </c>
    </row>
    <row r="12366" spans="1:7">
      <c r="A12366" t="s">
        <v>1297</v>
      </c>
      <c r="B12366" t="s">
        <v>1298</v>
      </c>
      <c r="C12366" t="s">
        <v>663</v>
      </c>
      <c r="D12366" t="s">
        <v>1427</v>
      </c>
      <c r="E12366" t="s">
        <v>187</v>
      </c>
      <c r="F12366">
        <v>2016</v>
      </c>
      <c r="G12366">
        <v>8.0500799999999995</v>
      </c>
    </row>
    <row r="12367" spans="1:7">
      <c r="A12367" t="s">
        <v>1297</v>
      </c>
      <c r="B12367" t="s">
        <v>1298</v>
      </c>
      <c r="C12367" t="s">
        <v>663</v>
      </c>
      <c r="D12367" t="s">
        <v>1427</v>
      </c>
      <c r="E12367" t="s">
        <v>187</v>
      </c>
      <c r="F12367">
        <v>2020</v>
      </c>
      <c r="G12367">
        <v>11.69694</v>
      </c>
    </row>
    <row r="12368" spans="1:7">
      <c r="A12368" t="s">
        <v>1297</v>
      </c>
      <c r="B12368" t="s">
        <v>1298</v>
      </c>
      <c r="C12368" t="s">
        <v>674</v>
      </c>
      <c r="D12368" t="s">
        <v>1427</v>
      </c>
      <c r="E12368" t="s">
        <v>187</v>
      </c>
      <c r="F12368">
        <v>2005</v>
      </c>
      <c r="G12368">
        <v>27.077400000000001</v>
      </c>
    </row>
    <row r="12369" spans="1:7">
      <c r="A12369" t="s">
        <v>1297</v>
      </c>
      <c r="B12369" t="s">
        <v>1298</v>
      </c>
      <c r="C12369" t="s">
        <v>674</v>
      </c>
      <c r="D12369" t="s">
        <v>1427</v>
      </c>
      <c r="E12369" t="s">
        <v>187</v>
      </c>
      <c r="F12369">
        <v>2010</v>
      </c>
      <c r="G12369">
        <v>29.591100000000001</v>
      </c>
    </row>
    <row r="12370" spans="1:7">
      <c r="A12370" t="s">
        <v>1297</v>
      </c>
      <c r="B12370" t="s">
        <v>1298</v>
      </c>
      <c r="C12370" t="s">
        <v>674</v>
      </c>
      <c r="D12370" t="s">
        <v>1427</v>
      </c>
      <c r="E12370" t="s">
        <v>187</v>
      </c>
      <c r="F12370">
        <v>2012</v>
      </c>
      <c r="G12370">
        <v>30.252600000000001</v>
      </c>
    </row>
    <row r="12371" spans="1:7">
      <c r="A12371" t="s">
        <v>1297</v>
      </c>
      <c r="B12371" t="s">
        <v>1298</v>
      </c>
      <c r="C12371" t="s">
        <v>674</v>
      </c>
      <c r="D12371" t="s">
        <v>1427</v>
      </c>
      <c r="E12371" t="s">
        <v>187</v>
      </c>
      <c r="F12371">
        <v>2016</v>
      </c>
      <c r="G12371">
        <v>35.28</v>
      </c>
    </row>
    <row r="12372" spans="1:7">
      <c r="A12372" t="s">
        <v>1297</v>
      </c>
      <c r="B12372" t="s">
        <v>1298</v>
      </c>
      <c r="C12372" t="s">
        <v>674</v>
      </c>
      <c r="D12372" t="s">
        <v>1427</v>
      </c>
      <c r="E12372" t="s">
        <v>187</v>
      </c>
      <c r="F12372">
        <v>2020</v>
      </c>
      <c r="G12372">
        <v>37.453104000000003</v>
      </c>
    </row>
    <row r="12373" spans="1:7">
      <c r="A12373" t="s">
        <v>1297</v>
      </c>
      <c r="B12373" t="s">
        <v>1298</v>
      </c>
      <c r="C12373" t="s">
        <v>657</v>
      </c>
      <c r="D12373" t="s">
        <v>1427</v>
      </c>
      <c r="E12373" t="s">
        <v>187</v>
      </c>
      <c r="F12373">
        <v>2005</v>
      </c>
      <c r="G12373">
        <v>36.192300000000003</v>
      </c>
    </row>
    <row r="12374" spans="1:7">
      <c r="A12374" t="s">
        <v>1297</v>
      </c>
      <c r="B12374" t="s">
        <v>1298</v>
      </c>
      <c r="C12374" t="s">
        <v>657</v>
      </c>
      <c r="D12374" t="s">
        <v>1427</v>
      </c>
      <c r="E12374" t="s">
        <v>187</v>
      </c>
      <c r="F12374">
        <v>2010</v>
      </c>
      <c r="G12374">
        <v>33.799500000000002</v>
      </c>
    </row>
    <row r="12375" spans="1:7">
      <c r="A12375" t="s">
        <v>1297</v>
      </c>
      <c r="B12375" t="s">
        <v>1298</v>
      </c>
      <c r="C12375" t="s">
        <v>657</v>
      </c>
      <c r="D12375" t="s">
        <v>1427</v>
      </c>
      <c r="E12375" t="s">
        <v>187</v>
      </c>
      <c r="F12375">
        <v>2012</v>
      </c>
      <c r="G12375">
        <v>35.061</v>
      </c>
    </row>
    <row r="12376" spans="1:7">
      <c r="A12376" t="s">
        <v>1297</v>
      </c>
      <c r="B12376" t="s">
        <v>1298</v>
      </c>
      <c r="C12376" t="s">
        <v>657</v>
      </c>
      <c r="D12376" t="s">
        <v>1427</v>
      </c>
      <c r="E12376" t="s">
        <v>187</v>
      </c>
      <c r="F12376">
        <v>2016</v>
      </c>
      <c r="G12376">
        <v>39.597402000000002</v>
      </c>
    </row>
    <row r="12377" spans="1:7">
      <c r="A12377" t="s">
        <v>1297</v>
      </c>
      <c r="B12377" t="s">
        <v>1298</v>
      </c>
      <c r="C12377" t="s">
        <v>657</v>
      </c>
      <c r="D12377" t="s">
        <v>1427</v>
      </c>
      <c r="E12377" t="s">
        <v>187</v>
      </c>
      <c r="F12377">
        <v>2020</v>
      </c>
      <c r="G12377">
        <v>43.773223999999999</v>
      </c>
    </row>
    <row r="12378" spans="1:7">
      <c r="A12378" t="s">
        <v>1297</v>
      </c>
      <c r="B12378" t="s">
        <v>1298</v>
      </c>
      <c r="C12378" t="s">
        <v>656</v>
      </c>
      <c r="D12378" t="s">
        <v>1427</v>
      </c>
      <c r="E12378" t="s">
        <v>187</v>
      </c>
      <c r="F12378">
        <v>2005</v>
      </c>
      <c r="G12378">
        <v>311.6696</v>
      </c>
    </row>
    <row r="12379" spans="1:7">
      <c r="A12379" t="s">
        <v>1297</v>
      </c>
      <c r="B12379" t="s">
        <v>1298</v>
      </c>
      <c r="C12379" t="s">
        <v>656</v>
      </c>
      <c r="D12379" t="s">
        <v>1427</v>
      </c>
      <c r="E12379" t="s">
        <v>187</v>
      </c>
      <c r="F12379">
        <v>2010</v>
      </c>
      <c r="G12379">
        <v>332.68439999999998</v>
      </c>
    </row>
    <row r="12380" spans="1:7">
      <c r="A12380" t="s">
        <v>1297</v>
      </c>
      <c r="B12380" t="s">
        <v>1298</v>
      </c>
      <c r="C12380" t="s">
        <v>656</v>
      </c>
      <c r="D12380" t="s">
        <v>1427</v>
      </c>
      <c r="E12380" t="s">
        <v>187</v>
      </c>
      <c r="F12380">
        <v>2012</v>
      </c>
      <c r="G12380">
        <v>341.97199999999998</v>
      </c>
    </row>
    <row r="12381" spans="1:7">
      <c r="A12381" t="s">
        <v>1297</v>
      </c>
      <c r="B12381" t="s">
        <v>1298</v>
      </c>
      <c r="C12381" t="s">
        <v>656</v>
      </c>
      <c r="D12381" t="s">
        <v>1427</v>
      </c>
      <c r="E12381" t="s">
        <v>187</v>
      </c>
      <c r="F12381">
        <v>2016</v>
      </c>
      <c r="G12381">
        <v>360.76119999999997</v>
      </c>
    </row>
    <row r="12382" spans="1:7">
      <c r="A12382" t="s">
        <v>1297</v>
      </c>
      <c r="B12382" t="s">
        <v>1298</v>
      </c>
      <c r="C12382" t="s">
        <v>656</v>
      </c>
      <c r="D12382" t="s">
        <v>1427</v>
      </c>
      <c r="E12382" t="s">
        <v>187</v>
      </c>
      <c r="F12382">
        <v>2020</v>
      </c>
      <c r="G12382">
        <v>407.96960000000001</v>
      </c>
    </row>
    <row r="12383" spans="1:7">
      <c r="A12383" t="s">
        <v>1297</v>
      </c>
      <c r="B12383" t="s">
        <v>1298</v>
      </c>
      <c r="C12383" t="s">
        <v>668</v>
      </c>
      <c r="D12383" t="s">
        <v>1427</v>
      </c>
      <c r="E12383" t="s">
        <v>187</v>
      </c>
      <c r="F12383">
        <v>2005</v>
      </c>
      <c r="G12383">
        <v>2.4629699999999999</v>
      </c>
    </row>
    <row r="12384" spans="1:7">
      <c r="A12384" t="s">
        <v>1297</v>
      </c>
      <c r="B12384" t="s">
        <v>1298</v>
      </c>
      <c r="C12384" t="s">
        <v>668</v>
      </c>
      <c r="D12384" t="s">
        <v>1427</v>
      </c>
      <c r="E12384" t="s">
        <v>187</v>
      </c>
      <c r="F12384">
        <v>2010</v>
      </c>
      <c r="G12384">
        <v>4.9259399999999998</v>
      </c>
    </row>
    <row r="12385" spans="1:7">
      <c r="A12385" t="s">
        <v>1297</v>
      </c>
      <c r="B12385" t="s">
        <v>1298</v>
      </c>
      <c r="C12385" t="s">
        <v>668</v>
      </c>
      <c r="D12385" t="s">
        <v>1427</v>
      </c>
      <c r="E12385" t="s">
        <v>187</v>
      </c>
      <c r="F12385">
        <v>2012</v>
      </c>
      <c r="G12385">
        <v>4.96915</v>
      </c>
    </row>
    <row r="12386" spans="1:7">
      <c r="A12386" t="s">
        <v>1297</v>
      </c>
      <c r="B12386" t="s">
        <v>1298</v>
      </c>
      <c r="C12386" t="s">
        <v>668</v>
      </c>
      <c r="D12386" t="s">
        <v>1427</v>
      </c>
      <c r="E12386" t="s">
        <v>187</v>
      </c>
      <c r="F12386">
        <v>2016</v>
      </c>
      <c r="G12386">
        <v>5.1419899999999998</v>
      </c>
    </row>
    <row r="12387" spans="1:7">
      <c r="A12387" t="s">
        <v>1297</v>
      </c>
      <c r="B12387" t="s">
        <v>1298</v>
      </c>
      <c r="C12387" t="s">
        <v>1302</v>
      </c>
      <c r="D12387" t="s">
        <v>1427</v>
      </c>
      <c r="E12387" t="s">
        <v>187</v>
      </c>
      <c r="F12387">
        <v>2010</v>
      </c>
      <c r="G12387">
        <v>0.5292</v>
      </c>
    </row>
    <row r="12388" spans="1:7">
      <c r="A12388" t="s">
        <v>1297</v>
      </c>
      <c r="B12388" t="s">
        <v>1298</v>
      </c>
      <c r="C12388" t="s">
        <v>1302</v>
      </c>
      <c r="D12388" t="s">
        <v>1427</v>
      </c>
      <c r="E12388" t="s">
        <v>187</v>
      </c>
      <c r="F12388">
        <v>2012</v>
      </c>
      <c r="G12388">
        <v>0.61739999999999995</v>
      </c>
    </row>
    <row r="12389" spans="1:7">
      <c r="A12389" t="s">
        <v>1297</v>
      </c>
      <c r="B12389" t="s">
        <v>1298</v>
      </c>
      <c r="C12389" t="s">
        <v>1302</v>
      </c>
      <c r="D12389" t="s">
        <v>1427</v>
      </c>
      <c r="E12389" t="s">
        <v>187</v>
      </c>
      <c r="F12389">
        <v>2016</v>
      </c>
      <c r="G12389">
        <v>0.17199999999999999</v>
      </c>
    </row>
    <row r="12390" spans="1:7">
      <c r="A12390" t="s">
        <v>1297</v>
      </c>
      <c r="B12390" t="s">
        <v>1298</v>
      </c>
      <c r="C12390" t="s">
        <v>1302</v>
      </c>
      <c r="D12390" t="s">
        <v>1427</v>
      </c>
      <c r="E12390" t="s">
        <v>187</v>
      </c>
      <c r="F12390">
        <v>2020</v>
      </c>
      <c r="G12390">
        <v>0.103974</v>
      </c>
    </row>
    <row r="12391" spans="1:7">
      <c r="A12391" t="s">
        <v>1297</v>
      </c>
      <c r="B12391" t="s">
        <v>1298</v>
      </c>
      <c r="C12391" t="s">
        <v>289</v>
      </c>
      <c r="D12391" t="s">
        <v>1427</v>
      </c>
      <c r="E12391" t="s">
        <v>187</v>
      </c>
      <c r="F12391">
        <v>2005</v>
      </c>
      <c r="G12391">
        <v>3.6047199999999999</v>
      </c>
    </row>
    <row r="12392" spans="1:7">
      <c r="A12392" t="s">
        <v>1297</v>
      </c>
      <c r="B12392" t="s">
        <v>1298</v>
      </c>
      <c r="C12392" t="s">
        <v>289</v>
      </c>
      <c r="D12392" t="s">
        <v>1427</v>
      </c>
      <c r="E12392" t="s">
        <v>187</v>
      </c>
      <c r="F12392">
        <v>2010</v>
      </c>
      <c r="G12392">
        <v>4.1322400000000004</v>
      </c>
    </row>
    <row r="12393" spans="1:7">
      <c r="A12393" t="s">
        <v>1297</v>
      </c>
      <c r="B12393" t="s">
        <v>1298</v>
      </c>
      <c r="C12393" t="s">
        <v>289</v>
      </c>
      <c r="D12393" t="s">
        <v>1427</v>
      </c>
      <c r="E12393" t="s">
        <v>187</v>
      </c>
      <c r="F12393">
        <v>2012</v>
      </c>
      <c r="G12393">
        <v>4.6158000000000001</v>
      </c>
    </row>
    <row r="12394" spans="1:7">
      <c r="A12394" t="s">
        <v>1297</v>
      </c>
      <c r="B12394" t="s">
        <v>1298</v>
      </c>
      <c r="C12394" t="s">
        <v>289</v>
      </c>
      <c r="D12394" t="s">
        <v>1427</v>
      </c>
      <c r="E12394" t="s">
        <v>187</v>
      </c>
      <c r="F12394">
        <v>2016</v>
      </c>
      <c r="G12394">
        <v>5.1872800000000003</v>
      </c>
    </row>
    <row r="12395" spans="1:7">
      <c r="A12395" t="s">
        <v>1297</v>
      </c>
      <c r="B12395" t="s">
        <v>1298</v>
      </c>
      <c r="C12395" t="s">
        <v>289</v>
      </c>
      <c r="D12395" t="s">
        <v>1427</v>
      </c>
      <c r="E12395" t="s">
        <v>187</v>
      </c>
      <c r="F12395">
        <v>2020</v>
      </c>
      <c r="G12395">
        <v>8.356859</v>
      </c>
    </row>
    <row r="12396" spans="1:7">
      <c r="A12396" t="s">
        <v>1297</v>
      </c>
      <c r="B12396" t="s">
        <v>1298</v>
      </c>
      <c r="C12396" t="s">
        <v>1301</v>
      </c>
      <c r="D12396" t="s">
        <v>1427</v>
      </c>
      <c r="E12396" t="s">
        <v>187</v>
      </c>
      <c r="F12396">
        <v>2005</v>
      </c>
      <c r="G12396">
        <v>46.569600000000001</v>
      </c>
    </row>
    <row r="12397" spans="1:7">
      <c r="A12397" t="s">
        <v>1297</v>
      </c>
      <c r="B12397" t="s">
        <v>1298</v>
      </c>
      <c r="C12397" t="s">
        <v>1301</v>
      </c>
      <c r="D12397" t="s">
        <v>1427</v>
      </c>
      <c r="E12397" t="s">
        <v>187</v>
      </c>
      <c r="F12397">
        <v>2010</v>
      </c>
      <c r="G12397">
        <v>52.214399999999998</v>
      </c>
    </row>
    <row r="12398" spans="1:7">
      <c r="A12398" t="s">
        <v>1297</v>
      </c>
      <c r="B12398" t="s">
        <v>1298</v>
      </c>
      <c r="C12398" t="s">
        <v>1301</v>
      </c>
      <c r="D12398" t="s">
        <v>1427</v>
      </c>
      <c r="E12398" t="s">
        <v>187</v>
      </c>
      <c r="F12398">
        <v>2012</v>
      </c>
      <c r="G12398">
        <v>44.733800000000002</v>
      </c>
    </row>
    <row r="12399" spans="1:7">
      <c r="A12399" t="s">
        <v>1297</v>
      </c>
      <c r="B12399" t="s">
        <v>1298</v>
      </c>
      <c r="C12399" t="s">
        <v>1301</v>
      </c>
      <c r="D12399" t="s">
        <v>1427</v>
      </c>
      <c r="E12399" t="s">
        <v>187</v>
      </c>
      <c r="F12399">
        <v>2016</v>
      </c>
      <c r="G12399">
        <v>148.69640000000001</v>
      </c>
    </row>
    <row r="12400" spans="1:7">
      <c r="A12400" t="s">
        <v>1297</v>
      </c>
      <c r="B12400" t="s">
        <v>1298</v>
      </c>
      <c r="C12400" t="s">
        <v>1301</v>
      </c>
      <c r="D12400" t="s">
        <v>1427</v>
      </c>
      <c r="E12400" t="s">
        <v>187</v>
      </c>
      <c r="F12400">
        <v>2020</v>
      </c>
      <c r="G12400">
        <v>189.14490000000001</v>
      </c>
    </row>
    <row r="12401" spans="1:7">
      <c r="A12401" t="s">
        <v>1297</v>
      </c>
      <c r="B12401" t="s">
        <v>1298</v>
      </c>
      <c r="C12401" t="s">
        <v>662</v>
      </c>
      <c r="D12401" t="s">
        <v>1427</v>
      </c>
      <c r="E12401" t="s">
        <v>187</v>
      </c>
      <c r="F12401">
        <v>2005</v>
      </c>
      <c r="G12401">
        <v>33.383699999999997</v>
      </c>
    </row>
    <row r="12402" spans="1:7">
      <c r="A12402" t="s">
        <v>1297</v>
      </c>
      <c r="B12402" t="s">
        <v>1298</v>
      </c>
      <c r="C12402" t="s">
        <v>662</v>
      </c>
      <c r="D12402" t="s">
        <v>1427</v>
      </c>
      <c r="E12402" t="s">
        <v>187</v>
      </c>
      <c r="F12402">
        <v>2010</v>
      </c>
      <c r="G12402">
        <v>28.552</v>
      </c>
    </row>
    <row r="12403" spans="1:7">
      <c r="A12403" t="s">
        <v>1297</v>
      </c>
      <c r="B12403" t="s">
        <v>1298</v>
      </c>
      <c r="C12403" t="s">
        <v>662</v>
      </c>
      <c r="D12403" t="s">
        <v>1427</v>
      </c>
      <c r="E12403" t="s">
        <v>187</v>
      </c>
      <c r="F12403">
        <v>2012</v>
      </c>
      <c r="G12403">
        <v>27.562999999999999</v>
      </c>
    </row>
    <row r="12404" spans="1:7">
      <c r="A12404" t="s">
        <v>1297</v>
      </c>
      <c r="B12404" t="s">
        <v>1298</v>
      </c>
      <c r="C12404" t="s">
        <v>662</v>
      </c>
      <c r="D12404" t="s">
        <v>1427</v>
      </c>
      <c r="E12404" t="s">
        <v>187</v>
      </c>
      <c r="F12404">
        <v>2016</v>
      </c>
      <c r="G12404">
        <v>36.808</v>
      </c>
    </row>
    <row r="12405" spans="1:7">
      <c r="A12405" t="s">
        <v>1297</v>
      </c>
      <c r="B12405" t="s">
        <v>1298</v>
      </c>
      <c r="C12405" t="s">
        <v>662</v>
      </c>
      <c r="D12405" t="s">
        <v>1427</v>
      </c>
      <c r="E12405" t="s">
        <v>187</v>
      </c>
      <c r="F12405">
        <v>2020</v>
      </c>
      <c r="G12405">
        <v>47.337003000000003</v>
      </c>
    </row>
    <row r="12406" spans="1:7">
      <c r="A12406" t="s">
        <v>1297</v>
      </c>
      <c r="B12406" t="s">
        <v>1298</v>
      </c>
      <c r="C12406" t="s">
        <v>668</v>
      </c>
      <c r="D12406" t="s">
        <v>1427</v>
      </c>
      <c r="E12406" t="s">
        <v>187</v>
      </c>
      <c r="F12406">
        <v>2020</v>
      </c>
      <c r="G12406">
        <v>6.5683530000000001</v>
      </c>
    </row>
    <row r="12407" spans="1:7">
      <c r="A12407" t="s">
        <v>1297</v>
      </c>
      <c r="B12407" t="s">
        <v>1298</v>
      </c>
      <c r="C12407" t="s">
        <v>655</v>
      </c>
      <c r="D12407" t="s">
        <v>1427</v>
      </c>
      <c r="E12407" t="s">
        <v>187</v>
      </c>
      <c r="F12407">
        <v>2020</v>
      </c>
      <c r="G12407">
        <v>17.5365</v>
      </c>
    </row>
    <row r="12408" spans="1:7">
      <c r="A12408" t="s">
        <v>1297</v>
      </c>
      <c r="B12408" t="s">
        <v>1298</v>
      </c>
      <c r="C12408" t="s">
        <v>682</v>
      </c>
      <c r="D12408" t="s">
        <v>1427</v>
      </c>
      <c r="E12408" t="s">
        <v>187</v>
      </c>
      <c r="F12408">
        <v>2020</v>
      </c>
      <c r="G12408">
        <v>0.39691500000000002</v>
      </c>
    </row>
    <row r="12409" spans="1:7">
      <c r="A12409" t="s">
        <v>1297</v>
      </c>
      <c r="B12409" t="s">
        <v>1298</v>
      </c>
      <c r="C12409" t="s">
        <v>671</v>
      </c>
      <c r="D12409" t="s">
        <v>1427</v>
      </c>
      <c r="E12409" t="s">
        <v>187</v>
      </c>
      <c r="F12409">
        <v>2005</v>
      </c>
      <c r="G12409">
        <v>13.7151</v>
      </c>
    </row>
    <row r="12410" spans="1:7">
      <c r="A12410" t="s">
        <v>1297</v>
      </c>
      <c r="B12410" t="s">
        <v>1298</v>
      </c>
      <c r="C12410" t="s">
        <v>671</v>
      </c>
      <c r="D12410" t="s">
        <v>1427</v>
      </c>
      <c r="E12410" t="s">
        <v>187</v>
      </c>
      <c r="F12410">
        <v>2010</v>
      </c>
      <c r="G12410">
        <v>21.285</v>
      </c>
    </row>
    <row r="12411" spans="1:7">
      <c r="A12411" t="s">
        <v>1297</v>
      </c>
      <c r="B12411" t="s">
        <v>1298</v>
      </c>
      <c r="C12411" t="s">
        <v>671</v>
      </c>
      <c r="D12411" t="s">
        <v>1427</v>
      </c>
      <c r="E12411" t="s">
        <v>187</v>
      </c>
      <c r="F12411">
        <v>2012</v>
      </c>
      <c r="G12411">
        <v>22.532</v>
      </c>
    </row>
    <row r="12412" spans="1:7">
      <c r="A12412" t="s">
        <v>1297</v>
      </c>
      <c r="B12412" t="s">
        <v>1298</v>
      </c>
      <c r="C12412" t="s">
        <v>671</v>
      </c>
      <c r="D12412" t="s">
        <v>1427</v>
      </c>
      <c r="E12412" t="s">
        <v>187</v>
      </c>
      <c r="F12412">
        <v>2016</v>
      </c>
      <c r="G12412">
        <v>28.594999999999999</v>
      </c>
    </row>
    <row r="12413" spans="1:7">
      <c r="A12413" t="s">
        <v>1297</v>
      </c>
      <c r="B12413" t="s">
        <v>1298</v>
      </c>
      <c r="C12413" t="s">
        <v>671</v>
      </c>
      <c r="D12413" t="s">
        <v>1427</v>
      </c>
      <c r="E12413" t="s">
        <v>187</v>
      </c>
      <c r="F12413">
        <v>2020</v>
      </c>
      <c r="G12413">
        <v>45.054664000000002</v>
      </c>
    </row>
    <row r="12414" spans="1:7">
      <c r="A12414" t="s">
        <v>1297</v>
      </c>
      <c r="B12414" t="s">
        <v>1298</v>
      </c>
      <c r="C12414" t="s">
        <v>675</v>
      </c>
      <c r="D12414" t="s">
        <v>1427</v>
      </c>
      <c r="E12414" t="s">
        <v>187</v>
      </c>
      <c r="F12414">
        <v>2005</v>
      </c>
      <c r="G12414">
        <v>0.97019999999999995</v>
      </c>
    </row>
    <row r="12415" spans="1:7">
      <c r="A12415" t="s">
        <v>1297</v>
      </c>
      <c r="B12415" t="s">
        <v>1298</v>
      </c>
      <c r="C12415" t="s">
        <v>675</v>
      </c>
      <c r="D12415" t="s">
        <v>1427</v>
      </c>
      <c r="E12415" t="s">
        <v>187</v>
      </c>
      <c r="F12415">
        <v>2010</v>
      </c>
      <c r="G12415">
        <v>1.1755800000000001</v>
      </c>
    </row>
    <row r="12416" spans="1:7">
      <c r="A12416" t="s">
        <v>1297</v>
      </c>
      <c r="B12416" t="s">
        <v>1298</v>
      </c>
      <c r="C12416" t="s">
        <v>675</v>
      </c>
      <c r="D12416" t="s">
        <v>1427</v>
      </c>
      <c r="E12416" t="s">
        <v>187</v>
      </c>
      <c r="F12416">
        <v>2012</v>
      </c>
      <c r="G12416">
        <v>1.00142</v>
      </c>
    </row>
    <row r="12417" spans="1:7">
      <c r="A12417" t="s">
        <v>1297</v>
      </c>
      <c r="B12417" t="s">
        <v>1298</v>
      </c>
      <c r="C12417" t="s">
        <v>675</v>
      </c>
      <c r="D12417" t="s">
        <v>1427</v>
      </c>
      <c r="E12417" t="s">
        <v>187</v>
      </c>
      <c r="F12417">
        <v>2016</v>
      </c>
      <c r="G12417">
        <v>0.91434000000000004</v>
      </c>
    </row>
    <row r="12418" spans="1:7">
      <c r="A12418" t="s">
        <v>1297</v>
      </c>
      <c r="B12418" t="s">
        <v>1298</v>
      </c>
      <c r="C12418" t="s">
        <v>675</v>
      </c>
      <c r="D12418" t="s">
        <v>1427</v>
      </c>
      <c r="E12418" t="s">
        <v>187</v>
      </c>
      <c r="F12418">
        <v>2020</v>
      </c>
      <c r="G12418">
        <v>1.1513720000000001</v>
      </c>
    </row>
    <row r="12419" spans="1:7">
      <c r="A12419" t="s">
        <v>1297</v>
      </c>
      <c r="B12419" t="s">
        <v>1298</v>
      </c>
      <c r="C12419" t="s">
        <v>1300</v>
      </c>
      <c r="D12419" t="s">
        <v>1427</v>
      </c>
      <c r="E12419" t="s">
        <v>187</v>
      </c>
      <c r="F12419">
        <v>2016</v>
      </c>
      <c r="G12419">
        <v>1.3801600000000001</v>
      </c>
    </row>
    <row r="12420" spans="1:7">
      <c r="A12420" t="s">
        <v>1297</v>
      </c>
      <c r="B12420" t="s">
        <v>1298</v>
      </c>
      <c r="C12420" t="s">
        <v>1300</v>
      </c>
      <c r="D12420" t="s">
        <v>1427</v>
      </c>
      <c r="E12420" t="s">
        <v>187</v>
      </c>
      <c r="F12420">
        <v>2020</v>
      </c>
      <c r="G12420">
        <v>2.2117420000000001</v>
      </c>
    </row>
    <row r="12421" spans="1:7">
      <c r="A12421" t="s">
        <v>1297</v>
      </c>
      <c r="B12421" t="s">
        <v>1298</v>
      </c>
      <c r="C12421" t="s">
        <v>1303</v>
      </c>
      <c r="D12421" t="s">
        <v>1427</v>
      </c>
      <c r="E12421" t="s">
        <v>187</v>
      </c>
      <c r="F12421">
        <v>2016</v>
      </c>
      <c r="G12421">
        <v>3.0529999999999999</v>
      </c>
    </row>
    <row r="12422" spans="1:7">
      <c r="A12422" t="s">
        <v>1297</v>
      </c>
      <c r="B12422" t="s">
        <v>1298</v>
      </c>
      <c r="C12422" t="s">
        <v>1303</v>
      </c>
      <c r="D12422" t="s">
        <v>1427</v>
      </c>
      <c r="E12422" t="s">
        <v>187</v>
      </c>
      <c r="F12422">
        <v>2020</v>
      </c>
      <c r="G12422">
        <v>4.3460960000000002</v>
      </c>
    </row>
    <row r="12423" spans="1:7">
      <c r="A12423" t="s">
        <v>1297</v>
      </c>
      <c r="B12423" t="s">
        <v>1298</v>
      </c>
      <c r="C12423" t="s">
        <v>655</v>
      </c>
      <c r="D12423" t="s">
        <v>1427</v>
      </c>
      <c r="E12423" t="s">
        <v>187</v>
      </c>
      <c r="F12423">
        <v>2005</v>
      </c>
      <c r="G12423">
        <v>13.182399999999999</v>
      </c>
    </row>
    <row r="12424" spans="1:7">
      <c r="A12424" t="s">
        <v>1297</v>
      </c>
      <c r="B12424" t="s">
        <v>1298</v>
      </c>
      <c r="C12424" t="s">
        <v>655</v>
      </c>
      <c r="D12424" t="s">
        <v>1427</v>
      </c>
      <c r="E12424" t="s">
        <v>187</v>
      </c>
      <c r="F12424">
        <v>2010</v>
      </c>
      <c r="G12424">
        <v>13.119899999999999</v>
      </c>
    </row>
    <row r="12425" spans="1:7">
      <c r="A12425" t="s">
        <v>1297</v>
      </c>
      <c r="B12425" t="s">
        <v>1298</v>
      </c>
      <c r="C12425" t="s">
        <v>655</v>
      </c>
      <c r="D12425" t="s">
        <v>1427</v>
      </c>
      <c r="E12425" t="s">
        <v>187</v>
      </c>
      <c r="F12425">
        <v>2012</v>
      </c>
      <c r="G12425">
        <v>12.2972</v>
      </c>
    </row>
    <row r="12426" spans="1:7">
      <c r="A12426" t="s">
        <v>1297</v>
      </c>
      <c r="B12426" t="s">
        <v>1298</v>
      </c>
      <c r="C12426" t="s">
        <v>655</v>
      </c>
      <c r="D12426" t="s">
        <v>1427</v>
      </c>
      <c r="E12426" t="s">
        <v>187</v>
      </c>
      <c r="F12426">
        <v>2016</v>
      </c>
      <c r="G12426">
        <v>13.2498</v>
      </c>
    </row>
    <row r="12427" spans="1:7">
      <c r="A12427" t="s">
        <v>1297</v>
      </c>
      <c r="B12427" t="s">
        <v>1298</v>
      </c>
      <c r="C12427" t="s">
        <v>676</v>
      </c>
      <c r="D12427" t="s">
        <v>1427</v>
      </c>
      <c r="E12427" t="s">
        <v>187</v>
      </c>
      <c r="F12427">
        <v>2005</v>
      </c>
      <c r="G12427">
        <v>1.6456280000000001</v>
      </c>
    </row>
    <row r="12428" spans="1:7">
      <c r="A12428" t="s">
        <v>1297</v>
      </c>
      <c r="B12428" t="s">
        <v>1298</v>
      </c>
      <c r="C12428" t="s">
        <v>676</v>
      </c>
      <c r="D12428" t="s">
        <v>1427</v>
      </c>
      <c r="E12428" t="s">
        <v>187</v>
      </c>
      <c r="F12428">
        <v>2010</v>
      </c>
      <c r="G12428">
        <v>1.73204</v>
      </c>
    </row>
    <row r="12429" spans="1:7">
      <c r="A12429" t="s">
        <v>1297</v>
      </c>
      <c r="B12429" t="s">
        <v>1298</v>
      </c>
      <c r="C12429" t="s">
        <v>676</v>
      </c>
      <c r="D12429" t="s">
        <v>1427</v>
      </c>
      <c r="E12429" t="s">
        <v>187</v>
      </c>
      <c r="F12429">
        <v>2012</v>
      </c>
      <c r="G12429">
        <v>1.5588</v>
      </c>
    </row>
    <row r="12430" spans="1:7">
      <c r="A12430" t="s">
        <v>1297</v>
      </c>
      <c r="B12430" t="s">
        <v>1298</v>
      </c>
      <c r="C12430" t="s">
        <v>676</v>
      </c>
      <c r="D12430" t="s">
        <v>1427</v>
      </c>
      <c r="E12430" t="s">
        <v>187</v>
      </c>
      <c r="F12430">
        <v>2016</v>
      </c>
      <c r="G12430">
        <v>2.0783999999999998</v>
      </c>
    </row>
    <row r="12431" spans="1:7">
      <c r="A12431" t="s">
        <v>1297</v>
      </c>
      <c r="B12431" t="s">
        <v>1298</v>
      </c>
      <c r="C12431" t="s">
        <v>676</v>
      </c>
      <c r="D12431" t="s">
        <v>1427</v>
      </c>
      <c r="E12431" t="s">
        <v>187</v>
      </c>
      <c r="F12431">
        <v>2020</v>
      </c>
      <c r="G12431">
        <v>1.9052</v>
      </c>
    </row>
    <row r="12432" spans="1:7">
      <c r="A12432" t="s">
        <v>1297</v>
      </c>
      <c r="B12432" t="s">
        <v>1298</v>
      </c>
      <c r="C12432" t="s">
        <v>686</v>
      </c>
      <c r="D12432" t="s">
        <v>1427</v>
      </c>
      <c r="E12432" t="s">
        <v>187</v>
      </c>
      <c r="F12432">
        <v>2005</v>
      </c>
      <c r="G12432">
        <v>2.0640000000000001</v>
      </c>
    </row>
    <row r="12433" spans="1:7">
      <c r="A12433" t="s">
        <v>1297</v>
      </c>
      <c r="B12433" t="s">
        <v>1298</v>
      </c>
      <c r="C12433" t="s">
        <v>686</v>
      </c>
      <c r="D12433" t="s">
        <v>1427</v>
      </c>
      <c r="E12433" t="s">
        <v>187</v>
      </c>
      <c r="F12433">
        <v>2010</v>
      </c>
      <c r="G12433">
        <v>1.8283990000000001</v>
      </c>
    </row>
    <row r="12434" spans="1:7">
      <c r="A12434" t="s">
        <v>1297</v>
      </c>
      <c r="B12434" t="s">
        <v>1298</v>
      </c>
      <c r="C12434" t="s">
        <v>686</v>
      </c>
      <c r="D12434" t="s">
        <v>1427</v>
      </c>
      <c r="E12434" t="s">
        <v>187</v>
      </c>
      <c r="F12434">
        <v>2012</v>
      </c>
      <c r="G12434">
        <v>1.6946289999999999</v>
      </c>
    </row>
    <row r="12435" spans="1:7">
      <c r="A12435" t="s">
        <v>1297</v>
      </c>
      <c r="B12435" t="s">
        <v>1298</v>
      </c>
      <c r="C12435" t="s">
        <v>686</v>
      </c>
      <c r="D12435" t="s">
        <v>1427</v>
      </c>
      <c r="E12435" t="s">
        <v>187</v>
      </c>
      <c r="F12435">
        <v>2016</v>
      </c>
      <c r="G12435">
        <v>4.9927409999999997</v>
      </c>
    </row>
    <row r="12436" spans="1:7">
      <c r="A12436" t="s">
        <v>1297</v>
      </c>
      <c r="B12436" t="s">
        <v>1298</v>
      </c>
      <c r="C12436" t="s">
        <v>686</v>
      </c>
      <c r="D12436" t="s">
        <v>1427</v>
      </c>
      <c r="E12436" t="s">
        <v>187</v>
      </c>
      <c r="F12436">
        <v>2020</v>
      </c>
      <c r="G12436">
        <v>5.9653840000000002</v>
      </c>
    </row>
    <row r="12437" spans="1:7">
      <c r="A12437" t="s">
        <v>1297</v>
      </c>
      <c r="B12437" t="s">
        <v>1298</v>
      </c>
      <c r="C12437" t="s">
        <v>665</v>
      </c>
      <c r="D12437" t="s">
        <v>1427</v>
      </c>
      <c r="E12437" t="s">
        <v>187</v>
      </c>
      <c r="F12437">
        <v>2005</v>
      </c>
      <c r="G12437">
        <v>125.474</v>
      </c>
    </row>
    <row r="12438" spans="1:7">
      <c r="A12438" t="s">
        <v>1297</v>
      </c>
      <c r="B12438" t="s">
        <v>1298</v>
      </c>
      <c r="C12438" t="s">
        <v>665</v>
      </c>
      <c r="D12438" t="s">
        <v>1427</v>
      </c>
      <c r="E12438" t="s">
        <v>187</v>
      </c>
      <c r="F12438">
        <v>2010</v>
      </c>
      <c r="G12438">
        <v>132.61199999999999</v>
      </c>
    </row>
    <row r="12439" spans="1:7">
      <c r="A12439" t="s">
        <v>1297</v>
      </c>
      <c r="B12439" t="s">
        <v>1298</v>
      </c>
      <c r="C12439" t="s">
        <v>665</v>
      </c>
      <c r="D12439" t="s">
        <v>1427</v>
      </c>
      <c r="E12439" t="s">
        <v>187</v>
      </c>
      <c r="F12439">
        <v>2012</v>
      </c>
      <c r="G12439">
        <v>129.81700000000001</v>
      </c>
    </row>
    <row r="12440" spans="1:7">
      <c r="A12440" t="s">
        <v>1297</v>
      </c>
      <c r="B12440" t="s">
        <v>1298</v>
      </c>
      <c r="C12440" t="s">
        <v>665</v>
      </c>
      <c r="D12440" t="s">
        <v>1427</v>
      </c>
      <c r="E12440" t="s">
        <v>187</v>
      </c>
      <c r="F12440">
        <v>2016</v>
      </c>
      <c r="G12440">
        <v>137.98699999999999</v>
      </c>
    </row>
    <row r="12441" spans="1:7">
      <c r="A12441" t="s">
        <v>1297</v>
      </c>
      <c r="B12441" t="s">
        <v>1298</v>
      </c>
      <c r="C12441" t="s">
        <v>665</v>
      </c>
      <c r="D12441" t="s">
        <v>1427</v>
      </c>
      <c r="E12441" t="s">
        <v>187</v>
      </c>
      <c r="F12441">
        <v>2020</v>
      </c>
      <c r="G12441">
        <v>166.15371999999999</v>
      </c>
    </row>
    <row r="12442" spans="1:7">
      <c r="A12442" t="s">
        <v>1297</v>
      </c>
      <c r="B12442" t="s">
        <v>1298</v>
      </c>
      <c r="C12442" t="s">
        <v>670</v>
      </c>
      <c r="D12442" t="s">
        <v>1427</v>
      </c>
      <c r="E12442" t="s">
        <v>187</v>
      </c>
      <c r="F12442">
        <v>2005</v>
      </c>
      <c r="G12442">
        <v>152.685</v>
      </c>
    </row>
    <row r="12443" spans="1:7">
      <c r="A12443" t="s">
        <v>1297</v>
      </c>
      <c r="B12443" t="s">
        <v>1298</v>
      </c>
      <c r="C12443" t="s">
        <v>670</v>
      </c>
      <c r="D12443" t="s">
        <v>1427</v>
      </c>
      <c r="E12443" t="s">
        <v>187</v>
      </c>
      <c r="F12443">
        <v>2010</v>
      </c>
      <c r="G12443">
        <v>142.767</v>
      </c>
    </row>
    <row r="12444" spans="1:7">
      <c r="A12444" t="s">
        <v>1297</v>
      </c>
      <c r="B12444" t="s">
        <v>1298</v>
      </c>
      <c r="C12444" t="s">
        <v>653</v>
      </c>
      <c r="D12444" t="s">
        <v>1427</v>
      </c>
      <c r="E12444" t="s">
        <v>187</v>
      </c>
      <c r="F12444">
        <v>2005</v>
      </c>
      <c r="G12444">
        <v>7.8909599999999998</v>
      </c>
    </row>
    <row r="12445" spans="1:7">
      <c r="A12445" t="s">
        <v>1297</v>
      </c>
      <c r="B12445" t="s">
        <v>1298</v>
      </c>
      <c r="C12445" t="s">
        <v>653</v>
      </c>
      <c r="D12445" t="s">
        <v>1427</v>
      </c>
      <c r="E12445" t="s">
        <v>187</v>
      </c>
      <c r="F12445">
        <v>2010</v>
      </c>
      <c r="G12445">
        <v>7.0090000000000003</v>
      </c>
    </row>
    <row r="12446" spans="1:7">
      <c r="A12446" t="s">
        <v>1297</v>
      </c>
      <c r="B12446" t="s">
        <v>1298</v>
      </c>
      <c r="C12446" t="s">
        <v>653</v>
      </c>
      <c r="D12446" t="s">
        <v>1427</v>
      </c>
      <c r="E12446" t="s">
        <v>187</v>
      </c>
      <c r="F12446">
        <v>2012</v>
      </c>
      <c r="G12446">
        <v>6.8369999999999997</v>
      </c>
    </row>
    <row r="12447" spans="1:7">
      <c r="A12447" t="s">
        <v>1297</v>
      </c>
      <c r="B12447" t="s">
        <v>1298</v>
      </c>
      <c r="C12447" t="s">
        <v>653</v>
      </c>
      <c r="D12447" t="s">
        <v>1427</v>
      </c>
      <c r="E12447" t="s">
        <v>187</v>
      </c>
      <c r="F12447">
        <v>2016</v>
      </c>
      <c r="G12447">
        <v>8.9009999999999998</v>
      </c>
    </row>
    <row r="12448" spans="1:7">
      <c r="A12448" t="s">
        <v>1297</v>
      </c>
      <c r="B12448" t="s">
        <v>1298</v>
      </c>
      <c r="C12448" t="s">
        <v>653</v>
      </c>
      <c r="D12448" t="s">
        <v>1427</v>
      </c>
      <c r="E12448" t="s">
        <v>187</v>
      </c>
      <c r="F12448">
        <v>2020</v>
      </c>
      <c r="G12448">
        <v>10.180244</v>
      </c>
    </row>
    <row r="12449" spans="1:7">
      <c r="A12449" t="s">
        <v>1297</v>
      </c>
      <c r="B12449" t="s">
        <v>1298</v>
      </c>
      <c r="C12449" t="s">
        <v>659</v>
      </c>
      <c r="D12449" t="s">
        <v>1427</v>
      </c>
      <c r="E12449" t="s">
        <v>187</v>
      </c>
      <c r="F12449">
        <v>2005</v>
      </c>
      <c r="G12449">
        <v>133.0497</v>
      </c>
    </row>
    <row r="12450" spans="1:7">
      <c r="A12450" t="s">
        <v>1297</v>
      </c>
      <c r="B12450" t="s">
        <v>1298</v>
      </c>
      <c r="C12450" t="s">
        <v>659</v>
      </c>
      <c r="D12450" t="s">
        <v>1427</v>
      </c>
      <c r="E12450" t="s">
        <v>187</v>
      </c>
      <c r="F12450">
        <v>2010</v>
      </c>
      <c r="G12450">
        <v>130.7124</v>
      </c>
    </row>
    <row r="12451" spans="1:7">
      <c r="A12451" t="s">
        <v>1297</v>
      </c>
      <c r="B12451" t="s">
        <v>1298</v>
      </c>
      <c r="C12451" t="s">
        <v>659</v>
      </c>
      <c r="D12451" t="s">
        <v>1427</v>
      </c>
      <c r="E12451" t="s">
        <v>187</v>
      </c>
      <c r="F12451">
        <v>2012</v>
      </c>
      <c r="G12451">
        <v>154.57050000000001</v>
      </c>
    </row>
    <row r="12452" spans="1:7">
      <c r="A12452" t="s">
        <v>1297</v>
      </c>
      <c r="B12452" t="s">
        <v>1298</v>
      </c>
      <c r="C12452" t="s">
        <v>659</v>
      </c>
      <c r="D12452" t="s">
        <v>1427</v>
      </c>
      <c r="E12452" t="s">
        <v>187</v>
      </c>
      <c r="F12452">
        <v>2016</v>
      </c>
      <c r="G12452">
        <v>175.6944</v>
      </c>
    </row>
    <row r="12453" spans="1:7">
      <c r="A12453" t="s">
        <v>1297</v>
      </c>
      <c r="B12453" t="s">
        <v>1298</v>
      </c>
      <c r="C12453" t="s">
        <v>659</v>
      </c>
      <c r="D12453" t="s">
        <v>1427</v>
      </c>
      <c r="E12453" t="s">
        <v>187</v>
      </c>
      <c r="F12453">
        <v>2020</v>
      </c>
      <c r="G12453">
        <v>204.75630000000001</v>
      </c>
    </row>
    <row r="12454" spans="1:7">
      <c r="A12454" t="s">
        <v>1297</v>
      </c>
      <c r="B12454" t="s">
        <v>1298</v>
      </c>
      <c r="C12454" t="s">
        <v>679</v>
      </c>
      <c r="D12454" t="s">
        <v>1427</v>
      </c>
      <c r="E12454" t="s">
        <v>187</v>
      </c>
      <c r="F12454">
        <v>2005</v>
      </c>
      <c r="G12454">
        <v>14.783300000000001</v>
      </c>
    </row>
    <row r="12455" spans="1:7">
      <c r="A12455" t="s">
        <v>1297</v>
      </c>
      <c r="B12455" t="s">
        <v>1298</v>
      </c>
      <c r="C12455" t="s">
        <v>679</v>
      </c>
      <c r="D12455" t="s">
        <v>1427</v>
      </c>
      <c r="E12455" t="s">
        <v>187</v>
      </c>
      <c r="F12455">
        <v>2010</v>
      </c>
      <c r="G12455">
        <v>18.058900000000001</v>
      </c>
    </row>
    <row r="12456" spans="1:7">
      <c r="A12456" t="s">
        <v>1297</v>
      </c>
      <c r="B12456" t="s">
        <v>1298</v>
      </c>
      <c r="C12456" t="s">
        <v>679</v>
      </c>
      <c r="D12456" t="s">
        <v>1427</v>
      </c>
      <c r="E12456" t="s">
        <v>187</v>
      </c>
      <c r="F12456">
        <v>2012</v>
      </c>
      <c r="G12456">
        <v>16.895199999999999</v>
      </c>
    </row>
    <row r="12457" spans="1:7">
      <c r="A12457" t="s">
        <v>1297</v>
      </c>
      <c r="B12457" t="s">
        <v>1298</v>
      </c>
      <c r="C12457" t="s">
        <v>679</v>
      </c>
      <c r="D12457" t="s">
        <v>1427</v>
      </c>
      <c r="E12457" t="s">
        <v>187</v>
      </c>
      <c r="F12457">
        <v>2016</v>
      </c>
      <c r="G12457">
        <v>21.636199999999999</v>
      </c>
    </row>
    <row r="12458" spans="1:7">
      <c r="A12458" t="s">
        <v>1297</v>
      </c>
      <c r="B12458" t="s">
        <v>1298</v>
      </c>
      <c r="C12458" t="s">
        <v>679</v>
      </c>
      <c r="D12458" t="s">
        <v>1427</v>
      </c>
      <c r="E12458" t="s">
        <v>187</v>
      </c>
      <c r="F12458">
        <v>2020</v>
      </c>
      <c r="G12458">
        <v>23.004284999999999</v>
      </c>
    </row>
    <row r="12459" spans="1:7">
      <c r="A12459" t="s">
        <v>1297</v>
      </c>
      <c r="B12459" t="s">
        <v>1298</v>
      </c>
      <c r="C12459" t="s">
        <v>651</v>
      </c>
      <c r="D12459" t="s">
        <v>1427</v>
      </c>
      <c r="E12459" t="s">
        <v>187</v>
      </c>
      <c r="F12459">
        <v>2005</v>
      </c>
      <c r="G12459">
        <v>26.892634000000001</v>
      </c>
    </row>
    <row r="12460" spans="1:7">
      <c r="A12460" t="s">
        <v>1297</v>
      </c>
      <c r="B12460" t="s">
        <v>1298</v>
      </c>
      <c r="C12460" t="s">
        <v>651</v>
      </c>
      <c r="D12460" t="s">
        <v>1427</v>
      </c>
      <c r="E12460" t="s">
        <v>187</v>
      </c>
      <c r="F12460">
        <v>2010</v>
      </c>
      <c r="G12460">
        <v>27.927872000000001</v>
      </c>
    </row>
    <row r="12461" spans="1:7">
      <c r="A12461" t="s">
        <v>1297</v>
      </c>
      <c r="B12461" t="s">
        <v>1298</v>
      </c>
      <c r="C12461" t="s">
        <v>651</v>
      </c>
      <c r="D12461" t="s">
        <v>1427</v>
      </c>
      <c r="E12461" t="s">
        <v>187</v>
      </c>
      <c r="F12461">
        <v>2012</v>
      </c>
      <c r="G12461">
        <v>28.488668000000001</v>
      </c>
    </row>
    <row r="12462" spans="1:7">
      <c r="A12462" t="s">
        <v>1297</v>
      </c>
      <c r="B12462" t="s">
        <v>1298</v>
      </c>
      <c r="C12462" t="s">
        <v>651</v>
      </c>
      <c r="D12462" t="s">
        <v>1427</v>
      </c>
      <c r="E12462" t="s">
        <v>187</v>
      </c>
      <c r="F12462">
        <v>2016</v>
      </c>
      <c r="G12462">
        <v>31.956699</v>
      </c>
    </row>
    <row r="12463" spans="1:7">
      <c r="A12463" t="s">
        <v>1297</v>
      </c>
      <c r="B12463" t="s">
        <v>1298</v>
      </c>
      <c r="C12463" t="s">
        <v>651</v>
      </c>
      <c r="D12463" t="s">
        <v>1427</v>
      </c>
      <c r="E12463" t="s">
        <v>187</v>
      </c>
      <c r="F12463">
        <v>2020</v>
      </c>
      <c r="G12463">
        <v>39.969017999999998</v>
      </c>
    </row>
    <row r="12464" spans="1:7">
      <c r="A12464" t="s">
        <v>1297</v>
      </c>
      <c r="B12464" t="s">
        <v>1298</v>
      </c>
      <c r="C12464" t="s">
        <v>664</v>
      </c>
      <c r="D12464" t="s">
        <v>1427</v>
      </c>
      <c r="E12464" t="s">
        <v>187</v>
      </c>
      <c r="F12464">
        <v>2005</v>
      </c>
      <c r="G12464">
        <v>34.089300000000001</v>
      </c>
    </row>
    <row r="12465" spans="1:7">
      <c r="A12465" t="s">
        <v>1297</v>
      </c>
      <c r="B12465" t="s">
        <v>1298</v>
      </c>
      <c r="C12465" t="s">
        <v>664</v>
      </c>
      <c r="D12465" t="s">
        <v>1427</v>
      </c>
      <c r="E12465" t="s">
        <v>187</v>
      </c>
      <c r="F12465">
        <v>2010</v>
      </c>
      <c r="G12465">
        <v>31.002300000000002</v>
      </c>
    </row>
    <row r="12466" spans="1:7">
      <c r="A12466" t="s">
        <v>1297</v>
      </c>
      <c r="B12466" t="s">
        <v>1298</v>
      </c>
      <c r="C12466" t="s">
        <v>664</v>
      </c>
      <c r="D12466" t="s">
        <v>1427</v>
      </c>
      <c r="E12466" t="s">
        <v>187</v>
      </c>
      <c r="F12466">
        <v>2012</v>
      </c>
      <c r="G12466">
        <v>24.299099999999999</v>
      </c>
    </row>
    <row r="12467" spans="1:7">
      <c r="A12467" t="s">
        <v>1297</v>
      </c>
      <c r="B12467" t="s">
        <v>1298</v>
      </c>
      <c r="C12467" t="s">
        <v>664</v>
      </c>
      <c r="D12467" t="s">
        <v>1427</v>
      </c>
      <c r="E12467" t="s">
        <v>187</v>
      </c>
      <c r="F12467">
        <v>2016</v>
      </c>
      <c r="G12467">
        <v>36.2502</v>
      </c>
    </row>
    <row r="12468" spans="1:7">
      <c r="A12468" t="s">
        <v>1297</v>
      </c>
      <c r="B12468" t="s">
        <v>1298</v>
      </c>
      <c r="C12468" t="s">
        <v>664</v>
      </c>
      <c r="D12468" t="s">
        <v>1427</v>
      </c>
      <c r="E12468" t="s">
        <v>187</v>
      </c>
      <c r="F12468">
        <v>2020</v>
      </c>
      <c r="G12468">
        <v>46.490642000000001</v>
      </c>
    </row>
    <row r="12469" spans="1:7">
      <c r="A12469" t="s">
        <v>1297</v>
      </c>
      <c r="B12469" t="s">
        <v>1298</v>
      </c>
      <c r="C12469" t="s">
        <v>660</v>
      </c>
      <c r="D12469" t="s">
        <v>1427</v>
      </c>
      <c r="E12469" t="s">
        <v>187</v>
      </c>
      <c r="F12469">
        <v>2005</v>
      </c>
      <c r="G12469">
        <v>17.623100000000001</v>
      </c>
    </row>
    <row r="12470" spans="1:7">
      <c r="A12470" t="s">
        <v>1297</v>
      </c>
      <c r="B12470" t="s">
        <v>1298</v>
      </c>
      <c r="C12470" t="s">
        <v>660</v>
      </c>
      <c r="D12470" t="s">
        <v>1427</v>
      </c>
      <c r="E12470" t="s">
        <v>187</v>
      </c>
      <c r="F12470">
        <v>2010</v>
      </c>
      <c r="G12470">
        <v>22.602599999999999</v>
      </c>
    </row>
    <row r="12471" spans="1:7">
      <c r="A12471" t="s">
        <v>1297</v>
      </c>
      <c r="B12471" t="s">
        <v>1298</v>
      </c>
      <c r="C12471" t="s">
        <v>660</v>
      </c>
      <c r="D12471" t="s">
        <v>1427</v>
      </c>
      <c r="E12471" t="s">
        <v>187</v>
      </c>
      <c r="F12471">
        <v>2012</v>
      </c>
      <c r="G12471">
        <v>25.806799999999999</v>
      </c>
    </row>
    <row r="12472" spans="1:7">
      <c r="A12472" t="s">
        <v>1297</v>
      </c>
      <c r="B12472" t="s">
        <v>1298</v>
      </c>
      <c r="C12472" t="s">
        <v>660</v>
      </c>
      <c r="D12472" t="s">
        <v>1427</v>
      </c>
      <c r="E12472" t="s">
        <v>187</v>
      </c>
      <c r="F12472">
        <v>2016</v>
      </c>
      <c r="G12472">
        <v>26.889299999999999</v>
      </c>
    </row>
    <row r="12473" spans="1:7">
      <c r="A12473" t="s">
        <v>1297</v>
      </c>
      <c r="B12473" t="s">
        <v>1298</v>
      </c>
      <c r="C12473" t="s">
        <v>660</v>
      </c>
      <c r="D12473" t="s">
        <v>1427</v>
      </c>
      <c r="E12473" t="s">
        <v>187</v>
      </c>
      <c r="F12473">
        <v>2020</v>
      </c>
      <c r="G12473">
        <v>35.159599999999998</v>
      </c>
    </row>
    <row r="12474" spans="1:7">
      <c r="A12474" t="s">
        <v>1297</v>
      </c>
      <c r="B12474" t="s">
        <v>1298</v>
      </c>
      <c r="C12474" t="s">
        <v>680</v>
      </c>
      <c r="D12474" t="s">
        <v>1427</v>
      </c>
      <c r="E12474" t="s">
        <v>187</v>
      </c>
      <c r="F12474">
        <v>2005</v>
      </c>
      <c r="G12474">
        <v>5.7329999999999997</v>
      </c>
    </row>
    <row r="12475" spans="1:7">
      <c r="A12475" t="s">
        <v>1297</v>
      </c>
      <c r="B12475" t="s">
        <v>1298</v>
      </c>
      <c r="C12475" t="s">
        <v>680</v>
      </c>
      <c r="D12475" t="s">
        <v>1427</v>
      </c>
      <c r="E12475" t="s">
        <v>187</v>
      </c>
      <c r="F12475">
        <v>2010</v>
      </c>
      <c r="G12475">
        <v>5.28</v>
      </c>
    </row>
    <row r="12476" spans="1:7">
      <c r="A12476" t="s">
        <v>1297</v>
      </c>
      <c r="B12476" t="s">
        <v>1298</v>
      </c>
      <c r="C12476" t="s">
        <v>680</v>
      </c>
      <c r="D12476" t="s">
        <v>1427</v>
      </c>
      <c r="E12476" t="s">
        <v>187</v>
      </c>
      <c r="F12476">
        <v>2012</v>
      </c>
      <c r="G12476">
        <v>6.16</v>
      </c>
    </row>
    <row r="12477" spans="1:7">
      <c r="A12477" t="s">
        <v>1297</v>
      </c>
      <c r="B12477" t="s">
        <v>1298</v>
      </c>
      <c r="C12477" t="s">
        <v>680</v>
      </c>
      <c r="D12477" t="s">
        <v>1427</v>
      </c>
      <c r="E12477" t="s">
        <v>187</v>
      </c>
      <c r="F12477">
        <v>2016</v>
      </c>
      <c r="G12477">
        <v>12.965968999999999</v>
      </c>
    </row>
    <row r="12478" spans="1:7">
      <c r="A12478" t="s">
        <v>1297</v>
      </c>
      <c r="B12478" t="s">
        <v>1298</v>
      </c>
      <c r="C12478" t="s">
        <v>680</v>
      </c>
      <c r="D12478" t="s">
        <v>1427</v>
      </c>
      <c r="E12478" t="s">
        <v>187</v>
      </c>
      <c r="F12478">
        <v>2020</v>
      </c>
      <c r="G12478">
        <v>13.345552</v>
      </c>
    </row>
    <row r="12479" spans="1:7">
      <c r="A12479" t="s">
        <v>1297</v>
      </c>
      <c r="B12479" t="s">
        <v>1298</v>
      </c>
      <c r="C12479" t="s">
        <v>682</v>
      </c>
      <c r="D12479" t="s">
        <v>1427</v>
      </c>
      <c r="E12479" t="s">
        <v>187</v>
      </c>
      <c r="F12479">
        <v>2016</v>
      </c>
      <c r="G12479">
        <v>0.43959999999999999</v>
      </c>
    </row>
    <row r="12480" spans="1:7">
      <c r="A12480" t="s">
        <v>1297</v>
      </c>
      <c r="B12480" t="s">
        <v>1298</v>
      </c>
      <c r="C12480" t="s">
        <v>670</v>
      </c>
      <c r="D12480" t="s">
        <v>1427</v>
      </c>
      <c r="E12480" t="s">
        <v>187</v>
      </c>
      <c r="F12480">
        <v>2012</v>
      </c>
      <c r="G12480">
        <v>142.81049999999999</v>
      </c>
    </row>
    <row r="12481" spans="1:7">
      <c r="A12481" t="s">
        <v>1297</v>
      </c>
      <c r="B12481" t="s">
        <v>1298</v>
      </c>
      <c r="C12481" t="s">
        <v>670</v>
      </c>
      <c r="D12481" t="s">
        <v>1427</v>
      </c>
      <c r="E12481" t="s">
        <v>187</v>
      </c>
      <c r="F12481">
        <v>2016</v>
      </c>
      <c r="G12481">
        <v>163.29639</v>
      </c>
    </row>
    <row r="12482" spans="1:7">
      <c r="A12482" t="s">
        <v>1297</v>
      </c>
      <c r="B12482" t="s">
        <v>1298</v>
      </c>
      <c r="C12482" t="s">
        <v>670</v>
      </c>
      <c r="D12482" t="s">
        <v>1427</v>
      </c>
      <c r="E12482" t="s">
        <v>187</v>
      </c>
      <c r="F12482">
        <v>2020</v>
      </c>
      <c r="G12482">
        <v>166.290198</v>
      </c>
    </row>
    <row r="12483" spans="1:7">
      <c r="A12483" t="s">
        <v>1297</v>
      </c>
      <c r="B12483" t="s">
        <v>1298</v>
      </c>
      <c r="C12483" t="s">
        <v>666</v>
      </c>
      <c r="D12483" t="s">
        <v>1427</v>
      </c>
      <c r="E12483" t="s">
        <v>187</v>
      </c>
      <c r="F12483">
        <v>2005</v>
      </c>
      <c r="G12483">
        <v>1.944</v>
      </c>
    </row>
    <row r="12484" spans="1:7">
      <c r="A12484" t="s">
        <v>1297</v>
      </c>
      <c r="B12484" t="s">
        <v>1298</v>
      </c>
      <c r="C12484" t="s">
        <v>666</v>
      </c>
      <c r="D12484" t="s">
        <v>1427</v>
      </c>
      <c r="E12484" t="s">
        <v>187</v>
      </c>
      <c r="F12484">
        <v>2010</v>
      </c>
      <c r="G12484">
        <v>2.0285199999999999</v>
      </c>
    </row>
    <row r="12485" spans="1:7">
      <c r="A12485" t="s">
        <v>1297</v>
      </c>
      <c r="B12485" t="s">
        <v>1298</v>
      </c>
      <c r="C12485" t="s">
        <v>666</v>
      </c>
      <c r="D12485" t="s">
        <v>1427</v>
      </c>
      <c r="E12485" t="s">
        <v>187</v>
      </c>
      <c r="F12485">
        <v>2012</v>
      </c>
      <c r="G12485">
        <v>2.6327600000000002</v>
      </c>
    </row>
    <row r="12486" spans="1:7">
      <c r="A12486" t="s">
        <v>1297</v>
      </c>
      <c r="B12486" t="s">
        <v>1298</v>
      </c>
      <c r="C12486" t="s">
        <v>666</v>
      </c>
      <c r="D12486" t="s">
        <v>1427</v>
      </c>
      <c r="E12486" t="s">
        <v>187</v>
      </c>
      <c r="F12486">
        <v>2016</v>
      </c>
      <c r="G12486">
        <v>4.0175999999999998</v>
      </c>
    </row>
    <row r="12487" spans="1:7">
      <c r="A12487" t="s">
        <v>1297</v>
      </c>
      <c r="B12487" t="s">
        <v>1298</v>
      </c>
      <c r="C12487" t="s">
        <v>666</v>
      </c>
      <c r="D12487" t="s">
        <v>1427</v>
      </c>
      <c r="E12487" t="s">
        <v>187</v>
      </c>
      <c r="F12487">
        <v>2020</v>
      </c>
      <c r="G12487">
        <v>5.1633040000000001</v>
      </c>
    </row>
    <row r="12488" spans="1:7">
      <c r="A12488" t="s">
        <v>1297</v>
      </c>
      <c r="B12488" t="s">
        <v>1298</v>
      </c>
      <c r="C12488" t="s">
        <v>672</v>
      </c>
      <c r="D12488" t="s">
        <v>1427</v>
      </c>
      <c r="E12488" t="s">
        <v>187</v>
      </c>
      <c r="F12488">
        <v>2005</v>
      </c>
      <c r="G12488">
        <v>31.56972</v>
      </c>
    </row>
    <row r="12489" spans="1:7">
      <c r="A12489" t="s">
        <v>1297</v>
      </c>
      <c r="B12489" t="s">
        <v>1298</v>
      </c>
      <c r="C12489" t="s">
        <v>672</v>
      </c>
      <c r="D12489" t="s">
        <v>1427</v>
      </c>
      <c r="E12489" t="s">
        <v>187</v>
      </c>
      <c r="F12489">
        <v>2010</v>
      </c>
      <c r="G12489">
        <v>36.765000000000001</v>
      </c>
    </row>
    <row r="12490" spans="1:7">
      <c r="A12490" t="s">
        <v>1297</v>
      </c>
      <c r="B12490" t="s">
        <v>1298</v>
      </c>
      <c r="C12490" t="s">
        <v>672</v>
      </c>
      <c r="D12490" t="s">
        <v>1427</v>
      </c>
      <c r="E12490" t="s">
        <v>187</v>
      </c>
      <c r="F12490">
        <v>2012</v>
      </c>
      <c r="G12490">
        <v>38.656999999999996</v>
      </c>
    </row>
    <row r="12491" spans="1:7">
      <c r="A12491" t="s">
        <v>1297</v>
      </c>
      <c r="B12491" t="s">
        <v>1298</v>
      </c>
      <c r="C12491" t="s">
        <v>672</v>
      </c>
      <c r="D12491" t="s">
        <v>1427</v>
      </c>
      <c r="E12491" t="s">
        <v>187</v>
      </c>
      <c r="F12491">
        <v>2016</v>
      </c>
      <c r="G12491">
        <v>48.116999999999997</v>
      </c>
    </row>
    <row r="12492" spans="1:7">
      <c r="A12492" t="s">
        <v>1297</v>
      </c>
      <c r="B12492" t="s">
        <v>1298</v>
      </c>
      <c r="C12492" t="s">
        <v>672</v>
      </c>
      <c r="D12492" t="s">
        <v>1427</v>
      </c>
      <c r="E12492" t="s">
        <v>187</v>
      </c>
      <c r="F12492">
        <v>2020</v>
      </c>
      <c r="G12492">
        <v>61.050109999999997</v>
      </c>
    </row>
    <row r="12493" spans="1:7">
      <c r="A12493" t="s">
        <v>1297</v>
      </c>
      <c r="B12493" t="s">
        <v>1298</v>
      </c>
      <c r="C12493" t="s">
        <v>669</v>
      </c>
      <c r="D12493" t="s">
        <v>1427</v>
      </c>
      <c r="E12493" t="s">
        <v>187</v>
      </c>
      <c r="F12493">
        <v>2005</v>
      </c>
      <c r="G12493">
        <v>3.698</v>
      </c>
    </row>
    <row r="12494" spans="1:7">
      <c r="A12494" t="s">
        <v>1297</v>
      </c>
      <c r="B12494" t="s">
        <v>1298</v>
      </c>
      <c r="C12494" t="s">
        <v>669</v>
      </c>
      <c r="D12494" t="s">
        <v>1427</v>
      </c>
      <c r="E12494" t="s">
        <v>187</v>
      </c>
      <c r="F12494">
        <v>2010</v>
      </c>
      <c r="G12494">
        <v>4.2569999999999997</v>
      </c>
    </row>
    <row r="12495" spans="1:7">
      <c r="A12495" t="s">
        <v>1297</v>
      </c>
      <c r="B12495" t="s">
        <v>1298</v>
      </c>
      <c r="C12495" t="s">
        <v>669</v>
      </c>
      <c r="D12495" t="s">
        <v>1427</v>
      </c>
      <c r="E12495" t="s">
        <v>187</v>
      </c>
      <c r="F12495">
        <v>2012</v>
      </c>
      <c r="G12495">
        <v>4.1710000000000003</v>
      </c>
    </row>
    <row r="12496" spans="1:7">
      <c r="A12496" t="s">
        <v>1297</v>
      </c>
      <c r="B12496" t="s">
        <v>1298</v>
      </c>
      <c r="C12496" t="s">
        <v>669</v>
      </c>
      <c r="D12496" t="s">
        <v>1427</v>
      </c>
      <c r="E12496" t="s">
        <v>187</v>
      </c>
      <c r="F12496">
        <v>2016</v>
      </c>
      <c r="G12496">
        <v>5.2030000000000003</v>
      </c>
    </row>
    <row r="12497" spans="1:7">
      <c r="A12497" t="s">
        <v>1297</v>
      </c>
      <c r="B12497" t="s">
        <v>1298</v>
      </c>
      <c r="C12497" t="s">
        <v>669</v>
      </c>
      <c r="D12497" t="s">
        <v>1427</v>
      </c>
      <c r="E12497" t="s">
        <v>187</v>
      </c>
      <c r="F12497">
        <v>2020</v>
      </c>
      <c r="G12497">
        <v>6.9006600000000002</v>
      </c>
    </row>
    <row r="12498" spans="1:7">
      <c r="A12498" t="s">
        <v>1297</v>
      </c>
      <c r="B12498" t="s">
        <v>1298</v>
      </c>
      <c r="C12498" t="s">
        <v>658</v>
      </c>
      <c r="D12498" t="s">
        <v>1427</v>
      </c>
      <c r="E12498" t="s">
        <v>187</v>
      </c>
      <c r="F12498">
        <v>2005</v>
      </c>
      <c r="G12498">
        <v>2.1235189999999999</v>
      </c>
    </row>
    <row r="12499" spans="1:7">
      <c r="A12499" t="s">
        <v>1297</v>
      </c>
      <c r="B12499" t="s">
        <v>1298</v>
      </c>
      <c r="C12499" t="s">
        <v>658</v>
      </c>
      <c r="D12499" t="s">
        <v>1427</v>
      </c>
      <c r="E12499" t="s">
        <v>187</v>
      </c>
      <c r="F12499">
        <v>2010</v>
      </c>
      <c r="G12499">
        <v>1.4085080000000001</v>
      </c>
    </row>
    <row r="12500" spans="1:7">
      <c r="A12500" t="s">
        <v>1297</v>
      </c>
      <c r="B12500" t="s">
        <v>1298</v>
      </c>
      <c r="C12500" t="s">
        <v>658</v>
      </c>
      <c r="D12500" t="s">
        <v>1427</v>
      </c>
      <c r="E12500" t="s">
        <v>187</v>
      </c>
      <c r="F12500">
        <v>2012</v>
      </c>
      <c r="G12500">
        <v>2.500407</v>
      </c>
    </row>
    <row r="12501" spans="1:7">
      <c r="A12501" t="s">
        <v>1297</v>
      </c>
      <c r="B12501" t="s">
        <v>1298</v>
      </c>
      <c r="C12501" t="s">
        <v>658</v>
      </c>
      <c r="D12501" t="s">
        <v>1427</v>
      </c>
      <c r="E12501" t="s">
        <v>187</v>
      </c>
      <c r="F12501">
        <v>2016</v>
      </c>
      <c r="G12501">
        <v>1.9190039999999999</v>
      </c>
    </row>
    <row r="12502" spans="1:7">
      <c r="A12502" t="s">
        <v>1297</v>
      </c>
      <c r="B12502" t="s">
        <v>1298</v>
      </c>
      <c r="C12502" t="s">
        <v>658</v>
      </c>
      <c r="D12502" t="s">
        <v>1427</v>
      </c>
      <c r="E12502" t="s">
        <v>187</v>
      </c>
      <c r="F12502">
        <v>2020</v>
      </c>
      <c r="G12502">
        <v>2.867111</v>
      </c>
    </row>
    <row r="12503" spans="1:7">
      <c r="A12503" t="s">
        <v>1297</v>
      </c>
      <c r="B12503" t="s">
        <v>1298</v>
      </c>
      <c r="C12503" t="s">
        <v>677</v>
      </c>
      <c r="D12503" t="s">
        <v>1427</v>
      </c>
      <c r="E12503" t="s">
        <v>187</v>
      </c>
      <c r="F12503">
        <v>2005</v>
      </c>
      <c r="G12503">
        <v>514.38624800000002</v>
      </c>
    </row>
    <row r="12504" spans="1:7">
      <c r="A12504" t="s">
        <v>1297</v>
      </c>
      <c r="B12504" t="s">
        <v>1298</v>
      </c>
      <c r="C12504" t="s">
        <v>677</v>
      </c>
      <c r="D12504" t="s">
        <v>1427</v>
      </c>
      <c r="E12504" t="s">
        <v>187</v>
      </c>
      <c r="F12504">
        <v>2010</v>
      </c>
      <c r="G12504">
        <v>458.50211999999999</v>
      </c>
    </row>
    <row r="12505" spans="1:7">
      <c r="A12505" t="s">
        <v>1297</v>
      </c>
      <c r="B12505" t="s">
        <v>1298</v>
      </c>
      <c r="C12505" t="s">
        <v>677</v>
      </c>
      <c r="D12505" t="s">
        <v>1427</v>
      </c>
      <c r="E12505" t="s">
        <v>187</v>
      </c>
      <c r="F12505">
        <v>2012</v>
      </c>
      <c r="G12505">
        <v>463.16095799999999</v>
      </c>
    </row>
    <row r="12506" spans="1:7">
      <c r="A12506" t="s">
        <v>1297</v>
      </c>
      <c r="B12506" t="s">
        <v>1298</v>
      </c>
      <c r="C12506" t="s">
        <v>677</v>
      </c>
      <c r="D12506" t="s">
        <v>1427</v>
      </c>
      <c r="E12506" t="s">
        <v>187</v>
      </c>
      <c r="F12506">
        <v>2016</v>
      </c>
      <c r="G12506">
        <v>463.72834699999999</v>
      </c>
    </row>
    <row r="12507" spans="1:7">
      <c r="A12507" t="s">
        <v>1297</v>
      </c>
      <c r="B12507" t="s">
        <v>1298</v>
      </c>
      <c r="C12507" t="s">
        <v>677</v>
      </c>
      <c r="D12507" t="s">
        <v>1427</v>
      </c>
      <c r="E12507" t="s">
        <v>187</v>
      </c>
      <c r="F12507">
        <v>2020</v>
      </c>
      <c r="G12507">
        <v>506.06575199999997</v>
      </c>
    </row>
    <row r="12508" spans="1:7">
      <c r="A12508" t="s">
        <v>1297</v>
      </c>
      <c r="B12508" t="s">
        <v>1298</v>
      </c>
      <c r="C12508" t="s">
        <v>673</v>
      </c>
      <c r="D12508" t="s">
        <v>1427</v>
      </c>
      <c r="E12508" t="s">
        <v>187</v>
      </c>
      <c r="F12508">
        <v>2005</v>
      </c>
      <c r="G12508">
        <v>5.2680239999999996</v>
      </c>
    </row>
    <row r="12509" spans="1:7">
      <c r="A12509" t="s">
        <v>1297</v>
      </c>
      <c r="B12509" t="s">
        <v>1298</v>
      </c>
      <c r="C12509" t="s">
        <v>673</v>
      </c>
      <c r="D12509" t="s">
        <v>1427</v>
      </c>
      <c r="E12509" t="s">
        <v>187</v>
      </c>
      <c r="F12509">
        <v>2010</v>
      </c>
      <c r="G12509">
        <v>6.9570809999999996</v>
      </c>
    </row>
    <row r="12510" spans="1:7">
      <c r="A12510" t="s">
        <v>1297</v>
      </c>
      <c r="B12510" t="s">
        <v>1298</v>
      </c>
      <c r="C12510" t="s">
        <v>673</v>
      </c>
      <c r="D12510" t="s">
        <v>1427</v>
      </c>
      <c r="E12510" t="s">
        <v>187</v>
      </c>
      <c r="F12510">
        <v>2012</v>
      </c>
      <c r="G12510">
        <v>5.5745100000000001</v>
      </c>
    </row>
    <row r="12511" spans="1:7">
      <c r="A12511" t="s">
        <v>1297</v>
      </c>
      <c r="B12511" t="s">
        <v>1298</v>
      </c>
      <c r="C12511" t="s">
        <v>673</v>
      </c>
      <c r="D12511" t="s">
        <v>1427</v>
      </c>
      <c r="E12511" t="s">
        <v>187</v>
      </c>
      <c r="F12511">
        <v>2016</v>
      </c>
      <c r="G12511">
        <v>12.165144</v>
      </c>
    </row>
    <row r="12512" spans="1:7">
      <c r="A12512" t="s">
        <v>1297</v>
      </c>
      <c r="B12512" t="s">
        <v>1298</v>
      </c>
      <c r="C12512" t="s">
        <v>673</v>
      </c>
      <c r="D12512" t="s">
        <v>1427</v>
      </c>
      <c r="E12512" t="s">
        <v>187</v>
      </c>
      <c r="F12512">
        <v>2020</v>
      </c>
      <c r="G12512">
        <v>6.3898039999999998</v>
      </c>
    </row>
    <row r="12513" spans="1:7">
      <c r="A12513" t="s">
        <v>1297</v>
      </c>
      <c r="B12513" t="s">
        <v>1298</v>
      </c>
      <c r="C12513" t="s">
        <v>684</v>
      </c>
      <c r="D12513" t="s">
        <v>1427</v>
      </c>
      <c r="E12513" t="s">
        <v>187</v>
      </c>
      <c r="F12513">
        <v>2005</v>
      </c>
      <c r="G12513">
        <v>0.57147999999999999</v>
      </c>
    </row>
    <row r="12514" spans="1:7">
      <c r="A12514" t="s">
        <v>1297</v>
      </c>
      <c r="B12514" t="s">
        <v>1298</v>
      </c>
      <c r="C12514" t="s">
        <v>684</v>
      </c>
      <c r="D12514" t="s">
        <v>1427</v>
      </c>
      <c r="E12514" t="s">
        <v>187</v>
      </c>
      <c r="F12514">
        <v>2010</v>
      </c>
      <c r="G12514">
        <v>8.7919999999999998E-2</v>
      </c>
    </row>
    <row r="12515" spans="1:7">
      <c r="A12515" t="s">
        <v>1297</v>
      </c>
      <c r="B12515" t="s">
        <v>1298</v>
      </c>
      <c r="C12515" t="s">
        <v>684</v>
      </c>
      <c r="D12515" t="s">
        <v>1427</v>
      </c>
      <c r="E12515" t="s">
        <v>187</v>
      </c>
      <c r="F12515">
        <v>2012</v>
      </c>
      <c r="G12515">
        <v>0.52751999999999999</v>
      </c>
    </row>
    <row r="12516" spans="1:7">
      <c r="A12516" t="s">
        <v>1297</v>
      </c>
      <c r="B12516" t="s">
        <v>1298</v>
      </c>
      <c r="C12516" t="s">
        <v>684</v>
      </c>
      <c r="D12516" t="s">
        <v>1427</v>
      </c>
      <c r="E12516" t="s">
        <v>187</v>
      </c>
      <c r="F12516">
        <v>2016</v>
      </c>
      <c r="G12516">
        <v>0.83523999999999998</v>
      </c>
    </row>
    <row r="12517" spans="1:7">
      <c r="A12517" t="s">
        <v>1297</v>
      </c>
      <c r="B12517" t="s">
        <v>1298</v>
      </c>
      <c r="C12517" t="s">
        <v>684</v>
      </c>
      <c r="D12517" t="s">
        <v>1427</v>
      </c>
      <c r="E12517" t="s">
        <v>187</v>
      </c>
      <c r="F12517">
        <v>2020</v>
      </c>
      <c r="G12517">
        <v>1.05504</v>
      </c>
    </row>
    <row r="12518" spans="1:7">
      <c r="A12518" t="s">
        <v>1297</v>
      </c>
      <c r="B12518" t="s">
        <v>1298</v>
      </c>
      <c r="C12518" t="s">
        <v>667</v>
      </c>
      <c r="D12518" t="s">
        <v>1427</v>
      </c>
      <c r="E12518" t="s">
        <v>187</v>
      </c>
      <c r="F12518">
        <v>2005</v>
      </c>
      <c r="G12518">
        <v>18.130092000000001</v>
      </c>
    </row>
    <row r="12519" spans="1:7">
      <c r="A12519" t="s">
        <v>1297</v>
      </c>
      <c r="B12519" t="s">
        <v>1298</v>
      </c>
      <c r="C12519" t="s">
        <v>667</v>
      </c>
      <c r="D12519" t="s">
        <v>1427</v>
      </c>
      <c r="E12519" t="s">
        <v>187</v>
      </c>
      <c r="F12519">
        <v>2010</v>
      </c>
      <c r="G12519">
        <v>18.050132999999999</v>
      </c>
    </row>
    <row r="12520" spans="1:7">
      <c r="A12520" t="s">
        <v>1297</v>
      </c>
      <c r="B12520" t="s">
        <v>1298</v>
      </c>
      <c r="C12520" t="s">
        <v>667</v>
      </c>
      <c r="D12520" t="s">
        <v>1427</v>
      </c>
      <c r="E12520" t="s">
        <v>187</v>
      </c>
      <c r="F12520">
        <v>2012</v>
      </c>
      <c r="G12520">
        <v>15.580647000000001</v>
      </c>
    </row>
    <row r="12521" spans="1:7">
      <c r="A12521" t="s">
        <v>1297</v>
      </c>
      <c r="B12521" t="s">
        <v>1298</v>
      </c>
      <c r="C12521" t="s">
        <v>667</v>
      </c>
      <c r="D12521" t="s">
        <v>1427</v>
      </c>
      <c r="E12521" t="s">
        <v>187</v>
      </c>
      <c r="F12521">
        <v>2016</v>
      </c>
      <c r="G12521">
        <v>21.262059000000001</v>
      </c>
    </row>
    <row r="12522" spans="1:7">
      <c r="A12522" t="s">
        <v>1297</v>
      </c>
      <c r="B12522" t="s">
        <v>1298</v>
      </c>
      <c r="C12522" t="s">
        <v>667</v>
      </c>
      <c r="D12522" t="s">
        <v>1427</v>
      </c>
      <c r="E12522" t="s">
        <v>187</v>
      </c>
      <c r="F12522">
        <v>2020</v>
      </c>
      <c r="G12522">
        <v>25.147241000000001</v>
      </c>
    </row>
    <row r="12523" spans="1:7">
      <c r="A12523" t="s">
        <v>1297</v>
      </c>
      <c r="B12523" t="s">
        <v>1298</v>
      </c>
      <c r="C12523" t="s">
        <v>1299</v>
      </c>
      <c r="D12523" t="s">
        <v>1427</v>
      </c>
      <c r="E12523" t="s">
        <v>187</v>
      </c>
      <c r="F12523">
        <v>2005</v>
      </c>
      <c r="G12523">
        <v>15.651999999999999</v>
      </c>
    </row>
    <row r="12524" spans="1:7">
      <c r="A12524" t="s">
        <v>1297</v>
      </c>
      <c r="B12524" t="s">
        <v>1298</v>
      </c>
      <c r="C12524" t="s">
        <v>1299</v>
      </c>
      <c r="D12524" t="s">
        <v>1427</v>
      </c>
      <c r="E12524" t="s">
        <v>187</v>
      </c>
      <c r="F12524">
        <v>2010</v>
      </c>
      <c r="G12524">
        <v>11.481</v>
      </c>
    </row>
    <row r="12525" spans="1:7">
      <c r="A12525" t="s">
        <v>1297</v>
      </c>
      <c r="B12525" t="s">
        <v>1298</v>
      </c>
      <c r="C12525" t="s">
        <v>1299</v>
      </c>
      <c r="D12525" t="s">
        <v>1427</v>
      </c>
      <c r="E12525" t="s">
        <v>187</v>
      </c>
      <c r="F12525">
        <v>2012</v>
      </c>
      <c r="G12525">
        <v>12.664999999999999</v>
      </c>
    </row>
    <row r="12526" spans="1:7">
      <c r="A12526" t="s">
        <v>1297</v>
      </c>
      <c r="B12526" t="s">
        <v>1298</v>
      </c>
      <c r="C12526" t="s">
        <v>1299</v>
      </c>
      <c r="D12526" t="s">
        <v>1427</v>
      </c>
      <c r="E12526" t="s">
        <v>187</v>
      </c>
      <c r="F12526">
        <v>2016</v>
      </c>
      <c r="G12526">
        <v>6.56</v>
      </c>
    </row>
    <row r="12527" spans="1:7">
      <c r="A12527" t="s">
        <v>1297</v>
      </c>
      <c r="B12527" t="s">
        <v>1298</v>
      </c>
      <c r="C12527" t="s">
        <v>1299</v>
      </c>
      <c r="D12527" t="s">
        <v>1427</v>
      </c>
      <c r="E12527" t="s">
        <v>187</v>
      </c>
      <c r="F12527">
        <v>2020</v>
      </c>
      <c r="G12527">
        <v>5.08</v>
      </c>
    </row>
    <row r="12528" spans="1:7">
      <c r="A12528" t="s">
        <v>1297</v>
      </c>
      <c r="B12528" t="s">
        <v>1298</v>
      </c>
      <c r="C12528" t="s">
        <v>661</v>
      </c>
      <c r="D12528" t="s">
        <v>1427</v>
      </c>
      <c r="E12528" t="s">
        <v>187</v>
      </c>
      <c r="F12528">
        <v>2005</v>
      </c>
      <c r="G12528">
        <v>227.50241800000001</v>
      </c>
    </row>
    <row r="12529" spans="1:7">
      <c r="A12529" t="s">
        <v>1297</v>
      </c>
      <c r="B12529" t="s">
        <v>1298</v>
      </c>
      <c r="C12529" t="s">
        <v>661</v>
      </c>
      <c r="D12529" t="s">
        <v>1427</v>
      </c>
      <c r="E12529" t="s">
        <v>187</v>
      </c>
      <c r="F12529">
        <v>2010</v>
      </c>
      <c r="G12529">
        <v>230.598274</v>
      </c>
    </row>
    <row r="12530" spans="1:7">
      <c r="A12530" t="s">
        <v>1297</v>
      </c>
      <c r="B12530" t="s">
        <v>1298</v>
      </c>
      <c r="C12530" t="s">
        <v>661</v>
      </c>
      <c r="D12530" t="s">
        <v>1427</v>
      </c>
      <c r="E12530" t="s">
        <v>187</v>
      </c>
      <c r="F12530">
        <v>2012</v>
      </c>
      <c r="G12530">
        <v>221.50325100000001</v>
      </c>
    </row>
    <row r="12531" spans="1:7">
      <c r="A12531" t="s">
        <v>1297</v>
      </c>
      <c r="B12531" t="s">
        <v>1298</v>
      </c>
      <c r="C12531" t="s">
        <v>661</v>
      </c>
      <c r="D12531" t="s">
        <v>1427</v>
      </c>
      <c r="E12531" t="s">
        <v>187</v>
      </c>
      <c r="F12531">
        <v>2016</v>
      </c>
      <c r="G12531">
        <v>230.63310200000001</v>
      </c>
    </row>
    <row r="12532" spans="1:7">
      <c r="A12532" t="s">
        <v>1297</v>
      </c>
      <c r="B12532" t="s">
        <v>1298</v>
      </c>
      <c r="C12532" t="s">
        <v>661</v>
      </c>
      <c r="D12532" t="s">
        <v>1427</v>
      </c>
      <c r="E12532" t="s">
        <v>187</v>
      </c>
      <c r="F12532">
        <v>2020</v>
      </c>
      <c r="G12532">
        <v>255.013183</v>
      </c>
    </row>
    <row r="12533" spans="1:7">
      <c r="A12533" t="s">
        <v>1297</v>
      </c>
      <c r="B12533" t="s">
        <v>1298</v>
      </c>
      <c r="C12533" t="s">
        <v>681</v>
      </c>
      <c r="D12533" t="s">
        <v>1427</v>
      </c>
      <c r="E12533" t="s">
        <v>187</v>
      </c>
      <c r="F12533">
        <v>2005</v>
      </c>
      <c r="G12533">
        <v>2.4510000000000001</v>
      </c>
    </row>
    <row r="12534" spans="1:7">
      <c r="A12534" t="s">
        <v>1297</v>
      </c>
      <c r="B12534" t="s">
        <v>1298</v>
      </c>
      <c r="C12534" t="s">
        <v>681</v>
      </c>
      <c r="D12534" t="s">
        <v>1427</v>
      </c>
      <c r="E12534" t="s">
        <v>187</v>
      </c>
      <c r="F12534">
        <v>2010</v>
      </c>
      <c r="G12534">
        <v>0.73099999999999998</v>
      </c>
    </row>
    <row r="12535" spans="1:7">
      <c r="A12535" t="s">
        <v>1297</v>
      </c>
      <c r="B12535" t="s">
        <v>1298</v>
      </c>
      <c r="C12535" t="s">
        <v>681</v>
      </c>
      <c r="D12535" t="s">
        <v>1427</v>
      </c>
      <c r="E12535" t="s">
        <v>187</v>
      </c>
      <c r="F12535">
        <v>2012</v>
      </c>
      <c r="G12535">
        <v>0.86</v>
      </c>
    </row>
    <row r="12536" spans="1:7">
      <c r="A12536" t="s">
        <v>1297</v>
      </c>
      <c r="B12536" t="s">
        <v>1298</v>
      </c>
      <c r="C12536" t="s">
        <v>681</v>
      </c>
      <c r="D12536" t="s">
        <v>1427</v>
      </c>
      <c r="E12536" t="s">
        <v>187</v>
      </c>
      <c r="F12536">
        <v>2016</v>
      </c>
      <c r="G12536">
        <v>0.25800000000000001</v>
      </c>
    </row>
    <row r="12537" spans="1:7">
      <c r="A12537" t="s">
        <v>1297</v>
      </c>
      <c r="B12537" t="s">
        <v>1298</v>
      </c>
      <c r="C12537" t="s">
        <v>681</v>
      </c>
      <c r="D12537" t="s">
        <v>1427</v>
      </c>
      <c r="E12537" t="s">
        <v>187</v>
      </c>
      <c r="F12537">
        <v>2020</v>
      </c>
      <c r="G12537">
        <v>0.90300000000000002</v>
      </c>
    </row>
    <row r="12538" spans="1:7">
      <c r="A12538" t="s">
        <v>1297</v>
      </c>
      <c r="B12538" t="s">
        <v>1298</v>
      </c>
      <c r="C12538" t="s">
        <v>685</v>
      </c>
      <c r="D12538" t="s">
        <v>1427</v>
      </c>
      <c r="E12538" t="s">
        <v>187</v>
      </c>
      <c r="F12538">
        <v>2005</v>
      </c>
      <c r="G12538">
        <v>0.26206200000000002</v>
      </c>
    </row>
    <row r="12539" spans="1:7">
      <c r="A12539" t="s">
        <v>1297</v>
      </c>
      <c r="B12539" t="s">
        <v>1298</v>
      </c>
      <c r="C12539" t="s">
        <v>685</v>
      </c>
      <c r="D12539" t="s">
        <v>1427</v>
      </c>
      <c r="E12539" t="s">
        <v>187</v>
      </c>
      <c r="F12539">
        <v>2010</v>
      </c>
      <c r="G12539">
        <v>0.30381399999999997</v>
      </c>
    </row>
    <row r="12540" spans="1:7">
      <c r="A12540" t="s">
        <v>1297</v>
      </c>
      <c r="B12540" t="s">
        <v>1298</v>
      </c>
      <c r="C12540" t="s">
        <v>685</v>
      </c>
      <c r="D12540" t="s">
        <v>1427</v>
      </c>
      <c r="E12540" t="s">
        <v>187</v>
      </c>
      <c r="F12540">
        <v>2012</v>
      </c>
      <c r="G12540">
        <v>0.34720800000000002</v>
      </c>
    </row>
    <row r="12541" spans="1:7">
      <c r="A12541" t="s">
        <v>1297</v>
      </c>
      <c r="B12541" t="s">
        <v>1298</v>
      </c>
      <c r="C12541" t="s">
        <v>685</v>
      </c>
      <c r="D12541" t="s">
        <v>1427</v>
      </c>
      <c r="E12541" t="s">
        <v>187</v>
      </c>
      <c r="F12541">
        <v>2016</v>
      </c>
      <c r="G12541">
        <v>0.66402000000000005</v>
      </c>
    </row>
    <row r="12542" spans="1:7">
      <c r="A12542" t="s">
        <v>1297</v>
      </c>
      <c r="B12542" t="s">
        <v>1298</v>
      </c>
      <c r="C12542" t="s">
        <v>685</v>
      </c>
      <c r="D12542" t="s">
        <v>1427</v>
      </c>
      <c r="E12542" t="s">
        <v>187</v>
      </c>
      <c r="F12542">
        <v>2020</v>
      </c>
      <c r="G12542">
        <v>1.1702809999999999</v>
      </c>
    </row>
    <row r="12543" spans="1:7">
      <c r="A12543" t="s">
        <v>1297</v>
      </c>
      <c r="B12543" t="s">
        <v>1298</v>
      </c>
      <c r="C12543" t="s">
        <v>1300</v>
      </c>
      <c r="D12543" t="s">
        <v>1427</v>
      </c>
      <c r="E12543" t="s">
        <v>187</v>
      </c>
      <c r="F12543">
        <v>2010</v>
      </c>
      <c r="G12543">
        <v>0.77634000000000003</v>
      </c>
    </row>
    <row r="12544" spans="1:7">
      <c r="A12544" t="s">
        <v>1297</v>
      </c>
      <c r="B12544" t="s">
        <v>1298</v>
      </c>
      <c r="C12544" t="s">
        <v>1300</v>
      </c>
      <c r="D12544" t="s">
        <v>1427</v>
      </c>
      <c r="E12544" t="s">
        <v>187</v>
      </c>
      <c r="F12544">
        <v>2012</v>
      </c>
      <c r="G12544">
        <v>0.94886000000000004</v>
      </c>
    </row>
    <row r="12545" spans="1:7">
      <c r="A12545" t="s">
        <v>1297</v>
      </c>
      <c r="B12545" t="s">
        <v>1298</v>
      </c>
      <c r="C12545" t="s">
        <v>654</v>
      </c>
      <c r="D12545" t="s">
        <v>1427</v>
      </c>
      <c r="E12545" t="s">
        <v>187</v>
      </c>
      <c r="F12545">
        <v>2005</v>
      </c>
      <c r="G12545">
        <v>12.8331</v>
      </c>
    </row>
    <row r="12546" spans="1:7">
      <c r="A12546" t="s">
        <v>1297</v>
      </c>
      <c r="B12546" t="s">
        <v>1298</v>
      </c>
      <c r="C12546" t="s">
        <v>654</v>
      </c>
      <c r="D12546" t="s">
        <v>1427</v>
      </c>
      <c r="E12546" t="s">
        <v>187</v>
      </c>
      <c r="F12546">
        <v>2010</v>
      </c>
      <c r="G12546">
        <v>11.907</v>
      </c>
    </row>
    <row r="12547" spans="1:7">
      <c r="A12547" t="s">
        <v>1297</v>
      </c>
      <c r="B12547" t="s">
        <v>1298</v>
      </c>
      <c r="C12547" t="s">
        <v>654</v>
      </c>
      <c r="D12547" t="s">
        <v>1427</v>
      </c>
      <c r="E12547" t="s">
        <v>187</v>
      </c>
      <c r="F12547">
        <v>2012</v>
      </c>
      <c r="G12547">
        <v>11.6424</v>
      </c>
    </row>
    <row r="12548" spans="1:7">
      <c r="A12548" t="s">
        <v>1297</v>
      </c>
      <c r="B12548" t="s">
        <v>1298</v>
      </c>
      <c r="C12548" t="s">
        <v>654</v>
      </c>
      <c r="D12548" t="s">
        <v>1427</v>
      </c>
      <c r="E12548" t="s">
        <v>187</v>
      </c>
      <c r="F12548">
        <v>2016</v>
      </c>
      <c r="G12548">
        <v>11.5983</v>
      </c>
    </row>
    <row r="12549" spans="1:7">
      <c r="A12549" t="s">
        <v>1297</v>
      </c>
      <c r="B12549" t="s">
        <v>1298</v>
      </c>
      <c r="C12549" t="s">
        <v>654</v>
      </c>
      <c r="D12549" t="s">
        <v>1427</v>
      </c>
      <c r="E12549" t="s">
        <v>187</v>
      </c>
      <c r="F12549">
        <v>2020</v>
      </c>
      <c r="G12549">
        <v>12.987538000000001</v>
      </c>
    </row>
    <row r="12550" spans="1:7">
      <c r="A12550" t="s">
        <v>1297</v>
      </c>
      <c r="B12550" t="s">
        <v>1298</v>
      </c>
      <c r="C12550" t="s">
        <v>652</v>
      </c>
      <c r="D12550" t="s">
        <v>1427</v>
      </c>
      <c r="E12550" t="s">
        <v>187</v>
      </c>
      <c r="F12550">
        <v>2005</v>
      </c>
      <c r="G12550">
        <v>48.525500000000001</v>
      </c>
    </row>
    <row r="12551" spans="1:7">
      <c r="A12551" t="s">
        <v>1297</v>
      </c>
      <c r="B12551" t="s">
        <v>1298</v>
      </c>
      <c r="C12551" t="s">
        <v>652</v>
      </c>
      <c r="D12551" t="s">
        <v>1427</v>
      </c>
      <c r="E12551" t="s">
        <v>187</v>
      </c>
      <c r="F12551">
        <v>2010</v>
      </c>
      <c r="G12551">
        <v>57.581299999999999</v>
      </c>
    </row>
    <row r="12552" spans="1:7">
      <c r="A12552" t="s">
        <v>1297</v>
      </c>
      <c r="B12552" t="s">
        <v>1298</v>
      </c>
      <c r="C12552" t="s">
        <v>652</v>
      </c>
      <c r="D12552" t="s">
        <v>1428</v>
      </c>
      <c r="E12552" t="s">
        <v>187</v>
      </c>
      <c r="F12552">
        <v>2016</v>
      </c>
      <c r="G12552">
        <v>278.97879999999998</v>
      </c>
    </row>
    <row r="12553" spans="1:7">
      <c r="A12553" t="s">
        <v>1297</v>
      </c>
      <c r="B12553" t="s">
        <v>1298</v>
      </c>
      <c r="C12553" t="s">
        <v>652</v>
      </c>
      <c r="D12553" t="s">
        <v>1428</v>
      </c>
      <c r="E12553" t="s">
        <v>187</v>
      </c>
      <c r="F12553">
        <v>2020</v>
      </c>
      <c r="G12553">
        <v>342.83148</v>
      </c>
    </row>
    <row r="12554" spans="1:7">
      <c r="A12554" t="s">
        <v>1297</v>
      </c>
      <c r="B12554" t="s">
        <v>1298</v>
      </c>
      <c r="C12554" t="s">
        <v>654</v>
      </c>
      <c r="D12554" t="s">
        <v>1428</v>
      </c>
      <c r="E12554" t="s">
        <v>187</v>
      </c>
      <c r="F12554">
        <v>2005</v>
      </c>
      <c r="G12554">
        <v>12.011424999999999</v>
      </c>
    </row>
    <row r="12555" spans="1:7">
      <c r="A12555" t="s">
        <v>1297</v>
      </c>
      <c r="B12555" t="s">
        <v>1298</v>
      </c>
      <c r="C12555" t="s">
        <v>654</v>
      </c>
      <c r="D12555" t="s">
        <v>1428</v>
      </c>
      <c r="E12555" t="s">
        <v>187</v>
      </c>
      <c r="F12555">
        <v>2010</v>
      </c>
      <c r="G12555">
        <v>7.7225720000000004</v>
      </c>
    </row>
    <row r="12556" spans="1:7">
      <c r="A12556" t="s">
        <v>1297</v>
      </c>
      <c r="B12556" t="s">
        <v>1298</v>
      </c>
      <c r="C12556" t="s">
        <v>654</v>
      </c>
      <c r="D12556" t="s">
        <v>1428</v>
      </c>
      <c r="E12556" t="s">
        <v>187</v>
      </c>
      <c r="F12556">
        <v>2012</v>
      </c>
      <c r="G12556">
        <v>8.1768450000000001</v>
      </c>
    </row>
    <row r="12557" spans="1:7">
      <c r="A12557" t="s">
        <v>1297</v>
      </c>
      <c r="B12557" t="s">
        <v>1298</v>
      </c>
      <c r="C12557" t="s">
        <v>654</v>
      </c>
      <c r="D12557" t="s">
        <v>1428</v>
      </c>
      <c r="E12557" t="s">
        <v>187</v>
      </c>
      <c r="F12557">
        <v>2016</v>
      </c>
      <c r="G12557">
        <v>11.920916999999999</v>
      </c>
    </row>
    <row r="12558" spans="1:7">
      <c r="A12558" t="s">
        <v>1297</v>
      </c>
      <c r="B12558" t="s">
        <v>1298</v>
      </c>
      <c r="C12558" t="s">
        <v>654</v>
      </c>
      <c r="D12558" t="s">
        <v>1428</v>
      </c>
      <c r="E12558" t="s">
        <v>187</v>
      </c>
      <c r="F12558">
        <v>2020</v>
      </c>
      <c r="G12558">
        <v>11.648393</v>
      </c>
    </row>
    <row r="12559" spans="1:7">
      <c r="A12559" t="s">
        <v>1297</v>
      </c>
      <c r="B12559" t="s">
        <v>1298</v>
      </c>
      <c r="C12559" t="s">
        <v>671</v>
      </c>
      <c r="D12559" t="s">
        <v>1428</v>
      </c>
      <c r="E12559" t="s">
        <v>187</v>
      </c>
      <c r="F12559">
        <v>2005</v>
      </c>
      <c r="G12559">
        <v>13.5528</v>
      </c>
    </row>
    <row r="12560" spans="1:7">
      <c r="A12560" t="s">
        <v>1297</v>
      </c>
      <c r="B12560" t="s">
        <v>1298</v>
      </c>
      <c r="C12560" t="s">
        <v>671</v>
      </c>
      <c r="D12560" t="s">
        <v>1428</v>
      </c>
      <c r="E12560" t="s">
        <v>187</v>
      </c>
      <c r="F12560">
        <v>2010</v>
      </c>
      <c r="G12560">
        <v>9.0182000000000002</v>
      </c>
    </row>
    <row r="12561" spans="1:7">
      <c r="A12561" t="s">
        <v>1297</v>
      </c>
      <c r="B12561" t="s">
        <v>1298</v>
      </c>
      <c r="C12561" t="s">
        <v>671</v>
      </c>
      <c r="D12561" t="s">
        <v>1428</v>
      </c>
      <c r="E12561" t="s">
        <v>187</v>
      </c>
      <c r="F12561">
        <v>2012</v>
      </c>
      <c r="G12561">
        <v>6.0578000000000003</v>
      </c>
    </row>
    <row r="12562" spans="1:7">
      <c r="A12562" t="s">
        <v>1297</v>
      </c>
      <c r="B12562" t="s">
        <v>1298</v>
      </c>
      <c r="C12562" t="s">
        <v>671</v>
      </c>
      <c r="D12562" t="s">
        <v>1428</v>
      </c>
      <c r="E12562" t="s">
        <v>187</v>
      </c>
      <c r="F12562">
        <v>2016</v>
      </c>
      <c r="G12562">
        <v>7.6669999999999998</v>
      </c>
    </row>
    <row r="12563" spans="1:7">
      <c r="A12563" t="s">
        <v>1297</v>
      </c>
      <c r="B12563" t="s">
        <v>1298</v>
      </c>
      <c r="C12563" t="s">
        <v>671</v>
      </c>
      <c r="D12563" t="s">
        <v>1428</v>
      </c>
      <c r="E12563" t="s">
        <v>187</v>
      </c>
      <c r="F12563">
        <v>2020</v>
      </c>
      <c r="G12563">
        <v>11.550648000000001</v>
      </c>
    </row>
    <row r="12564" spans="1:7">
      <c r="A12564" t="s">
        <v>1297</v>
      </c>
      <c r="B12564" t="s">
        <v>1298</v>
      </c>
      <c r="C12564" t="s">
        <v>653</v>
      </c>
      <c r="D12564" t="s">
        <v>1428</v>
      </c>
      <c r="E12564" t="s">
        <v>187</v>
      </c>
      <c r="F12564">
        <v>2005</v>
      </c>
      <c r="G12564">
        <v>4.7300000000000004</v>
      </c>
    </row>
    <row r="12565" spans="1:7">
      <c r="A12565" t="s">
        <v>1297</v>
      </c>
      <c r="B12565" t="s">
        <v>1298</v>
      </c>
      <c r="C12565" t="s">
        <v>653</v>
      </c>
      <c r="D12565" t="s">
        <v>1428</v>
      </c>
      <c r="E12565" t="s">
        <v>187</v>
      </c>
      <c r="F12565">
        <v>2010</v>
      </c>
      <c r="G12565">
        <v>4.0396000000000001</v>
      </c>
    </row>
    <row r="12566" spans="1:7">
      <c r="A12566" t="s">
        <v>1297</v>
      </c>
      <c r="B12566" t="s">
        <v>1298</v>
      </c>
      <c r="C12566" t="s">
        <v>653</v>
      </c>
      <c r="D12566" t="s">
        <v>1428</v>
      </c>
      <c r="E12566" t="s">
        <v>187</v>
      </c>
      <c r="F12566">
        <v>2012</v>
      </c>
      <c r="G12566">
        <v>2.6635</v>
      </c>
    </row>
    <row r="12567" spans="1:7">
      <c r="A12567" t="s">
        <v>1297</v>
      </c>
      <c r="B12567" t="s">
        <v>1298</v>
      </c>
      <c r="C12567" t="s">
        <v>653</v>
      </c>
      <c r="D12567" t="s">
        <v>1428</v>
      </c>
      <c r="E12567" t="s">
        <v>187</v>
      </c>
      <c r="F12567">
        <v>2016</v>
      </c>
      <c r="G12567">
        <v>3.2557</v>
      </c>
    </row>
    <row r="12568" spans="1:7">
      <c r="A12568" t="s">
        <v>1297</v>
      </c>
      <c r="B12568" t="s">
        <v>1298</v>
      </c>
      <c r="C12568" t="s">
        <v>653</v>
      </c>
      <c r="D12568" t="s">
        <v>1428</v>
      </c>
      <c r="E12568" t="s">
        <v>187</v>
      </c>
      <c r="F12568">
        <v>2020</v>
      </c>
      <c r="G12568">
        <v>3.1755300000000002</v>
      </c>
    </row>
    <row r="12569" spans="1:7">
      <c r="A12569" t="s">
        <v>1297</v>
      </c>
      <c r="B12569" t="s">
        <v>1298</v>
      </c>
      <c r="C12569" t="s">
        <v>1301</v>
      </c>
      <c r="D12569" t="s">
        <v>1428</v>
      </c>
      <c r="E12569" t="s">
        <v>187</v>
      </c>
      <c r="F12569">
        <v>2005</v>
      </c>
      <c r="G12569">
        <v>44.586399999999998</v>
      </c>
    </row>
    <row r="12570" spans="1:7">
      <c r="A12570" t="s">
        <v>1297</v>
      </c>
      <c r="B12570" t="s">
        <v>1298</v>
      </c>
      <c r="C12570" t="s">
        <v>1301</v>
      </c>
      <c r="D12570" t="s">
        <v>1428</v>
      </c>
      <c r="E12570" t="s">
        <v>187</v>
      </c>
      <c r="F12570">
        <v>2010</v>
      </c>
      <c r="G12570">
        <v>15.594200000000001</v>
      </c>
    </row>
    <row r="12571" spans="1:7">
      <c r="A12571" t="s">
        <v>1297</v>
      </c>
      <c r="B12571" t="s">
        <v>1298</v>
      </c>
      <c r="C12571" t="s">
        <v>1301</v>
      </c>
      <c r="D12571" t="s">
        <v>1428</v>
      </c>
      <c r="E12571" t="s">
        <v>187</v>
      </c>
      <c r="F12571">
        <v>2012</v>
      </c>
      <c r="G12571">
        <v>8.1388350000000003</v>
      </c>
    </row>
    <row r="12572" spans="1:7">
      <c r="A12572" t="s">
        <v>1297</v>
      </c>
      <c r="B12572" t="s">
        <v>1298</v>
      </c>
      <c r="C12572" t="s">
        <v>1301</v>
      </c>
      <c r="D12572" t="s">
        <v>1428</v>
      </c>
      <c r="E12572" t="s">
        <v>187</v>
      </c>
      <c r="F12572">
        <v>2016</v>
      </c>
      <c r="G12572">
        <v>37.290550000000003</v>
      </c>
    </row>
    <row r="12573" spans="1:7">
      <c r="A12573" t="s">
        <v>1297</v>
      </c>
      <c r="B12573" t="s">
        <v>1298</v>
      </c>
      <c r="C12573" t="s">
        <v>1301</v>
      </c>
      <c r="D12573" t="s">
        <v>1428</v>
      </c>
      <c r="E12573" t="s">
        <v>187</v>
      </c>
      <c r="F12573">
        <v>2020</v>
      </c>
      <c r="G12573">
        <v>37.953400000000002</v>
      </c>
    </row>
    <row r="12574" spans="1:7">
      <c r="A12574" t="s">
        <v>1297</v>
      </c>
      <c r="B12574" t="s">
        <v>1298</v>
      </c>
      <c r="C12574" t="s">
        <v>679</v>
      </c>
      <c r="D12574" t="s">
        <v>1428</v>
      </c>
      <c r="E12574" t="s">
        <v>187</v>
      </c>
      <c r="F12574">
        <v>2005</v>
      </c>
      <c r="G12574">
        <v>29.348800000000001</v>
      </c>
    </row>
    <row r="12575" spans="1:7">
      <c r="A12575" t="s">
        <v>1297</v>
      </c>
      <c r="B12575" t="s">
        <v>1298</v>
      </c>
      <c r="C12575" t="s">
        <v>679</v>
      </c>
      <c r="D12575" t="s">
        <v>1428</v>
      </c>
      <c r="E12575" t="s">
        <v>187</v>
      </c>
      <c r="F12575">
        <v>2010</v>
      </c>
      <c r="G12575">
        <v>16.385200000000001</v>
      </c>
    </row>
    <row r="12576" spans="1:7">
      <c r="A12576" t="s">
        <v>1297</v>
      </c>
      <c r="B12576" t="s">
        <v>1298</v>
      </c>
      <c r="C12576" t="s">
        <v>679</v>
      </c>
      <c r="D12576" t="s">
        <v>1428</v>
      </c>
      <c r="E12576" t="s">
        <v>187</v>
      </c>
      <c r="F12576">
        <v>2012</v>
      </c>
      <c r="G12576">
        <v>13.768000000000001</v>
      </c>
    </row>
    <row r="12577" spans="1:7">
      <c r="A12577" t="s">
        <v>1297</v>
      </c>
      <c r="B12577" t="s">
        <v>1298</v>
      </c>
      <c r="C12577" t="s">
        <v>679</v>
      </c>
      <c r="D12577" t="s">
        <v>1428</v>
      </c>
      <c r="E12577" t="s">
        <v>187</v>
      </c>
      <c r="F12577">
        <v>2016</v>
      </c>
      <c r="G12577">
        <v>3.0482</v>
      </c>
    </row>
    <row r="12578" spans="1:7">
      <c r="A12578" t="s">
        <v>1297</v>
      </c>
      <c r="B12578" t="s">
        <v>1298</v>
      </c>
      <c r="C12578" t="s">
        <v>679</v>
      </c>
      <c r="D12578" t="s">
        <v>1428</v>
      </c>
      <c r="E12578" t="s">
        <v>187</v>
      </c>
      <c r="F12578">
        <v>2020</v>
      </c>
      <c r="G12578">
        <v>6.3603839999999998</v>
      </c>
    </row>
    <row r="12579" spans="1:7">
      <c r="A12579" t="s">
        <v>1297</v>
      </c>
      <c r="B12579" t="s">
        <v>1298</v>
      </c>
      <c r="C12579" t="s">
        <v>660</v>
      </c>
      <c r="D12579" t="s">
        <v>1428</v>
      </c>
      <c r="E12579" t="s">
        <v>187</v>
      </c>
      <c r="F12579">
        <v>2005</v>
      </c>
      <c r="G12579">
        <v>21.373100000000001</v>
      </c>
    </row>
    <row r="12580" spans="1:7">
      <c r="A12580" t="s">
        <v>1297</v>
      </c>
      <c r="B12580" t="s">
        <v>1298</v>
      </c>
      <c r="C12580" t="s">
        <v>660</v>
      </c>
      <c r="D12580" t="s">
        <v>1428</v>
      </c>
      <c r="E12580" t="s">
        <v>187</v>
      </c>
      <c r="F12580">
        <v>2010</v>
      </c>
      <c r="G12580">
        <v>8.8363180000000003</v>
      </c>
    </row>
    <row r="12581" spans="1:7">
      <c r="A12581" t="s">
        <v>1297</v>
      </c>
      <c r="B12581" t="s">
        <v>1298</v>
      </c>
      <c r="C12581" t="s">
        <v>660</v>
      </c>
      <c r="D12581" t="s">
        <v>1428</v>
      </c>
      <c r="E12581" t="s">
        <v>187</v>
      </c>
      <c r="F12581">
        <v>2012</v>
      </c>
      <c r="G12581">
        <v>5.1593340000000003</v>
      </c>
    </row>
    <row r="12582" spans="1:7">
      <c r="A12582" t="s">
        <v>1297</v>
      </c>
      <c r="B12582" t="s">
        <v>1298</v>
      </c>
      <c r="C12582" t="s">
        <v>660</v>
      </c>
      <c r="D12582" t="s">
        <v>1428</v>
      </c>
      <c r="E12582" t="s">
        <v>187</v>
      </c>
      <c r="F12582">
        <v>2016</v>
      </c>
      <c r="G12582">
        <v>11.988211</v>
      </c>
    </row>
    <row r="12583" spans="1:7">
      <c r="A12583" t="s">
        <v>1297</v>
      </c>
      <c r="B12583" t="s">
        <v>1298</v>
      </c>
      <c r="C12583" t="s">
        <v>660</v>
      </c>
      <c r="D12583" t="s">
        <v>1428</v>
      </c>
      <c r="E12583" t="s">
        <v>187</v>
      </c>
      <c r="F12583">
        <v>2020</v>
      </c>
      <c r="G12583">
        <v>14.083288</v>
      </c>
    </row>
    <row r="12584" spans="1:7">
      <c r="A12584" t="s">
        <v>1297</v>
      </c>
      <c r="B12584" t="s">
        <v>1298</v>
      </c>
      <c r="C12584" t="s">
        <v>651</v>
      </c>
      <c r="D12584" t="s">
        <v>1428</v>
      </c>
      <c r="E12584" t="s">
        <v>187</v>
      </c>
      <c r="F12584">
        <v>2005</v>
      </c>
      <c r="G12584">
        <v>1.090938</v>
      </c>
    </row>
    <row r="12585" spans="1:7">
      <c r="A12585" t="s">
        <v>1297</v>
      </c>
      <c r="B12585" t="s">
        <v>1298</v>
      </c>
      <c r="C12585" t="s">
        <v>651</v>
      </c>
      <c r="D12585" t="s">
        <v>1428</v>
      </c>
      <c r="E12585" t="s">
        <v>187</v>
      </c>
      <c r="F12585">
        <v>2010</v>
      </c>
      <c r="G12585">
        <v>0.95735000000000003</v>
      </c>
    </row>
    <row r="12586" spans="1:7">
      <c r="A12586" t="s">
        <v>1297</v>
      </c>
      <c r="B12586" t="s">
        <v>1298</v>
      </c>
      <c r="C12586" t="s">
        <v>672</v>
      </c>
      <c r="D12586" t="s">
        <v>1428</v>
      </c>
      <c r="E12586" t="s">
        <v>187</v>
      </c>
      <c r="F12586">
        <v>2010</v>
      </c>
      <c r="G12586">
        <v>19.192</v>
      </c>
    </row>
    <row r="12587" spans="1:7">
      <c r="A12587" t="s">
        <v>1297</v>
      </c>
      <c r="B12587" t="s">
        <v>1298</v>
      </c>
      <c r="C12587" t="s">
        <v>672</v>
      </c>
      <c r="D12587" t="s">
        <v>1428</v>
      </c>
      <c r="E12587" t="s">
        <v>187</v>
      </c>
      <c r="F12587">
        <v>2012</v>
      </c>
      <c r="G12587">
        <v>25.266999999999999</v>
      </c>
    </row>
    <row r="12588" spans="1:7">
      <c r="A12588" t="s">
        <v>1297</v>
      </c>
      <c r="B12588" t="s">
        <v>1298</v>
      </c>
      <c r="C12588" t="s">
        <v>672</v>
      </c>
      <c r="D12588" t="s">
        <v>1428</v>
      </c>
      <c r="E12588" t="s">
        <v>187</v>
      </c>
      <c r="F12588">
        <v>2016</v>
      </c>
      <c r="G12588">
        <v>31.943000000000001</v>
      </c>
    </row>
    <row r="12589" spans="1:7">
      <c r="A12589" t="s">
        <v>1297</v>
      </c>
      <c r="B12589" t="s">
        <v>1298</v>
      </c>
      <c r="C12589" t="s">
        <v>672</v>
      </c>
      <c r="D12589" t="s">
        <v>1428</v>
      </c>
      <c r="E12589" t="s">
        <v>187</v>
      </c>
      <c r="F12589">
        <v>2020</v>
      </c>
      <c r="G12589">
        <v>39.870949000000003</v>
      </c>
    </row>
    <row r="12590" spans="1:7">
      <c r="A12590" t="s">
        <v>1297</v>
      </c>
      <c r="B12590" t="s">
        <v>1298</v>
      </c>
      <c r="C12590" t="s">
        <v>656</v>
      </c>
      <c r="D12590" t="s">
        <v>1428</v>
      </c>
      <c r="E12590" t="s">
        <v>187</v>
      </c>
      <c r="F12590">
        <v>2005</v>
      </c>
      <c r="G12590">
        <v>104.26063000000001</v>
      </c>
    </row>
    <row r="12591" spans="1:7">
      <c r="A12591" t="s">
        <v>1297</v>
      </c>
      <c r="B12591" t="s">
        <v>1298</v>
      </c>
      <c r="C12591" t="s">
        <v>656</v>
      </c>
      <c r="D12591" t="s">
        <v>1428</v>
      </c>
      <c r="E12591" t="s">
        <v>187</v>
      </c>
      <c r="F12591">
        <v>2010</v>
      </c>
      <c r="G12591">
        <v>116.145661</v>
      </c>
    </row>
    <row r="12592" spans="1:7">
      <c r="A12592" t="s">
        <v>1297</v>
      </c>
      <c r="B12592" t="s">
        <v>1298</v>
      </c>
      <c r="C12592" t="s">
        <v>656</v>
      </c>
      <c r="D12592" t="s">
        <v>1428</v>
      </c>
      <c r="E12592" t="s">
        <v>187</v>
      </c>
      <c r="F12592">
        <v>2012</v>
      </c>
      <c r="G12592">
        <v>106.292856</v>
      </c>
    </row>
    <row r="12593" spans="1:7">
      <c r="A12593" t="s">
        <v>1297</v>
      </c>
      <c r="B12593" t="s">
        <v>1298</v>
      </c>
      <c r="C12593" t="s">
        <v>656</v>
      </c>
      <c r="D12593" t="s">
        <v>1428</v>
      </c>
      <c r="E12593" t="s">
        <v>187</v>
      </c>
      <c r="F12593">
        <v>2016</v>
      </c>
      <c r="G12593">
        <v>117.986931</v>
      </c>
    </row>
    <row r="12594" spans="1:7">
      <c r="A12594" t="s">
        <v>1297</v>
      </c>
      <c r="B12594" t="s">
        <v>1298</v>
      </c>
      <c r="C12594" t="s">
        <v>656</v>
      </c>
      <c r="D12594" t="s">
        <v>1428</v>
      </c>
      <c r="E12594" t="s">
        <v>187</v>
      </c>
      <c r="F12594">
        <v>2020</v>
      </c>
      <c r="G12594">
        <v>57.255586000000001</v>
      </c>
    </row>
    <row r="12595" spans="1:7">
      <c r="A12595" t="s">
        <v>1297</v>
      </c>
      <c r="B12595" t="s">
        <v>1298</v>
      </c>
      <c r="C12595" t="s">
        <v>677</v>
      </c>
      <c r="D12595" t="s">
        <v>1428</v>
      </c>
      <c r="E12595" t="s">
        <v>187</v>
      </c>
      <c r="F12595">
        <v>2005</v>
      </c>
      <c r="G12595">
        <v>85.25</v>
      </c>
    </row>
    <row r="12596" spans="1:7">
      <c r="A12596" t="s">
        <v>1297</v>
      </c>
      <c r="B12596" t="s">
        <v>1298</v>
      </c>
      <c r="C12596" t="s">
        <v>677</v>
      </c>
      <c r="D12596" t="s">
        <v>1428</v>
      </c>
      <c r="E12596" t="s">
        <v>187</v>
      </c>
      <c r="F12596">
        <v>2010</v>
      </c>
      <c r="G12596">
        <v>116.06045899999999</v>
      </c>
    </row>
    <row r="12597" spans="1:7">
      <c r="A12597" t="s">
        <v>1297</v>
      </c>
      <c r="B12597" t="s">
        <v>1298</v>
      </c>
      <c r="C12597" t="s">
        <v>677</v>
      </c>
      <c r="D12597" t="s">
        <v>1428</v>
      </c>
      <c r="E12597" t="s">
        <v>187</v>
      </c>
      <c r="F12597">
        <v>2012</v>
      </c>
      <c r="G12597">
        <v>111.00668899999999</v>
      </c>
    </row>
    <row r="12598" spans="1:7">
      <c r="A12598" t="s">
        <v>1297</v>
      </c>
      <c r="B12598" t="s">
        <v>1298</v>
      </c>
      <c r="C12598" t="s">
        <v>677</v>
      </c>
      <c r="D12598" t="s">
        <v>1428</v>
      </c>
      <c r="E12598" t="s">
        <v>187</v>
      </c>
      <c r="F12598">
        <v>2016</v>
      </c>
      <c r="G12598">
        <v>112.08005799999999</v>
      </c>
    </row>
    <row r="12599" spans="1:7">
      <c r="A12599" t="s">
        <v>1297</v>
      </c>
      <c r="B12599" t="s">
        <v>1298</v>
      </c>
      <c r="C12599" t="s">
        <v>686</v>
      </c>
      <c r="D12599" t="s">
        <v>1428</v>
      </c>
      <c r="E12599" t="s">
        <v>187</v>
      </c>
      <c r="F12599">
        <v>2012</v>
      </c>
      <c r="G12599">
        <v>0.13117500000000001</v>
      </c>
    </row>
    <row r="12600" spans="1:7">
      <c r="A12600" t="s">
        <v>1297</v>
      </c>
      <c r="B12600" t="s">
        <v>1298</v>
      </c>
      <c r="C12600" t="s">
        <v>686</v>
      </c>
      <c r="D12600" t="s">
        <v>1428</v>
      </c>
      <c r="E12600" t="s">
        <v>187</v>
      </c>
      <c r="F12600">
        <v>2016</v>
      </c>
      <c r="G12600">
        <v>0.85704000000000002</v>
      </c>
    </row>
    <row r="12601" spans="1:7">
      <c r="A12601" t="s">
        <v>1297</v>
      </c>
      <c r="B12601" t="s">
        <v>1298</v>
      </c>
      <c r="C12601" t="s">
        <v>686</v>
      </c>
      <c r="D12601" t="s">
        <v>1428</v>
      </c>
      <c r="E12601" t="s">
        <v>187</v>
      </c>
      <c r="F12601">
        <v>2020</v>
      </c>
      <c r="G12601">
        <v>0.68501000000000001</v>
      </c>
    </row>
    <row r="12602" spans="1:7">
      <c r="A12602" t="s">
        <v>1297</v>
      </c>
      <c r="B12602" t="s">
        <v>1298</v>
      </c>
      <c r="C12602" t="s">
        <v>675</v>
      </c>
      <c r="D12602" t="s">
        <v>1428</v>
      </c>
      <c r="E12602" t="s">
        <v>187</v>
      </c>
      <c r="F12602">
        <v>2005</v>
      </c>
      <c r="G12602">
        <v>0.88880000000000003</v>
      </c>
    </row>
    <row r="12603" spans="1:7">
      <c r="A12603" t="s">
        <v>1297</v>
      </c>
      <c r="B12603" t="s">
        <v>1298</v>
      </c>
      <c r="C12603" t="s">
        <v>675</v>
      </c>
      <c r="D12603" t="s">
        <v>1428</v>
      </c>
      <c r="E12603" t="s">
        <v>187</v>
      </c>
      <c r="F12603">
        <v>2010</v>
      </c>
      <c r="G12603">
        <v>0.78207800000000005</v>
      </c>
    </row>
    <row r="12604" spans="1:7">
      <c r="A12604" t="s">
        <v>1297</v>
      </c>
      <c r="B12604" t="s">
        <v>1298</v>
      </c>
      <c r="C12604" t="s">
        <v>675</v>
      </c>
      <c r="D12604" t="s">
        <v>1428</v>
      </c>
      <c r="E12604" t="s">
        <v>187</v>
      </c>
      <c r="F12604">
        <v>2012</v>
      </c>
      <c r="G12604">
        <v>2.0956920000000001</v>
      </c>
    </row>
    <row r="12605" spans="1:7">
      <c r="A12605" t="s">
        <v>1297</v>
      </c>
      <c r="B12605" t="s">
        <v>1298</v>
      </c>
      <c r="C12605" t="s">
        <v>675</v>
      </c>
      <c r="D12605" t="s">
        <v>1428</v>
      </c>
      <c r="E12605" t="s">
        <v>187</v>
      </c>
      <c r="F12605">
        <v>2016</v>
      </c>
      <c r="G12605">
        <v>5.0890839999999997</v>
      </c>
    </row>
    <row r="12606" spans="1:7">
      <c r="A12606" t="s">
        <v>1297</v>
      </c>
      <c r="B12606" t="s">
        <v>1298</v>
      </c>
      <c r="C12606" t="s">
        <v>675</v>
      </c>
      <c r="D12606" t="s">
        <v>1428</v>
      </c>
      <c r="E12606" t="s">
        <v>187</v>
      </c>
      <c r="F12606">
        <v>2020</v>
      </c>
      <c r="G12606">
        <v>7.9736549999999999</v>
      </c>
    </row>
    <row r="12607" spans="1:7">
      <c r="A12607" t="s">
        <v>1297</v>
      </c>
      <c r="B12607" t="s">
        <v>1298</v>
      </c>
      <c r="C12607" t="s">
        <v>1303</v>
      </c>
      <c r="D12607" t="s">
        <v>1428</v>
      </c>
      <c r="E12607" t="s">
        <v>187</v>
      </c>
      <c r="F12607">
        <v>2020</v>
      </c>
      <c r="G12607">
        <v>8.9459999999999998E-2</v>
      </c>
    </row>
    <row r="12608" spans="1:7">
      <c r="A12608" t="s">
        <v>1297</v>
      </c>
      <c r="B12608" t="s">
        <v>1298</v>
      </c>
      <c r="C12608" t="s">
        <v>673</v>
      </c>
      <c r="D12608" t="s">
        <v>1428</v>
      </c>
      <c r="E12608" t="s">
        <v>187</v>
      </c>
      <c r="F12608">
        <v>2010</v>
      </c>
      <c r="G12608">
        <v>0.66556000000000004</v>
      </c>
    </row>
    <row r="12609" spans="1:7">
      <c r="A12609" t="s">
        <v>1297</v>
      </c>
      <c r="B12609" t="s">
        <v>1298</v>
      </c>
      <c r="C12609" t="s">
        <v>673</v>
      </c>
      <c r="D12609" t="s">
        <v>1428</v>
      </c>
      <c r="E12609" t="s">
        <v>187</v>
      </c>
      <c r="F12609">
        <v>2012</v>
      </c>
      <c r="G12609">
        <v>0.59409000000000001</v>
      </c>
    </row>
    <row r="12610" spans="1:7">
      <c r="A12610" t="s">
        <v>1297</v>
      </c>
      <c r="B12610" t="s">
        <v>1298</v>
      </c>
      <c r="C12610" t="s">
        <v>673</v>
      </c>
      <c r="D12610" t="s">
        <v>1428</v>
      </c>
      <c r="E12610" t="s">
        <v>187</v>
      </c>
      <c r="F12610">
        <v>2016</v>
      </c>
      <c r="G12610">
        <v>1.315485</v>
      </c>
    </row>
    <row r="12611" spans="1:7">
      <c r="A12611" t="s">
        <v>1297</v>
      </c>
      <c r="B12611" t="s">
        <v>1298</v>
      </c>
      <c r="C12611" t="s">
        <v>673</v>
      </c>
      <c r="D12611" t="s">
        <v>1428</v>
      </c>
      <c r="E12611" t="s">
        <v>187</v>
      </c>
      <c r="F12611">
        <v>2020</v>
      </c>
      <c r="G12611">
        <v>1.4319459999999999</v>
      </c>
    </row>
    <row r="12612" spans="1:7">
      <c r="A12612" t="s">
        <v>1297</v>
      </c>
      <c r="B12612" t="s">
        <v>1298</v>
      </c>
      <c r="C12612" t="s">
        <v>665</v>
      </c>
      <c r="D12612" t="s">
        <v>1428</v>
      </c>
      <c r="E12612" t="s">
        <v>187</v>
      </c>
      <c r="F12612">
        <v>2005</v>
      </c>
      <c r="G12612">
        <v>93.846599999999995</v>
      </c>
    </row>
    <row r="12613" spans="1:7">
      <c r="A12613" t="s">
        <v>1297</v>
      </c>
      <c r="B12613" t="s">
        <v>1298</v>
      </c>
      <c r="C12613" t="s">
        <v>665</v>
      </c>
      <c r="D12613" t="s">
        <v>1428</v>
      </c>
      <c r="E12613" t="s">
        <v>187</v>
      </c>
      <c r="F12613">
        <v>2010</v>
      </c>
      <c r="G12613">
        <v>124.5442</v>
      </c>
    </row>
    <row r="12614" spans="1:7">
      <c r="A12614" t="s">
        <v>1297</v>
      </c>
      <c r="B12614" t="s">
        <v>1298</v>
      </c>
      <c r="C12614" t="s">
        <v>665</v>
      </c>
      <c r="D12614" t="s">
        <v>1428</v>
      </c>
      <c r="E12614" t="s">
        <v>187</v>
      </c>
      <c r="F12614">
        <v>2012</v>
      </c>
      <c r="G12614">
        <v>103.2942</v>
      </c>
    </row>
    <row r="12615" spans="1:7">
      <c r="A12615" t="s">
        <v>1297</v>
      </c>
      <c r="B12615" t="s">
        <v>1298</v>
      </c>
      <c r="C12615" t="s">
        <v>665</v>
      </c>
      <c r="D12615" t="s">
        <v>1428</v>
      </c>
      <c r="E12615" t="s">
        <v>187</v>
      </c>
      <c r="F12615">
        <v>2016</v>
      </c>
      <c r="G12615">
        <v>92.644800000000004</v>
      </c>
    </row>
    <row r="12616" spans="1:7">
      <c r="A12616" t="s">
        <v>1297</v>
      </c>
      <c r="B12616" t="s">
        <v>1298</v>
      </c>
      <c r="C12616" t="s">
        <v>665</v>
      </c>
      <c r="D12616" t="s">
        <v>1428</v>
      </c>
      <c r="E12616" t="s">
        <v>187</v>
      </c>
      <c r="F12616">
        <v>2020</v>
      </c>
      <c r="G12616">
        <v>111.108098</v>
      </c>
    </row>
    <row r="12617" spans="1:7">
      <c r="A12617" t="s">
        <v>1297</v>
      </c>
      <c r="B12617" t="s">
        <v>1298</v>
      </c>
      <c r="C12617" t="s">
        <v>680</v>
      </c>
      <c r="D12617" t="s">
        <v>1428</v>
      </c>
      <c r="E12617" t="s">
        <v>187</v>
      </c>
      <c r="F12617">
        <v>2005</v>
      </c>
      <c r="G12617">
        <v>2.7467999999999999</v>
      </c>
    </row>
    <row r="12618" spans="1:7">
      <c r="A12618" t="s">
        <v>1297</v>
      </c>
      <c r="B12618" t="s">
        <v>1298</v>
      </c>
      <c r="C12618" t="s">
        <v>680</v>
      </c>
      <c r="D12618" t="s">
        <v>1428</v>
      </c>
      <c r="E12618" t="s">
        <v>187</v>
      </c>
      <c r="F12618">
        <v>2010</v>
      </c>
      <c r="G12618">
        <v>2.4211999999999998</v>
      </c>
    </row>
    <row r="12619" spans="1:7">
      <c r="A12619" t="s">
        <v>1297</v>
      </c>
      <c r="B12619" t="s">
        <v>1298</v>
      </c>
      <c r="C12619" t="s">
        <v>680</v>
      </c>
      <c r="D12619" t="s">
        <v>1428</v>
      </c>
      <c r="E12619" t="s">
        <v>187</v>
      </c>
      <c r="F12619">
        <v>2012</v>
      </c>
      <c r="G12619">
        <v>2.4668000000000001</v>
      </c>
    </row>
    <row r="12620" spans="1:7">
      <c r="A12620" t="s">
        <v>1297</v>
      </c>
      <c r="B12620" t="s">
        <v>1298</v>
      </c>
      <c r="C12620" t="s">
        <v>680</v>
      </c>
      <c r="D12620" t="s">
        <v>1428</v>
      </c>
      <c r="E12620" t="s">
        <v>187</v>
      </c>
      <c r="F12620">
        <v>2016</v>
      </c>
      <c r="G12620">
        <v>2.455254</v>
      </c>
    </row>
    <row r="12621" spans="1:7">
      <c r="A12621" t="s">
        <v>1297</v>
      </c>
      <c r="B12621" t="s">
        <v>1298</v>
      </c>
      <c r="C12621" t="s">
        <v>680</v>
      </c>
      <c r="D12621" t="s">
        <v>1428</v>
      </c>
      <c r="E12621" t="s">
        <v>187</v>
      </c>
      <c r="F12621">
        <v>2020</v>
      </c>
      <c r="G12621">
        <v>2.7249140000000001</v>
      </c>
    </row>
    <row r="12622" spans="1:7">
      <c r="A12622" t="s">
        <v>1297</v>
      </c>
      <c r="B12622" t="s">
        <v>1298</v>
      </c>
      <c r="C12622" t="s">
        <v>681</v>
      </c>
      <c r="D12622" t="s">
        <v>1428</v>
      </c>
      <c r="E12622" t="s">
        <v>187</v>
      </c>
      <c r="F12622">
        <v>2016</v>
      </c>
      <c r="G12622">
        <v>1.4552</v>
      </c>
    </row>
    <row r="12623" spans="1:7">
      <c r="A12623" t="s">
        <v>1297</v>
      </c>
      <c r="B12623" t="s">
        <v>1298</v>
      </c>
      <c r="C12623" t="s">
        <v>681</v>
      </c>
      <c r="D12623" t="s">
        <v>1428</v>
      </c>
      <c r="E12623" t="s">
        <v>187</v>
      </c>
      <c r="F12623">
        <v>2020</v>
      </c>
      <c r="G12623">
        <v>1.3268</v>
      </c>
    </row>
    <row r="12624" spans="1:7">
      <c r="A12624" t="s">
        <v>1297</v>
      </c>
      <c r="B12624" t="s">
        <v>1298</v>
      </c>
      <c r="C12624" t="s">
        <v>662</v>
      </c>
      <c r="D12624" t="s">
        <v>1428</v>
      </c>
      <c r="E12624" t="s">
        <v>187</v>
      </c>
      <c r="F12624">
        <v>2005</v>
      </c>
      <c r="G12624">
        <v>120.13339999999999</v>
      </c>
    </row>
    <row r="12625" spans="1:7">
      <c r="A12625" t="s">
        <v>1297</v>
      </c>
      <c r="B12625" t="s">
        <v>1298</v>
      </c>
      <c r="C12625" t="s">
        <v>662</v>
      </c>
      <c r="D12625" t="s">
        <v>1428</v>
      </c>
      <c r="E12625" t="s">
        <v>187</v>
      </c>
      <c r="F12625">
        <v>2010</v>
      </c>
      <c r="G12625">
        <v>113.4644</v>
      </c>
    </row>
    <row r="12626" spans="1:7">
      <c r="A12626" t="s">
        <v>1297</v>
      </c>
      <c r="B12626" t="s">
        <v>1298</v>
      </c>
      <c r="C12626" t="s">
        <v>662</v>
      </c>
      <c r="D12626" t="s">
        <v>1428</v>
      </c>
      <c r="E12626" t="s">
        <v>187</v>
      </c>
      <c r="F12626">
        <v>2012</v>
      </c>
      <c r="G12626">
        <v>94.142399999999995</v>
      </c>
    </row>
    <row r="12627" spans="1:7">
      <c r="A12627" t="s">
        <v>1297</v>
      </c>
      <c r="B12627" t="s">
        <v>1298</v>
      </c>
      <c r="C12627" t="s">
        <v>662</v>
      </c>
      <c r="D12627" t="s">
        <v>1428</v>
      </c>
      <c r="E12627" t="s">
        <v>187</v>
      </c>
      <c r="F12627">
        <v>2016</v>
      </c>
      <c r="G12627">
        <v>71.979399999999998</v>
      </c>
    </row>
    <row r="12628" spans="1:7">
      <c r="A12628" t="s">
        <v>1297</v>
      </c>
      <c r="B12628" t="s">
        <v>1298</v>
      </c>
      <c r="C12628" t="s">
        <v>662</v>
      </c>
      <c r="D12628" t="s">
        <v>1428</v>
      </c>
      <c r="E12628" t="s">
        <v>187</v>
      </c>
      <c r="F12628">
        <v>2020</v>
      </c>
      <c r="G12628">
        <v>105.43450199999999</v>
      </c>
    </row>
    <row r="12629" spans="1:7">
      <c r="A12629" t="s">
        <v>1297</v>
      </c>
      <c r="B12629" t="s">
        <v>1298</v>
      </c>
      <c r="C12629" t="s">
        <v>674</v>
      </c>
      <c r="D12629" t="s">
        <v>1428</v>
      </c>
      <c r="E12629" t="s">
        <v>187</v>
      </c>
      <c r="F12629">
        <v>2005</v>
      </c>
      <c r="G12629">
        <v>80.987399999999994</v>
      </c>
    </row>
    <row r="12630" spans="1:7">
      <c r="A12630" t="s">
        <v>1297</v>
      </c>
      <c r="B12630" t="s">
        <v>1298</v>
      </c>
      <c r="C12630" t="s">
        <v>674</v>
      </c>
      <c r="D12630" t="s">
        <v>1428</v>
      </c>
      <c r="E12630" t="s">
        <v>187</v>
      </c>
      <c r="F12630">
        <v>2010</v>
      </c>
      <c r="G12630">
        <v>81.951800000000006</v>
      </c>
    </row>
    <row r="12631" spans="1:7">
      <c r="A12631" t="s">
        <v>1297</v>
      </c>
      <c r="B12631" t="s">
        <v>1298</v>
      </c>
      <c r="C12631" t="s">
        <v>674</v>
      </c>
      <c r="D12631" t="s">
        <v>1428</v>
      </c>
      <c r="E12631" t="s">
        <v>187</v>
      </c>
      <c r="F12631">
        <v>2012</v>
      </c>
      <c r="G12631">
        <v>70.750399999999999</v>
      </c>
    </row>
    <row r="12632" spans="1:7">
      <c r="A12632" t="s">
        <v>1297</v>
      </c>
      <c r="B12632" t="s">
        <v>1298</v>
      </c>
      <c r="C12632" t="s">
        <v>674</v>
      </c>
      <c r="D12632" t="s">
        <v>1428</v>
      </c>
      <c r="E12632" t="s">
        <v>187</v>
      </c>
      <c r="F12632">
        <v>2016</v>
      </c>
      <c r="G12632">
        <v>83.871200000000002</v>
      </c>
    </row>
    <row r="12633" spans="1:7">
      <c r="A12633" t="s">
        <v>1297</v>
      </c>
      <c r="B12633" t="s">
        <v>1298</v>
      </c>
      <c r="C12633" t="s">
        <v>674</v>
      </c>
      <c r="D12633" t="s">
        <v>1428</v>
      </c>
      <c r="E12633" t="s">
        <v>187</v>
      </c>
      <c r="F12633">
        <v>2020</v>
      </c>
      <c r="G12633">
        <v>83.664253000000002</v>
      </c>
    </row>
    <row r="12634" spans="1:7">
      <c r="A12634" t="s">
        <v>1297</v>
      </c>
      <c r="B12634" t="s">
        <v>1298</v>
      </c>
      <c r="C12634" t="s">
        <v>672</v>
      </c>
      <c r="D12634" t="s">
        <v>1428</v>
      </c>
      <c r="E12634" t="s">
        <v>187</v>
      </c>
      <c r="F12634">
        <v>2005</v>
      </c>
      <c r="G12634">
        <v>24.17933</v>
      </c>
    </row>
    <row r="12635" spans="1:7">
      <c r="A12635" t="s">
        <v>1297</v>
      </c>
      <c r="B12635" t="s">
        <v>1298</v>
      </c>
      <c r="C12635" t="s">
        <v>661</v>
      </c>
      <c r="D12635" t="s">
        <v>1428</v>
      </c>
      <c r="E12635" t="s">
        <v>187</v>
      </c>
      <c r="F12635">
        <v>2005</v>
      </c>
      <c r="G12635">
        <v>107.069301</v>
      </c>
    </row>
    <row r="12636" spans="1:7">
      <c r="A12636" t="s">
        <v>1297</v>
      </c>
      <c r="B12636" t="s">
        <v>1298</v>
      </c>
      <c r="C12636" t="s">
        <v>661</v>
      </c>
      <c r="D12636" t="s">
        <v>1428</v>
      </c>
      <c r="E12636" t="s">
        <v>187</v>
      </c>
      <c r="F12636">
        <v>2010</v>
      </c>
      <c r="G12636">
        <v>96.028013999999999</v>
      </c>
    </row>
    <row r="12637" spans="1:7">
      <c r="A12637" t="s">
        <v>1297</v>
      </c>
      <c r="B12637" t="s">
        <v>1298</v>
      </c>
      <c r="C12637" t="s">
        <v>661</v>
      </c>
      <c r="D12637" t="s">
        <v>1428</v>
      </c>
      <c r="E12637" t="s">
        <v>187</v>
      </c>
      <c r="F12637">
        <v>2012</v>
      </c>
      <c r="G12637">
        <v>103.36346500000001</v>
      </c>
    </row>
    <row r="12638" spans="1:7">
      <c r="A12638" t="s">
        <v>1297</v>
      </c>
      <c r="B12638" t="s">
        <v>1298</v>
      </c>
      <c r="C12638" t="s">
        <v>661</v>
      </c>
      <c r="D12638" t="s">
        <v>1428</v>
      </c>
      <c r="E12638" t="s">
        <v>187</v>
      </c>
      <c r="F12638">
        <v>2016</v>
      </c>
      <c r="G12638">
        <v>68.464855</v>
      </c>
    </row>
    <row r="12639" spans="1:7">
      <c r="A12639" t="s">
        <v>1297</v>
      </c>
      <c r="B12639" t="s">
        <v>1298</v>
      </c>
      <c r="C12639" t="s">
        <v>661</v>
      </c>
      <c r="D12639" t="s">
        <v>1428</v>
      </c>
      <c r="E12639" t="s">
        <v>187</v>
      </c>
      <c r="F12639">
        <v>2020</v>
      </c>
      <c r="G12639">
        <v>71.089895999999996</v>
      </c>
    </row>
    <row r="12640" spans="1:7">
      <c r="A12640" t="s">
        <v>1297</v>
      </c>
      <c r="B12640" t="s">
        <v>1298</v>
      </c>
      <c r="C12640" t="s">
        <v>670</v>
      </c>
      <c r="D12640" t="s">
        <v>1428</v>
      </c>
      <c r="E12640" t="s">
        <v>187</v>
      </c>
      <c r="F12640">
        <v>2005</v>
      </c>
      <c r="G12640">
        <v>653.91639999999995</v>
      </c>
    </row>
    <row r="12641" spans="1:7">
      <c r="A12641" t="s">
        <v>1297</v>
      </c>
      <c r="B12641" t="s">
        <v>1298</v>
      </c>
      <c r="C12641" t="s">
        <v>670</v>
      </c>
      <c r="D12641" t="s">
        <v>1428</v>
      </c>
      <c r="E12641" t="s">
        <v>187</v>
      </c>
      <c r="F12641">
        <v>2010</v>
      </c>
      <c r="G12641">
        <v>580.28599999999994</v>
      </c>
    </row>
    <row r="12642" spans="1:7">
      <c r="A12642" t="s">
        <v>1297</v>
      </c>
      <c r="B12642" t="s">
        <v>1298</v>
      </c>
      <c r="C12642" t="s">
        <v>670</v>
      </c>
      <c r="D12642" t="s">
        <v>1428</v>
      </c>
      <c r="E12642" t="s">
        <v>187</v>
      </c>
      <c r="F12642">
        <v>2012</v>
      </c>
      <c r="G12642">
        <v>579.0258</v>
      </c>
    </row>
    <row r="12643" spans="1:7">
      <c r="A12643" t="s">
        <v>1297</v>
      </c>
      <c r="B12643" t="s">
        <v>1298</v>
      </c>
      <c r="C12643" t="s">
        <v>670</v>
      </c>
      <c r="D12643" t="s">
        <v>1428</v>
      </c>
      <c r="E12643" t="s">
        <v>187</v>
      </c>
      <c r="F12643">
        <v>2016</v>
      </c>
      <c r="G12643">
        <v>496.79998599999999</v>
      </c>
    </row>
    <row r="12644" spans="1:7">
      <c r="A12644" t="s">
        <v>1297</v>
      </c>
      <c r="B12644" t="s">
        <v>1298</v>
      </c>
      <c r="C12644" t="s">
        <v>670</v>
      </c>
      <c r="D12644" t="s">
        <v>1428</v>
      </c>
      <c r="E12644" t="s">
        <v>187</v>
      </c>
      <c r="F12644">
        <v>2020</v>
      </c>
      <c r="G12644">
        <v>495.78458899999998</v>
      </c>
    </row>
    <row r="12645" spans="1:7">
      <c r="A12645" t="s">
        <v>1297</v>
      </c>
      <c r="B12645" t="s">
        <v>1298</v>
      </c>
      <c r="C12645" t="s">
        <v>664</v>
      </c>
      <c r="D12645" t="s">
        <v>1428</v>
      </c>
      <c r="E12645" t="s">
        <v>187</v>
      </c>
      <c r="F12645">
        <v>2005</v>
      </c>
      <c r="G12645">
        <v>4.4648279999999998</v>
      </c>
    </row>
    <row r="12646" spans="1:7">
      <c r="A12646" t="s">
        <v>1297</v>
      </c>
      <c r="B12646" t="s">
        <v>1298</v>
      </c>
      <c r="C12646" t="s">
        <v>664</v>
      </c>
      <c r="D12646" t="s">
        <v>1428</v>
      </c>
      <c r="E12646" t="s">
        <v>187</v>
      </c>
      <c r="F12646">
        <v>2010</v>
      </c>
      <c r="G12646">
        <v>5.8090799999999998</v>
      </c>
    </row>
    <row r="12647" spans="1:7">
      <c r="A12647" t="s">
        <v>1297</v>
      </c>
      <c r="B12647" t="s">
        <v>1298</v>
      </c>
      <c r="C12647" t="s">
        <v>664</v>
      </c>
      <c r="D12647" t="s">
        <v>1428</v>
      </c>
      <c r="E12647" t="s">
        <v>187</v>
      </c>
      <c r="F12647">
        <v>2012</v>
      </c>
      <c r="G12647">
        <v>5.3791900000000004</v>
      </c>
    </row>
    <row r="12648" spans="1:7">
      <c r="A12648" t="s">
        <v>1297</v>
      </c>
      <c r="B12648" t="s">
        <v>1298</v>
      </c>
      <c r="C12648" t="s">
        <v>664</v>
      </c>
      <c r="D12648" t="s">
        <v>1428</v>
      </c>
      <c r="E12648" t="s">
        <v>187</v>
      </c>
      <c r="F12648">
        <v>2016</v>
      </c>
      <c r="G12648">
        <v>6.6964009999999998</v>
      </c>
    </row>
    <row r="12649" spans="1:7">
      <c r="A12649" t="s">
        <v>1297</v>
      </c>
      <c r="B12649" t="s">
        <v>1298</v>
      </c>
      <c r="C12649" t="s">
        <v>664</v>
      </c>
      <c r="D12649" t="s">
        <v>1428</v>
      </c>
      <c r="E12649" t="s">
        <v>187</v>
      </c>
      <c r="F12649">
        <v>2020</v>
      </c>
      <c r="G12649">
        <v>5.9500960000000003</v>
      </c>
    </row>
    <row r="12650" spans="1:7">
      <c r="A12650" t="s">
        <v>1297</v>
      </c>
      <c r="B12650" t="s">
        <v>1298</v>
      </c>
      <c r="C12650" t="s">
        <v>666</v>
      </c>
      <c r="D12650" t="s">
        <v>1428</v>
      </c>
      <c r="E12650" t="s">
        <v>187</v>
      </c>
      <c r="F12650">
        <v>2005</v>
      </c>
      <c r="G12650">
        <v>5.92746</v>
      </c>
    </row>
    <row r="12651" spans="1:7">
      <c r="A12651" t="s">
        <v>1297</v>
      </c>
      <c r="B12651" t="s">
        <v>1298</v>
      </c>
      <c r="C12651" t="s">
        <v>666</v>
      </c>
      <c r="D12651" t="s">
        <v>1428</v>
      </c>
      <c r="E12651" t="s">
        <v>187</v>
      </c>
      <c r="F12651">
        <v>2010</v>
      </c>
      <c r="G12651">
        <v>5.8260500000000004</v>
      </c>
    </row>
    <row r="12652" spans="1:7">
      <c r="A12652" t="s">
        <v>1297</v>
      </c>
      <c r="B12652" t="s">
        <v>1298</v>
      </c>
      <c r="C12652" t="s">
        <v>666</v>
      </c>
      <c r="D12652" t="s">
        <v>1428</v>
      </c>
      <c r="E12652" t="s">
        <v>187</v>
      </c>
      <c r="F12652">
        <v>2012</v>
      </c>
      <c r="G12652">
        <v>5.0332600000000003</v>
      </c>
    </row>
    <row r="12653" spans="1:7">
      <c r="A12653" t="s">
        <v>1297</v>
      </c>
      <c r="B12653" t="s">
        <v>1298</v>
      </c>
      <c r="C12653" t="s">
        <v>666</v>
      </c>
      <c r="D12653" t="s">
        <v>1428</v>
      </c>
      <c r="E12653" t="s">
        <v>187</v>
      </c>
      <c r="F12653">
        <v>2016</v>
      </c>
      <c r="G12653">
        <v>6.7904359999999997</v>
      </c>
    </row>
    <row r="12654" spans="1:7">
      <c r="A12654" t="s">
        <v>1297</v>
      </c>
      <c r="B12654" t="s">
        <v>1298</v>
      </c>
      <c r="C12654" t="s">
        <v>666</v>
      </c>
      <c r="D12654" t="s">
        <v>1428</v>
      </c>
      <c r="E12654" t="s">
        <v>187</v>
      </c>
      <c r="F12654">
        <v>2020</v>
      </c>
      <c r="G12654">
        <v>8.1422840000000001</v>
      </c>
    </row>
    <row r="12655" spans="1:7">
      <c r="A12655" t="s">
        <v>1297</v>
      </c>
      <c r="B12655" t="s">
        <v>1298</v>
      </c>
      <c r="C12655" t="s">
        <v>652</v>
      </c>
      <c r="D12655" t="s">
        <v>1428</v>
      </c>
      <c r="E12655" t="s">
        <v>187</v>
      </c>
      <c r="F12655">
        <v>2005</v>
      </c>
      <c r="G12655">
        <v>319.46679999999998</v>
      </c>
    </row>
    <row r="12656" spans="1:7">
      <c r="A12656" t="s">
        <v>1297</v>
      </c>
      <c r="B12656" t="s">
        <v>1298</v>
      </c>
      <c r="C12656" t="s">
        <v>652</v>
      </c>
      <c r="D12656" t="s">
        <v>1428</v>
      </c>
      <c r="E12656" t="s">
        <v>187</v>
      </c>
      <c r="F12656">
        <v>2010</v>
      </c>
      <c r="G12656">
        <v>318.04719999999998</v>
      </c>
    </row>
    <row r="12657" spans="1:7">
      <c r="A12657" t="s">
        <v>1297</v>
      </c>
      <c r="B12657" t="s">
        <v>1298</v>
      </c>
      <c r="C12657" t="s">
        <v>652</v>
      </c>
      <c r="D12657" t="s">
        <v>1428</v>
      </c>
      <c r="E12657" t="s">
        <v>187</v>
      </c>
      <c r="F12657">
        <v>2012</v>
      </c>
      <c r="G12657">
        <v>253.06</v>
      </c>
    </row>
    <row r="12658" spans="1:7">
      <c r="A12658" t="s">
        <v>1297</v>
      </c>
      <c r="B12658" t="s">
        <v>1298</v>
      </c>
      <c r="C12658" t="s">
        <v>651</v>
      </c>
      <c r="D12658" t="s">
        <v>1428</v>
      </c>
      <c r="E12658" t="s">
        <v>187</v>
      </c>
      <c r="F12658">
        <v>2012</v>
      </c>
      <c r="G12658">
        <v>0.86212</v>
      </c>
    </row>
    <row r="12659" spans="1:7">
      <c r="A12659" t="s">
        <v>1297</v>
      </c>
      <c r="B12659" t="s">
        <v>1298</v>
      </c>
      <c r="C12659" t="s">
        <v>651</v>
      </c>
      <c r="D12659" t="s">
        <v>1428</v>
      </c>
      <c r="E12659" t="s">
        <v>187</v>
      </c>
      <c r="F12659">
        <v>2016</v>
      </c>
      <c r="G12659">
        <v>0.87407199999999996</v>
      </c>
    </row>
    <row r="12660" spans="1:7">
      <c r="A12660" t="s">
        <v>1297</v>
      </c>
      <c r="B12660" t="s">
        <v>1298</v>
      </c>
      <c r="C12660" t="s">
        <v>651</v>
      </c>
      <c r="D12660" t="s">
        <v>1428</v>
      </c>
      <c r="E12660" t="s">
        <v>187</v>
      </c>
      <c r="F12660">
        <v>2020</v>
      </c>
      <c r="G12660">
        <v>0.610572</v>
      </c>
    </row>
    <row r="12661" spans="1:7">
      <c r="A12661" t="s">
        <v>1297</v>
      </c>
      <c r="B12661" t="s">
        <v>1298</v>
      </c>
      <c r="C12661" t="s">
        <v>659</v>
      </c>
      <c r="D12661" t="s">
        <v>1428</v>
      </c>
      <c r="E12661" t="s">
        <v>187</v>
      </c>
      <c r="F12661">
        <v>2005</v>
      </c>
      <c r="G12661">
        <v>331.4828</v>
      </c>
    </row>
    <row r="12662" spans="1:7">
      <c r="A12662" t="s">
        <v>1297</v>
      </c>
      <c r="B12662" t="s">
        <v>1298</v>
      </c>
      <c r="C12662" t="s">
        <v>659</v>
      </c>
      <c r="D12662" t="s">
        <v>1428</v>
      </c>
      <c r="E12662" t="s">
        <v>187</v>
      </c>
      <c r="F12662">
        <v>2010</v>
      </c>
      <c r="G12662">
        <v>352.4846</v>
      </c>
    </row>
    <row r="12663" spans="1:7">
      <c r="A12663" t="s">
        <v>1297</v>
      </c>
      <c r="B12663" t="s">
        <v>1298</v>
      </c>
      <c r="C12663" t="s">
        <v>659</v>
      </c>
      <c r="D12663" t="s">
        <v>1428</v>
      </c>
      <c r="E12663" t="s">
        <v>187</v>
      </c>
      <c r="F12663">
        <v>2012</v>
      </c>
      <c r="G12663">
        <v>351.64080000000001</v>
      </c>
    </row>
    <row r="12664" spans="1:7">
      <c r="A12664" t="s">
        <v>1297</v>
      </c>
      <c r="B12664" t="s">
        <v>1298</v>
      </c>
      <c r="C12664" t="s">
        <v>659</v>
      </c>
      <c r="D12664" t="s">
        <v>1428</v>
      </c>
      <c r="E12664" t="s">
        <v>187</v>
      </c>
      <c r="F12664">
        <v>2016</v>
      </c>
      <c r="G12664">
        <v>314.9744</v>
      </c>
    </row>
    <row r="12665" spans="1:7">
      <c r="A12665" t="s">
        <v>1297</v>
      </c>
      <c r="B12665" t="s">
        <v>1298</v>
      </c>
      <c r="C12665" t="s">
        <v>659</v>
      </c>
      <c r="D12665" t="s">
        <v>1428</v>
      </c>
      <c r="E12665" t="s">
        <v>187</v>
      </c>
      <c r="F12665">
        <v>2020</v>
      </c>
      <c r="G12665">
        <v>299.34719999999999</v>
      </c>
    </row>
    <row r="12666" spans="1:7">
      <c r="A12666" t="s">
        <v>1297</v>
      </c>
      <c r="B12666" t="s">
        <v>1298</v>
      </c>
      <c r="C12666" t="s">
        <v>668</v>
      </c>
      <c r="D12666" t="s">
        <v>1428</v>
      </c>
      <c r="E12666" t="s">
        <v>187</v>
      </c>
      <c r="F12666">
        <v>2005</v>
      </c>
      <c r="G12666">
        <v>10.888500000000001</v>
      </c>
    </row>
    <row r="12667" spans="1:7">
      <c r="A12667" t="s">
        <v>1297</v>
      </c>
      <c r="B12667" t="s">
        <v>1298</v>
      </c>
      <c r="C12667" t="s">
        <v>668</v>
      </c>
      <c r="D12667" t="s">
        <v>1428</v>
      </c>
      <c r="E12667" t="s">
        <v>187</v>
      </c>
      <c r="F12667">
        <v>2010</v>
      </c>
      <c r="G12667">
        <v>10.524010000000001</v>
      </c>
    </row>
    <row r="12668" spans="1:7">
      <c r="A12668" t="s">
        <v>1297</v>
      </c>
      <c r="B12668" t="s">
        <v>1298</v>
      </c>
      <c r="C12668" t="s">
        <v>668</v>
      </c>
      <c r="D12668" t="s">
        <v>1428</v>
      </c>
      <c r="E12668" t="s">
        <v>187</v>
      </c>
      <c r="F12668">
        <v>2012</v>
      </c>
      <c r="G12668">
        <v>10.070830000000001</v>
      </c>
    </row>
    <row r="12669" spans="1:7">
      <c r="A12669" t="s">
        <v>1297</v>
      </c>
      <c r="B12669" t="s">
        <v>1298</v>
      </c>
      <c r="C12669" t="s">
        <v>668</v>
      </c>
      <c r="D12669" t="s">
        <v>1428</v>
      </c>
      <c r="E12669" t="s">
        <v>187</v>
      </c>
      <c r="F12669">
        <v>2016</v>
      </c>
      <c r="G12669">
        <v>13.180160000000001</v>
      </c>
    </row>
    <row r="12670" spans="1:7">
      <c r="A12670" t="s">
        <v>1297</v>
      </c>
      <c r="B12670" t="s">
        <v>1298</v>
      </c>
      <c r="C12670" t="s">
        <v>668</v>
      </c>
      <c r="D12670" t="s">
        <v>1428</v>
      </c>
      <c r="E12670" t="s">
        <v>187</v>
      </c>
      <c r="F12670">
        <v>2020</v>
      </c>
      <c r="G12670">
        <v>12.249874</v>
      </c>
    </row>
    <row r="12671" spans="1:7">
      <c r="A12671" t="s">
        <v>1297</v>
      </c>
      <c r="B12671" t="s">
        <v>1298</v>
      </c>
      <c r="C12671" t="s">
        <v>677</v>
      </c>
      <c r="D12671" t="s">
        <v>1428</v>
      </c>
      <c r="E12671" t="s">
        <v>187</v>
      </c>
      <c r="F12671">
        <v>2020</v>
      </c>
      <c r="G12671">
        <v>97.984048000000001</v>
      </c>
    </row>
    <row r="12672" spans="1:7">
      <c r="A12672" t="s">
        <v>1297</v>
      </c>
      <c r="B12672" t="s">
        <v>1298</v>
      </c>
      <c r="C12672" t="s">
        <v>658</v>
      </c>
      <c r="D12672" t="s">
        <v>1428</v>
      </c>
      <c r="E12672" t="s">
        <v>187</v>
      </c>
      <c r="F12672">
        <v>2005</v>
      </c>
      <c r="G12672">
        <v>4.9603999999999999</v>
      </c>
    </row>
    <row r="12673" spans="1:7">
      <c r="A12673" t="s">
        <v>1297</v>
      </c>
      <c r="B12673" t="s">
        <v>1298</v>
      </c>
      <c r="C12673" t="s">
        <v>658</v>
      </c>
      <c r="D12673" t="s">
        <v>1428</v>
      </c>
      <c r="E12673" t="s">
        <v>187</v>
      </c>
      <c r="F12673">
        <v>2010</v>
      </c>
      <c r="G12673">
        <v>9.0267999999999997</v>
      </c>
    </row>
    <row r="12674" spans="1:7">
      <c r="A12674" t="s">
        <v>1297</v>
      </c>
      <c r="B12674" t="s">
        <v>1298</v>
      </c>
      <c r="C12674" t="s">
        <v>658</v>
      </c>
      <c r="D12674" t="s">
        <v>1428</v>
      </c>
      <c r="E12674" t="s">
        <v>187</v>
      </c>
      <c r="F12674">
        <v>2012</v>
      </c>
      <c r="G12674">
        <v>16.3843</v>
      </c>
    </row>
    <row r="12675" spans="1:7">
      <c r="A12675" t="s">
        <v>1297</v>
      </c>
      <c r="B12675" t="s">
        <v>1298</v>
      </c>
      <c r="C12675" t="s">
        <v>658</v>
      </c>
      <c r="D12675" t="s">
        <v>1428</v>
      </c>
      <c r="E12675" t="s">
        <v>187</v>
      </c>
      <c r="F12675">
        <v>2016</v>
      </c>
      <c r="G12675">
        <v>11.245039999999999</v>
      </c>
    </row>
    <row r="12676" spans="1:7">
      <c r="A12676" t="s">
        <v>1297</v>
      </c>
      <c r="B12676" t="s">
        <v>1298</v>
      </c>
      <c r="C12676" t="s">
        <v>658</v>
      </c>
      <c r="D12676" t="s">
        <v>1428</v>
      </c>
      <c r="E12676" t="s">
        <v>187</v>
      </c>
      <c r="F12676">
        <v>2020</v>
      </c>
      <c r="G12676">
        <v>6.8249760000000004</v>
      </c>
    </row>
    <row r="12677" spans="1:7">
      <c r="A12677" t="s">
        <v>1297</v>
      </c>
      <c r="B12677" t="s">
        <v>1298</v>
      </c>
      <c r="C12677" t="s">
        <v>289</v>
      </c>
      <c r="D12677" t="s">
        <v>1428</v>
      </c>
      <c r="E12677" t="s">
        <v>187</v>
      </c>
      <c r="F12677">
        <v>2005</v>
      </c>
      <c r="G12677">
        <v>1.0307900000000001</v>
      </c>
    </row>
    <row r="12678" spans="1:7">
      <c r="A12678" t="s">
        <v>1297</v>
      </c>
      <c r="B12678" t="s">
        <v>1298</v>
      </c>
      <c r="C12678" t="s">
        <v>289</v>
      </c>
      <c r="D12678" t="s">
        <v>1428</v>
      </c>
      <c r="E12678" t="s">
        <v>187</v>
      </c>
      <c r="F12678">
        <v>2010</v>
      </c>
      <c r="G12678">
        <v>0.28510999999999997</v>
      </c>
    </row>
    <row r="12679" spans="1:7">
      <c r="A12679" t="s">
        <v>1297</v>
      </c>
      <c r="B12679" t="s">
        <v>1298</v>
      </c>
      <c r="C12679" t="s">
        <v>289</v>
      </c>
      <c r="D12679" t="s">
        <v>1428</v>
      </c>
      <c r="E12679" t="s">
        <v>187</v>
      </c>
      <c r="F12679">
        <v>2012</v>
      </c>
      <c r="G12679">
        <v>0.16391</v>
      </c>
    </row>
    <row r="12680" spans="1:7">
      <c r="A12680" t="s">
        <v>1297</v>
      </c>
      <c r="B12680" t="s">
        <v>1298</v>
      </c>
      <c r="C12680" t="s">
        <v>289</v>
      </c>
      <c r="D12680" t="s">
        <v>1428</v>
      </c>
      <c r="E12680" t="s">
        <v>187</v>
      </c>
      <c r="F12680">
        <v>2016</v>
      </c>
      <c r="G12680">
        <v>0.20893</v>
      </c>
    </row>
    <row r="12681" spans="1:7">
      <c r="A12681" t="s">
        <v>1297</v>
      </c>
      <c r="B12681" t="s">
        <v>1298</v>
      </c>
      <c r="C12681" t="s">
        <v>289</v>
      </c>
      <c r="D12681" t="s">
        <v>1428</v>
      </c>
      <c r="E12681" t="s">
        <v>187</v>
      </c>
      <c r="F12681">
        <v>2020</v>
      </c>
      <c r="G12681">
        <v>1.0428409999999999</v>
      </c>
    </row>
    <row r="12682" spans="1:7">
      <c r="A12682" t="s">
        <v>1297</v>
      </c>
      <c r="B12682" t="s">
        <v>1298</v>
      </c>
      <c r="C12682" t="s">
        <v>669</v>
      </c>
      <c r="D12682" t="s">
        <v>1428</v>
      </c>
      <c r="E12682" t="s">
        <v>187</v>
      </c>
      <c r="F12682">
        <v>2005</v>
      </c>
      <c r="G12682">
        <v>27.57</v>
      </c>
    </row>
    <row r="12683" spans="1:7">
      <c r="A12683" t="s">
        <v>1297</v>
      </c>
      <c r="B12683" t="s">
        <v>1298</v>
      </c>
      <c r="C12683" t="s">
        <v>669</v>
      </c>
      <c r="D12683" t="s">
        <v>1428</v>
      </c>
      <c r="E12683" t="s">
        <v>187</v>
      </c>
      <c r="F12683">
        <v>2010</v>
      </c>
      <c r="G12683">
        <v>60.685000000000002</v>
      </c>
    </row>
    <row r="12684" spans="1:7">
      <c r="A12684" t="s">
        <v>1297</v>
      </c>
      <c r="B12684" t="s">
        <v>1298</v>
      </c>
      <c r="C12684" t="s">
        <v>669</v>
      </c>
      <c r="D12684" t="s">
        <v>1428</v>
      </c>
      <c r="E12684" t="s">
        <v>187</v>
      </c>
      <c r="F12684">
        <v>2012</v>
      </c>
      <c r="G12684">
        <v>49.622999999999998</v>
      </c>
    </row>
    <row r="12685" spans="1:7">
      <c r="A12685" t="s">
        <v>1297</v>
      </c>
      <c r="B12685" t="s">
        <v>1298</v>
      </c>
      <c r="C12685" t="s">
        <v>669</v>
      </c>
      <c r="D12685" t="s">
        <v>1428</v>
      </c>
      <c r="E12685" t="s">
        <v>187</v>
      </c>
      <c r="F12685">
        <v>2016</v>
      </c>
      <c r="G12685">
        <v>73.346000000000004</v>
      </c>
    </row>
    <row r="12686" spans="1:7">
      <c r="A12686" t="s">
        <v>1297</v>
      </c>
      <c r="B12686" t="s">
        <v>1298</v>
      </c>
      <c r="C12686" t="s">
        <v>669</v>
      </c>
      <c r="D12686" t="s">
        <v>1428</v>
      </c>
      <c r="E12686" t="s">
        <v>187</v>
      </c>
      <c r="F12686">
        <v>2020</v>
      </c>
      <c r="G12686">
        <v>94.720417999999995</v>
      </c>
    </row>
    <row r="12687" spans="1:7">
      <c r="A12687" t="s">
        <v>1297</v>
      </c>
      <c r="B12687" t="s">
        <v>1298</v>
      </c>
      <c r="C12687" t="s">
        <v>657</v>
      </c>
      <c r="D12687" t="s">
        <v>1428</v>
      </c>
      <c r="E12687" t="s">
        <v>187</v>
      </c>
      <c r="F12687">
        <v>2005</v>
      </c>
      <c r="G12687">
        <v>32.307749999999999</v>
      </c>
    </row>
    <row r="12688" spans="1:7">
      <c r="A12688" t="s">
        <v>1297</v>
      </c>
      <c r="B12688" t="s">
        <v>1298</v>
      </c>
      <c r="C12688" t="s">
        <v>657</v>
      </c>
      <c r="D12688" t="s">
        <v>1428</v>
      </c>
      <c r="E12688" t="s">
        <v>187</v>
      </c>
      <c r="F12688">
        <v>2010</v>
      </c>
      <c r="G12688">
        <v>29.049600000000002</v>
      </c>
    </row>
    <row r="12689" spans="1:7">
      <c r="A12689" t="s">
        <v>1297</v>
      </c>
      <c r="B12689" t="s">
        <v>1298</v>
      </c>
      <c r="C12689" t="s">
        <v>657</v>
      </c>
      <c r="D12689" t="s">
        <v>1428</v>
      </c>
      <c r="E12689" t="s">
        <v>187</v>
      </c>
      <c r="F12689">
        <v>2012</v>
      </c>
      <c r="G12689">
        <v>21.762650000000001</v>
      </c>
    </row>
    <row r="12690" spans="1:7">
      <c r="A12690" t="s">
        <v>1297</v>
      </c>
      <c r="B12690" t="s">
        <v>1298</v>
      </c>
      <c r="C12690" t="s">
        <v>657</v>
      </c>
      <c r="D12690" t="s">
        <v>1428</v>
      </c>
      <c r="E12690" t="s">
        <v>187</v>
      </c>
      <c r="F12690">
        <v>2016</v>
      </c>
      <c r="G12690">
        <v>28.164811</v>
      </c>
    </row>
    <row r="12691" spans="1:7">
      <c r="A12691" t="s">
        <v>1297</v>
      </c>
      <c r="B12691" t="s">
        <v>1298</v>
      </c>
      <c r="C12691" t="s">
        <v>657</v>
      </c>
      <c r="D12691" t="s">
        <v>1428</v>
      </c>
      <c r="E12691" t="s">
        <v>187</v>
      </c>
      <c r="F12691">
        <v>2020</v>
      </c>
      <c r="G12691">
        <v>30.990347</v>
      </c>
    </row>
    <row r="12692" spans="1:7">
      <c r="A12692" t="s">
        <v>1297</v>
      </c>
      <c r="B12692" t="s">
        <v>1298</v>
      </c>
      <c r="C12692" t="s">
        <v>662</v>
      </c>
      <c r="D12692" t="s">
        <v>1429</v>
      </c>
      <c r="E12692" t="s">
        <v>187</v>
      </c>
      <c r="F12692">
        <v>2020</v>
      </c>
      <c r="G12692">
        <v>52.008265000000002</v>
      </c>
    </row>
    <row r="12693" spans="1:7">
      <c r="A12693" t="s">
        <v>1297</v>
      </c>
      <c r="B12693" t="s">
        <v>1298</v>
      </c>
      <c r="C12693" t="s">
        <v>656</v>
      </c>
      <c r="D12693" t="s">
        <v>1429</v>
      </c>
      <c r="E12693" t="s">
        <v>187</v>
      </c>
      <c r="F12693">
        <v>2005</v>
      </c>
      <c r="G12693">
        <v>277.86752300000001</v>
      </c>
    </row>
    <row r="12694" spans="1:7">
      <c r="A12694" t="s">
        <v>1297</v>
      </c>
      <c r="B12694" t="s">
        <v>1298</v>
      </c>
      <c r="C12694" t="s">
        <v>656</v>
      </c>
      <c r="D12694" t="s">
        <v>1429</v>
      </c>
      <c r="E12694" t="s">
        <v>187</v>
      </c>
      <c r="F12694">
        <v>2010</v>
      </c>
      <c r="G12694">
        <v>228.99459100000001</v>
      </c>
    </row>
    <row r="12695" spans="1:7">
      <c r="A12695" t="s">
        <v>1297</v>
      </c>
      <c r="B12695" t="s">
        <v>1298</v>
      </c>
      <c r="C12695" t="s">
        <v>656</v>
      </c>
      <c r="D12695" t="s">
        <v>1429</v>
      </c>
      <c r="E12695" t="s">
        <v>187</v>
      </c>
      <c r="F12695">
        <v>2012</v>
      </c>
      <c r="G12695">
        <v>210.54044099999999</v>
      </c>
    </row>
    <row r="12696" spans="1:7">
      <c r="A12696" t="s">
        <v>1297</v>
      </c>
      <c r="B12696" t="s">
        <v>1298</v>
      </c>
      <c r="C12696" t="s">
        <v>656</v>
      </c>
      <c r="D12696" t="s">
        <v>1429</v>
      </c>
      <c r="E12696" t="s">
        <v>187</v>
      </c>
      <c r="F12696">
        <v>2016</v>
      </c>
      <c r="G12696">
        <v>235.68925200000001</v>
      </c>
    </row>
    <row r="12697" spans="1:7">
      <c r="A12697" t="s">
        <v>1297</v>
      </c>
      <c r="B12697" t="s">
        <v>1298</v>
      </c>
      <c r="C12697" t="s">
        <v>656</v>
      </c>
      <c r="D12697" t="s">
        <v>1429</v>
      </c>
      <c r="E12697" t="s">
        <v>187</v>
      </c>
      <c r="F12697">
        <v>2020</v>
      </c>
      <c r="G12697">
        <v>202.71282199999999</v>
      </c>
    </row>
    <row r="12698" spans="1:7">
      <c r="A12698" t="s">
        <v>1297</v>
      </c>
      <c r="B12698" t="s">
        <v>1298</v>
      </c>
      <c r="C12698" t="s">
        <v>1299</v>
      </c>
      <c r="D12698" t="s">
        <v>1429</v>
      </c>
      <c r="E12698" t="s">
        <v>187</v>
      </c>
      <c r="F12698">
        <v>2005</v>
      </c>
      <c r="G12698">
        <v>32.437635</v>
      </c>
    </row>
    <row r="12699" spans="1:7">
      <c r="A12699" t="s">
        <v>1297</v>
      </c>
      <c r="B12699" t="s">
        <v>1298</v>
      </c>
      <c r="C12699" t="s">
        <v>1299</v>
      </c>
      <c r="D12699" t="s">
        <v>1429</v>
      </c>
      <c r="E12699" t="s">
        <v>187</v>
      </c>
      <c r="F12699">
        <v>2010</v>
      </c>
      <c r="G12699">
        <v>22.653554</v>
      </c>
    </row>
    <row r="12700" spans="1:7">
      <c r="A12700" t="s">
        <v>1297</v>
      </c>
      <c r="B12700" t="s">
        <v>1298</v>
      </c>
      <c r="C12700" t="s">
        <v>1299</v>
      </c>
      <c r="D12700" t="s">
        <v>1429</v>
      </c>
      <c r="E12700" t="s">
        <v>187</v>
      </c>
      <c r="F12700">
        <v>2012</v>
      </c>
      <c r="G12700">
        <v>15.988830999999999</v>
      </c>
    </row>
    <row r="12701" spans="1:7">
      <c r="A12701" t="s">
        <v>1297</v>
      </c>
      <c r="B12701" t="s">
        <v>1298</v>
      </c>
      <c r="C12701" t="s">
        <v>1299</v>
      </c>
      <c r="D12701" t="s">
        <v>1429</v>
      </c>
      <c r="E12701" t="s">
        <v>187</v>
      </c>
      <c r="F12701">
        <v>2016</v>
      </c>
      <c r="G12701">
        <v>2.097051</v>
      </c>
    </row>
    <row r="12702" spans="1:7">
      <c r="A12702" t="s">
        <v>1297</v>
      </c>
      <c r="B12702" t="s">
        <v>1298</v>
      </c>
      <c r="C12702" t="s">
        <v>1299</v>
      </c>
      <c r="D12702" t="s">
        <v>1429</v>
      </c>
      <c r="E12702" t="s">
        <v>187</v>
      </c>
      <c r="F12702">
        <v>2020</v>
      </c>
      <c r="G12702">
        <v>2.6535510000000002</v>
      </c>
    </row>
    <row r="12703" spans="1:7">
      <c r="A12703" t="s">
        <v>1297</v>
      </c>
      <c r="B12703" t="s">
        <v>1298</v>
      </c>
      <c r="C12703" t="s">
        <v>653</v>
      </c>
      <c r="D12703" t="s">
        <v>1429</v>
      </c>
      <c r="E12703" t="s">
        <v>187</v>
      </c>
      <c r="F12703">
        <v>2005</v>
      </c>
      <c r="G12703">
        <v>8.1022529999999993</v>
      </c>
    </row>
    <row r="12704" spans="1:7">
      <c r="A12704" t="s">
        <v>1297</v>
      </c>
      <c r="B12704" t="s">
        <v>1298</v>
      </c>
      <c r="C12704" t="s">
        <v>653</v>
      </c>
      <c r="D12704" t="s">
        <v>1429</v>
      </c>
      <c r="E12704" t="s">
        <v>187</v>
      </c>
      <c r="F12704">
        <v>2010</v>
      </c>
      <c r="G12704">
        <v>13.363833</v>
      </c>
    </row>
    <row r="12705" spans="1:7">
      <c r="A12705" t="s">
        <v>1297</v>
      </c>
      <c r="B12705" t="s">
        <v>1298</v>
      </c>
      <c r="C12705" t="s">
        <v>653</v>
      </c>
      <c r="D12705" t="s">
        <v>1429</v>
      </c>
      <c r="E12705" t="s">
        <v>187</v>
      </c>
      <c r="F12705">
        <v>2012</v>
      </c>
      <c r="G12705">
        <v>12.884117</v>
      </c>
    </row>
    <row r="12706" spans="1:7">
      <c r="A12706" t="s">
        <v>1297</v>
      </c>
      <c r="B12706" t="s">
        <v>1298</v>
      </c>
      <c r="C12706" t="s">
        <v>653</v>
      </c>
      <c r="D12706" t="s">
        <v>1429</v>
      </c>
      <c r="E12706" t="s">
        <v>187</v>
      </c>
      <c r="F12706">
        <v>2016</v>
      </c>
      <c r="G12706">
        <v>16.126283999999998</v>
      </c>
    </row>
    <row r="12707" spans="1:7">
      <c r="A12707" t="s">
        <v>1297</v>
      </c>
      <c r="B12707" t="s">
        <v>1298</v>
      </c>
      <c r="C12707" t="s">
        <v>653</v>
      </c>
      <c r="D12707" t="s">
        <v>1429</v>
      </c>
      <c r="E12707" t="s">
        <v>187</v>
      </c>
      <c r="F12707">
        <v>2020</v>
      </c>
      <c r="G12707">
        <v>18.209381</v>
      </c>
    </row>
    <row r="12708" spans="1:7">
      <c r="A12708" t="s">
        <v>1297</v>
      </c>
      <c r="B12708" t="s">
        <v>1298</v>
      </c>
      <c r="C12708" t="s">
        <v>665</v>
      </c>
      <c r="D12708" t="s">
        <v>1429</v>
      </c>
      <c r="E12708" t="s">
        <v>187</v>
      </c>
      <c r="F12708">
        <v>2005</v>
      </c>
      <c r="G12708">
        <v>245.04499999999999</v>
      </c>
    </row>
    <row r="12709" spans="1:7">
      <c r="A12709" t="s">
        <v>1297</v>
      </c>
      <c r="B12709" t="s">
        <v>1298</v>
      </c>
      <c r="C12709" t="s">
        <v>665</v>
      </c>
      <c r="D12709" t="s">
        <v>1429</v>
      </c>
      <c r="E12709" t="s">
        <v>187</v>
      </c>
      <c r="F12709">
        <v>2010</v>
      </c>
      <c r="G12709">
        <v>221.58510000000001</v>
      </c>
    </row>
    <row r="12710" spans="1:7">
      <c r="A12710" t="s">
        <v>1297</v>
      </c>
      <c r="B12710" t="s">
        <v>1298</v>
      </c>
      <c r="C12710" t="s">
        <v>665</v>
      </c>
      <c r="D12710" t="s">
        <v>1429</v>
      </c>
      <c r="E12710" t="s">
        <v>187</v>
      </c>
      <c r="F12710">
        <v>2012</v>
      </c>
      <c r="G12710">
        <v>164.10419999999999</v>
      </c>
    </row>
    <row r="12711" spans="1:7">
      <c r="A12711" t="s">
        <v>1297</v>
      </c>
      <c r="B12711" t="s">
        <v>1298</v>
      </c>
      <c r="C12711" t="s">
        <v>665</v>
      </c>
      <c r="D12711" t="s">
        <v>1429</v>
      </c>
      <c r="E12711" t="s">
        <v>187</v>
      </c>
      <c r="F12711">
        <v>2016</v>
      </c>
      <c r="G12711">
        <v>108.886</v>
      </c>
    </row>
    <row r="12712" spans="1:7">
      <c r="A12712" t="s">
        <v>1297</v>
      </c>
      <c r="B12712" t="s">
        <v>1298</v>
      </c>
      <c r="C12712" t="s">
        <v>665</v>
      </c>
      <c r="D12712" t="s">
        <v>1429</v>
      </c>
      <c r="E12712" t="s">
        <v>187</v>
      </c>
      <c r="F12712">
        <v>2020</v>
      </c>
      <c r="G12712">
        <v>127.003212</v>
      </c>
    </row>
    <row r="12713" spans="1:7">
      <c r="A12713" t="s">
        <v>1297</v>
      </c>
      <c r="B12713" t="s">
        <v>1298</v>
      </c>
      <c r="C12713" t="s">
        <v>681</v>
      </c>
      <c r="D12713" t="s">
        <v>1429</v>
      </c>
      <c r="E12713" t="s">
        <v>187</v>
      </c>
      <c r="F12713">
        <v>2005</v>
      </c>
      <c r="G12713">
        <v>2.1419299999999999</v>
      </c>
    </row>
    <row r="12714" spans="1:7">
      <c r="A12714" t="s">
        <v>1297</v>
      </c>
      <c r="B12714" t="s">
        <v>1298</v>
      </c>
      <c r="C12714" t="s">
        <v>681</v>
      </c>
      <c r="D12714" t="s">
        <v>1429</v>
      </c>
      <c r="E12714" t="s">
        <v>187</v>
      </c>
      <c r="F12714">
        <v>2010</v>
      </c>
      <c r="G12714">
        <v>0.86110200000000003</v>
      </c>
    </row>
    <row r="12715" spans="1:7">
      <c r="A12715" t="s">
        <v>1297</v>
      </c>
      <c r="B12715" t="s">
        <v>1298</v>
      </c>
      <c r="C12715" t="s">
        <v>681</v>
      </c>
      <c r="D12715" t="s">
        <v>1429</v>
      </c>
      <c r="E12715" t="s">
        <v>187</v>
      </c>
      <c r="F12715">
        <v>2012</v>
      </c>
      <c r="G12715">
        <v>1.1365099999999999</v>
      </c>
    </row>
    <row r="12716" spans="1:7">
      <c r="A12716" t="s">
        <v>1297</v>
      </c>
      <c r="B12716" t="s">
        <v>1298</v>
      </c>
      <c r="C12716" t="s">
        <v>681</v>
      </c>
      <c r="D12716" t="s">
        <v>1429</v>
      </c>
      <c r="E12716" t="s">
        <v>187</v>
      </c>
      <c r="F12716">
        <v>2016</v>
      </c>
      <c r="G12716">
        <v>0.94801800000000003</v>
      </c>
    </row>
    <row r="12717" spans="1:7">
      <c r="A12717" t="s">
        <v>1297</v>
      </c>
      <c r="B12717" t="s">
        <v>1298</v>
      </c>
      <c r="C12717" t="s">
        <v>681</v>
      </c>
      <c r="D12717" t="s">
        <v>1429</v>
      </c>
      <c r="E12717" t="s">
        <v>187</v>
      </c>
      <c r="F12717">
        <v>2020</v>
      </c>
      <c r="G12717">
        <v>1.1520820000000001</v>
      </c>
    </row>
    <row r="12718" spans="1:7">
      <c r="A12718" t="s">
        <v>1297</v>
      </c>
      <c r="B12718" t="s">
        <v>1298</v>
      </c>
      <c r="C12718" t="s">
        <v>679</v>
      </c>
      <c r="D12718" t="s">
        <v>1429</v>
      </c>
      <c r="E12718" t="s">
        <v>187</v>
      </c>
      <c r="F12718">
        <v>2005</v>
      </c>
      <c r="G12718">
        <v>34.938400000000001</v>
      </c>
    </row>
    <row r="12719" spans="1:7">
      <c r="A12719" t="s">
        <v>1297</v>
      </c>
      <c r="B12719" t="s">
        <v>1298</v>
      </c>
      <c r="C12719" t="s">
        <v>679</v>
      </c>
      <c r="D12719" t="s">
        <v>1429</v>
      </c>
      <c r="E12719" t="s">
        <v>187</v>
      </c>
      <c r="F12719">
        <v>2010</v>
      </c>
      <c r="G12719">
        <v>34.519874999999999</v>
      </c>
    </row>
    <row r="12720" spans="1:7">
      <c r="A12720" t="s">
        <v>1297</v>
      </c>
      <c r="B12720" t="s">
        <v>1298</v>
      </c>
      <c r="C12720" t="s">
        <v>679</v>
      </c>
      <c r="D12720" t="s">
        <v>1429</v>
      </c>
      <c r="E12720" t="s">
        <v>187</v>
      </c>
      <c r="F12720">
        <v>2012</v>
      </c>
      <c r="G12720">
        <v>31.663065</v>
      </c>
    </row>
    <row r="12721" spans="1:7">
      <c r="A12721" t="s">
        <v>1297</v>
      </c>
      <c r="B12721" t="s">
        <v>1298</v>
      </c>
      <c r="C12721" t="s">
        <v>679</v>
      </c>
      <c r="D12721" t="s">
        <v>1429</v>
      </c>
      <c r="E12721" t="s">
        <v>187</v>
      </c>
      <c r="F12721">
        <v>2016</v>
      </c>
      <c r="G12721">
        <v>37.620753000000001</v>
      </c>
    </row>
    <row r="12722" spans="1:7">
      <c r="A12722" t="s">
        <v>1297</v>
      </c>
      <c r="B12722" t="s">
        <v>1298</v>
      </c>
      <c r="C12722" t="s">
        <v>679</v>
      </c>
      <c r="D12722" t="s">
        <v>1429</v>
      </c>
      <c r="E12722" t="s">
        <v>187</v>
      </c>
      <c r="F12722">
        <v>2020</v>
      </c>
      <c r="G12722">
        <v>37.198585999999999</v>
      </c>
    </row>
    <row r="12723" spans="1:7">
      <c r="A12723" t="s">
        <v>1297</v>
      </c>
      <c r="B12723" t="s">
        <v>1298</v>
      </c>
      <c r="C12723" t="s">
        <v>659</v>
      </c>
      <c r="D12723" t="s">
        <v>1429</v>
      </c>
      <c r="E12723" t="s">
        <v>187</v>
      </c>
      <c r="F12723">
        <v>2005</v>
      </c>
      <c r="G12723">
        <v>186.88839999999999</v>
      </c>
    </row>
    <row r="12724" spans="1:7">
      <c r="A12724" t="s">
        <v>1297</v>
      </c>
      <c r="B12724" t="s">
        <v>1298</v>
      </c>
      <c r="C12724" t="s">
        <v>659</v>
      </c>
      <c r="D12724" t="s">
        <v>1429</v>
      </c>
      <c r="E12724" t="s">
        <v>187</v>
      </c>
      <c r="F12724">
        <v>2010</v>
      </c>
      <c r="G12724">
        <v>174.5754</v>
      </c>
    </row>
    <row r="12725" spans="1:7">
      <c r="A12725" t="s">
        <v>1297</v>
      </c>
      <c r="B12725" t="s">
        <v>1298</v>
      </c>
      <c r="C12725" t="s">
        <v>659</v>
      </c>
      <c r="D12725" t="s">
        <v>1429</v>
      </c>
      <c r="E12725" t="s">
        <v>187</v>
      </c>
      <c r="F12725">
        <v>2012</v>
      </c>
      <c r="G12725">
        <v>198.48689999999999</v>
      </c>
    </row>
    <row r="12726" spans="1:7">
      <c r="A12726" t="s">
        <v>1297</v>
      </c>
      <c r="B12726" t="s">
        <v>1298</v>
      </c>
      <c r="C12726" t="s">
        <v>659</v>
      </c>
      <c r="D12726" t="s">
        <v>1429</v>
      </c>
      <c r="E12726" t="s">
        <v>187</v>
      </c>
      <c r="F12726">
        <v>2016</v>
      </c>
      <c r="G12726">
        <v>212.63040000000001</v>
      </c>
    </row>
    <row r="12727" spans="1:7">
      <c r="A12727" t="s">
        <v>1297</v>
      </c>
      <c r="B12727" t="s">
        <v>1298</v>
      </c>
      <c r="C12727" t="s">
        <v>659</v>
      </c>
      <c r="D12727" t="s">
        <v>1429</v>
      </c>
      <c r="E12727" t="s">
        <v>187</v>
      </c>
      <c r="F12727">
        <v>2020</v>
      </c>
      <c r="G12727">
        <v>198.1859</v>
      </c>
    </row>
    <row r="12728" spans="1:7">
      <c r="A12728" t="s">
        <v>1297</v>
      </c>
      <c r="B12728" t="s">
        <v>1298</v>
      </c>
      <c r="C12728" t="s">
        <v>671</v>
      </c>
      <c r="D12728" t="s">
        <v>1429</v>
      </c>
      <c r="E12728" t="s">
        <v>187</v>
      </c>
      <c r="F12728">
        <v>2005</v>
      </c>
      <c r="G12728">
        <v>39.665500000000002</v>
      </c>
    </row>
    <row r="12729" spans="1:7">
      <c r="A12729" t="s">
        <v>1297</v>
      </c>
      <c r="B12729" t="s">
        <v>1298</v>
      </c>
      <c r="C12729" t="s">
        <v>671</v>
      </c>
      <c r="D12729" t="s">
        <v>1429</v>
      </c>
      <c r="E12729" t="s">
        <v>187</v>
      </c>
      <c r="F12729">
        <v>2010</v>
      </c>
      <c r="G12729">
        <v>54.926000000000002</v>
      </c>
    </row>
    <row r="12730" spans="1:7">
      <c r="A12730" t="s">
        <v>1297</v>
      </c>
      <c r="B12730" t="s">
        <v>1298</v>
      </c>
      <c r="C12730" t="s">
        <v>671</v>
      </c>
      <c r="D12730" t="s">
        <v>1429</v>
      </c>
      <c r="E12730" t="s">
        <v>187</v>
      </c>
      <c r="F12730">
        <v>2012</v>
      </c>
      <c r="G12730">
        <v>51.786299999999997</v>
      </c>
    </row>
    <row r="12731" spans="1:7">
      <c r="A12731" t="s">
        <v>1297</v>
      </c>
      <c r="B12731" t="s">
        <v>1298</v>
      </c>
      <c r="C12731" t="s">
        <v>671</v>
      </c>
      <c r="D12731" t="s">
        <v>1429</v>
      </c>
      <c r="E12731" t="s">
        <v>187</v>
      </c>
      <c r="F12731">
        <v>2016</v>
      </c>
      <c r="G12731">
        <v>45.389071999999999</v>
      </c>
    </row>
    <row r="12732" spans="1:7">
      <c r="A12732" t="s">
        <v>1297</v>
      </c>
      <c r="B12732" t="s">
        <v>1298</v>
      </c>
      <c r="C12732" t="s">
        <v>671</v>
      </c>
      <c r="D12732" t="s">
        <v>1429</v>
      </c>
      <c r="E12732" t="s">
        <v>187</v>
      </c>
      <c r="F12732">
        <v>2020</v>
      </c>
      <c r="G12732">
        <v>33.488062999999997</v>
      </c>
    </row>
    <row r="12733" spans="1:7">
      <c r="A12733" t="s">
        <v>1297</v>
      </c>
      <c r="B12733" t="s">
        <v>1298</v>
      </c>
      <c r="C12733" t="s">
        <v>658</v>
      </c>
      <c r="D12733" t="s">
        <v>1429</v>
      </c>
      <c r="E12733" t="s">
        <v>187</v>
      </c>
      <c r="F12733">
        <v>2005</v>
      </c>
      <c r="G12733">
        <v>1.0074000000000001</v>
      </c>
    </row>
    <row r="12734" spans="1:7">
      <c r="A12734" t="s">
        <v>1297</v>
      </c>
      <c r="B12734" t="s">
        <v>1298</v>
      </c>
      <c r="C12734" t="s">
        <v>658</v>
      </c>
      <c r="D12734" t="s">
        <v>1429</v>
      </c>
      <c r="E12734" t="s">
        <v>187</v>
      </c>
      <c r="F12734">
        <v>2010</v>
      </c>
      <c r="G12734">
        <v>0.67420000000000002</v>
      </c>
    </row>
    <row r="12735" spans="1:7">
      <c r="A12735" t="s">
        <v>1297</v>
      </c>
      <c r="B12735" t="s">
        <v>1298</v>
      </c>
      <c r="C12735" t="s">
        <v>658</v>
      </c>
      <c r="D12735" t="s">
        <v>1429</v>
      </c>
      <c r="E12735" t="s">
        <v>187</v>
      </c>
      <c r="F12735">
        <v>2012</v>
      </c>
      <c r="G12735">
        <v>0.79446000000000006</v>
      </c>
    </row>
    <row r="12736" spans="1:7">
      <c r="A12736" t="s">
        <v>1297</v>
      </c>
      <c r="B12736" t="s">
        <v>1298</v>
      </c>
      <c r="C12736" t="s">
        <v>658</v>
      </c>
      <c r="D12736" t="s">
        <v>1429</v>
      </c>
      <c r="E12736" t="s">
        <v>187</v>
      </c>
      <c r="F12736">
        <v>2016</v>
      </c>
      <c r="G12736">
        <v>0.70677999999999996</v>
      </c>
    </row>
    <row r="12737" spans="1:7">
      <c r="A12737" t="s">
        <v>1297</v>
      </c>
      <c r="B12737" t="s">
        <v>1298</v>
      </c>
      <c r="C12737" t="s">
        <v>658</v>
      </c>
      <c r="D12737" t="s">
        <v>1429</v>
      </c>
      <c r="E12737" t="s">
        <v>187</v>
      </c>
      <c r="F12737">
        <v>2020</v>
      </c>
      <c r="G12737">
        <v>0.84416800000000003</v>
      </c>
    </row>
    <row r="12738" spans="1:7">
      <c r="A12738" t="s">
        <v>1297</v>
      </c>
      <c r="B12738" t="s">
        <v>1298</v>
      </c>
      <c r="C12738" t="s">
        <v>670</v>
      </c>
      <c r="D12738" t="s">
        <v>1429</v>
      </c>
      <c r="E12738" t="s">
        <v>187</v>
      </c>
      <c r="F12738">
        <v>2005</v>
      </c>
      <c r="G12738">
        <v>100.117104</v>
      </c>
    </row>
    <row r="12739" spans="1:7">
      <c r="A12739" t="s">
        <v>1297</v>
      </c>
      <c r="B12739" t="s">
        <v>1298</v>
      </c>
      <c r="C12739" t="s">
        <v>670</v>
      </c>
      <c r="D12739" t="s">
        <v>1429</v>
      </c>
      <c r="E12739" t="s">
        <v>187</v>
      </c>
      <c r="F12739">
        <v>2010</v>
      </c>
      <c r="G12739">
        <v>74.721683999999996</v>
      </c>
    </row>
    <row r="12740" spans="1:7">
      <c r="A12740" t="s">
        <v>1297</v>
      </c>
      <c r="B12740" t="s">
        <v>1298</v>
      </c>
      <c r="C12740" t="s">
        <v>670</v>
      </c>
      <c r="D12740" t="s">
        <v>1429</v>
      </c>
      <c r="E12740" t="s">
        <v>187</v>
      </c>
      <c r="F12740">
        <v>2012</v>
      </c>
      <c r="G12740">
        <v>83.314772000000005</v>
      </c>
    </row>
    <row r="12741" spans="1:7">
      <c r="A12741" t="s">
        <v>1297</v>
      </c>
      <c r="B12741" t="s">
        <v>1298</v>
      </c>
      <c r="C12741" t="s">
        <v>1301</v>
      </c>
      <c r="D12741" t="s">
        <v>1429</v>
      </c>
      <c r="E12741" t="s">
        <v>187</v>
      </c>
      <c r="F12741">
        <v>2005</v>
      </c>
      <c r="G12741">
        <v>66.138599999999997</v>
      </c>
    </row>
    <row r="12742" spans="1:7">
      <c r="A12742" t="s">
        <v>1297</v>
      </c>
      <c r="B12742" t="s">
        <v>1298</v>
      </c>
      <c r="C12742" t="s">
        <v>1301</v>
      </c>
      <c r="D12742" t="s">
        <v>1429</v>
      </c>
      <c r="E12742" t="s">
        <v>187</v>
      </c>
      <c r="F12742">
        <v>2010</v>
      </c>
      <c r="G12742">
        <v>51.770699999999998</v>
      </c>
    </row>
    <row r="12743" spans="1:7">
      <c r="A12743" t="s">
        <v>1297</v>
      </c>
      <c r="B12743" t="s">
        <v>1298</v>
      </c>
      <c r="C12743" t="s">
        <v>1301</v>
      </c>
      <c r="D12743" t="s">
        <v>1429</v>
      </c>
      <c r="E12743" t="s">
        <v>187</v>
      </c>
      <c r="F12743">
        <v>2012</v>
      </c>
      <c r="G12743">
        <v>46.488239999999998</v>
      </c>
    </row>
    <row r="12744" spans="1:7">
      <c r="A12744" t="s">
        <v>1297</v>
      </c>
      <c r="B12744" t="s">
        <v>1298</v>
      </c>
      <c r="C12744" t="s">
        <v>1301</v>
      </c>
      <c r="D12744" t="s">
        <v>1429</v>
      </c>
      <c r="E12744" t="s">
        <v>187</v>
      </c>
      <c r="F12744">
        <v>2016</v>
      </c>
      <c r="G12744">
        <v>112.1756</v>
      </c>
    </row>
    <row r="12745" spans="1:7">
      <c r="A12745" t="s">
        <v>1297</v>
      </c>
      <c r="B12745" t="s">
        <v>1298</v>
      </c>
      <c r="C12745" t="s">
        <v>1301</v>
      </c>
      <c r="D12745" t="s">
        <v>1429</v>
      </c>
      <c r="E12745" t="s">
        <v>187</v>
      </c>
      <c r="F12745">
        <v>2020</v>
      </c>
      <c r="G12745">
        <v>70.010599999999997</v>
      </c>
    </row>
    <row r="12746" spans="1:7">
      <c r="A12746" t="s">
        <v>1297</v>
      </c>
      <c r="B12746" t="s">
        <v>1298</v>
      </c>
      <c r="C12746" t="s">
        <v>676</v>
      </c>
      <c r="D12746" t="s">
        <v>1429</v>
      </c>
      <c r="E12746" t="s">
        <v>187</v>
      </c>
      <c r="F12746">
        <v>2005</v>
      </c>
      <c r="G12746">
        <v>24.049900000000001</v>
      </c>
    </row>
    <row r="12747" spans="1:7">
      <c r="A12747" t="s">
        <v>1297</v>
      </c>
      <c r="B12747" t="s">
        <v>1298</v>
      </c>
      <c r="C12747" t="s">
        <v>676</v>
      </c>
      <c r="D12747" t="s">
        <v>1429</v>
      </c>
      <c r="E12747" t="s">
        <v>187</v>
      </c>
      <c r="F12747">
        <v>2010</v>
      </c>
      <c r="G12747">
        <v>12.536232999999999</v>
      </c>
    </row>
    <row r="12748" spans="1:7">
      <c r="A12748" t="s">
        <v>1297</v>
      </c>
      <c r="B12748" t="s">
        <v>1298</v>
      </c>
      <c r="C12748" t="s">
        <v>652</v>
      </c>
      <c r="D12748" t="s">
        <v>1429</v>
      </c>
      <c r="E12748" t="s">
        <v>187</v>
      </c>
      <c r="F12748">
        <v>2005</v>
      </c>
      <c r="G12748">
        <v>61.1021</v>
      </c>
    </row>
    <row r="12749" spans="1:7">
      <c r="A12749" t="s">
        <v>1297</v>
      </c>
      <c r="B12749" t="s">
        <v>1298</v>
      </c>
      <c r="C12749" t="s">
        <v>652</v>
      </c>
      <c r="D12749" t="s">
        <v>1429</v>
      </c>
      <c r="E12749" t="s">
        <v>187</v>
      </c>
      <c r="F12749">
        <v>2010</v>
      </c>
      <c r="G12749">
        <v>56.021999999999998</v>
      </c>
    </row>
    <row r="12750" spans="1:7">
      <c r="A12750" t="s">
        <v>1297</v>
      </c>
      <c r="B12750" t="s">
        <v>1298</v>
      </c>
      <c r="C12750" t="s">
        <v>652</v>
      </c>
      <c r="D12750" t="s">
        <v>1429</v>
      </c>
      <c r="E12750" t="s">
        <v>187</v>
      </c>
      <c r="F12750">
        <v>2012</v>
      </c>
      <c r="G12750">
        <v>51.049199999999999</v>
      </c>
    </row>
    <row r="12751" spans="1:7">
      <c r="A12751" t="s">
        <v>1297</v>
      </c>
      <c r="B12751" t="s">
        <v>1298</v>
      </c>
      <c r="C12751" t="s">
        <v>652</v>
      </c>
      <c r="D12751" t="s">
        <v>1429</v>
      </c>
      <c r="E12751" t="s">
        <v>187</v>
      </c>
      <c r="F12751">
        <v>2016</v>
      </c>
      <c r="G12751">
        <v>52.102939999999997</v>
      </c>
    </row>
    <row r="12752" spans="1:7">
      <c r="A12752" t="s">
        <v>1297</v>
      </c>
      <c r="B12752" t="s">
        <v>1298</v>
      </c>
      <c r="C12752" t="s">
        <v>652</v>
      </c>
      <c r="D12752" t="s">
        <v>1429</v>
      </c>
      <c r="E12752" t="s">
        <v>187</v>
      </c>
      <c r="F12752">
        <v>2020</v>
      </c>
      <c r="G12752">
        <v>46.054839999999999</v>
      </c>
    </row>
    <row r="12753" spans="1:7">
      <c r="A12753" t="s">
        <v>1297</v>
      </c>
      <c r="B12753" t="s">
        <v>1298</v>
      </c>
      <c r="C12753" t="s">
        <v>682</v>
      </c>
      <c r="D12753" t="s">
        <v>1429</v>
      </c>
      <c r="E12753" t="s">
        <v>187</v>
      </c>
      <c r="F12753">
        <v>2016</v>
      </c>
      <c r="G12753">
        <v>5.8117900000000002</v>
      </c>
    </row>
    <row r="12754" spans="1:7">
      <c r="A12754" t="s">
        <v>1297</v>
      </c>
      <c r="B12754" t="s">
        <v>1298</v>
      </c>
      <c r="C12754" t="s">
        <v>682</v>
      </c>
      <c r="D12754" t="s">
        <v>1429</v>
      </c>
      <c r="E12754" t="s">
        <v>187</v>
      </c>
      <c r="F12754">
        <v>2020</v>
      </c>
      <c r="G12754">
        <v>1.7700640000000001</v>
      </c>
    </row>
    <row r="12755" spans="1:7">
      <c r="A12755" t="s">
        <v>1297</v>
      </c>
      <c r="B12755" t="s">
        <v>1298</v>
      </c>
      <c r="C12755" t="s">
        <v>1302</v>
      </c>
      <c r="D12755" t="s">
        <v>1429</v>
      </c>
      <c r="E12755" t="s">
        <v>187</v>
      </c>
      <c r="F12755">
        <v>2012</v>
      </c>
      <c r="G12755">
        <v>0.11883000000000001</v>
      </c>
    </row>
    <row r="12756" spans="1:7">
      <c r="A12756" t="s">
        <v>1297</v>
      </c>
      <c r="B12756" t="s">
        <v>1298</v>
      </c>
      <c r="C12756" t="s">
        <v>661</v>
      </c>
      <c r="D12756" t="s">
        <v>1429</v>
      </c>
      <c r="E12756" t="s">
        <v>187</v>
      </c>
      <c r="F12756">
        <v>2005</v>
      </c>
      <c r="G12756">
        <v>159.16786500000001</v>
      </c>
    </row>
    <row r="12757" spans="1:7">
      <c r="A12757" t="s">
        <v>1297</v>
      </c>
      <c r="B12757" t="s">
        <v>1298</v>
      </c>
      <c r="C12757" t="s">
        <v>661</v>
      </c>
      <c r="D12757" t="s">
        <v>1429</v>
      </c>
      <c r="E12757" t="s">
        <v>187</v>
      </c>
      <c r="F12757">
        <v>2010</v>
      </c>
      <c r="G12757">
        <v>147.021399</v>
      </c>
    </row>
    <row r="12758" spans="1:7">
      <c r="A12758" t="s">
        <v>1297</v>
      </c>
      <c r="B12758" t="s">
        <v>1298</v>
      </c>
      <c r="C12758" t="s">
        <v>661</v>
      </c>
      <c r="D12758" t="s">
        <v>1429</v>
      </c>
      <c r="E12758" t="s">
        <v>187</v>
      </c>
      <c r="F12758">
        <v>2012</v>
      </c>
      <c r="G12758">
        <v>95.860315</v>
      </c>
    </row>
    <row r="12759" spans="1:7">
      <c r="A12759" t="s">
        <v>1297</v>
      </c>
      <c r="B12759" t="s">
        <v>1298</v>
      </c>
      <c r="C12759" t="s">
        <v>672</v>
      </c>
      <c r="D12759" t="s">
        <v>1429</v>
      </c>
      <c r="E12759" t="s">
        <v>187</v>
      </c>
      <c r="F12759">
        <v>2005</v>
      </c>
      <c r="G12759">
        <v>34.513579999999997</v>
      </c>
    </row>
    <row r="12760" spans="1:7">
      <c r="A12760" t="s">
        <v>1297</v>
      </c>
      <c r="B12760" t="s">
        <v>1298</v>
      </c>
      <c r="C12760" t="s">
        <v>672</v>
      </c>
      <c r="D12760" t="s">
        <v>1429</v>
      </c>
      <c r="E12760" t="s">
        <v>187</v>
      </c>
      <c r="F12760">
        <v>2010</v>
      </c>
      <c r="G12760">
        <v>28.778749999999999</v>
      </c>
    </row>
    <row r="12761" spans="1:7">
      <c r="A12761" t="s">
        <v>1297</v>
      </c>
      <c r="B12761" t="s">
        <v>1298</v>
      </c>
      <c r="C12761" t="s">
        <v>672</v>
      </c>
      <c r="D12761" t="s">
        <v>1429</v>
      </c>
      <c r="E12761" t="s">
        <v>187</v>
      </c>
      <c r="F12761">
        <v>2012</v>
      </c>
      <c r="G12761">
        <v>25.544499999999999</v>
      </c>
    </row>
    <row r="12762" spans="1:7">
      <c r="A12762" t="s">
        <v>1297</v>
      </c>
      <c r="B12762" t="s">
        <v>1298</v>
      </c>
      <c r="C12762" t="s">
        <v>672</v>
      </c>
      <c r="D12762" t="s">
        <v>1429</v>
      </c>
      <c r="E12762" t="s">
        <v>187</v>
      </c>
      <c r="F12762">
        <v>2016</v>
      </c>
      <c r="G12762">
        <v>37.219499999999996</v>
      </c>
    </row>
    <row r="12763" spans="1:7">
      <c r="A12763" t="s">
        <v>1297</v>
      </c>
      <c r="B12763" t="s">
        <v>1298</v>
      </c>
      <c r="C12763" t="s">
        <v>672</v>
      </c>
      <c r="D12763" t="s">
        <v>1429</v>
      </c>
      <c r="E12763" t="s">
        <v>187</v>
      </c>
      <c r="F12763">
        <v>2020</v>
      </c>
      <c r="G12763">
        <v>28.587291</v>
      </c>
    </row>
    <row r="12764" spans="1:7">
      <c r="A12764" t="s">
        <v>1297</v>
      </c>
      <c r="B12764" t="s">
        <v>1298</v>
      </c>
      <c r="C12764" t="s">
        <v>289</v>
      </c>
      <c r="D12764" t="s">
        <v>1429</v>
      </c>
      <c r="E12764" t="s">
        <v>187</v>
      </c>
      <c r="F12764">
        <v>2005</v>
      </c>
      <c r="G12764">
        <v>23.616820000000001</v>
      </c>
    </row>
    <row r="12765" spans="1:7">
      <c r="A12765" t="s">
        <v>1297</v>
      </c>
      <c r="B12765" t="s">
        <v>1298</v>
      </c>
      <c r="C12765" t="s">
        <v>289</v>
      </c>
      <c r="D12765" t="s">
        <v>1429</v>
      </c>
      <c r="E12765" t="s">
        <v>187</v>
      </c>
      <c r="F12765">
        <v>2010</v>
      </c>
      <c r="G12765">
        <v>18.564969999999999</v>
      </c>
    </row>
    <row r="12766" spans="1:7">
      <c r="A12766" t="s">
        <v>1297</v>
      </c>
      <c r="B12766" t="s">
        <v>1298</v>
      </c>
      <c r="C12766" t="s">
        <v>289</v>
      </c>
      <c r="D12766" t="s">
        <v>1429</v>
      </c>
      <c r="E12766" t="s">
        <v>187</v>
      </c>
      <c r="F12766">
        <v>2012</v>
      </c>
      <c r="G12766">
        <v>20.436779999999999</v>
      </c>
    </row>
    <row r="12767" spans="1:7">
      <c r="A12767" t="s">
        <v>1297</v>
      </c>
      <c r="B12767" t="s">
        <v>1298</v>
      </c>
      <c r="C12767" t="s">
        <v>289</v>
      </c>
      <c r="D12767" t="s">
        <v>1429</v>
      </c>
      <c r="E12767" t="s">
        <v>187</v>
      </c>
      <c r="F12767">
        <v>2016</v>
      </c>
      <c r="G12767">
        <v>12.52</v>
      </c>
    </row>
    <row r="12768" spans="1:7">
      <c r="A12768" t="s">
        <v>1297</v>
      </c>
      <c r="B12768" t="s">
        <v>1298</v>
      </c>
      <c r="C12768" t="s">
        <v>289</v>
      </c>
      <c r="D12768" t="s">
        <v>1429</v>
      </c>
      <c r="E12768" t="s">
        <v>187</v>
      </c>
      <c r="F12768">
        <v>2020</v>
      </c>
      <c r="G12768">
        <v>8.6637930000000001</v>
      </c>
    </row>
    <row r="12769" spans="1:7">
      <c r="A12769" t="s">
        <v>1297</v>
      </c>
      <c r="B12769" t="s">
        <v>1298</v>
      </c>
      <c r="C12769" t="s">
        <v>686</v>
      </c>
      <c r="D12769" t="s">
        <v>1429</v>
      </c>
      <c r="E12769" t="s">
        <v>187</v>
      </c>
      <c r="F12769">
        <v>2010</v>
      </c>
      <c r="G12769">
        <v>8.3694170000000003</v>
      </c>
    </row>
    <row r="12770" spans="1:7">
      <c r="A12770" t="s">
        <v>1297</v>
      </c>
      <c r="B12770" t="s">
        <v>1298</v>
      </c>
      <c r="C12770" t="s">
        <v>686</v>
      </c>
      <c r="D12770" t="s">
        <v>1429</v>
      </c>
      <c r="E12770" t="s">
        <v>187</v>
      </c>
      <c r="F12770">
        <v>2012</v>
      </c>
      <c r="G12770">
        <v>6.8919040000000003</v>
      </c>
    </row>
    <row r="12771" spans="1:7">
      <c r="A12771" t="s">
        <v>1297</v>
      </c>
      <c r="B12771" t="s">
        <v>1298</v>
      </c>
      <c r="C12771" t="s">
        <v>686</v>
      </c>
      <c r="D12771" t="s">
        <v>1429</v>
      </c>
      <c r="E12771" t="s">
        <v>187</v>
      </c>
      <c r="F12771">
        <v>2016</v>
      </c>
      <c r="G12771">
        <v>6.7857440000000002</v>
      </c>
    </row>
    <row r="12772" spans="1:7">
      <c r="A12772" t="s">
        <v>1297</v>
      </c>
      <c r="B12772" t="s">
        <v>1298</v>
      </c>
      <c r="C12772" t="s">
        <v>686</v>
      </c>
      <c r="D12772" t="s">
        <v>1429</v>
      </c>
      <c r="E12772" t="s">
        <v>187</v>
      </c>
      <c r="F12772">
        <v>2020</v>
      </c>
      <c r="G12772">
        <v>6.2451439999999998</v>
      </c>
    </row>
    <row r="12773" spans="1:7">
      <c r="A12773" t="s">
        <v>1297</v>
      </c>
      <c r="B12773" t="s">
        <v>1298</v>
      </c>
      <c r="C12773" t="s">
        <v>1303</v>
      </c>
      <c r="D12773" t="s">
        <v>1429</v>
      </c>
      <c r="E12773" t="s">
        <v>187</v>
      </c>
      <c r="F12773">
        <v>2016</v>
      </c>
      <c r="G12773">
        <v>3.7999999999999999E-2</v>
      </c>
    </row>
    <row r="12774" spans="1:7">
      <c r="A12774" t="s">
        <v>1297</v>
      </c>
      <c r="B12774" t="s">
        <v>1298</v>
      </c>
      <c r="C12774" t="s">
        <v>675</v>
      </c>
      <c r="D12774" t="s">
        <v>1429</v>
      </c>
      <c r="E12774" t="s">
        <v>187</v>
      </c>
      <c r="F12774">
        <v>2020</v>
      </c>
      <c r="G12774">
        <v>2.8573000000000001E-2</v>
      </c>
    </row>
    <row r="12775" spans="1:7">
      <c r="A12775" t="s">
        <v>1297</v>
      </c>
      <c r="B12775" t="s">
        <v>1298</v>
      </c>
      <c r="C12775" t="s">
        <v>673</v>
      </c>
      <c r="D12775" t="s">
        <v>1429</v>
      </c>
      <c r="E12775" t="s">
        <v>187</v>
      </c>
      <c r="F12775">
        <v>2005</v>
      </c>
      <c r="G12775">
        <v>74.989531999999997</v>
      </c>
    </row>
    <row r="12776" spans="1:7">
      <c r="A12776" t="s">
        <v>1297</v>
      </c>
      <c r="B12776" t="s">
        <v>1298</v>
      </c>
      <c r="C12776" t="s">
        <v>673</v>
      </c>
      <c r="D12776" t="s">
        <v>1429</v>
      </c>
      <c r="E12776" t="s">
        <v>187</v>
      </c>
      <c r="F12776">
        <v>2010</v>
      </c>
      <c r="G12776">
        <v>51.287689999999998</v>
      </c>
    </row>
    <row r="12777" spans="1:7">
      <c r="A12777" t="s">
        <v>1297</v>
      </c>
      <c r="B12777" t="s">
        <v>1298</v>
      </c>
      <c r="C12777" t="s">
        <v>673</v>
      </c>
      <c r="D12777" t="s">
        <v>1429</v>
      </c>
      <c r="E12777" t="s">
        <v>187</v>
      </c>
      <c r="F12777">
        <v>2012</v>
      </c>
      <c r="G12777">
        <v>41.619028999999998</v>
      </c>
    </row>
    <row r="12778" spans="1:7">
      <c r="A12778" t="s">
        <v>1297</v>
      </c>
      <c r="B12778" t="s">
        <v>1298</v>
      </c>
      <c r="C12778" t="s">
        <v>673</v>
      </c>
      <c r="D12778" t="s">
        <v>1429</v>
      </c>
      <c r="E12778" t="s">
        <v>187</v>
      </c>
      <c r="F12778">
        <v>2016</v>
      </c>
      <c r="G12778">
        <v>32.658690999999997</v>
      </c>
    </row>
    <row r="12779" spans="1:7">
      <c r="A12779" t="s">
        <v>1297</v>
      </c>
      <c r="B12779" t="s">
        <v>1298</v>
      </c>
      <c r="C12779" t="s">
        <v>673</v>
      </c>
      <c r="D12779" t="s">
        <v>1429</v>
      </c>
      <c r="E12779" t="s">
        <v>187</v>
      </c>
      <c r="F12779">
        <v>2020</v>
      </c>
      <c r="G12779">
        <v>30.919922</v>
      </c>
    </row>
    <row r="12780" spans="1:7">
      <c r="A12780" t="s">
        <v>1297</v>
      </c>
      <c r="B12780" t="s">
        <v>1298</v>
      </c>
      <c r="C12780" t="s">
        <v>677</v>
      </c>
      <c r="D12780" t="s">
        <v>1429</v>
      </c>
      <c r="E12780" t="s">
        <v>187</v>
      </c>
      <c r="F12780">
        <v>2005</v>
      </c>
      <c r="G12780">
        <v>268.97736099999997</v>
      </c>
    </row>
    <row r="12781" spans="1:7">
      <c r="A12781" t="s">
        <v>1297</v>
      </c>
      <c r="B12781" t="s">
        <v>1298</v>
      </c>
      <c r="C12781" t="s">
        <v>677</v>
      </c>
      <c r="D12781" t="s">
        <v>1429</v>
      </c>
      <c r="E12781" t="s">
        <v>187</v>
      </c>
      <c r="F12781">
        <v>2010</v>
      </c>
      <c r="G12781">
        <v>202.54112000000001</v>
      </c>
    </row>
    <row r="12782" spans="1:7">
      <c r="A12782" t="s">
        <v>1297</v>
      </c>
      <c r="B12782" t="s">
        <v>1298</v>
      </c>
      <c r="C12782" t="s">
        <v>677</v>
      </c>
      <c r="D12782" t="s">
        <v>1429</v>
      </c>
      <c r="E12782" t="s">
        <v>187</v>
      </c>
      <c r="F12782">
        <v>2012</v>
      </c>
      <c r="G12782">
        <v>204.717344</v>
      </c>
    </row>
    <row r="12783" spans="1:7">
      <c r="A12783" t="s">
        <v>1297</v>
      </c>
      <c r="B12783" t="s">
        <v>1298</v>
      </c>
      <c r="C12783" t="s">
        <v>677</v>
      </c>
      <c r="D12783" t="s">
        <v>1429</v>
      </c>
      <c r="E12783" t="s">
        <v>187</v>
      </c>
      <c r="F12783">
        <v>2016</v>
      </c>
      <c r="G12783">
        <v>168.31501800000001</v>
      </c>
    </row>
    <row r="12784" spans="1:7">
      <c r="A12784" t="s">
        <v>1297</v>
      </c>
      <c r="B12784" t="s">
        <v>1298</v>
      </c>
      <c r="C12784" t="s">
        <v>677</v>
      </c>
      <c r="D12784" t="s">
        <v>1429</v>
      </c>
      <c r="E12784" t="s">
        <v>187</v>
      </c>
      <c r="F12784">
        <v>2020</v>
      </c>
      <c r="G12784">
        <v>164.97166200000001</v>
      </c>
    </row>
    <row r="12785" spans="1:7">
      <c r="A12785" t="s">
        <v>1297</v>
      </c>
      <c r="B12785" t="s">
        <v>1298</v>
      </c>
      <c r="C12785" t="s">
        <v>663</v>
      </c>
      <c r="D12785" t="s">
        <v>1429</v>
      </c>
      <c r="E12785" t="s">
        <v>187</v>
      </c>
      <c r="F12785">
        <v>2005</v>
      </c>
      <c r="G12785">
        <v>12.318300000000001</v>
      </c>
    </row>
    <row r="12786" spans="1:7">
      <c r="A12786" t="s">
        <v>1297</v>
      </c>
      <c r="B12786" t="s">
        <v>1298</v>
      </c>
      <c r="C12786" t="s">
        <v>663</v>
      </c>
      <c r="D12786" t="s">
        <v>1429</v>
      </c>
      <c r="E12786" t="s">
        <v>187</v>
      </c>
      <c r="F12786">
        <v>2010</v>
      </c>
      <c r="G12786">
        <v>14.4612</v>
      </c>
    </row>
    <row r="12787" spans="1:7">
      <c r="A12787" t="s">
        <v>1297</v>
      </c>
      <c r="B12787" t="s">
        <v>1298</v>
      </c>
      <c r="C12787" t="s">
        <v>663</v>
      </c>
      <c r="D12787" t="s">
        <v>1429</v>
      </c>
      <c r="E12787" t="s">
        <v>187</v>
      </c>
      <c r="F12787">
        <v>2012</v>
      </c>
      <c r="G12787">
        <v>13.050599999999999</v>
      </c>
    </row>
    <row r="12788" spans="1:7">
      <c r="A12788" t="s">
        <v>1297</v>
      </c>
      <c r="B12788" t="s">
        <v>1298</v>
      </c>
      <c r="C12788" t="s">
        <v>663</v>
      </c>
      <c r="D12788" t="s">
        <v>1429</v>
      </c>
      <c r="E12788" t="s">
        <v>187</v>
      </c>
      <c r="F12788">
        <v>2016</v>
      </c>
      <c r="G12788">
        <v>14.72892</v>
      </c>
    </row>
    <row r="12789" spans="1:7">
      <c r="A12789" t="s">
        <v>1297</v>
      </c>
      <c r="B12789" t="s">
        <v>1298</v>
      </c>
      <c r="C12789" t="s">
        <v>663</v>
      </c>
      <c r="D12789" t="s">
        <v>1429</v>
      </c>
      <c r="E12789" t="s">
        <v>187</v>
      </c>
      <c r="F12789">
        <v>2020</v>
      </c>
      <c r="G12789">
        <v>15.614162</v>
      </c>
    </row>
    <row r="12790" spans="1:7">
      <c r="A12790" t="s">
        <v>1297</v>
      </c>
      <c r="B12790" t="s">
        <v>1298</v>
      </c>
      <c r="C12790" t="s">
        <v>668</v>
      </c>
      <c r="D12790" t="s">
        <v>1429</v>
      </c>
      <c r="E12790" t="s">
        <v>187</v>
      </c>
      <c r="F12790">
        <v>2016</v>
      </c>
      <c r="G12790">
        <v>0.25494</v>
      </c>
    </row>
    <row r="12791" spans="1:7">
      <c r="A12791" t="s">
        <v>1297</v>
      </c>
      <c r="B12791" t="s">
        <v>1298</v>
      </c>
      <c r="C12791" t="s">
        <v>668</v>
      </c>
      <c r="D12791" t="s">
        <v>1429</v>
      </c>
      <c r="E12791" t="s">
        <v>187</v>
      </c>
      <c r="F12791">
        <v>2020</v>
      </c>
      <c r="G12791">
        <v>0.37701400000000002</v>
      </c>
    </row>
    <row r="12792" spans="1:7">
      <c r="A12792" t="s">
        <v>1297</v>
      </c>
      <c r="B12792" t="s">
        <v>1298</v>
      </c>
      <c r="C12792" t="s">
        <v>662</v>
      </c>
      <c r="D12792" t="s">
        <v>1429</v>
      </c>
      <c r="E12792" t="s">
        <v>187</v>
      </c>
      <c r="F12792">
        <v>2005</v>
      </c>
      <c r="G12792">
        <v>48.195</v>
      </c>
    </row>
    <row r="12793" spans="1:7">
      <c r="A12793" t="s">
        <v>1297</v>
      </c>
      <c r="B12793" t="s">
        <v>1298</v>
      </c>
      <c r="C12793" t="s">
        <v>662</v>
      </c>
      <c r="D12793" t="s">
        <v>1429</v>
      </c>
      <c r="E12793" t="s">
        <v>187</v>
      </c>
      <c r="F12793">
        <v>2010</v>
      </c>
      <c r="G12793">
        <v>45.392299999999999</v>
      </c>
    </row>
    <row r="12794" spans="1:7">
      <c r="A12794" t="s">
        <v>1297</v>
      </c>
      <c r="B12794" t="s">
        <v>1298</v>
      </c>
      <c r="C12794" t="s">
        <v>662</v>
      </c>
      <c r="D12794" t="s">
        <v>1429</v>
      </c>
      <c r="E12794" t="s">
        <v>187</v>
      </c>
      <c r="F12794">
        <v>2012</v>
      </c>
      <c r="G12794">
        <v>46.7074</v>
      </c>
    </row>
    <row r="12795" spans="1:7">
      <c r="A12795" t="s">
        <v>1297</v>
      </c>
      <c r="B12795" t="s">
        <v>1298</v>
      </c>
      <c r="C12795" t="s">
        <v>685</v>
      </c>
      <c r="D12795" t="s">
        <v>1429</v>
      </c>
      <c r="E12795" t="s">
        <v>187</v>
      </c>
      <c r="F12795">
        <v>2005</v>
      </c>
      <c r="G12795">
        <v>0.57492200000000004</v>
      </c>
    </row>
    <row r="12796" spans="1:7">
      <c r="A12796" t="s">
        <v>1297</v>
      </c>
      <c r="B12796" t="s">
        <v>1298</v>
      </c>
      <c r="C12796" t="s">
        <v>685</v>
      </c>
      <c r="D12796" t="s">
        <v>1429</v>
      </c>
      <c r="E12796" t="s">
        <v>187</v>
      </c>
      <c r="F12796">
        <v>2010</v>
      </c>
      <c r="G12796">
        <v>0.97971799999999998</v>
      </c>
    </row>
    <row r="12797" spans="1:7">
      <c r="A12797" t="s">
        <v>1297</v>
      </c>
      <c r="B12797" t="s">
        <v>1298</v>
      </c>
      <c r="C12797" t="s">
        <v>685</v>
      </c>
      <c r="D12797" t="s">
        <v>1429</v>
      </c>
      <c r="E12797" t="s">
        <v>187</v>
      </c>
      <c r="F12797">
        <v>2012</v>
      </c>
      <c r="G12797">
        <v>1.049482</v>
      </c>
    </row>
    <row r="12798" spans="1:7">
      <c r="A12798" t="s">
        <v>1297</v>
      </c>
      <c r="B12798" t="s">
        <v>1298</v>
      </c>
      <c r="C12798" t="s">
        <v>685</v>
      </c>
      <c r="D12798" t="s">
        <v>1429</v>
      </c>
      <c r="E12798" t="s">
        <v>187</v>
      </c>
      <c r="F12798">
        <v>2016</v>
      </c>
      <c r="G12798">
        <v>7.3871999999999993E-2</v>
      </c>
    </row>
    <row r="12799" spans="1:7">
      <c r="A12799" t="s">
        <v>1297</v>
      </c>
      <c r="B12799" t="s">
        <v>1298</v>
      </c>
      <c r="C12799" t="s">
        <v>685</v>
      </c>
      <c r="D12799" t="s">
        <v>1429</v>
      </c>
      <c r="E12799" t="s">
        <v>187</v>
      </c>
      <c r="F12799">
        <v>2020</v>
      </c>
      <c r="G12799">
        <v>6.0491000000000003E-2</v>
      </c>
    </row>
    <row r="12800" spans="1:7">
      <c r="A12800" t="s">
        <v>1297</v>
      </c>
      <c r="B12800" t="s">
        <v>1298</v>
      </c>
      <c r="C12800" t="s">
        <v>676</v>
      </c>
      <c r="D12800" t="s">
        <v>1429</v>
      </c>
      <c r="E12800" t="s">
        <v>187</v>
      </c>
      <c r="F12800">
        <v>2012</v>
      </c>
      <c r="G12800">
        <v>11.52149</v>
      </c>
    </row>
    <row r="12801" spans="1:7">
      <c r="A12801" t="s">
        <v>1297</v>
      </c>
      <c r="B12801" t="s">
        <v>1298</v>
      </c>
      <c r="C12801" t="s">
        <v>676</v>
      </c>
      <c r="D12801" t="s">
        <v>1429</v>
      </c>
      <c r="E12801" t="s">
        <v>187</v>
      </c>
      <c r="F12801">
        <v>2016</v>
      </c>
      <c r="G12801">
        <v>14.855181</v>
      </c>
    </row>
    <row r="12802" spans="1:7">
      <c r="A12802" t="s">
        <v>1297</v>
      </c>
      <c r="B12802" t="s">
        <v>1298</v>
      </c>
      <c r="C12802" t="s">
        <v>676</v>
      </c>
      <c r="D12802" t="s">
        <v>1429</v>
      </c>
      <c r="E12802" t="s">
        <v>187</v>
      </c>
      <c r="F12802">
        <v>2020</v>
      </c>
      <c r="G12802">
        <v>11.706443999999999</v>
      </c>
    </row>
    <row r="12803" spans="1:7">
      <c r="A12803" t="s">
        <v>1297</v>
      </c>
      <c r="B12803" t="s">
        <v>1298</v>
      </c>
      <c r="C12803" t="s">
        <v>662</v>
      </c>
      <c r="D12803" t="s">
        <v>1429</v>
      </c>
      <c r="E12803" t="s">
        <v>187</v>
      </c>
      <c r="F12803">
        <v>2016</v>
      </c>
      <c r="G12803">
        <v>58.606999999999999</v>
      </c>
    </row>
    <row r="12804" spans="1:7">
      <c r="A12804" t="s">
        <v>1297</v>
      </c>
      <c r="B12804" t="s">
        <v>1298</v>
      </c>
      <c r="C12804" t="s">
        <v>661</v>
      </c>
      <c r="D12804" t="s">
        <v>1429</v>
      </c>
      <c r="E12804" t="s">
        <v>187</v>
      </c>
      <c r="F12804">
        <v>2016</v>
      </c>
      <c r="G12804">
        <v>73.658672999999993</v>
      </c>
    </row>
    <row r="12805" spans="1:7">
      <c r="A12805" t="s">
        <v>1297</v>
      </c>
      <c r="B12805" t="s">
        <v>1298</v>
      </c>
      <c r="C12805" t="s">
        <v>661</v>
      </c>
      <c r="D12805" t="s">
        <v>1429</v>
      </c>
      <c r="E12805" t="s">
        <v>187</v>
      </c>
      <c r="F12805">
        <v>2020</v>
      </c>
      <c r="G12805">
        <v>58.352131</v>
      </c>
    </row>
    <row r="12806" spans="1:7">
      <c r="A12806" t="s">
        <v>1297</v>
      </c>
      <c r="B12806" t="s">
        <v>1298</v>
      </c>
      <c r="C12806" t="s">
        <v>660</v>
      </c>
      <c r="D12806" t="s">
        <v>1429</v>
      </c>
      <c r="E12806" t="s">
        <v>187</v>
      </c>
      <c r="F12806">
        <v>2005</v>
      </c>
      <c r="G12806">
        <v>22.200478</v>
      </c>
    </row>
    <row r="12807" spans="1:7">
      <c r="A12807" t="s">
        <v>1297</v>
      </c>
      <c r="B12807" t="s">
        <v>1298</v>
      </c>
      <c r="C12807" t="s">
        <v>660</v>
      </c>
      <c r="D12807" t="s">
        <v>1429</v>
      </c>
      <c r="E12807" t="s">
        <v>187</v>
      </c>
      <c r="F12807">
        <v>2010</v>
      </c>
      <c r="G12807">
        <v>29.085818</v>
      </c>
    </row>
    <row r="12808" spans="1:7">
      <c r="A12808" t="s">
        <v>1297</v>
      </c>
      <c r="B12808" t="s">
        <v>1298</v>
      </c>
      <c r="C12808" t="s">
        <v>655</v>
      </c>
      <c r="D12808" t="s">
        <v>1429</v>
      </c>
      <c r="E12808" t="s">
        <v>187</v>
      </c>
      <c r="F12808">
        <v>2020</v>
      </c>
      <c r="G12808">
        <v>9.9112170000000006</v>
      </c>
    </row>
    <row r="12809" spans="1:7">
      <c r="A12809" t="s">
        <v>1297</v>
      </c>
      <c r="B12809" t="s">
        <v>1298</v>
      </c>
      <c r="C12809" t="s">
        <v>651</v>
      </c>
      <c r="D12809" t="s">
        <v>1429</v>
      </c>
      <c r="E12809" t="s">
        <v>187</v>
      </c>
      <c r="F12809">
        <v>2005</v>
      </c>
      <c r="G12809">
        <v>20.801331000000001</v>
      </c>
    </row>
    <row r="12810" spans="1:7">
      <c r="A12810" t="s">
        <v>1297</v>
      </c>
      <c r="B12810" t="s">
        <v>1298</v>
      </c>
      <c r="C12810" t="s">
        <v>651</v>
      </c>
      <c r="D12810" t="s">
        <v>1429</v>
      </c>
      <c r="E12810" t="s">
        <v>187</v>
      </c>
      <c r="F12810">
        <v>2010</v>
      </c>
      <c r="G12810">
        <v>20.471299999999999</v>
      </c>
    </row>
    <row r="12811" spans="1:7">
      <c r="A12811" t="s">
        <v>1297</v>
      </c>
      <c r="B12811" t="s">
        <v>1298</v>
      </c>
      <c r="C12811" t="s">
        <v>651</v>
      </c>
      <c r="D12811" t="s">
        <v>1429</v>
      </c>
      <c r="E12811" t="s">
        <v>187</v>
      </c>
      <c r="F12811">
        <v>2012</v>
      </c>
      <c r="G12811">
        <v>16.125755999999999</v>
      </c>
    </row>
    <row r="12812" spans="1:7">
      <c r="A12812" t="s">
        <v>1297</v>
      </c>
      <c r="B12812" t="s">
        <v>1298</v>
      </c>
      <c r="C12812" t="s">
        <v>651</v>
      </c>
      <c r="D12812" t="s">
        <v>1429</v>
      </c>
      <c r="E12812" t="s">
        <v>187</v>
      </c>
      <c r="F12812">
        <v>2016</v>
      </c>
      <c r="G12812">
        <v>7.8600519999999996</v>
      </c>
    </row>
    <row r="12813" spans="1:7">
      <c r="A12813" t="s">
        <v>1297</v>
      </c>
      <c r="B12813" t="s">
        <v>1298</v>
      </c>
      <c r="C12813" t="s">
        <v>651</v>
      </c>
      <c r="D12813" t="s">
        <v>1429</v>
      </c>
      <c r="E12813" t="s">
        <v>187</v>
      </c>
      <c r="F12813">
        <v>2020</v>
      </c>
      <c r="G12813">
        <v>16.326108000000001</v>
      </c>
    </row>
    <row r="12814" spans="1:7">
      <c r="A12814" t="s">
        <v>1297</v>
      </c>
      <c r="B12814" t="s">
        <v>1298</v>
      </c>
      <c r="C12814" t="s">
        <v>657</v>
      </c>
      <c r="D12814" t="s">
        <v>1429</v>
      </c>
      <c r="E12814" t="s">
        <v>187</v>
      </c>
      <c r="F12814">
        <v>2005</v>
      </c>
      <c r="G12814">
        <v>14.47105</v>
      </c>
    </row>
    <row r="12815" spans="1:7">
      <c r="A12815" t="s">
        <v>1297</v>
      </c>
      <c r="B12815" t="s">
        <v>1298</v>
      </c>
      <c r="C12815" t="s">
        <v>657</v>
      </c>
      <c r="D12815" t="s">
        <v>1429</v>
      </c>
      <c r="E12815" t="s">
        <v>187</v>
      </c>
      <c r="F12815">
        <v>2010</v>
      </c>
      <c r="G12815">
        <v>12.511150000000001</v>
      </c>
    </row>
    <row r="12816" spans="1:7">
      <c r="A12816" t="s">
        <v>1297</v>
      </c>
      <c r="B12816" t="s">
        <v>1298</v>
      </c>
      <c r="C12816" t="s">
        <v>657</v>
      </c>
      <c r="D12816" t="s">
        <v>1429</v>
      </c>
      <c r="E12816" t="s">
        <v>187</v>
      </c>
      <c r="F12816">
        <v>2012</v>
      </c>
      <c r="G12816">
        <v>15.061</v>
      </c>
    </row>
    <row r="12817" spans="1:7">
      <c r="A12817" t="s">
        <v>1297</v>
      </c>
      <c r="B12817" t="s">
        <v>1298</v>
      </c>
      <c r="C12817" t="s">
        <v>657</v>
      </c>
      <c r="D12817" t="s">
        <v>1429</v>
      </c>
      <c r="E12817" t="s">
        <v>187</v>
      </c>
      <c r="F12817">
        <v>2016</v>
      </c>
      <c r="G12817">
        <v>13.817117</v>
      </c>
    </row>
    <row r="12818" spans="1:7">
      <c r="A12818" t="s">
        <v>1297</v>
      </c>
      <c r="B12818" t="s">
        <v>1298</v>
      </c>
      <c r="C12818" t="s">
        <v>657</v>
      </c>
      <c r="D12818" t="s">
        <v>1429</v>
      </c>
      <c r="E12818" t="s">
        <v>187</v>
      </c>
      <c r="F12818">
        <v>2020</v>
      </c>
      <c r="G12818">
        <v>15.304957</v>
      </c>
    </row>
    <row r="12819" spans="1:7">
      <c r="A12819" t="s">
        <v>1297</v>
      </c>
      <c r="B12819" t="s">
        <v>1298</v>
      </c>
      <c r="C12819" t="s">
        <v>660</v>
      </c>
      <c r="D12819" t="s">
        <v>1429</v>
      </c>
      <c r="E12819" t="s">
        <v>187</v>
      </c>
      <c r="F12819">
        <v>2012</v>
      </c>
      <c r="G12819">
        <v>28.726224999999999</v>
      </c>
    </row>
    <row r="12820" spans="1:7">
      <c r="A12820" t="s">
        <v>1297</v>
      </c>
      <c r="B12820" t="s">
        <v>1298</v>
      </c>
      <c r="C12820" t="s">
        <v>660</v>
      </c>
      <c r="D12820" t="s">
        <v>1429</v>
      </c>
      <c r="E12820" t="s">
        <v>187</v>
      </c>
      <c r="F12820">
        <v>2016</v>
      </c>
      <c r="G12820">
        <v>27.416518</v>
      </c>
    </row>
    <row r="12821" spans="1:7">
      <c r="A12821" t="s">
        <v>1297</v>
      </c>
      <c r="B12821" t="s">
        <v>1298</v>
      </c>
      <c r="C12821" t="s">
        <v>660</v>
      </c>
      <c r="D12821" t="s">
        <v>1429</v>
      </c>
      <c r="E12821" t="s">
        <v>187</v>
      </c>
      <c r="F12821">
        <v>2020</v>
      </c>
      <c r="G12821">
        <v>27.595323</v>
      </c>
    </row>
    <row r="12822" spans="1:7">
      <c r="A12822" t="s">
        <v>1297</v>
      </c>
      <c r="B12822" t="s">
        <v>1298</v>
      </c>
      <c r="C12822" t="s">
        <v>674</v>
      </c>
      <c r="D12822" t="s">
        <v>1429</v>
      </c>
      <c r="E12822" t="s">
        <v>187</v>
      </c>
      <c r="F12822">
        <v>2005</v>
      </c>
      <c r="G12822">
        <v>32.459498000000004</v>
      </c>
    </row>
    <row r="12823" spans="1:7">
      <c r="A12823" t="s">
        <v>1297</v>
      </c>
      <c r="B12823" t="s">
        <v>1298</v>
      </c>
      <c r="C12823" t="s">
        <v>674</v>
      </c>
      <c r="D12823" t="s">
        <v>1429</v>
      </c>
      <c r="E12823" t="s">
        <v>187</v>
      </c>
      <c r="F12823">
        <v>2010</v>
      </c>
      <c r="G12823">
        <v>36.186176000000003</v>
      </c>
    </row>
    <row r="12824" spans="1:7">
      <c r="A12824" t="s">
        <v>1297</v>
      </c>
      <c r="B12824" t="s">
        <v>1298</v>
      </c>
      <c r="C12824" t="s">
        <v>674</v>
      </c>
      <c r="D12824" t="s">
        <v>1429</v>
      </c>
      <c r="E12824" t="s">
        <v>187</v>
      </c>
      <c r="F12824">
        <v>2012</v>
      </c>
      <c r="G12824">
        <v>38.765275000000003</v>
      </c>
    </row>
    <row r="12825" spans="1:7">
      <c r="A12825" t="s">
        <v>1297</v>
      </c>
      <c r="B12825" t="s">
        <v>1298</v>
      </c>
      <c r="C12825" t="s">
        <v>674</v>
      </c>
      <c r="D12825" t="s">
        <v>1429</v>
      </c>
      <c r="E12825" t="s">
        <v>187</v>
      </c>
      <c r="F12825">
        <v>2016</v>
      </c>
      <c r="G12825">
        <v>42.84384</v>
      </c>
    </row>
    <row r="12826" spans="1:7">
      <c r="A12826" t="s">
        <v>1297</v>
      </c>
      <c r="B12826" t="s">
        <v>1298</v>
      </c>
      <c r="C12826" t="s">
        <v>674</v>
      </c>
      <c r="D12826" t="s">
        <v>1429</v>
      </c>
      <c r="E12826" t="s">
        <v>187</v>
      </c>
      <c r="F12826">
        <v>2020</v>
      </c>
      <c r="G12826">
        <v>13.413275000000001</v>
      </c>
    </row>
    <row r="12827" spans="1:7">
      <c r="A12827" t="s">
        <v>1297</v>
      </c>
      <c r="B12827" t="s">
        <v>1298</v>
      </c>
      <c r="C12827" t="s">
        <v>668</v>
      </c>
      <c r="D12827" t="s">
        <v>1429</v>
      </c>
      <c r="E12827" t="s">
        <v>187</v>
      </c>
      <c r="F12827">
        <v>2005</v>
      </c>
      <c r="G12827">
        <v>0.21245</v>
      </c>
    </row>
    <row r="12828" spans="1:7">
      <c r="A12828" t="s">
        <v>1297</v>
      </c>
      <c r="B12828" t="s">
        <v>1298</v>
      </c>
      <c r="C12828" t="s">
        <v>668</v>
      </c>
      <c r="D12828" t="s">
        <v>1429</v>
      </c>
      <c r="E12828" t="s">
        <v>187</v>
      </c>
      <c r="F12828">
        <v>2010</v>
      </c>
      <c r="G12828">
        <v>0.21245</v>
      </c>
    </row>
    <row r="12829" spans="1:7">
      <c r="A12829" t="s">
        <v>1297</v>
      </c>
      <c r="B12829" t="s">
        <v>1298</v>
      </c>
      <c r="C12829" t="s">
        <v>668</v>
      </c>
      <c r="D12829" t="s">
        <v>1429</v>
      </c>
      <c r="E12829" t="s">
        <v>187</v>
      </c>
      <c r="F12829">
        <v>2012</v>
      </c>
      <c r="G12829">
        <v>0.16996</v>
      </c>
    </row>
    <row r="12830" spans="1:7">
      <c r="A12830" t="s">
        <v>1297</v>
      </c>
      <c r="B12830" t="s">
        <v>1298</v>
      </c>
      <c r="C12830" t="s">
        <v>684</v>
      </c>
      <c r="D12830" t="s">
        <v>1429</v>
      </c>
      <c r="E12830" t="s">
        <v>187</v>
      </c>
      <c r="F12830">
        <v>2005</v>
      </c>
      <c r="G12830">
        <v>8.5419999999999996E-2</v>
      </c>
    </row>
    <row r="12831" spans="1:7">
      <c r="A12831" t="s">
        <v>1297</v>
      </c>
      <c r="B12831" t="s">
        <v>1298</v>
      </c>
      <c r="C12831" t="s">
        <v>684</v>
      </c>
      <c r="D12831" t="s">
        <v>1429</v>
      </c>
      <c r="E12831" t="s">
        <v>187</v>
      </c>
      <c r="F12831">
        <v>2010</v>
      </c>
      <c r="G12831">
        <v>0.12812999999999999</v>
      </c>
    </row>
    <row r="12832" spans="1:7">
      <c r="A12832" t="s">
        <v>1297</v>
      </c>
      <c r="B12832" t="s">
        <v>1298</v>
      </c>
      <c r="C12832" t="s">
        <v>684</v>
      </c>
      <c r="D12832" t="s">
        <v>1429</v>
      </c>
      <c r="E12832" t="s">
        <v>187</v>
      </c>
      <c r="F12832">
        <v>2012</v>
      </c>
      <c r="G12832">
        <v>4.2709999999999998E-2</v>
      </c>
    </row>
    <row r="12833" spans="1:7">
      <c r="A12833" t="s">
        <v>1297</v>
      </c>
      <c r="B12833" t="s">
        <v>1298</v>
      </c>
      <c r="C12833" t="s">
        <v>666</v>
      </c>
      <c r="D12833" t="s">
        <v>1429</v>
      </c>
      <c r="E12833" t="s">
        <v>187</v>
      </c>
      <c r="F12833">
        <v>2005</v>
      </c>
      <c r="G12833">
        <v>26.113980000000002</v>
      </c>
    </row>
    <row r="12834" spans="1:7">
      <c r="A12834" t="s">
        <v>1297</v>
      </c>
      <c r="B12834" t="s">
        <v>1298</v>
      </c>
      <c r="C12834" t="s">
        <v>666</v>
      </c>
      <c r="D12834" t="s">
        <v>1429</v>
      </c>
      <c r="E12834" t="s">
        <v>187</v>
      </c>
      <c r="F12834">
        <v>2010</v>
      </c>
      <c r="G12834">
        <v>23.031569999999999</v>
      </c>
    </row>
    <row r="12835" spans="1:7">
      <c r="A12835" t="s">
        <v>1297</v>
      </c>
      <c r="B12835" t="s">
        <v>1298</v>
      </c>
      <c r="C12835" t="s">
        <v>666</v>
      </c>
      <c r="D12835" t="s">
        <v>1429</v>
      </c>
      <c r="E12835" t="s">
        <v>187</v>
      </c>
      <c r="F12835">
        <v>2012</v>
      </c>
      <c r="G12835">
        <v>20.999148000000002</v>
      </c>
    </row>
    <row r="12836" spans="1:7">
      <c r="A12836" t="s">
        <v>1297</v>
      </c>
      <c r="B12836" t="s">
        <v>1298</v>
      </c>
      <c r="C12836" t="s">
        <v>666</v>
      </c>
      <c r="D12836" t="s">
        <v>1429</v>
      </c>
      <c r="E12836" t="s">
        <v>187</v>
      </c>
      <c r="F12836">
        <v>2016</v>
      </c>
      <c r="G12836">
        <v>21.189018000000001</v>
      </c>
    </row>
    <row r="12837" spans="1:7">
      <c r="A12837" t="s">
        <v>1297</v>
      </c>
      <c r="B12837" t="s">
        <v>1298</v>
      </c>
      <c r="C12837" t="s">
        <v>666</v>
      </c>
      <c r="D12837" t="s">
        <v>1429</v>
      </c>
      <c r="E12837" t="s">
        <v>187</v>
      </c>
      <c r="F12837">
        <v>2020</v>
      </c>
      <c r="G12837">
        <v>18.470123999999998</v>
      </c>
    </row>
    <row r="12838" spans="1:7">
      <c r="A12838" t="s">
        <v>1297</v>
      </c>
      <c r="B12838" t="s">
        <v>1298</v>
      </c>
      <c r="C12838" t="s">
        <v>664</v>
      </c>
      <c r="D12838" t="s">
        <v>1429</v>
      </c>
      <c r="E12838" t="s">
        <v>187</v>
      </c>
      <c r="F12838">
        <v>2005</v>
      </c>
      <c r="G12838">
        <v>6.0385280000000003</v>
      </c>
    </row>
    <row r="12839" spans="1:7">
      <c r="A12839" t="s">
        <v>1297</v>
      </c>
      <c r="B12839" t="s">
        <v>1298</v>
      </c>
      <c r="C12839" t="s">
        <v>664</v>
      </c>
      <c r="D12839" t="s">
        <v>1429</v>
      </c>
      <c r="E12839" t="s">
        <v>187</v>
      </c>
      <c r="F12839">
        <v>2010</v>
      </c>
      <c r="G12839">
        <v>4.8100699999999996</v>
      </c>
    </row>
    <row r="12840" spans="1:7">
      <c r="A12840" t="s">
        <v>1297</v>
      </c>
      <c r="B12840" t="s">
        <v>1298</v>
      </c>
      <c r="C12840" t="s">
        <v>664</v>
      </c>
      <c r="D12840" t="s">
        <v>1429</v>
      </c>
      <c r="E12840" t="s">
        <v>187</v>
      </c>
      <c r="F12840">
        <v>2012</v>
      </c>
      <c r="G12840">
        <v>5.1269660000000004</v>
      </c>
    </row>
    <row r="12841" spans="1:7">
      <c r="A12841" t="s">
        <v>1297</v>
      </c>
      <c r="B12841" t="s">
        <v>1298</v>
      </c>
      <c r="C12841" t="s">
        <v>664</v>
      </c>
      <c r="D12841" t="s">
        <v>1429</v>
      </c>
      <c r="E12841" t="s">
        <v>187</v>
      </c>
      <c r="F12841">
        <v>2016</v>
      </c>
      <c r="G12841">
        <v>5.666512</v>
      </c>
    </row>
    <row r="12842" spans="1:7">
      <c r="A12842" t="s">
        <v>1297</v>
      </c>
      <c r="B12842" t="s">
        <v>1298</v>
      </c>
      <c r="C12842" t="s">
        <v>664</v>
      </c>
      <c r="D12842" t="s">
        <v>1429</v>
      </c>
      <c r="E12842" t="s">
        <v>187</v>
      </c>
      <c r="F12842">
        <v>2020</v>
      </c>
      <c r="G12842">
        <v>5.0980990000000004</v>
      </c>
    </row>
    <row r="12843" spans="1:7">
      <c r="A12843" t="s">
        <v>1297</v>
      </c>
      <c r="B12843" t="s">
        <v>1298</v>
      </c>
      <c r="C12843" t="s">
        <v>670</v>
      </c>
      <c r="D12843" t="s">
        <v>1429</v>
      </c>
      <c r="E12843" t="s">
        <v>187</v>
      </c>
      <c r="F12843">
        <v>2016</v>
      </c>
      <c r="G12843">
        <v>97.330817999999994</v>
      </c>
    </row>
    <row r="12844" spans="1:7">
      <c r="A12844" t="s">
        <v>1297</v>
      </c>
      <c r="B12844" t="s">
        <v>1298</v>
      </c>
      <c r="C12844" t="s">
        <v>670</v>
      </c>
      <c r="D12844" t="s">
        <v>1429</v>
      </c>
      <c r="E12844" t="s">
        <v>187</v>
      </c>
      <c r="F12844">
        <v>2020</v>
      </c>
      <c r="G12844">
        <v>100.16825799999999</v>
      </c>
    </row>
    <row r="12845" spans="1:7">
      <c r="A12845" t="s">
        <v>1297</v>
      </c>
      <c r="B12845" t="s">
        <v>1298</v>
      </c>
      <c r="C12845" t="s">
        <v>654</v>
      </c>
      <c r="D12845" t="s">
        <v>1429</v>
      </c>
      <c r="E12845" t="s">
        <v>187</v>
      </c>
      <c r="F12845">
        <v>2020</v>
      </c>
      <c r="G12845">
        <v>1.2999999999999999E-3</v>
      </c>
    </row>
    <row r="12846" spans="1:7">
      <c r="A12846" t="s">
        <v>1297</v>
      </c>
      <c r="B12846" t="s">
        <v>1298</v>
      </c>
      <c r="C12846" t="s">
        <v>667</v>
      </c>
      <c r="D12846" t="s">
        <v>1429</v>
      </c>
      <c r="E12846" t="s">
        <v>187</v>
      </c>
      <c r="F12846">
        <v>2005</v>
      </c>
      <c r="G12846">
        <v>1.8905999999999999E-2</v>
      </c>
    </row>
    <row r="12847" spans="1:7">
      <c r="A12847" t="s">
        <v>1297</v>
      </c>
      <c r="B12847" t="s">
        <v>1298</v>
      </c>
      <c r="C12847" t="s">
        <v>667</v>
      </c>
      <c r="D12847" t="s">
        <v>1429</v>
      </c>
      <c r="E12847" t="s">
        <v>187</v>
      </c>
      <c r="F12847">
        <v>2010</v>
      </c>
      <c r="G12847">
        <v>1.3638000000000001E-2</v>
      </c>
    </row>
    <row r="12848" spans="1:7">
      <c r="A12848" t="s">
        <v>1297</v>
      </c>
      <c r="B12848" t="s">
        <v>1298</v>
      </c>
      <c r="C12848" t="s">
        <v>667</v>
      </c>
      <c r="D12848" t="s">
        <v>1429</v>
      </c>
      <c r="E12848" t="s">
        <v>187</v>
      </c>
      <c r="F12848">
        <v>2012</v>
      </c>
      <c r="G12848">
        <v>9.2189999999999998E-3</v>
      </c>
    </row>
    <row r="12849" spans="1:7">
      <c r="A12849" t="s">
        <v>1297</v>
      </c>
      <c r="B12849" t="s">
        <v>1298</v>
      </c>
      <c r="C12849" t="s">
        <v>667</v>
      </c>
      <c r="D12849" t="s">
        <v>1429</v>
      </c>
      <c r="E12849" t="s">
        <v>187</v>
      </c>
      <c r="F12849">
        <v>2016</v>
      </c>
      <c r="G12849">
        <v>4.0359999999999997E-3</v>
      </c>
    </row>
    <row r="12850" spans="1:7">
      <c r="A12850" t="s">
        <v>1297</v>
      </c>
      <c r="B12850" t="s">
        <v>1298</v>
      </c>
      <c r="C12850" t="s">
        <v>667</v>
      </c>
      <c r="D12850" t="s">
        <v>1429</v>
      </c>
      <c r="E12850" t="s">
        <v>187</v>
      </c>
      <c r="F12850">
        <v>2020</v>
      </c>
      <c r="G12850">
        <v>2.931E-3</v>
      </c>
    </row>
    <row r="12851" spans="1:7">
      <c r="A12851" t="s">
        <v>1297</v>
      </c>
      <c r="B12851" t="s">
        <v>1298</v>
      </c>
      <c r="C12851" t="s">
        <v>655</v>
      </c>
      <c r="D12851" t="s">
        <v>1429</v>
      </c>
      <c r="E12851" t="s">
        <v>187</v>
      </c>
      <c r="F12851">
        <v>2005</v>
      </c>
      <c r="G12851">
        <v>10.522553</v>
      </c>
    </row>
    <row r="12852" spans="1:7">
      <c r="A12852" t="s">
        <v>1297</v>
      </c>
      <c r="B12852" t="s">
        <v>1298</v>
      </c>
      <c r="C12852" t="s">
        <v>655</v>
      </c>
      <c r="D12852" t="s">
        <v>1429</v>
      </c>
      <c r="E12852" t="s">
        <v>187</v>
      </c>
      <c r="F12852">
        <v>2010</v>
      </c>
      <c r="G12852">
        <v>11.107862000000001</v>
      </c>
    </row>
    <row r="12853" spans="1:7">
      <c r="A12853" t="s">
        <v>1297</v>
      </c>
      <c r="B12853" t="s">
        <v>1298</v>
      </c>
      <c r="C12853" t="s">
        <v>655</v>
      </c>
      <c r="D12853" t="s">
        <v>1429</v>
      </c>
      <c r="E12853" t="s">
        <v>187</v>
      </c>
      <c r="F12853">
        <v>2012</v>
      </c>
      <c r="G12853">
        <v>10.452045999999999</v>
      </c>
    </row>
    <row r="12854" spans="1:7">
      <c r="A12854" t="s">
        <v>1297</v>
      </c>
      <c r="B12854" t="s">
        <v>1298</v>
      </c>
      <c r="C12854" t="s">
        <v>655</v>
      </c>
      <c r="D12854" t="s">
        <v>1429</v>
      </c>
      <c r="E12854" t="s">
        <v>187</v>
      </c>
      <c r="F12854">
        <v>2016</v>
      </c>
      <c r="G12854">
        <v>7.226159</v>
      </c>
    </row>
    <row r="12855" spans="1:7">
      <c r="A12855" t="s">
        <v>1297</v>
      </c>
      <c r="B12855" t="s">
        <v>1298</v>
      </c>
      <c r="C12855" t="s">
        <v>663</v>
      </c>
      <c r="D12855" t="s">
        <v>1430</v>
      </c>
      <c r="E12855" t="s">
        <v>187</v>
      </c>
      <c r="F12855">
        <v>2020</v>
      </c>
      <c r="G12855">
        <v>48.708799999999997</v>
      </c>
    </row>
    <row r="12856" spans="1:7">
      <c r="A12856" t="s">
        <v>1297</v>
      </c>
      <c r="B12856" t="s">
        <v>1298</v>
      </c>
      <c r="C12856" t="s">
        <v>666</v>
      </c>
      <c r="D12856" t="s">
        <v>1430</v>
      </c>
      <c r="E12856" t="s">
        <v>187</v>
      </c>
      <c r="F12856">
        <v>2005</v>
      </c>
      <c r="G12856">
        <v>9.2102400000000006</v>
      </c>
    </row>
    <row r="12857" spans="1:7">
      <c r="A12857" t="s">
        <v>1297</v>
      </c>
      <c r="B12857" t="s">
        <v>1298</v>
      </c>
      <c r="C12857" t="s">
        <v>666</v>
      </c>
      <c r="D12857" t="s">
        <v>1430</v>
      </c>
      <c r="E12857" t="s">
        <v>187</v>
      </c>
      <c r="F12857">
        <v>2010</v>
      </c>
      <c r="G12857">
        <v>4.9196999999999997</v>
      </c>
    </row>
    <row r="12858" spans="1:7">
      <c r="A12858" t="s">
        <v>1297</v>
      </c>
      <c r="B12858" t="s">
        <v>1298</v>
      </c>
      <c r="C12858" t="s">
        <v>666</v>
      </c>
      <c r="D12858" t="s">
        <v>1430</v>
      </c>
      <c r="E12858" t="s">
        <v>187</v>
      </c>
      <c r="F12858">
        <v>2012</v>
      </c>
      <c r="G12858">
        <v>4.3635599999999997</v>
      </c>
    </row>
    <row r="12859" spans="1:7">
      <c r="A12859" t="s">
        <v>1297</v>
      </c>
      <c r="B12859" t="s">
        <v>1298</v>
      </c>
      <c r="C12859" t="s">
        <v>666</v>
      </c>
      <c r="D12859" t="s">
        <v>1430</v>
      </c>
      <c r="E12859" t="s">
        <v>187</v>
      </c>
      <c r="F12859">
        <v>2016</v>
      </c>
      <c r="G12859">
        <v>2.7084800000000002</v>
      </c>
    </row>
    <row r="12860" spans="1:7">
      <c r="A12860" t="s">
        <v>1297</v>
      </c>
      <c r="B12860" t="s">
        <v>1298</v>
      </c>
      <c r="C12860" t="s">
        <v>666</v>
      </c>
      <c r="D12860" t="s">
        <v>1430</v>
      </c>
      <c r="E12860" t="s">
        <v>187</v>
      </c>
      <c r="F12860">
        <v>2020</v>
      </c>
      <c r="G12860">
        <v>1.6726749999999999</v>
      </c>
    </row>
    <row r="12861" spans="1:7">
      <c r="A12861" t="s">
        <v>1297</v>
      </c>
      <c r="B12861" t="s">
        <v>1298</v>
      </c>
      <c r="C12861" t="s">
        <v>289</v>
      </c>
      <c r="D12861" t="s">
        <v>1430</v>
      </c>
      <c r="E12861" t="s">
        <v>187</v>
      </c>
      <c r="F12861">
        <v>2005</v>
      </c>
      <c r="G12861">
        <v>43.299356000000003</v>
      </c>
    </row>
    <row r="12862" spans="1:7">
      <c r="A12862" t="s">
        <v>1297</v>
      </c>
      <c r="B12862" t="s">
        <v>1298</v>
      </c>
      <c r="C12862" t="s">
        <v>289</v>
      </c>
      <c r="D12862" t="s">
        <v>1430</v>
      </c>
      <c r="E12862" t="s">
        <v>187</v>
      </c>
      <c r="F12862">
        <v>2010</v>
      </c>
      <c r="G12862">
        <v>32.021735999999997</v>
      </c>
    </row>
    <row r="12863" spans="1:7">
      <c r="A12863" t="s">
        <v>1297</v>
      </c>
      <c r="B12863" t="s">
        <v>1298</v>
      </c>
      <c r="C12863" t="s">
        <v>673</v>
      </c>
      <c r="D12863" t="s">
        <v>1430</v>
      </c>
      <c r="E12863" t="s">
        <v>187</v>
      </c>
      <c r="F12863">
        <v>2005</v>
      </c>
      <c r="G12863">
        <v>247.58517499999999</v>
      </c>
    </row>
    <row r="12864" spans="1:7">
      <c r="A12864" t="s">
        <v>1297</v>
      </c>
      <c r="B12864" t="s">
        <v>1298</v>
      </c>
      <c r="C12864" t="s">
        <v>673</v>
      </c>
      <c r="D12864" t="s">
        <v>1430</v>
      </c>
      <c r="E12864" t="s">
        <v>187</v>
      </c>
      <c r="F12864">
        <v>2010</v>
      </c>
      <c r="G12864">
        <v>175.268854</v>
      </c>
    </row>
    <row r="12865" spans="1:7">
      <c r="A12865" t="s">
        <v>1297</v>
      </c>
      <c r="B12865" t="s">
        <v>1298</v>
      </c>
      <c r="C12865" t="s">
        <v>673</v>
      </c>
      <c r="D12865" t="s">
        <v>1430</v>
      </c>
      <c r="E12865" t="s">
        <v>187</v>
      </c>
      <c r="F12865">
        <v>2012</v>
      </c>
      <c r="G12865">
        <v>162.90041600000001</v>
      </c>
    </row>
    <row r="12866" spans="1:7">
      <c r="A12866" t="s">
        <v>1297</v>
      </c>
      <c r="B12866" t="s">
        <v>1298</v>
      </c>
      <c r="C12866" t="s">
        <v>289</v>
      </c>
      <c r="D12866" t="s">
        <v>1430</v>
      </c>
      <c r="E12866" t="s">
        <v>187</v>
      </c>
      <c r="F12866">
        <v>2012</v>
      </c>
      <c r="G12866">
        <v>26.436135</v>
      </c>
    </row>
    <row r="12867" spans="1:7">
      <c r="A12867" t="s">
        <v>1297</v>
      </c>
      <c r="B12867" t="s">
        <v>1298</v>
      </c>
      <c r="C12867" t="s">
        <v>289</v>
      </c>
      <c r="D12867" t="s">
        <v>1430</v>
      </c>
      <c r="E12867" t="s">
        <v>187</v>
      </c>
      <c r="F12867">
        <v>2016</v>
      </c>
      <c r="G12867">
        <v>31.930357999999998</v>
      </c>
    </row>
    <row r="12868" spans="1:7">
      <c r="A12868" t="s">
        <v>1297</v>
      </c>
      <c r="B12868" t="s">
        <v>1298</v>
      </c>
      <c r="C12868" t="s">
        <v>289</v>
      </c>
      <c r="D12868" t="s">
        <v>1430</v>
      </c>
      <c r="E12868" t="s">
        <v>187</v>
      </c>
      <c r="F12868">
        <v>2020</v>
      </c>
      <c r="G12868">
        <v>31.070446</v>
      </c>
    </row>
    <row r="12869" spans="1:7">
      <c r="A12869" t="s">
        <v>1297</v>
      </c>
      <c r="B12869" t="s">
        <v>1298</v>
      </c>
      <c r="C12869" t="s">
        <v>673</v>
      </c>
      <c r="D12869" t="s">
        <v>1430</v>
      </c>
      <c r="E12869" t="s">
        <v>187</v>
      </c>
      <c r="F12869">
        <v>2016</v>
      </c>
      <c r="G12869">
        <v>156.34190599999999</v>
      </c>
    </row>
    <row r="12870" spans="1:7">
      <c r="A12870" t="s">
        <v>1297</v>
      </c>
      <c r="B12870" t="s">
        <v>1298</v>
      </c>
      <c r="C12870" t="s">
        <v>673</v>
      </c>
      <c r="D12870" t="s">
        <v>1430</v>
      </c>
      <c r="E12870" t="s">
        <v>187</v>
      </c>
      <c r="F12870">
        <v>2020</v>
      </c>
      <c r="G12870">
        <v>147.434685</v>
      </c>
    </row>
    <row r="12871" spans="1:7">
      <c r="A12871" t="s">
        <v>1297</v>
      </c>
      <c r="B12871" t="s">
        <v>1298</v>
      </c>
      <c r="C12871" t="s">
        <v>665</v>
      </c>
      <c r="D12871" t="s">
        <v>1430</v>
      </c>
      <c r="E12871" t="s">
        <v>187</v>
      </c>
      <c r="F12871">
        <v>2005</v>
      </c>
      <c r="G12871">
        <v>262.111831</v>
      </c>
    </row>
    <row r="12872" spans="1:7">
      <c r="A12872" t="s">
        <v>1297</v>
      </c>
      <c r="B12872" t="s">
        <v>1298</v>
      </c>
      <c r="C12872" t="s">
        <v>665</v>
      </c>
      <c r="D12872" t="s">
        <v>1430</v>
      </c>
      <c r="E12872" t="s">
        <v>187</v>
      </c>
      <c r="F12872">
        <v>2010</v>
      </c>
      <c r="G12872">
        <v>232.79584199999999</v>
      </c>
    </row>
    <row r="12873" spans="1:7">
      <c r="A12873" t="s">
        <v>1297</v>
      </c>
      <c r="B12873" t="s">
        <v>1298</v>
      </c>
      <c r="C12873" t="s">
        <v>665</v>
      </c>
      <c r="D12873" t="s">
        <v>1430</v>
      </c>
      <c r="E12873" t="s">
        <v>187</v>
      </c>
      <c r="F12873">
        <v>2012</v>
      </c>
      <c r="G12873">
        <v>235.69048900000001</v>
      </c>
    </row>
    <row r="12874" spans="1:7">
      <c r="A12874" t="s">
        <v>1297</v>
      </c>
      <c r="B12874" t="s">
        <v>1298</v>
      </c>
      <c r="C12874" t="s">
        <v>665</v>
      </c>
      <c r="D12874" t="s">
        <v>1430</v>
      </c>
      <c r="E12874" t="s">
        <v>187</v>
      </c>
      <c r="F12874">
        <v>2016</v>
      </c>
      <c r="G12874">
        <v>168.677528</v>
      </c>
    </row>
    <row r="12875" spans="1:7">
      <c r="A12875" t="s">
        <v>1297</v>
      </c>
      <c r="B12875" t="s">
        <v>1298</v>
      </c>
      <c r="C12875" t="s">
        <v>665</v>
      </c>
      <c r="D12875" t="s">
        <v>1430</v>
      </c>
      <c r="E12875" t="s">
        <v>187</v>
      </c>
      <c r="F12875">
        <v>2020</v>
      </c>
      <c r="G12875">
        <v>197.116457</v>
      </c>
    </row>
    <row r="12876" spans="1:7">
      <c r="A12876" t="s">
        <v>1297</v>
      </c>
      <c r="B12876" t="s">
        <v>1298</v>
      </c>
      <c r="C12876" t="s">
        <v>656</v>
      </c>
      <c r="D12876" t="s">
        <v>1430</v>
      </c>
      <c r="E12876" t="s">
        <v>187</v>
      </c>
      <c r="F12876">
        <v>2005</v>
      </c>
      <c r="G12876">
        <v>213.632251</v>
      </c>
    </row>
    <row r="12877" spans="1:7">
      <c r="A12877" t="s">
        <v>1297</v>
      </c>
      <c r="B12877" t="s">
        <v>1298</v>
      </c>
      <c r="C12877" t="s">
        <v>656</v>
      </c>
      <c r="D12877" t="s">
        <v>1430</v>
      </c>
      <c r="E12877" t="s">
        <v>187</v>
      </c>
      <c r="F12877">
        <v>2010</v>
      </c>
      <c r="G12877">
        <v>153.73176599999999</v>
      </c>
    </row>
    <row r="12878" spans="1:7">
      <c r="A12878" t="s">
        <v>1297</v>
      </c>
      <c r="B12878" t="s">
        <v>1298</v>
      </c>
      <c r="C12878" t="s">
        <v>656</v>
      </c>
      <c r="D12878" t="s">
        <v>1430</v>
      </c>
      <c r="E12878" t="s">
        <v>187</v>
      </c>
      <c r="F12878">
        <v>2012</v>
      </c>
      <c r="G12878">
        <v>156.40318500000001</v>
      </c>
    </row>
    <row r="12879" spans="1:7">
      <c r="A12879" t="s">
        <v>1297</v>
      </c>
      <c r="B12879" t="s">
        <v>1298</v>
      </c>
      <c r="C12879" t="s">
        <v>656</v>
      </c>
      <c r="D12879" t="s">
        <v>1430</v>
      </c>
      <c r="E12879" t="s">
        <v>187</v>
      </c>
      <c r="F12879">
        <v>2016</v>
      </c>
      <c r="G12879">
        <v>150.60578899999999</v>
      </c>
    </row>
    <row r="12880" spans="1:7">
      <c r="A12880" t="s">
        <v>1297</v>
      </c>
      <c r="B12880" t="s">
        <v>1298</v>
      </c>
      <c r="C12880" t="s">
        <v>656</v>
      </c>
      <c r="D12880" t="s">
        <v>1430</v>
      </c>
      <c r="E12880" t="s">
        <v>187</v>
      </c>
      <c r="F12880">
        <v>2020</v>
      </c>
      <c r="G12880">
        <v>134.53244900000001</v>
      </c>
    </row>
    <row r="12881" spans="1:7">
      <c r="A12881" t="s">
        <v>1297</v>
      </c>
      <c r="B12881" t="s">
        <v>1298</v>
      </c>
      <c r="C12881" t="s">
        <v>676</v>
      </c>
      <c r="D12881" t="s">
        <v>1430</v>
      </c>
      <c r="E12881" t="s">
        <v>187</v>
      </c>
      <c r="F12881">
        <v>2005</v>
      </c>
      <c r="G12881">
        <v>1.4026000000000001</v>
      </c>
    </row>
    <row r="12882" spans="1:7">
      <c r="A12882" t="s">
        <v>1297</v>
      </c>
      <c r="B12882" t="s">
        <v>1298</v>
      </c>
      <c r="C12882" t="s">
        <v>676</v>
      </c>
      <c r="D12882" t="s">
        <v>1430</v>
      </c>
      <c r="E12882" t="s">
        <v>187</v>
      </c>
      <c r="F12882">
        <v>2010</v>
      </c>
      <c r="G12882">
        <v>0.64659999999999995</v>
      </c>
    </row>
    <row r="12883" spans="1:7">
      <c r="A12883" t="s">
        <v>1297</v>
      </c>
      <c r="B12883" t="s">
        <v>1298</v>
      </c>
      <c r="C12883" t="s">
        <v>676</v>
      </c>
      <c r="D12883" t="s">
        <v>1430</v>
      </c>
      <c r="E12883" t="s">
        <v>187</v>
      </c>
      <c r="F12883">
        <v>2012</v>
      </c>
      <c r="G12883">
        <v>0.60119999999999996</v>
      </c>
    </row>
    <row r="12884" spans="1:7">
      <c r="A12884" t="s">
        <v>1297</v>
      </c>
      <c r="B12884" t="s">
        <v>1298</v>
      </c>
      <c r="C12884" t="s">
        <v>676</v>
      </c>
      <c r="D12884" t="s">
        <v>1430</v>
      </c>
      <c r="E12884" t="s">
        <v>187</v>
      </c>
      <c r="F12884">
        <v>2016</v>
      </c>
      <c r="G12884">
        <v>0.43052000000000001</v>
      </c>
    </row>
    <row r="12885" spans="1:7">
      <c r="A12885" t="s">
        <v>1297</v>
      </c>
      <c r="B12885" t="s">
        <v>1298</v>
      </c>
      <c r="C12885" t="s">
        <v>676</v>
      </c>
      <c r="D12885" t="s">
        <v>1430</v>
      </c>
      <c r="E12885" t="s">
        <v>187</v>
      </c>
      <c r="F12885">
        <v>2020</v>
      </c>
      <c r="G12885">
        <v>0.25700000000000001</v>
      </c>
    </row>
    <row r="12886" spans="1:7">
      <c r="A12886" t="s">
        <v>1297</v>
      </c>
      <c r="B12886" t="s">
        <v>1298</v>
      </c>
      <c r="C12886" t="s">
        <v>677</v>
      </c>
      <c r="D12886" t="s">
        <v>1430</v>
      </c>
      <c r="E12886" t="s">
        <v>187</v>
      </c>
      <c r="F12886">
        <v>2005</v>
      </c>
      <c r="G12886">
        <v>3703.949889</v>
      </c>
    </row>
    <row r="12887" spans="1:7">
      <c r="A12887" t="s">
        <v>1297</v>
      </c>
      <c r="B12887" t="s">
        <v>1298</v>
      </c>
      <c r="C12887" t="s">
        <v>677</v>
      </c>
      <c r="D12887" t="s">
        <v>1430</v>
      </c>
      <c r="E12887" t="s">
        <v>187</v>
      </c>
      <c r="F12887">
        <v>2010</v>
      </c>
      <c r="G12887">
        <v>2740.245257</v>
      </c>
    </row>
    <row r="12888" spans="1:7">
      <c r="A12888" t="s">
        <v>1297</v>
      </c>
      <c r="B12888" t="s">
        <v>1298</v>
      </c>
      <c r="C12888" t="s">
        <v>677</v>
      </c>
      <c r="D12888" t="s">
        <v>1430</v>
      </c>
      <c r="E12888" t="s">
        <v>187</v>
      </c>
      <c r="F12888">
        <v>2012</v>
      </c>
      <c r="G12888">
        <v>1937.4822959999999</v>
      </c>
    </row>
    <row r="12889" spans="1:7">
      <c r="A12889" t="s">
        <v>1297</v>
      </c>
      <c r="B12889" t="s">
        <v>1298</v>
      </c>
      <c r="C12889" t="s">
        <v>677</v>
      </c>
      <c r="D12889" t="s">
        <v>1430</v>
      </c>
      <c r="E12889" t="s">
        <v>187</v>
      </c>
      <c r="F12889">
        <v>2016</v>
      </c>
      <c r="G12889">
        <v>2063.7782109999998</v>
      </c>
    </row>
    <row r="12890" spans="1:7">
      <c r="A12890" t="s">
        <v>1297</v>
      </c>
      <c r="B12890" t="s">
        <v>1298</v>
      </c>
      <c r="C12890" t="s">
        <v>677</v>
      </c>
      <c r="D12890" t="s">
        <v>1430</v>
      </c>
      <c r="E12890" t="s">
        <v>187</v>
      </c>
      <c r="F12890">
        <v>2020</v>
      </c>
      <c r="G12890">
        <v>2253.3228989999998</v>
      </c>
    </row>
    <row r="12891" spans="1:7">
      <c r="A12891" t="s">
        <v>1297</v>
      </c>
      <c r="B12891" t="s">
        <v>1298</v>
      </c>
      <c r="C12891" t="s">
        <v>661</v>
      </c>
      <c r="D12891" t="s">
        <v>1430</v>
      </c>
      <c r="E12891" t="s">
        <v>187</v>
      </c>
      <c r="F12891">
        <v>2005</v>
      </c>
      <c r="G12891">
        <v>57.803131</v>
      </c>
    </row>
    <row r="12892" spans="1:7">
      <c r="A12892" t="s">
        <v>1297</v>
      </c>
      <c r="B12892" t="s">
        <v>1298</v>
      </c>
      <c r="C12892" t="s">
        <v>661</v>
      </c>
      <c r="D12892" t="s">
        <v>1430</v>
      </c>
      <c r="E12892" t="s">
        <v>187</v>
      </c>
      <c r="F12892">
        <v>2010</v>
      </c>
      <c r="G12892">
        <v>45.679358000000001</v>
      </c>
    </row>
    <row r="12893" spans="1:7">
      <c r="A12893" t="s">
        <v>1297</v>
      </c>
      <c r="B12893" t="s">
        <v>1298</v>
      </c>
      <c r="C12893" t="s">
        <v>663</v>
      </c>
      <c r="D12893" t="s">
        <v>1430</v>
      </c>
      <c r="E12893" t="s">
        <v>187</v>
      </c>
      <c r="F12893">
        <v>2005</v>
      </c>
      <c r="G12893">
        <v>58.998399999999997</v>
      </c>
    </row>
    <row r="12894" spans="1:7">
      <c r="A12894" t="s">
        <v>1297</v>
      </c>
      <c r="B12894" t="s">
        <v>1298</v>
      </c>
      <c r="C12894" t="s">
        <v>663</v>
      </c>
      <c r="D12894" t="s">
        <v>1430</v>
      </c>
      <c r="E12894" t="s">
        <v>187</v>
      </c>
      <c r="F12894">
        <v>2010</v>
      </c>
      <c r="G12894">
        <v>45.3872</v>
      </c>
    </row>
    <row r="12895" spans="1:7">
      <c r="A12895" t="s">
        <v>1297</v>
      </c>
      <c r="B12895" t="s">
        <v>1298</v>
      </c>
      <c r="C12895" t="s">
        <v>663</v>
      </c>
      <c r="D12895" t="s">
        <v>1430</v>
      </c>
      <c r="E12895" t="s">
        <v>187</v>
      </c>
      <c r="F12895">
        <v>2012</v>
      </c>
      <c r="G12895">
        <v>43.135199999999998</v>
      </c>
    </row>
    <row r="12896" spans="1:7">
      <c r="A12896" t="s">
        <v>1297</v>
      </c>
      <c r="B12896" t="s">
        <v>1298</v>
      </c>
      <c r="C12896" t="s">
        <v>663</v>
      </c>
      <c r="D12896" t="s">
        <v>1430</v>
      </c>
      <c r="E12896" t="s">
        <v>187</v>
      </c>
      <c r="F12896">
        <v>2016</v>
      </c>
      <c r="G12896">
        <v>41.526800000000001</v>
      </c>
    </row>
    <row r="12897" spans="1:7">
      <c r="A12897" t="s">
        <v>1297</v>
      </c>
      <c r="B12897" t="s">
        <v>1298</v>
      </c>
      <c r="C12897" t="s">
        <v>657</v>
      </c>
      <c r="D12897" t="s">
        <v>1430</v>
      </c>
      <c r="E12897" t="s">
        <v>187</v>
      </c>
      <c r="F12897">
        <v>2010</v>
      </c>
      <c r="G12897">
        <v>522.75099999999998</v>
      </c>
    </row>
    <row r="12898" spans="1:7">
      <c r="A12898" t="s">
        <v>1297</v>
      </c>
      <c r="B12898" t="s">
        <v>1298</v>
      </c>
      <c r="C12898" t="s">
        <v>657</v>
      </c>
      <c r="D12898" t="s">
        <v>1430</v>
      </c>
      <c r="E12898" t="s">
        <v>187</v>
      </c>
      <c r="F12898">
        <v>2012</v>
      </c>
      <c r="G12898">
        <v>429.14</v>
      </c>
    </row>
    <row r="12899" spans="1:7">
      <c r="A12899" t="s">
        <v>1297</v>
      </c>
      <c r="B12899" t="s">
        <v>1298</v>
      </c>
      <c r="C12899" t="s">
        <v>657</v>
      </c>
      <c r="D12899" t="s">
        <v>1430</v>
      </c>
      <c r="E12899" t="s">
        <v>187</v>
      </c>
      <c r="F12899">
        <v>2016</v>
      </c>
      <c r="G12899">
        <v>297.74808200000001</v>
      </c>
    </row>
    <row r="12900" spans="1:7">
      <c r="A12900" t="s">
        <v>1297</v>
      </c>
      <c r="B12900" t="s">
        <v>1298</v>
      </c>
      <c r="C12900" t="s">
        <v>657</v>
      </c>
      <c r="D12900" t="s">
        <v>1430</v>
      </c>
      <c r="E12900" t="s">
        <v>187</v>
      </c>
      <c r="F12900">
        <v>2020</v>
      </c>
      <c r="G12900">
        <v>215.741062</v>
      </c>
    </row>
    <row r="12901" spans="1:7">
      <c r="A12901" t="s">
        <v>1297</v>
      </c>
      <c r="B12901" t="s">
        <v>1298</v>
      </c>
      <c r="C12901" t="s">
        <v>681</v>
      </c>
      <c r="D12901" t="s">
        <v>1430</v>
      </c>
      <c r="E12901" t="s">
        <v>187</v>
      </c>
      <c r="F12901">
        <v>2005</v>
      </c>
      <c r="G12901">
        <v>17.500824000000001</v>
      </c>
    </row>
    <row r="12902" spans="1:7">
      <c r="A12902" t="s">
        <v>1297</v>
      </c>
      <c r="B12902" t="s">
        <v>1298</v>
      </c>
      <c r="C12902" t="s">
        <v>681</v>
      </c>
      <c r="D12902" t="s">
        <v>1430</v>
      </c>
      <c r="E12902" t="s">
        <v>187</v>
      </c>
      <c r="F12902">
        <v>2010</v>
      </c>
      <c r="G12902">
        <v>31.149792000000001</v>
      </c>
    </row>
    <row r="12903" spans="1:7">
      <c r="A12903" t="s">
        <v>1297</v>
      </c>
      <c r="B12903" t="s">
        <v>1298</v>
      </c>
      <c r="C12903" t="s">
        <v>681</v>
      </c>
      <c r="D12903" t="s">
        <v>1430</v>
      </c>
      <c r="E12903" t="s">
        <v>187</v>
      </c>
      <c r="F12903">
        <v>2012</v>
      </c>
      <c r="G12903">
        <v>43.165908000000002</v>
      </c>
    </row>
    <row r="12904" spans="1:7">
      <c r="A12904" t="s">
        <v>1297</v>
      </c>
      <c r="B12904" t="s">
        <v>1298</v>
      </c>
      <c r="C12904" t="s">
        <v>681</v>
      </c>
      <c r="D12904" t="s">
        <v>1430</v>
      </c>
      <c r="E12904" t="s">
        <v>187</v>
      </c>
      <c r="F12904">
        <v>2016</v>
      </c>
      <c r="G12904">
        <v>44.212608000000003</v>
      </c>
    </row>
    <row r="12905" spans="1:7">
      <c r="A12905" t="s">
        <v>1297</v>
      </c>
      <c r="B12905" t="s">
        <v>1298</v>
      </c>
      <c r="C12905" t="s">
        <v>681</v>
      </c>
      <c r="D12905" t="s">
        <v>1430</v>
      </c>
      <c r="E12905" t="s">
        <v>187</v>
      </c>
      <c r="F12905">
        <v>2020</v>
      </c>
      <c r="G12905">
        <v>42.081023999999999</v>
      </c>
    </row>
    <row r="12906" spans="1:7">
      <c r="A12906" t="s">
        <v>1297</v>
      </c>
      <c r="B12906" t="s">
        <v>1298</v>
      </c>
      <c r="C12906" t="s">
        <v>1299</v>
      </c>
      <c r="D12906" t="s">
        <v>1430</v>
      </c>
      <c r="E12906" t="s">
        <v>187</v>
      </c>
      <c r="F12906">
        <v>2005</v>
      </c>
      <c r="G12906">
        <v>183.882091</v>
      </c>
    </row>
    <row r="12907" spans="1:7">
      <c r="A12907" t="s">
        <v>1297</v>
      </c>
      <c r="B12907" t="s">
        <v>1298</v>
      </c>
      <c r="C12907" t="s">
        <v>1299</v>
      </c>
      <c r="D12907" t="s">
        <v>1430</v>
      </c>
      <c r="E12907" t="s">
        <v>187</v>
      </c>
      <c r="F12907">
        <v>2010</v>
      </c>
      <c r="G12907">
        <v>150.30106000000001</v>
      </c>
    </row>
    <row r="12908" spans="1:7">
      <c r="A12908" t="s">
        <v>1297</v>
      </c>
      <c r="B12908" t="s">
        <v>1298</v>
      </c>
      <c r="C12908" t="s">
        <v>1299</v>
      </c>
      <c r="D12908" t="s">
        <v>1430</v>
      </c>
      <c r="E12908" t="s">
        <v>187</v>
      </c>
      <c r="F12908">
        <v>2012</v>
      </c>
      <c r="G12908">
        <v>143.92081999999999</v>
      </c>
    </row>
    <row r="12909" spans="1:7">
      <c r="A12909" t="s">
        <v>1297</v>
      </c>
      <c r="B12909" t="s">
        <v>1298</v>
      </c>
      <c r="C12909" t="s">
        <v>1299</v>
      </c>
      <c r="D12909" t="s">
        <v>1430</v>
      </c>
      <c r="E12909" t="s">
        <v>187</v>
      </c>
      <c r="F12909">
        <v>2016</v>
      </c>
      <c r="G12909">
        <v>96.453567000000007</v>
      </c>
    </row>
    <row r="12910" spans="1:7">
      <c r="A12910" t="s">
        <v>1297</v>
      </c>
      <c r="B12910" t="s">
        <v>1298</v>
      </c>
      <c r="C12910" t="s">
        <v>1299</v>
      </c>
      <c r="D12910" t="s">
        <v>1430</v>
      </c>
      <c r="E12910" t="s">
        <v>187</v>
      </c>
      <c r="F12910">
        <v>2020</v>
      </c>
      <c r="G12910">
        <v>103.75318900000001</v>
      </c>
    </row>
    <row r="12911" spans="1:7">
      <c r="A12911" t="s">
        <v>1297</v>
      </c>
      <c r="B12911" t="s">
        <v>1298</v>
      </c>
      <c r="C12911" t="s">
        <v>659</v>
      </c>
      <c r="D12911" t="s">
        <v>1430</v>
      </c>
      <c r="E12911" t="s">
        <v>187</v>
      </c>
      <c r="F12911">
        <v>2005</v>
      </c>
      <c r="G12911">
        <v>7.0217999999999998</v>
      </c>
    </row>
    <row r="12912" spans="1:7">
      <c r="A12912" t="s">
        <v>1297</v>
      </c>
      <c r="B12912" t="s">
        <v>1298</v>
      </c>
      <c r="C12912" t="s">
        <v>659</v>
      </c>
      <c r="D12912" t="s">
        <v>1430</v>
      </c>
      <c r="E12912" t="s">
        <v>187</v>
      </c>
      <c r="F12912">
        <v>2010</v>
      </c>
      <c r="G12912">
        <v>5.2028999999999996</v>
      </c>
    </row>
    <row r="12913" spans="1:7">
      <c r="A12913" t="s">
        <v>1297</v>
      </c>
      <c r="B12913" t="s">
        <v>1298</v>
      </c>
      <c r="C12913" t="s">
        <v>659</v>
      </c>
      <c r="D12913" t="s">
        <v>1430</v>
      </c>
      <c r="E12913" t="s">
        <v>187</v>
      </c>
      <c r="F12913">
        <v>2012</v>
      </c>
      <c r="G12913">
        <v>6.0065999999999997</v>
      </c>
    </row>
    <row r="12914" spans="1:7">
      <c r="A12914" t="s">
        <v>1297</v>
      </c>
      <c r="B12914" t="s">
        <v>1298</v>
      </c>
      <c r="C12914" t="s">
        <v>659</v>
      </c>
      <c r="D12914" t="s">
        <v>1430</v>
      </c>
      <c r="E12914" t="s">
        <v>187</v>
      </c>
      <c r="F12914">
        <v>2016</v>
      </c>
      <c r="G12914">
        <v>5.9642999999999997</v>
      </c>
    </row>
    <row r="12915" spans="1:7">
      <c r="A12915" t="s">
        <v>1297</v>
      </c>
      <c r="B12915" t="s">
        <v>1298</v>
      </c>
      <c r="C12915" t="s">
        <v>659</v>
      </c>
      <c r="D12915" t="s">
        <v>1430</v>
      </c>
      <c r="E12915" t="s">
        <v>187</v>
      </c>
      <c r="F12915">
        <v>2020</v>
      </c>
      <c r="G12915">
        <v>1.6919999999999999</v>
      </c>
    </row>
    <row r="12916" spans="1:7">
      <c r="A12916" t="s">
        <v>1297</v>
      </c>
      <c r="B12916" t="s">
        <v>1298</v>
      </c>
      <c r="C12916" t="s">
        <v>1301</v>
      </c>
      <c r="D12916" t="s">
        <v>1430</v>
      </c>
      <c r="E12916" t="s">
        <v>187</v>
      </c>
      <c r="F12916">
        <v>2005</v>
      </c>
      <c r="G12916">
        <v>93.413460000000001</v>
      </c>
    </row>
    <row r="12917" spans="1:7">
      <c r="A12917" t="s">
        <v>1297</v>
      </c>
      <c r="B12917" t="s">
        <v>1298</v>
      </c>
      <c r="C12917" t="s">
        <v>1301</v>
      </c>
      <c r="D12917" t="s">
        <v>1430</v>
      </c>
      <c r="E12917" t="s">
        <v>187</v>
      </c>
      <c r="F12917">
        <v>2010</v>
      </c>
      <c r="G12917">
        <v>103.75596</v>
      </c>
    </row>
    <row r="12918" spans="1:7">
      <c r="A12918" t="s">
        <v>1297</v>
      </c>
      <c r="B12918" t="s">
        <v>1298</v>
      </c>
      <c r="C12918" t="s">
        <v>1301</v>
      </c>
      <c r="D12918" t="s">
        <v>1430</v>
      </c>
      <c r="E12918" t="s">
        <v>187</v>
      </c>
      <c r="F12918">
        <v>2012</v>
      </c>
      <c r="G12918">
        <v>96.723060000000004</v>
      </c>
    </row>
    <row r="12919" spans="1:7">
      <c r="A12919" t="s">
        <v>1297</v>
      </c>
      <c r="B12919" t="s">
        <v>1298</v>
      </c>
      <c r="C12919" t="s">
        <v>1301</v>
      </c>
      <c r="D12919" t="s">
        <v>1430</v>
      </c>
      <c r="E12919" t="s">
        <v>187</v>
      </c>
      <c r="F12919">
        <v>2016</v>
      </c>
      <c r="G12919">
        <v>113.90671</v>
      </c>
    </row>
    <row r="12920" spans="1:7">
      <c r="A12920" t="s">
        <v>1297</v>
      </c>
      <c r="B12920" t="s">
        <v>1298</v>
      </c>
      <c r="C12920" t="s">
        <v>1301</v>
      </c>
      <c r="D12920" t="s">
        <v>1430</v>
      </c>
      <c r="E12920" t="s">
        <v>187</v>
      </c>
      <c r="F12920">
        <v>2020</v>
      </c>
      <c r="G12920">
        <v>129.89099999999999</v>
      </c>
    </row>
    <row r="12921" spans="1:7">
      <c r="A12921" t="s">
        <v>1297</v>
      </c>
      <c r="B12921" t="s">
        <v>1298</v>
      </c>
      <c r="C12921" t="s">
        <v>1303</v>
      </c>
      <c r="D12921" t="s">
        <v>1430</v>
      </c>
      <c r="E12921" t="s">
        <v>187</v>
      </c>
      <c r="F12921">
        <v>2016</v>
      </c>
      <c r="G12921">
        <v>1.6575</v>
      </c>
    </row>
    <row r="12922" spans="1:7">
      <c r="A12922" t="s">
        <v>1297</v>
      </c>
      <c r="B12922" t="s">
        <v>1298</v>
      </c>
      <c r="C12922" t="s">
        <v>1303</v>
      </c>
      <c r="D12922" t="s">
        <v>1430</v>
      </c>
      <c r="E12922" t="s">
        <v>187</v>
      </c>
      <c r="F12922">
        <v>2020</v>
      </c>
      <c r="G12922">
        <v>1.490475</v>
      </c>
    </row>
    <row r="12923" spans="1:7">
      <c r="A12923" t="s">
        <v>1297</v>
      </c>
      <c r="B12923" t="s">
        <v>1298</v>
      </c>
      <c r="C12923" t="s">
        <v>662</v>
      </c>
      <c r="D12923" t="s">
        <v>1430</v>
      </c>
      <c r="E12923" t="s">
        <v>187</v>
      </c>
      <c r="F12923">
        <v>2005</v>
      </c>
      <c r="G12923">
        <v>3.853167</v>
      </c>
    </row>
    <row r="12924" spans="1:7">
      <c r="A12924" t="s">
        <v>1297</v>
      </c>
      <c r="B12924" t="s">
        <v>1298</v>
      </c>
      <c r="C12924" t="s">
        <v>662</v>
      </c>
      <c r="D12924" t="s">
        <v>1430</v>
      </c>
      <c r="E12924" t="s">
        <v>187</v>
      </c>
      <c r="F12924">
        <v>2010</v>
      </c>
      <c r="G12924">
        <v>4.3881699999999997</v>
      </c>
    </row>
    <row r="12925" spans="1:7">
      <c r="A12925" t="s">
        <v>1297</v>
      </c>
      <c r="B12925" t="s">
        <v>1298</v>
      </c>
      <c r="C12925" t="s">
        <v>662</v>
      </c>
      <c r="D12925" t="s">
        <v>1430</v>
      </c>
      <c r="E12925" t="s">
        <v>187</v>
      </c>
      <c r="F12925">
        <v>2012</v>
      </c>
      <c r="G12925">
        <v>3.5868519999999999</v>
      </c>
    </row>
    <row r="12926" spans="1:7">
      <c r="A12926" t="s">
        <v>1297</v>
      </c>
      <c r="B12926" t="s">
        <v>1298</v>
      </c>
      <c r="C12926" t="s">
        <v>662</v>
      </c>
      <c r="D12926" t="s">
        <v>1430</v>
      </c>
      <c r="E12926" t="s">
        <v>187</v>
      </c>
      <c r="F12926">
        <v>2016</v>
      </c>
      <c r="G12926">
        <v>6.715808</v>
      </c>
    </row>
    <row r="12927" spans="1:7">
      <c r="A12927" t="s">
        <v>1297</v>
      </c>
      <c r="B12927" t="s">
        <v>1298</v>
      </c>
      <c r="C12927" t="s">
        <v>662</v>
      </c>
      <c r="D12927" t="s">
        <v>1430</v>
      </c>
      <c r="E12927" t="s">
        <v>187</v>
      </c>
      <c r="F12927">
        <v>2020</v>
      </c>
      <c r="G12927">
        <v>6.8839550000000003</v>
      </c>
    </row>
    <row r="12928" spans="1:7">
      <c r="A12928" t="s">
        <v>1297</v>
      </c>
      <c r="B12928" t="s">
        <v>1298</v>
      </c>
      <c r="C12928" t="s">
        <v>655</v>
      </c>
      <c r="D12928" t="s">
        <v>1430</v>
      </c>
      <c r="E12928" t="s">
        <v>187</v>
      </c>
      <c r="F12928">
        <v>2005</v>
      </c>
      <c r="G12928">
        <v>24.772179999999999</v>
      </c>
    </row>
    <row r="12929" spans="1:7">
      <c r="A12929" t="s">
        <v>1297</v>
      </c>
      <c r="B12929" t="s">
        <v>1298</v>
      </c>
      <c r="C12929" t="s">
        <v>655</v>
      </c>
      <c r="D12929" t="s">
        <v>1430</v>
      </c>
      <c r="E12929" t="s">
        <v>187</v>
      </c>
      <c r="F12929">
        <v>2010</v>
      </c>
      <c r="G12929">
        <v>11.2544</v>
      </c>
    </row>
    <row r="12930" spans="1:7">
      <c r="A12930" t="s">
        <v>1297</v>
      </c>
      <c r="B12930" t="s">
        <v>1298</v>
      </c>
      <c r="C12930" t="s">
        <v>655</v>
      </c>
      <c r="D12930" t="s">
        <v>1430</v>
      </c>
      <c r="E12930" t="s">
        <v>187</v>
      </c>
      <c r="F12930">
        <v>2012</v>
      </c>
      <c r="G12930">
        <v>13.1319</v>
      </c>
    </row>
    <row r="12931" spans="1:7">
      <c r="A12931" t="s">
        <v>1297</v>
      </c>
      <c r="B12931" t="s">
        <v>1298</v>
      </c>
      <c r="C12931" t="s">
        <v>655</v>
      </c>
      <c r="D12931" t="s">
        <v>1430</v>
      </c>
      <c r="E12931" t="s">
        <v>187</v>
      </c>
      <c r="F12931">
        <v>2016</v>
      </c>
      <c r="G12931">
        <v>7.7257999999999996</v>
      </c>
    </row>
    <row r="12932" spans="1:7">
      <c r="A12932" t="s">
        <v>1297</v>
      </c>
      <c r="B12932" t="s">
        <v>1298</v>
      </c>
      <c r="C12932" t="s">
        <v>655</v>
      </c>
      <c r="D12932" t="s">
        <v>1430</v>
      </c>
      <c r="E12932" t="s">
        <v>187</v>
      </c>
      <c r="F12932">
        <v>2020</v>
      </c>
      <c r="G12932">
        <v>6.6814999999999998</v>
      </c>
    </row>
    <row r="12933" spans="1:7">
      <c r="A12933" t="s">
        <v>1297</v>
      </c>
      <c r="B12933" t="s">
        <v>1298</v>
      </c>
      <c r="C12933" t="s">
        <v>660</v>
      </c>
      <c r="D12933" t="s">
        <v>1430</v>
      </c>
      <c r="E12933" t="s">
        <v>187</v>
      </c>
      <c r="F12933">
        <v>2005</v>
      </c>
      <c r="G12933">
        <v>6.29</v>
      </c>
    </row>
    <row r="12934" spans="1:7">
      <c r="A12934" t="s">
        <v>1297</v>
      </c>
      <c r="B12934" t="s">
        <v>1298</v>
      </c>
      <c r="C12934" t="s">
        <v>660</v>
      </c>
      <c r="D12934" t="s">
        <v>1430</v>
      </c>
      <c r="E12934" t="s">
        <v>187</v>
      </c>
      <c r="F12934">
        <v>2010</v>
      </c>
      <c r="G12934">
        <v>2.8475000000000001</v>
      </c>
    </row>
    <row r="12935" spans="1:7">
      <c r="A12935" t="s">
        <v>1297</v>
      </c>
      <c r="B12935" t="s">
        <v>1298</v>
      </c>
      <c r="C12935" t="s">
        <v>660</v>
      </c>
      <c r="D12935" t="s">
        <v>1430</v>
      </c>
      <c r="E12935" t="s">
        <v>187</v>
      </c>
      <c r="F12935">
        <v>2012</v>
      </c>
      <c r="G12935">
        <v>2.9750000000000001</v>
      </c>
    </row>
    <row r="12936" spans="1:7">
      <c r="A12936" t="s">
        <v>1297</v>
      </c>
      <c r="B12936" t="s">
        <v>1298</v>
      </c>
      <c r="C12936" t="s">
        <v>670</v>
      </c>
      <c r="D12936" t="s">
        <v>1430</v>
      </c>
      <c r="E12936" t="s">
        <v>187</v>
      </c>
      <c r="F12936">
        <v>2005</v>
      </c>
      <c r="G12936">
        <v>106.6084</v>
      </c>
    </row>
    <row r="12937" spans="1:7">
      <c r="A12937" t="s">
        <v>1297</v>
      </c>
      <c r="B12937" t="s">
        <v>1298</v>
      </c>
      <c r="C12937" t="s">
        <v>670</v>
      </c>
      <c r="D12937" t="s">
        <v>1430</v>
      </c>
      <c r="E12937" t="s">
        <v>187</v>
      </c>
      <c r="F12937">
        <v>2010</v>
      </c>
      <c r="G12937">
        <v>68.501999999999995</v>
      </c>
    </row>
    <row r="12938" spans="1:7">
      <c r="A12938" t="s">
        <v>1297</v>
      </c>
      <c r="B12938" t="s">
        <v>1298</v>
      </c>
      <c r="C12938" t="s">
        <v>670</v>
      </c>
      <c r="D12938" t="s">
        <v>1430</v>
      </c>
      <c r="E12938" t="s">
        <v>187</v>
      </c>
      <c r="F12938">
        <v>2012</v>
      </c>
      <c r="G12938">
        <v>70.803700000000006</v>
      </c>
    </row>
    <row r="12939" spans="1:7">
      <c r="A12939" t="s">
        <v>1297</v>
      </c>
      <c r="B12939" t="s">
        <v>1298</v>
      </c>
      <c r="C12939" t="s">
        <v>670</v>
      </c>
      <c r="D12939" t="s">
        <v>1430</v>
      </c>
      <c r="E12939" t="s">
        <v>187</v>
      </c>
      <c r="F12939">
        <v>2016</v>
      </c>
      <c r="G12939">
        <v>67.787165999999999</v>
      </c>
    </row>
    <row r="12940" spans="1:7">
      <c r="A12940" t="s">
        <v>1297</v>
      </c>
      <c r="B12940" t="s">
        <v>1298</v>
      </c>
      <c r="C12940" t="s">
        <v>670</v>
      </c>
      <c r="D12940" t="s">
        <v>1430</v>
      </c>
      <c r="E12940" t="s">
        <v>187</v>
      </c>
      <c r="F12940">
        <v>2020</v>
      </c>
      <c r="G12940">
        <v>47.965676999999999</v>
      </c>
    </row>
    <row r="12941" spans="1:7">
      <c r="A12941" t="s">
        <v>1297</v>
      </c>
      <c r="B12941" t="s">
        <v>1298</v>
      </c>
      <c r="C12941" t="s">
        <v>653</v>
      </c>
      <c r="D12941" t="s">
        <v>1430</v>
      </c>
      <c r="E12941" t="s">
        <v>187</v>
      </c>
      <c r="F12941">
        <v>2005</v>
      </c>
      <c r="G12941">
        <v>1.2761400000000001</v>
      </c>
    </row>
    <row r="12942" spans="1:7">
      <c r="A12942" t="s">
        <v>1297</v>
      </c>
      <c r="B12942" t="s">
        <v>1298</v>
      </c>
      <c r="C12942" t="s">
        <v>653</v>
      </c>
      <c r="D12942" t="s">
        <v>1430</v>
      </c>
      <c r="E12942" t="s">
        <v>187</v>
      </c>
      <c r="F12942">
        <v>2010</v>
      </c>
      <c r="G12942">
        <v>0.97837399999999997</v>
      </c>
    </row>
    <row r="12943" spans="1:7">
      <c r="A12943" t="s">
        <v>1297</v>
      </c>
      <c r="B12943" t="s">
        <v>1298</v>
      </c>
      <c r="C12943" t="s">
        <v>653</v>
      </c>
      <c r="D12943" t="s">
        <v>1430</v>
      </c>
      <c r="E12943" t="s">
        <v>187</v>
      </c>
      <c r="F12943">
        <v>2012</v>
      </c>
      <c r="G12943">
        <v>1.020912</v>
      </c>
    </row>
    <row r="12944" spans="1:7">
      <c r="A12944" t="s">
        <v>1297</v>
      </c>
      <c r="B12944" t="s">
        <v>1298</v>
      </c>
      <c r="C12944" t="s">
        <v>653</v>
      </c>
      <c r="D12944" t="s">
        <v>1430</v>
      </c>
      <c r="E12944" t="s">
        <v>187</v>
      </c>
      <c r="F12944">
        <v>2016</v>
      </c>
      <c r="G12944">
        <v>1.020912</v>
      </c>
    </row>
    <row r="12945" spans="1:7">
      <c r="A12945" t="s">
        <v>1297</v>
      </c>
      <c r="B12945" t="s">
        <v>1298</v>
      </c>
      <c r="C12945" t="s">
        <v>661</v>
      </c>
      <c r="D12945" t="s">
        <v>1430</v>
      </c>
      <c r="E12945" t="s">
        <v>187</v>
      </c>
      <c r="F12945">
        <v>2012</v>
      </c>
      <c r="G12945">
        <v>40.381068999999997</v>
      </c>
    </row>
    <row r="12946" spans="1:7">
      <c r="A12946" t="s">
        <v>1297</v>
      </c>
      <c r="B12946" t="s">
        <v>1298</v>
      </c>
      <c r="C12946" t="s">
        <v>661</v>
      </c>
      <c r="D12946" t="s">
        <v>1430</v>
      </c>
      <c r="E12946" t="s">
        <v>187</v>
      </c>
      <c r="F12946">
        <v>2016</v>
      </c>
      <c r="G12946">
        <v>39.312932000000004</v>
      </c>
    </row>
    <row r="12947" spans="1:7">
      <c r="A12947" t="s">
        <v>1297</v>
      </c>
      <c r="B12947" t="s">
        <v>1298</v>
      </c>
      <c r="C12947" t="s">
        <v>661</v>
      </c>
      <c r="D12947" t="s">
        <v>1430</v>
      </c>
      <c r="E12947" t="s">
        <v>187</v>
      </c>
      <c r="F12947">
        <v>2020</v>
      </c>
      <c r="G12947">
        <v>37.035894999999996</v>
      </c>
    </row>
    <row r="12948" spans="1:7">
      <c r="A12948" t="s">
        <v>1297</v>
      </c>
      <c r="B12948" t="s">
        <v>1298</v>
      </c>
      <c r="C12948" t="s">
        <v>686</v>
      </c>
      <c r="D12948" t="s">
        <v>1430</v>
      </c>
      <c r="E12948" t="s">
        <v>187</v>
      </c>
      <c r="F12948">
        <v>2005</v>
      </c>
      <c r="G12948">
        <v>27.742802999999999</v>
      </c>
    </row>
    <row r="12949" spans="1:7">
      <c r="A12949" t="s">
        <v>1297</v>
      </c>
      <c r="B12949" t="s">
        <v>1298</v>
      </c>
      <c r="C12949" t="s">
        <v>686</v>
      </c>
      <c r="D12949" t="s">
        <v>1430</v>
      </c>
      <c r="E12949" t="s">
        <v>187</v>
      </c>
      <c r="F12949">
        <v>2010</v>
      </c>
      <c r="G12949">
        <v>39.372421000000003</v>
      </c>
    </row>
    <row r="12950" spans="1:7">
      <c r="A12950" t="s">
        <v>1297</v>
      </c>
      <c r="B12950" t="s">
        <v>1298</v>
      </c>
      <c r="C12950" t="s">
        <v>686</v>
      </c>
      <c r="D12950" t="s">
        <v>1430</v>
      </c>
      <c r="E12950" t="s">
        <v>187</v>
      </c>
      <c r="F12950">
        <v>2012</v>
      </c>
      <c r="G12950">
        <v>51.457794999999997</v>
      </c>
    </row>
    <row r="12951" spans="1:7">
      <c r="A12951" t="s">
        <v>1297</v>
      </c>
      <c r="B12951" t="s">
        <v>1298</v>
      </c>
      <c r="C12951" t="s">
        <v>686</v>
      </c>
      <c r="D12951" t="s">
        <v>1430</v>
      </c>
      <c r="E12951" t="s">
        <v>187</v>
      </c>
      <c r="F12951">
        <v>2016</v>
      </c>
      <c r="G12951">
        <v>43.039727999999997</v>
      </c>
    </row>
    <row r="12952" spans="1:7">
      <c r="A12952" t="s">
        <v>1297</v>
      </c>
      <c r="B12952" t="s">
        <v>1298</v>
      </c>
      <c r="C12952" t="s">
        <v>686</v>
      </c>
      <c r="D12952" t="s">
        <v>1430</v>
      </c>
      <c r="E12952" t="s">
        <v>187</v>
      </c>
      <c r="F12952">
        <v>2020</v>
      </c>
      <c r="G12952">
        <v>39.413257000000002</v>
      </c>
    </row>
    <row r="12953" spans="1:7">
      <c r="A12953" t="s">
        <v>1297</v>
      </c>
      <c r="B12953" t="s">
        <v>1298</v>
      </c>
      <c r="C12953" t="s">
        <v>675</v>
      </c>
      <c r="D12953" t="s">
        <v>1430</v>
      </c>
      <c r="E12953" t="s">
        <v>187</v>
      </c>
      <c r="F12953">
        <v>2020</v>
      </c>
      <c r="G12953">
        <v>2.2199E-2</v>
      </c>
    </row>
    <row r="12954" spans="1:7">
      <c r="A12954" t="s">
        <v>1297</v>
      </c>
      <c r="B12954" t="s">
        <v>1298</v>
      </c>
      <c r="C12954" t="s">
        <v>657</v>
      </c>
      <c r="D12954" t="s">
        <v>1430</v>
      </c>
      <c r="E12954" t="s">
        <v>187</v>
      </c>
      <c r="F12954">
        <v>2005</v>
      </c>
      <c r="G12954">
        <v>796.23099999999999</v>
      </c>
    </row>
    <row r="12955" spans="1:7">
      <c r="A12955" t="s">
        <v>1297</v>
      </c>
      <c r="B12955" t="s">
        <v>1298</v>
      </c>
      <c r="C12955" t="s">
        <v>651</v>
      </c>
      <c r="D12955" t="s">
        <v>1430</v>
      </c>
      <c r="E12955" t="s">
        <v>187</v>
      </c>
      <c r="F12955">
        <v>2005</v>
      </c>
      <c r="G12955">
        <v>39.643405000000001</v>
      </c>
    </row>
    <row r="12956" spans="1:7">
      <c r="A12956" t="s">
        <v>1297</v>
      </c>
      <c r="B12956" t="s">
        <v>1298</v>
      </c>
      <c r="C12956" t="s">
        <v>651</v>
      </c>
      <c r="D12956" t="s">
        <v>1430</v>
      </c>
      <c r="E12956" t="s">
        <v>187</v>
      </c>
      <c r="F12956">
        <v>2010</v>
      </c>
      <c r="G12956">
        <v>44.072584999999997</v>
      </c>
    </row>
    <row r="12957" spans="1:7">
      <c r="A12957" t="s">
        <v>1297</v>
      </c>
      <c r="B12957" t="s">
        <v>1298</v>
      </c>
      <c r="C12957" t="s">
        <v>651</v>
      </c>
      <c r="D12957" t="s">
        <v>1430</v>
      </c>
      <c r="E12957" t="s">
        <v>187</v>
      </c>
      <c r="F12957">
        <v>2012</v>
      </c>
      <c r="G12957">
        <v>39.053378000000002</v>
      </c>
    </row>
    <row r="12958" spans="1:7">
      <c r="A12958" t="s">
        <v>1297</v>
      </c>
      <c r="B12958" t="s">
        <v>1298</v>
      </c>
      <c r="C12958" t="s">
        <v>651</v>
      </c>
      <c r="D12958" t="s">
        <v>1430</v>
      </c>
      <c r="E12958" t="s">
        <v>187</v>
      </c>
      <c r="F12958">
        <v>2016</v>
      </c>
      <c r="G12958">
        <v>33.660722999999997</v>
      </c>
    </row>
    <row r="12959" spans="1:7">
      <c r="A12959" t="s">
        <v>1297</v>
      </c>
      <c r="B12959" t="s">
        <v>1298</v>
      </c>
      <c r="C12959" t="s">
        <v>651</v>
      </c>
      <c r="D12959" t="s">
        <v>1430</v>
      </c>
      <c r="E12959" t="s">
        <v>187</v>
      </c>
      <c r="F12959">
        <v>2020</v>
      </c>
      <c r="G12959">
        <v>27.643232999999999</v>
      </c>
    </row>
    <row r="12960" spans="1:7">
      <c r="A12960" t="s">
        <v>1297</v>
      </c>
      <c r="B12960" t="s">
        <v>1298</v>
      </c>
      <c r="C12960" t="s">
        <v>671</v>
      </c>
      <c r="D12960" t="s">
        <v>1430</v>
      </c>
      <c r="E12960" t="s">
        <v>187</v>
      </c>
      <c r="F12960">
        <v>2005</v>
      </c>
      <c r="G12960">
        <v>37.463171000000003</v>
      </c>
    </row>
    <row r="12961" spans="1:7">
      <c r="A12961" t="s">
        <v>1297</v>
      </c>
      <c r="B12961" t="s">
        <v>1298</v>
      </c>
      <c r="C12961" t="s">
        <v>671</v>
      </c>
      <c r="D12961" t="s">
        <v>1430</v>
      </c>
      <c r="E12961" t="s">
        <v>187</v>
      </c>
      <c r="F12961">
        <v>2010</v>
      </c>
      <c r="G12961">
        <v>31.292345000000001</v>
      </c>
    </row>
    <row r="12962" spans="1:7">
      <c r="A12962" t="s">
        <v>1297</v>
      </c>
      <c r="B12962" t="s">
        <v>1298</v>
      </c>
      <c r="C12962" t="s">
        <v>671</v>
      </c>
      <c r="D12962" t="s">
        <v>1430</v>
      </c>
      <c r="E12962" t="s">
        <v>187</v>
      </c>
      <c r="F12962">
        <v>2012</v>
      </c>
      <c r="G12962">
        <v>29.357368999999998</v>
      </c>
    </row>
    <row r="12963" spans="1:7">
      <c r="A12963" t="s">
        <v>1297</v>
      </c>
      <c r="B12963" t="s">
        <v>1298</v>
      </c>
      <c r="C12963" t="s">
        <v>671</v>
      </c>
      <c r="D12963" t="s">
        <v>1430</v>
      </c>
      <c r="E12963" t="s">
        <v>187</v>
      </c>
      <c r="F12963">
        <v>2016</v>
      </c>
      <c r="G12963">
        <v>42.984589999999997</v>
      </c>
    </row>
    <row r="12964" spans="1:7">
      <c r="A12964" t="s">
        <v>1297</v>
      </c>
      <c r="B12964" t="s">
        <v>1298</v>
      </c>
      <c r="C12964" t="s">
        <v>671</v>
      </c>
      <c r="D12964" t="s">
        <v>1430</v>
      </c>
      <c r="E12964" t="s">
        <v>187</v>
      </c>
      <c r="F12964">
        <v>2020</v>
      </c>
      <c r="G12964">
        <v>42.225585000000002</v>
      </c>
    </row>
    <row r="12965" spans="1:7">
      <c r="A12965" t="s">
        <v>1297</v>
      </c>
      <c r="B12965" t="s">
        <v>1298</v>
      </c>
      <c r="C12965" t="s">
        <v>679</v>
      </c>
      <c r="D12965" t="s">
        <v>1430</v>
      </c>
      <c r="E12965" t="s">
        <v>187</v>
      </c>
      <c r="F12965">
        <v>2005</v>
      </c>
      <c r="G12965">
        <v>5955.7133800000001</v>
      </c>
    </row>
    <row r="12966" spans="1:7">
      <c r="A12966" t="s">
        <v>1297</v>
      </c>
      <c r="B12966" t="s">
        <v>1298</v>
      </c>
      <c r="C12966" t="s">
        <v>679</v>
      </c>
      <c r="D12966" t="s">
        <v>1430</v>
      </c>
      <c r="E12966" t="s">
        <v>187</v>
      </c>
      <c r="F12966">
        <v>2010</v>
      </c>
      <c r="G12966">
        <v>4263.1632300000001</v>
      </c>
    </row>
    <row r="12967" spans="1:7">
      <c r="A12967" t="s">
        <v>1297</v>
      </c>
      <c r="B12967" t="s">
        <v>1298</v>
      </c>
      <c r="C12967" t="s">
        <v>679</v>
      </c>
      <c r="D12967" t="s">
        <v>1430</v>
      </c>
      <c r="E12967" t="s">
        <v>187</v>
      </c>
      <c r="F12967">
        <v>2012</v>
      </c>
      <c r="G12967">
        <v>3751.8476900000001</v>
      </c>
    </row>
    <row r="12968" spans="1:7">
      <c r="A12968" t="s">
        <v>1297</v>
      </c>
      <c r="B12968" t="s">
        <v>1298</v>
      </c>
      <c r="C12968" t="s">
        <v>679</v>
      </c>
      <c r="D12968" t="s">
        <v>1430</v>
      </c>
      <c r="E12968" t="s">
        <v>187</v>
      </c>
      <c r="F12968">
        <v>2016</v>
      </c>
      <c r="G12968">
        <v>3861.5932849999999</v>
      </c>
    </row>
    <row r="12969" spans="1:7">
      <c r="A12969" t="s">
        <v>1297</v>
      </c>
      <c r="B12969" t="s">
        <v>1298</v>
      </c>
      <c r="C12969" t="s">
        <v>679</v>
      </c>
      <c r="D12969" t="s">
        <v>1430</v>
      </c>
      <c r="E12969" t="s">
        <v>187</v>
      </c>
      <c r="F12969">
        <v>2020</v>
      </c>
      <c r="G12969">
        <v>3387.481409</v>
      </c>
    </row>
    <row r="12970" spans="1:7">
      <c r="A12970" t="s">
        <v>1297</v>
      </c>
      <c r="B12970" t="s">
        <v>1298</v>
      </c>
      <c r="C12970" t="s">
        <v>1300</v>
      </c>
      <c r="D12970" t="s">
        <v>1430</v>
      </c>
      <c r="E12970" t="s">
        <v>187</v>
      </c>
      <c r="F12970">
        <v>2010</v>
      </c>
      <c r="G12970">
        <v>0.46151599999999998</v>
      </c>
    </row>
    <row r="12971" spans="1:7">
      <c r="A12971" t="s">
        <v>1297</v>
      </c>
      <c r="B12971" t="s">
        <v>1298</v>
      </c>
      <c r="C12971" t="s">
        <v>1300</v>
      </c>
      <c r="D12971" t="s">
        <v>1430</v>
      </c>
      <c r="E12971" t="s">
        <v>187</v>
      </c>
      <c r="F12971">
        <v>2012</v>
      </c>
      <c r="G12971">
        <v>0.47299999999999998</v>
      </c>
    </row>
    <row r="12972" spans="1:7">
      <c r="A12972" t="s">
        <v>1297</v>
      </c>
      <c r="B12972" t="s">
        <v>1298</v>
      </c>
      <c r="C12972" t="s">
        <v>1300</v>
      </c>
      <c r="D12972" t="s">
        <v>1430</v>
      </c>
      <c r="E12972" t="s">
        <v>187</v>
      </c>
      <c r="F12972">
        <v>2016</v>
      </c>
      <c r="G12972">
        <v>0.25173600000000002</v>
      </c>
    </row>
    <row r="12973" spans="1:7">
      <c r="A12973" t="s">
        <v>1297</v>
      </c>
      <c r="B12973" t="s">
        <v>1298</v>
      </c>
      <c r="C12973" t="s">
        <v>1300</v>
      </c>
      <c r="D12973" t="s">
        <v>1430</v>
      </c>
      <c r="E12973" t="s">
        <v>187</v>
      </c>
      <c r="F12973">
        <v>2020</v>
      </c>
      <c r="G12973">
        <v>0.20138900000000001</v>
      </c>
    </row>
    <row r="12974" spans="1:7">
      <c r="A12974" t="s">
        <v>1297</v>
      </c>
      <c r="B12974" t="s">
        <v>1298</v>
      </c>
      <c r="C12974" t="s">
        <v>667</v>
      </c>
      <c r="D12974" t="s">
        <v>1431</v>
      </c>
      <c r="E12974" t="s">
        <v>187</v>
      </c>
      <c r="F12974">
        <v>2010</v>
      </c>
      <c r="G12974">
        <v>1.9415999999999999E-2</v>
      </c>
    </row>
    <row r="12975" spans="1:7">
      <c r="A12975" t="s">
        <v>1297</v>
      </c>
      <c r="B12975" t="s">
        <v>1298</v>
      </c>
      <c r="C12975" t="s">
        <v>667</v>
      </c>
      <c r="D12975" t="s">
        <v>1431</v>
      </c>
      <c r="E12975" t="s">
        <v>187</v>
      </c>
      <c r="F12975">
        <v>2012</v>
      </c>
      <c r="G12975">
        <v>1.9755999999999999E-2</v>
      </c>
    </row>
    <row r="12976" spans="1:7">
      <c r="A12976" t="s">
        <v>1297</v>
      </c>
      <c r="B12976" t="s">
        <v>1298</v>
      </c>
      <c r="C12976" t="s">
        <v>667</v>
      </c>
      <c r="D12976" t="s">
        <v>1431</v>
      </c>
      <c r="E12976" t="s">
        <v>187</v>
      </c>
      <c r="F12976">
        <v>2016</v>
      </c>
      <c r="G12976">
        <v>3.2034E-2</v>
      </c>
    </row>
    <row r="12977" spans="1:7">
      <c r="A12977" t="s">
        <v>1297</v>
      </c>
      <c r="B12977" t="s">
        <v>1298</v>
      </c>
      <c r="C12977" t="s">
        <v>667</v>
      </c>
      <c r="D12977" t="s">
        <v>1431</v>
      </c>
      <c r="E12977" t="s">
        <v>187</v>
      </c>
      <c r="F12977">
        <v>2020</v>
      </c>
      <c r="G12977">
        <v>1.7333999999999999E-2</v>
      </c>
    </row>
    <row r="12978" spans="1:7">
      <c r="A12978" t="s">
        <v>1297</v>
      </c>
      <c r="B12978" t="s">
        <v>1298</v>
      </c>
      <c r="C12978" t="s">
        <v>1302</v>
      </c>
      <c r="D12978" t="s">
        <v>1431</v>
      </c>
      <c r="E12978" t="s">
        <v>187</v>
      </c>
      <c r="F12978">
        <v>2005</v>
      </c>
      <c r="G12978">
        <v>0.81503999999999999</v>
      </c>
    </row>
    <row r="12979" spans="1:7">
      <c r="A12979" t="s">
        <v>1297</v>
      </c>
      <c r="B12979" t="s">
        <v>1298</v>
      </c>
      <c r="C12979" t="s">
        <v>1302</v>
      </c>
      <c r="D12979" t="s">
        <v>1431</v>
      </c>
      <c r="E12979" t="s">
        <v>187</v>
      </c>
      <c r="F12979">
        <v>2010</v>
      </c>
      <c r="G12979">
        <v>0.52808999999999995</v>
      </c>
    </row>
    <row r="12980" spans="1:7">
      <c r="A12980" t="s">
        <v>1297</v>
      </c>
      <c r="B12980" t="s">
        <v>1298</v>
      </c>
      <c r="C12980" t="s">
        <v>1302</v>
      </c>
      <c r="D12980" t="s">
        <v>1431</v>
      </c>
      <c r="E12980" t="s">
        <v>187</v>
      </c>
      <c r="F12980">
        <v>2012</v>
      </c>
      <c r="G12980">
        <v>0.48887999999999998</v>
      </c>
    </row>
    <row r="12981" spans="1:7">
      <c r="A12981" t="s">
        <v>1297</v>
      </c>
      <c r="B12981" t="s">
        <v>1298</v>
      </c>
      <c r="C12981" t="s">
        <v>1302</v>
      </c>
      <c r="D12981" t="s">
        <v>1431</v>
      </c>
      <c r="E12981" t="s">
        <v>187</v>
      </c>
      <c r="F12981">
        <v>2016</v>
      </c>
      <c r="G12981">
        <v>0.24524000000000001</v>
      </c>
    </row>
    <row r="12982" spans="1:7">
      <c r="A12982" t="s">
        <v>1297</v>
      </c>
      <c r="B12982" t="s">
        <v>1298</v>
      </c>
      <c r="C12982" t="s">
        <v>1302</v>
      </c>
      <c r="D12982" t="s">
        <v>1431</v>
      </c>
      <c r="E12982" t="s">
        <v>187</v>
      </c>
      <c r="F12982">
        <v>2020</v>
      </c>
      <c r="G12982">
        <v>0.202428</v>
      </c>
    </row>
    <row r="12983" spans="1:7">
      <c r="A12983" t="s">
        <v>1297</v>
      </c>
      <c r="B12983" t="s">
        <v>1298</v>
      </c>
      <c r="C12983" t="s">
        <v>673</v>
      </c>
      <c r="D12983" t="s">
        <v>1431</v>
      </c>
      <c r="E12983" t="s">
        <v>187</v>
      </c>
      <c r="F12983">
        <v>2005</v>
      </c>
      <c r="G12983">
        <v>664.84537799999998</v>
      </c>
    </row>
    <row r="12984" spans="1:7">
      <c r="A12984" t="s">
        <v>1297</v>
      </c>
      <c r="B12984" t="s">
        <v>1298</v>
      </c>
      <c r="C12984" t="s">
        <v>673</v>
      </c>
      <c r="D12984" t="s">
        <v>1431</v>
      </c>
      <c r="E12984" t="s">
        <v>187</v>
      </c>
      <c r="F12984">
        <v>2010</v>
      </c>
      <c r="G12984">
        <v>497.43021800000002</v>
      </c>
    </row>
    <row r="12985" spans="1:7">
      <c r="A12985" t="s">
        <v>1297</v>
      </c>
      <c r="B12985" t="s">
        <v>1298</v>
      </c>
      <c r="C12985" t="s">
        <v>673</v>
      </c>
      <c r="D12985" t="s">
        <v>1431</v>
      </c>
      <c r="E12985" t="s">
        <v>187</v>
      </c>
      <c r="F12985">
        <v>2012</v>
      </c>
      <c r="G12985">
        <v>463.52660800000001</v>
      </c>
    </row>
    <row r="12986" spans="1:7">
      <c r="A12986" t="s">
        <v>1297</v>
      </c>
      <c r="B12986" t="s">
        <v>1298</v>
      </c>
      <c r="C12986" t="s">
        <v>673</v>
      </c>
      <c r="D12986" t="s">
        <v>1431</v>
      </c>
      <c r="E12986" t="s">
        <v>187</v>
      </c>
      <c r="F12986">
        <v>2016</v>
      </c>
      <c r="G12986">
        <v>523.28080199999999</v>
      </c>
    </row>
    <row r="12987" spans="1:7">
      <c r="A12987" t="s">
        <v>1297</v>
      </c>
      <c r="B12987" t="s">
        <v>1298</v>
      </c>
      <c r="C12987" t="s">
        <v>673</v>
      </c>
      <c r="D12987" t="s">
        <v>1431</v>
      </c>
      <c r="E12987" t="s">
        <v>187</v>
      </c>
      <c r="F12987">
        <v>2020</v>
      </c>
      <c r="G12987">
        <v>573.74544800000001</v>
      </c>
    </row>
    <row r="12988" spans="1:7">
      <c r="A12988" t="s">
        <v>1297</v>
      </c>
      <c r="B12988" t="s">
        <v>1298</v>
      </c>
      <c r="C12988" t="s">
        <v>685</v>
      </c>
      <c r="D12988" t="s">
        <v>1431</v>
      </c>
      <c r="E12988" t="s">
        <v>187</v>
      </c>
      <c r="F12988">
        <v>2005</v>
      </c>
      <c r="G12988">
        <v>64.924287000000007</v>
      </c>
    </row>
    <row r="12989" spans="1:7">
      <c r="A12989" t="s">
        <v>1297</v>
      </c>
      <c r="B12989" t="s">
        <v>1298</v>
      </c>
      <c r="C12989" t="s">
        <v>685</v>
      </c>
      <c r="D12989" t="s">
        <v>1431</v>
      </c>
      <c r="E12989" t="s">
        <v>187</v>
      </c>
      <c r="F12989">
        <v>2010</v>
      </c>
      <c r="G12989">
        <v>39.767474999999997</v>
      </c>
    </row>
    <row r="12990" spans="1:7">
      <c r="A12990" t="s">
        <v>1297</v>
      </c>
      <c r="B12990" t="s">
        <v>1298</v>
      </c>
      <c r="C12990" t="s">
        <v>685</v>
      </c>
      <c r="D12990" t="s">
        <v>1431</v>
      </c>
      <c r="E12990" t="s">
        <v>187</v>
      </c>
      <c r="F12990">
        <v>2012</v>
      </c>
      <c r="G12990">
        <v>12.757205000000001</v>
      </c>
    </row>
    <row r="12991" spans="1:7">
      <c r="A12991" t="s">
        <v>1297</v>
      </c>
      <c r="B12991" t="s">
        <v>1298</v>
      </c>
      <c r="C12991" t="s">
        <v>685</v>
      </c>
      <c r="D12991" t="s">
        <v>1431</v>
      </c>
      <c r="E12991" t="s">
        <v>187</v>
      </c>
      <c r="F12991">
        <v>2016</v>
      </c>
      <c r="G12991">
        <v>1.1215170000000001</v>
      </c>
    </row>
    <row r="12992" spans="1:7">
      <c r="A12992" t="s">
        <v>1297</v>
      </c>
      <c r="B12992" t="s">
        <v>1298</v>
      </c>
      <c r="C12992" t="s">
        <v>685</v>
      </c>
      <c r="D12992" t="s">
        <v>1431</v>
      </c>
      <c r="E12992" t="s">
        <v>187</v>
      </c>
      <c r="F12992">
        <v>2020</v>
      </c>
      <c r="G12992">
        <v>0.68970900000000002</v>
      </c>
    </row>
    <row r="12993" spans="1:7">
      <c r="A12993" t="s">
        <v>1297</v>
      </c>
      <c r="B12993" t="s">
        <v>1298</v>
      </c>
      <c r="C12993" t="s">
        <v>664</v>
      </c>
      <c r="D12993" t="s">
        <v>1431</v>
      </c>
      <c r="E12993" t="s">
        <v>187</v>
      </c>
      <c r="F12993">
        <v>2005</v>
      </c>
      <c r="G12993">
        <v>189.005009</v>
      </c>
    </row>
    <row r="12994" spans="1:7">
      <c r="A12994" t="s">
        <v>1297</v>
      </c>
      <c r="B12994" t="s">
        <v>1298</v>
      </c>
      <c r="C12994" t="s">
        <v>664</v>
      </c>
      <c r="D12994" t="s">
        <v>1431</v>
      </c>
      <c r="E12994" t="s">
        <v>187</v>
      </c>
      <c r="F12994">
        <v>2010</v>
      </c>
      <c r="G12994">
        <v>145.35296299999999</v>
      </c>
    </row>
    <row r="12995" spans="1:7">
      <c r="A12995" t="s">
        <v>1297</v>
      </c>
      <c r="B12995" t="s">
        <v>1298</v>
      </c>
      <c r="C12995" t="s">
        <v>664</v>
      </c>
      <c r="D12995" t="s">
        <v>1431</v>
      </c>
      <c r="E12995" t="s">
        <v>187</v>
      </c>
      <c r="F12995">
        <v>2012</v>
      </c>
      <c r="G12995">
        <v>144.229623</v>
      </c>
    </row>
    <row r="12996" spans="1:7">
      <c r="A12996" t="s">
        <v>1297</v>
      </c>
      <c r="B12996" t="s">
        <v>1298</v>
      </c>
      <c r="C12996" t="s">
        <v>664</v>
      </c>
      <c r="D12996" t="s">
        <v>1431</v>
      </c>
      <c r="E12996" t="s">
        <v>187</v>
      </c>
      <c r="F12996">
        <v>2016</v>
      </c>
      <c r="G12996">
        <v>152.70244099999999</v>
      </c>
    </row>
    <row r="12997" spans="1:7">
      <c r="A12997" t="s">
        <v>1297</v>
      </c>
      <c r="B12997" t="s">
        <v>1298</v>
      </c>
      <c r="C12997" t="s">
        <v>664</v>
      </c>
      <c r="D12997" t="s">
        <v>1431</v>
      </c>
      <c r="E12997" t="s">
        <v>187</v>
      </c>
      <c r="F12997">
        <v>2020</v>
      </c>
      <c r="G12997">
        <v>140.672214</v>
      </c>
    </row>
    <row r="12998" spans="1:7">
      <c r="A12998" t="s">
        <v>1297</v>
      </c>
      <c r="B12998" t="s">
        <v>1298</v>
      </c>
      <c r="C12998" t="s">
        <v>669</v>
      </c>
      <c r="D12998" t="s">
        <v>1431</v>
      </c>
      <c r="E12998" t="s">
        <v>187</v>
      </c>
      <c r="F12998">
        <v>2005</v>
      </c>
      <c r="G12998">
        <v>25.587</v>
      </c>
    </row>
    <row r="12999" spans="1:7">
      <c r="A12999" t="s">
        <v>1297</v>
      </c>
      <c r="B12999" t="s">
        <v>1298</v>
      </c>
      <c r="C12999" t="s">
        <v>669</v>
      </c>
      <c r="D12999" t="s">
        <v>1431</v>
      </c>
      <c r="E12999" t="s">
        <v>187</v>
      </c>
      <c r="F12999">
        <v>2010</v>
      </c>
      <c r="G12999">
        <v>24.209</v>
      </c>
    </row>
    <row r="13000" spans="1:7">
      <c r="A13000" t="s">
        <v>1297</v>
      </c>
      <c r="B13000" t="s">
        <v>1298</v>
      </c>
      <c r="C13000" t="s">
        <v>669</v>
      </c>
      <c r="D13000" t="s">
        <v>1431</v>
      </c>
      <c r="E13000" t="s">
        <v>187</v>
      </c>
      <c r="F13000">
        <v>2012</v>
      </c>
      <c r="G13000">
        <v>26.219000000000001</v>
      </c>
    </row>
    <row r="13001" spans="1:7">
      <c r="A13001" t="s">
        <v>1297</v>
      </c>
      <c r="B13001" t="s">
        <v>1298</v>
      </c>
      <c r="C13001" t="s">
        <v>669</v>
      </c>
      <c r="D13001" t="s">
        <v>1431</v>
      </c>
      <c r="E13001" t="s">
        <v>187</v>
      </c>
      <c r="F13001">
        <v>2016</v>
      </c>
      <c r="G13001">
        <v>7.2089999999999996</v>
      </c>
    </row>
    <row r="13002" spans="1:7">
      <c r="A13002" t="s">
        <v>1297</v>
      </c>
      <c r="B13002" t="s">
        <v>1298</v>
      </c>
      <c r="C13002" t="s">
        <v>669</v>
      </c>
      <c r="D13002" t="s">
        <v>1431</v>
      </c>
      <c r="E13002" t="s">
        <v>187</v>
      </c>
      <c r="F13002">
        <v>2020</v>
      </c>
      <c r="G13002">
        <v>0.41000500000000001</v>
      </c>
    </row>
    <row r="13003" spans="1:7">
      <c r="A13003" t="s">
        <v>1297</v>
      </c>
      <c r="B13003" t="s">
        <v>1298</v>
      </c>
      <c r="C13003" t="s">
        <v>658</v>
      </c>
      <c r="D13003" t="s">
        <v>1431</v>
      </c>
      <c r="E13003" t="s">
        <v>187</v>
      </c>
      <c r="F13003">
        <v>2005</v>
      </c>
      <c r="G13003">
        <v>9.0999929999999996</v>
      </c>
    </row>
    <row r="13004" spans="1:7">
      <c r="A13004" t="s">
        <v>1297</v>
      </c>
      <c r="B13004" t="s">
        <v>1298</v>
      </c>
      <c r="C13004" t="s">
        <v>658</v>
      </c>
      <c r="D13004" t="s">
        <v>1431</v>
      </c>
      <c r="E13004" t="s">
        <v>187</v>
      </c>
      <c r="F13004">
        <v>2010</v>
      </c>
      <c r="G13004">
        <v>7.9718119999999999</v>
      </c>
    </row>
    <row r="13005" spans="1:7">
      <c r="A13005" t="s">
        <v>1297</v>
      </c>
      <c r="B13005" t="s">
        <v>1298</v>
      </c>
      <c r="C13005" t="s">
        <v>658</v>
      </c>
      <c r="D13005" t="s">
        <v>1431</v>
      </c>
      <c r="E13005" t="s">
        <v>187</v>
      </c>
      <c r="F13005">
        <v>2012</v>
      </c>
      <c r="G13005">
        <v>7.1213350000000002</v>
      </c>
    </row>
    <row r="13006" spans="1:7">
      <c r="A13006" t="s">
        <v>1297</v>
      </c>
      <c r="B13006" t="s">
        <v>1298</v>
      </c>
      <c r="C13006" t="s">
        <v>658</v>
      </c>
      <c r="D13006" t="s">
        <v>1431</v>
      </c>
      <c r="E13006" t="s">
        <v>187</v>
      </c>
      <c r="F13006">
        <v>2016</v>
      </c>
      <c r="G13006">
        <v>5.8162640000000003</v>
      </c>
    </row>
    <row r="13007" spans="1:7">
      <c r="A13007" t="s">
        <v>1297</v>
      </c>
      <c r="B13007" t="s">
        <v>1298</v>
      </c>
      <c r="C13007" t="s">
        <v>658</v>
      </c>
      <c r="D13007" t="s">
        <v>1431</v>
      </c>
      <c r="E13007" t="s">
        <v>187</v>
      </c>
      <c r="F13007">
        <v>2020</v>
      </c>
      <c r="G13007">
        <v>1.6051610000000001</v>
      </c>
    </row>
    <row r="13008" spans="1:7">
      <c r="A13008" t="s">
        <v>1297</v>
      </c>
      <c r="B13008" t="s">
        <v>1298</v>
      </c>
      <c r="C13008" t="s">
        <v>677</v>
      </c>
      <c r="D13008" t="s">
        <v>1431</v>
      </c>
      <c r="E13008" t="s">
        <v>187</v>
      </c>
      <c r="F13008">
        <v>2005</v>
      </c>
      <c r="G13008">
        <v>4187.3308589999997</v>
      </c>
    </row>
    <row r="13009" spans="1:7">
      <c r="A13009" t="s">
        <v>1297</v>
      </c>
      <c r="B13009" t="s">
        <v>1298</v>
      </c>
      <c r="C13009" t="s">
        <v>677</v>
      </c>
      <c r="D13009" t="s">
        <v>1431</v>
      </c>
      <c r="E13009" t="s">
        <v>187</v>
      </c>
      <c r="F13009">
        <v>2010</v>
      </c>
      <c r="G13009">
        <v>3598.0159530000001</v>
      </c>
    </row>
    <row r="13010" spans="1:7">
      <c r="A13010" t="s">
        <v>1297</v>
      </c>
      <c r="B13010" t="s">
        <v>1298</v>
      </c>
      <c r="C13010" t="s">
        <v>677</v>
      </c>
      <c r="D13010" t="s">
        <v>1431</v>
      </c>
      <c r="E13010" t="s">
        <v>187</v>
      </c>
      <c r="F13010">
        <v>2012</v>
      </c>
      <c r="G13010">
        <v>3457.2013689999999</v>
      </c>
    </row>
    <row r="13011" spans="1:7">
      <c r="A13011" t="s">
        <v>1297</v>
      </c>
      <c r="B13011" t="s">
        <v>1298</v>
      </c>
      <c r="C13011" t="s">
        <v>677</v>
      </c>
      <c r="D13011" t="s">
        <v>1431</v>
      </c>
      <c r="E13011" t="s">
        <v>187</v>
      </c>
      <c r="F13011">
        <v>2016</v>
      </c>
      <c r="G13011">
        <v>3105.830649</v>
      </c>
    </row>
    <row r="13012" spans="1:7">
      <c r="A13012" t="s">
        <v>1297</v>
      </c>
      <c r="B13012" t="s">
        <v>1298</v>
      </c>
      <c r="C13012" t="s">
        <v>677</v>
      </c>
      <c r="D13012" t="s">
        <v>1431</v>
      </c>
      <c r="E13012" t="s">
        <v>187</v>
      </c>
      <c r="F13012">
        <v>2020</v>
      </c>
      <c r="G13012">
        <v>3015.0343659999999</v>
      </c>
    </row>
    <row r="13013" spans="1:7">
      <c r="A13013" t="s">
        <v>1297</v>
      </c>
      <c r="B13013" t="s">
        <v>1298</v>
      </c>
      <c r="C13013" t="s">
        <v>686</v>
      </c>
      <c r="D13013" t="s">
        <v>1431</v>
      </c>
      <c r="E13013" t="s">
        <v>187</v>
      </c>
      <c r="F13013">
        <v>2005</v>
      </c>
      <c r="G13013">
        <v>179.618134</v>
      </c>
    </row>
    <row r="13014" spans="1:7">
      <c r="A13014" t="s">
        <v>1297</v>
      </c>
      <c r="B13014" t="s">
        <v>1298</v>
      </c>
      <c r="C13014" t="s">
        <v>682</v>
      </c>
      <c r="D13014" t="s">
        <v>1431</v>
      </c>
      <c r="E13014" t="s">
        <v>187</v>
      </c>
      <c r="F13014">
        <v>2016</v>
      </c>
      <c r="G13014">
        <v>37.626289999999997</v>
      </c>
    </row>
    <row r="13015" spans="1:7">
      <c r="A13015" t="s">
        <v>1297</v>
      </c>
      <c r="B13015" t="s">
        <v>1298</v>
      </c>
      <c r="C13015" t="s">
        <v>682</v>
      </c>
      <c r="D13015" t="s">
        <v>1431</v>
      </c>
      <c r="E13015" t="s">
        <v>187</v>
      </c>
      <c r="F13015">
        <v>2020</v>
      </c>
      <c r="G13015">
        <v>4.1115250000000003</v>
      </c>
    </row>
    <row r="13016" spans="1:7">
      <c r="A13016" t="s">
        <v>1297</v>
      </c>
      <c r="B13016" t="s">
        <v>1298</v>
      </c>
      <c r="C13016" t="s">
        <v>686</v>
      </c>
      <c r="D13016" t="s">
        <v>1431</v>
      </c>
      <c r="E13016" t="s">
        <v>187</v>
      </c>
      <c r="F13016">
        <v>2010</v>
      </c>
      <c r="G13016">
        <v>145.95849899999999</v>
      </c>
    </row>
    <row r="13017" spans="1:7">
      <c r="A13017" t="s">
        <v>1297</v>
      </c>
      <c r="B13017" t="s">
        <v>1298</v>
      </c>
      <c r="C13017" t="s">
        <v>686</v>
      </c>
      <c r="D13017" t="s">
        <v>1431</v>
      </c>
      <c r="E13017" t="s">
        <v>187</v>
      </c>
      <c r="F13017">
        <v>2012</v>
      </c>
      <c r="G13017">
        <v>113.132137</v>
      </c>
    </row>
    <row r="13018" spans="1:7">
      <c r="A13018" t="s">
        <v>1297</v>
      </c>
      <c r="B13018" t="s">
        <v>1298</v>
      </c>
      <c r="C13018" t="s">
        <v>686</v>
      </c>
      <c r="D13018" t="s">
        <v>1431</v>
      </c>
      <c r="E13018" t="s">
        <v>187</v>
      </c>
      <c r="F13018">
        <v>2016</v>
      </c>
      <c r="G13018">
        <v>181.212096</v>
      </c>
    </row>
    <row r="13019" spans="1:7">
      <c r="A13019" t="s">
        <v>1297</v>
      </c>
      <c r="B13019" t="s">
        <v>1298</v>
      </c>
      <c r="C13019" t="s">
        <v>686</v>
      </c>
      <c r="D13019" t="s">
        <v>1431</v>
      </c>
      <c r="E13019" t="s">
        <v>187</v>
      </c>
      <c r="F13019">
        <v>2020</v>
      </c>
      <c r="G13019">
        <v>182.33534299999999</v>
      </c>
    </row>
    <row r="13020" spans="1:7">
      <c r="A13020" t="s">
        <v>1297</v>
      </c>
      <c r="B13020" t="s">
        <v>1298</v>
      </c>
      <c r="C13020" t="s">
        <v>1300</v>
      </c>
      <c r="D13020" t="s">
        <v>1431</v>
      </c>
      <c r="E13020" t="s">
        <v>187</v>
      </c>
      <c r="F13020">
        <v>2010</v>
      </c>
      <c r="G13020">
        <v>2.1782819999999998</v>
      </c>
    </row>
    <row r="13021" spans="1:7">
      <c r="A13021" t="s">
        <v>1297</v>
      </c>
      <c r="B13021" t="s">
        <v>1298</v>
      </c>
      <c r="C13021" t="s">
        <v>1300</v>
      </c>
      <c r="D13021" t="s">
        <v>1431</v>
      </c>
      <c r="E13021" t="s">
        <v>187</v>
      </c>
      <c r="F13021">
        <v>2012</v>
      </c>
      <c r="G13021">
        <v>1.6605300000000001</v>
      </c>
    </row>
    <row r="13022" spans="1:7">
      <c r="A13022" t="s">
        <v>1297</v>
      </c>
      <c r="B13022" t="s">
        <v>1298</v>
      </c>
      <c r="C13022" t="s">
        <v>1300</v>
      </c>
      <c r="D13022" t="s">
        <v>1431</v>
      </c>
      <c r="E13022" t="s">
        <v>187</v>
      </c>
      <c r="F13022">
        <v>2016</v>
      </c>
      <c r="G13022">
        <v>1.6516919999999999</v>
      </c>
    </row>
    <row r="13023" spans="1:7">
      <c r="A13023" t="s">
        <v>1297</v>
      </c>
      <c r="B13023" t="s">
        <v>1298</v>
      </c>
      <c r="C13023" t="s">
        <v>1300</v>
      </c>
      <c r="D13023" t="s">
        <v>1431</v>
      </c>
      <c r="E13023" t="s">
        <v>187</v>
      </c>
      <c r="F13023">
        <v>2020</v>
      </c>
      <c r="G13023">
        <v>0.42202400000000001</v>
      </c>
    </row>
    <row r="13024" spans="1:7">
      <c r="A13024" t="s">
        <v>1297</v>
      </c>
      <c r="B13024" t="s">
        <v>1298</v>
      </c>
      <c r="C13024" t="s">
        <v>1299</v>
      </c>
      <c r="D13024" t="s">
        <v>1431</v>
      </c>
      <c r="E13024" t="s">
        <v>187</v>
      </c>
      <c r="F13024">
        <v>2010</v>
      </c>
      <c r="G13024">
        <v>536.52318300000002</v>
      </c>
    </row>
    <row r="13025" spans="1:7">
      <c r="A13025" t="s">
        <v>1297</v>
      </c>
      <c r="B13025" t="s">
        <v>1298</v>
      </c>
      <c r="C13025" t="s">
        <v>1299</v>
      </c>
      <c r="D13025" t="s">
        <v>1431</v>
      </c>
      <c r="E13025" t="s">
        <v>187</v>
      </c>
      <c r="F13025">
        <v>2012</v>
      </c>
      <c r="G13025">
        <v>243.45044300000001</v>
      </c>
    </row>
    <row r="13026" spans="1:7">
      <c r="A13026" t="s">
        <v>1297</v>
      </c>
      <c r="B13026" t="s">
        <v>1298</v>
      </c>
      <c r="C13026" t="s">
        <v>1299</v>
      </c>
      <c r="D13026" t="s">
        <v>1431</v>
      </c>
      <c r="E13026" t="s">
        <v>187</v>
      </c>
      <c r="F13026">
        <v>2016</v>
      </c>
      <c r="G13026">
        <v>201.30720500000001</v>
      </c>
    </row>
    <row r="13027" spans="1:7">
      <c r="A13027" t="s">
        <v>1297</v>
      </c>
      <c r="B13027" t="s">
        <v>1298</v>
      </c>
      <c r="C13027" t="s">
        <v>1299</v>
      </c>
      <c r="D13027" t="s">
        <v>1431</v>
      </c>
      <c r="E13027" t="s">
        <v>187</v>
      </c>
      <c r="F13027">
        <v>2020</v>
      </c>
      <c r="G13027">
        <v>171.99608900000001</v>
      </c>
    </row>
    <row r="13028" spans="1:7">
      <c r="A13028" t="s">
        <v>1297</v>
      </c>
      <c r="B13028" t="s">
        <v>1298</v>
      </c>
      <c r="C13028" t="s">
        <v>674</v>
      </c>
      <c r="D13028" t="s">
        <v>1431</v>
      </c>
      <c r="E13028" t="s">
        <v>187</v>
      </c>
      <c r="F13028">
        <v>2005</v>
      </c>
      <c r="G13028">
        <v>926.69191000000001</v>
      </c>
    </row>
    <row r="13029" spans="1:7">
      <c r="A13029" t="s">
        <v>1297</v>
      </c>
      <c r="B13029" t="s">
        <v>1298</v>
      </c>
      <c r="C13029" t="s">
        <v>674</v>
      </c>
      <c r="D13029" t="s">
        <v>1431</v>
      </c>
      <c r="E13029" t="s">
        <v>187</v>
      </c>
      <c r="F13029">
        <v>2010</v>
      </c>
      <c r="G13029">
        <v>1001.7368750000001</v>
      </c>
    </row>
    <row r="13030" spans="1:7">
      <c r="A13030" t="s">
        <v>1297</v>
      </c>
      <c r="B13030" t="s">
        <v>1298</v>
      </c>
      <c r="C13030" t="s">
        <v>674</v>
      </c>
      <c r="D13030" t="s">
        <v>1431</v>
      </c>
      <c r="E13030" t="s">
        <v>187</v>
      </c>
      <c r="F13030">
        <v>2012</v>
      </c>
      <c r="G13030">
        <v>1011.420177</v>
      </c>
    </row>
    <row r="13031" spans="1:7">
      <c r="A13031" t="s">
        <v>1297</v>
      </c>
      <c r="B13031" t="s">
        <v>1298</v>
      </c>
      <c r="C13031" t="s">
        <v>674</v>
      </c>
      <c r="D13031" t="s">
        <v>1431</v>
      </c>
      <c r="E13031" t="s">
        <v>187</v>
      </c>
      <c r="F13031">
        <v>2016</v>
      </c>
      <c r="G13031">
        <v>1013.974061</v>
      </c>
    </row>
    <row r="13032" spans="1:7">
      <c r="A13032" t="s">
        <v>1297</v>
      </c>
      <c r="B13032" t="s">
        <v>1298</v>
      </c>
      <c r="C13032" t="s">
        <v>674</v>
      </c>
      <c r="D13032" t="s">
        <v>1431</v>
      </c>
      <c r="E13032" t="s">
        <v>187</v>
      </c>
      <c r="F13032">
        <v>2020</v>
      </c>
      <c r="G13032">
        <v>976.822948</v>
      </c>
    </row>
    <row r="13033" spans="1:7">
      <c r="A13033" t="s">
        <v>1297</v>
      </c>
      <c r="B13033" t="s">
        <v>1298</v>
      </c>
      <c r="C13033" t="s">
        <v>668</v>
      </c>
      <c r="D13033" t="s">
        <v>1431</v>
      </c>
      <c r="E13033" t="s">
        <v>187</v>
      </c>
      <c r="F13033">
        <v>2005</v>
      </c>
      <c r="G13033">
        <v>15.051843999999999</v>
      </c>
    </row>
    <row r="13034" spans="1:7">
      <c r="A13034" t="s">
        <v>1297</v>
      </c>
      <c r="B13034" t="s">
        <v>1298</v>
      </c>
      <c r="C13034" t="s">
        <v>668</v>
      </c>
      <c r="D13034" t="s">
        <v>1431</v>
      </c>
      <c r="E13034" t="s">
        <v>187</v>
      </c>
      <c r="F13034">
        <v>2010</v>
      </c>
      <c r="G13034">
        <v>0.76996699999999996</v>
      </c>
    </row>
    <row r="13035" spans="1:7">
      <c r="A13035" t="s">
        <v>1297</v>
      </c>
      <c r="B13035" t="s">
        <v>1298</v>
      </c>
      <c r="C13035" t="s">
        <v>668</v>
      </c>
      <c r="D13035" t="s">
        <v>1431</v>
      </c>
      <c r="E13035" t="s">
        <v>187</v>
      </c>
      <c r="F13035">
        <v>2012</v>
      </c>
      <c r="G13035">
        <v>0.53222000000000003</v>
      </c>
    </row>
    <row r="13036" spans="1:7">
      <c r="A13036" t="s">
        <v>1297</v>
      </c>
      <c r="B13036" t="s">
        <v>1298</v>
      </c>
      <c r="C13036" t="s">
        <v>668</v>
      </c>
      <c r="D13036" t="s">
        <v>1431</v>
      </c>
      <c r="E13036" t="s">
        <v>187</v>
      </c>
      <c r="F13036">
        <v>2020</v>
      </c>
      <c r="G13036">
        <v>6.3146999999999995E-2</v>
      </c>
    </row>
    <row r="13037" spans="1:7">
      <c r="A13037" t="s">
        <v>1297</v>
      </c>
      <c r="B13037" t="s">
        <v>1298</v>
      </c>
      <c r="C13037" t="s">
        <v>676</v>
      </c>
      <c r="D13037" t="s">
        <v>1431</v>
      </c>
      <c r="E13037" t="s">
        <v>187</v>
      </c>
      <c r="F13037">
        <v>2005</v>
      </c>
      <c r="G13037">
        <v>298.830714</v>
      </c>
    </row>
    <row r="13038" spans="1:7">
      <c r="A13038" t="s">
        <v>1297</v>
      </c>
      <c r="B13038" t="s">
        <v>1298</v>
      </c>
      <c r="C13038" t="s">
        <v>676</v>
      </c>
      <c r="D13038" t="s">
        <v>1431</v>
      </c>
      <c r="E13038" t="s">
        <v>187</v>
      </c>
      <c r="F13038">
        <v>2010</v>
      </c>
      <c r="G13038">
        <v>293.77001100000001</v>
      </c>
    </row>
    <row r="13039" spans="1:7">
      <c r="A13039" t="s">
        <v>1297</v>
      </c>
      <c r="B13039" t="s">
        <v>1298</v>
      </c>
      <c r="C13039" t="s">
        <v>676</v>
      </c>
      <c r="D13039" t="s">
        <v>1431</v>
      </c>
      <c r="E13039" t="s">
        <v>187</v>
      </c>
      <c r="F13039">
        <v>2012</v>
      </c>
      <c r="G13039">
        <v>274.09347700000001</v>
      </c>
    </row>
    <row r="13040" spans="1:7">
      <c r="A13040" t="s">
        <v>1297</v>
      </c>
      <c r="B13040" t="s">
        <v>1298</v>
      </c>
      <c r="C13040" t="s">
        <v>676</v>
      </c>
      <c r="D13040" t="s">
        <v>1431</v>
      </c>
      <c r="E13040" t="s">
        <v>187</v>
      </c>
      <c r="F13040">
        <v>2016</v>
      </c>
      <c r="G13040">
        <v>288.54290200000003</v>
      </c>
    </row>
    <row r="13041" spans="1:7">
      <c r="A13041" t="s">
        <v>1297</v>
      </c>
      <c r="B13041" t="s">
        <v>1298</v>
      </c>
      <c r="C13041" t="s">
        <v>676</v>
      </c>
      <c r="D13041" t="s">
        <v>1431</v>
      </c>
      <c r="E13041" t="s">
        <v>187</v>
      </c>
      <c r="F13041">
        <v>2020</v>
      </c>
      <c r="G13041">
        <v>256.68383999999998</v>
      </c>
    </row>
    <row r="13042" spans="1:7">
      <c r="A13042" t="s">
        <v>1297</v>
      </c>
      <c r="B13042" t="s">
        <v>1298</v>
      </c>
      <c r="C13042" t="s">
        <v>684</v>
      </c>
      <c r="D13042" t="s">
        <v>1431</v>
      </c>
      <c r="E13042" t="s">
        <v>187</v>
      </c>
      <c r="F13042">
        <v>2020</v>
      </c>
      <c r="G13042">
        <v>0.23</v>
      </c>
    </row>
    <row r="13043" spans="1:7">
      <c r="A13043" t="s">
        <v>1297</v>
      </c>
      <c r="B13043" t="s">
        <v>1298</v>
      </c>
      <c r="C13043" t="s">
        <v>680</v>
      </c>
      <c r="D13043" t="s">
        <v>1431</v>
      </c>
      <c r="E13043" t="s">
        <v>187</v>
      </c>
      <c r="F13043">
        <v>2005</v>
      </c>
      <c r="G13043">
        <v>4.2999999999999997E-2</v>
      </c>
    </row>
    <row r="13044" spans="1:7">
      <c r="A13044" t="s">
        <v>1297</v>
      </c>
      <c r="B13044" t="s">
        <v>1298</v>
      </c>
      <c r="C13044" t="s">
        <v>680</v>
      </c>
      <c r="D13044" t="s">
        <v>1431</v>
      </c>
      <c r="E13044" t="s">
        <v>187</v>
      </c>
      <c r="F13044">
        <v>2010</v>
      </c>
      <c r="G13044">
        <v>4.2999999999999997E-2</v>
      </c>
    </row>
    <row r="13045" spans="1:7">
      <c r="A13045" t="s">
        <v>1297</v>
      </c>
      <c r="B13045" t="s">
        <v>1298</v>
      </c>
      <c r="C13045" t="s">
        <v>680</v>
      </c>
      <c r="D13045" t="s">
        <v>1431</v>
      </c>
      <c r="E13045" t="s">
        <v>187</v>
      </c>
      <c r="F13045">
        <v>2012</v>
      </c>
      <c r="G13045">
        <v>0.85099999999999998</v>
      </c>
    </row>
    <row r="13046" spans="1:7">
      <c r="A13046" t="s">
        <v>1297</v>
      </c>
      <c r="B13046" t="s">
        <v>1298</v>
      </c>
      <c r="C13046" t="s">
        <v>680</v>
      </c>
      <c r="D13046" t="s">
        <v>1431</v>
      </c>
      <c r="E13046" t="s">
        <v>187</v>
      </c>
      <c r="F13046">
        <v>2016</v>
      </c>
      <c r="G13046">
        <v>1.7256119999999999</v>
      </c>
    </row>
    <row r="13047" spans="1:7">
      <c r="A13047" t="s">
        <v>1297</v>
      </c>
      <c r="B13047" t="s">
        <v>1298</v>
      </c>
      <c r="C13047" t="s">
        <v>680</v>
      </c>
      <c r="D13047" t="s">
        <v>1431</v>
      </c>
      <c r="E13047" t="s">
        <v>187</v>
      </c>
      <c r="F13047">
        <v>2020</v>
      </c>
      <c r="G13047">
        <v>0.828206</v>
      </c>
    </row>
    <row r="13048" spans="1:7">
      <c r="A13048" t="s">
        <v>1297</v>
      </c>
      <c r="B13048" t="s">
        <v>1298</v>
      </c>
      <c r="C13048" t="s">
        <v>670</v>
      </c>
      <c r="D13048" t="s">
        <v>1431</v>
      </c>
      <c r="E13048" t="s">
        <v>187</v>
      </c>
      <c r="F13048">
        <v>2005</v>
      </c>
      <c r="G13048">
        <v>3608.2711709999999</v>
      </c>
    </row>
    <row r="13049" spans="1:7">
      <c r="A13049" t="s">
        <v>1297</v>
      </c>
      <c r="B13049" t="s">
        <v>1298</v>
      </c>
      <c r="C13049" t="s">
        <v>670</v>
      </c>
      <c r="D13049" t="s">
        <v>1431</v>
      </c>
      <c r="E13049" t="s">
        <v>187</v>
      </c>
      <c r="F13049">
        <v>2010</v>
      </c>
      <c r="G13049">
        <v>3575.8168500000002</v>
      </c>
    </row>
    <row r="13050" spans="1:7">
      <c r="A13050" t="s">
        <v>1297</v>
      </c>
      <c r="B13050" t="s">
        <v>1298</v>
      </c>
      <c r="C13050" t="s">
        <v>670</v>
      </c>
      <c r="D13050" t="s">
        <v>1431</v>
      </c>
      <c r="E13050" t="s">
        <v>187</v>
      </c>
      <c r="F13050">
        <v>2012</v>
      </c>
      <c r="G13050">
        <v>3512.4852510000001</v>
      </c>
    </row>
    <row r="13051" spans="1:7">
      <c r="A13051" t="s">
        <v>1297</v>
      </c>
      <c r="B13051" t="s">
        <v>1298</v>
      </c>
      <c r="C13051" t="s">
        <v>670</v>
      </c>
      <c r="D13051" t="s">
        <v>1431</v>
      </c>
      <c r="E13051" t="s">
        <v>187</v>
      </c>
      <c r="F13051">
        <v>2016</v>
      </c>
      <c r="G13051">
        <v>3904.5937399999998</v>
      </c>
    </row>
    <row r="13052" spans="1:7">
      <c r="A13052" t="s">
        <v>1297</v>
      </c>
      <c r="B13052" t="s">
        <v>1298</v>
      </c>
      <c r="C13052" t="s">
        <v>670</v>
      </c>
      <c r="D13052" t="s">
        <v>1431</v>
      </c>
      <c r="E13052" t="s">
        <v>187</v>
      </c>
      <c r="F13052">
        <v>2020</v>
      </c>
      <c r="G13052">
        <v>4356.0033229999999</v>
      </c>
    </row>
    <row r="13053" spans="1:7">
      <c r="A13053" t="s">
        <v>1297</v>
      </c>
      <c r="B13053" t="s">
        <v>1298</v>
      </c>
      <c r="C13053" t="s">
        <v>660</v>
      </c>
      <c r="D13053" t="s">
        <v>1431</v>
      </c>
      <c r="E13053" t="s">
        <v>187</v>
      </c>
      <c r="F13053">
        <v>2005</v>
      </c>
      <c r="G13053">
        <v>682.46262000000002</v>
      </c>
    </row>
    <row r="13054" spans="1:7">
      <c r="A13054" t="s">
        <v>1297</v>
      </c>
      <c r="B13054" t="s">
        <v>1298</v>
      </c>
      <c r="C13054" t="s">
        <v>660</v>
      </c>
      <c r="D13054" t="s">
        <v>1431</v>
      </c>
      <c r="E13054" t="s">
        <v>187</v>
      </c>
      <c r="F13054">
        <v>2010</v>
      </c>
      <c r="G13054">
        <v>774.68053099999997</v>
      </c>
    </row>
    <row r="13055" spans="1:7">
      <c r="A13055" t="s">
        <v>1297</v>
      </c>
      <c r="B13055" t="s">
        <v>1298</v>
      </c>
      <c r="C13055" t="s">
        <v>660</v>
      </c>
      <c r="D13055" t="s">
        <v>1431</v>
      </c>
      <c r="E13055" t="s">
        <v>187</v>
      </c>
      <c r="F13055">
        <v>2012</v>
      </c>
      <c r="G13055">
        <v>773.70051999999998</v>
      </c>
    </row>
    <row r="13056" spans="1:7">
      <c r="A13056" t="s">
        <v>1297</v>
      </c>
      <c r="B13056" t="s">
        <v>1298</v>
      </c>
      <c r="C13056" t="s">
        <v>660</v>
      </c>
      <c r="D13056" t="s">
        <v>1431</v>
      </c>
      <c r="E13056" t="s">
        <v>187</v>
      </c>
      <c r="F13056">
        <v>2016</v>
      </c>
      <c r="G13056">
        <v>750.52103399999999</v>
      </c>
    </row>
    <row r="13057" spans="1:7">
      <c r="A13057" t="s">
        <v>1297</v>
      </c>
      <c r="B13057" t="s">
        <v>1298</v>
      </c>
      <c r="C13057" t="s">
        <v>660</v>
      </c>
      <c r="D13057" t="s">
        <v>1431</v>
      </c>
      <c r="E13057" t="s">
        <v>187</v>
      </c>
      <c r="F13057">
        <v>2020</v>
      </c>
      <c r="G13057">
        <v>768.30189800000005</v>
      </c>
    </row>
    <row r="13058" spans="1:7">
      <c r="A13058" t="s">
        <v>1297</v>
      </c>
      <c r="B13058" t="s">
        <v>1298</v>
      </c>
      <c r="C13058" t="s">
        <v>659</v>
      </c>
      <c r="D13058" t="s">
        <v>1431</v>
      </c>
      <c r="E13058" t="s">
        <v>187</v>
      </c>
      <c r="F13058">
        <v>2005</v>
      </c>
      <c r="G13058">
        <v>3077.5306999999998</v>
      </c>
    </row>
    <row r="13059" spans="1:7">
      <c r="A13059" t="s">
        <v>1297</v>
      </c>
      <c r="B13059" t="s">
        <v>1298</v>
      </c>
      <c r="C13059" t="s">
        <v>659</v>
      </c>
      <c r="D13059" t="s">
        <v>1431</v>
      </c>
      <c r="E13059" t="s">
        <v>187</v>
      </c>
      <c r="F13059">
        <v>2010</v>
      </c>
      <c r="G13059">
        <v>2965.7465999999999</v>
      </c>
    </row>
    <row r="13060" spans="1:7">
      <c r="A13060" t="s">
        <v>1297</v>
      </c>
      <c r="B13060" t="s">
        <v>1298</v>
      </c>
      <c r="C13060" t="s">
        <v>659</v>
      </c>
      <c r="D13060" t="s">
        <v>1431</v>
      </c>
      <c r="E13060" t="s">
        <v>187</v>
      </c>
      <c r="F13060">
        <v>2012</v>
      </c>
      <c r="G13060">
        <v>3199.0214999999998</v>
      </c>
    </row>
    <row r="13061" spans="1:7">
      <c r="A13061" t="s">
        <v>1297</v>
      </c>
      <c r="B13061" t="s">
        <v>1298</v>
      </c>
      <c r="C13061" t="s">
        <v>659</v>
      </c>
      <c r="D13061" t="s">
        <v>1431</v>
      </c>
      <c r="E13061" t="s">
        <v>187</v>
      </c>
      <c r="F13061">
        <v>2016</v>
      </c>
      <c r="G13061">
        <v>3428.0030000000002</v>
      </c>
    </row>
    <row r="13062" spans="1:7">
      <c r="A13062" t="s">
        <v>1297</v>
      </c>
      <c r="B13062" t="s">
        <v>1298</v>
      </c>
      <c r="C13062" t="s">
        <v>659</v>
      </c>
      <c r="D13062" t="s">
        <v>1431</v>
      </c>
      <c r="E13062" t="s">
        <v>187</v>
      </c>
      <c r="F13062">
        <v>2020</v>
      </c>
      <c r="G13062">
        <v>3500.4600999999998</v>
      </c>
    </row>
    <row r="13063" spans="1:7">
      <c r="A13063" t="s">
        <v>1297</v>
      </c>
      <c r="B13063" t="s">
        <v>1298</v>
      </c>
      <c r="C13063" t="s">
        <v>1299</v>
      </c>
      <c r="D13063" t="s">
        <v>1431</v>
      </c>
      <c r="E13063" t="s">
        <v>187</v>
      </c>
      <c r="F13063">
        <v>2005</v>
      </c>
      <c r="G13063">
        <v>843.427188</v>
      </c>
    </row>
    <row r="13064" spans="1:7">
      <c r="A13064" t="s">
        <v>1297</v>
      </c>
      <c r="B13064" t="s">
        <v>1298</v>
      </c>
      <c r="C13064" t="s">
        <v>671</v>
      </c>
      <c r="D13064" t="s">
        <v>1431</v>
      </c>
      <c r="E13064" t="s">
        <v>187</v>
      </c>
      <c r="F13064">
        <v>2005</v>
      </c>
      <c r="G13064">
        <v>867.04975999999999</v>
      </c>
    </row>
    <row r="13065" spans="1:7">
      <c r="A13065" t="s">
        <v>1297</v>
      </c>
      <c r="B13065" t="s">
        <v>1298</v>
      </c>
      <c r="C13065" t="s">
        <v>671</v>
      </c>
      <c r="D13065" t="s">
        <v>1431</v>
      </c>
      <c r="E13065" t="s">
        <v>187</v>
      </c>
      <c r="F13065">
        <v>2010</v>
      </c>
      <c r="G13065">
        <v>1100.403172</v>
      </c>
    </row>
    <row r="13066" spans="1:7">
      <c r="A13066" t="s">
        <v>1297</v>
      </c>
      <c r="B13066" t="s">
        <v>1298</v>
      </c>
      <c r="C13066" t="s">
        <v>671</v>
      </c>
      <c r="D13066" t="s">
        <v>1431</v>
      </c>
      <c r="E13066" t="s">
        <v>187</v>
      </c>
      <c r="F13066">
        <v>2012</v>
      </c>
      <c r="G13066">
        <v>1248.467909</v>
      </c>
    </row>
    <row r="13067" spans="1:7">
      <c r="A13067" t="s">
        <v>1297</v>
      </c>
      <c r="B13067" t="s">
        <v>1298</v>
      </c>
      <c r="C13067" t="s">
        <v>671</v>
      </c>
      <c r="D13067" t="s">
        <v>1431</v>
      </c>
      <c r="E13067" t="s">
        <v>187</v>
      </c>
      <c r="F13067">
        <v>2016</v>
      </c>
      <c r="G13067">
        <v>1251.644982</v>
      </c>
    </row>
    <row r="13068" spans="1:7">
      <c r="A13068" t="s">
        <v>1297</v>
      </c>
      <c r="B13068" t="s">
        <v>1298</v>
      </c>
      <c r="C13068" t="s">
        <v>671</v>
      </c>
      <c r="D13068" t="s">
        <v>1431</v>
      </c>
      <c r="E13068" t="s">
        <v>187</v>
      </c>
      <c r="F13068">
        <v>2020</v>
      </c>
      <c r="G13068">
        <v>1310.3223310000001</v>
      </c>
    </row>
    <row r="13069" spans="1:7">
      <c r="A13069" t="s">
        <v>1297</v>
      </c>
      <c r="B13069" t="s">
        <v>1298</v>
      </c>
      <c r="C13069" t="s">
        <v>667</v>
      </c>
      <c r="D13069" t="s">
        <v>1431</v>
      </c>
      <c r="E13069" t="s">
        <v>187</v>
      </c>
      <c r="F13069">
        <v>2005</v>
      </c>
      <c r="G13069">
        <v>2.4344000000000001E-2</v>
      </c>
    </row>
    <row r="13070" spans="1:7">
      <c r="A13070" t="s">
        <v>1297</v>
      </c>
      <c r="B13070" t="s">
        <v>1298</v>
      </c>
      <c r="C13070" t="s">
        <v>651</v>
      </c>
      <c r="D13070" t="s">
        <v>1431</v>
      </c>
      <c r="E13070" t="s">
        <v>187</v>
      </c>
      <c r="F13070">
        <v>2010</v>
      </c>
      <c r="G13070">
        <v>382.082831</v>
      </c>
    </row>
    <row r="13071" spans="1:7">
      <c r="A13071" t="s">
        <v>1297</v>
      </c>
      <c r="B13071" t="s">
        <v>1298</v>
      </c>
      <c r="C13071" t="s">
        <v>651</v>
      </c>
      <c r="D13071" t="s">
        <v>1431</v>
      </c>
      <c r="E13071" t="s">
        <v>187</v>
      </c>
      <c r="F13071">
        <v>2012</v>
      </c>
      <c r="G13071">
        <v>407.06280299999997</v>
      </c>
    </row>
    <row r="13072" spans="1:7">
      <c r="A13072" t="s">
        <v>1297</v>
      </c>
      <c r="B13072" t="s">
        <v>1298</v>
      </c>
      <c r="C13072" t="s">
        <v>651</v>
      </c>
      <c r="D13072" t="s">
        <v>1431</v>
      </c>
      <c r="E13072" t="s">
        <v>187</v>
      </c>
      <c r="F13072">
        <v>2016</v>
      </c>
      <c r="G13072">
        <v>390.02189099999998</v>
      </c>
    </row>
    <row r="13073" spans="1:7">
      <c r="A13073" t="s">
        <v>1297</v>
      </c>
      <c r="B13073" t="s">
        <v>1298</v>
      </c>
      <c r="C13073" t="s">
        <v>651</v>
      </c>
      <c r="D13073" t="s">
        <v>1431</v>
      </c>
      <c r="E13073" t="s">
        <v>187</v>
      </c>
      <c r="F13073">
        <v>2020</v>
      </c>
      <c r="G13073">
        <v>425.38741599999997</v>
      </c>
    </row>
    <row r="13074" spans="1:7">
      <c r="A13074" t="s">
        <v>1297</v>
      </c>
      <c r="B13074" t="s">
        <v>1298</v>
      </c>
      <c r="C13074" t="s">
        <v>652</v>
      </c>
      <c r="D13074" t="s">
        <v>1431</v>
      </c>
      <c r="E13074" t="s">
        <v>187</v>
      </c>
      <c r="F13074">
        <v>2005</v>
      </c>
      <c r="G13074">
        <v>1790.814339</v>
      </c>
    </row>
    <row r="13075" spans="1:7">
      <c r="A13075" t="s">
        <v>1297</v>
      </c>
      <c r="B13075" t="s">
        <v>1298</v>
      </c>
      <c r="C13075" t="s">
        <v>652</v>
      </c>
      <c r="D13075" t="s">
        <v>1431</v>
      </c>
      <c r="E13075" t="s">
        <v>187</v>
      </c>
      <c r="F13075">
        <v>2010</v>
      </c>
      <c r="G13075">
        <v>1806.0152780000001</v>
      </c>
    </row>
    <row r="13076" spans="1:7">
      <c r="A13076" t="s">
        <v>1297</v>
      </c>
      <c r="B13076" t="s">
        <v>1298</v>
      </c>
      <c r="C13076" t="s">
        <v>652</v>
      </c>
      <c r="D13076" t="s">
        <v>1431</v>
      </c>
      <c r="E13076" t="s">
        <v>187</v>
      </c>
      <c r="F13076">
        <v>2012</v>
      </c>
      <c r="G13076">
        <v>1787.492381</v>
      </c>
    </row>
    <row r="13077" spans="1:7">
      <c r="A13077" t="s">
        <v>1297</v>
      </c>
      <c r="B13077" t="s">
        <v>1298</v>
      </c>
      <c r="C13077" t="s">
        <v>652</v>
      </c>
      <c r="D13077" t="s">
        <v>1431</v>
      </c>
      <c r="E13077" t="s">
        <v>187</v>
      </c>
      <c r="F13077">
        <v>2016</v>
      </c>
      <c r="G13077">
        <v>1713.9779040000001</v>
      </c>
    </row>
    <row r="13078" spans="1:7">
      <c r="A13078" t="s">
        <v>1297</v>
      </c>
      <c r="B13078" t="s">
        <v>1298</v>
      </c>
      <c r="C13078" t="s">
        <v>652</v>
      </c>
      <c r="D13078" t="s">
        <v>1431</v>
      </c>
      <c r="E13078" t="s">
        <v>187</v>
      </c>
      <c r="F13078">
        <v>2020</v>
      </c>
      <c r="G13078">
        <v>1804.5563509999999</v>
      </c>
    </row>
    <row r="13079" spans="1:7">
      <c r="A13079" t="s">
        <v>1297</v>
      </c>
      <c r="B13079" t="s">
        <v>1298</v>
      </c>
      <c r="C13079" t="s">
        <v>1303</v>
      </c>
      <c r="D13079" t="s">
        <v>1431</v>
      </c>
      <c r="E13079" t="s">
        <v>187</v>
      </c>
      <c r="F13079">
        <v>2016</v>
      </c>
      <c r="G13079">
        <v>6.8309300000000004</v>
      </c>
    </row>
    <row r="13080" spans="1:7">
      <c r="A13080" t="s">
        <v>1297</v>
      </c>
      <c r="B13080" t="s">
        <v>1298</v>
      </c>
      <c r="C13080" t="s">
        <v>1303</v>
      </c>
      <c r="D13080" t="s">
        <v>1431</v>
      </c>
      <c r="E13080" t="s">
        <v>187</v>
      </c>
      <c r="F13080">
        <v>2020</v>
      </c>
      <c r="G13080">
        <v>1.597745</v>
      </c>
    </row>
    <row r="13081" spans="1:7">
      <c r="A13081" t="s">
        <v>1297</v>
      </c>
      <c r="B13081" t="s">
        <v>1298</v>
      </c>
      <c r="C13081" t="s">
        <v>653</v>
      </c>
      <c r="D13081" t="s">
        <v>1431</v>
      </c>
      <c r="E13081" t="s">
        <v>187</v>
      </c>
      <c r="F13081">
        <v>2005</v>
      </c>
      <c r="G13081">
        <v>308.80130400000002</v>
      </c>
    </row>
    <row r="13082" spans="1:7">
      <c r="A13082" t="s">
        <v>1297</v>
      </c>
      <c r="B13082" t="s">
        <v>1298</v>
      </c>
      <c r="C13082" t="s">
        <v>653</v>
      </c>
      <c r="D13082" t="s">
        <v>1431</v>
      </c>
      <c r="E13082" t="s">
        <v>187</v>
      </c>
      <c r="F13082">
        <v>2010</v>
      </c>
      <c r="G13082">
        <v>272.299035</v>
      </c>
    </row>
    <row r="13083" spans="1:7">
      <c r="A13083" t="s">
        <v>1297</v>
      </c>
      <c r="B13083" t="s">
        <v>1298</v>
      </c>
      <c r="C13083" t="s">
        <v>653</v>
      </c>
      <c r="D13083" t="s">
        <v>1431</v>
      </c>
      <c r="E13083" t="s">
        <v>187</v>
      </c>
      <c r="F13083">
        <v>2012</v>
      </c>
      <c r="G13083">
        <v>296.06904300000002</v>
      </c>
    </row>
    <row r="13084" spans="1:7">
      <c r="A13084" t="s">
        <v>1297</v>
      </c>
      <c r="B13084" t="s">
        <v>1298</v>
      </c>
      <c r="C13084" t="s">
        <v>653</v>
      </c>
      <c r="D13084" t="s">
        <v>1431</v>
      </c>
      <c r="E13084" t="s">
        <v>187</v>
      </c>
      <c r="F13084">
        <v>2016</v>
      </c>
      <c r="G13084">
        <v>326.79241100000002</v>
      </c>
    </row>
    <row r="13085" spans="1:7">
      <c r="A13085" t="s">
        <v>1297</v>
      </c>
      <c r="B13085" t="s">
        <v>1298</v>
      </c>
      <c r="C13085" t="s">
        <v>653</v>
      </c>
      <c r="D13085" t="s">
        <v>1431</v>
      </c>
      <c r="E13085" t="s">
        <v>187</v>
      </c>
      <c r="F13085">
        <v>2020</v>
      </c>
      <c r="G13085">
        <v>327.59062</v>
      </c>
    </row>
    <row r="13086" spans="1:7">
      <c r="A13086" t="s">
        <v>1297</v>
      </c>
      <c r="B13086" t="s">
        <v>1298</v>
      </c>
      <c r="C13086" t="s">
        <v>663</v>
      </c>
      <c r="D13086" t="s">
        <v>1431</v>
      </c>
      <c r="E13086" t="s">
        <v>187</v>
      </c>
      <c r="F13086">
        <v>2010</v>
      </c>
      <c r="G13086">
        <v>480.31240000000003</v>
      </c>
    </row>
    <row r="13087" spans="1:7">
      <c r="A13087" t="s">
        <v>1297</v>
      </c>
      <c r="B13087" t="s">
        <v>1298</v>
      </c>
      <c r="C13087" t="s">
        <v>663</v>
      </c>
      <c r="D13087" t="s">
        <v>1431</v>
      </c>
      <c r="E13087" t="s">
        <v>187</v>
      </c>
      <c r="F13087">
        <v>2012</v>
      </c>
      <c r="G13087">
        <v>422.81279999999998</v>
      </c>
    </row>
    <row r="13088" spans="1:7">
      <c r="A13088" t="s">
        <v>1297</v>
      </c>
      <c r="B13088" t="s">
        <v>1298</v>
      </c>
      <c r="C13088" t="s">
        <v>663</v>
      </c>
      <c r="D13088" t="s">
        <v>1431</v>
      </c>
      <c r="E13088" t="s">
        <v>187</v>
      </c>
      <c r="F13088">
        <v>2016</v>
      </c>
      <c r="G13088">
        <v>347.50011000000001</v>
      </c>
    </row>
    <row r="13089" spans="1:7">
      <c r="A13089" t="s">
        <v>1297</v>
      </c>
      <c r="B13089" t="s">
        <v>1298</v>
      </c>
      <c r="C13089" t="s">
        <v>663</v>
      </c>
      <c r="D13089" t="s">
        <v>1431</v>
      </c>
      <c r="E13089" t="s">
        <v>187</v>
      </c>
      <c r="F13089">
        <v>2020</v>
      </c>
      <c r="G13089">
        <v>340.40716200000003</v>
      </c>
    </row>
    <row r="13090" spans="1:7">
      <c r="A13090" t="s">
        <v>1297</v>
      </c>
      <c r="B13090" t="s">
        <v>1298</v>
      </c>
      <c r="C13090" t="s">
        <v>681</v>
      </c>
      <c r="D13090" t="s">
        <v>1431</v>
      </c>
      <c r="E13090" t="s">
        <v>187</v>
      </c>
      <c r="F13090">
        <v>2005</v>
      </c>
      <c r="G13090">
        <v>19.349702000000001</v>
      </c>
    </row>
    <row r="13091" spans="1:7">
      <c r="A13091" t="s">
        <v>1297</v>
      </c>
      <c r="B13091" t="s">
        <v>1298</v>
      </c>
      <c r="C13091" t="s">
        <v>681</v>
      </c>
      <c r="D13091" t="s">
        <v>1431</v>
      </c>
      <c r="E13091" t="s">
        <v>187</v>
      </c>
      <c r="F13091">
        <v>2010</v>
      </c>
      <c r="G13091">
        <v>6.774241</v>
      </c>
    </row>
    <row r="13092" spans="1:7">
      <c r="A13092" t="s">
        <v>1297</v>
      </c>
      <c r="B13092" t="s">
        <v>1298</v>
      </c>
      <c r="C13092" t="s">
        <v>681</v>
      </c>
      <c r="D13092" t="s">
        <v>1431</v>
      </c>
      <c r="E13092" t="s">
        <v>187</v>
      </c>
      <c r="F13092">
        <v>2012</v>
      </c>
      <c r="G13092">
        <v>4.647348</v>
      </c>
    </row>
    <row r="13093" spans="1:7">
      <c r="A13093" t="s">
        <v>1297</v>
      </c>
      <c r="B13093" t="s">
        <v>1298</v>
      </c>
      <c r="C13093" t="s">
        <v>681</v>
      </c>
      <c r="D13093" t="s">
        <v>1431</v>
      </c>
      <c r="E13093" t="s">
        <v>187</v>
      </c>
      <c r="F13093">
        <v>2016</v>
      </c>
      <c r="G13093">
        <v>7.4943720000000003</v>
      </c>
    </row>
    <row r="13094" spans="1:7">
      <c r="A13094" t="s">
        <v>1297</v>
      </c>
      <c r="B13094" t="s">
        <v>1298</v>
      </c>
      <c r="C13094" t="s">
        <v>681</v>
      </c>
      <c r="D13094" t="s">
        <v>1431</v>
      </c>
      <c r="E13094" t="s">
        <v>187</v>
      </c>
      <c r="F13094">
        <v>2020</v>
      </c>
      <c r="G13094">
        <v>14.03721</v>
      </c>
    </row>
    <row r="13095" spans="1:7">
      <c r="A13095" t="s">
        <v>1297</v>
      </c>
      <c r="B13095" t="s">
        <v>1298</v>
      </c>
      <c r="C13095" t="s">
        <v>679</v>
      </c>
      <c r="D13095" t="s">
        <v>1431</v>
      </c>
      <c r="E13095" t="s">
        <v>187</v>
      </c>
      <c r="F13095">
        <v>2005</v>
      </c>
      <c r="G13095">
        <v>1467.61166</v>
      </c>
    </row>
    <row r="13096" spans="1:7">
      <c r="A13096" t="s">
        <v>1297</v>
      </c>
      <c r="B13096" t="s">
        <v>1298</v>
      </c>
      <c r="C13096" t="s">
        <v>679</v>
      </c>
      <c r="D13096" t="s">
        <v>1431</v>
      </c>
      <c r="E13096" t="s">
        <v>187</v>
      </c>
      <c r="F13096">
        <v>2010</v>
      </c>
      <c r="G13096">
        <v>1409.39114</v>
      </c>
    </row>
    <row r="13097" spans="1:7">
      <c r="A13097" t="s">
        <v>1297</v>
      </c>
      <c r="B13097" t="s">
        <v>1298</v>
      </c>
      <c r="C13097" t="s">
        <v>679</v>
      </c>
      <c r="D13097" t="s">
        <v>1431</v>
      </c>
      <c r="E13097" t="s">
        <v>187</v>
      </c>
      <c r="F13097">
        <v>2012</v>
      </c>
      <c r="G13097">
        <v>1519.1932300000001</v>
      </c>
    </row>
    <row r="13098" spans="1:7">
      <c r="A13098" t="s">
        <v>1297</v>
      </c>
      <c r="B13098" t="s">
        <v>1298</v>
      </c>
      <c r="C13098" t="s">
        <v>679</v>
      </c>
      <c r="D13098" t="s">
        <v>1431</v>
      </c>
      <c r="E13098" t="s">
        <v>187</v>
      </c>
      <c r="F13098">
        <v>2016</v>
      </c>
      <c r="G13098">
        <v>1571.1898619999999</v>
      </c>
    </row>
    <row r="13099" spans="1:7">
      <c r="A13099" t="s">
        <v>1297</v>
      </c>
      <c r="B13099" t="s">
        <v>1298</v>
      </c>
      <c r="C13099" t="s">
        <v>679</v>
      </c>
      <c r="D13099" t="s">
        <v>1431</v>
      </c>
      <c r="E13099" t="s">
        <v>187</v>
      </c>
      <c r="F13099">
        <v>2020</v>
      </c>
      <c r="G13099">
        <v>1540.1871120000001</v>
      </c>
    </row>
    <row r="13100" spans="1:7">
      <c r="A13100" t="s">
        <v>1297</v>
      </c>
      <c r="B13100" t="s">
        <v>1298</v>
      </c>
      <c r="C13100" t="s">
        <v>662</v>
      </c>
      <c r="D13100" t="s">
        <v>1431</v>
      </c>
      <c r="E13100" t="s">
        <v>187</v>
      </c>
      <c r="F13100">
        <v>2005</v>
      </c>
      <c r="G13100">
        <v>1029.014627</v>
      </c>
    </row>
    <row r="13101" spans="1:7">
      <c r="A13101" t="s">
        <v>1297</v>
      </c>
      <c r="B13101" t="s">
        <v>1298</v>
      </c>
      <c r="C13101" t="s">
        <v>662</v>
      </c>
      <c r="D13101" t="s">
        <v>1431</v>
      </c>
      <c r="E13101" t="s">
        <v>187</v>
      </c>
      <c r="F13101">
        <v>2010</v>
      </c>
      <c r="G13101">
        <v>1028.055564</v>
      </c>
    </row>
    <row r="13102" spans="1:7">
      <c r="A13102" t="s">
        <v>1297</v>
      </c>
      <c r="B13102" t="s">
        <v>1298</v>
      </c>
      <c r="C13102" t="s">
        <v>662</v>
      </c>
      <c r="D13102" t="s">
        <v>1431</v>
      </c>
      <c r="E13102" t="s">
        <v>187</v>
      </c>
      <c r="F13102">
        <v>2012</v>
      </c>
      <c r="G13102">
        <v>1141.4272759999999</v>
      </c>
    </row>
    <row r="13103" spans="1:7">
      <c r="A13103" t="s">
        <v>1297</v>
      </c>
      <c r="B13103" t="s">
        <v>1298</v>
      </c>
      <c r="C13103" t="s">
        <v>662</v>
      </c>
      <c r="D13103" t="s">
        <v>1431</v>
      </c>
      <c r="E13103" t="s">
        <v>187</v>
      </c>
      <c r="F13103">
        <v>2016</v>
      </c>
      <c r="G13103">
        <v>1409.6740359999999</v>
      </c>
    </row>
    <row r="13104" spans="1:7">
      <c r="A13104" t="s">
        <v>1297</v>
      </c>
      <c r="B13104" t="s">
        <v>1298</v>
      </c>
      <c r="C13104" t="s">
        <v>662</v>
      </c>
      <c r="D13104" t="s">
        <v>1431</v>
      </c>
      <c r="E13104" t="s">
        <v>187</v>
      </c>
      <c r="F13104">
        <v>2020</v>
      </c>
      <c r="G13104">
        <v>1425.2075050000001</v>
      </c>
    </row>
    <row r="13105" spans="1:7">
      <c r="A13105" t="s">
        <v>1297</v>
      </c>
      <c r="B13105" t="s">
        <v>1298</v>
      </c>
      <c r="C13105" t="s">
        <v>657</v>
      </c>
      <c r="D13105" t="s">
        <v>1431</v>
      </c>
      <c r="E13105" t="s">
        <v>187</v>
      </c>
      <c r="F13105">
        <v>2005</v>
      </c>
      <c r="G13105">
        <v>354.63049999999998</v>
      </c>
    </row>
    <row r="13106" spans="1:7">
      <c r="A13106" t="s">
        <v>1297</v>
      </c>
      <c r="B13106" t="s">
        <v>1298</v>
      </c>
      <c r="C13106" t="s">
        <v>657</v>
      </c>
      <c r="D13106" t="s">
        <v>1431</v>
      </c>
      <c r="E13106" t="s">
        <v>187</v>
      </c>
      <c r="F13106">
        <v>2010</v>
      </c>
      <c r="G13106">
        <v>325.51745</v>
      </c>
    </row>
    <row r="13107" spans="1:7">
      <c r="A13107" t="s">
        <v>1297</v>
      </c>
      <c r="B13107" t="s">
        <v>1298</v>
      </c>
      <c r="C13107" t="s">
        <v>657</v>
      </c>
      <c r="D13107" t="s">
        <v>1431</v>
      </c>
      <c r="E13107" t="s">
        <v>187</v>
      </c>
      <c r="F13107">
        <v>2012</v>
      </c>
      <c r="G13107">
        <v>334.97805</v>
      </c>
    </row>
    <row r="13108" spans="1:7">
      <c r="A13108" t="s">
        <v>1297</v>
      </c>
      <c r="B13108" t="s">
        <v>1298</v>
      </c>
      <c r="C13108" t="s">
        <v>657</v>
      </c>
      <c r="D13108" t="s">
        <v>1431</v>
      </c>
      <c r="E13108" t="s">
        <v>187</v>
      </c>
      <c r="F13108">
        <v>2016</v>
      </c>
      <c r="G13108">
        <v>502.31781100000001</v>
      </c>
    </row>
    <row r="13109" spans="1:7">
      <c r="A13109" t="s">
        <v>1297</v>
      </c>
      <c r="B13109" t="s">
        <v>1298</v>
      </c>
      <c r="C13109" t="s">
        <v>657</v>
      </c>
      <c r="D13109" t="s">
        <v>1431</v>
      </c>
      <c r="E13109" t="s">
        <v>187</v>
      </c>
      <c r="F13109">
        <v>2020</v>
      </c>
      <c r="G13109">
        <v>422.78856400000001</v>
      </c>
    </row>
    <row r="13110" spans="1:7">
      <c r="A13110" t="s">
        <v>1297</v>
      </c>
      <c r="B13110" t="s">
        <v>1298</v>
      </c>
      <c r="C13110" t="s">
        <v>656</v>
      </c>
      <c r="D13110" t="s">
        <v>1431</v>
      </c>
      <c r="E13110" t="s">
        <v>187</v>
      </c>
      <c r="F13110">
        <v>2005</v>
      </c>
      <c r="G13110">
        <v>6446.4069280000003</v>
      </c>
    </row>
    <row r="13111" spans="1:7">
      <c r="A13111" t="s">
        <v>1297</v>
      </c>
      <c r="B13111" t="s">
        <v>1298</v>
      </c>
      <c r="C13111" t="s">
        <v>656</v>
      </c>
      <c r="D13111" t="s">
        <v>1431</v>
      </c>
      <c r="E13111" t="s">
        <v>187</v>
      </c>
      <c r="F13111">
        <v>2010</v>
      </c>
      <c r="G13111">
        <v>5466.1077420000001</v>
      </c>
    </row>
    <row r="13112" spans="1:7">
      <c r="A13112" t="s">
        <v>1297</v>
      </c>
      <c r="B13112" t="s">
        <v>1298</v>
      </c>
      <c r="C13112" t="s">
        <v>656</v>
      </c>
      <c r="D13112" t="s">
        <v>1431</v>
      </c>
      <c r="E13112" t="s">
        <v>187</v>
      </c>
      <c r="F13112">
        <v>2012</v>
      </c>
      <c r="G13112">
        <v>5409.6359499999999</v>
      </c>
    </row>
    <row r="13113" spans="1:7">
      <c r="A13113" t="s">
        <v>1297</v>
      </c>
      <c r="B13113" t="s">
        <v>1298</v>
      </c>
      <c r="C13113" t="s">
        <v>656</v>
      </c>
      <c r="D13113" t="s">
        <v>1431</v>
      </c>
      <c r="E13113" t="s">
        <v>187</v>
      </c>
      <c r="F13113">
        <v>2016</v>
      </c>
      <c r="G13113">
        <v>5387.6432189999996</v>
      </c>
    </row>
    <row r="13114" spans="1:7">
      <c r="A13114" t="s">
        <v>1297</v>
      </c>
      <c r="B13114" t="s">
        <v>1298</v>
      </c>
      <c r="C13114" t="s">
        <v>656</v>
      </c>
      <c r="D13114" t="s">
        <v>1431</v>
      </c>
      <c r="E13114" t="s">
        <v>187</v>
      </c>
      <c r="F13114">
        <v>2020</v>
      </c>
      <c r="G13114">
        <v>5271.9494299999997</v>
      </c>
    </row>
    <row r="13115" spans="1:7">
      <c r="A13115" t="s">
        <v>1297</v>
      </c>
      <c r="B13115" t="s">
        <v>1298</v>
      </c>
      <c r="C13115" t="s">
        <v>675</v>
      </c>
      <c r="D13115" t="s">
        <v>1431</v>
      </c>
      <c r="E13115" t="s">
        <v>187</v>
      </c>
      <c r="F13115">
        <v>2005</v>
      </c>
      <c r="G13115">
        <v>0.58120000000000005</v>
      </c>
    </row>
    <row r="13116" spans="1:7">
      <c r="A13116" t="s">
        <v>1297</v>
      </c>
      <c r="B13116" t="s">
        <v>1298</v>
      </c>
      <c r="C13116" t="s">
        <v>675</v>
      </c>
      <c r="D13116" t="s">
        <v>1431</v>
      </c>
      <c r="E13116" t="s">
        <v>187</v>
      </c>
      <c r="F13116">
        <v>2010</v>
      </c>
      <c r="G13116">
        <v>0.29676200000000003</v>
      </c>
    </row>
    <row r="13117" spans="1:7">
      <c r="A13117" t="s">
        <v>1297</v>
      </c>
      <c r="B13117" t="s">
        <v>1298</v>
      </c>
      <c r="C13117" t="s">
        <v>675</v>
      </c>
      <c r="D13117" t="s">
        <v>1431</v>
      </c>
      <c r="E13117" t="s">
        <v>187</v>
      </c>
      <c r="F13117">
        <v>2012</v>
      </c>
      <c r="G13117">
        <v>0.34079999999999999</v>
      </c>
    </row>
    <row r="13118" spans="1:7">
      <c r="A13118" t="s">
        <v>1297</v>
      </c>
      <c r="B13118" t="s">
        <v>1298</v>
      </c>
      <c r="C13118" t="s">
        <v>675</v>
      </c>
      <c r="D13118" t="s">
        <v>1431</v>
      </c>
      <c r="E13118" t="s">
        <v>187</v>
      </c>
      <c r="F13118">
        <v>2016</v>
      </c>
      <c r="G13118">
        <v>0.25559399999999999</v>
      </c>
    </row>
    <row r="13119" spans="1:7">
      <c r="A13119" t="s">
        <v>1297</v>
      </c>
      <c r="B13119" t="s">
        <v>1298</v>
      </c>
      <c r="C13119" t="s">
        <v>675</v>
      </c>
      <c r="D13119" t="s">
        <v>1431</v>
      </c>
      <c r="E13119" t="s">
        <v>187</v>
      </c>
      <c r="F13119">
        <v>2020</v>
      </c>
      <c r="G13119">
        <v>0.23821800000000001</v>
      </c>
    </row>
    <row r="13120" spans="1:7">
      <c r="A13120" t="s">
        <v>1297</v>
      </c>
      <c r="B13120" t="s">
        <v>1298</v>
      </c>
      <c r="C13120" t="s">
        <v>651</v>
      </c>
      <c r="D13120" t="s">
        <v>1431</v>
      </c>
      <c r="E13120" t="s">
        <v>187</v>
      </c>
      <c r="F13120">
        <v>2005</v>
      </c>
      <c r="G13120">
        <v>425.64110899999997</v>
      </c>
    </row>
    <row r="13121" spans="1:7">
      <c r="A13121" t="s">
        <v>1297</v>
      </c>
      <c r="B13121" t="s">
        <v>1298</v>
      </c>
      <c r="C13121" t="s">
        <v>663</v>
      </c>
      <c r="D13121" t="s">
        <v>1431</v>
      </c>
      <c r="E13121" t="s">
        <v>187</v>
      </c>
      <c r="F13121">
        <v>2005</v>
      </c>
      <c r="G13121">
        <v>451.66910000000001</v>
      </c>
    </row>
    <row r="13122" spans="1:7">
      <c r="A13122" t="s">
        <v>1297</v>
      </c>
      <c r="B13122" t="s">
        <v>1298</v>
      </c>
      <c r="C13122" t="s">
        <v>289</v>
      </c>
      <c r="D13122" t="s">
        <v>1431</v>
      </c>
      <c r="E13122" t="s">
        <v>187</v>
      </c>
      <c r="F13122">
        <v>2005</v>
      </c>
      <c r="G13122">
        <v>258.30911200000003</v>
      </c>
    </row>
    <row r="13123" spans="1:7">
      <c r="A13123" t="s">
        <v>1297</v>
      </c>
      <c r="B13123" t="s">
        <v>1298</v>
      </c>
      <c r="C13123" t="s">
        <v>289</v>
      </c>
      <c r="D13123" t="s">
        <v>1431</v>
      </c>
      <c r="E13123" t="s">
        <v>187</v>
      </c>
      <c r="F13123">
        <v>2010</v>
      </c>
      <c r="G13123">
        <v>198.45677000000001</v>
      </c>
    </row>
    <row r="13124" spans="1:7">
      <c r="A13124" t="s">
        <v>1297</v>
      </c>
      <c r="B13124" t="s">
        <v>1298</v>
      </c>
      <c r="C13124" t="s">
        <v>289</v>
      </c>
      <c r="D13124" t="s">
        <v>1431</v>
      </c>
      <c r="E13124" t="s">
        <v>187</v>
      </c>
      <c r="F13124">
        <v>2012</v>
      </c>
      <c r="G13124">
        <v>170.317903</v>
      </c>
    </row>
    <row r="13125" spans="1:7">
      <c r="A13125" t="s">
        <v>1297</v>
      </c>
      <c r="B13125" t="s">
        <v>1298</v>
      </c>
      <c r="C13125" t="s">
        <v>289</v>
      </c>
      <c r="D13125" t="s">
        <v>1431</v>
      </c>
      <c r="E13125" t="s">
        <v>187</v>
      </c>
      <c r="F13125">
        <v>2016</v>
      </c>
      <c r="G13125">
        <v>166.01338799999999</v>
      </c>
    </row>
    <row r="13126" spans="1:7">
      <c r="A13126" t="s">
        <v>1297</v>
      </c>
      <c r="B13126" t="s">
        <v>1298</v>
      </c>
      <c r="C13126" t="s">
        <v>289</v>
      </c>
      <c r="D13126" t="s">
        <v>1431</v>
      </c>
      <c r="E13126" t="s">
        <v>187</v>
      </c>
      <c r="F13126">
        <v>2020</v>
      </c>
      <c r="G13126">
        <v>129.877815</v>
      </c>
    </row>
    <row r="13127" spans="1:7">
      <c r="A13127" t="s">
        <v>1297</v>
      </c>
      <c r="B13127" t="s">
        <v>1298</v>
      </c>
      <c r="C13127" t="s">
        <v>672</v>
      </c>
      <c r="D13127" t="s">
        <v>1431</v>
      </c>
      <c r="E13127" t="s">
        <v>187</v>
      </c>
      <c r="F13127">
        <v>2005</v>
      </c>
      <c r="G13127">
        <v>680.60075600000005</v>
      </c>
    </row>
    <row r="13128" spans="1:7">
      <c r="A13128" t="s">
        <v>1297</v>
      </c>
      <c r="B13128" t="s">
        <v>1298</v>
      </c>
      <c r="C13128" t="s">
        <v>672</v>
      </c>
      <c r="D13128" t="s">
        <v>1431</v>
      </c>
      <c r="E13128" t="s">
        <v>187</v>
      </c>
      <c r="F13128">
        <v>2010</v>
      </c>
      <c r="G13128">
        <v>542.08912799999996</v>
      </c>
    </row>
    <row r="13129" spans="1:7">
      <c r="A13129" t="s">
        <v>1297</v>
      </c>
      <c r="B13129" t="s">
        <v>1298</v>
      </c>
      <c r="C13129" t="s">
        <v>672</v>
      </c>
      <c r="D13129" t="s">
        <v>1431</v>
      </c>
      <c r="E13129" t="s">
        <v>187</v>
      </c>
      <c r="F13129">
        <v>2012</v>
      </c>
      <c r="G13129">
        <v>524.64120500000001</v>
      </c>
    </row>
    <row r="13130" spans="1:7">
      <c r="A13130" t="s">
        <v>1297</v>
      </c>
      <c r="B13130" t="s">
        <v>1298</v>
      </c>
      <c r="C13130" t="s">
        <v>672</v>
      </c>
      <c r="D13130" t="s">
        <v>1431</v>
      </c>
      <c r="E13130" t="s">
        <v>187</v>
      </c>
      <c r="F13130">
        <v>2016</v>
      </c>
      <c r="G13130">
        <v>676.45191799999998</v>
      </c>
    </row>
    <row r="13131" spans="1:7">
      <c r="A13131" t="s">
        <v>1297</v>
      </c>
      <c r="B13131" t="s">
        <v>1298</v>
      </c>
      <c r="C13131" t="s">
        <v>672</v>
      </c>
      <c r="D13131" t="s">
        <v>1431</v>
      </c>
      <c r="E13131" t="s">
        <v>187</v>
      </c>
      <c r="F13131">
        <v>2020</v>
      </c>
      <c r="G13131">
        <v>583.72093500000005</v>
      </c>
    </row>
    <row r="13132" spans="1:7">
      <c r="A13132" t="s">
        <v>1297</v>
      </c>
      <c r="B13132" t="s">
        <v>1298</v>
      </c>
      <c r="C13132" t="s">
        <v>665</v>
      </c>
      <c r="D13132" t="s">
        <v>1431</v>
      </c>
      <c r="E13132" t="s">
        <v>187</v>
      </c>
      <c r="F13132">
        <v>2005</v>
      </c>
      <c r="G13132">
        <v>4930.0675760000004</v>
      </c>
    </row>
    <row r="13133" spans="1:7">
      <c r="A13133" t="s">
        <v>1297</v>
      </c>
      <c r="B13133" t="s">
        <v>1298</v>
      </c>
      <c r="C13133" t="s">
        <v>665</v>
      </c>
      <c r="D13133" t="s">
        <v>1431</v>
      </c>
      <c r="E13133" t="s">
        <v>187</v>
      </c>
      <c r="F13133">
        <v>2010</v>
      </c>
      <c r="G13133">
        <v>4242.8976949999997</v>
      </c>
    </row>
    <row r="13134" spans="1:7">
      <c r="A13134" t="s">
        <v>1297</v>
      </c>
      <c r="B13134" t="s">
        <v>1298</v>
      </c>
      <c r="C13134" t="s">
        <v>665</v>
      </c>
      <c r="D13134" t="s">
        <v>1431</v>
      </c>
      <c r="E13134" t="s">
        <v>187</v>
      </c>
      <c r="F13134">
        <v>2012</v>
      </c>
      <c r="G13134">
        <v>3816.3003039999999</v>
      </c>
    </row>
    <row r="13135" spans="1:7">
      <c r="A13135" t="s">
        <v>1297</v>
      </c>
      <c r="B13135" t="s">
        <v>1298</v>
      </c>
      <c r="C13135" t="s">
        <v>665</v>
      </c>
      <c r="D13135" t="s">
        <v>1431</v>
      </c>
      <c r="E13135" t="s">
        <v>187</v>
      </c>
      <c r="F13135">
        <v>2016</v>
      </c>
      <c r="G13135">
        <v>3322.6367479999999</v>
      </c>
    </row>
    <row r="13136" spans="1:7">
      <c r="A13136" t="s">
        <v>1297</v>
      </c>
      <c r="B13136" t="s">
        <v>1298</v>
      </c>
      <c r="C13136" t="s">
        <v>665</v>
      </c>
      <c r="D13136" t="s">
        <v>1431</v>
      </c>
      <c r="E13136" t="s">
        <v>187</v>
      </c>
      <c r="F13136">
        <v>2020</v>
      </c>
      <c r="G13136">
        <v>3530.229006</v>
      </c>
    </row>
    <row r="13137" spans="1:7">
      <c r="A13137" t="s">
        <v>1297</v>
      </c>
      <c r="B13137" t="s">
        <v>1298</v>
      </c>
      <c r="C13137" t="s">
        <v>1301</v>
      </c>
      <c r="D13137" t="s">
        <v>1431</v>
      </c>
      <c r="E13137" t="s">
        <v>187</v>
      </c>
      <c r="F13137">
        <v>2005</v>
      </c>
      <c r="G13137">
        <v>1130.89742</v>
      </c>
    </row>
    <row r="13138" spans="1:7">
      <c r="A13138" t="s">
        <v>1297</v>
      </c>
      <c r="B13138" t="s">
        <v>1298</v>
      </c>
      <c r="C13138" t="s">
        <v>1301</v>
      </c>
      <c r="D13138" t="s">
        <v>1431</v>
      </c>
      <c r="E13138" t="s">
        <v>187</v>
      </c>
      <c r="F13138">
        <v>2010</v>
      </c>
      <c r="G13138">
        <v>915.22492</v>
      </c>
    </row>
    <row r="13139" spans="1:7">
      <c r="A13139" t="s">
        <v>1297</v>
      </c>
      <c r="B13139" t="s">
        <v>1298</v>
      </c>
      <c r="C13139" t="s">
        <v>1301</v>
      </c>
      <c r="D13139" t="s">
        <v>1431</v>
      </c>
      <c r="E13139" t="s">
        <v>187</v>
      </c>
      <c r="F13139">
        <v>2012</v>
      </c>
      <c r="G13139">
        <v>1168.563095</v>
      </c>
    </row>
    <row r="13140" spans="1:7">
      <c r="A13140" t="s">
        <v>1297</v>
      </c>
      <c r="B13140" t="s">
        <v>1298</v>
      </c>
      <c r="C13140" t="s">
        <v>1301</v>
      </c>
      <c r="D13140" t="s">
        <v>1431</v>
      </c>
      <c r="E13140" t="s">
        <v>187</v>
      </c>
      <c r="F13140">
        <v>2016</v>
      </c>
      <c r="G13140">
        <v>1566.57311</v>
      </c>
    </row>
    <row r="13141" spans="1:7">
      <c r="A13141" t="s">
        <v>1297</v>
      </c>
      <c r="B13141" t="s">
        <v>1298</v>
      </c>
      <c r="C13141" t="s">
        <v>1301</v>
      </c>
      <c r="D13141" t="s">
        <v>1431</v>
      </c>
      <c r="E13141" t="s">
        <v>187</v>
      </c>
      <c r="F13141">
        <v>2020</v>
      </c>
      <c r="G13141">
        <v>1811.722354</v>
      </c>
    </row>
    <row r="13142" spans="1:7">
      <c r="A13142" t="s">
        <v>1297</v>
      </c>
      <c r="B13142" t="s">
        <v>1298</v>
      </c>
      <c r="C13142" t="s">
        <v>654</v>
      </c>
      <c r="D13142" t="s">
        <v>1431</v>
      </c>
      <c r="E13142" t="s">
        <v>187</v>
      </c>
      <c r="F13142">
        <v>2005</v>
      </c>
      <c r="G13142">
        <v>45.533110000000001</v>
      </c>
    </row>
    <row r="13143" spans="1:7">
      <c r="A13143" t="s">
        <v>1297</v>
      </c>
      <c r="B13143" t="s">
        <v>1298</v>
      </c>
      <c r="C13143" t="s">
        <v>654</v>
      </c>
      <c r="D13143" t="s">
        <v>1431</v>
      </c>
      <c r="E13143" t="s">
        <v>187</v>
      </c>
      <c r="F13143">
        <v>2010</v>
      </c>
      <c r="G13143">
        <v>49.981161999999998</v>
      </c>
    </row>
    <row r="13144" spans="1:7">
      <c r="A13144" t="s">
        <v>1297</v>
      </c>
      <c r="B13144" t="s">
        <v>1298</v>
      </c>
      <c r="C13144" t="s">
        <v>654</v>
      </c>
      <c r="D13144" t="s">
        <v>1431</v>
      </c>
      <c r="E13144" t="s">
        <v>187</v>
      </c>
      <c r="F13144">
        <v>2012</v>
      </c>
      <c r="G13144">
        <v>45.876654000000002</v>
      </c>
    </row>
    <row r="13145" spans="1:7">
      <c r="A13145" t="s">
        <v>1297</v>
      </c>
      <c r="B13145" t="s">
        <v>1298</v>
      </c>
      <c r="C13145" t="s">
        <v>666</v>
      </c>
      <c r="D13145" t="s">
        <v>1431</v>
      </c>
      <c r="E13145" t="s">
        <v>187</v>
      </c>
      <c r="F13145">
        <v>2005</v>
      </c>
      <c r="G13145">
        <v>423.23921999999999</v>
      </c>
    </row>
    <row r="13146" spans="1:7">
      <c r="A13146" t="s">
        <v>1297</v>
      </c>
      <c r="B13146" t="s">
        <v>1298</v>
      </c>
      <c r="C13146" t="s">
        <v>666</v>
      </c>
      <c r="D13146" t="s">
        <v>1431</v>
      </c>
      <c r="E13146" t="s">
        <v>187</v>
      </c>
      <c r="F13146">
        <v>2010</v>
      </c>
      <c r="G13146">
        <v>433.47996999999998</v>
      </c>
    </row>
    <row r="13147" spans="1:7">
      <c r="A13147" t="s">
        <v>1297</v>
      </c>
      <c r="B13147" t="s">
        <v>1298</v>
      </c>
      <c r="C13147" t="s">
        <v>666</v>
      </c>
      <c r="D13147" t="s">
        <v>1431</v>
      </c>
      <c r="E13147" t="s">
        <v>187</v>
      </c>
      <c r="F13147">
        <v>2012</v>
      </c>
      <c r="G13147">
        <v>422.55010499999997</v>
      </c>
    </row>
    <row r="13148" spans="1:7">
      <c r="A13148" t="s">
        <v>1297</v>
      </c>
      <c r="B13148" t="s">
        <v>1298</v>
      </c>
      <c r="C13148" t="s">
        <v>666</v>
      </c>
      <c r="D13148" t="s">
        <v>1431</v>
      </c>
      <c r="E13148" t="s">
        <v>187</v>
      </c>
      <c r="F13148">
        <v>2016</v>
      </c>
      <c r="G13148">
        <v>459.97796</v>
      </c>
    </row>
    <row r="13149" spans="1:7">
      <c r="A13149" t="s">
        <v>1297</v>
      </c>
      <c r="B13149" t="s">
        <v>1298</v>
      </c>
      <c r="C13149" t="s">
        <v>666</v>
      </c>
      <c r="D13149" t="s">
        <v>1431</v>
      </c>
      <c r="E13149" t="s">
        <v>187</v>
      </c>
      <c r="F13149">
        <v>2020</v>
      </c>
      <c r="G13149">
        <v>438.97660500000001</v>
      </c>
    </row>
    <row r="13150" spans="1:7">
      <c r="A13150" t="s">
        <v>1297</v>
      </c>
      <c r="B13150" t="s">
        <v>1298</v>
      </c>
      <c r="C13150" t="s">
        <v>661</v>
      </c>
      <c r="D13150" t="s">
        <v>1431</v>
      </c>
      <c r="E13150" t="s">
        <v>187</v>
      </c>
      <c r="F13150">
        <v>2005</v>
      </c>
      <c r="G13150">
        <v>4008.4140910000001</v>
      </c>
    </row>
    <row r="13151" spans="1:7">
      <c r="A13151" t="s">
        <v>1297</v>
      </c>
      <c r="B13151" t="s">
        <v>1298</v>
      </c>
      <c r="C13151" t="s">
        <v>661</v>
      </c>
      <c r="D13151" t="s">
        <v>1431</v>
      </c>
      <c r="E13151" t="s">
        <v>187</v>
      </c>
      <c r="F13151">
        <v>2010</v>
      </c>
      <c r="G13151">
        <v>3463.5359469999999</v>
      </c>
    </row>
    <row r="13152" spans="1:7">
      <c r="A13152" t="s">
        <v>1297</v>
      </c>
      <c r="B13152" t="s">
        <v>1298</v>
      </c>
      <c r="C13152" t="s">
        <v>661</v>
      </c>
      <c r="D13152" t="s">
        <v>1431</v>
      </c>
      <c r="E13152" t="s">
        <v>187</v>
      </c>
      <c r="F13152">
        <v>2012</v>
      </c>
      <c r="G13152">
        <v>2968.191311</v>
      </c>
    </row>
    <row r="13153" spans="1:7">
      <c r="A13153" t="s">
        <v>1297</v>
      </c>
      <c r="B13153" t="s">
        <v>1298</v>
      </c>
      <c r="C13153" t="s">
        <v>661</v>
      </c>
      <c r="D13153" t="s">
        <v>1431</v>
      </c>
      <c r="E13153" t="s">
        <v>187</v>
      </c>
      <c r="F13153">
        <v>2016</v>
      </c>
      <c r="G13153">
        <v>2828.198011</v>
      </c>
    </row>
    <row r="13154" spans="1:7">
      <c r="A13154" t="s">
        <v>1297</v>
      </c>
      <c r="B13154" t="s">
        <v>1298</v>
      </c>
      <c r="C13154" t="s">
        <v>661</v>
      </c>
      <c r="D13154" t="s">
        <v>1431</v>
      </c>
      <c r="E13154" t="s">
        <v>187</v>
      </c>
      <c r="F13154">
        <v>2020</v>
      </c>
      <c r="G13154">
        <v>2415.5256340000001</v>
      </c>
    </row>
    <row r="13155" spans="1:7">
      <c r="A13155" t="s">
        <v>1297</v>
      </c>
      <c r="B13155" t="s">
        <v>1298</v>
      </c>
      <c r="C13155" t="s">
        <v>654</v>
      </c>
      <c r="D13155" t="s">
        <v>1431</v>
      </c>
      <c r="E13155" t="s">
        <v>187</v>
      </c>
      <c r="F13155">
        <v>2016</v>
      </c>
      <c r="G13155">
        <v>42.408380999999999</v>
      </c>
    </row>
    <row r="13156" spans="1:7">
      <c r="A13156" t="s">
        <v>1297</v>
      </c>
      <c r="B13156" t="s">
        <v>1298</v>
      </c>
      <c r="C13156" t="s">
        <v>654</v>
      </c>
      <c r="D13156" t="s">
        <v>1431</v>
      </c>
      <c r="E13156" t="s">
        <v>187</v>
      </c>
      <c r="F13156">
        <v>2020</v>
      </c>
      <c r="G13156">
        <v>42.478516999999997</v>
      </c>
    </row>
    <row r="13157" spans="1:7">
      <c r="A13157" t="s">
        <v>1297</v>
      </c>
      <c r="B13157" t="s">
        <v>1298</v>
      </c>
      <c r="C13157" t="s">
        <v>655</v>
      </c>
      <c r="D13157" t="s">
        <v>1431</v>
      </c>
      <c r="E13157" t="s">
        <v>187</v>
      </c>
      <c r="F13157">
        <v>2005</v>
      </c>
      <c r="G13157">
        <v>358.00212299999998</v>
      </c>
    </row>
    <row r="13158" spans="1:7">
      <c r="A13158" t="s">
        <v>1297</v>
      </c>
      <c r="B13158" t="s">
        <v>1298</v>
      </c>
      <c r="C13158" t="s">
        <v>655</v>
      </c>
      <c r="D13158" t="s">
        <v>1431</v>
      </c>
      <c r="E13158" t="s">
        <v>187</v>
      </c>
      <c r="F13158">
        <v>2010</v>
      </c>
      <c r="G13158">
        <v>361.835106</v>
      </c>
    </row>
    <row r="13159" spans="1:7">
      <c r="A13159" t="s">
        <v>1297</v>
      </c>
      <c r="B13159" t="s">
        <v>1298</v>
      </c>
      <c r="C13159" t="s">
        <v>655</v>
      </c>
      <c r="D13159" t="s">
        <v>1431</v>
      </c>
      <c r="E13159" t="s">
        <v>187</v>
      </c>
      <c r="F13159">
        <v>2012</v>
      </c>
      <c r="G13159">
        <v>336.81043099999999</v>
      </c>
    </row>
    <row r="13160" spans="1:7">
      <c r="A13160" t="s">
        <v>1297</v>
      </c>
      <c r="B13160" t="s">
        <v>1298</v>
      </c>
      <c r="C13160" t="s">
        <v>655</v>
      </c>
      <c r="D13160" t="s">
        <v>1431</v>
      </c>
      <c r="E13160" t="s">
        <v>187</v>
      </c>
      <c r="F13160">
        <v>2016</v>
      </c>
      <c r="G13160">
        <v>252.20507799999999</v>
      </c>
    </row>
    <row r="13161" spans="1:7">
      <c r="A13161" t="s">
        <v>1297</v>
      </c>
      <c r="B13161" t="s">
        <v>1298</v>
      </c>
      <c r="C13161" t="s">
        <v>655</v>
      </c>
      <c r="D13161" t="s">
        <v>1431</v>
      </c>
      <c r="E13161" t="s">
        <v>187</v>
      </c>
      <c r="F13161">
        <v>2020</v>
      </c>
      <c r="G13161">
        <v>355.33236900000003</v>
      </c>
    </row>
    <row r="13162" spans="1:7">
      <c r="A13162" t="s">
        <v>1297</v>
      </c>
      <c r="B13162" t="s">
        <v>1298</v>
      </c>
      <c r="C13162" t="s">
        <v>663</v>
      </c>
      <c r="D13162" t="s">
        <v>1432</v>
      </c>
      <c r="E13162" t="s">
        <v>187</v>
      </c>
      <c r="F13162">
        <v>2005</v>
      </c>
      <c r="G13162">
        <v>6.3600000000000004E-2</v>
      </c>
    </row>
    <row r="13163" spans="1:7">
      <c r="A13163" t="s">
        <v>1297</v>
      </c>
      <c r="B13163" t="s">
        <v>1298</v>
      </c>
      <c r="C13163" t="s">
        <v>665</v>
      </c>
      <c r="D13163" t="s">
        <v>1432</v>
      </c>
      <c r="E13163" t="s">
        <v>187</v>
      </c>
      <c r="F13163">
        <v>2005</v>
      </c>
      <c r="G13163">
        <v>0.128</v>
      </c>
    </row>
    <row r="13164" spans="1:7">
      <c r="A13164" t="s">
        <v>1297</v>
      </c>
      <c r="B13164" t="s">
        <v>1298</v>
      </c>
      <c r="C13164" t="s">
        <v>673</v>
      </c>
      <c r="D13164" t="s">
        <v>1432</v>
      </c>
      <c r="E13164" t="s">
        <v>187</v>
      </c>
      <c r="F13164">
        <v>2005</v>
      </c>
      <c r="G13164">
        <v>6.6881519999999997</v>
      </c>
    </row>
    <row r="13165" spans="1:7">
      <c r="A13165" t="s">
        <v>1297</v>
      </c>
      <c r="B13165" t="s">
        <v>1298</v>
      </c>
      <c r="C13165" t="s">
        <v>673</v>
      </c>
      <c r="D13165" t="s">
        <v>1432</v>
      </c>
      <c r="E13165" t="s">
        <v>187</v>
      </c>
      <c r="F13165">
        <v>2010</v>
      </c>
      <c r="G13165">
        <v>24.480924999999999</v>
      </c>
    </row>
    <row r="13166" spans="1:7">
      <c r="A13166" t="s">
        <v>1297</v>
      </c>
      <c r="B13166" t="s">
        <v>1298</v>
      </c>
      <c r="C13166" t="s">
        <v>662</v>
      </c>
      <c r="D13166" t="s">
        <v>1432</v>
      </c>
      <c r="E13166" t="s">
        <v>187</v>
      </c>
      <c r="F13166">
        <v>2012</v>
      </c>
      <c r="G13166">
        <v>4.2000000000000003E-2</v>
      </c>
    </row>
    <row r="13167" spans="1:7">
      <c r="A13167" t="s">
        <v>1297</v>
      </c>
      <c r="B13167" t="s">
        <v>1298</v>
      </c>
      <c r="C13167" t="s">
        <v>662</v>
      </c>
      <c r="D13167" t="s">
        <v>1432</v>
      </c>
      <c r="E13167" t="s">
        <v>187</v>
      </c>
      <c r="F13167">
        <v>2016</v>
      </c>
      <c r="G13167">
        <v>4.2000000000000003E-2</v>
      </c>
    </row>
    <row r="13168" spans="1:7">
      <c r="A13168" t="s">
        <v>1297</v>
      </c>
      <c r="B13168" t="s">
        <v>1298</v>
      </c>
      <c r="C13168" t="s">
        <v>662</v>
      </c>
      <c r="D13168" t="s">
        <v>1432</v>
      </c>
      <c r="E13168" t="s">
        <v>187</v>
      </c>
      <c r="F13168">
        <v>2020</v>
      </c>
      <c r="G13168">
        <v>0.13750799999999999</v>
      </c>
    </row>
    <row r="13169" spans="1:7">
      <c r="A13169" t="s">
        <v>1297</v>
      </c>
      <c r="B13169" t="s">
        <v>1298</v>
      </c>
      <c r="C13169" t="s">
        <v>655</v>
      </c>
      <c r="D13169" t="s">
        <v>1432</v>
      </c>
      <c r="E13169" t="s">
        <v>187</v>
      </c>
      <c r="F13169">
        <v>2005</v>
      </c>
      <c r="G13169">
        <v>2.617216</v>
      </c>
    </row>
    <row r="13170" spans="1:7">
      <c r="A13170" t="s">
        <v>1297</v>
      </c>
      <c r="B13170" t="s">
        <v>1298</v>
      </c>
      <c r="C13170" t="s">
        <v>655</v>
      </c>
      <c r="D13170" t="s">
        <v>1432</v>
      </c>
      <c r="E13170" t="s">
        <v>187</v>
      </c>
      <c r="F13170">
        <v>2010</v>
      </c>
      <c r="G13170">
        <v>3.1060379999999999</v>
      </c>
    </row>
    <row r="13171" spans="1:7">
      <c r="A13171" t="s">
        <v>1297</v>
      </c>
      <c r="B13171" t="s">
        <v>1298</v>
      </c>
      <c r="C13171" t="s">
        <v>655</v>
      </c>
      <c r="D13171" t="s">
        <v>1432</v>
      </c>
      <c r="E13171" t="s">
        <v>187</v>
      </c>
      <c r="F13171">
        <v>2012</v>
      </c>
      <c r="G13171">
        <v>2.6633640000000001</v>
      </c>
    </row>
    <row r="13172" spans="1:7">
      <c r="A13172" t="s">
        <v>1297</v>
      </c>
      <c r="B13172" t="s">
        <v>1298</v>
      </c>
      <c r="C13172" t="s">
        <v>655</v>
      </c>
      <c r="D13172" t="s">
        <v>1432</v>
      </c>
      <c r="E13172" t="s">
        <v>187</v>
      </c>
      <c r="F13172">
        <v>2016</v>
      </c>
      <c r="G13172">
        <v>1.92178</v>
      </c>
    </row>
    <row r="13173" spans="1:7">
      <c r="A13173" t="s">
        <v>1297</v>
      </c>
      <c r="B13173" t="s">
        <v>1298</v>
      </c>
      <c r="C13173" t="s">
        <v>655</v>
      </c>
      <c r="D13173" t="s">
        <v>1432</v>
      </c>
      <c r="E13173" t="s">
        <v>187</v>
      </c>
      <c r="F13173">
        <v>2020</v>
      </c>
      <c r="G13173">
        <v>2.0823700000000001</v>
      </c>
    </row>
    <row r="13174" spans="1:7">
      <c r="A13174" t="s">
        <v>1297</v>
      </c>
      <c r="B13174" t="s">
        <v>1298</v>
      </c>
      <c r="C13174" t="s">
        <v>653</v>
      </c>
      <c r="D13174" t="s">
        <v>1432</v>
      </c>
      <c r="E13174" t="s">
        <v>187</v>
      </c>
      <c r="F13174">
        <v>2020</v>
      </c>
      <c r="G13174">
        <v>8.1124000000000002E-2</v>
      </c>
    </row>
    <row r="13175" spans="1:7">
      <c r="A13175" t="s">
        <v>1297</v>
      </c>
      <c r="B13175" t="s">
        <v>1298</v>
      </c>
      <c r="C13175" t="s">
        <v>672</v>
      </c>
      <c r="D13175" t="s">
        <v>1432</v>
      </c>
      <c r="E13175" t="s">
        <v>187</v>
      </c>
      <c r="F13175">
        <v>2012</v>
      </c>
      <c r="G13175">
        <v>8.4000000000000005E-2</v>
      </c>
    </row>
    <row r="13176" spans="1:7">
      <c r="A13176" t="s">
        <v>1297</v>
      </c>
      <c r="B13176" t="s">
        <v>1298</v>
      </c>
      <c r="C13176" t="s">
        <v>672</v>
      </c>
      <c r="D13176" t="s">
        <v>1432</v>
      </c>
      <c r="E13176" t="s">
        <v>187</v>
      </c>
      <c r="F13176">
        <v>2016</v>
      </c>
      <c r="G13176">
        <v>4.2000000000000003E-2</v>
      </c>
    </row>
    <row r="13177" spans="1:7">
      <c r="A13177" t="s">
        <v>1297</v>
      </c>
      <c r="B13177" t="s">
        <v>1298</v>
      </c>
      <c r="C13177" t="s">
        <v>658</v>
      </c>
      <c r="D13177" t="s">
        <v>1433</v>
      </c>
      <c r="E13177" t="s">
        <v>187</v>
      </c>
      <c r="F13177">
        <v>2020</v>
      </c>
      <c r="G13177">
        <v>46.561025999999998</v>
      </c>
    </row>
    <row r="13178" spans="1:7">
      <c r="A13178" t="s">
        <v>1297</v>
      </c>
      <c r="B13178" t="s">
        <v>1298</v>
      </c>
      <c r="C13178" t="s">
        <v>663</v>
      </c>
      <c r="D13178" t="s">
        <v>1433</v>
      </c>
      <c r="E13178" t="s">
        <v>187</v>
      </c>
      <c r="F13178">
        <v>2005</v>
      </c>
      <c r="G13178">
        <v>432.3886</v>
      </c>
    </row>
    <row r="13179" spans="1:7">
      <c r="A13179" t="s">
        <v>1297</v>
      </c>
      <c r="B13179" t="s">
        <v>1298</v>
      </c>
      <c r="C13179" t="s">
        <v>663</v>
      </c>
      <c r="D13179" t="s">
        <v>1433</v>
      </c>
      <c r="E13179" t="s">
        <v>187</v>
      </c>
      <c r="F13179">
        <v>2010</v>
      </c>
      <c r="G13179">
        <v>470.59631999999999</v>
      </c>
    </row>
    <row r="13180" spans="1:7">
      <c r="A13180" t="s">
        <v>1297</v>
      </c>
      <c r="B13180" t="s">
        <v>1298</v>
      </c>
      <c r="C13180" t="s">
        <v>663</v>
      </c>
      <c r="D13180" t="s">
        <v>1433</v>
      </c>
      <c r="E13180" t="s">
        <v>187</v>
      </c>
      <c r="F13180">
        <v>2012</v>
      </c>
      <c r="G13180">
        <v>416.49930000000001</v>
      </c>
    </row>
    <row r="13181" spans="1:7">
      <c r="A13181" t="s">
        <v>1297</v>
      </c>
      <c r="B13181" t="s">
        <v>1298</v>
      </c>
      <c r="C13181" t="s">
        <v>663</v>
      </c>
      <c r="D13181" t="s">
        <v>1433</v>
      </c>
      <c r="E13181" t="s">
        <v>187</v>
      </c>
      <c r="F13181">
        <v>2016</v>
      </c>
      <c r="G13181">
        <v>345.08609000000001</v>
      </c>
    </row>
    <row r="13182" spans="1:7">
      <c r="A13182" t="s">
        <v>1297</v>
      </c>
      <c r="B13182" t="s">
        <v>1298</v>
      </c>
      <c r="C13182" t="s">
        <v>663</v>
      </c>
      <c r="D13182" t="s">
        <v>1433</v>
      </c>
      <c r="E13182" t="s">
        <v>187</v>
      </c>
      <c r="F13182">
        <v>2020</v>
      </c>
      <c r="G13182">
        <v>338.45532300000002</v>
      </c>
    </row>
    <row r="13183" spans="1:7">
      <c r="A13183" t="s">
        <v>1297</v>
      </c>
      <c r="B13183" t="s">
        <v>1298</v>
      </c>
      <c r="C13183" t="s">
        <v>686</v>
      </c>
      <c r="D13183" t="s">
        <v>1433</v>
      </c>
      <c r="E13183" t="s">
        <v>187</v>
      </c>
      <c r="F13183">
        <v>2005</v>
      </c>
      <c r="G13183">
        <v>139.6584</v>
      </c>
    </row>
    <row r="13184" spans="1:7">
      <c r="A13184" t="s">
        <v>1297</v>
      </c>
      <c r="B13184" t="s">
        <v>1298</v>
      </c>
      <c r="C13184" t="s">
        <v>686</v>
      </c>
      <c r="D13184" t="s">
        <v>1433</v>
      </c>
      <c r="E13184" t="s">
        <v>187</v>
      </c>
      <c r="F13184">
        <v>2010</v>
      </c>
      <c r="G13184">
        <v>129.49625</v>
      </c>
    </row>
    <row r="13185" spans="1:7">
      <c r="A13185" t="s">
        <v>1297</v>
      </c>
      <c r="B13185" t="s">
        <v>1298</v>
      </c>
      <c r="C13185" t="s">
        <v>686</v>
      </c>
      <c r="D13185" t="s">
        <v>1433</v>
      </c>
      <c r="E13185" t="s">
        <v>187</v>
      </c>
      <c r="F13185">
        <v>2012</v>
      </c>
      <c r="G13185">
        <v>102.956118</v>
      </c>
    </row>
    <row r="13186" spans="1:7">
      <c r="A13186" t="s">
        <v>1297</v>
      </c>
      <c r="B13186" t="s">
        <v>1298</v>
      </c>
      <c r="C13186" t="s">
        <v>686</v>
      </c>
      <c r="D13186" t="s">
        <v>1433</v>
      </c>
      <c r="E13186" t="s">
        <v>187</v>
      </c>
      <c r="F13186">
        <v>2016</v>
      </c>
      <c r="G13186">
        <v>169.538253</v>
      </c>
    </row>
    <row r="13187" spans="1:7">
      <c r="A13187" t="s">
        <v>1297</v>
      </c>
      <c r="B13187" t="s">
        <v>1298</v>
      </c>
      <c r="C13187" t="s">
        <v>686</v>
      </c>
      <c r="D13187" t="s">
        <v>1433</v>
      </c>
      <c r="E13187" t="s">
        <v>187</v>
      </c>
      <c r="F13187">
        <v>2020</v>
      </c>
      <c r="G13187">
        <v>173.70502300000001</v>
      </c>
    </row>
    <row r="13188" spans="1:7">
      <c r="A13188" t="s">
        <v>1297</v>
      </c>
      <c r="B13188" t="s">
        <v>1298</v>
      </c>
      <c r="C13188" t="s">
        <v>656</v>
      </c>
      <c r="D13188" t="s">
        <v>1433</v>
      </c>
      <c r="E13188" t="s">
        <v>187</v>
      </c>
      <c r="F13188">
        <v>2005</v>
      </c>
      <c r="G13188">
        <v>6161.8004940000001</v>
      </c>
    </row>
    <row r="13189" spans="1:7">
      <c r="A13189" t="s">
        <v>1297</v>
      </c>
      <c r="B13189" t="s">
        <v>1298</v>
      </c>
      <c r="C13189" t="s">
        <v>656</v>
      </c>
      <c r="D13189" t="s">
        <v>1433</v>
      </c>
      <c r="E13189" t="s">
        <v>187</v>
      </c>
      <c r="F13189">
        <v>2010</v>
      </c>
      <c r="G13189">
        <v>5263.6242920000004</v>
      </c>
    </row>
    <row r="13190" spans="1:7">
      <c r="A13190" t="s">
        <v>1297</v>
      </c>
      <c r="B13190" t="s">
        <v>1298</v>
      </c>
      <c r="C13190" t="s">
        <v>656</v>
      </c>
      <c r="D13190" t="s">
        <v>1433</v>
      </c>
      <c r="E13190" t="s">
        <v>187</v>
      </c>
      <c r="F13190">
        <v>2012</v>
      </c>
      <c r="G13190">
        <v>5213.4827180000002</v>
      </c>
    </row>
    <row r="13191" spans="1:7">
      <c r="A13191" t="s">
        <v>1297</v>
      </c>
      <c r="B13191" t="s">
        <v>1298</v>
      </c>
      <c r="C13191" t="s">
        <v>656</v>
      </c>
      <c r="D13191" t="s">
        <v>1433</v>
      </c>
      <c r="E13191" t="s">
        <v>187</v>
      </c>
      <c r="F13191">
        <v>2016</v>
      </c>
      <c r="G13191">
        <v>5233.1685809999999</v>
      </c>
    </row>
    <row r="13192" spans="1:7">
      <c r="A13192" t="s">
        <v>1297</v>
      </c>
      <c r="B13192" t="s">
        <v>1298</v>
      </c>
      <c r="C13192" t="s">
        <v>656</v>
      </c>
      <c r="D13192" t="s">
        <v>1433</v>
      </c>
      <c r="E13192" t="s">
        <v>187</v>
      </c>
      <c r="F13192">
        <v>2020</v>
      </c>
      <c r="G13192">
        <v>5111.414949</v>
      </c>
    </row>
    <row r="13193" spans="1:7">
      <c r="A13193" t="s">
        <v>1297</v>
      </c>
      <c r="B13193" t="s">
        <v>1298</v>
      </c>
      <c r="C13193" t="s">
        <v>677</v>
      </c>
      <c r="D13193" t="s">
        <v>1433</v>
      </c>
      <c r="E13193" t="s">
        <v>187</v>
      </c>
      <c r="F13193">
        <v>2005</v>
      </c>
      <c r="G13193">
        <v>4094.7041469999999</v>
      </c>
    </row>
    <row r="13194" spans="1:7">
      <c r="A13194" t="s">
        <v>1297</v>
      </c>
      <c r="B13194" t="s">
        <v>1298</v>
      </c>
      <c r="C13194" t="s">
        <v>677</v>
      </c>
      <c r="D13194" t="s">
        <v>1433</v>
      </c>
      <c r="E13194" t="s">
        <v>187</v>
      </c>
      <c r="F13194">
        <v>2010</v>
      </c>
      <c r="G13194">
        <v>3491.483964</v>
      </c>
    </row>
    <row r="13195" spans="1:7">
      <c r="A13195" t="s">
        <v>1297</v>
      </c>
      <c r="B13195" t="s">
        <v>1298</v>
      </c>
      <c r="C13195" t="s">
        <v>677</v>
      </c>
      <c r="D13195" t="s">
        <v>1433</v>
      </c>
      <c r="E13195" t="s">
        <v>187</v>
      </c>
      <c r="F13195">
        <v>2012</v>
      </c>
      <c r="G13195">
        <v>3393.0393960000001</v>
      </c>
    </row>
    <row r="13196" spans="1:7">
      <c r="A13196" t="s">
        <v>1297</v>
      </c>
      <c r="B13196" t="s">
        <v>1298</v>
      </c>
      <c r="C13196" t="s">
        <v>677</v>
      </c>
      <c r="D13196" t="s">
        <v>1433</v>
      </c>
      <c r="E13196" t="s">
        <v>187</v>
      </c>
      <c r="F13196">
        <v>2016</v>
      </c>
      <c r="G13196">
        <v>3060.066785</v>
      </c>
    </row>
    <row r="13197" spans="1:7">
      <c r="A13197" t="s">
        <v>1297</v>
      </c>
      <c r="B13197" t="s">
        <v>1298</v>
      </c>
      <c r="C13197" t="s">
        <v>677</v>
      </c>
      <c r="D13197" t="s">
        <v>1433</v>
      </c>
      <c r="E13197" t="s">
        <v>187</v>
      </c>
      <c r="F13197">
        <v>2020</v>
      </c>
      <c r="G13197">
        <v>2965.239838</v>
      </c>
    </row>
    <row r="13198" spans="1:7">
      <c r="A13198" t="s">
        <v>1297</v>
      </c>
      <c r="B13198" t="s">
        <v>1298</v>
      </c>
      <c r="C13198" t="s">
        <v>680</v>
      </c>
      <c r="D13198" t="s">
        <v>1433</v>
      </c>
      <c r="E13198" t="s">
        <v>187</v>
      </c>
      <c r="F13198">
        <v>2012</v>
      </c>
      <c r="G13198">
        <v>0.86</v>
      </c>
    </row>
    <row r="13199" spans="1:7">
      <c r="A13199" t="s">
        <v>1297</v>
      </c>
      <c r="B13199" t="s">
        <v>1298</v>
      </c>
      <c r="C13199" t="s">
        <v>680</v>
      </c>
      <c r="D13199" t="s">
        <v>1433</v>
      </c>
      <c r="E13199" t="s">
        <v>187</v>
      </c>
      <c r="F13199">
        <v>2016</v>
      </c>
      <c r="G13199">
        <v>1.8009090000000001</v>
      </c>
    </row>
    <row r="13200" spans="1:7">
      <c r="A13200" t="s">
        <v>1297</v>
      </c>
      <c r="B13200" t="s">
        <v>1298</v>
      </c>
      <c r="C13200" t="s">
        <v>680</v>
      </c>
      <c r="D13200" t="s">
        <v>1433</v>
      </c>
      <c r="E13200" t="s">
        <v>187</v>
      </c>
      <c r="F13200">
        <v>2020</v>
      </c>
      <c r="G13200">
        <v>0.80839700000000003</v>
      </c>
    </row>
    <row r="13201" spans="1:7">
      <c r="A13201" t="s">
        <v>1297</v>
      </c>
      <c r="B13201" t="s">
        <v>1298</v>
      </c>
      <c r="C13201" t="s">
        <v>659</v>
      </c>
      <c r="D13201" t="s">
        <v>1433</v>
      </c>
      <c r="E13201" t="s">
        <v>187</v>
      </c>
      <c r="F13201">
        <v>2005</v>
      </c>
      <c r="G13201">
        <v>2851.1244999999999</v>
      </c>
    </row>
    <row r="13202" spans="1:7">
      <c r="A13202" t="s">
        <v>1297</v>
      </c>
      <c r="B13202" t="s">
        <v>1298</v>
      </c>
      <c r="C13202" t="s">
        <v>659</v>
      </c>
      <c r="D13202" t="s">
        <v>1433</v>
      </c>
      <c r="E13202" t="s">
        <v>187</v>
      </c>
      <c r="F13202">
        <v>2010</v>
      </c>
      <c r="G13202">
        <v>2815.2698999999998</v>
      </c>
    </row>
    <row r="13203" spans="1:7">
      <c r="A13203" t="s">
        <v>1297</v>
      </c>
      <c r="B13203" t="s">
        <v>1298</v>
      </c>
      <c r="C13203" t="s">
        <v>659</v>
      </c>
      <c r="D13203" t="s">
        <v>1433</v>
      </c>
      <c r="E13203" t="s">
        <v>187</v>
      </c>
      <c r="F13203">
        <v>2012</v>
      </c>
      <c r="G13203">
        <v>3050.6122</v>
      </c>
    </row>
    <row r="13204" spans="1:7">
      <c r="A13204" t="s">
        <v>1297</v>
      </c>
      <c r="B13204" t="s">
        <v>1298</v>
      </c>
      <c r="C13204" t="s">
        <v>659</v>
      </c>
      <c r="D13204" t="s">
        <v>1433</v>
      </c>
      <c r="E13204" t="s">
        <v>187</v>
      </c>
      <c r="F13204">
        <v>2016</v>
      </c>
      <c r="G13204">
        <v>3274.0073000000002</v>
      </c>
    </row>
    <row r="13205" spans="1:7">
      <c r="A13205" t="s">
        <v>1297</v>
      </c>
      <c r="B13205" t="s">
        <v>1298</v>
      </c>
      <c r="C13205" t="s">
        <v>659</v>
      </c>
      <c r="D13205" t="s">
        <v>1433</v>
      </c>
      <c r="E13205" t="s">
        <v>187</v>
      </c>
      <c r="F13205">
        <v>2020</v>
      </c>
      <c r="G13205">
        <v>3377.5444000000002</v>
      </c>
    </row>
    <row r="13206" spans="1:7">
      <c r="A13206" t="s">
        <v>1297</v>
      </c>
      <c r="B13206" t="s">
        <v>1298</v>
      </c>
      <c r="C13206" t="s">
        <v>664</v>
      </c>
      <c r="D13206" t="s">
        <v>1433</v>
      </c>
      <c r="E13206" t="s">
        <v>187</v>
      </c>
      <c r="F13206">
        <v>2005</v>
      </c>
      <c r="G13206">
        <v>148.88632999999999</v>
      </c>
    </row>
    <row r="13207" spans="1:7">
      <c r="A13207" t="s">
        <v>1297</v>
      </c>
      <c r="B13207" t="s">
        <v>1298</v>
      </c>
      <c r="C13207" t="s">
        <v>664</v>
      </c>
      <c r="D13207" t="s">
        <v>1433</v>
      </c>
      <c r="E13207" t="s">
        <v>187</v>
      </c>
      <c r="F13207">
        <v>2010</v>
      </c>
      <c r="G13207">
        <v>140.143856</v>
      </c>
    </row>
    <row r="13208" spans="1:7">
      <c r="A13208" t="s">
        <v>1297</v>
      </c>
      <c r="B13208" t="s">
        <v>1298</v>
      </c>
      <c r="C13208" t="s">
        <v>664</v>
      </c>
      <c r="D13208" t="s">
        <v>1433</v>
      </c>
      <c r="E13208" t="s">
        <v>187</v>
      </c>
      <c r="F13208">
        <v>2012</v>
      </c>
      <c r="G13208">
        <v>142.98038600000001</v>
      </c>
    </row>
    <row r="13209" spans="1:7">
      <c r="A13209" t="s">
        <v>1297</v>
      </c>
      <c r="B13209" t="s">
        <v>1298</v>
      </c>
      <c r="C13209" t="s">
        <v>664</v>
      </c>
      <c r="D13209" t="s">
        <v>1433</v>
      </c>
      <c r="E13209" t="s">
        <v>187</v>
      </c>
      <c r="F13209">
        <v>2016</v>
      </c>
      <c r="G13209">
        <v>150.64175800000001</v>
      </c>
    </row>
    <row r="13210" spans="1:7">
      <c r="A13210" t="s">
        <v>1297</v>
      </c>
      <c r="B13210" t="s">
        <v>1298</v>
      </c>
      <c r="C13210" t="s">
        <v>664</v>
      </c>
      <c r="D13210" t="s">
        <v>1433</v>
      </c>
      <c r="E13210" t="s">
        <v>187</v>
      </c>
      <c r="F13210">
        <v>2020</v>
      </c>
      <c r="G13210">
        <v>138.85550499999999</v>
      </c>
    </row>
    <row r="13211" spans="1:7">
      <c r="A13211" t="s">
        <v>1297</v>
      </c>
      <c r="B13211" t="s">
        <v>1298</v>
      </c>
      <c r="C13211" t="s">
        <v>660</v>
      </c>
      <c r="D13211" t="s">
        <v>1433</v>
      </c>
      <c r="E13211" t="s">
        <v>187</v>
      </c>
      <c r="F13211">
        <v>2005</v>
      </c>
      <c r="G13211">
        <v>641.52557300000001</v>
      </c>
    </row>
    <row r="13212" spans="1:7">
      <c r="A13212" t="s">
        <v>1297</v>
      </c>
      <c r="B13212" t="s">
        <v>1298</v>
      </c>
      <c r="C13212" t="s">
        <v>660</v>
      </c>
      <c r="D13212" t="s">
        <v>1433</v>
      </c>
      <c r="E13212" t="s">
        <v>187</v>
      </c>
      <c r="F13212">
        <v>2010</v>
      </c>
      <c r="G13212">
        <v>748.51063399999998</v>
      </c>
    </row>
    <row r="13213" spans="1:7">
      <c r="A13213" t="s">
        <v>1297</v>
      </c>
      <c r="B13213" t="s">
        <v>1298</v>
      </c>
      <c r="C13213" t="s">
        <v>1299</v>
      </c>
      <c r="D13213" t="s">
        <v>1433</v>
      </c>
      <c r="E13213" t="s">
        <v>187</v>
      </c>
      <c r="F13213">
        <v>2005</v>
      </c>
      <c r="G13213">
        <v>815.24730899999997</v>
      </c>
    </row>
    <row r="13214" spans="1:7">
      <c r="A13214" t="s">
        <v>1297</v>
      </c>
      <c r="B13214" t="s">
        <v>1298</v>
      </c>
      <c r="C13214" t="s">
        <v>1299</v>
      </c>
      <c r="D13214" t="s">
        <v>1433</v>
      </c>
      <c r="E13214" t="s">
        <v>187</v>
      </c>
      <c r="F13214">
        <v>2010</v>
      </c>
      <c r="G13214">
        <v>531.20236</v>
      </c>
    </row>
    <row r="13215" spans="1:7">
      <c r="A13215" t="s">
        <v>1297</v>
      </c>
      <c r="B13215" t="s">
        <v>1298</v>
      </c>
      <c r="C13215" t="s">
        <v>1299</v>
      </c>
      <c r="D13215" t="s">
        <v>1433</v>
      </c>
      <c r="E13215" t="s">
        <v>187</v>
      </c>
      <c r="F13215">
        <v>2012</v>
      </c>
      <c r="G13215">
        <v>234.823442</v>
      </c>
    </row>
    <row r="13216" spans="1:7">
      <c r="A13216" t="s">
        <v>1297</v>
      </c>
      <c r="B13216" t="s">
        <v>1298</v>
      </c>
      <c r="C13216" t="s">
        <v>1299</v>
      </c>
      <c r="D13216" t="s">
        <v>1433</v>
      </c>
      <c r="E13216" t="s">
        <v>187</v>
      </c>
      <c r="F13216">
        <v>2016</v>
      </c>
      <c r="G13216">
        <v>146.50404399999999</v>
      </c>
    </row>
    <row r="13217" spans="1:7">
      <c r="A13217" t="s">
        <v>1297</v>
      </c>
      <c r="B13217" t="s">
        <v>1298</v>
      </c>
      <c r="C13217" t="s">
        <v>1299</v>
      </c>
      <c r="D13217" t="s">
        <v>1433</v>
      </c>
      <c r="E13217" t="s">
        <v>187</v>
      </c>
      <c r="F13217">
        <v>2020</v>
      </c>
      <c r="G13217">
        <v>64.452129999999997</v>
      </c>
    </row>
    <row r="13218" spans="1:7">
      <c r="A13218" t="s">
        <v>1297</v>
      </c>
      <c r="B13218" t="s">
        <v>1298</v>
      </c>
      <c r="C13218" t="s">
        <v>671</v>
      </c>
      <c r="D13218" t="s">
        <v>1433</v>
      </c>
      <c r="E13218" t="s">
        <v>187</v>
      </c>
      <c r="F13218">
        <v>2005</v>
      </c>
      <c r="G13218">
        <v>831.479692</v>
      </c>
    </row>
    <row r="13219" spans="1:7">
      <c r="A13219" t="s">
        <v>1297</v>
      </c>
      <c r="B13219" t="s">
        <v>1298</v>
      </c>
      <c r="C13219" t="s">
        <v>671</v>
      </c>
      <c r="D13219" t="s">
        <v>1433</v>
      </c>
      <c r="E13219" t="s">
        <v>187</v>
      </c>
      <c r="F13219">
        <v>2010</v>
      </c>
      <c r="G13219">
        <v>1063.9029</v>
      </c>
    </row>
    <row r="13220" spans="1:7">
      <c r="A13220" t="s">
        <v>1297</v>
      </c>
      <c r="B13220" t="s">
        <v>1298</v>
      </c>
      <c r="C13220" t="s">
        <v>671</v>
      </c>
      <c r="D13220" t="s">
        <v>1433</v>
      </c>
      <c r="E13220" t="s">
        <v>187</v>
      </c>
      <c r="F13220">
        <v>2012</v>
      </c>
      <c r="G13220">
        <v>1192.1856</v>
      </c>
    </row>
    <row r="13221" spans="1:7">
      <c r="A13221" t="s">
        <v>1297</v>
      </c>
      <c r="B13221" t="s">
        <v>1298</v>
      </c>
      <c r="C13221" t="s">
        <v>671</v>
      </c>
      <c r="D13221" t="s">
        <v>1433</v>
      </c>
      <c r="E13221" t="s">
        <v>187</v>
      </c>
      <c r="F13221">
        <v>2016</v>
      </c>
      <c r="G13221">
        <v>1230.206672</v>
      </c>
    </row>
    <row r="13222" spans="1:7">
      <c r="A13222" t="s">
        <v>1297</v>
      </c>
      <c r="B13222" t="s">
        <v>1298</v>
      </c>
      <c r="C13222" t="s">
        <v>671</v>
      </c>
      <c r="D13222" t="s">
        <v>1433</v>
      </c>
      <c r="E13222" t="s">
        <v>187</v>
      </c>
      <c r="F13222">
        <v>2020</v>
      </c>
      <c r="G13222">
        <v>1297.335638</v>
      </c>
    </row>
    <row r="13223" spans="1:7">
      <c r="A13223" t="s">
        <v>1297</v>
      </c>
      <c r="B13223" t="s">
        <v>1298</v>
      </c>
      <c r="C13223" t="s">
        <v>676</v>
      </c>
      <c r="D13223" t="s">
        <v>1433</v>
      </c>
      <c r="E13223" t="s">
        <v>187</v>
      </c>
      <c r="F13223">
        <v>2005</v>
      </c>
      <c r="G13223">
        <v>313.94814400000001</v>
      </c>
    </row>
    <row r="13224" spans="1:7">
      <c r="A13224" t="s">
        <v>1297</v>
      </c>
      <c r="B13224" t="s">
        <v>1298</v>
      </c>
      <c r="C13224" t="s">
        <v>676</v>
      </c>
      <c r="D13224" t="s">
        <v>1433</v>
      </c>
      <c r="E13224" t="s">
        <v>187</v>
      </c>
      <c r="F13224">
        <v>2010</v>
      </c>
      <c r="G13224">
        <v>289.282555</v>
      </c>
    </row>
    <row r="13225" spans="1:7">
      <c r="A13225" t="s">
        <v>1297</v>
      </c>
      <c r="B13225" t="s">
        <v>1298</v>
      </c>
      <c r="C13225" t="s">
        <v>676</v>
      </c>
      <c r="D13225" t="s">
        <v>1433</v>
      </c>
      <c r="E13225" t="s">
        <v>187</v>
      </c>
      <c r="F13225">
        <v>2012</v>
      </c>
      <c r="G13225">
        <v>269.94650200000001</v>
      </c>
    </row>
    <row r="13226" spans="1:7">
      <c r="A13226" t="s">
        <v>1297</v>
      </c>
      <c r="B13226" t="s">
        <v>1298</v>
      </c>
      <c r="C13226" t="s">
        <v>676</v>
      </c>
      <c r="D13226" t="s">
        <v>1433</v>
      </c>
      <c r="E13226" t="s">
        <v>187</v>
      </c>
      <c r="F13226">
        <v>2016</v>
      </c>
      <c r="G13226">
        <v>286.73981500000002</v>
      </c>
    </row>
    <row r="13227" spans="1:7">
      <c r="A13227" t="s">
        <v>1297</v>
      </c>
      <c r="B13227" t="s">
        <v>1298</v>
      </c>
      <c r="C13227" t="s">
        <v>676</v>
      </c>
      <c r="D13227" t="s">
        <v>1433</v>
      </c>
      <c r="E13227" t="s">
        <v>187</v>
      </c>
      <c r="F13227">
        <v>2020</v>
      </c>
      <c r="G13227">
        <v>260.00049799999999</v>
      </c>
    </row>
    <row r="13228" spans="1:7">
      <c r="A13228" t="s">
        <v>1297</v>
      </c>
      <c r="B13228" t="s">
        <v>1298</v>
      </c>
      <c r="C13228" t="s">
        <v>679</v>
      </c>
      <c r="D13228" t="s">
        <v>1433</v>
      </c>
      <c r="E13228" t="s">
        <v>187</v>
      </c>
      <c r="F13228">
        <v>2005</v>
      </c>
      <c r="G13228">
        <v>1488.91958</v>
      </c>
    </row>
    <row r="13229" spans="1:7">
      <c r="A13229" t="s">
        <v>1297</v>
      </c>
      <c r="B13229" t="s">
        <v>1298</v>
      </c>
      <c r="C13229" t="s">
        <v>679</v>
      </c>
      <c r="D13229" t="s">
        <v>1433</v>
      </c>
      <c r="E13229" t="s">
        <v>187</v>
      </c>
      <c r="F13229">
        <v>2010</v>
      </c>
      <c r="G13229">
        <v>1418.7290849999999</v>
      </c>
    </row>
    <row r="13230" spans="1:7">
      <c r="A13230" t="s">
        <v>1297</v>
      </c>
      <c r="B13230" t="s">
        <v>1298</v>
      </c>
      <c r="C13230" t="s">
        <v>679</v>
      </c>
      <c r="D13230" t="s">
        <v>1433</v>
      </c>
      <c r="E13230" t="s">
        <v>187</v>
      </c>
      <c r="F13230">
        <v>2012</v>
      </c>
      <c r="G13230">
        <v>1526.032845</v>
      </c>
    </row>
    <row r="13231" spans="1:7">
      <c r="A13231" t="s">
        <v>1297</v>
      </c>
      <c r="B13231" t="s">
        <v>1298</v>
      </c>
      <c r="C13231" t="s">
        <v>679</v>
      </c>
      <c r="D13231" t="s">
        <v>1433</v>
      </c>
      <c r="E13231" t="s">
        <v>187</v>
      </c>
      <c r="F13231">
        <v>2016</v>
      </c>
      <c r="G13231">
        <v>1591.2620850000001</v>
      </c>
    </row>
    <row r="13232" spans="1:7">
      <c r="A13232" t="s">
        <v>1297</v>
      </c>
      <c r="B13232" t="s">
        <v>1298</v>
      </c>
      <c r="C13232" t="s">
        <v>679</v>
      </c>
      <c r="D13232" t="s">
        <v>1433</v>
      </c>
      <c r="E13232" t="s">
        <v>187</v>
      </c>
      <c r="F13232">
        <v>2020</v>
      </c>
      <c r="G13232">
        <v>1550.727052</v>
      </c>
    </row>
    <row r="13233" spans="1:7">
      <c r="A13233" t="s">
        <v>1297</v>
      </c>
      <c r="B13233" t="s">
        <v>1298</v>
      </c>
      <c r="C13233" t="s">
        <v>684</v>
      </c>
      <c r="D13233" t="s">
        <v>1433</v>
      </c>
      <c r="E13233" t="s">
        <v>187</v>
      </c>
      <c r="F13233">
        <v>2020</v>
      </c>
      <c r="G13233">
        <v>0.23</v>
      </c>
    </row>
    <row r="13234" spans="1:7">
      <c r="A13234" t="s">
        <v>1297</v>
      </c>
      <c r="B13234" t="s">
        <v>1298</v>
      </c>
      <c r="C13234" t="s">
        <v>655</v>
      </c>
      <c r="D13234" t="s">
        <v>1433</v>
      </c>
      <c r="E13234" t="s">
        <v>187</v>
      </c>
      <c r="F13234">
        <v>2005</v>
      </c>
      <c r="G13234">
        <v>348.15306700000002</v>
      </c>
    </row>
    <row r="13235" spans="1:7">
      <c r="A13235" t="s">
        <v>1297</v>
      </c>
      <c r="B13235" t="s">
        <v>1298</v>
      </c>
      <c r="C13235" t="s">
        <v>655</v>
      </c>
      <c r="D13235" t="s">
        <v>1433</v>
      </c>
      <c r="E13235" t="s">
        <v>187</v>
      </c>
      <c r="F13235">
        <v>2010</v>
      </c>
      <c r="G13235">
        <v>361.33868699999999</v>
      </c>
    </row>
    <row r="13236" spans="1:7">
      <c r="A13236" t="s">
        <v>1297</v>
      </c>
      <c r="B13236" t="s">
        <v>1298</v>
      </c>
      <c r="C13236" t="s">
        <v>655</v>
      </c>
      <c r="D13236" t="s">
        <v>1433</v>
      </c>
      <c r="E13236" t="s">
        <v>187</v>
      </c>
      <c r="F13236">
        <v>2012</v>
      </c>
      <c r="G13236">
        <v>337.73980499999999</v>
      </c>
    </row>
    <row r="13237" spans="1:7">
      <c r="A13237" t="s">
        <v>1297</v>
      </c>
      <c r="B13237" t="s">
        <v>1298</v>
      </c>
      <c r="C13237" t="s">
        <v>655</v>
      </c>
      <c r="D13237" t="s">
        <v>1433</v>
      </c>
      <c r="E13237" t="s">
        <v>187</v>
      </c>
      <c r="F13237">
        <v>2016</v>
      </c>
      <c r="G13237">
        <v>250.774507</v>
      </c>
    </row>
    <row r="13238" spans="1:7">
      <c r="A13238" t="s">
        <v>1297</v>
      </c>
      <c r="B13238" t="s">
        <v>1298</v>
      </c>
      <c r="C13238" t="s">
        <v>655</v>
      </c>
      <c r="D13238" t="s">
        <v>1433</v>
      </c>
      <c r="E13238" t="s">
        <v>187</v>
      </c>
      <c r="F13238">
        <v>2020</v>
      </c>
      <c r="G13238">
        <v>356.51477599999998</v>
      </c>
    </row>
    <row r="13239" spans="1:7">
      <c r="A13239" t="s">
        <v>1297</v>
      </c>
      <c r="B13239" t="s">
        <v>1298</v>
      </c>
      <c r="C13239" t="s">
        <v>1303</v>
      </c>
      <c r="D13239" t="s">
        <v>1433</v>
      </c>
      <c r="E13239" t="s">
        <v>187</v>
      </c>
      <c r="F13239">
        <v>2016</v>
      </c>
      <c r="G13239">
        <v>7.0464599999999997</v>
      </c>
    </row>
    <row r="13240" spans="1:7">
      <c r="A13240" t="s">
        <v>1297</v>
      </c>
      <c r="B13240" t="s">
        <v>1298</v>
      </c>
      <c r="C13240" t="s">
        <v>1303</v>
      </c>
      <c r="D13240" t="s">
        <v>1433</v>
      </c>
      <c r="E13240" t="s">
        <v>187</v>
      </c>
      <c r="F13240">
        <v>2020</v>
      </c>
      <c r="G13240">
        <v>1.5034879999999999</v>
      </c>
    </row>
    <row r="13241" spans="1:7">
      <c r="A13241" t="s">
        <v>1297</v>
      </c>
      <c r="B13241" t="s">
        <v>1298</v>
      </c>
      <c r="C13241" t="s">
        <v>657</v>
      </c>
      <c r="D13241" t="s">
        <v>1433</v>
      </c>
      <c r="E13241" t="s">
        <v>187</v>
      </c>
      <c r="F13241">
        <v>2005</v>
      </c>
      <c r="G13241">
        <v>329.13799999999998</v>
      </c>
    </row>
    <row r="13242" spans="1:7">
      <c r="A13242" t="s">
        <v>1297</v>
      </c>
      <c r="B13242" t="s">
        <v>1298</v>
      </c>
      <c r="C13242" t="s">
        <v>657</v>
      </c>
      <c r="D13242" t="s">
        <v>1433</v>
      </c>
      <c r="E13242" t="s">
        <v>187</v>
      </c>
      <c r="F13242">
        <v>2010</v>
      </c>
      <c r="G13242">
        <v>302.24520000000001</v>
      </c>
    </row>
    <row r="13243" spans="1:7">
      <c r="A13243" t="s">
        <v>1297</v>
      </c>
      <c r="B13243" t="s">
        <v>1298</v>
      </c>
      <c r="C13243" t="s">
        <v>657</v>
      </c>
      <c r="D13243" t="s">
        <v>1433</v>
      </c>
      <c r="E13243" t="s">
        <v>187</v>
      </c>
      <c r="F13243">
        <v>2012</v>
      </c>
      <c r="G13243">
        <v>320.40699999999998</v>
      </c>
    </row>
    <row r="13244" spans="1:7">
      <c r="A13244" t="s">
        <v>1297</v>
      </c>
      <c r="B13244" t="s">
        <v>1298</v>
      </c>
      <c r="C13244" t="s">
        <v>657</v>
      </c>
      <c r="D13244" t="s">
        <v>1433</v>
      </c>
      <c r="E13244" t="s">
        <v>187</v>
      </c>
      <c r="F13244">
        <v>2016</v>
      </c>
      <c r="G13244">
        <v>496.58213599999999</v>
      </c>
    </row>
    <row r="13245" spans="1:7">
      <c r="A13245" t="s">
        <v>1297</v>
      </c>
      <c r="B13245" t="s">
        <v>1298</v>
      </c>
      <c r="C13245" t="s">
        <v>657</v>
      </c>
      <c r="D13245" t="s">
        <v>1433</v>
      </c>
      <c r="E13245" t="s">
        <v>187</v>
      </c>
      <c r="F13245">
        <v>2020</v>
      </c>
      <c r="G13245">
        <v>419.39779900000002</v>
      </c>
    </row>
    <row r="13246" spans="1:7">
      <c r="A13246" t="s">
        <v>1297</v>
      </c>
      <c r="B13246" t="s">
        <v>1298</v>
      </c>
      <c r="C13246" t="s">
        <v>674</v>
      </c>
      <c r="D13246" t="s">
        <v>1433</v>
      </c>
      <c r="E13246" t="s">
        <v>187</v>
      </c>
      <c r="F13246">
        <v>2005</v>
      </c>
      <c r="G13246">
        <v>876.57915600000001</v>
      </c>
    </row>
    <row r="13247" spans="1:7">
      <c r="A13247" t="s">
        <v>1297</v>
      </c>
      <c r="B13247" t="s">
        <v>1298</v>
      </c>
      <c r="C13247" t="s">
        <v>674</v>
      </c>
      <c r="D13247" t="s">
        <v>1433</v>
      </c>
      <c r="E13247" t="s">
        <v>187</v>
      </c>
      <c r="F13247">
        <v>2010</v>
      </c>
      <c r="G13247">
        <v>964.86821199999997</v>
      </c>
    </row>
    <row r="13248" spans="1:7">
      <c r="A13248" t="s">
        <v>1297</v>
      </c>
      <c r="B13248" t="s">
        <v>1298</v>
      </c>
      <c r="C13248" t="s">
        <v>674</v>
      </c>
      <c r="D13248" t="s">
        <v>1433</v>
      </c>
      <c r="E13248" t="s">
        <v>187</v>
      </c>
      <c r="F13248">
        <v>2012</v>
      </c>
      <c r="G13248">
        <v>982.96529999999996</v>
      </c>
    </row>
    <row r="13249" spans="1:7">
      <c r="A13249" t="s">
        <v>1297</v>
      </c>
      <c r="B13249" t="s">
        <v>1298</v>
      </c>
      <c r="C13249" t="s">
        <v>674</v>
      </c>
      <c r="D13249" t="s">
        <v>1433</v>
      </c>
      <c r="E13249" t="s">
        <v>187</v>
      </c>
      <c r="F13249">
        <v>2016</v>
      </c>
      <c r="G13249">
        <v>1026.7948080000001</v>
      </c>
    </row>
    <row r="13250" spans="1:7">
      <c r="A13250" t="s">
        <v>1297</v>
      </c>
      <c r="B13250" t="s">
        <v>1298</v>
      </c>
      <c r="C13250" t="s">
        <v>674</v>
      </c>
      <c r="D13250" t="s">
        <v>1433</v>
      </c>
      <c r="E13250" t="s">
        <v>187</v>
      </c>
      <c r="F13250">
        <v>2020</v>
      </c>
      <c r="G13250">
        <v>950.33006</v>
      </c>
    </row>
    <row r="13251" spans="1:7">
      <c r="A13251" t="s">
        <v>1297</v>
      </c>
      <c r="B13251" t="s">
        <v>1298</v>
      </c>
      <c r="C13251" t="s">
        <v>662</v>
      </c>
      <c r="D13251" t="s">
        <v>1433</v>
      </c>
      <c r="E13251" t="s">
        <v>187</v>
      </c>
      <c r="F13251">
        <v>2005</v>
      </c>
      <c r="G13251">
        <v>967.36931400000003</v>
      </c>
    </row>
    <row r="13252" spans="1:7">
      <c r="A13252" t="s">
        <v>1297</v>
      </c>
      <c r="B13252" t="s">
        <v>1298</v>
      </c>
      <c r="C13252" t="s">
        <v>662</v>
      </c>
      <c r="D13252" t="s">
        <v>1433</v>
      </c>
      <c r="E13252" t="s">
        <v>187</v>
      </c>
      <c r="F13252">
        <v>2010</v>
      </c>
      <c r="G13252">
        <v>990.25218600000005</v>
      </c>
    </row>
    <row r="13253" spans="1:7">
      <c r="A13253" t="s">
        <v>1297</v>
      </c>
      <c r="B13253" t="s">
        <v>1298</v>
      </c>
      <c r="C13253" t="s">
        <v>662</v>
      </c>
      <c r="D13253" t="s">
        <v>1433</v>
      </c>
      <c r="E13253" t="s">
        <v>187</v>
      </c>
      <c r="F13253">
        <v>2012</v>
      </c>
      <c r="G13253">
        <v>1102.18219</v>
      </c>
    </row>
    <row r="13254" spans="1:7">
      <c r="A13254" t="s">
        <v>1297</v>
      </c>
      <c r="B13254" t="s">
        <v>1298</v>
      </c>
      <c r="C13254" t="s">
        <v>662</v>
      </c>
      <c r="D13254" t="s">
        <v>1433</v>
      </c>
      <c r="E13254" t="s">
        <v>187</v>
      </c>
      <c r="F13254">
        <v>2016</v>
      </c>
      <c r="G13254">
        <v>1385.7406100000001</v>
      </c>
    </row>
    <row r="13255" spans="1:7">
      <c r="A13255" t="s">
        <v>1297</v>
      </c>
      <c r="B13255" t="s">
        <v>1298</v>
      </c>
      <c r="C13255" t="s">
        <v>662</v>
      </c>
      <c r="D13255" t="s">
        <v>1433</v>
      </c>
      <c r="E13255" t="s">
        <v>187</v>
      </c>
      <c r="F13255">
        <v>2020</v>
      </c>
      <c r="G13255">
        <v>1398.768227</v>
      </c>
    </row>
    <row r="13256" spans="1:7">
      <c r="A13256" t="s">
        <v>1297</v>
      </c>
      <c r="B13256" t="s">
        <v>1298</v>
      </c>
      <c r="C13256" t="s">
        <v>672</v>
      </c>
      <c r="D13256" t="s">
        <v>1433</v>
      </c>
      <c r="E13256" t="s">
        <v>187</v>
      </c>
      <c r="F13256">
        <v>2005</v>
      </c>
      <c r="G13256">
        <v>602.825694</v>
      </c>
    </row>
    <row r="13257" spans="1:7">
      <c r="A13257" t="s">
        <v>1297</v>
      </c>
      <c r="B13257" t="s">
        <v>1298</v>
      </c>
      <c r="C13257" t="s">
        <v>672</v>
      </c>
      <c r="D13257" t="s">
        <v>1433</v>
      </c>
      <c r="E13257" t="s">
        <v>187</v>
      </c>
      <c r="F13257">
        <v>2010</v>
      </c>
      <c r="G13257">
        <v>513.65898600000003</v>
      </c>
    </row>
    <row r="13258" spans="1:7">
      <c r="A13258" t="s">
        <v>1297</v>
      </c>
      <c r="B13258" t="s">
        <v>1298</v>
      </c>
      <c r="C13258" t="s">
        <v>672</v>
      </c>
      <c r="D13258" t="s">
        <v>1433</v>
      </c>
      <c r="E13258" t="s">
        <v>187</v>
      </c>
      <c r="F13258">
        <v>2012</v>
      </c>
      <c r="G13258">
        <v>502.53163699999999</v>
      </c>
    </row>
    <row r="13259" spans="1:7">
      <c r="A13259" t="s">
        <v>1297</v>
      </c>
      <c r="B13259" t="s">
        <v>1298</v>
      </c>
      <c r="C13259" t="s">
        <v>672</v>
      </c>
      <c r="D13259" t="s">
        <v>1433</v>
      </c>
      <c r="E13259" t="s">
        <v>187</v>
      </c>
      <c r="F13259">
        <v>2016</v>
      </c>
      <c r="G13259">
        <v>664.58584800000006</v>
      </c>
    </row>
    <row r="13260" spans="1:7">
      <c r="A13260" t="s">
        <v>1297</v>
      </c>
      <c r="B13260" t="s">
        <v>1298</v>
      </c>
      <c r="C13260" t="s">
        <v>672</v>
      </c>
      <c r="D13260" t="s">
        <v>1433</v>
      </c>
      <c r="E13260" t="s">
        <v>187</v>
      </c>
      <c r="F13260">
        <v>2020</v>
      </c>
      <c r="G13260">
        <v>571.61023599999999</v>
      </c>
    </row>
    <row r="13261" spans="1:7">
      <c r="A13261" t="s">
        <v>1297</v>
      </c>
      <c r="B13261" t="s">
        <v>1298</v>
      </c>
      <c r="C13261" t="s">
        <v>668</v>
      </c>
      <c r="D13261" t="s">
        <v>1433</v>
      </c>
      <c r="E13261" t="s">
        <v>187</v>
      </c>
      <c r="F13261">
        <v>2005</v>
      </c>
      <c r="G13261">
        <v>12.282308</v>
      </c>
    </row>
    <row r="13262" spans="1:7">
      <c r="A13262" t="s">
        <v>1297</v>
      </c>
      <c r="B13262" t="s">
        <v>1298</v>
      </c>
      <c r="C13262" t="s">
        <v>668</v>
      </c>
      <c r="D13262" t="s">
        <v>1433</v>
      </c>
      <c r="E13262" t="s">
        <v>187</v>
      </c>
      <c r="F13262">
        <v>2010</v>
      </c>
      <c r="G13262">
        <v>4.0417000000000002E-2</v>
      </c>
    </row>
    <row r="13263" spans="1:7">
      <c r="A13263" t="s">
        <v>1297</v>
      </c>
      <c r="B13263" t="s">
        <v>1298</v>
      </c>
      <c r="C13263" t="s">
        <v>668</v>
      </c>
      <c r="D13263" t="s">
        <v>1433</v>
      </c>
      <c r="E13263" t="s">
        <v>187</v>
      </c>
      <c r="F13263">
        <v>2012</v>
      </c>
      <c r="G13263">
        <v>3.2604000000000001E-2</v>
      </c>
    </row>
    <row r="13264" spans="1:7">
      <c r="A13264" t="s">
        <v>1297</v>
      </c>
      <c r="B13264" t="s">
        <v>1298</v>
      </c>
      <c r="C13264" t="s">
        <v>668</v>
      </c>
      <c r="D13264" t="s">
        <v>1433</v>
      </c>
      <c r="E13264" t="s">
        <v>187</v>
      </c>
      <c r="F13264">
        <v>2020</v>
      </c>
      <c r="G13264">
        <v>7.2870000000000001E-3</v>
      </c>
    </row>
    <row r="13265" spans="1:7">
      <c r="A13265" t="s">
        <v>1297</v>
      </c>
      <c r="B13265" t="s">
        <v>1298</v>
      </c>
      <c r="C13265" t="s">
        <v>666</v>
      </c>
      <c r="D13265" t="s">
        <v>1433</v>
      </c>
      <c r="E13265" t="s">
        <v>187</v>
      </c>
      <c r="F13265">
        <v>2005</v>
      </c>
      <c r="G13265">
        <v>414.05457000000001</v>
      </c>
    </row>
    <row r="13266" spans="1:7">
      <c r="A13266" t="s">
        <v>1297</v>
      </c>
      <c r="B13266" t="s">
        <v>1298</v>
      </c>
      <c r="C13266" t="s">
        <v>289</v>
      </c>
      <c r="D13266" t="s">
        <v>1433</v>
      </c>
      <c r="E13266" t="s">
        <v>187</v>
      </c>
      <c r="F13266">
        <v>2005</v>
      </c>
      <c r="G13266">
        <v>234.805226</v>
      </c>
    </row>
    <row r="13267" spans="1:7">
      <c r="A13267" t="s">
        <v>1297</v>
      </c>
      <c r="B13267" t="s">
        <v>1298</v>
      </c>
      <c r="C13267" t="s">
        <v>289</v>
      </c>
      <c r="D13267" t="s">
        <v>1433</v>
      </c>
      <c r="E13267" t="s">
        <v>187</v>
      </c>
      <c r="F13267">
        <v>2010</v>
      </c>
      <c r="G13267">
        <v>190.330254</v>
      </c>
    </row>
    <row r="13268" spans="1:7">
      <c r="A13268" t="s">
        <v>1297</v>
      </c>
      <c r="B13268" t="s">
        <v>1298</v>
      </c>
      <c r="C13268" t="s">
        <v>289</v>
      </c>
      <c r="D13268" t="s">
        <v>1433</v>
      </c>
      <c r="E13268" t="s">
        <v>187</v>
      </c>
      <c r="F13268">
        <v>2012</v>
      </c>
      <c r="G13268">
        <v>170.54766799999999</v>
      </c>
    </row>
    <row r="13269" spans="1:7">
      <c r="A13269" t="s">
        <v>1297</v>
      </c>
      <c r="B13269" t="s">
        <v>1298</v>
      </c>
      <c r="C13269" t="s">
        <v>289</v>
      </c>
      <c r="D13269" t="s">
        <v>1433</v>
      </c>
      <c r="E13269" t="s">
        <v>187</v>
      </c>
      <c r="F13269">
        <v>2016</v>
      </c>
      <c r="G13269">
        <v>166.10203999999999</v>
      </c>
    </row>
    <row r="13270" spans="1:7">
      <c r="A13270" t="s">
        <v>1297</v>
      </c>
      <c r="B13270" t="s">
        <v>1298</v>
      </c>
      <c r="C13270" t="s">
        <v>289</v>
      </c>
      <c r="D13270" t="s">
        <v>1433</v>
      </c>
      <c r="E13270" t="s">
        <v>187</v>
      </c>
      <c r="F13270">
        <v>2020</v>
      </c>
      <c r="G13270">
        <v>130.899497</v>
      </c>
    </row>
    <row r="13271" spans="1:7">
      <c r="A13271" t="s">
        <v>1297</v>
      </c>
      <c r="B13271" t="s">
        <v>1298</v>
      </c>
      <c r="C13271" t="s">
        <v>653</v>
      </c>
      <c r="D13271" t="s">
        <v>1433</v>
      </c>
      <c r="E13271" t="s">
        <v>187</v>
      </c>
      <c r="F13271">
        <v>2005</v>
      </c>
      <c r="G13271">
        <v>288.86082299999998</v>
      </c>
    </row>
    <row r="13272" spans="1:7">
      <c r="A13272" t="s">
        <v>1297</v>
      </c>
      <c r="B13272" t="s">
        <v>1298</v>
      </c>
      <c r="C13272" t="s">
        <v>653</v>
      </c>
      <c r="D13272" t="s">
        <v>1433</v>
      </c>
      <c r="E13272" t="s">
        <v>187</v>
      </c>
      <c r="F13272">
        <v>2010</v>
      </c>
      <c r="G13272">
        <v>257.39316100000002</v>
      </c>
    </row>
    <row r="13273" spans="1:7">
      <c r="A13273" t="s">
        <v>1297</v>
      </c>
      <c r="B13273" t="s">
        <v>1298</v>
      </c>
      <c r="C13273" t="s">
        <v>653</v>
      </c>
      <c r="D13273" t="s">
        <v>1433</v>
      </c>
      <c r="E13273" t="s">
        <v>187</v>
      </c>
      <c r="F13273">
        <v>2012</v>
      </c>
      <c r="G13273">
        <v>281.32099099999999</v>
      </c>
    </row>
    <row r="13274" spans="1:7">
      <c r="A13274" t="s">
        <v>1297</v>
      </c>
      <c r="B13274" t="s">
        <v>1298</v>
      </c>
      <c r="C13274" t="s">
        <v>653</v>
      </c>
      <c r="D13274" t="s">
        <v>1433</v>
      </c>
      <c r="E13274" t="s">
        <v>187</v>
      </c>
      <c r="F13274">
        <v>2016</v>
      </c>
      <c r="G13274">
        <v>311.72441800000001</v>
      </c>
    </row>
    <row r="13275" spans="1:7">
      <c r="A13275" t="s">
        <v>1297</v>
      </c>
      <c r="B13275" t="s">
        <v>1298</v>
      </c>
      <c r="C13275" t="s">
        <v>653</v>
      </c>
      <c r="D13275" t="s">
        <v>1433</v>
      </c>
      <c r="E13275" t="s">
        <v>187</v>
      </c>
      <c r="F13275">
        <v>2020</v>
      </c>
      <c r="G13275">
        <v>319.08818300000001</v>
      </c>
    </row>
    <row r="13276" spans="1:7">
      <c r="A13276" t="s">
        <v>1297</v>
      </c>
      <c r="B13276" t="s">
        <v>1298</v>
      </c>
      <c r="C13276" t="s">
        <v>660</v>
      </c>
      <c r="D13276" t="s">
        <v>1433</v>
      </c>
      <c r="E13276" t="s">
        <v>187</v>
      </c>
      <c r="F13276">
        <v>2012</v>
      </c>
      <c r="G13276">
        <v>764.67744900000002</v>
      </c>
    </row>
    <row r="13277" spans="1:7">
      <c r="A13277" t="s">
        <v>1297</v>
      </c>
      <c r="B13277" t="s">
        <v>1298</v>
      </c>
      <c r="C13277" t="s">
        <v>660</v>
      </c>
      <c r="D13277" t="s">
        <v>1433</v>
      </c>
      <c r="E13277" t="s">
        <v>187</v>
      </c>
      <c r="F13277">
        <v>2016</v>
      </c>
      <c r="G13277">
        <v>740.20843200000002</v>
      </c>
    </row>
    <row r="13278" spans="1:7">
      <c r="A13278" t="s">
        <v>1297</v>
      </c>
      <c r="B13278" t="s">
        <v>1298</v>
      </c>
      <c r="C13278" t="s">
        <v>660</v>
      </c>
      <c r="D13278" t="s">
        <v>1433</v>
      </c>
      <c r="E13278" t="s">
        <v>187</v>
      </c>
      <c r="F13278">
        <v>2020</v>
      </c>
      <c r="G13278">
        <v>767.31385</v>
      </c>
    </row>
    <row r="13279" spans="1:7">
      <c r="A13279" t="s">
        <v>1297</v>
      </c>
      <c r="B13279" t="s">
        <v>1298</v>
      </c>
      <c r="C13279" t="s">
        <v>681</v>
      </c>
      <c r="D13279" t="s">
        <v>1433</v>
      </c>
      <c r="E13279" t="s">
        <v>187</v>
      </c>
      <c r="F13279">
        <v>2005</v>
      </c>
      <c r="G13279">
        <v>16.027531</v>
      </c>
    </row>
    <row r="13280" spans="1:7">
      <c r="A13280" t="s">
        <v>1297</v>
      </c>
      <c r="B13280" t="s">
        <v>1298</v>
      </c>
      <c r="C13280" t="s">
        <v>681</v>
      </c>
      <c r="D13280" t="s">
        <v>1433</v>
      </c>
      <c r="E13280" t="s">
        <v>187</v>
      </c>
      <c r="F13280">
        <v>2010</v>
      </c>
      <c r="G13280">
        <v>6.1454000000000004</v>
      </c>
    </row>
    <row r="13281" spans="1:7">
      <c r="A13281" t="s">
        <v>1297</v>
      </c>
      <c r="B13281" t="s">
        <v>1298</v>
      </c>
      <c r="C13281" t="s">
        <v>681</v>
      </c>
      <c r="D13281" t="s">
        <v>1433</v>
      </c>
      <c r="E13281" t="s">
        <v>187</v>
      </c>
      <c r="F13281">
        <v>2012</v>
      </c>
      <c r="G13281">
        <v>4.3532130000000002</v>
      </c>
    </row>
    <row r="13282" spans="1:7">
      <c r="A13282" t="s">
        <v>1297</v>
      </c>
      <c r="B13282" t="s">
        <v>1298</v>
      </c>
      <c r="C13282" t="s">
        <v>681</v>
      </c>
      <c r="D13282" t="s">
        <v>1433</v>
      </c>
      <c r="E13282" t="s">
        <v>187</v>
      </c>
      <c r="F13282">
        <v>2016</v>
      </c>
      <c r="G13282">
        <v>7.3178419999999997</v>
      </c>
    </row>
    <row r="13283" spans="1:7">
      <c r="A13283" t="s">
        <v>1297</v>
      </c>
      <c r="B13283" t="s">
        <v>1298</v>
      </c>
      <c r="C13283" t="s">
        <v>681</v>
      </c>
      <c r="D13283" t="s">
        <v>1433</v>
      </c>
      <c r="E13283" t="s">
        <v>187</v>
      </c>
      <c r="F13283">
        <v>2020</v>
      </c>
      <c r="G13283">
        <v>13.053661</v>
      </c>
    </row>
    <row r="13284" spans="1:7">
      <c r="A13284" t="s">
        <v>1297</v>
      </c>
      <c r="B13284" t="s">
        <v>1298</v>
      </c>
      <c r="C13284" t="s">
        <v>651</v>
      </c>
      <c r="D13284" t="s">
        <v>1433</v>
      </c>
      <c r="E13284" t="s">
        <v>187</v>
      </c>
      <c r="F13284">
        <v>2005</v>
      </c>
      <c r="G13284">
        <v>389.84963699999997</v>
      </c>
    </row>
    <row r="13285" spans="1:7">
      <c r="A13285" t="s">
        <v>1297</v>
      </c>
      <c r="B13285" t="s">
        <v>1298</v>
      </c>
      <c r="C13285" t="s">
        <v>651</v>
      </c>
      <c r="D13285" t="s">
        <v>1433</v>
      </c>
      <c r="E13285" t="s">
        <v>187</v>
      </c>
      <c r="F13285">
        <v>2010</v>
      </c>
      <c r="G13285">
        <v>349.92272800000001</v>
      </c>
    </row>
    <row r="13286" spans="1:7">
      <c r="A13286" t="s">
        <v>1297</v>
      </c>
      <c r="B13286" t="s">
        <v>1298</v>
      </c>
      <c r="C13286" t="s">
        <v>651</v>
      </c>
      <c r="D13286" t="s">
        <v>1433</v>
      </c>
      <c r="E13286" t="s">
        <v>187</v>
      </c>
      <c r="F13286">
        <v>2012</v>
      </c>
      <c r="G13286">
        <v>387.134367</v>
      </c>
    </row>
    <row r="13287" spans="1:7">
      <c r="A13287" t="s">
        <v>1297</v>
      </c>
      <c r="B13287" t="s">
        <v>1298</v>
      </c>
      <c r="C13287" t="s">
        <v>651</v>
      </c>
      <c r="D13287" t="s">
        <v>1433</v>
      </c>
      <c r="E13287" t="s">
        <v>187</v>
      </c>
      <c r="F13287">
        <v>2016</v>
      </c>
      <c r="G13287">
        <v>368.14605799999998</v>
      </c>
    </row>
    <row r="13288" spans="1:7">
      <c r="A13288" t="s">
        <v>1297</v>
      </c>
      <c r="B13288" t="s">
        <v>1298</v>
      </c>
      <c r="C13288" t="s">
        <v>651</v>
      </c>
      <c r="D13288" t="s">
        <v>1433</v>
      </c>
      <c r="E13288" t="s">
        <v>187</v>
      </c>
      <c r="F13288">
        <v>2020</v>
      </c>
      <c r="G13288">
        <v>411.36795100000001</v>
      </c>
    </row>
    <row r="13289" spans="1:7">
      <c r="A13289" t="s">
        <v>1297</v>
      </c>
      <c r="B13289" t="s">
        <v>1298</v>
      </c>
      <c r="C13289" t="s">
        <v>673</v>
      </c>
      <c r="D13289" t="s">
        <v>1433</v>
      </c>
      <c r="E13289" t="s">
        <v>187</v>
      </c>
      <c r="F13289">
        <v>2005</v>
      </c>
      <c r="G13289">
        <v>659.14360799999997</v>
      </c>
    </row>
    <row r="13290" spans="1:7">
      <c r="A13290" t="s">
        <v>1297</v>
      </c>
      <c r="B13290" t="s">
        <v>1298</v>
      </c>
      <c r="C13290" t="s">
        <v>673</v>
      </c>
      <c r="D13290" t="s">
        <v>1433</v>
      </c>
      <c r="E13290" t="s">
        <v>187</v>
      </c>
      <c r="F13290">
        <v>2010</v>
      </c>
      <c r="G13290">
        <v>531.34342800000002</v>
      </c>
    </row>
    <row r="13291" spans="1:7">
      <c r="A13291" t="s">
        <v>1297</v>
      </c>
      <c r="B13291" t="s">
        <v>1298</v>
      </c>
      <c r="C13291" t="s">
        <v>673</v>
      </c>
      <c r="D13291" t="s">
        <v>1433</v>
      </c>
      <c r="E13291" t="s">
        <v>187</v>
      </c>
      <c r="F13291">
        <v>2012</v>
      </c>
      <c r="G13291">
        <v>462.26284500000003</v>
      </c>
    </row>
    <row r="13292" spans="1:7">
      <c r="A13292" t="s">
        <v>1297</v>
      </c>
      <c r="B13292" t="s">
        <v>1298</v>
      </c>
      <c r="C13292" t="s">
        <v>673</v>
      </c>
      <c r="D13292" t="s">
        <v>1433</v>
      </c>
      <c r="E13292" t="s">
        <v>187</v>
      </c>
      <c r="F13292">
        <v>2016</v>
      </c>
      <c r="G13292">
        <v>532.41154400000005</v>
      </c>
    </row>
    <row r="13293" spans="1:7">
      <c r="A13293" t="s">
        <v>1297</v>
      </c>
      <c r="B13293" t="s">
        <v>1298</v>
      </c>
      <c r="C13293" t="s">
        <v>673</v>
      </c>
      <c r="D13293" t="s">
        <v>1433</v>
      </c>
      <c r="E13293" t="s">
        <v>187</v>
      </c>
      <c r="F13293">
        <v>2020</v>
      </c>
      <c r="G13293">
        <v>583.80850499999997</v>
      </c>
    </row>
    <row r="13294" spans="1:7">
      <c r="A13294" t="s">
        <v>1297</v>
      </c>
      <c r="B13294" t="s">
        <v>1298</v>
      </c>
      <c r="C13294" t="s">
        <v>661</v>
      </c>
      <c r="D13294" t="s">
        <v>1433</v>
      </c>
      <c r="E13294" t="s">
        <v>187</v>
      </c>
      <c r="F13294">
        <v>2005</v>
      </c>
      <c r="G13294">
        <v>3835.7275909999998</v>
      </c>
    </row>
    <row r="13295" spans="1:7">
      <c r="A13295" t="s">
        <v>1297</v>
      </c>
      <c r="B13295" t="s">
        <v>1298</v>
      </c>
      <c r="C13295" t="s">
        <v>661</v>
      </c>
      <c r="D13295" t="s">
        <v>1433</v>
      </c>
      <c r="E13295" t="s">
        <v>187</v>
      </c>
      <c r="F13295">
        <v>2010</v>
      </c>
      <c r="G13295">
        <v>3364.9269979999999</v>
      </c>
    </row>
    <row r="13296" spans="1:7">
      <c r="A13296" t="s">
        <v>1297</v>
      </c>
      <c r="B13296" t="s">
        <v>1298</v>
      </c>
      <c r="C13296" t="s">
        <v>661</v>
      </c>
      <c r="D13296" t="s">
        <v>1433</v>
      </c>
      <c r="E13296" t="s">
        <v>187</v>
      </c>
      <c r="F13296">
        <v>2012</v>
      </c>
      <c r="G13296">
        <v>2853.0908460000001</v>
      </c>
    </row>
    <row r="13297" spans="1:7">
      <c r="A13297" t="s">
        <v>1297</v>
      </c>
      <c r="B13297" t="s">
        <v>1298</v>
      </c>
      <c r="C13297" t="s">
        <v>661</v>
      </c>
      <c r="D13297" t="s">
        <v>1433</v>
      </c>
      <c r="E13297" t="s">
        <v>187</v>
      </c>
      <c r="F13297">
        <v>2016</v>
      </c>
      <c r="G13297">
        <v>2732.5117759999998</v>
      </c>
    </row>
    <row r="13298" spans="1:7">
      <c r="A13298" t="s">
        <v>1297</v>
      </c>
      <c r="B13298" t="s">
        <v>1298</v>
      </c>
      <c r="C13298" t="s">
        <v>661</v>
      </c>
      <c r="D13298" t="s">
        <v>1433</v>
      </c>
      <c r="E13298" t="s">
        <v>187</v>
      </c>
      <c r="F13298">
        <v>2020</v>
      </c>
      <c r="G13298">
        <v>2348.016314</v>
      </c>
    </row>
    <row r="13299" spans="1:7">
      <c r="A13299" t="s">
        <v>1297</v>
      </c>
      <c r="B13299" t="s">
        <v>1298</v>
      </c>
      <c r="C13299" t="s">
        <v>685</v>
      </c>
      <c r="D13299" t="s">
        <v>1433</v>
      </c>
      <c r="E13299" t="s">
        <v>187</v>
      </c>
      <c r="F13299">
        <v>2005</v>
      </c>
      <c r="G13299">
        <v>59.817386999999997</v>
      </c>
    </row>
    <row r="13300" spans="1:7">
      <c r="A13300" t="s">
        <v>1297</v>
      </c>
      <c r="B13300" t="s">
        <v>1298</v>
      </c>
      <c r="C13300" t="s">
        <v>685</v>
      </c>
      <c r="D13300" t="s">
        <v>1433</v>
      </c>
      <c r="E13300" t="s">
        <v>187</v>
      </c>
      <c r="F13300">
        <v>2010</v>
      </c>
      <c r="G13300">
        <v>36.235503999999999</v>
      </c>
    </row>
    <row r="13301" spans="1:7">
      <c r="A13301" t="s">
        <v>1297</v>
      </c>
      <c r="B13301" t="s">
        <v>1298</v>
      </c>
      <c r="C13301" t="s">
        <v>685</v>
      </c>
      <c r="D13301" t="s">
        <v>1433</v>
      </c>
      <c r="E13301" t="s">
        <v>187</v>
      </c>
      <c r="F13301">
        <v>2012</v>
      </c>
      <c r="G13301">
        <v>10.312547</v>
      </c>
    </row>
    <row r="13302" spans="1:7">
      <c r="A13302" t="s">
        <v>1297</v>
      </c>
      <c r="B13302" t="s">
        <v>1298</v>
      </c>
      <c r="C13302" t="s">
        <v>1301</v>
      </c>
      <c r="D13302" t="s">
        <v>1433</v>
      </c>
      <c r="E13302" t="s">
        <v>187</v>
      </c>
      <c r="F13302">
        <v>2005</v>
      </c>
      <c r="G13302">
        <v>1098.1691000000001</v>
      </c>
    </row>
    <row r="13303" spans="1:7">
      <c r="A13303" t="s">
        <v>1297</v>
      </c>
      <c r="B13303" t="s">
        <v>1298</v>
      </c>
      <c r="C13303" t="s">
        <v>1301</v>
      </c>
      <c r="D13303" t="s">
        <v>1433</v>
      </c>
      <c r="E13303" t="s">
        <v>187</v>
      </c>
      <c r="F13303">
        <v>2010</v>
      </c>
      <c r="G13303">
        <v>909.67259999999999</v>
      </c>
    </row>
    <row r="13304" spans="1:7">
      <c r="A13304" t="s">
        <v>1297</v>
      </c>
      <c r="B13304" t="s">
        <v>1298</v>
      </c>
      <c r="C13304" t="s">
        <v>1301</v>
      </c>
      <c r="D13304" t="s">
        <v>1433</v>
      </c>
      <c r="E13304" t="s">
        <v>187</v>
      </c>
      <c r="F13304">
        <v>2012</v>
      </c>
      <c r="G13304">
        <v>1210.774193</v>
      </c>
    </row>
    <row r="13305" spans="1:7">
      <c r="A13305" t="s">
        <v>1297</v>
      </c>
      <c r="B13305" t="s">
        <v>1298</v>
      </c>
      <c r="C13305" t="s">
        <v>665</v>
      </c>
      <c r="D13305" t="s">
        <v>1433</v>
      </c>
      <c r="E13305" t="s">
        <v>187</v>
      </c>
      <c r="F13305">
        <v>2005</v>
      </c>
      <c r="G13305">
        <v>4447.1082999999999</v>
      </c>
    </row>
    <row r="13306" spans="1:7">
      <c r="A13306" t="s">
        <v>1297</v>
      </c>
      <c r="B13306" t="s">
        <v>1298</v>
      </c>
      <c r="C13306" t="s">
        <v>665</v>
      </c>
      <c r="D13306" t="s">
        <v>1433</v>
      </c>
      <c r="E13306" t="s">
        <v>187</v>
      </c>
      <c r="F13306">
        <v>2010</v>
      </c>
      <c r="G13306">
        <v>3974.6663199999998</v>
      </c>
    </row>
    <row r="13307" spans="1:7">
      <c r="A13307" t="s">
        <v>1297</v>
      </c>
      <c r="B13307" t="s">
        <v>1298</v>
      </c>
      <c r="C13307" t="s">
        <v>665</v>
      </c>
      <c r="D13307" t="s">
        <v>1433</v>
      </c>
      <c r="E13307" t="s">
        <v>187</v>
      </c>
      <c r="F13307">
        <v>2012</v>
      </c>
      <c r="G13307">
        <v>3619.6750999999999</v>
      </c>
    </row>
    <row r="13308" spans="1:7">
      <c r="A13308" t="s">
        <v>1297</v>
      </c>
      <c r="B13308" t="s">
        <v>1298</v>
      </c>
      <c r="C13308" t="s">
        <v>665</v>
      </c>
      <c r="D13308" t="s">
        <v>1433</v>
      </c>
      <c r="E13308" t="s">
        <v>187</v>
      </c>
      <c r="F13308">
        <v>2016</v>
      </c>
      <c r="G13308">
        <v>3158.5104000000001</v>
      </c>
    </row>
    <row r="13309" spans="1:7">
      <c r="A13309" t="s">
        <v>1297</v>
      </c>
      <c r="B13309" t="s">
        <v>1298</v>
      </c>
      <c r="C13309" t="s">
        <v>665</v>
      </c>
      <c r="D13309" t="s">
        <v>1433</v>
      </c>
      <c r="E13309" t="s">
        <v>187</v>
      </c>
      <c r="F13309">
        <v>2020</v>
      </c>
      <c r="G13309">
        <v>3402.029266</v>
      </c>
    </row>
    <row r="13310" spans="1:7">
      <c r="A13310" t="s">
        <v>1297</v>
      </c>
      <c r="B13310" t="s">
        <v>1298</v>
      </c>
      <c r="C13310" t="s">
        <v>1300</v>
      </c>
      <c r="D13310" t="s">
        <v>1433</v>
      </c>
      <c r="E13310" t="s">
        <v>187</v>
      </c>
      <c r="F13310">
        <v>2010</v>
      </c>
      <c r="G13310">
        <v>1.24044</v>
      </c>
    </row>
    <row r="13311" spans="1:7">
      <c r="A13311" t="s">
        <v>1297</v>
      </c>
      <c r="B13311" t="s">
        <v>1298</v>
      </c>
      <c r="C13311" t="s">
        <v>1300</v>
      </c>
      <c r="D13311" t="s">
        <v>1433</v>
      </c>
      <c r="E13311" t="s">
        <v>187</v>
      </c>
      <c r="F13311">
        <v>2012</v>
      </c>
      <c r="G13311">
        <v>1.0699099999999999</v>
      </c>
    </row>
    <row r="13312" spans="1:7">
      <c r="A13312" t="s">
        <v>1297</v>
      </c>
      <c r="B13312" t="s">
        <v>1298</v>
      </c>
      <c r="C13312" t="s">
        <v>1300</v>
      </c>
      <c r="D13312" t="s">
        <v>1433</v>
      </c>
      <c r="E13312" t="s">
        <v>187</v>
      </c>
      <c r="F13312">
        <v>2016</v>
      </c>
      <c r="G13312">
        <v>1.0666</v>
      </c>
    </row>
    <row r="13313" spans="1:7">
      <c r="A13313" t="s">
        <v>1297</v>
      </c>
      <c r="B13313" t="s">
        <v>1298</v>
      </c>
      <c r="C13313" t="s">
        <v>1300</v>
      </c>
      <c r="D13313" t="s">
        <v>1433</v>
      </c>
      <c r="E13313" t="s">
        <v>187</v>
      </c>
      <c r="F13313">
        <v>2020</v>
      </c>
      <c r="G13313">
        <v>0.27240900000000001</v>
      </c>
    </row>
    <row r="13314" spans="1:7">
      <c r="A13314" t="s">
        <v>1297</v>
      </c>
      <c r="B13314" t="s">
        <v>1298</v>
      </c>
      <c r="C13314" t="s">
        <v>666</v>
      </c>
      <c r="D13314" t="s">
        <v>1433</v>
      </c>
      <c r="E13314" t="s">
        <v>187</v>
      </c>
      <c r="F13314">
        <v>2010</v>
      </c>
      <c r="G13314">
        <v>424.95285000000001</v>
      </c>
    </row>
    <row r="13315" spans="1:7">
      <c r="A13315" t="s">
        <v>1297</v>
      </c>
      <c r="B13315" t="s">
        <v>1298</v>
      </c>
      <c r="C13315" t="s">
        <v>666</v>
      </c>
      <c r="D13315" t="s">
        <v>1433</v>
      </c>
      <c r="E13315" t="s">
        <v>187</v>
      </c>
      <c r="F13315">
        <v>2012</v>
      </c>
      <c r="G13315">
        <v>412.87589800000001</v>
      </c>
    </row>
    <row r="13316" spans="1:7">
      <c r="A13316" t="s">
        <v>1297</v>
      </c>
      <c r="B13316" t="s">
        <v>1298</v>
      </c>
      <c r="C13316" t="s">
        <v>666</v>
      </c>
      <c r="D13316" t="s">
        <v>1433</v>
      </c>
      <c r="E13316" t="s">
        <v>187</v>
      </c>
      <c r="F13316">
        <v>2016</v>
      </c>
      <c r="G13316">
        <v>455.15010000000001</v>
      </c>
    </row>
    <row r="13317" spans="1:7">
      <c r="A13317" t="s">
        <v>1297</v>
      </c>
      <c r="B13317" t="s">
        <v>1298</v>
      </c>
      <c r="C13317" t="s">
        <v>666</v>
      </c>
      <c r="D13317" t="s">
        <v>1433</v>
      </c>
      <c r="E13317" t="s">
        <v>187</v>
      </c>
      <c r="F13317">
        <v>2020</v>
      </c>
      <c r="G13317">
        <v>438.54460399999999</v>
      </c>
    </row>
    <row r="13318" spans="1:7">
      <c r="A13318" t="s">
        <v>1297</v>
      </c>
      <c r="B13318" t="s">
        <v>1298</v>
      </c>
      <c r="C13318" t="s">
        <v>682</v>
      </c>
      <c r="D13318" t="s">
        <v>1433</v>
      </c>
      <c r="E13318" t="s">
        <v>187</v>
      </c>
      <c r="F13318">
        <v>2016</v>
      </c>
      <c r="G13318">
        <v>35.018839999999997</v>
      </c>
    </row>
    <row r="13319" spans="1:7">
      <c r="A13319" t="s">
        <v>1297</v>
      </c>
      <c r="B13319" t="s">
        <v>1298</v>
      </c>
      <c r="C13319" t="s">
        <v>682</v>
      </c>
      <c r="D13319" t="s">
        <v>1433</v>
      </c>
      <c r="E13319" t="s">
        <v>187</v>
      </c>
      <c r="F13319">
        <v>2020</v>
      </c>
      <c r="G13319">
        <v>3.1456490000000001</v>
      </c>
    </row>
    <row r="13320" spans="1:7">
      <c r="A13320" t="s">
        <v>1297</v>
      </c>
      <c r="B13320" t="s">
        <v>1298</v>
      </c>
      <c r="C13320" t="s">
        <v>652</v>
      </c>
      <c r="D13320" t="s">
        <v>1433</v>
      </c>
      <c r="E13320" t="s">
        <v>187</v>
      </c>
      <c r="F13320">
        <v>2005</v>
      </c>
      <c r="G13320">
        <v>1772.8960079999999</v>
      </c>
    </row>
    <row r="13321" spans="1:7">
      <c r="A13321" t="s">
        <v>1297</v>
      </c>
      <c r="B13321" t="s">
        <v>1298</v>
      </c>
      <c r="C13321" t="s">
        <v>652</v>
      </c>
      <c r="D13321" t="s">
        <v>1433</v>
      </c>
      <c r="E13321" t="s">
        <v>187</v>
      </c>
      <c r="F13321">
        <v>2010</v>
      </c>
      <c r="G13321">
        <v>1791.2258859999999</v>
      </c>
    </row>
    <row r="13322" spans="1:7">
      <c r="A13322" t="s">
        <v>1297</v>
      </c>
      <c r="B13322" t="s">
        <v>1298</v>
      </c>
      <c r="C13322" t="s">
        <v>652</v>
      </c>
      <c r="D13322" t="s">
        <v>1433</v>
      </c>
      <c r="E13322" t="s">
        <v>187</v>
      </c>
      <c r="F13322">
        <v>2012</v>
      </c>
      <c r="G13322">
        <v>1778.0864099999999</v>
      </c>
    </row>
    <row r="13323" spans="1:7">
      <c r="A13323" t="s">
        <v>1297</v>
      </c>
      <c r="B13323" t="s">
        <v>1298</v>
      </c>
      <c r="C13323" t="s">
        <v>652</v>
      </c>
      <c r="D13323" t="s">
        <v>1433</v>
      </c>
      <c r="E13323" t="s">
        <v>187</v>
      </c>
      <c r="F13323">
        <v>2016</v>
      </c>
      <c r="G13323">
        <v>1708.78441</v>
      </c>
    </row>
    <row r="13324" spans="1:7">
      <c r="A13324" t="s">
        <v>1297</v>
      </c>
      <c r="B13324" t="s">
        <v>1298</v>
      </c>
      <c r="C13324" t="s">
        <v>652</v>
      </c>
      <c r="D13324" t="s">
        <v>1433</v>
      </c>
      <c r="E13324" t="s">
        <v>187</v>
      </c>
      <c r="F13324">
        <v>2020</v>
      </c>
      <c r="G13324">
        <v>1802.471515</v>
      </c>
    </row>
    <row r="13325" spans="1:7">
      <c r="A13325" t="s">
        <v>1297</v>
      </c>
      <c r="B13325" t="s">
        <v>1298</v>
      </c>
      <c r="C13325" t="s">
        <v>670</v>
      </c>
      <c r="D13325" t="s">
        <v>1433</v>
      </c>
      <c r="E13325" t="s">
        <v>187</v>
      </c>
      <c r="F13325">
        <v>2005</v>
      </c>
      <c r="G13325">
        <v>3496.2080900000001</v>
      </c>
    </row>
    <row r="13326" spans="1:7">
      <c r="A13326" t="s">
        <v>1297</v>
      </c>
      <c r="B13326" t="s">
        <v>1298</v>
      </c>
      <c r="C13326" t="s">
        <v>670</v>
      </c>
      <c r="D13326" t="s">
        <v>1433</v>
      </c>
      <c r="E13326" t="s">
        <v>187</v>
      </c>
      <c r="F13326">
        <v>2010</v>
      </c>
      <c r="G13326">
        <v>3497.048139</v>
      </c>
    </row>
    <row r="13327" spans="1:7">
      <c r="A13327" t="s">
        <v>1297</v>
      </c>
      <c r="B13327" t="s">
        <v>1298</v>
      </c>
      <c r="C13327" t="s">
        <v>670</v>
      </c>
      <c r="D13327" t="s">
        <v>1433</v>
      </c>
      <c r="E13327" t="s">
        <v>187</v>
      </c>
      <c r="F13327">
        <v>2012</v>
      </c>
      <c r="G13327">
        <v>3432.313995</v>
      </c>
    </row>
    <row r="13328" spans="1:7">
      <c r="A13328" t="s">
        <v>1297</v>
      </c>
      <c r="B13328" t="s">
        <v>1298</v>
      </c>
      <c r="C13328" t="s">
        <v>670</v>
      </c>
      <c r="D13328" t="s">
        <v>1433</v>
      </c>
      <c r="E13328" t="s">
        <v>187</v>
      </c>
      <c r="F13328">
        <v>2016</v>
      </c>
      <c r="G13328">
        <v>3869.4642869999998</v>
      </c>
    </row>
    <row r="13329" spans="1:7">
      <c r="A13329" t="s">
        <v>1297</v>
      </c>
      <c r="B13329" t="s">
        <v>1298</v>
      </c>
      <c r="C13329" t="s">
        <v>670</v>
      </c>
      <c r="D13329" t="s">
        <v>1433</v>
      </c>
      <c r="E13329" t="s">
        <v>187</v>
      </c>
      <c r="F13329">
        <v>2020</v>
      </c>
      <c r="G13329">
        <v>4326.8177800000003</v>
      </c>
    </row>
    <row r="13330" spans="1:7">
      <c r="A13330" t="s">
        <v>1297</v>
      </c>
      <c r="B13330" t="s">
        <v>1298</v>
      </c>
      <c r="C13330" t="s">
        <v>1301</v>
      </c>
      <c r="D13330" t="s">
        <v>1433</v>
      </c>
      <c r="E13330" t="s">
        <v>187</v>
      </c>
      <c r="F13330">
        <v>2016</v>
      </c>
      <c r="G13330">
        <v>1535.7915499999999</v>
      </c>
    </row>
    <row r="13331" spans="1:7">
      <c r="A13331" t="s">
        <v>1297</v>
      </c>
      <c r="B13331" t="s">
        <v>1298</v>
      </c>
      <c r="C13331" t="s">
        <v>1301</v>
      </c>
      <c r="D13331" t="s">
        <v>1433</v>
      </c>
      <c r="E13331" t="s">
        <v>187</v>
      </c>
      <c r="F13331">
        <v>2020</v>
      </c>
      <c r="G13331">
        <v>1804.0174500000001</v>
      </c>
    </row>
    <row r="13332" spans="1:7">
      <c r="A13332" t="s">
        <v>1297</v>
      </c>
      <c r="B13332" t="s">
        <v>1298</v>
      </c>
      <c r="C13332" t="s">
        <v>658</v>
      </c>
      <c r="D13332" t="s">
        <v>1433</v>
      </c>
      <c r="E13332" t="s">
        <v>187</v>
      </c>
      <c r="F13332">
        <v>2005</v>
      </c>
      <c r="G13332">
        <v>20.367511</v>
      </c>
    </row>
    <row r="13333" spans="1:7">
      <c r="A13333" t="s">
        <v>1297</v>
      </c>
      <c r="B13333" t="s">
        <v>1298</v>
      </c>
      <c r="C13333" t="s">
        <v>658</v>
      </c>
      <c r="D13333" t="s">
        <v>1433</v>
      </c>
      <c r="E13333" t="s">
        <v>187</v>
      </c>
      <c r="F13333">
        <v>2010</v>
      </c>
      <c r="G13333">
        <v>26.322407999999999</v>
      </c>
    </row>
    <row r="13334" spans="1:7">
      <c r="A13334" t="s">
        <v>1297</v>
      </c>
      <c r="B13334" t="s">
        <v>1298</v>
      </c>
      <c r="C13334" t="s">
        <v>658</v>
      </c>
      <c r="D13334" t="s">
        <v>1433</v>
      </c>
      <c r="E13334" t="s">
        <v>187</v>
      </c>
      <c r="F13334">
        <v>2012</v>
      </c>
      <c r="G13334">
        <v>28.868811000000001</v>
      </c>
    </row>
    <row r="13335" spans="1:7">
      <c r="A13335" t="s">
        <v>1297</v>
      </c>
      <c r="B13335" t="s">
        <v>1298</v>
      </c>
      <c r="C13335" t="s">
        <v>658</v>
      </c>
      <c r="D13335" t="s">
        <v>1433</v>
      </c>
      <c r="E13335" t="s">
        <v>187</v>
      </c>
      <c r="F13335">
        <v>2016</v>
      </c>
      <c r="G13335">
        <v>32.038412000000001</v>
      </c>
    </row>
    <row r="13336" spans="1:7">
      <c r="A13336" t="s">
        <v>1297</v>
      </c>
      <c r="B13336" t="s">
        <v>1298</v>
      </c>
      <c r="C13336" t="s">
        <v>660</v>
      </c>
      <c r="D13336" t="s">
        <v>1434</v>
      </c>
      <c r="E13336" t="s">
        <v>187</v>
      </c>
      <c r="F13336">
        <v>2012</v>
      </c>
      <c r="G13336">
        <v>60.692861000000001</v>
      </c>
    </row>
    <row r="13337" spans="1:7">
      <c r="A13337" t="s">
        <v>1297</v>
      </c>
      <c r="B13337" t="s">
        <v>1298</v>
      </c>
      <c r="C13337" t="s">
        <v>660</v>
      </c>
      <c r="D13337" t="s">
        <v>1434</v>
      </c>
      <c r="E13337" t="s">
        <v>187</v>
      </c>
      <c r="F13337">
        <v>2016</v>
      </c>
      <c r="G13337">
        <v>56.876857000000001</v>
      </c>
    </row>
    <row r="13338" spans="1:7">
      <c r="A13338" t="s">
        <v>1297</v>
      </c>
      <c r="B13338" t="s">
        <v>1298</v>
      </c>
      <c r="C13338" t="s">
        <v>660</v>
      </c>
      <c r="D13338" t="s">
        <v>1434</v>
      </c>
      <c r="E13338" t="s">
        <v>187</v>
      </c>
      <c r="F13338">
        <v>2020</v>
      </c>
      <c r="G13338">
        <v>44.685744999999997</v>
      </c>
    </row>
    <row r="13339" spans="1:7">
      <c r="A13339" t="s">
        <v>1297</v>
      </c>
      <c r="B13339" t="s">
        <v>1298</v>
      </c>
      <c r="C13339" t="s">
        <v>659</v>
      </c>
      <c r="D13339" t="s">
        <v>1434</v>
      </c>
      <c r="E13339" t="s">
        <v>187</v>
      </c>
      <c r="F13339">
        <v>2005</v>
      </c>
      <c r="G13339">
        <v>82.89</v>
      </c>
    </row>
    <row r="13340" spans="1:7">
      <c r="A13340" t="s">
        <v>1297</v>
      </c>
      <c r="B13340" t="s">
        <v>1298</v>
      </c>
      <c r="C13340" t="s">
        <v>659</v>
      </c>
      <c r="D13340" t="s">
        <v>1434</v>
      </c>
      <c r="E13340" t="s">
        <v>187</v>
      </c>
      <c r="F13340">
        <v>2010</v>
      </c>
      <c r="G13340">
        <v>163.83959999999999</v>
      </c>
    </row>
    <row r="13341" spans="1:7">
      <c r="A13341" t="s">
        <v>1297</v>
      </c>
      <c r="B13341" t="s">
        <v>1298</v>
      </c>
      <c r="C13341" t="s">
        <v>659</v>
      </c>
      <c r="D13341" t="s">
        <v>1434</v>
      </c>
      <c r="E13341" t="s">
        <v>187</v>
      </c>
      <c r="F13341">
        <v>2012</v>
      </c>
      <c r="G13341">
        <v>86.983199999999997</v>
      </c>
    </row>
    <row r="13342" spans="1:7">
      <c r="A13342" t="s">
        <v>1297</v>
      </c>
      <c r="B13342" t="s">
        <v>1298</v>
      </c>
      <c r="C13342" t="s">
        <v>659</v>
      </c>
      <c r="D13342" t="s">
        <v>1434</v>
      </c>
      <c r="E13342" t="s">
        <v>187</v>
      </c>
      <c r="F13342">
        <v>2016</v>
      </c>
      <c r="G13342">
        <v>143.51413299999999</v>
      </c>
    </row>
    <row r="13343" spans="1:7">
      <c r="A13343" t="s">
        <v>1297</v>
      </c>
      <c r="B13343" t="s">
        <v>1298</v>
      </c>
      <c r="C13343" t="s">
        <v>659</v>
      </c>
      <c r="D13343" t="s">
        <v>1434</v>
      </c>
      <c r="E13343" t="s">
        <v>187</v>
      </c>
      <c r="F13343">
        <v>2020</v>
      </c>
      <c r="G13343">
        <v>96.746399999999994</v>
      </c>
    </row>
    <row r="13344" spans="1:7">
      <c r="A13344" t="s">
        <v>1297</v>
      </c>
      <c r="B13344" t="s">
        <v>1298</v>
      </c>
      <c r="C13344" t="s">
        <v>1302</v>
      </c>
      <c r="D13344" t="s">
        <v>1434</v>
      </c>
      <c r="E13344" t="s">
        <v>187</v>
      </c>
      <c r="F13344">
        <v>2005</v>
      </c>
      <c r="G13344">
        <v>0.4032</v>
      </c>
    </row>
    <row r="13345" spans="1:7">
      <c r="A13345" t="s">
        <v>1297</v>
      </c>
      <c r="B13345" t="s">
        <v>1298</v>
      </c>
      <c r="C13345" t="s">
        <v>1302</v>
      </c>
      <c r="D13345" t="s">
        <v>1434</v>
      </c>
      <c r="E13345" t="s">
        <v>187</v>
      </c>
      <c r="F13345">
        <v>2010</v>
      </c>
      <c r="G13345">
        <v>0.56159999999999999</v>
      </c>
    </row>
    <row r="13346" spans="1:7">
      <c r="A13346" t="s">
        <v>1297</v>
      </c>
      <c r="B13346" t="s">
        <v>1298</v>
      </c>
      <c r="C13346" t="s">
        <v>1302</v>
      </c>
      <c r="D13346" t="s">
        <v>1434</v>
      </c>
      <c r="E13346" t="s">
        <v>187</v>
      </c>
      <c r="F13346">
        <v>2012</v>
      </c>
      <c r="G13346">
        <v>0.344084</v>
      </c>
    </row>
    <row r="13347" spans="1:7">
      <c r="A13347" t="s">
        <v>1297</v>
      </c>
      <c r="B13347" t="s">
        <v>1298</v>
      </c>
      <c r="C13347" t="s">
        <v>1302</v>
      </c>
      <c r="D13347" t="s">
        <v>1434</v>
      </c>
      <c r="E13347" t="s">
        <v>187</v>
      </c>
      <c r="F13347">
        <v>2016</v>
      </c>
      <c r="G13347">
        <v>0.88294300000000003</v>
      </c>
    </row>
    <row r="13348" spans="1:7">
      <c r="A13348" t="s">
        <v>1297</v>
      </c>
      <c r="B13348" t="s">
        <v>1298</v>
      </c>
      <c r="C13348" t="s">
        <v>1302</v>
      </c>
      <c r="D13348" t="s">
        <v>1434</v>
      </c>
      <c r="E13348" t="s">
        <v>187</v>
      </c>
      <c r="F13348">
        <v>2020</v>
      </c>
      <c r="G13348">
        <v>0.76651199999999997</v>
      </c>
    </row>
    <row r="13349" spans="1:7">
      <c r="A13349" t="s">
        <v>1297</v>
      </c>
      <c r="B13349" t="s">
        <v>1298</v>
      </c>
      <c r="C13349" t="s">
        <v>675</v>
      </c>
      <c r="D13349" t="s">
        <v>1434</v>
      </c>
      <c r="E13349" t="s">
        <v>187</v>
      </c>
      <c r="F13349">
        <v>2005</v>
      </c>
      <c r="G13349">
        <v>12.459474</v>
      </c>
    </row>
    <row r="13350" spans="1:7">
      <c r="A13350" t="s">
        <v>1297</v>
      </c>
      <c r="B13350" t="s">
        <v>1298</v>
      </c>
      <c r="C13350" t="s">
        <v>675</v>
      </c>
      <c r="D13350" t="s">
        <v>1434</v>
      </c>
      <c r="E13350" t="s">
        <v>187</v>
      </c>
      <c r="F13350">
        <v>2010</v>
      </c>
      <c r="G13350">
        <v>16.930637999999998</v>
      </c>
    </row>
    <row r="13351" spans="1:7">
      <c r="A13351" t="s">
        <v>1297</v>
      </c>
      <c r="B13351" t="s">
        <v>1298</v>
      </c>
      <c r="C13351" t="s">
        <v>675</v>
      </c>
      <c r="D13351" t="s">
        <v>1434</v>
      </c>
      <c r="E13351" t="s">
        <v>187</v>
      </c>
      <c r="F13351">
        <v>2012</v>
      </c>
      <c r="G13351">
        <v>14.712718000000001</v>
      </c>
    </row>
    <row r="13352" spans="1:7">
      <c r="A13352" t="s">
        <v>1297</v>
      </c>
      <c r="B13352" t="s">
        <v>1298</v>
      </c>
      <c r="C13352" t="s">
        <v>675</v>
      </c>
      <c r="D13352" t="s">
        <v>1434</v>
      </c>
      <c r="E13352" t="s">
        <v>187</v>
      </c>
      <c r="F13352">
        <v>2016</v>
      </c>
      <c r="G13352">
        <v>17.216197000000001</v>
      </c>
    </row>
    <row r="13353" spans="1:7">
      <c r="A13353" t="s">
        <v>1297</v>
      </c>
      <c r="B13353" t="s">
        <v>1298</v>
      </c>
      <c r="C13353" t="s">
        <v>675</v>
      </c>
      <c r="D13353" t="s">
        <v>1434</v>
      </c>
      <c r="E13353" t="s">
        <v>187</v>
      </c>
      <c r="F13353">
        <v>2020</v>
      </c>
      <c r="G13353">
        <v>16.857140000000001</v>
      </c>
    </row>
    <row r="13354" spans="1:7">
      <c r="A13354" t="s">
        <v>1297</v>
      </c>
      <c r="B13354" t="s">
        <v>1298</v>
      </c>
      <c r="C13354" t="s">
        <v>652</v>
      </c>
      <c r="D13354" t="s">
        <v>1434</v>
      </c>
      <c r="E13354" t="s">
        <v>187</v>
      </c>
      <c r="F13354">
        <v>2005</v>
      </c>
      <c r="G13354">
        <v>5.7744</v>
      </c>
    </row>
    <row r="13355" spans="1:7">
      <c r="A13355" t="s">
        <v>1297</v>
      </c>
      <c r="B13355" t="s">
        <v>1298</v>
      </c>
      <c r="C13355" t="s">
        <v>652</v>
      </c>
      <c r="D13355" t="s">
        <v>1434</v>
      </c>
      <c r="E13355" t="s">
        <v>187</v>
      </c>
      <c r="F13355">
        <v>2010</v>
      </c>
      <c r="G13355">
        <v>6.0048000000000004</v>
      </c>
    </row>
    <row r="13356" spans="1:7">
      <c r="A13356" t="s">
        <v>1297</v>
      </c>
      <c r="B13356" t="s">
        <v>1298</v>
      </c>
      <c r="C13356" t="s">
        <v>652</v>
      </c>
      <c r="D13356" t="s">
        <v>1434</v>
      </c>
      <c r="E13356" t="s">
        <v>187</v>
      </c>
      <c r="F13356">
        <v>2012</v>
      </c>
      <c r="G13356">
        <v>5.9724000000000004</v>
      </c>
    </row>
    <row r="13357" spans="1:7">
      <c r="A13357" t="s">
        <v>1297</v>
      </c>
      <c r="B13357" t="s">
        <v>1298</v>
      </c>
      <c r="C13357" t="s">
        <v>652</v>
      </c>
      <c r="D13357" t="s">
        <v>1434</v>
      </c>
      <c r="E13357" t="s">
        <v>187</v>
      </c>
      <c r="F13357">
        <v>2016</v>
      </c>
      <c r="G13357">
        <v>5.36076</v>
      </c>
    </row>
    <row r="13358" spans="1:7">
      <c r="A13358" t="s">
        <v>1297</v>
      </c>
      <c r="B13358" t="s">
        <v>1298</v>
      </c>
      <c r="C13358" t="s">
        <v>652</v>
      </c>
      <c r="D13358" t="s">
        <v>1434</v>
      </c>
      <c r="E13358" t="s">
        <v>187</v>
      </c>
      <c r="F13358">
        <v>2020</v>
      </c>
      <c r="G13358">
        <v>4.2523200000000001</v>
      </c>
    </row>
    <row r="13359" spans="1:7">
      <c r="A13359" t="s">
        <v>1297</v>
      </c>
      <c r="B13359" t="s">
        <v>1298</v>
      </c>
      <c r="C13359" t="s">
        <v>684</v>
      </c>
      <c r="D13359" t="s">
        <v>1434</v>
      </c>
      <c r="E13359" t="s">
        <v>187</v>
      </c>
      <c r="F13359">
        <v>2005</v>
      </c>
      <c r="G13359">
        <v>6.7176</v>
      </c>
    </row>
    <row r="13360" spans="1:7">
      <c r="A13360" t="s">
        <v>1297</v>
      </c>
      <c r="B13360" t="s">
        <v>1298</v>
      </c>
      <c r="C13360" t="s">
        <v>684</v>
      </c>
      <c r="D13360" t="s">
        <v>1434</v>
      </c>
      <c r="E13360" t="s">
        <v>187</v>
      </c>
      <c r="F13360">
        <v>2010</v>
      </c>
      <c r="G13360">
        <v>9.9</v>
      </c>
    </row>
    <row r="13361" spans="1:7">
      <c r="A13361" t="s">
        <v>1297</v>
      </c>
      <c r="B13361" t="s">
        <v>1298</v>
      </c>
      <c r="C13361" t="s">
        <v>684</v>
      </c>
      <c r="D13361" t="s">
        <v>1434</v>
      </c>
      <c r="E13361" t="s">
        <v>187</v>
      </c>
      <c r="F13361">
        <v>2012</v>
      </c>
      <c r="G13361">
        <v>5.3175129999999999</v>
      </c>
    </row>
    <row r="13362" spans="1:7">
      <c r="A13362" t="s">
        <v>1297</v>
      </c>
      <c r="B13362" t="s">
        <v>1298</v>
      </c>
      <c r="C13362" t="s">
        <v>684</v>
      </c>
      <c r="D13362" t="s">
        <v>1434</v>
      </c>
      <c r="E13362" t="s">
        <v>187</v>
      </c>
      <c r="F13362">
        <v>2016</v>
      </c>
      <c r="G13362">
        <v>6.6354879999999996</v>
      </c>
    </row>
    <row r="13363" spans="1:7">
      <c r="A13363" t="s">
        <v>1297</v>
      </c>
      <c r="B13363" t="s">
        <v>1298</v>
      </c>
      <c r="C13363" t="s">
        <v>684</v>
      </c>
      <c r="D13363" t="s">
        <v>1434</v>
      </c>
      <c r="E13363" t="s">
        <v>187</v>
      </c>
      <c r="F13363">
        <v>2020</v>
      </c>
      <c r="G13363">
        <v>5.8806000000000003</v>
      </c>
    </row>
    <row r="13364" spans="1:7">
      <c r="A13364" t="s">
        <v>1297</v>
      </c>
      <c r="B13364" t="s">
        <v>1298</v>
      </c>
      <c r="C13364" t="s">
        <v>656</v>
      </c>
      <c r="D13364" t="s">
        <v>1434</v>
      </c>
      <c r="E13364" t="s">
        <v>187</v>
      </c>
      <c r="F13364">
        <v>2005</v>
      </c>
      <c r="G13364">
        <v>95.101200000000006</v>
      </c>
    </row>
    <row r="13365" spans="1:7">
      <c r="A13365" t="s">
        <v>1297</v>
      </c>
      <c r="B13365" t="s">
        <v>1298</v>
      </c>
      <c r="C13365" t="s">
        <v>656</v>
      </c>
      <c r="D13365" t="s">
        <v>1434</v>
      </c>
      <c r="E13365" t="s">
        <v>187</v>
      </c>
      <c r="F13365">
        <v>2010</v>
      </c>
      <c r="G13365">
        <v>98.470799999999997</v>
      </c>
    </row>
    <row r="13366" spans="1:7">
      <c r="A13366" t="s">
        <v>1297</v>
      </c>
      <c r="B13366" t="s">
        <v>1298</v>
      </c>
      <c r="C13366" t="s">
        <v>656</v>
      </c>
      <c r="D13366" t="s">
        <v>1434</v>
      </c>
      <c r="E13366" t="s">
        <v>187</v>
      </c>
      <c r="F13366">
        <v>2012</v>
      </c>
      <c r="G13366">
        <v>100.2564</v>
      </c>
    </row>
    <row r="13367" spans="1:7">
      <c r="A13367" t="s">
        <v>1297</v>
      </c>
      <c r="B13367" t="s">
        <v>1298</v>
      </c>
      <c r="C13367" t="s">
        <v>656</v>
      </c>
      <c r="D13367" t="s">
        <v>1434</v>
      </c>
      <c r="E13367" t="s">
        <v>187</v>
      </c>
      <c r="F13367">
        <v>2016</v>
      </c>
      <c r="G13367">
        <v>94.082400000000007</v>
      </c>
    </row>
    <row r="13368" spans="1:7">
      <c r="A13368" t="s">
        <v>1297</v>
      </c>
      <c r="B13368" t="s">
        <v>1298</v>
      </c>
      <c r="C13368" t="s">
        <v>656</v>
      </c>
      <c r="D13368" t="s">
        <v>1434</v>
      </c>
      <c r="E13368" t="s">
        <v>187</v>
      </c>
      <c r="F13368">
        <v>2020</v>
      </c>
      <c r="G13368">
        <v>92.415599999999998</v>
      </c>
    </row>
    <row r="13369" spans="1:7">
      <c r="A13369" t="s">
        <v>1297</v>
      </c>
      <c r="B13369" t="s">
        <v>1298</v>
      </c>
      <c r="C13369" t="s">
        <v>681</v>
      </c>
      <c r="D13369" t="s">
        <v>1434</v>
      </c>
      <c r="E13369" t="s">
        <v>187</v>
      </c>
      <c r="F13369">
        <v>2005</v>
      </c>
      <c r="G13369">
        <v>19.3428</v>
      </c>
    </row>
    <row r="13370" spans="1:7">
      <c r="A13370" t="s">
        <v>1297</v>
      </c>
      <c r="B13370" t="s">
        <v>1298</v>
      </c>
      <c r="C13370" t="s">
        <v>681</v>
      </c>
      <c r="D13370" t="s">
        <v>1434</v>
      </c>
      <c r="E13370" t="s">
        <v>187</v>
      </c>
      <c r="F13370">
        <v>2010</v>
      </c>
      <c r="G13370">
        <v>27.241199999999999</v>
      </c>
    </row>
    <row r="13371" spans="1:7">
      <c r="A13371" t="s">
        <v>1297</v>
      </c>
      <c r="B13371" t="s">
        <v>1298</v>
      </c>
      <c r="C13371" t="s">
        <v>681</v>
      </c>
      <c r="D13371" t="s">
        <v>1434</v>
      </c>
      <c r="E13371" t="s">
        <v>187</v>
      </c>
      <c r="F13371">
        <v>2012</v>
      </c>
      <c r="G13371">
        <v>17.010000000000002</v>
      </c>
    </row>
    <row r="13372" spans="1:7">
      <c r="A13372" t="s">
        <v>1297</v>
      </c>
      <c r="B13372" t="s">
        <v>1298</v>
      </c>
      <c r="C13372" t="s">
        <v>681</v>
      </c>
      <c r="D13372" t="s">
        <v>1434</v>
      </c>
      <c r="E13372" t="s">
        <v>187</v>
      </c>
      <c r="F13372">
        <v>2016</v>
      </c>
      <c r="G13372">
        <v>28.014126999999998</v>
      </c>
    </row>
    <row r="13373" spans="1:7">
      <c r="A13373" t="s">
        <v>1297</v>
      </c>
      <c r="B13373" t="s">
        <v>1298</v>
      </c>
      <c r="C13373" t="s">
        <v>681</v>
      </c>
      <c r="D13373" t="s">
        <v>1434</v>
      </c>
      <c r="E13373" t="s">
        <v>187</v>
      </c>
      <c r="F13373">
        <v>2020</v>
      </c>
      <c r="G13373">
        <v>18.661849</v>
      </c>
    </row>
    <row r="13374" spans="1:7">
      <c r="A13374" t="s">
        <v>1297</v>
      </c>
      <c r="B13374" t="s">
        <v>1298</v>
      </c>
      <c r="C13374" t="s">
        <v>674</v>
      </c>
      <c r="D13374" t="s">
        <v>1434</v>
      </c>
      <c r="E13374" t="s">
        <v>187</v>
      </c>
      <c r="F13374">
        <v>2005</v>
      </c>
      <c r="G13374">
        <v>262.34686399999998</v>
      </c>
    </row>
    <row r="13375" spans="1:7">
      <c r="A13375" t="s">
        <v>1297</v>
      </c>
      <c r="B13375" t="s">
        <v>1298</v>
      </c>
      <c r="C13375" t="s">
        <v>674</v>
      </c>
      <c r="D13375" t="s">
        <v>1434</v>
      </c>
      <c r="E13375" t="s">
        <v>187</v>
      </c>
      <c r="F13375">
        <v>2010</v>
      </c>
      <c r="G13375">
        <v>239.40283700000001</v>
      </c>
    </row>
    <row r="13376" spans="1:7">
      <c r="A13376" t="s">
        <v>1297</v>
      </c>
      <c r="B13376" t="s">
        <v>1298</v>
      </c>
      <c r="C13376" t="s">
        <v>674</v>
      </c>
      <c r="D13376" t="s">
        <v>1434</v>
      </c>
      <c r="E13376" t="s">
        <v>187</v>
      </c>
      <c r="F13376">
        <v>2012</v>
      </c>
      <c r="G13376">
        <v>284.60879999999997</v>
      </c>
    </row>
    <row r="13377" spans="1:7">
      <c r="A13377" t="s">
        <v>1297</v>
      </c>
      <c r="B13377" t="s">
        <v>1298</v>
      </c>
      <c r="C13377" t="s">
        <v>674</v>
      </c>
      <c r="D13377" t="s">
        <v>1434</v>
      </c>
      <c r="E13377" t="s">
        <v>187</v>
      </c>
      <c r="F13377">
        <v>2016</v>
      </c>
      <c r="G13377">
        <v>223.69161600000001</v>
      </c>
    </row>
    <row r="13378" spans="1:7">
      <c r="A13378" t="s">
        <v>1297</v>
      </c>
      <c r="B13378" t="s">
        <v>1298</v>
      </c>
      <c r="C13378" t="s">
        <v>674</v>
      </c>
      <c r="D13378" t="s">
        <v>1434</v>
      </c>
      <c r="E13378" t="s">
        <v>187</v>
      </c>
      <c r="F13378">
        <v>2020</v>
      </c>
      <c r="G13378">
        <v>235.41480000000001</v>
      </c>
    </row>
    <row r="13379" spans="1:7">
      <c r="A13379" t="s">
        <v>1297</v>
      </c>
      <c r="B13379" t="s">
        <v>1298</v>
      </c>
      <c r="C13379" t="s">
        <v>664</v>
      </c>
      <c r="D13379" t="s">
        <v>1434</v>
      </c>
      <c r="E13379" t="s">
        <v>187</v>
      </c>
      <c r="F13379">
        <v>2005</v>
      </c>
      <c r="G13379">
        <v>3.5106120000000001</v>
      </c>
    </row>
    <row r="13380" spans="1:7">
      <c r="A13380" t="s">
        <v>1297</v>
      </c>
      <c r="B13380" t="s">
        <v>1298</v>
      </c>
      <c r="C13380" t="s">
        <v>664</v>
      </c>
      <c r="D13380" t="s">
        <v>1434</v>
      </c>
      <c r="E13380" t="s">
        <v>187</v>
      </c>
      <c r="F13380">
        <v>2010</v>
      </c>
      <c r="G13380">
        <v>2.7939349999999998</v>
      </c>
    </row>
    <row r="13381" spans="1:7">
      <c r="A13381" t="s">
        <v>1297</v>
      </c>
      <c r="B13381" t="s">
        <v>1298</v>
      </c>
      <c r="C13381" t="s">
        <v>664</v>
      </c>
      <c r="D13381" t="s">
        <v>1434</v>
      </c>
      <c r="E13381" t="s">
        <v>187</v>
      </c>
      <c r="F13381">
        <v>2012</v>
      </c>
      <c r="G13381">
        <v>3.650836</v>
      </c>
    </row>
    <row r="13382" spans="1:7">
      <c r="A13382" t="s">
        <v>1297</v>
      </c>
      <c r="B13382" t="s">
        <v>1298</v>
      </c>
      <c r="C13382" t="s">
        <v>664</v>
      </c>
      <c r="D13382" t="s">
        <v>1434</v>
      </c>
      <c r="E13382" t="s">
        <v>187</v>
      </c>
      <c r="F13382">
        <v>2016</v>
      </c>
      <c r="G13382">
        <v>3.5026920000000001</v>
      </c>
    </row>
    <row r="13383" spans="1:7">
      <c r="A13383" t="s">
        <v>1297</v>
      </c>
      <c r="B13383" t="s">
        <v>1298</v>
      </c>
      <c r="C13383" t="s">
        <v>664</v>
      </c>
      <c r="D13383" t="s">
        <v>1434</v>
      </c>
      <c r="E13383" t="s">
        <v>187</v>
      </c>
      <c r="F13383">
        <v>2020</v>
      </c>
      <c r="G13383">
        <v>4.0748509999999998</v>
      </c>
    </row>
    <row r="13384" spans="1:7">
      <c r="A13384" t="s">
        <v>1297</v>
      </c>
      <c r="B13384" t="s">
        <v>1298</v>
      </c>
      <c r="C13384" t="s">
        <v>653</v>
      </c>
      <c r="D13384" t="s">
        <v>1434</v>
      </c>
      <c r="E13384" t="s">
        <v>187</v>
      </c>
      <c r="F13384">
        <v>2005</v>
      </c>
      <c r="G13384">
        <v>17.027626000000001</v>
      </c>
    </row>
    <row r="13385" spans="1:7">
      <c r="A13385" t="s">
        <v>1297</v>
      </c>
      <c r="B13385" t="s">
        <v>1298</v>
      </c>
      <c r="C13385" t="s">
        <v>653</v>
      </c>
      <c r="D13385" t="s">
        <v>1434</v>
      </c>
      <c r="E13385" t="s">
        <v>187</v>
      </c>
      <c r="F13385">
        <v>2010</v>
      </c>
      <c r="G13385">
        <v>20.493058000000001</v>
      </c>
    </row>
    <row r="13386" spans="1:7">
      <c r="A13386" t="s">
        <v>1297</v>
      </c>
      <c r="B13386" t="s">
        <v>1298</v>
      </c>
      <c r="C13386" t="s">
        <v>653</v>
      </c>
      <c r="D13386" t="s">
        <v>1434</v>
      </c>
      <c r="E13386" t="s">
        <v>187</v>
      </c>
      <c r="F13386">
        <v>2012</v>
      </c>
      <c r="G13386">
        <v>14.312542000000001</v>
      </c>
    </row>
    <row r="13387" spans="1:7">
      <c r="A13387" t="s">
        <v>1297</v>
      </c>
      <c r="B13387" t="s">
        <v>1298</v>
      </c>
      <c r="C13387" t="s">
        <v>653</v>
      </c>
      <c r="D13387" t="s">
        <v>1434</v>
      </c>
      <c r="E13387" t="s">
        <v>187</v>
      </c>
      <c r="F13387">
        <v>2016</v>
      </c>
      <c r="G13387">
        <v>16.444230999999998</v>
      </c>
    </row>
    <row r="13388" spans="1:7">
      <c r="A13388" t="s">
        <v>1297</v>
      </c>
      <c r="B13388" t="s">
        <v>1298</v>
      </c>
      <c r="C13388" t="s">
        <v>653</v>
      </c>
      <c r="D13388" t="s">
        <v>1434</v>
      </c>
      <c r="E13388" t="s">
        <v>187</v>
      </c>
      <c r="F13388">
        <v>2020</v>
      </c>
      <c r="G13388">
        <v>12.177882</v>
      </c>
    </row>
    <row r="13389" spans="1:7">
      <c r="A13389" t="s">
        <v>1297</v>
      </c>
      <c r="B13389" t="s">
        <v>1298</v>
      </c>
      <c r="C13389" t="s">
        <v>289</v>
      </c>
      <c r="D13389" t="s">
        <v>1434</v>
      </c>
      <c r="E13389" t="s">
        <v>187</v>
      </c>
      <c r="F13389">
        <v>2005</v>
      </c>
      <c r="G13389">
        <v>25.7058</v>
      </c>
    </row>
    <row r="13390" spans="1:7">
      <c r="A13390" t="s">
        <v>1297</v>
      </c>
      <c r="B13390" t="s">
        <v>1298</v>
      </c>
      <c r="C13390" t="s">
        <v>289</v>
      </c>
      <c r="D13390" t="s">
        <v>1434</v>
      </c>
      <c r="E13390" t="s">
        <v>187</v>
      </c>
      <c r="F13390">
        <v>2010</v>
      </c>
      <c r="G13390">
        <v>33.236291000000001</v>
      </c>
    </row>
    <row r="13391" spans="1:7">
      <c r="A13391" t="s">
        <v>1297</v>
      </c>
      <c r="B13391" t="s">
        <v>1298</v>
      </c>
      <c r="C13391" t="s">
        <v>289</v>
      </c>
      <c r="D13391" t="s">
        <v>1434</v>
      </c>
      <c r="E13391" t="s">
        <v>187</v>
      </c>
      <c r="F13391">
        <v>2012</v>
      </c>
      <c r="G13391">
        <v>17.996040000000001</v>
      </c>
    </row>
    <row r="13392" spans="1:7">
      <c r="A13392" t="s">
        <v>1297</v>
      </c>
      <c r="B13392" t="s">
        <v>1298</v>
      </c>
      <c r="C13392" t="s">
        <v>289</v>
      </c>
      <c r="D13392" t="s">
        <v>1434</v>
      </c>
      <c r="E13392" t="s">
        <v>187</v>
      </c>
      <c r="F13392">
        <v>2016</v>
      </c>
      <c r="G13392">
        <v>25.407356</v>
      </c>
    </row>
    <row r="13393" spans="1:7">
      <c r="A13393" t="s">
        <v>1297</v>
      </c>
      <c r="B13393" t="s">
        <v>1298</v>
      </c>
      <c r="C13393" t="s">
        <v>289</v>
      </c>
      <c r="D13393" t="s">
        <v>1434</v>
      </c>
      <c r="E13393" t="s">
        <v>187</v>
      </c>
      <c r="F13393">
        <v>2020</v>
      </c>
      <c r="G13393">
        <v>21.35736</v>
      </c>
    </row>
    <row r="13394" spans="1:7">
      <c r="A13394" t="s">
        <v>1297</v>
      </c>
      <c r="B13394" t="s">
        <v>1298</v>
      </c>
      <c r="C13394" t="s">
        <v>1300</v>
      </c>
      <c r="D13394" t="s">
        <v>1434</v>
      </c>
      <c r="E13394" t="s">
        <v>187</v>
      </c>
      <c r="F13394">
        <v>2010</v>
      </c>
      <c r="G13394">
        <v>0.28439999999999999</v>
      </c>
    </row>
    <row r="13395" spans="1:7">
      <c r="A13395" t="s">
        <v>1297</v>
      </c>
      <c r="B13395" t="s">
        <v>1298</v>
      </c>
      <c r="C13395" t="s">
        <v>1300</v>
      </c>
      <c r="D13395" t="s">
        <v>1434</v>
      </c>
      <c r="E13395" t="s">
        <v>187</v>
      </c>
      <c r="F13395">
        <v>2012</v>
      </c>
      <c r="G13395">
        <v>0.12201099999999999</v>
      </c>
    </row>
    <row r="13396" spans="1:7">
      <c r="A13396" t="s">
        <v>1297</v>
      </c>
      <c r="B13396" t="s">
        <v>1298</v>
      </c>
      <c r="C13396" t="s">
        <v>1300</v>
      </c>
      <c r="D13396" t="s">
        <v>1434</v>
      </c>
      <c r="E13396" t="s">
        <v>187</v>
      </c>
      <c r="F13396">
        <v>2016</v>
      </c>
      <c r="G13396">
        <v>0.14158799999999999</v>
      </c>
    </row>
    <row r="13397" spans="1:7">
      <c r="A13397" t="s">
        <v>1297</v>
      </c>
      <c r="B13397" t="s">
        <v>1298</v>
      </c>
      <c r="C13397" t="s">
        <v>1300</v>
      </c>
      <c r="D13397" t="s">
        <v>1434</v>
      </c>
      <c r="E13397" t="s">
        <v>187</v>
      </c>
      <c r="F13397">
        <v>2020</v>
      </c>
      <c r="G13397">
        <v>0.23400000000000001</v>
      </c>
    </row>
    <row r="13398" spans="1:7">
      <c r="A13398" t="s">
        <v>1297</v>
      </c>
      <c r="B13398" t="s">
        <v>1298</v>
      </c>
      <c r="C13398" t="s">
        <v>662</v>
      </c>
      <c r="D13398" t="s">
        <v>1434</v>
      </c>
      <c r="E13398" t="s">
        <v>187</v>
      </c>
      <c r="F13398">
        <v>2005</v>
      </c>
      <c r="G13398">
        <v>20.197789</v>
      </c>
    </row>
    <row r="13399" spans="1:7">
      <c r="A13399" t="s">
        <v>1297</v>
      </c>
      <c r="B13399" t="s">
        <v>1298</v>
      </c>
      <c r="C13399" t="s">
        <v>662</v>
      </c>
      <c r="D13399" t="s">
        <v>1434</v>
      </c>
      <c r="E13399" t="s">
        <v>187</v>
      </c>
      <c r="F13399">
        <v>2010</v>
      </c>
      <c r="G13399">
        <v>26.993635000000001</v>
      </c>
    </row>
    <row r="13400" spans="1:7">
      <c r="A13400" t="s">
        <v>1297</v>
      </c>
      <c r="B13400" t="s">
        <v>1298</v>
      </c>
      <c r="C13400" t="s">
        <v>662</v>
      </c>
      <c r="D13400" t="s">
        <v>1434</v>
      </c>
      <c r="E13400" t="s">
        <v>187</v>
      </c>
      <c r="F13400">
        <v>2012</v>
      </c>
      <c r="G13400">
        <v>16.526336000000001</v>
      </c>
    </row>
    <row r="13401" spans="1:7">
      <c r="A13401" t="s">
        <v>1297</v>
      </c>
      <c r="B13401" t="s">
        <v>1298</v>
      </c>
      <c r="C13401" t="s">
        <v>662</v>
      </c>
      <c r="D13401" t="s">
        <v>1434</v>
      </c>
      <c r="E13401" t="s">
        <v>187</v>
      </c>
      <c r="F13401">
        <v>2016</v>
      </c>
      <c r="G13401">
        <v>20.034334999999999</v>
      </c>
    </row>
    <row r="13402" spans="1:7">
      <c r="A13402" t="s">
        <v>1297</v>
      </c>
      <c r="B13402" t="s">
        <v>1298</v>
      </c>
      <c r="C13402" t="s">
        <v>662</v>
      </c>
      <c r="D13402" t="s">
        <v>1434</v>
      </c>
      <c r="E13402" t="s">
        <v>187</v>
      </c>
      <c r="F13402">
        <v>2020</v>
      </c>
      <c r="G13402">
        <v>14.583221999999999</v>
      </c>
    </row>
    <row r="13403" spans="1:7">
      <c r="A13403" t="s">
        <v>1297</v>
      </c>
      <c r="B13403" t="s">
        <v>1298</v>
      </c>
      <c r="C13403" t="s">
        <v>677</v>
      </c>
      <c r="D13403" t="s">
        <v>1434</v>
      </c>
      <c r="E13403" t="s">
        <v>187</v>
      </c>
      <c r="F13403">
        <v>2005</v>
      </c>
      <c r="G13403">
        <v>28.264648000000001</v>
      </c>
    </row>
    <row r="13404" spans="1:7">
      <c r="A13404" t="s">
        <v>1297</v>
      </c>
      <c r="B13404" t="s">
        <v>1298</v>
      </c>
      <c r="C13404" t="s">
        <v>677</v>
      </c>
      <c r="D13404" t="s">
        <v>1434</v>
      </c>
      <c r="E13404" t="s">
        <v>187</v>
      </c>
      <c r="F13404">
        <v>2010</v>
      </c>
      <c r="G13404">
        <v>24.270329</v>
      </c>
    </row>
    <row r="13405" spans="1:7">
      <c r="A13405" t="s">
        <v>1297</v>
      </c>
      <c r="B13405" t="s">
        <v>1298</v>
      </c>
      <c r="C13405" t="s">
        <v>677</v>
      </c>
      <c r="D13405" t="s">
        <v>1434</v>
      </c>
      <c r="E13405" t="s">
        <v>187</v>
      </c>
      <c r="F13405">
        <v>2012</v>
      </c>
      <c r="G13405">
        <v>29.793697000000002</v>
      </c>
    </row>
    <row r="13406" spans="1:7">
      <c r="A13406" t="s">
        <v>1297</v>
      </c>
      <c r="B13406" t="s">
        <v>1298</v>
      </c>
      <c r="C13406" t="s">
        <v>677</v>
      </c>
      <c r="D13406" t="s">
        <v>1434</v>
      </c>
      <c r="E13406" t="s">
        <v>187</v>
      </c>
      <c r="F13406">
        <v>2016</v>
      </c>
      <c r="G13406">
        <v>29.986657000000001</v>
      </c>
    </row>
    <row r="13407" spans="1:7">
      <c r="A13407" t="s">
        <v>1297</v>
      </c>
      <c r="B13407" t="s">
        <v>1298</v>
      </c>
      <c r="C13407" t="s">
        <v>677</v>
      </c>
      <c r="D13407" t="s">
        <v>1434</v>
      </c>
      <c r="E13407" t="s">
        <v>187</v>
      </c>
      <c r="F13407">
        <v>2020</v>
      </c>
      <c r="G13407">
        <v>27.688457</v>
      </c>
    </row>
    <row r="13408" spans="1:7">
      <c r="A13408" t="s">
        <v>1297</v>
      </c>
      <c r="B13408" t="s">
        <v>1298</v>
      </c>
      <c r="C13408" t="s">
        <v>682</v>
      </c>
      <c r="D13408" t="s">
        <v>1434</v>
      </c>
      <c r="E13408" t="s">
        <v>187</v>
      </c>
      <c r="F13408">
        <v>2016</v>
      </c>
      <c r="G13408">
        <v>20.307600000000001</v>
      </c>
    </row>
    <row r="13409" spans="1:7">
      <c r="A13409" t="s">
        <v>1297</v>
      </c>
      <c r="B13409" t="s">
        <v>1298</v>
      </c>
      <c r="C13409" t="s">
        <v>682</v>
      </c>
      <c r="D13409" t="s">
        <v>1434</v>
      </c>
      <c r="E13409" t="s">
        <v>187</v>
      </c>
      <c r="F13409">
        <v>2020</v>
      </c>
      <c r="G13409">
        <v>22.219200000000001</v>
      </c>
    </row>
    <row r="13410" spans="1:7">
      <c r="A13410" t="s">
        <v>1297</v>
      </c>
      <c r="B13410" t="s">
        <v>1298</v>
      </c>
      <c r="C13410" t="s">
        <v>679</v>
      </c>
      <c r="D13410" t="s">
        <v>1434</v>
      </c>
      <c r="E13410" t="s">
        <v>187</v>
      </c>
      <c r="F13410">
        <v>2005</v>
      </c>
      <c r="G13410">
        <v>491.22719999999998</v>
      </c>
    </row>
    <row r="13411" spans="1:7">
      <c r="A13411" t="s">
        <v>1297</v>
      </c>
      <c r="B13411" t="s">
        <v>1298</v>
      </c>
      <c r="C13411" t="s">
        <v>679</v>
      </c>
      <c r="D13411" t="s">
        <v>1434</v>
      </c>
      <c r="E13411" t="s">
        <v>187</v>
      </c>
      <c r="F13411">
        <v>2010</v>
      </c>
      <c r="G13411">
        <v>421.74720000000002</v>
      </c>
    </row>
    <row r="13412" spans="1:7">
      <c r="A13412" t="s">
        <v>1297</v>
      </c>
      <c r="B13412" t="s">
        <v>1298</v>
      </c>
      <c r="C13412" t="s">
        <v>679</v>
      </c>
      <c r="D13412" t="s">
        <v>1434</v>
      </c>
      <c r="E13412" t="s">
        <v>187</v>
      </c>
      <c r="F13412">
        <v>2012</v>
      </c>
      <c r="G13412">
        <v>514.11599999999999</v>
      </c>
    </row>
    <row r="13413" spans="1:7">
      <c r="A13413" t="s">
        <v>1297</v>
      </c>
      <c r="B13413" t="s">
        <v>1298</v>
      </c>
      <c r="C13413" t="s">
        <v>679</v>
      </c>
      <c r="D13413" t="s">
        <v>1434</v>
      </c>
      <c r="E13413" t="s">
        <v>187</v>
      </c>
      <c r="F13413">
        <v>2016</v>
      </c>
      <c r="G13413">
        <v>516.30119999999999</v>
      </c>
    </row>
    <row r="13414" spans="1:7">
      <c r="A13414" t="s">
        <v>1297</v>
      </c>
      <c r="B13414" t="s">
        <v>1298</v>
      </c>
      <c r="C13414" t="s">
        <v>679</v>
      </c>
      <c r="D13414" t="s">
        <v>1434</v>
      </c>
      <c r="E13414" t="s">
        <v>187</v>
      </c>
      <c r="F13414">
        <v>2020</v>
      </c>
      <c r="G13414">
        <v>455.054641</v>
      </c>
    </row>
    <row r="13415" spans="1:7">
      <c r="A13415" t="s">
        <v>1297</v>
      </c>
      <c r="B13415" t="s">
        <v>1298</v>
      </c>
      <c r="C13415" t="s">
        <v>655</v>
      </c>
      <c r="D13415" t="s">
        <v>1434</v>
      </c>
      <c r="E13415" t="s">
        <v>187</v>
      </c>
      <c r="F13415">
        <v>2005</v>
      </c>
      <c r="G13415">
        <v>10.897207</v>
      </c>
    </row>
    <row r="13416" spans="1:7">
      <c r="A13416" t="s">
        <v>1297</v>
      </c>
      <c r="B13416" t="s">
        <v>1298</v>
      </c>
      <c r="C13416" t="s">
        <v>655</v>
      </c>
      <c r="D13416" t="s">
        <v>1434</v>
      </c>
      <c r="E13416" t="s">
        <v>187</v>
      </c>
      <c r="F13416">
        <v>2010</v>
      </c>
      <c r="G13416">
        <v>12.170083999999999</v>
      </c>
    </row>
    <row r="13417" spans="1:7">
      <c r="A13417" t="s">
        <v>1297</v>
      </c>
      <c r="B13417" t="s">
        <v>1298</v>
      </c>
      <c r="C13417" t="s">
        <v>655</v>
      </c>
      <c r="D13417" t="s">
        <v>1434</v>
      </c>
      <c r="E13417" t="s">
        <v>187</v>
      </c>
      <c r="F13417">
        <v>2012</v>
      </c>
      <c r="G13417">
        <v>10.296514999999999</v>
      </c>
    </row>
    <row r="13418" spans="1:7">
      <c r="A13418" t="s">
        <v>1297</v>
      </c>
      <c r="B13418" t="s">
        <v>1298</v>
      </c>
      <c r="C13418" t="s">
        <v>655</v>
      </c>
      <c r="D13418" t="s">
        <v>1434</v>
      </c>
      <c r="E13418" t="s">
        <v>187</v>
      </c>
      <c r="F13418">
        <v>2016</v>
      </c>
      <c r="G13418">
        <v>11.527329999999999</v>
      </c>
    </row>
    <row r="13419" spans="1:7">
      <c r="A13419" t="s">
        <v>1297</v>
      </c>
      <c r="B13419" t="s">
        <v>1298</v>
      </c>
      <c r="C13419" t="s">
        <v>655</v>
      </c>
      <c r="D13419" t="s">
        <v>1434</v>
      </c>
      <c r="E13419" t="s">
        <v>187</v>
      </c>
      <c r="F13419">
        <v>2020</v>
      </c>
      <c r="G13419">
        <v>11.42887</v>
      </c>
    </row>
    <row r="13420" spans="1:7">
      <c r="A13420" t="s">
        <v>1297</v>
      </c>
      <c r="B13420" t="s">
        <v>1298</v>
      </c>
      <c r="C13420" t="s">
        <v>663</v>
      </c>
      <c r="D13420" t="s">
        <v>1434</v>
      </c>
      <c r="E13420" t="s">
        <v>187</v>
      </c>
      <c r="F13420">
        <v>2005</v>
      </c>
      <c r="G13420">
        <v>0.72775100000000004</v>
      </c>
    </row>
    <row r="13421" spans="1:7">
      <c r="A13421" t="s">
        <v>1297</v>
      </c>
      <c r="B13421" t="s">
        <v>1298</v>
      </c>
      <c r="C13421" t="s">
        <v>663</v>
      </c>
      <c r="D13421" t="s">
        <v>1434</v>
      </c>
      <c r="E13421" t="s">
        <v>187</v>
      </c>
      <c r="F13421">
        <v>2010</v>
      </c>
      <c r="G13421">
        <v>0.67818199999999995</v>
      </c>
    </row>
    <row r="13422" spans="1:7">
      <c r="A13422" t="s">
        <v>1297</v>
      </c>
      <c r="B13422" t="s">
        <v>1298</v>
      </c>
      <c r="C13422" t="s">
        <v>663</v>
      </c>
      <c r="D13422" t="s">
        <v>1434</v>
      </c>
      <c r="E13422" t="s">
        <v>187</v>
      </c>
      <c r="F13422">
        <v>2012</v>
      </c>
      <c r="G13422">
        <v>0.76658000000000004</v>
      </c>
    </row>
    <row r="13423" spans="1:7">
      <c r="A13423" t="s">
        <v>1297</v>
      </c>
      <c r="B13423" t="s">
        <v>1298</v>
      </c>
      <c r="C13423" t="s">
        <v>663</v>
      </c>
      <c r="D13423" t="s">
        <v>1434</v>
      </c>
      <c r="E13423" t="s">
        <v>187</v>
      </c>
      <c r="F13423">
        <v>2016</v>
      </c>
      <c r="G13423">
        <v>0.93353399999999997</v>
      </c>
    </row>
    <row r="13424" spans="1:7">
      <c r="A13424" t="s">
        <v>1297</v>
      </c>
      <c r="B13424" t="s">
        <v>1298</v>
      </c>
      <c r="C13424" t="s">
        <v>668</v>
      </c>
      <c r="D13424" t="s">
        <v>1434</v>
      </c>
      <c r="E13424" t="s">
        <v>187</v>
      </c>
      <c r="F13424">
        <v>2005</v>
      </c>
      <c r="G13424">
        <v>11.97104</v>
      </c>
    </row>
    <row r="13425" spans="1:7">
      <c r="A13425" t="s">
        <v>1297</v>
      </c>
      <c r="B13425" t="s">
        <v>1298</v>
      </c>
      <c r="C13425" t="s">
        <v>668</v>
      </c>
      <c r="D13425" t="s">
        <v>1434</v>
      </c>
      <c r="E13425" t="s">
        <v>187</v>
      </c>
      <c r="F13425">
        <v>2010</v>
      </c>
      <c r="G13425">
        <v>12.673821999999999</v>
      </c>
    </row>
    <row r="13426" spans="1:7">
      <c r="A13426" t="s">
        <v>1297</v>
      </c>
      <c r="B13426" t="s">
        <v>1298</v>
      </c>
      <c r="C13426" t="s">
        <v>668</v>
      </c>
      <c r="D13426" t="s">
        <v>1434</v>
      </c>
      <c r="E13426" t="s">
        <v>187</v>
      </c>
      <c r="F13426">
        <v>2012</v>
      </c>
      <c r="G13426">
        <v>13.345045000000001</v>
      </c>
    </row>
    <row r="13427" spans="1:7">
      <c r="A13427" t="s">
        <v>1297</v>
      </c>
      <c r="B13427" t="s">
        <v>1298</v>
      </c>
      <c r="C13427" t="s">
        <v>668</v>
      </c>
      <c r="D13427" t="s">
        <v>1434</v>
      </c>
      <c r="E13427" t="s">
        <v>187</v>
      </c>
      <c r="F13427">
        <v>2016</v>
      </c>
      <c r="G13427">
        <v>9.1062759999999994</v>
      </c>
    </row>
    <row r="13428" spans="1:7">
      <c r="A13428" t="s">
        <v>1297</v>
      </c>
      <c r="B13428" t="s">
        <v>1298</v>
      </c>
      <c r="C13428" t="s">
        <v>668</v>
      </c>
      <c r="D13428" t="s">
        <v>1434</v>
      </c>
      <c r="E13428" t="s">
        <v>187</v>
      </c>
      <c r="F13428">
        <v>2020</v>
      </c>
      <c r="G13428">
        <v>7.5871940000000002</v>
      </c>
    </row>
    <row r="13429" spans="1:7">
      <c r="A13429" t="s">
        <v>1297</v>
      </c>
      <c r="B13429" t="s">
        <v>1298</v>
      </c>
      <c r="C13429" t="s">
        <v>1299</v>
      </c>
      <c r="D13429" t="s">
        <v>1434</v>
      </c>
      <c r="E13429" t="s">
        <v>187</v>
      </c>
      <c r="F13429">
        <v>2005</v>
      </c>
      <c r="G13429">
        <v>45.015479999999997</v>
      </c>
    </row>
    <row r="13430" spans="1:7">
      <c r="A13430" t="s">
        <v>1297</v>
      </c>
      <c r="B13430" t="s">
        <v>1298</v>
      </c>
      <c r="C13430" t="s">
        <v>1299</v>
      </c>
      <c r="D13430" t="s">
        <v>1434</v>
      </c>
      <c r="E13430" t="s">
        <v>187</v>
      </c>
      <c r="F13430">
        <v>2010</v>
      </c>
      <c r="G13430">
        <v>47.347560000000001</v>
      </c>
    </row>
    <row r="13431" spans="1:7">
      <c r="A13431" t="s">
        <v>1297</v>
      </c>
      <c r="B13431" t="s">
        <v>1298</v>
      </c>
      <c r="C13431" t="s">
        <v>1299</v>
      </c>
      <c r="D13431" t="s">
        <v>1434</v>
      </c>
      <c r="E13431" t="s">
        <v>187</v>
      </c>
      <c r="F13431">
        <v>2012</v>
      </c>
      <c r="G13431">
        <v>39.57732</v>
      </c>
    </row>
    <row r="13432" spans="1:7">
      <c r="A13432" t="s">
        <v>1297</v>
      </c>
      <c r="B13432" t="s">
        <v>1298</v>
      </c>
      <c r="C13432" t="s">
        <v>1299</v>
      </c>
      <c r="D13432" t="s">
        <v>1434</v>
      </c>
      <c r="E13432" t="s">
        <v>187</v>
      </c>
      <c r="F13432">
        <v>2016</v>
      </c>
      <c r="G13432">
        <v>33.492600000000003</v>
      </c>
    </row>
    <row r="13433" spans="1:7">
      <c r="A13433" t="s">
        <v>1297</v>
      </c>
      <c r="B13433" t="s">
        <v>1298</v>
      </c>
      <c r="C13433" t="s">
        <v>1299</v>
      </c>
      <c r="D13433" t="s">
        <v>1434</v>
      </c>
      <c r="E13433" t="s">
        <v>187</v>
      </c>
      <c r="F13433">
        <v>2020</v>
      </c>
      <c r="G13433">
        <v>28.278359999999999</v>
      </c>
    </row>
    <row r="13434" spans="1:7">
      <c r="A13434" t="s">
        <v>1297</v>
      </c>
      <c r="B13434" t="s">
        <v>1298</v>
      </c>
      <c r="C13434" t="s">
        <v>673</v>
      </c>
      <c r="D13434" t="s">
        <v>1434</v>
      </c>
      <c r="E13434" t="s">
        <v>187</v>
      </c>
      <c r="F13434">
        <v>2005</v>
      </c>
      <c r="G13434">
        <v>72.744670999999997</v>
      </c>
    </row>
    <row r="13435" spans="1:7">
      <c r="A13435" t="s">
        <v>1297</v>
      </c>
      <c r="B13435" t="s">
        <v>1298</v>
      </c>
      <c r="C13435" t="s">
        <v>673</v>
      </c>
      <c r="D13435" t="s">
        <v>1434</v>
      </c>
      <c r="E13435" t="s">
        <v>187</v>
      </c>
      <c r="F13435">
        <v>2010</v>
      </c>
      <c r="G13435">
        <v>72.874735000000001</v>
      </c>
    </row>
    <row r="13436" spans="1:7">
      <c r="A13436" t="s">
        <v>1297</v>
      </c>
      <c r="B13436" t="s">
        <v>1298</v>
      </c>
      <c r="C13436" t="s">
        <v>673</v>
      </c>
      <c r="D13436" t="s">
        <v>1434</v>
      </c>
      <c r="E13436" t="s">
        <v>187</v>
      </c>
      <c r="F13436">
        <v>2012</v>
      </c>
      <c r="G13436">
        <v>44.414257999999997</v>
      </c>
    </row>
    <row r="13437" spans="1:7">
      <c r="A13437" t="s">
        <v>1297</v>
      </c>
      <c r="B13437" t="s">
        <v>1298</v>
      </c>
      <c r="C13437" t="s">
        <v>673</v>
      </c>
      <c r="D13437" t="s">
        <v>1434</v>
      </c>
      <c r="E13437" t="s">
        <v>187</v>
      </c>
      <c r="F13437">
        <v>2016</v>
      </c>
      <c r="G13437">
        <v>66.730345</v>
      </c>
    </row>
    <row r="13438" spans="1:7">
      <c r="A13438" t="s">
        <v>1297</v>
      </c>
      <c r="B13438" t="s">
        <v>1298</v>
      </c>
      <c r="C13438" t="s">
        <v>673</v>
      </c>
      <c r="D13438" t="s">
        <v>1434</v>
      </c>
      <c r="E13438" t="s">
        <v>187</v>
      </c>
      <c r="F13438">
        <v>2020</v>
      </c>
      <c r="G13438">
        <v>57.620524000000003</v>
      </c>
    </row>
    <row r="13439" spans="1:7">
      <c r="A13439" t="s">
        <v>1297</v>
      </c>
      <c r="B13439" t="s">
        <v>1298</v>
      </c>
      <c r="C13439" t="s">
        <v>657</v>
      </c>
      <c r="D13439" t="s">
        <v>1434</v>
      </c>
      <c r="E13439" t="s">
        <v>187</v>
      </c>
      <c r="F13439">
        <v>2005</v>
      </c>
      <c r="G13439">
        <v>8.2799999999999999E-2</v>
      </c>
    </row>
    <row r="13440" spans="1:7">
      <c r="A13440" t="s">
        <v>1297</v>
      </c>
      <c r="B13440" t="s">
        <v>1298</v>
      </c>
      <c r="C13440" t="s">
        <v>657</v>
      </c>
      <c r="D13440" t="s">
        <v>1434</v>
      </c>
      <c r="E13440" t="s">
        <v>187</v>
      </c>
      <c r="F13440">
        <v>2010</v>
      </c>
      <c r="G13440">
        <v>7.4311000000000002E-2</v>
      </c>
    </row>
    <row r="13441" spans="1:7">
      <c r="A13441" t="s">
        <v>1297</v>
      </c>
      <c r="B13441" t="s">
        <v>1298</v>
      </c>
      <c r="C13441" t="s">
        <v>657</v>
      </c>
      <c r="D13441" t="s">
        <v>1434</v>
      </c>
      <c r="E13441" t="s">
        <v>187</v>
      </c>
      <c r="F13441">
        <v>2012</v>
      </c>
      <c r="G13441">
        <v>6.2913999999999998E-2</v>
      </c>
    </row>
    <row r="13442" spans="1:7">
      <c r="A13442" t="s">
        <v>1297</v>
      </c>
      <c r="B13442" t="s">
        <v>1298</v>
      </c>
      <c r="C13442" t="s">
        <v>657</v>
      </c>
      <c r="D13442" t="s">
        <v>1434</v>
      </c>
      <c r="E13442" t="s">
        <v>187</v>
      </c>
      <c r="F13442">
        <v>2016</v>
      </c>
      <c r="G13442">
        <v>6.9378999999999996E-2</v>
      </c>
    </row>
    <row r="13443" spans="1:7">
      <c r="A13443" t="s">
        <v>1297</v>
      </c>
      <c r="B13443" t="s">
        <v>1298</v>
      </c>
      <c r="C13443" t="s">
        <v>657</v>
      </c>
      <c r="D13443" t="s">
        <v>1434</v>
      </c>
      <c r="E13443" t="s">
        <v>187</v>
      </c>
      <c r="F13443">
        <v>2020</v>
      </c>
      <c r="G13443">
        <v>6.1981000000000001E-2</v>
      </c>
    </row>
    <row r="13444" spans="1:7">
      <c r="A13444" t="s">
        <v>1297</v>
      </c>
      <c r="B13444" t="s">
        <v>1298</v>
      </c>
      <c r="C13444" t="s">
        <v>651</v>
      </c>
      <c r="D13444" t="s">
        <v>1434</v>
      </c>
      <c r="E13444" t="s">
        <v>187</v>
      </c>
      <c r="F13444">
        <v>2005</v>
      </c>
      <c r="G13444">
        <v>141.97672800000001</v>
      </c>
    </row>
    <row r="13445" spans="1:7">
      <c r="A13445" t="s">
        <v>1297</v>
      </c>
      <c r="B13445" t="s">
        <v>1298</v>
      </c>
      <c r="C13445" t="s">
        <v>651</v>
      </c>
      <c r="D13445" t="s">
        <v>1434</v>
      </c>
      <c r="E13445" t="s">
        <v>187</v>
      </c>
      <c r="F13445">
        <v>2010</v>
      </c>
      <c r="G13445">
        <v>149.61032299999999</v>
      </c>
    </row>
    <row r="13446" spans="1:7">
      <c r="A13446" t="s">
        <v>1297</v>
      </c>
      <c r="B13446" t="s">
        <v>1298</v>
      </c>
      <c r="C13446" t="s">
        <v>651</v>
      </c>
      <c r="D13446" t="s">
        <v>1434</v>
      </c>
      <c r="E13446" t="s">
        <v>187</v>
      </c>
      <c r="F13446">
        <v>2012</v>
      </c>
      <c r="G13446">
        <v>171.87082599999999</v>
      </c>
    </row>
    <row r="13447" spans="1:7">
      <c r="A13447" t="s">
        <v>1297</v>
      </c>
      <c r="B13447" t="s">
        <v>1298</v>
      </c>
      <c r="C13447" t="s">
        <v>651</v>
      </c>
      <c r="D13447" t="s">
        <v>1434</v>
      </c>
      <c r="E13447" t="s">
        <v>187</v>
      </c>
      <c r="F13447">
        <v>2016</v>
      </c>
      <c r="G13447">
        <v>154.83056400000001</v>
      </c>
    </row>
    <row r="13448" spans="1:7">
      <c r="A13448" t="s">
        <v>1297</v>
      </c>
      <c r="B13448" t="s">
        <v>1298</v>
      </c>
      <c r="C13448" t="s">
        <v>651</v>
      </c>
      <c r="D13448" t="s">
        <v>1434</v>
      </c>
      <c r="E13448" t="s">
        <v>187</v>
      </c>
      <c r="F13448">
        <v>2020</v>
      </c>
      <c r="G13448">
        <v>157.80022600000001</v>
      </c>
    </row>
    <row r="13449" spans="1:7">
      <c r="A13449" t="s">
        <v>1297</v>
      </c>
      <c r="B13449" t="s">
        <v>1298</v>
      </c>
      <c r="C13449" t="s">
        <v>676</v>
      </c>
      <c r="D13449" t="s">
        <v>1434</v>
      </c>
      <c r="E13449" t="s">
        <v>187</v>
      </c>
      <c r="F13449">
        <v>2005</v>
      </c>
      <c r="G13449">
        <v>17.067599999999999</v>
      </c>
    </row>
    <row r="13450" spans="1:7">
      <c r="A13450" t="s">
        <v>1297</v>
      </c>
      <c r="B13450" t="s">
        <v>1298</v>
      </c>
      <c r="C13450" t="s">
        <v>676</v>
      </c>
      <c r="D13450" t="s">
        <v>1434</v>
      </c>
      <c r="E13450" t="s">
        <v>187</v>
      </c>
      <c r="F13450">
        <v>2010</v>
      </c>
      <c r="G13450">
        <v>20.336400000000001</v>
      </c>
    </row>
    <row r="13451" spans="1:7">
      <c r="A13451" t="s">
        <v>1297</v>
      </c>
      <c r="B13451" t="s">
        <v>1298</v>
      </c>
      <c r="C13451" t="s">
        <v>676</v>
      </c>
      <c r="D13451" t="s">
        <v>1434</v>
      </c>
      <c r="E13451" t="s">
        <v>187</v>
      </c>
      <c r="F13451">
        <v>2012</v>
      </c>
      <c r="G13451">
        <v>15.980399999999999</v>
      </c>
    </row>
    <row r="13452" spans="1:7">
      <c r="A13452" t="s">
        <v>1297</v>
      </c>
      <c r="B13452" t="s">
        <v>1298</v>
      </c>
      <c r="C13452" t="s">
        <v>676</v>
      </c>
      <c r="D13452" t="s">
        <v>1434</v>
      </c>
      <c r="E13452" t="s">
        <v>187</v>
      </c>
      <c r="F13452">
        <v>2016</v>
      </c>
      <c r="G13452">
        <v>16.581600000000002</v>
      </c>
    </row>
    <row r="13453" spans="1:7">
      <c r="A13453" t="s">
        <v>1297</v>
      </c>
      <c r="B13453" t="s">
        <v>1298</v>
      </c>
      <c r="C13453" t="s">
        <v>676</v>
      </c>
      <c r="D13453" t="s">
        <v>1434</v>
      </c>
      <c r="E13453" t="s">
        <v>187</v>
      </c>
      <c r="F13453">
        <v>2020</v>
      </c>
      <c r="G13453">
        <v>16.4556</v>
      </c>
    </row>
    <row r="13454" spans="1:7">
      <c r="A13454" t="s">
        <v>1297</v>
      </c>
      <c r="B13454" t="s">
        <v>1298</v>
      </c>
      <c r="C13454" t="s">
        <v>667</v>
      </c>
      <c r="D13454" t="s">
        <v>1434</v>
      </c>
      <c r="E13454" t="s">
        <v>187</v>
      </c>
      <c r="F13454">
        <v>2005</v>
      </c>
      <c r="G13454">
        <v>3.1587299999999998</v>
      </c>
    </row>
    <row r="13455" spans="1:7">
      <c r="A13455" t="s">
        <v>1297</v>
      </c>
      <c r="B13455" t="s">
        <v>1298</v>
      </c>
      <c r="C13455" t="s">
        <v>667</v>
      </c>
      <c r="D13455" t="s">
        <v>1434</v>
      </c>
      <c r="E13455" t="s">
        <v>187</v>
      </c>
      <c r="F13455">
        <v>2010</v>
      </c>
      <c r="G13455">
        <v>5.2847600000000003</v>
      </c>
    </row>
    <row r="13456" spans="1:7">
      <c r="A13456" t="s">
        <v>1297</v>
      </c>
      <c r="B13456" t="s">
        <v>1298</v>
      </c>
      <c r="C13456" t="s">
        <v>667</v>
      </c>
      <c r="D13456" t="s">
        <v>1434</v>
      </c>
      <c r="E13456" t="s">
        <v>187</v>
      </c>
      <c r="F13456">
        <v>2012</v>
      </c>
      <c r="G13456">
        <v>4.1739160000000002</v>
      </c>
    </row>
    <row r="13457" spans="1:7">
      <c r="A13457" t="s">
        <v>1297</v>
      </c>
      <c r="B13457" t="s">
        <v>1298</v>
      </c>
      <c r="C13457" t="s">
        <v>667</v>
      </c>
      <c r="D13457" t="s">
        <v>1434</v>
      </c>
      <c r="E13457" t="s">
        <v>187</v>
      </c>
      <c r="F13457">
        <v>2016</v>
      </c>
      <c r="G13457">
        <v>5.5013399999999999</v>
      </c>
    </row>
    <row r="13458" spans="1:7">
      <c r="A13458" t="s">
        <v>1297</v>
      </c>
      <c r="B13458" t="s">
        <v>1298</v>
      </c>
      <c r="C13458" t="s">
        <v>667</v>
      </c>
      <c r="D13458" t="s">
        <v>1434</v>
      </c>
      <c r="E13458" t="s">
        <v>187</v>
      </c>
      <c r="F13458">
        <v>2020</v>
      </c>
      <c r="G13458">
        <v>3.4174479999999998</v>
      </c>
    </row>
    <row r="13459" spans="1:7">
      <c r="A13459" t="s">
        <v>1297</v>
      </c>
      <c r="B13459" t="s">
        <v>1298</v>
      </c>
      <c r="C13459" t="s">
        <v>686</v>
      </c>
      <c r="D13459" t="s">
        <v>1434</v>
      </c>
      <c r="E13459" t="s">
        <v>187</v>
      </c>
      <c r="F13459">
        <v>2005</v>
      </c>
      <c r="G13459">
        <v>43.315199999999997</v>
      </c>
    </row>
    <row r="13460" spans="1:7">
      <c r="A13460" t="s">
        <v>1297</v>
      </c>
      <c r="B13460" t="s">
        <v>1298</v>
      </c>
      <c r="C13460" t="s">
        <v>686</v>
      </c>
      <c r="D13460" t="s">
        <v>1434</v>
      </c>
      <c r="E13460" t="s">
        <v>187</v>
      </c>
      <c r="F13460">
        <v>2010</v>
      </c>
      <c r="G13460">
        <v>45.255600000000001</v>
      </c>
    </row>
    <row r="13461" spans="1:7">
      <c r="A13461" t="s">
        <v>1297</v>
      </c>
      <c r="B13461" t="s">
        <v>1298</v>
      </c>
      <c r="C13461" t="s">
        <v>686</v>
      </c>
      <c r="D13461" t="s">
        <v>1434</v>
      </c>
      <c r="E13461" t="s">
        <v>187</v>
      </c>
      <c r="F13461">
        <v>2012</v>
      </c>
      <c r="G13461">
        <v>35.690399999999997</v>
      </c>
    </row>
    <row r="13462" spans="1:7">
      <c r="A13462" t="s">
        <v>1297</v>
      </c>
      <c r="B13462" t="s">
        <v>1298</v>
      </c>
      <c r="C13462" t="s">
        <v>686</v>
      </c>
      <c r="D13462" t="s">
        <v>1434</v>
      </c>
      <c r="E13462" t="s">
        <v>187</v>
      </c>
      <c r="F13462">
        <v>2016</v>
      </c>
      <c r="G13462">
        <v>41.472000000000001</v>
      </c>
    </row>
    <row r="13463" spans="1:7">
      <c r="A13463" t="s">
        <v>1297</v>
      </c>
      <c r="B13463" t="s">
        <v>1298</v>
      </c>
      <c r="C13463" t="s">
        <v>686</v>
      </c>
      <c r="D13463" t="s">
        <v>1434</v>
      </c>
      <c r="E13463" t="s">
        <v>187</v>
      </c>
      <c r="F13463">
        <v>2020</v>
      </c>
      <c r="G13463">
        <v>36.713659999999997</v>
      </c>
    </row>
    <row r="13464" spans="1:7">
      <c r="A13464" t="s">
        <v>1297</v>
      </c>
      <c r="B13464" t="s">
        <v>1298</v>
      </c>
      <c r="C13464" t="s">
        <v>663</v>
      </c>
      <c r="D13464" t="s">
        <v>1434</v>
      </c>
      <c r="E13464" t="s">
        <v>187</v>
      </c>
      <c r="F13464">
        <v>2020</v>
      </c>
      <c r="G13464">
        <v>0.78839999999999999</v>
      </c>
    </row>
    <row r="13465" spans="1:7">
      <c r="A13465" t="s">
        <v>1297</v>
      </c>
      <c r="B13465" t="s">
        <v>1298</v>
      </c>
      <c r="C13465" t="s">
        <v>658</v>
      </c>
      <c r="D13465" t="s">
        <v>1434</v>
      </c>
      <c r="E13465" t="s">
        <v>187</v>
      </c>
      <c r="F13465">
        <v>2005</v>
      </c>
      <c r="G13465">
        <v>7.9200000000000007E-2</v>
      </c>
    </row>
    <row r="13466" spans="1:7">
      <c r="A13466" t="s">
        <v>1297</v>
      </c>
      <c r="B13466" t="s">
        <v>1298</v>
      </c>
      <c r="C13466" t="s">
        <v>658</v>
      </c>
      <c r="D13466" t="s">
        <v>1434</v>
      </c>
      <c r="E13466" t="s">
        <v>187</v>
      </c>
      <c r="F13466">
        <v>2010</v>
      </c>
      <c r="G13466">
        <v>9.6771999999999997E-2</v>
      </c>
    </row>
    <row r="13467" spans="1:7">
      <c r="A13467" t="s">
        <v>1297</v>
      </c>
      <c r="B13467" t="s">
        <v>1298</v>
      </c>
      <c r="C13467" t="s">
        <v>658</v>
      </c>
      <c r="D13467" t="s">
        <v>1434</v>
      </c>
      <c r="E13467" t="s">
        <v>187</v>
      </c>
      <c r="F13467">
        <v>2012</v>
      </c>
      <c r="G13467">
        <v>0.15140899999999999</v>
      </c>
    </row>
    <row r="13468" spans="1:7">
      <c r="A13468" t="s">
        <v>1297</v>
      </c>
      <c r="B13468" t="s">
        <v>1298</v>
      </c>
      <c r="C13468" t="s">
        <v>658</v>
      </c>
      <c r="D13468" t="s">
        <v>1434</v>
      </c>
      <c r="E13468" t="s">
        <v>187</v>
      </c>
      <c r="F13468">
        <v>2016</v>
      </c>
      <c r="G13468">
        <v>0.126</v>
      </c>
    </row>
    <row r="13469" spans="1:7">
      <c r="A13469" t="s">
        <v>1297</v>
      </c>
      <c r="B13469" t="s">
        <v>1298</v>
      </c>
      <c r="C13469" t="s">
        <v>658</v>
      </c>
      <c r="D13469" t="s">
        <v>1434</v>
      </c>
      <c r="E13469" t="s">
        <v>187</v>
      </c>
      <c r="F13469">
        <v>2020</v>
      </c>
      <c r="G13469">
        <v>6.8400000000000002E-2</v>
      </c>
    </row>
    <row r="13470" spans="1:7">
      <c r="A13470" t="s">
        <v>1297</v>
      </c>
      <c r="B13470" t="s">
        <v>1298</v>
      </c>
      <c r="C13470" t="s">
        <v>665</v>
      </c>
      <c r="D13470" t="s">
        <v>1434</v>
      </c>
      <c r="E13470" t="s">
        <v>187</v>
      </c>
      <c r="F13470">
        <v>2005</v>
      </c>
      <c r="G13470">
        <v>154.53684000000001</v>
      </c>
    </row>
    <row r="13471" spans="1:7">
      <c r="A13471" t="s">
        <v>1297</v>
      </c>
      <c r="B13471" t="s">
        <v>1298</v>
      </c>
      <c r="C13471" t="s">
        <v>665</v>
      </c>
      <c r="D13471" t="s">
        <v>1434</v>
      </c>
      <c r="E13471" t="s">
        <v>187</v>
      </c>
      <c r="F13471">
        <v>2010</v>
      </c>
      <c r="G13471">
        <v>195.86398700000001</v>
      </c>
    </row>
    <row r="13472" spans="1:7">
      <c r="A13472" t="s">
        <v>1297</v>
      </c>
      <c r="B13472" t="s">
        <v>1298</v>
      </c>
      <c r="C13472" t="s">
        <v>665</v>
      </c>
      <c r="D13472" t="s">
        <v>1434</v>
      </c>
      <c r="E13472" t="s">
        <v>187</v>
      </c>
      <c r="F13472">
        <v>2012</v>
      </c>
      <c r="G13472">
        <v>157.874404</v>
      </c>
    </row>
    <row r="13473" spans="1:7">
      <c r="A13473" t="s">
        <v>1297</v>
      </c>
      <c r="B13473" t="s">
        <v>1298</v>
      </c>
      <c r="C13473" t="s">
        <v>665</v>
      </c>
      <c r="D13473" t="s">
        <v>1434</v>
      </c>
      <c r="E13473" t="s">
        <v>187</v>
      </c>
      <c r="F13473">
        <v>2016</v>
      </c>
      <c r="G13473">
        <v>159.32505599999999</v>
      </c>
    </row>
    <row r="13474" spans="1:7">
      <c r="A13474" t="s">
        <v>1297</v>
      </c>
      <c r="B13474" t="s">
        <v>1298</v>
      </c>
      <c r="C13474" t="s">
        <v>665</v>
      </c>
      <c r="D13474" t="s">
        <v>1434</v>
      </c>
      <c r="E13474" t="s">
        <v>187</v>
      </c>
      <c r="F13474">
        <v>2020</v>
      </c>
      <c r="G13474">
        <v>173.35265799999999</v>
      </c>
    </row>
    <row r="13475" spans="1:7">
      <c r="A13475" t="s">
        <v>1297</v>
      </c>
      <c r="B13475" t="s">
        <v>1298</v>
      </c>
      <c r="C13475" t="s">
        <v>685</v>
      </c>
      <c r="D13475" t="s">
        <v>1434</v>
      </c>
      <c r="E13475" t="s">
        <v>187</v>
      </c>
      <c r="F13475">
        <v>2005</v>
      </c>
      <c r="G13475">
        <v>5.3704080000000003</v>
      </c>
    </row>
    <row r="13476" spans="1:7">
      <c r="A13476" t="s">
        <v>1297</v>
      </c>
      <c r="B13476" t="s">
        <v>1298</v>
      </c>
      <c r="C13476" t="s">
        <v>685</v>
      </c>
      <c r="D13476" t="s">
        <v>1434</v>
      </c>
      <c r="E13476" t="s">
        <v>187</v>
      </c>
      <c r="F13476">
        <v>2010</v>
      </c>
      <c r="G13476">
        <v>8.7532960000000006</v>
      </c>
    </row>
    <row r="13477" spans="1:7">
      <c r="A13477" t="s">
        <v>1297</v>
      </c>
      <c r="B13477" t="s">
        <v>1298</v>
      </c>
      <c r="C13477" t="s">
        <v>685</v>
      </c>
      <c r="D13477" t="s">
        <v>1434</v>
      </c>
      <c r="E13477" t="s">
        <v>187</v>
      </c>
      <c r="F13477">
        <v>2012</v>
      </c>
      <c r="G13477">
        <v>3.7467609999999998</v>
      </c>
    </row>
    <row r="13478" spans="1:7">
      <c r="A13478" t="s">
        <v>1297</v>
      </c>
      <c r="B13478" t="s">
        <v>1298</v>
      </c>
      <c r="C13478" t="s">
        <v>685</v>
      </c>
      <c r="D13478" t="s">
        <v>1434</v>
      </c>
      <c r="E13478" t="s">
        <v>187</v>
      </c>
      <c r="F13478">
        <v>2016</v>
      </c>
      <c r="G13478">
        <v>6.830438</v>
      </c>
    </row>
    <row r="13479" spans="1:7">
      <c r="A13479" t="s">
        <v>1297</v>
      </c>
      <c r="B13479" t="s">
        <v>1298</v>
      </c>
      <c r="C13479" t="s">
        <v>685</v>
      </c>
      <c r="D13479" t="s">
        <v>1434</v>
      </c>
      <c r="E13479" t="s">
        <v>187</v>
      </c>
      <c r="F13479">
        <v>2020</v>
      </c>
      <c r="G13479">
        <v>4.1892230000000001</v>
      </c>
    </row>
    <row r="13480" spans="1:7">
      <c r="A13480" t="s">
        <v>1297</v>
      </c>
      <c r="B13480" t="s">
        <v>1298</v>
      </c>
      <c r="C13480" t="s">
        <v>671</v>
      </c>
      <c r="D13480" t="s">
        <v>1434</v>
      </c>
      <c r="E13480" t="s">
        <v>187</v>
      </c>
      <c r="F13480">
        <v>2005</v>
      </c>
      <c r="G13480">
        <v>13.600386</v>
      </c>
    </row>
    <row r="13481" spans="1:7">
      <c r="A13481" t="s">
        <v>1297</v>
      </c>
      <c r="B13481" t="s">
        <v>1298</v>
      </c>
      <c r="C13481" t="s">
        <v>671</v>
      </c>
      <c r="D13481" t="s">
        <v>1434</v>
      </c>
      <c r="E13481" t="s">
        <v>187</v>
      </c>
      <c r="F13481">
        <v>2010</v>
      </c>
      <c r="G13481">
        <v>12.5573</v>
      </c>
    </row>
    <row r="13482" spans="1:7">
      <c r="A13482" t="s">
        <v>1297</v>
      </c>
      <c r="B13482" t="s">
        <v>1298</v>
      </c>
      <c r="C13482" t="s">
        <v>671</v>
      </c>
      <c r="D13482" t="s">
        <v>1434</v>
      </c>
      <c r="E13482" t="s">
        <v>187</v>
      </c>
      <c r="F13482">
        <v>2012</v>
      </c>
      <c r="G13482">
        <v>8.8748389999999997</v>
      </c>
    </row>
    <row r="13483" spans="1:7">
      <c r="A13483" t="s">
        <v>1297</v>
      </c>
      <c r="B13483" t="s">
        <v>1298</v>
      </c>
      <c r="C13483" t="s">
        <v>671</v>
      </c>
      <c r="D13483" t="s">
        <v>1434</v>
      </c>
      <c r="E13483" t="s">
        <v>187</v>
      </c>
      <c r="F13483">
        <v>2016</v>
      </c>
      <c r="G13483">
        <v>9.4380799999999994</v>
      </c>
    </row>
    <row r="13484" spans="1:7">
      <c r="A13484" t="s">
        <v>1297</v>
      </c>
      <c r="B13484" t="s">
        <v>1298</v>
      </c>
      <c r="C13484" t="s">
        <v>671</v>
      </c>
      <c r="D13484" t="s">
        <v>1434</v>
      </c>
      <c r="E13484" t="s">
        <v>187</v>
      </c>
      <c r="F13484">
        <v>2020</v>
      </c>
      <c r="G13484">
        <v>9.5935749999999995</v>
      </c>
    </row>
    <row r="13485" spans="1:7">
      <c r="A13485" t="s">
        <v>1297</v>
      </c>
      <c r="B13485" t="s">
        <v>1298</v>
      </c>
      <c r="C13485" t="s">
        <v>1303</v>
      </c>
      <c r="D13485" t="s">
        <v>1434</v>
      </c>
      <c r="E13485" t="s">
        <v>187</v>
      </c>
      <c r="F13485">
        <v>2016</v>
      </c>
      <c r="G13485">
        <v>33.585267999999999</v>
      </c>
    </row>
    <row r="13486" spans="1:7">
      <c r="A13486" t="s">
        <v>1297</v>
      </c>
      <c r="B13486" t="s">
        <v>1298</v>
      </c>
      <c r="C13486" t="s">
        <v>1303</v>
      </c>
      <c r="D13486" t="s">
        <v>1434</v>
      </c>
      <c r="E13486" t="s">
        <v>187</v>
      </c>
      <c r="F13486">
        <v>2020</v>
      </c>
      <c r="G13486">
        <v>32.154119999999999</v>
      </c>
    </row>
    <row r="13487" spans="1:7">
      <c r="A13487" t="s">
        <v>1297</v>
      </c>
      <c r="B13487" t="s">
        <v>1298</v>
      </c>
      <c r="C13487" t="s">
        <v>680</v>
      </c>
      <c r="D13487" t="s">
        <v>1434</v>
      </c>
      <c r="E13487" t="s">
        <v>187</v>
      </c>
      <c r="F13487">
        <v>2005</v>
      </c>
      <c r="G13487">
        <v>25.26943</v>
      </c>
    </row>
    <row r="13488" spans="1:7">
      <c r="A13488" t="s">
        <v>1297</v>
      </c>
      <c r="B13488" t="s">
        <v>1298</v>
      </c>
      <c r="C13488" t="s">
        <v>680</v>
      </c>
      <c r="D13488" t="s">
        <v>1434</v>
      </c>
      <c r="E13488" t="s">
        <v>187</v>
      </c>
      <c r="F13488">
        <v>2010</v>
      </c>
      <c r="G13488">
        <v>45.331491999999997</v>
      </c>
    </row>
    <row r="13489" spans="1:7">
      <c r="A13489" t="s">
        <v>1297</v>
      </c>
      <c r="B13489" t="s">
        <v>1298</v>
      </c>
      <c r="C13489" t="s">
        <v>680</v>
      </c>
      <c r="D13489" t="s">
        <v>1434</v>
      </c>
      <c r="E13489" t="s">
        <v>187</v>
      </c>
      <c r="F13489">
        <v>2012</v>
      </c>
      <c r="G13489">
        <v>44.411504000000001</v>
      </c>
    </row>
    <row r="13490" spans="1:7">
      <c r="A13490" t="s">
        <v>1297</v>
      </c>
      <c r="B13490" t="s">
        <v>1298</v>
      </c>
      <c r="C13490" t="s">
        <v>680</v>
      </c>
      <c r="D13490" t="s">
        <v>1434</v>
      </c>
      <c r="E13490" t="s">
        <v>187</v>
      </c>
      <c r="F13490">
        <v>2016</v>
      </c>
      <c r="G13490">
        <v>48.490546000000002</v>
      </c>
    </row>
    <row r="13491" spans="1:7">
      <c r="A13491" t="s">
        <v>1297</v>
      </c>
      <c r="B13491" t="s">
        <v>1298</v>
      </c>
      <c r="C13491" t="s">
        <v>680</v>
      </c>
      <c r="D13491" t="s">
        <v>1434</v>
      </c>
      <c r="E13491" t="s">
        <v>187</v>
      </c>
      <c r="F13491">
        <v>2020</v>
      </c>
      <c r="G13491">
        <v>48.461278</v>
      </c>
    </row>
    <row r="13492" spans="1:7">
      <c r="A13492" t="s">
        <v>1297</v>
      </c>
      <c r="B13492" t="s">
        <v>1298</v>
      </c>
      <c r="C13492" t="s">
        <v>672</v>
      </c>
      <c r="D13492" t="s">
        <v>1434</v>
      </c>
      <c r="E13492" t="s">
        <v>187</v>
      </c>
      <c r="F13492">
        <v>2005</v>
      </c>
      <c r="G13492">
        <v>18.423587000000001</v>
      </c>
    </row>
    <row r="13493" spans="1:7">
      <c r="A13493" t="s">
        <v>1297</v>
      </c>
      <c r="B13493" t="s">
        <v>1298</v>
      </c>
      <c r="C13493" t="s">
        <v>672</v>
      </c>
      <c r="D13493" t="s">
        <v>1434</v>
      </c>
      <c r="E13493" t="s">
        <v>187</v>
      </c>
      <c r="F13493">
        <v>2010</v>
      </c>
      <c r="G13493">
        <v>59.568829000000001</v>
      </c>
    </row>
    <row r="13494" spans="1:7">
      <c r="A13494" t="s">
        <v>1297</v>
      </c>
      <c r="B13494" t="s">
        <v>1298</v>
      </c>
      <c r="C13494" t="s">
        <v>672</v>
      </c>
      <c r="D13494" t="s">
        <v>1434</v>
      </c>
      <c r="E13494" t="s">
        <v>187</v>
      </c>
      <c r="F13494">
        <v>2012</v>
      </c>
      <c r="G13494">
        <v>23.978573999999998</v>
      </c>
    </row>
    <row r="13495" spans="1:7">
      <c r="A13495" t="s">
        <v>1297</v>
      </c>
      <c r="B13495" t="s">
        <v>1298</v>
      </c>
      <c r="C13495" t="s">
        <v>672</v>
      </c>
      <c r="D13495" t="s">
        <v>1434</v>
      </c>
      <c r="E13495" t="s">
        <v>187</v>
      </c>
      <c r="F13495">
        <v>2016</v>
      </c>
      <c r="G13495">
        <v>60.873562999999997</v>
      </c>
    </row>
    <row r="13496" spans="1:7">
      <c r="A13496" t="s">
        <v>1297</v>
      </c>
      <c r="B13496" t="s">
        <v>1298</v>
      </c>
      <c r="C13496" t="s">
        <v>672</v>
      </c>
      <c r="D13496" t="s">
        <v>1434</v>
      </c>
      <c r="E13496" t="s">
        <v>187</v>
      </c>
      <c r="F13496">
        <v>2020</v>
      </c>
      <c r="G13496">
        <v>36.873054000000003</v>
      </c>
    </row>
    <row r="13497" spans="1:7">
      <c r="A13497" t="s">
        <v>1297</v>
      </c>
      <c r="B13497" t="s">
        <v>1298</v>
      </c>
      <c r="C13497" t="s">
        <v>1301</v>
      </c>
      <c r="D13497" t="s">
        <v>1434</v>
      </c>
      <c r="E13497" t="s">
        <v>187</v>
      </c>
      <c r="F13497">
        <v>2005</v>
      </c>
      <c r="G13497">
        <v>142.41816</v>
      </c>
    </row>
    <row r="13498" spans="1:7">
      <c r="A13498" t="s">
        <v>1297</v>
      </c>
      <c r="B13498" t="s">
        <v>1298</v>
      </c>
      <c r="C13498" t="s">
        <v>1301</v>
      </c>
      <c r="D13498" t="s">
        <v>1434</v>
      </c>
      <c r="E13498" t="s">
        <v>187</v>
      </c>
      <c r="F13498">
        <v>2010</v>
      </c>
      <c r="G13498">
        <v>186.46355199999999</v>
      </c>
    </row>
    <row r="13499" spans="1:7">
      <c r="A13499" t="s">
        <v>1297</v>
      </c>
      <c r="B13499" t="s">
        <v>1298</v>
      </c>
      <c r="C13499" t="s">
        <v>1301</v>
      </c>
      <c r="D13499" t="s">
        <v>1434</v>
      </c>
      <c r="E13499" t="s">
        <v>187</v>
      </c>
      <c r="F13499">
        <v>2012</v>
      </c>
      <c r="G13499">
        <v>208.313827</v>
      </c>
    </row>
    <row r="13500" spans="1:7">
      <c r="A13500" t="s">
        <v>1297</v>
      </c>
      <c r="B13500" t="s">
        <v>1298</v>
      </c>
      <c r="C13500" t="s">
        <v>1301</v>
      </c>
      <c r="D13500" t="s">
        <v>1434</v>
      </c>
      <c r="E13500" t="s">
        <v>187</v>
      </c>
      <c r="F13500">
        <v>2016</v>
      </c>
      <c r="G13500">
        <v>242.03117900000001</v>
      </c>
    </row>
    <row r="13501" spans="1:7">
      <c r="A13501" t="s">
        <v>1297</v>
      </c>
      <c r="B13501" t="s">
        <v>1298</v>
      </c>
      <c r="C13501" t="s">
        <v>670</v>
      </c>
      <c r="D13501" t="s">
        <v>1434</v>
      </c>
      <c r="E13501" t="s">
        <v>187</v>
      </c>
      <c r="F13501">
        <v>2005</v>
      </c>
      <c r="G13501">
        <v>0.31680000000000003</v>
      </c>
    </row>
    <row r="13502" spans="1:7">
      <c r="A13502" t="s">
        <v>1297</v>
      </c>
      <c r="B13502" t="s">
        <v>1298</v>
      </c>
      <c r="C13502" t="s">
        <v>670</v>
      </c>
      <c r="D13502" t="s">
        <v>1434</v>
      </c>
      <c r="E13502" t="s">
        <v>187</v>
      </c>
      <c r="F13502">
        <v>2010</v>
      </c>
      <c r="G13502">
        <v>0.378</v>
      </c>
    </row>
    <row r="13503" spans="1:7">
      <c r="A13503" t="s">
        <v>1297</v>
      </c>
      <c r="B13503" t="s">
        <v>1298</v>
      </c>
      <c r="C13503" t="s">
        <v>670</v>
      </c>
      <c r="D13503" t="s">
        <v>1434</v>
      </c>
      <c r="E13503" t="s">
        <v>187</v>
      </c>
      <c r="F13503">
        <v>2012</v>
      </c>
      <c r="G13503">
        <v>0.37579699999999999</v>
      </c>
    </row>
    <row r="13504" spans="1:7">
      <c r="A13504" t="s">
        <v>1297</v>
      </c>
      <c r="B13504" t="s">
        <v>1298</v>
      </c>
      <c r="C13504" t="s">
        <v>670</v>
      </c>
      <c r="D13504" t="s">
        <v>1434</v>
      </c>
      <c r="E13504" t="s">
        <v>187</v>
      </c>
      <c r="F13504">
        <v>2016</v>
      </c>
      <c r="G13504">
        <v>0.36028399999999999</v>
      </c>
    </row>
    <row r="13505" spans="1:7">
      <c r="A13505" t="s">
        <v>1297</v>
      </c>
      <c r="B13505" t="s">
        <v>1298</v>
      </c>
      <c r="C13505" t="s">
        <v>670</v>
      </c>
      <c r="D13505" t="s">
        <v>1434</v>
      </c>
      <c r="E13505" t="s">
        <v>187</v>
      </c>
      <c r="F13505">
        <v>2020</v>
      </c>
      <c r="G13505">
        <v>0.26705499999999999</v>
      </c>
    </row>
    <row r="13506" spans="1:7">
      <c r="A13506" t="s">
        <v>1297</v>
      </c>
      <c r="B13506" t="s">
        <v>1298</v>
      </c>
      <c r="C13506" t="s">
        <v>666</v>
      </c>
      <c r="D13506" t="s">
        <v>1434</v>
      </c>
      <c r="E13506" t="s">
        <v>187</v>
      </c>
      <c r="F13506">
        <v>2005</v>
      </c>
      <c r="G13506">
        <v>2.952</v>
      </c>
    </row>
    <row r="13507" spans="1:7">
      <c r="A13507" t="s">
        <v>1297</v>
      </c>
      <c r="B13507" t="s">
        <v>1298</v>
      </c>
      <c r="C13507" t="s">
        <v>666</v>
      </c>
      <c r="D13507" t="s">
        <v>1434</v>
      </c>
      <c r="E13507" t="s">
        <v>187</v>
      </c>
      <c r="F13507">
        <v>2010</v>
      </c>
      <c r="G13507">
        <v>4.6619999999999999</v>
      </c>
    </row>
    <row r="13508" spans="1:7">
      <c r="A13508" t="s">
        <v>1297</v>
      </c>
      <c r="B13508" t="s">
        <v>1298</v>
      </c>
      <c r="C13508" t="s">
        <v>666</v>
      </c>
      <c r="D13508" t="s">
        <v>1434</v>
      </c>
      <c r="E13508" t="s">
        <v>187</v>
      </c>
      <c r="F13508">
        <v>2012</v>
      </c>
      <c r="G13508">
        <v>3.3732000000000002</v>
      </c>
    </row>
    <row r="13509" spans="1:7">
      <c r="A13509" t="s">
        <v>1297</v>
      </c>
      <c r="B13509" t="s">
        <v>1298</v>
      </c>
      <c r="C13509" t="s">
        <v>666</v>
      </c>
      <c r="D13509" t="s">
        <v>1434</v>
      </c>
      <c r="E13509" t="s">
        <v>187</v>
      </c>
      <c r="F13509">
        <v>2016</v>
      </c>
      <c r="G13509">
        <v>3.7584</v>
      </c>
    </row>
    <row r="13510" spans="1:7">
      <c r="A13510" t="s">
        <v>1297</v>
      </c>
      <c r="B13510" t="s">
        <v>1298</v>
      </c>
      <c r="C13510" t="s">
        <v>666</v>
      </c>
      <c r="D13510" t="s">
        <v>1434</v>
      </c>
      <c r="E13510" t="s">
        <v>187</v>
      </c>
      <c r="F13510">
        <v>2020</v>
      </c>
      <c r="G13510">
        <v>3.4117199999999999</v>
      </c>
    </row>
    <row r="13511" spans="1:7">
      <c r="A13511" t="s">
        <v>1297</v>
      </c>
      <c r="B13511" t="s">
        <v>1298</v>
      </c>
      <c r="C13511" t="s">
        <v>661</v>
      </c>
      <c r="D13511" t="s">
        <v>1434</v>
      </c>
      <c r="E13511" t="s">
        <v>187</v>
      </c>
      <c r="F13511">
        <v>2005</v>
      </c>
      <c r="G13511">
        <v>202.794757</v>
      </c>
    </row>
    <row r="13512" spans="1:7">
      <c r="A13512" t="s">
        <v>1297</v>
      </c>
      <c r="B13512" t="s">
        <v>1298</v>
      </c>
      <c r="C13512" t="s">
        <v>661</v>
      </c>
      <c r="D13512" t="s">
        <v>1434</v>
      </c>
      <c r="E13512" t="s">
        <v>187</v>
      </c>
      <c r="F13512">
        <v>2010</v>
      </c>
      <c r="G13512">
        <v>243.092221</v>
      </c>
    </row>
    <row r="13513" spans="1:7">
      <c r="A13513" t="s">
        <v>1297</v>
      </c>
      <c r="B13513" t="s">
        <v>1298</v>
      </c>
      <c r="C13513" t="s">
        <v>661</v>
      </c>
      <c r="D13513" t="s">
        <v>1434</v>
      </c>
      <c r="E13513" t="s">
        <v>187</v>
      </c>
      <c r="F13513">
        <v>2012</v>
      </c>
      <c r="G13513">
        <v>233.13852700000001</v>
      </c>
    </row>
    <row r="13514" spans="1:7">
      <c r="A13514" t="s">
        <v>1297</v>
      </c>
      <c r="B13514" t="s">
        <v>1298</v>
      </c>
      <c r="C13514" t="s">
        <v>661</v>
      </c>
      <c r="D13514" t="s">
        <v>1434</v>
      </c>
      <c r="E13514" t="s">
        <v>187</v>
      </c>
      <c r="F13514">
        <v>2016</v>
      </c>
      <c r="G13514">
        <v>236.467973</v>
      </c>
    </row>
    <row r="13515" spans="1:7">
      <c r="A13515" t="s">
        <v>1297</v>
      </c>
      <c r="B13515" t="s">
        <v>1298</v>
      </c>
      <c r="C13515" t="s">
        <v>661</v>
      </c>
      <c r="D13515" t="s">
        <v>1434</v>
      </c>
      <c r="E13515" t="s">
        <v>187</v>
      </c>
      <c r="F13515">
        <v>2020</v>
      </c>
      <c r="G13515">
        <v>221.66156899999999</v>
      </c>
    </row>
    <row r="13516" spans="1:7">
      <c r="A13516" t="s">
        <v>1297</v>
      </c>
      <c r="B13516" t="s">
        <v>1298</v>
      </c>
      <c r="C13516" t="s">
        <v>660</v>
      </c>
      <c r="D13516" t="s">
        <v>1434</v>
      </c>
      <c r="E13516" t="s">
        <v>187</v>
      </c>
      <c r="F13516">
        <v>2005</v>
      </c>
      <c r="G13516">
        <v>49.622399999999999</v>
      </c>
    </row>
    <row r="13517" spans="1:7">
      <c r="A13517" t="s">
        <v>1297</v>
      </c>
      <c r="B13517" t="s">
        <v>1298</v>
      </c>
      <c r="C13517" t="s">
        <v>660</v>
      </c>
      <c r="D13517" t="s">
        <v>1434</v>
      </c>
      <c r="E13517" t="s">
        <v>187</v>
      </c>
      <c r="F13517">
        <v>2010</v>
      </c>
      <c r="G13517">
        <v>46.519177999999997</v>
      </c>
    </row>
    <row r="13518" spans="1:7">
      <c r="A13518" t="s">
        <v>1297</v>
      </c>
      <c r="B13518" t="s">
        <v>1298</v>
      </c>
      <c r="C13518" t="s">
        <v>1303</v>
      </c>
      <c r="D13518" t="s">
        <v>1435</v>
      </c>
      <c r="E13518" t="s">
        <v>187</v>
      </c>
      <c r="F13518">
        <v>2016</v>
      </c>
      <c r="G13518">
        <v>33.585267999999999</v>
      </c>
    </row>
    <row r="13519" spans="1:7">
      <c r="A13519" t="s">
        <v>1297</v>
      </c>
      <c r="B13519" t="s">
        <v>1298</v>
      </c>
      <c r="C13519" t="s">
        <v>1303</v>
      </c>
      <c r="D13519" t="s">
        <v>1435</v>
      </c>
      <c r="E13519" t="s">
        <v>187</v>
      </c>
      <c r="F13519">
        <v>2020</v>
      </c>
      <c r="G13519">
        <v>32.154119999999999</v>
      </c>
    </row>
    <row r="13520" spans="1:7">
      <c r="A13520" t="s">
        <v>1297</v>
      </c>
      <c r="B13520" t="s">
        <v>1298</v>
      </c>
      <c r="C13520" t="s">
        <v>671</v>
      </c>
      <c r="D13520" t="s">
        <v>1435</v>
      </c>
      <c r="E13520" t="s">
        <v>187</v>
      </c>
      <c r="F13520">
        <v>2005</v>
      </c>
      <c r="G13520">
        <v>7.9231860000000003</v>
      </c>
    </row>
    <row r="13521" spans="1:7">
      <c r="A13521" t="s">
        <v>1297</v>
      </c>
      <c r="B13521" t="s">
        <v>1298</v>
      </c>
      <c r="C13521" t="s">
        <v>671</v>
      </c>
      <c r="D13521" t="s">
        <v>1435</v>
      </c>
      <c r="E13521" t="s">
        <v>187</v>
      </c>
      <c r="F13521">
        <v>2010</v>
      </c>
      <c r="G13521">
        <v>10.511791000000001</v>
      </c>
    </row>
    <row r="13522" spans="1:7">
      <c r="A13522" t="s">
        <v>1297</v>
      </c>
      <c r="B13522" t="s">
        <v>1298</v>
      </c>
      <c r="C13522" t="s">
        <v>671</v>
      </c>
      <c r="D13522" t="s">
        <v>1435</v>
      </c>
      <c r="E13522" t="s">
        <v>187</v>
      </c>
      <c r="F13522">
        <v>2012</v>
      </c>
      <c r="G13522">
        <v>7.3323140000000002</v>
      </c>
    </row>
    <row r="13523" spans="1:7">
      <c r="A13523" t="s">
        <v>1297</v>
      </c>
      <c r="B13523" t="s">
        <v>1298</v>
      </c>
      <c r="C13523" t="s">
        <v>671</v>
      </c>
      <c r="D13523" t="s">
        <v>1435</v>
      </c>
      <c r="E13523" t="s">
        <v>187</v>
      </c>
      <c r="F13523">
        <v>2016</v>
      </c>
      <c r="G13523">
        <v>7.7020059999999999</v>
      </c>
    </row>
    <row r="13524" spans="1:7">
      <c r="A13524" t="s">
        <v>1297</v>
      </c>
      <c r="B13524" t="s">
        <v>1298</v>
      </c>
      <c r="C13524" t="s">
        <v>671</v>
      </c>
      <c r="D13524" t="s">
        <v>1435</v>
      </c>
      <c r="E13524" t="s">
        <v>187</v>
      </c>
      <c r="F13524">
        <v>2020</v>
      </c>
      <c r="G13524">
        <v>7.0502979999999997</v>
      </c>
    </row>
    <row r="13525" spans="1:7">
      <c r="A13525" t="s">
        <v>1297</v>
      </c>
      <c r="B13525" t="s">
        <v>1298</v>
      </c>
      <c r="C13525" t="s">
        <v>1301</v>
      </c>
      <c r="D13525" t="s">
        <v>1435</v>
      </c>
      <c r="E13525" t="s">
        <v>187</v>
      </c>
      <c r="F13525">
        <v>2005</v>
      </c>
      <c r="G13525">
        <v>142.41816</v>
      </c>
    </row>
    <row r="13526" spans="1:7">
      <c r="A13526" t="s">
        <v>1297</v>
      </c>
      <c r="B13526" t="s">
        <v>1298</v>
      </c>
      <c r="C13526" t="s">
        <v>1301</v>
      </c>
      <c r="D13526" t="s">
        <v>1435</v>
      </c>
      <c r="E13526" t="s">
        <v>187</v>
      </c>
      <c r="F13526">
        <v>2010</v>
      </c>
      <c r="G13526">
        <v>186.46355199999999</v>
      </c>
    </row>
    <row r="13527" spans="1:7">
      <c r="A13527" t="s">
        <v>1297</v>
      </c>
      <c r="B13527" t="s">
        <v>1298</v>
      </c>
      <c r="C13527" t="s">
        <v>1301</v>
      </c>
      <c r="D13527" t="s">
        <v>1435</v>
      </c>
      <c r="E13527" t="s">
        <v>187</v>
      </c>
      <c r="F13527">
        <v>2012</v>
      </c>
      <c r="G13527">
        <v>208.313827</v>
      </c>
    </row>
    <row r="13528" spans="1:7">
      <c r="A13528" t="s">
        <v>1297</v>
      </c>
      <c r="B13528" t="s">
        <v>1298</v>
      </c>
      <c r="C13528" t="s">
        <v>1301</v>
      </c>
      <c r="D13528" t="s">
        <v>1435</v>
      </c>
      <c r="E13528" t="s">
        <v>187</v>
      </c>
      <c r="F13528">
        <v>2016</v>
      </c>
      <c r="G13528">
        <v>242.03117900000001</v>
      </c>
    </row>
    <row r="13529" spans="1:7">
      <c r="A13529" t="s">
        <v>1297</v>
      </c>
      <c r="B13529" t="s">
        <v>1298</v>
      </c>
      <c r="C13529" t="s">
        <v>289</v>
      </c>
      <c r="D13529" t="s">
        <v>1435</v>
      </c>
      <c r="E13529" t="s">
        <v>187</v>
      </c>
      <c r="F13529">
        <v>2005</v>
      </c>
      <c r="G13529">
        <v>25.3278</v>
      </c>
    </row>
    <row r="13530" spans="1:7">
      <c r="A13530" t="s">
        <v>1297</v>
      </c>
      <c r="B13530" t="s">
        <v>1298</v>
      </c>
      <c r="C13530" t="s">
        <v>289</v>
      </c>
      <c r="D13530" t="s">
        <v>1435</v>
      </c>
      <c r="E13530" t="s">
        <v>187</v>
      </c>
      <c r="F13530">
        <v>2010</v>
      </c>
      <c r="G13530">
        <v>32.854331000000002</v>
      </c>
    </row>
    <row r="13531" spans="1:7">
      <c r="A13531" t="s">
        <v>1297</v>
      </c>
      <c r="B13531" t="s">
        <v>1298</v>
      </c>
      <c r="C13531" t="s">
        <v>289</v>
      </c>
      <c r="D13531" t="s">
        <v>1435</v>
      </c>
      <c r="E13531" t="s">
        <v>187</v>
      </c>
      <c r="F13531">
        <v>2012</v>
      </c>
      <c r="G13531">
        <v>17.412839999999999</v>
      </c>
    </row>
    <row r="13532" spans="1:7">
      <c r="A13532" t="s">
        <v>1297</v>
      </c>
      <c r="B13532" t="s">
        <v>1298</v>
      </c>
      <c r="C13532" t="s">
        <v>289</v>
      </c>
      <c r="D13532" t="s">
        <v>1435</v>
      </c>
      <c r="E13532" t="s">
        <v>187</v>
      </c>
      <c r="F13532">
        <v>2016</v>
      </c>
      <c r="G13532">
        <v>24.667556000000001</v>
      </c>
    </row>
    <row r="13533" spans="1:7">
      <c r="A13533" t="s">
        <v>1297</v>
      </c>
      <c r="B13533" t="s">
        <v>1298</v>
      </c>
      <c r="C13533" t="s">
        <v>289</v>
      </c>
      <c r="D13533" t="s">
        <v>1435</v>
      </c>
      <c r="E13533" t="s">
        <v>187</v>
      </c>
      <c r="F13533">
        <v>2020</v>
      </c>
      <c r="G13533">
        <v>20.973960000000002</v>
      </c>
    </row>
    <row r="13534" spans="1:7">
      <c r="A13534" t="s">
        <v>1297</v>
      </c>
      <c r="B13534" t="s">
        <v>1298</v>
      </c>
      <c r="C13534" t="s">
        <v>653</v>
      </c>
      <c r="D13534" t="s">
        <v>1435</v>
      </c>
      <c r="E13534" t="s">
        <v>187</v>
      </c>
      <c r="F13534">
        <v>2005</v>
      </c>
      <c r="G13534">
        <v>15.470741</v>
      </c>
    </row>
    <row r="13535" spans="1:7">
      <c r="A13535" t="s">
        <v>1297</v>
      </c>
      <c r="B13535" t="s">
        <v>1298</v>
      </c>
      <c r="C13535" t="s">
        <v>653</v>
      </c>
      <c r="D13535" t="s">
        <v>1435</v>
      </c>
      <c r="E13535" t="s">
        <v>187</v>
      </c>
      <c r="F13535">
        <v>2010</v>
      </c>
      <c r="G13535">
        <v>18.112828</v>
      </c>
    </row>
    <row r="13536" spans="1:7">
      <c r="A13536" t="s">
        <v>1297</v>
      </c>
      <c r="B13536" t="s">
        <v>1298</v>
      </c>
      <c r="C13536" t="s">
        <v>653</v>
      </c>
      <c r="D13536" t="s">
        <v>1435</v>
      </c>
      <c r="E13536" t="s">
        <v>187</v>
      </c>
      <c r="F13536">
        <v>2012</v>
      </c>
      <c r="G13536">
        <v>11.439489999999999</v>
      </c>
    </row>
    <row r="13537" spans="1:7">
      <c r="A13537" t="s">
        <v>1297</v>
      </c>
      <c r="B13537" t="s">
        <v>1298</v>
      </c>
      <c r="C13537" t="s">
        <v>653</v>
      </c>
      <c r="D13537" t="s">
        <v>1435</v>
      </c>
      <c r="E13537" t="s">
        <v>187</v>
      </c>
      <c r="F13537">
        <v>2016</v>
      </c>
      <c r="G13537">
        <v>13.967430999999999</v>
      </c>
    </row>
    <row r="13538" spans="1:7">
      <c r="A13538" t="s">
        <v>1297</v>
      </c>
      <c r="B13538" t="s">
        <v>1298</v>
      </c>
      <c r="C13538" t="s">
        <v>653</v>
      </c>
      <c r="D13538" t="s">
        <v>1435</v>
      </c>
      <c r="E13538" t="s">
        <v>187</v>
      </c>
      <c r="F13538">
        <v>2020</v>
      </c>
      <c r="G13538">
        <v>10.546196</v>
      </c>
    </row>
    <row r="13539" spans="1:7">
      <c r="A13539" t="s">
        <v>1297</v>
      </c>
      <c r="B13539" t="s">
        <v>1298</v>
      </c>
      <c r="C13539" t="s">
        <v>686</v>
      </c>
      <c r="D13539" t="s">
        <v>1435</v>
      </c>
      <c r="E13539" t="s">
        <v>187</v>
      </c>
      <c r="F13539">
        <v>2005</v>
      </c>
      <c r="G13539">
        <v>41.078069999999997</v>
      </c>
    </row>
    <row r="13540" spans="1:7">
      <c r="A13540" t="s">
        <v>1297</v>
      </c>
      <c r="B13540" t="s">
        <v>1298</v>
      </c>
      <c r="C13540" t="s">
        <v>686</v>
      </c>
      <c r="D13540" t="s">
        <v>1435</v>
      </c>
      <c r="E13540" t="s">
        <v>187</v>
      </c>
      <c r="F13540">
        <v>2010</v>
      </c>
      <c r="G13540">
        <v>42.807600000000001</v>
      </c>
    </row>
    <row r="13541" spans="1:7">
      <c r="A13541" t="s">
        <v>1297</v>
      </c>
      <c r="B13541" t="s">
        <v>1298</v>
      </c>
      <c r="C13541" t="s">
        <v>686</v>
      </c>
      <c r="D13541" t="s">
        <v>1435</v>
      </c>
      <c r="E13541" t="s">
        <v>187</v>
      </c>
      <c r="F13541">
        <v>2012</v>
      </c>
      <c r="G13541">
        <v>33.429600000000001</v>
      </c>
    </row>
    <row r="13542" spans="1:7">
      <c r="A13542" t="s">
        <v>1297</v>
      </c>
      <c r="B13542" t="s">
        <v>1298</v>
      </c>
      <c r="C13542" t="s">
        <v>686</v>
      </c>
      <c r="D13542" t="s">
        <v>1435</v>
      </c>
      <c r="E13542" t="s">
        <v>187</v>
      </c>
      <c r="F13542">
        <v>2016</v>
      </c>
      <c r="G13542">
        <v>38.850864999999999</v>
      </c>
    </row>
    <row r="13543" spans="1:7">
      <c r="A13543" t="s">
        <v>1297</v>
      </c>
      <c r="B13543" t="s">
        <v>1298</v>
      </c>
      <c r="C13543" t="s">
        <v>686</v>
      </c>
      <c r="D13543" t="s">
        <v>1435</v>
      </c>
      <c r="E13543" t="s">
        <v>187</v>
      </c>
      <c r="F13543">
        <v>2020</v>
      </c>
      <c r="G13543">
        <v>34.045830000000002</v>
      </c>
    </row>
    <row r="13544" spans="1:7">
      <c r="A13544" t="s">
        <v>1297</v>
      </c>
      <c r="B13544" t="s">
        <v>1298</v>
      </c>
      <c r="C13544" t="s">
        <v>682</v>
      </c>
      <c r="D13544" t="s">
        <v>1435</v>
      </c>
      <c r="E13544" t="s">
        <v>187</v>
      </c>
      <c r="F13544">
        <v>2016</v>
      </c>
      <c r="G13544">
        <v>20.307600000000001</v>
      </c>
    </row>
    <row r="13545" spans="1:7">
      <c r="A13545" t="s">
        <v>1297</v>
      </c>
      <c r="B13545" t="s">
        <v>1298</v>
      </c>
      <c r="C13545" t="s">
        <v>682</v>
      </c>
      <c r="D13545" t="s">
        <v>1435</v>
      </c>
      <c r="E13545" t="s">
        <v>187</v>
      </c>
      <c r="F13545">
        <v>2020</v>
      </c>
      <c r="G13545">
        <v>21.9636</v>
      </c>
    </row>
    <row r="13546" spans="1:7">
      <c r="A13546" t="s">
        <v>1297</v>
      </c>
      <c r="B13546" t="s">
        <v>1298</v>
      </c>
      <c r="C13546" t="s">
        <v>652</v>
      </c>
      <c r="D13546" t="s">
        <v>1435</v>
      </c>
      <c r="E13546" t="s">
        <v>187</v>
      </c>
      <c r="F13546">
        <v>2005</v>
      </c>
      <c r="G13546">
        <v>1.0367999999999999</v>
      </c>
    </row>
    <row r="13547" spans="1:7">
      <c r="A13547" t="s">
        <v>1297</v>
      </c>
      <c r="B13547" t="s">
        <v>1298</v>
      </c>
      <c r="C13547" t="s">
        <v>652</v>
      </c>
      <c r="D13547" t="s">
        <v>1435</v>
      </c>
      <c r="E13547" t="s">
        <v>187</v>
      </c>
      <c r="F13547">
        <v>2010</v>
      </c>
      <c r="G13547">
        <v>1.1232</v>
      </c>
    </row>
    <row r="13548" spans="1:7">
      <c r="A13548" t="s">
        <v>1297</v>
      </c>
      <c r="B13548" t="s">
        <v>1298</v>
      </c>
      <c r="C13548" t="s">
        <v>652</v>
      </c>
      <c r="D13548" t="s">
        <v>1435</v>
      </c>
      <c r="E13548" t="s">
        <v>187</v>
      </c>
      <c r="F13548">
        <v>2012</v>
      </c>
      <c r="G13548">
        <v>1.2851999999999999</v>
      </c>
    </row>
    <row r="13549" spans="1:7">
      <c r="A13549" t="s">
        <v>1297</v>
      </c>
      <c r="B13549" t="s">
        <v>1298</v>
      </c>
      <c r="C13549" t="s">
        <v>652</v>
      </c>
      <c r="D13549" t="s">
        <v>1435</v>
      </c>
      <c r="E13549" t="s">
        <v>187</v>
      </c>
      <c r="F13549">
        <v>2016</v>
      </c>
      <c r="G13549">
        <v>1.3320000000000001</v>
      </c>
    </row>
    <row r="13550" spans="1:7">
      <c r="A13550" t="s">
        <v>1297</v>
      </c>
      <c r="B13550" t="s">
        <v>1298</v>
      </c>
      <c r="C13550" t="s">
        <v>652</v>
      </c>
      <c r="D13550" t="s">
        <v>1435</v>
      </c>
      <c r="E13550" t="s">
        <v>187</v>
      </c>
      <c r="F13550">
        <v>2020</v>
      </c>
      <c r="G13550">
        <v>1.0871999999999999</v>
      </c>
    </row>
    <row r="13551" spans="1:7">
      <c r="A13551" t="s">
        <v>1297</v>
      </c>
      <c r="B13551" t="s">
        <v>1298</v>
      </c>
      <c r="C13551" t="s">
        <v>664</v>
      </c>
      <c r="D13551" t="s">
        <v>1435</v>
      </c>
      <c r="E13551" t="s">
        <v>187</v>
      </c>
      <c r="F13551">
        <v>2005</v>
      </c>
      <c r="G13551">
        <v>2.2725360000000001</v>
      </c>
    </row>
    <row r="13552" spans="1:7">
      <c r="A13552" t="s">
        <v>1297</v>
      </c>
      <c r="B13552" t="s">
        <v>1298</v>
      </c>
      <c r="C13552" t="s">
        <v>664</v>
      </c>
      <c r="D13552" t="s">
        <v>1435</v>
      </c>
      <c r="E13552" t="s">
        <v>187</v>
      </c>
      <c r="F13552">
        <v>2010</v>
      </c>
      <c r="G13552">
        <v>2.157232</v>
      </c>
    </row>
    <row r="13553" spans="1:7">
      <c r="A13553" t="s">
        <v>1297</v>
      </c>
      <c r="B13553" t="s">
        <v>1298</v>
      </c>
      <c r="C13553" t="s">
        <v>664</v>
      </c>
      <c r="D13553" t="s">
        <v>1435</v>
      </c>
      <c r="E13553" t="s">
        <v>187</v>
      </c>
      <c r="F13553">
        <v>2012</v>
      </c>
      <c r="G13553">
        <v>2.8884560000000001</v>
      </c>
    </row>
    <row r="13554" spans="1:7">
      <c r="A13554" t="s">
        <v>1297</v>
      </c>
      <c r="B13554" t="s">
        <v>1298</v>
      </c>
      <c r="C13554" t="s">
        <v>664</v>
      </c>
      <c r="D13554" t="s">
        <v>1435</v>
      </c>
      <c r="E13554" t="s">
        <v>187</v>
      </c>
      <c r="F13554">
        <v>2016</v>
      </c>
      <c r="G13554">
        <v>2.4516900000000001</v>
      </c>
    </row>
    <row r="13555" spans="1:7">
      <c r="A13555" t="s">
        <v>1297</v>
      </c>
      <c r="B13555" t="s">
        <v>1298</v>
      </c>
      <c r="C13555" t="s">
        <v>664</v>
      </c>
      <c r="D13555" t="s">
        <v>1435</v>
      </c>
      <c r="E13555" t="s">
        <v>187</v>
      </c>
      <c r="F13555">
        <v>2020</v>
      </c>
      <c r="G13555">
        <v>3.1917019999999998</v>
      </c>
    </row>
    <row r="13556" spans="1:7">
      <c r="A13556" t="s">
        <v>1297</v>
      </c>
      <c r="B13556" t="s">
        <v>1298</v>
      </c>
      <c r="C13556" t="s">
        <v>659</v>
      </c>
      <c r="D13556" t="s">
        <v>1435</v>
      </c>
      <c r="E13556" t="s">
        <v>187</v>
      </c>
      <c r="F13556">
        <v>2005</v>
      </c>
      <c r="G13556">
        <v>66.214799999999997</v>
      </c>
    </row>
    <row r="13557" spans="1:7">
      <c r="A13557" t="s">
        <v>1297</v>
      </c>
      <c r="B13557" t="s">
        <v>1298</v>
      </c>
      <c r="C13557" t="s">
        <v>659</v>
      </c>
      <c r="D13557" t="s">
        <v>1435</v>
      </c>
      <c r="E13557" t="s">
        <v>187</v>
      </c>
      <c r="F13557">
        <v>2010</v>
      </c>
      <c r="G13557">
        <v>152.2944</v>
      </c>
    </row>
    <row r="13558" spans="1:7">
      <c r="A13558" t="s">
        <v>1297</v>
      </c>
      <c r="B13558" t="s">
        <v>1298</v>
      </c>
      <c r="C13558" t="s">
        <v>659</v>
      </c>
      <c r="D13558" t="s">
        <v>1435</v>
      </c>
      <c r="E13558" t="s">
        <v>187</v>
      </c>
      <c r="F13558">
        <v>2012</v>
      </c>
      <c r="G13558">
        <v>73.962000000000003</v>
      </c>
    </row>
    <row r="13559" spans="1:7">
      <c r="A13559" t="s">
        <v>1297</v>
      </c>
      <c r="B13559" t="s">
        <v>1298</v>
      </c>
      <c r="C13559" t="s">
        <v>659</v>
      </c>
      <c r="D13559" t="s">
        <v>1435</v>
      </c>
      <c r="E13559" t="s">
        <v>187</v>
      </c>
      <c r="F13559">
        <v>2016</v>
      </c>
      <c r="G13559">
        <v>131.02328499999999</v>
      </c>
    </row>
    <row r="13560" spans="1:7">
      <c r="A13560" t="s">
        <v>1297</v>
      </c>
      <c r="B13560" t="s">
        <v>1298</v>
      </c>
      <c r="C13560" t="s">
        <v>659</v>
      </c>
      <c r="D13560" t="s">
        <v>1435</v>
      </c>
      <c r="E13560" t="s">
        <v>187</v>
      </c>
      <c r="F13560">
        <v>2020</v>
      </c>
      <c r="G13560">
        <v>88.7256</v>
      </c>
    </row>
    <row r="13561" spans="1:7">
      <c r="A13561" t="s">
        <v>1297</v>
      </c>
      <c r="B13561" t="s">
        <v>1298</v>
      </c>
      <c r="C13561" t="s">
        <v>680</v>
      </c>
      <c r="D13561" t="s">
        <v>1435</v>
      </c>
      <c r="E13561" t="s">
        <v>187</v>
      </c>
      <c r="F13561">
        <v>2005</v>
      </c>
      <c r="G13561">
        <v>25.26943</v>
      </c>
    </row>
    <row r="13562" spans="1:7">
      <c r="A13562" t="s">
        <v>1297</v>
      </c>
      <c r="B13562" t="s">
        <v>1298</v>
      </c>
      <c r="C13562" t="s">
        <v>680</v>
      </c>
      <c r="D13562" t="s">
        <v>1435</v>
      </c>
      <c r="E13562" t="s">
        <v>187</v>
      </c>
      <c r="F13562">
        <v>2010</v>
      </c>
      <c r="G13562">
        <v>45.331491999999997</v>
      </c>
    </row>
    <row r="13563" spans="1:7">
      <c r="A13563" t="s">
        <v>1297</v>
      </c>
      <c r="B13563" t="s">
        <v>1298</v>
      </c>
      <c r="C13563" t="s">
        <v>680</v>
      </c>
      <c r="D13563" t="s">
        <v>1435</v>
      </c>
      <c r="E13563" t="s">
        <v>187</v>
      </c>
      <c r="F13563">
        <v>2012</v>
      </c>
      <c r="G13563">
        <v>44.411504000000001</v>
      </c>
    </row>
    <row r="13564" spans="1:7">
      <c r="A13564" t="s">
        <v>1297</v>
      </c>
      <c r="B13564" t="s">
        <v>1298</v>
      </c>
      <c r="C13564" t="s">
        <v>680</v>
      </c>
      <c r="D13564" t="s">
        <v>1435</v>
      </c>
      <c r="E13564" t="s">
        <v>187</v>
      </c>
      <c r="F13564">
        <v>2016</v>
      </c>
      <c r="G13564">
        <v>48.490546000000002</v>
      </c>
    </row>
    <row r="13565" spans="1:7">
      <c r="A13565" t="s">
        <v>1297</v>
      </c>
      <c r="B13565" t="s">
        <v>1298</v>
      </c>
      <c r="C13565" t="s">
        <v>680</v>
      </c>
      <c r="D13565" t="s">
        <v>1435</v>
      </c>
      <c r="E13565" t="s">
        <v>187</v>
      </c>
      <c r="F13565">
        <v>2020</v>
      </c>
      <c r="G13565">
        <v>48.461278</v>
      </c>
    </row>
    <row r="13566" spans="1:7">
      <c r="A13566" t="s">
        <v>1297</v>
      </c>
      <c r="B13566" t="s">
        <v>1298</v>
      </c>
      <c r="C13566" t="s">
        <v>684</v>
      </c>
      <c r="D13566" t="s">
        <v>1435</v>
      </c>
      <c r="E13566" t="s">
        <v>187</v>
      </c>
      <c r="F13566">
        <v>2005</v>
      </c>
      <c r="G13566">
        <v>6.7176</v>
      </c>
    </row>
    <row r="13567" spans="1:7">
      <c r="A13567" t="s">
        <v>1297</v>
      </c>
      <c r="B13567" t="s">
        <v>1298</v>
      </c>
      <c r="C13567" t="s">
        <v>684</v>
      </c>
      <c r="D13567" t="s">
        <v>1435</v>
      </c>
      <c r="E13567" t="s">
        <v>187</v>
      </c>
      <c r="F13567">
        <v>2010</v>
      </c>
      <c r="G13567">
        <v>9.9</v>
      </c>
    </row>
    <row r="13568" spans="1:7">
      <c r="A13568" t="s">
        <v>1297</v>
      </c>
      <c r="B13568" t="s">
        <v>1298</v>
      </c>
      <c r="C13568" t="s">
        <v>684</v>
      </c>
      <c r="D13568" t="s">
        <v>1435</v>
      </c>
      <c r="E13568" t="s">
        <v>187</v>
      </c>
      <c r="F13568">
        <v>2012</v>
      </c>
      <c r="G13568">
        <v>5.3175129999999999</v>
      </c>
    </row>
    <row r="13569" spans="1:7">
      <c r="A13569" t="s">
        <v>1297</v>
      </c>
      <c r="B13569" t="s">
        <v>1298</v>
      </c>
      <c r="C13569" t="s">
        <v>684</v>
      </c>
      <c r="D13569" t="s">
        <v>1435</v>
      </c>
      <c r="E13569" t="s">
        <v>187</v>
      </c>
      <c r="F13569">
        <v>2016</v>
      </c>
      <c r="G13569">
        <v>6.6354879999999996</v>
      </c>
    </row>
    <row r="13570" spans="1:7">
      <c r="A13570" t="s">
        <v>1297</v>
      </c>
      <c r="B13570" t="s">
        <v>1298</v>
      </c>
      <c r="C13570" t="s">
        <v>684</v>
      </c>
      <c r="D13570" t="s">
        <v>1435</v>
      </c>
      <c r="E13570" t="s">
        <v>187</v>
      </c>
      <c r="F13570">
        <v>2020</v>
      </c>
      <c r="G13570">
        <v>5.8806000000000003</v>
      </c>
    </row>
    <row r="13571" spans="1:7">
      <c r="A13571" t="s">
        <v>1297</v>
      </c>
      <c r="B13571" t="s">
        <v>1298</v>
      </c>
      <c r="C13571" t="s">
        <v>662</v>
      </c>
      <c r="D13571" t="s">
        <v>1435</v>
      </c>
      <c r="E13571" t="s">
        <v>187</v>
      </c>
      <c r="F13571">
        <v>2005</v>
      </c>
      <c r="G13571">
        <v>18.062989000000002</v>
      </c>
    </row>
    <row r="13572" spans="1:7">
      <c r="A13572" t="s">
        <v>1297</v>
      </c>
      <c r="B13572" t="s">
        <v>1298</v>
      </c>
      <c r="C13572" t="s">
        <v>662</v>
      </c>
      <c r="D13572" t="s">
        <v>1435</v>
      </c>
      <c r="E13572" t="s">
        <v>187</v>
      </c>
      <c r="F13572">
        <v>2010</v>
      </c>
      <c r="G13572">
        <v>26.909110999999999</v>
      </c>
    </row>
    <row r="13573" spans="1:7">
      <c r="A13573" t="s">
        <v>1297</v>
      </c>
      <c r="B13573" t="s">
        <v>1298</v>
      </c>
      <c r="C13573" t="s">
        <v>662</v>
      </c>
      <c r="D13573" t="s">
        <v>1435</v>
      </c>
      <c r="E13573" t="s">
        <v>187</v>
      </c>
      <c r="F13573">
        <v>2012</v>
      </c>
      <c r="G13573">
        <v>15.813090000000001</v>
      </c>
    </row>
    <row r="13574" spans="1:7">
      <c r="A13574" t="s">
        <v>1297</v>
      </c>
      <c r="B13574" t="s">
        <v>1298</v>
      </c>
      <c r="C13574" t="s">
        <v>662</v>
      </c>
      <c r="D13574" t="s">
        <v>1435</v>
      </c>
      <c r="E13574" t="s">
        <v>187</v>
      </c>
      <c r="F13574">
        <v>2016</v>
      </c>
      <c r="G13574">
        <v>19.953496999999999</v>
      </c>
    </row>
    <row r="13575" spans="1:7">
      <c r="A13575" t="s">
        <v>1297</v>
      </c>
      <c r="B13575" t="s">
        <v>1298</v>
      </c>
      <c r="C13575" t="s">
        <v>662</v>
      </c>
      <c r="D13575" t="s">
        <v>1435</v>
      </c>
      <c r="E13575" t="s">
        <v>187</v>
      </c>
      <c r="F13575">
        <v>2020</v>
      </c>
      <c r="G13575">
        <v>14.319414</v>
      </c>
    </row>
    <row r="13576" spans="1:7">
      <c r="A13576" t="s">
        <v>1297</v>
      </c>
      <c r="B13576" t="s">
        <v>1298</v>
      </c>
      <c r="C13576" t="s">
        <v>660</v>
      </c>
      <c r="D13576" t="s">
        <v>1435</v>
      </c>
      <c r="E13576" t="s">
        <v>187</v>
      </c>
      <c r="F13576">
        <v>2005</v>
      </c>
      <c r="G13576">
        <v>49.622399999999999</v>
      </c>
    </row>
    <row r="13577" spans="1:7">
      <c r="A13577" t="s">
        <v>1297</v>
      </c>
      <c r="B13577" t="s">
        <v>1298</v>
      </c>
      <c r="C13577" t="s">
        <v>660</v>
      </c>
      <c r="D13577" t="s">
        <v>1435</v>
      </c>
      <c r="E13577" t="s">
        <v>187</v>
      </c>
      <c r="F13577">
        <v>2010</v>
      </c>
      <c r="G13577">
        <v>46.519177999999997</v>
      </c>
    </row>
    <row r="13578" spans="1:7">
      <c r="A13578" t="s">
        <v>1297</v>
      </c>
      <c r="B13578" t="s">
        <v>1298</v>
      </c>
      <c r="C13578" t="s">
        <v>660</v>
      </c>
      <c r="D13578" t="s">
        <v>1435</v>
      </c>
      <c r="E13578" t="s">
        <v>187</v>
      </c>
      <c r="F13578">
        <v>2012</v>
      </c>
      <c r="G13578">
        <v>60.692861000000001</v>
      </c>
    </row>
    <row r="13579" spans="1:7">
      <c r="A13579" t="s">
        <v>1297</v>
      </c>
      <c r="B13579" t="s">
        <v>1298</v>
      </c>
      <c r="C13579" t="s">
        <v>666</v>
      </c>
      <c r="D13579" t="s">
        <v>1435</v>
      </c>
      <c r="E13579" t="s">
        <v>187</v>
      </c>
      <c r="F13579">
        <v>2005</v>
      </c>
      <c r="G13579">
        <v>1.6235999999999999</v>
      </c>
    </row>
    <row r="13580" spans="1:7">
      <c r="A13580" t="s">
        <v>1297</v>
      </c>
      <c r="B13580" t="s">
        <v>1298</v>
      </c>
      <c r="C13580" t="s">
        <v>666</v>
      </c>
      <c r="D13580" t="s">
        <v>1435</v>
      </c>
      <c r="E13580" t="s">
        <v>187</v>
      </c>
      <c r="F13580">
        <v>2010</v>
      </c>
      <c r="G13580">
        <v>1.944</v>
      </c>
    </row>
    <row r="13581" spans="1:7">
      <c r="A13581" t="s">
        <v>1297</v>
      </c>
      <c r="B13581" t="s">
        <v>1298</v>
      </c>
      <c r="C13581" t="s">
        <v>666</v>
      </c>
      <c r="D13581" t="s">
        <v>1435</v>
      </c>
      <c r="E13581" t="s">
        <v>187</v>
      </c>
      <c r="F13581">
        <v>2012</v>
      </c>
      <c r="G13581">
        <v>1.5227999999999999</v>
      </c>
    </row>
    <row r="13582" spans="1:7">
      <c r="A13582" t="s">
        <v>1297</v>
      </c>
      <c r="B13582" t="s">
        <v>1298</v>
      </c>
      <c r="C13582" t="s">
        <v>666</v>
      </c>
      <c r="D13582" t="s">
        <v>1435</v>
      </c>
      <c r="E13582" t="s">
        <v>187</v>
      </c>
      <c r="F13582">
        <v>2016</v>
      </c>
      <c r="G13582">
        <v>1.6344000000000001</v>
      </c>
    </row>
    <row r="13583" spans="1:7">
      <c r="A13583" t="s">
        <v>1297</v>
      </c>
      <c r="B13583" t="s">
        <v>1298</v>
      </c>
      <c r="C13583" t="s">
        <v>666</v>
      </c>
      <c r="D13583" t="s">
        <v>1435</v>
      </c>
      <c r="E13583" t="s">
        <v>187</v>
      </c>
      <c r="F13583">
        <v>2020</v>
      </c>
      <c r="G13583">
        <v>1.2434400000000001</v>
      </c>
    </row>
    <row r="13584" spans="1:7">
      <c r="A13584" t="s">
        <v>1297</v>
      </c>
      <c r="B13584" t="s">
        <v>1298</v>
      </c>
      <c r="C13584" t="s">
        <v>657</v>
      </c>
      <c r="D13584" t="s">
        <v>1435</v>
      </c>
      <c r="E13584" t="s">
        <v>187</v>
      </c>
      <c r="F13584">
        <v>2005</v>
      </c>
      <c r="G13584">
        <v>8.2799999999999999E-2</v>
      </c>
    </row>
    <row r="13585" spans="1:7">
      <c r="A13585" t="s">
        <v>1297</v>
      </c>
      <c r="B13585" t="s">
        <v>1298</v>
      </c>
      <c r="C13585" t="s">
        <v>657</v>
      </c>
      <c r="D13585" t="s">
        <v>1435</v>
      </c>
      <c r="E13585" t="s">
        <v>187</v>
      </c>
      <c r="F13585">
        <v>2010</v>
      </c>
      <c r="G13585">
        <v>7.4311000000000002E-2</v>
      </c>
    </row>
    <row r="13586" spans="1:7">
      <c r="A13586" t="s">
        <v>1297</v>
      </c>
      <c r="B13586" t="s">
        <v>1298</v>
      </c>
      <c r="C13586" t="s">
        <v>657</v>
      </c>
      <c r="D13586" t="s">
        <v>1435</v>
      </c>
      <c r="E13586" t="s">
        <v>187</v>
      </c>
      <c r="F13586">
        <v>2012</v>
      </c>
      <c r="G13586">
        <v>6.2913999999999998E-2</v>
      </c>
    </row>
    <row r="13587" spans="1:7">
      <c r="A13587" t="s">
        <v>1297</v>
      </c>
      <c r="B13587" t="s">
        <v>1298</v>
      </c>
      <c r="C13587" t="s">
        <v>657</v>
      </c>
      <c r="D13587" t="s">
        <v>1435</v>
      </c>
      <c r="E13587" t="s">
        <v>187</v>
      </c>
      <c r="F13587">
        <v>2016</v>
      </c>
      <c r="G13587">
        <v>6.9378999999999996E-2</v>
      </c>
    </row>
    <row r="13588" spans="1:7">
      <c r="A13588" t="s">
        <v>1297</v>
      </c>
      <c r="B13588" t="s">
        <v>1298</v>
      </c>
      <c r="C13588" t="s">
        <v>657</v>
      </c>
      <c r="D13588" t="s">
        <v>1435</v>
      </c>
      <c r="E13588" t="s">
        <v>187</v>
      </c>
      <c r="F13588">
        <v>2020</v>
      </c>
      <c r="G13588">
        <v>6.1981000000000001E-2</v>
      </c>
    </row>
    <row r="13589" spans="1:7">
      <c r="A13589" t="s">
        <v>1297</v>
      </c>
      <c r="B13589" t="s">
        <v>1298</v>
      </c>
      <c r="C13589" t="s">
        <v>656</v>
      </c>
      <c r="D13589" t="s">
        <v>1435</v>
      </c>
      <c r="E13589" t="s">
        <v>187</v>
      </c>
      <c r="F13589">
        <v>2005</v>
      </c>
      <c r="G13589">
        <v>70.696799999999996</v>
      </c>
    </row>
    <row r="13590" spans="1:7">
      <c r="A13590" t="s">
        <v>1297</v>
      </c>
      <c r="B13590" t="s">
        <v>1298</v>
      </c>
      <c r="C13590" t="s">
        <v>656</v>
      </c>
      <c r="D13590" t="s">
        <v>1435</v>
      </c>
      <c r="E13590" t="s">
        <v>187</v>
      </c>
      <c r="F13590">
        <v>2010</v>
      </c>
      <c r="G13590">
        <v>75.430800000000005</v>
      </c>
    </row>
    <row r="13591" spans="1:7">
      <c r="A13591" t="s">
        <v>1297</v>
      </c>
      <c r="B13591" t="s">
        <v>1298</v>
      </c>
      <c r="C13591" t="s">
        <v>656</v>
      </c>
      <c r="D13591" t="s">
        <v>1435</v>
      </c>
      <c r="E13591" t="s">
        <v>187</v>
      </c>
      <c r="F13591">
        <v>2012</v>
      </c>
      <c r="G13591">
        <v>78.317999999999998</v>
      </c>
    </row>
    <row r="13592" spans="1:7">
      <c r="A13592" t="s">
        <v>1297</v>
      </c>
      <c r="B13592" t="s">
        <v>1298</v>
      </c>
      <c r="C13592" t="s">
        <v>656</v>
      </c>
      <c r="D13592" t="s">
        <v>1435</v>
      </c>
      <c r="E13592" t="s">
        <v>187</v>
      </c>
      <c r="F13592">
        <v>2016</v>
      </c>
      <c r="G13592">
        <v>73.965599999999995</v>
      </c>
    </row>
    <row r="13593" spans="1:7">
      <c r="A13593" t="s">
        <v>1297</v>
      </c>
      <c r="B13593" t="s">
        <v>1298</v>
      </c>
      <c r="C13593" t="s">
        <v>656</v>
      </c>
      <c r="D13593" t="s">
        <v>1435</v>
      </c>
      <c r="E13593" t="s">
        <v>187</v>
      </c>
      <c r="F13593">
        <v>2020</v>
      </c>
      <c r="G13593">
        <v>71.031599999999997</v>
      </c>
    </row>
    <row r="13594" spans="1:7">
      <c r="A13594" t="s">
        <v>1297</v>
      </c>
      <c r="B13594" t="s">
        <v>1298</v>
      </c>
      <c r="C13594" t="s">
        <v>660</v>
      </c>
      <c r="D13594" t="s">
        <v>1435</v>
      </c>
      <c r="E13594" t="s">
        <v>187</v>
      </c>
      <c r="F13594">
        <v>2016</v>
      </c>
      <c r="G13594">
        <v>56.876857000000001</v>
      </c>
    </row>
    <row r="13595" spans="1:7">
      <c r="A13595" t="s">
        <v>1297</v>
      </c>
      <c r="B13595" t="s">
        <v>1298</v>
      </c>
      <c r="C13595" t="s">
        <v>660</v>
      </c>
      <c r="D13595" t="s">
        <v>1435</v>
      </c>
      <c r="E13595" t="s">
        <v>187</v>
      </c>
      <c r="F13595">
        <v>2020</v>
      </c>
      <c r="G13595">
        <v>44.685744999999997</v>
      </c>
    </row>
    <row r="13596" spans="1:7">
      <c r="A13596" t="s">
        <v>1297</v>
      </c>
      <c r="B13596" t="s">
        <v>1298</v>
      </c>
      <c r="C13596" t="s">
        <v>685</v>
      </c>
      <c r="D13596" t="s">
        <v>1435</v>
      </c>
      <c r="E13596" t="s">
        <v>187</v>
      </c>
      <c r="F13596">
        <v>2005</v>
      </c>
      <c r="G13596">
        <v>5.3704080000000003</v>
      </c>
    </row>
    <row r="13597" spans="1:7">
      <c r="A13597" t="s">
        <v>1297</v>
      </c>
      <c r="B13597" t="s">
        <v>1298</v>
      </c>
      <c r="C13597" t="s">
        <v>685</v>
      </c>
      <c r="D13597" t="s">
        <v>1435</v>
      </c>
      <c r="E13597" t="s">
        <v>187</v>
      </c>
      <c r="F13597">
        <v>2010</v>
      </c>
      <c r="G13597">
        <v>8.7532960000000006</v>
      </c>
    </row>
    <row r="13598" spans="1:7">
      <c r="A13598" t="s">
        <v>1297</v>
      </c>
      <c r="B13598" t="s">
        <v>1298</v>
      </c>
      <c r="C13598" t="s">
        <v>685</v>
      </c>
      <c r="D13598" t="s">
        <v>1435</v>
      </c>
      <c r="E13598" t="s">
        <v>187</v>
      </c>
      <c r="F13598">
        <v>2012</v>
      </c>
      <c r="G13598">
        <v>3.7467609999999998</v>
      </c>
    </row>
    <row r="13599" spans="1:7">
      <c r="A13599" t="s">
        <v>1297</v>
      </c>
      <c r="B13599" t="s">
        <v>1298</v>
      </c>
      <c r="C13599" t="s">
        <v>685</v>
      </c>
      <c r="D13599" t="s">
        <v>1435</v>
      </c>
      <c r="E13599" t="s">
        <v>187</v>
      </c>
      <c r="F13599">
        <v>2016</v>
      </c>
      <c r="G13599">
        <v>6.830438</v>
      </c>
    </row>
    <row r="13600" spans="1:7">
      <c r="A13600" t="s">
        <v>1297</v>
      </c>
      <c r="B13600" t="s">
        <v>1298</v>
      </c>
      <c r="C13600" t="s">
        <v>685</v>
      </c>
      <c r="D13600" t="s">
        <v>1435</v>
      </c>
      <c r="E13600" t="s">
        <v>187</v>
      </c>
      <c r="F13600">
        <v>2020</v>
      </c>
      <c r="G13600">
        <v>4.1892230000000001</v>
      </c>
    </row>
    <row r="13601" spans="1:7">
      <c r="A13601" t="s">
        <v>1297</v>
      </c>
      <c r="B13601" t="s">
        <v>1298</v>
      </c>
      <c r="C13601" t="s">
        <v>655</v>
      </c>
      <c r="D13601" t="s">
        <v>1435</v>
      </c>
      <c r="E13601" t="s">
        <v>187</v>
      </c>
      <c r="F13601">
        <v>2005</v>
      </c>
      <c r="G13601">
        <v>8.5676760000000005</v>
      </c>
    </row>
    <row r="13602" spans="1:7">
      <c r="A13602" t="s">
        <v>1297</v>
      </c>
      <c r="B13602" t="s">
        <v>1298</v>
      </c>
      <c r="C13602" t="s">
        <v>655</v>
      </c>
      <c r="D13602" t="s">
        <v>1435</v>
      </c>
      <c r="E13602" t="s">
        <v>187</v>
      </c>
      <c r="F13602">
        <v>2010</v>
      </c>
      <c r="G13602">
        <v>10.042106</v>
      </c>
    </row>
    <row r="13603" spans="1:7">
      <c r="A13603" t="s">
        <v>1297</v>
      </c>
      <c r="B13603" t="s">
        <v>1298</v>
      </c>
      <c r="C13603" t="s">
        <v>655</v>
      </c>
      <c r="D13603" t="s">
        <v>1435</v>
      </c>
      <c r="E13603" t="s">
        <v>187</v>
      </c>
      <c r="F13603">
        <v>2012</v>
      </c>
      <c r="G13603">
        <v>7.6649149999999997</v>
      </c>
    </row>
    <row r="13604" spans="1:7">
      <c r="A13604" t="s">
        <v>1297</v>
      </c>
      <c r="B13604" t="s">
        <v>1298</v>
      </c>
      <c r="C13604" t="s">
        <v>655</v>
      </c>
      <c r="D13604" t="s">
        <v>1435</v>
      </c>
      <c r="E13604" t="s">
        <v>187</v>
      </c>
      <c r="F13604">
        <v>2016</v>
      </c>
      <c r="G13604">
        <v>7.2001299999999997</v>
      </c>
    </row>
    <row r="13605" spans="1:7">
      <c r="A13605" t="s">
        <v>1297</v>
      </c>
      <c r="B13605" t="s">
        <v>1298</v>
      </c>
      <c r="C13605" t="s">
        <v>655</v>
      </c>
      <c r="D13605" t="s">
        <v>1435</v>
      </c>
      <c r="E13605" t="s">
        <v>187</v>
      </c>
      <c r="F13605">
        <v>2020</v>
      </c>
      <c r="G13605">
        <v>7.228904</v>
      </c>
    </row>
    <row r="13606" spans="1:7">
      <c r="A13606" t="s">
        <v>1297</v>
      </c>
      <c r="B13606" t="s">
        <v>1298</v>
      </c>
      <c r="C13606" t="s">
        <v>1300</v>
      </c>
      <c r="D13606" t="s">
        <v>1435</v>
      </c>
      <c r="E13606" t="s">
        <v>187</v>
      </c>
      <c r="F13606">
        <v>2010</v>
      </c>
      <c r="G13606">
        <v>0.28439999999999999</v>
      </c>
    </row>
    <row r="13607" spans="1:7">
      <c r="A13607" t="s">
        <v>1297</v>
      </c>
      <c r="B13607" t="s">
        <v>1298</v>
      </c>
      <c r="C13607" t="s">
        <v>1300</v>
      </c>
      <c r="D13607" t="s">
        <v>1435</v>
      </c>
      <c r="E13607" t="s">
        <v>187</v>
      </c>
      <c r="F13607">
        <v>2012</v>
      </c>
      <c r="G13607">
        <v>0.12201099999999999</v>
      </c>
    </row>
    <row r="13608" spans="1:7">
      <c r="A13608" t="s">
        <v>1297</v>
      </c>
      <c r="B13608" t="s">
        <v>1298</v>
      </c>
      <c r="C13608" t="s">
        <v>1300</v>
      </c>
      <c r="D13608" t="s">
        <v>1435</v>
      </c>
      <c r="E13608" t="s">
        <v>187</v>
      </c>
      <c r="F13608">
        <v>2016</v>
      </c>
      <c r="G13608">
        <v>0.14158799999999999</v>
      </c>
    </row>
    <row r="13609" spans="1:7">
      <c r="A13609" t="s">
        <v>1297</v>
      </c>
      <c r="B13609" t="s">
        <v>1298</v>
      </c>
      <c r="C13609" t="s">
        <v>1300</v>
      </c>
      <c r="D13609" t="s">
        <v>1435</v>
      </c>
      <c r="E13609" t="s">
        <v>187</v>
      </c>
      <c r="F13609">
        <v>2020</v>
      </c>
      <c r="G13609">
        <v>0.23400000000000001</v>
      </c>
    </row>
    <row r="13610" spans="1:7">
      <c r="A13610" t="s">
        <v>1297</v>
      </c>
      <c r="B13610" t="s">
        <v>1298</v>
      </c>
      <c r="C13610" t="s">
        <v>668</v>
      </c>
      <c r="D13610" t="s">
        <v>1435</v>
      </c>
      <c r="E13610" t="s">
        <v>187</v>
      </c>
      <c r="F13610">
        <v>2005</v>
      </c>
      <c r="G13610">
        <v>11.97104</v>
      </c>
    </row>
    <row r="13611" spans="1:7">
      <c r="A13611" t="s">
        <v>1297</v>
      </c>
      <c r="B13611" t="s">
        <v>1298</v>
      </c>
      <c r="C13611" t="s">
        <v>668</v>
      </c>
      <c r="D13611" t="s">
        <v>1435</v>
      </c>
      <c r="E13611" t="s">
        <v>187</v>
      </c>
      <c r="F13611">
        <v>2010</v>
      </c>
      <c r="G13611">
        <v>12.673821999999999</v>
      </c>
    </row>
    <row r="13612" spans="1:7">
      <c r="A13612" t="s">
        <v>1297</v>
      </c>
      <c r="B13612" t="s">
        <v>1298</v>
      </c>
      <c r="C13612" t="s">
        <v>668</v>
      </c>
      <c r="D13612" t="s">
        <v>1435</v>
      </c>
      <c r="E13612" t="s">
        <v>187</v>
      </c>
      <c r="F13612">
        <v>2012</v>
      </c>
      <c r="G13612">
        <v>13.345045000000001</v>
      </c>
    </row>
    <row r="13613" spans="1:7">
      <c r="A13613" t="s">
        <v>1297</v>
      </c>
      <c r="B13613" t="s">
        <v>1298</v>
      </c>
      <c r="C13613" t="s">
        <v>668</v>
      </c>
      <c r="D13613" t="s">
        <v>1435</v>
      </c>
      <c r="E13613" t="s">
        <v>187</v>
      </c>
      <c r="F13613">
        <v>2016</v>
      </c>
      <c r="G13613">
        <v>9.1062759999999994</v>
      </c>
    </row>
    <row r="13614" spans="1:7">
      <c r="A13614" t="s">
        <v>1297</v>
      </c>
      <c r="B13614" t="s">
        <v>1298</v>
      </c>
      <c r="C13614" t="s">
        <v>668</v>
      </c>
      <c r="D13614" t="s">
        <v>1435</v>
      </c>
      <c r="E13614" t="s">
        <v>187</v>
      </c>
      <c r="F13614">
        <v>2020</v>
      </c>
      <c r="G13614">
        <v>7.5871940000000002</v>
      </c>
    </row>
    <row r="13615" spans="1:7">
      <c r="A13615" t="s">
        <v>1297</v>
      </c>
      <c r="B13615" t="s">
        <v>1298</v>
      </c>
      <c r="C13615" t="s">
        <v>676</v>
      </c>
      <c r="D13615" t="s">
        <v>1435</v>
      </c>
      <c r="E13615" t="s">
        <v>187</v>
      </c>
      <c r="F13615">
        <v>2005</v>
      </c>
      <c r="G13615">
        <v>16.6968</v>
      </c>
    </row>
    <row r="13616" spans="1:7">
      <c r="A13616" t="s">
        <v>1297</v>
      </c>
      <c r="B13616" t="s">
        <v>1298</v>
      </c>
      <c r="C13616" t="s">
        <v>676</v>
      </c>
      <c r="D13616" t="s">
        <v>1435</v>
      </c>
      <c r="E13616" t="s">
        <v>187</v>
      </c>
      <c r="F13616">
        <v>2010</v>
      </c>
      <c r="G13616">
        <v>18.917999999999999</v>
      </c>
    </row>
    <row r="13617" spans="1:7">
      <c r="A13617" t="s">
        <v>1297</v>
      </c>
      <c r="B13617" t="s">
        <v>1298</v>
      </c>
      <c r="C13617" t="s">
        <v>676</v>
      </c>
      <c r="D13617" t="s">
        <v>1435</v>
      </c>
      <c r="E13617" t="s">
        <v>187</v>
      </c>
      <c r="F13617">
        <v>2012</v>
      </c>
      <c r="G13617">
        <v>14.770799999999999</v>
      </c>
    </row>
    <row r="13618" spans="1:7">
      <c r="A13618" t="s">
        <v>1297</v>
      </c>
      <c r="B13618" t="s">
        <v>1298</v>
      </c>
      <c r="C13618" t="s">
        <v>676</v>
      </c>
      <c r="D13618" t="s">
        <v>1435</v>
      </c>
      <c r="E13618" t="s">
        <v>187</v>
      </c>
      <c r="F13618">
        <v>2016</v>
      </c>
      <c r="G13618">
        <v>15.692399999999999</v>
      </c>
    </row>
    <row r="13619" spans="1:7">
      <c r="A13619" t="s">
        <v>1297</v>
      </c>
      <c r="B13619" t="s">
        <v>1298</v>
      </c>
      <c r="C13619" t="s">
        <v>676</v>
      </c>
      <c r="D13619" t="s">
        <v>1435</v>
      </c>
      <c r="E13619" t="s">
        <v>187</v>
      </c>
      <c r="F13619">
        <v>2020</v>
      </c>
      <c r="G13619">
        <v>15.6816</v>
      </c>
    </row>
    <row r="13620" spans="1:7">
      <c r="A13620" t="s">
        <v>1297</v>
      </c>
      <c r="B13620" t="s">
        <v>1298</v>
      </c>
      <c r="C13620" t="s">
        <v>1299</v>
      </c>
      <c r="D13620" t="s">
        <v>1435</v>
      </c>
      <c r="E13620" t="s">
        <v>187</v>
      </c>
      <c r="F13620">
        <v>2005</v>
      </c>
      <c r="G13620">
        <v>44.504280000000001</v>
      </c>
    </row>
    <row r="13621" spans="1:7">
      <c r="A13621" t="s">
        <v>1297</v>
      </c>
      <c r="B13621" t="s">
        <v>1298</v>
      </c>
      <c r="C13621" t="s">
        <v>1299</v>
      </c>
      <c r="D13621" t="s">
        <v>1435</v>
      </c>
      <c r="E13621" t="s">
        <v>187</v>
      </c>
      <c r="F13621">
        <v>2010</v>
      </c>
      <c r="G13621">
        <v>47.347560000000001</v>
      </c>
    </row>
    <row r="13622" spans="1:7">
      <c r="A13622" t="s">
        <v>1297</v>
      </c>
      <c r="B13622" t="s">
        <v>1298</v>
      </c>
      <c r="C13622" t="s">
        <v>1299</v>
      </c>
      <c r="D13622" t="s">
        <v>1435</v>
      </c>
      <c r="E13622" t="s">
        <v>187</v>
      </c>
      <c r="F13622">
        <v>2012</v>
      </c>
      <c r="G13622">
        <v>37.723320000000001</v>
      </c>
    </row>
    <row r="13623" spans="1:7">
      <c r="A13623" t="s">
        <v>1297</v>
      </c>
      <c r="B13623" t="s">
        <v>1298</v>
      </c>
      <c r="C13623" t="s">
        <v>1299</v>
      </c>
      <c r="D13623" t="s">
        <v>1435</v>
      </c>
      <c r="E13623" t="s">
        <v>187</v>
      </c>
      <c r="F13623">
        <v>2016</v>
      </c>
      <c r="G13623">
        <v>27.613800000000001</v>
      </c>
    </row>
    <row r="13624" spans="1:7">
      <c r="A13624" t="s">
        <v>1297</v>
      </c>
      <c r="B13624" t="s">
        <v>1298</v>
      </c>
      <c r="C13624" t="s">
        <v>1299</v>
      </c>
      <c r="D13624" t="s">
        <v>1435</v>
      </c>
      <c r="E13624" t="s">
        <v>187</v>
      </c>
      <c r="F13624">
        <v>2020</v>
      </c>
      <c r="G13624">
        <v>23.429880000000001</v>
      </c>
    </row>
    <row r="13625" spans="1:7">
      <c r="A13625" t="s">
        <v>1297</v>
      </c>
      <c r="B13625" t="s">
        <v>1298</v>
      </c>
      <c r="C13625" t="s">
        <v>677</v>
      </c>
      <c r="D13625" t="s">
        <v>1435</v>
      </c>
      <c r="E13625" t="s">
        <v>187</v>
      </c>
      <c r="F13625">
        <v>2005</v>
      </c>
      <c r="G13625">
        <v>17.716647999999999</v>
      </c>
    </row>
    <row r="13626" spans="1:7">
      <c r="A13626" t="s">
        <v>1297</v>
      </c>
      <c r="B13626" t="s">
        <v>1298</v>
      </c>
      <c r="C13626" t="s">
        <v>677</v>
      </c>
      <c r="D13626" t="s">
        <v>1435</v>
      </c>
      <c r="E13626" t="s">
        <v>187</v>
      </c>
      <c r="F13626">
        <v>2010</v>
      </c>
      <c r="G13626">
        <v>12.928788000000001</v>
      </c>
    </row>
    <row r="13627" spans="1:7">
      <c r="A13627" t="s">
        <v>1297</v>
      </c>
      <c r="B13627" t="s">
        <v>1298</v>
      </c>
      <c r="C13627" t="s">
        <v>677</v>
      </c>
      <c r="D13627" t="s">
        <v>1435</v>
      </c>
      <c r="E13627" t="s">
        <v>187</v>
      </c>
      <c r="F13627">
        <v>2012</v>
      </c>
      <c r="G13627">
        <v>19.114435</v>
      </c>
    </row>
    <row r="13628" spans="1:7">
      <c r="A13628" t="s">
        <v>1297</v>
      </c>
      <c r="B13628" t="s">
        <v>1298</v>
      </c>
      <c r="C13628" t="s">
        <v>677</v>
      </c>
      <c r="D13628" t="s">
        <v>1435</v>
      </c>
      <c r="E13628" t="s">
        <v>187</v>
      </c>
      <c r="F13628">
        <v>2016</v>
      </c>
      <c r="G13628">
        <v>19.333483000000001</v>
      </c>
    </row>
    <row r="13629" spans="1:7">
      <c r="A13629" t="s">
        <v>1297</v>
      </c>
      <c r="B13629" t="s">
        <v>1298</v>
      </c>
      <c r="C13629" t="s">
        <v>677</v>
      </c>
      <c r="D13629" t="s">
        <v>1435</v>
      </c>
      <c r="E13629" t="s">
        <v>187</v>
      </c>
      <c r="F13629">
        <v>2020</v>
      </c>
      <c r="G13629">
        <v>21.365376999999999</v>
      </c>
    </row>
    <row r="13630" spans="1:7">
      <c r="A13630" t="s">
        <v>1297</v>
      </c>
      <c r="B13630" t="s">
        <v>1298</v>
      </c>
      <c r="C13630" t="s">
        <v>670</v>
      </c>
      <c r="D13630" t="s">
        <v>1435</v>
      </c>
      <c r="E13630" t="s">
        <v>187</v>
      </c>
      <c r="F13630">
        <v>2005</v>
      </c>
      <c r="G13630">
        <v>0.31680000000000003</v>
      </c>
    </row>
    <row r="13631" spans="1:7">
      <c r="A13631" t="s">
        <v>1297</v>
      </c>
      <c r="B13631" t="s">
        <v>1298</v>
      </c>
      <c r="C13631" t="s">
        <v>670</v>
      </c>
      <c r="D13631" t="s">
        <v>1435</v>
      </c>
      <c r="E13631" t="s">
        <v>187</v>
      </c>
      <c r="F13631">
        <v>2010</v>
      </c>
      <c r="G13631">
        <v>0.378</v>
      </c>
    </row>
    <row r="13632" spans="1:7">
      <c r="A13632" t="s">
        <v>1297</v>
      </c>
      <c r="B13632" t="s">
        <v>1298</v>
      </c>
      <c r="C13632" t="s">
        <v>670</v>
      </c>
      <c r="D13632" t="s">
        <v>1435</v>
      </c>
      <c r="E13632" t="s">
        <v>187</v>
      </c>
      <c r="F13632">
        <v>2012</v>
      </c>
      <c r="G13632">
        <v>0.37579699999999999</v>
      </c>
    </row>
    <row r="13633" spans="1:7">
      <c r="A13633" t="s">
        <v>1297</v>
      </c>
      <c r="B13633" t="s">
        <v>1298</v>
      </c>
      <c r="C13633" t="s">
        <v>670</v>
      </c>
      <c r="D13633" t="s">
        <v>1435</v>
      </c>
      <c r="E13633" t="s">
        <v>187</v>
      </c>
      <c r="F13633">
        <v>2016</v>
      </c>
      <c r="G13633">
        <v>0.36028399999999999</v>
      </c>
    </row>
    <row r="13634" spans="1:7">
      <c r="A13634" t="s">
        <v>1297</v>
      </c>
      <c r="B13634" t="s">
        <v>1298</v>
      </c>
      <c r="C13634" t="s">
        <v>670</v>
      </c>
      <c r="D13634" t="s">
        <v>1435</v>
      </c>
      <c r="E13634" t="s">
        <v>187</v>
      </c>
      <c r="F13634">
        <v>2020</v>
      </c>
      <c r="G13634">
        <v>0.26705499999999999</v>
      </c>
    </row>
    <row r="13635" spans="1:7">
      <c r="A13635" t="s">
        <v>1297</v>
      </c>
      <c r="B13635" t="s">
        <v>1298</v>
      </c>
      <c r="C13635" t="s">
        <v>665</v>
      </c>
      <c r="D13635" t="s">
        <v>1435</v>
      </c>
      <c r="E13635" t="s">
        <v>187</v>
      </c>
      <c r="F13635">
        <v>2005</v>
      </c>
      <c r="G13635">
        <v>129.840239</v>
      </c>
    </row>
    <row r="13636" spans="1:7">
      <c r="A13636" t="s">
        <v>1297</v>
      </c>
      <c r="B13636" t="s">
        <v>1298</v>
      </c>
      <c r="C13636" t="s">
        <v>665</v>
      </c>
      <c r="D13636" t="s">
        <v>1435</v>
      </c>
      <c r="E13636" t="s">
        <v>187</v>
      </c>
      <c r="F13636">
        <v>2010</v>
      </c>
      <c r="G13636">
        <v>184.02035000000001</v>
      </c>
    </row>
    <row r="13637" spans="1:7">
      <c r="A13637" t="s">
        <v>1297</v>
      </c>
      <c r="B13637" t="s">
        <v>1298</v>
      </c>
      <c r="C13637" t="s">
        <v>665</v>
      </c>
      <c r="D13637" t="s">
        <v>1435</v>
      </c>
      <c r="E13637" t="s">
        <v>187</v>
      </c>
      <c r="F13637">
        <v>2012</v>
      </c>
      <c r="G13637">
        <v>150.74961500000001</v>
      </c>
    </row>
    <row r="13638" spans="1:7">
      <c r="A13638" t="s">
        <v>1297</v>
      </c>
      <c r="B13638" t="s">
        <v>1298</v>
      </c>
      <c r="C13638" t="s">
        <v>665</v>
      </c>
      <c r="D13638" t="s">
        <v>1435</v>
      </c>
      <c r="E13638" t="s">
        <v>187</v>
      </c>
      <c r="F13638">
        <v>2016</v>
      </c>
      <c r="G13638">
        <v>152.754322</v>
      </c>
    </row>
    <row r="13639" spans="1:7">
      <c r="A13639" t="s">
        <v>1297</v>
      </c>
      <c r="B13639" t="s">
        <v>1298</v>
      </c>
      <c r="C13639" t="s">
        <v>665</v>
      </c>
      <c r="D13639" t="s">
        <v>1435</v>
      </c>
      <c r="E13639" t="s">
        <v>187</v>
      </c>
      <c r="F13639">
        <v>2020</v>
      </c>
      <c r="G13639">
        <v>166.74671900000001</v>
      </c>
    </row>
    <row r="13640" spans="1:7">
      <c r="A13640" t="s">
        <v>1297</v>
      </c>
      <c r="B13640" t="s">
        <v>1298</v>
      </c>
      <c r="C13640" t="s">
        <v>681</v>
      </c>
      <c r="D13640" t="s">
        <v>1435</v>
      </c>
      <c r="E13640" t="s">
        <v>187</v>
      </c>
      <c r="F13640">
        <v>2005</v>
      </c>
      <c r="G13640">
        <v>19.3428</v>
      </c>
    </row>
    <row r="13641" spans="1:7">
      <c r="A13641" t="s">
        <v>1297</v>
      </c>
      <c r="B13641" t="s">
        <v>1298</v>
      </c>
      <c r="C13641" t="s">
        <v>681</v>
      </c>
      <c r="D13641" t="s">
        <v>1435</v>
      </c>
      <c r="E13641" t="s">
        <v>187</v>
      </c>
      <c r="F13641">
        <v>2010</v>
      </c>
      <c r="G13641">
        <v>27.241199999999999</v>
      </c>
    </row>
    <row r="13642" spans="1:7">
      <c r="A13642" t="s">
        <v>1297</v>
      </c>
      <c r="B13642" t="s">
        <v>1298</v>
      </c>
      <c r="C13642" t="s">
        <v>681</v>
      </c>
      <c r="D13642" t="s">
        <v>1435</v>
      </c>
      <c r="E13642" t="s">
        <v>187</v>
      </c>
      <c r="F13642">
        <v>2012</v>
      </c>
      <c r="G13642">
        <v>17.010000000000002</v>
      </c>
    </row>
    <row r="13643" spans="1:7">
      <c r="A13643" t="s">
        <v>1297</v>
      </c>
      <c r="B13643" t="s">
        <v>1298</v>
      </c>
      <c r="C13643" t="s">
        <v>681</v>
      </c>
      <c r="D13643" t="s">
        <v>1435</v>
      </c>
      <c r="E13643" t="s">
        <v>187</v>
      </c>
      <c r="F13643">
        <v>2016</v>
      </c>
      <c r="G13643">
        <v>28.014126999999998</v>
      </c>
    </row>
    <row r="13644" spans="1:7">
      <c r="A13644" t="s">
        <v>1297</v>
      </c>
      <c r="B13644" t="s">
        <v>1298</v>
      </c>
      <c r="C13644" t="s">
        <v>681</v>
      </c>
      <c r="D13644" t="s">
        <v>1435</v>
      </c>
      <c r="E13644" t="s">
        <v>187</v>
      </c>
      <c r="F13644">
        <v>2020</v>
      </c>
      <c r="G13644">
        <v>18.661849</v>
      </c>
    </row>
    <row r="13645" spans="1:7">
      <c r="A13645" t="s">
        <v>1297</v>
      </c>
      <c r="B13645" t="s">
        <v>1298</v>
      </c>
      <c r="C13645" t="s">
        <v>674</v>
      </c>
      <c r="D13645" t="s">
        <v>1435</v>
      </c>
      <c r="E13645" t="s">
        <v>187</v>
      </c>
      <c r="F13645">
        <v>2005</v>
      </c>
      <c r="G13645">
        <v>262.0908</v>
      </c>
    </row>
    <row r="13646" spans="1:7">
      <c r="A13646" t="s">
        <v>1297</v>
      </c>
      <c r="B13646" t="s">
        <v>1298</v>
      </c>
      <c r="C13646" t="s">
        <v>674</v>
      </c>
      <c r="D13646" t="s">
        <v>1435</v>
      </c>
      <c r="E13646" t="s">
        <v>187</v>
      </c>
      <c r="F13646">
        <v>2010</v>
      </c>
      <c r="G13646">
        <v>239.032037</v>
      </c>
    </row>
    <row r="13647" spans="1:7">
      <c r="A13647" t="s">
        <v>1297</v>
      </c>
      <c r="B13647" t="s">
        <v>1298</v>
      </c>
      <c r="C13647" t="s">
        <v>674</v>
      </c>
      <c r="D13647" t="s">
        <v>1435</v>
      </c>
      <c r="E13647" t="s">
        <v>187</v>
      </c>
      <c r="F13647">
        <v>2012</v>
      </c>
      <c r="G13647">
        <v>284.15519999999998</v>
      </c>
    </row>
    <row r="13648" spans="1:7">
      <c r="A13648" t="s">
        <v>1297</v>
      </c>
      <c r="B13648" t="s">
        <v>1298</v>
      </c>
      <c r="C13648" t="s">
        <v>674</v>
      </c>
      <c r="D13648" t="s">
        <v>1435</v>
      </c>
      <c r="E13648" t="s">
        <v>187</v>
      </c>
      <c r="F13648">
        <v>2016</v>
      </c>
      <c r="G13648">
        <v>223.263216</v>
      </c>
    </row>
    <row r="13649" spans="1:7">
      <c r="A13649" t="s">
        <v>1297</v>
      </c>
      <c r="B13649" t="s">
        <v>1298</v>
      </c>
      <c r="C13649" t="s">
        <v>674</v>
      </c>
      <c r="D13649" t="s">
        <v>1435</v>
      </c>
      <c r="E13649" t="s">
        <v>187</v>
      </c>
      <c r="F13649">
        <v>2020</v>
      </c>
      <c r="G13649">
        <v>235.3356</v>
      </c>
    </row>
    <row r="13650" spans="1:7">
      <c r="A13650" t="s">
        <v>1297</v>
      </c>
      <c r="B13650" t="s">
        <v>1298</v>
      </c>
      <c r="C13650" t="s">
        <v>675</v>
      </c>
      <c r="D13650" t="s">
        <v>1435</v>
      </c>
      <c r="E13650" t="s">
        <v>187</v>
      </c>
      <c r="F13650">
        <v>2005</v>
      </c>
      <c r="G13650">
        <v>12.459474</v>
      </c>
    </row>
    <row r="13651" spans="1:7">
      <c r="A13651" t="s">
        <v>1297</v>
      </c>
      <c r="B13651" t="s">
        <v>1298</v>
      </c>
      <c r="C13651" t="s">
        <v>675</v>
      </c>
      <c r="D13651" t="s">
        <v>1435</v>
      </c>
      <c r="E13651" t="s">
        <v>187</v>
      </c>
      <c r="F13651">
        <v>2010</v>
      </c>
      <c r="G13651">
        <v>16.264638000000001</v>
      </c>
    </row>
    <row r="13652" spans="1:7">
      <c r="A13652" t="s">
        <v>1297</v>
      </c>
      <c r="B13652" t="s">
        <v>1298</v>
      </c>
      <c r="C13652" t="s">
        <v>675</v>
      </c>
      <c r="D13652" t="s">
        <v>1435</v>
      </c>
      <c r="E13652" t="s">
        <v>187</v>
      </c>
      <c r="F13652">
        <v>2012</v>
      </c>
      <c r="G13652">
        <v>14.035918000000001</v>
      </c>
    </row>
    <row r="13653" spans="1:7">
      <c r="A13653" t="s">
        <v>1297</v>
      </c>
      <c r="B13653" t="s">
        <v>1298</v>
      </c>
      <c r="C13653" t="s">
        <v>675</v>
      </c>
      <c r="D13653" t="s">
        <v>1435</v>
      </c>
      <c r="E13653" t="s">
        <v>187</v>
      </c>
      <c r="F13653">
        <v>2016</v>
      </c>
      <c r="G13653">
        <v>16.211797000000001</v>
      </c>
    </row>
    <row r="13654" spans="1:7">
      <c r="A13654" t="s">
        <v>1297</v>
      </c>
      <c r="B13654" t="s">
        <v>1298</v>
      </c>
      <c r="C13654" t="s">
        <v>675</v>
      </c>
      <c r="D13654" t="s">
        <v>1435</v>
      </c>
      <c r="E13654" t="s">
        <v>187</v>
      </c>
      <c r="F13654">
        <v>2020</v>
      </c>
      <c r="G13654">
        <v>16.125826</v>
      </c>
    </row>
    <row r="13655" spans="1:7">
      <c r="A13655" t="s">
        <v>1297</v>
      </c>
      <c r="B13655" t="s">
        <v>1298</v>
      </c>
      <c r="C13655" t="s">
        <v>667</v>
      </c>
      <c r="D13655" t="s">
        <v>1435</v>
      </c>
      <c r="E13655" t="s">
        <v>187</v>
      </c>
      <c r="F13655">
        <v>2005</v>
      </c>
      <c r="G13655">
        <v>0.33457999999999999</v>
      </c>
    </row>
    <row r="13656" spans="1:7">
      <c r="A13656" t="s">
        <v>1297</v>
      </c>
      <c r="B13656" t="s">
        <v>1298</v>
      </c>
      <c r="C13656" t="s">
        <v>667</v>
      </c>
      <c r="D13656" t="s">
        <v>1435</v>
      </c>
      <c r="E13656" t="s">
        <v>187</v>
      </c>
      <c r="F13656">
        <v>2010</v>
      </c>
      <c r="G13656">
        <v>0.38757999999999998</v>
      </c>
    </row>
    <row r="13657" spans="1:7">
      <c r="A13657" t="s">
        <v>1297</v>
      </c>
      <c r="B13657" t="s">
        <v>1298</v>
      </c>
      <c r="C13657" t="s">
        <v>667</v>
      </c>
      <c r="D13657" t="s">
        <v>1435</v>
      </c>
      <c r="E13657" t="s">
        <v>187</v>
      </c>
      <c r="F13657">
        <v>2012</v>
      </c>
      <c r="G13657">
        <v>0.35388700000000001</v>
      </c>
    </row>
    <row r="13658" spans="1:7">
      <c r="A13658" t="s">
        <v>1297</v>
      </c>
      <c r="B13658" t="s">
        <v>1298</v>
      </c>
      <c r="C13658" t="s">
        <v>667</v>
      </c>
      <c r="D13658" t="s">
        <v>1435</v>
      </c>
      <c r="E13658" t="s">
        <v>187</v>
      </c>
      <c r="F13658">
        <v>2016</v>
      </c>
      <c r="G13658">
        <v>0.41548000000000002</v>
      </c>
    </row>
    <row r="13659" spans="1:7">
      <c r="A13659" t="s">
        <v>1297</v>
      </c>
      <c r="B13659" t="s">
        <v>1298</v>
      </c>
      <c r="C13659" t="s">
        <v>667</v>
      </c>
      <c r="D13659" t="s">
        <v>1435</v>
      </c>
      <c r="E13659" t="s">
        <v>187</v>
      </c>
      <c r="F13659">
        <v>2020</v>
      </c>
      <c r="G13659">
        <v>0.38489400000000001</v>
      </c>
    </row>
    <row r="13660" spans="1:7">
      <c r="A13660" t="s">
        <v>1297</v>
      </c>
      <c r="B13660" t="s">
        <v>1298</v>
      </c>
      <c r="C13660" t="s">
        <v>679</v>
      </c>
      <c r="D13660" t="s">
        <v>1435</v>
      </c>
      <c r="E13660" t="s">
        <v>187</v>
      </c>
      <c r="F13660">
        <v>2005</v>
      </c>
      <c r="G13660">
        <v>488.47680000000003</v>
      </c>
    </row>
    <row r="13661" spans="1:7">
      <c r="A13661" t="s">
        <v>1297</v>
      </c>
      <c r="B13661" t="s">
        <v>1298</v>
      </c>
      <c r="C13661" t="s">
        <v>679</v>
      </c>
      <c r="D13661" t="s">
        <v>1435</v>
      </c>
      <c r="E13661" t="s">
        <v>187</v>
      </c>
      <c r="F13661">
        <v>2010</v>
      </c>
      <c r="G13661">
        <v>420.2604</v>
      </c>
    </row>
    <row r="13662" spans="1:7">
      <c r="A13662" t="s">
        <v>1297</v>
      </c>
      <c r="B13662" t="s">
        <v>1298</v>
      </c>
      <c r="C13662" t="s">
        <v>679</v>
      </c>
      <c r="D13662" t="s">
        <v>1435</v>
      </c>
      <c r="E13662" t="s">
        <v>187</v>
      </c>
      <c r="F13662">
        <v>2012</v>
      </c>
      <c r="G13662">
        <v>510.20639999999997</v>
      </c>
    </row>
    <row r="13663" spans="1:7">
      <c r="A13663" t="s">
        <v>1297</v>
      </c>
      <c r="B13663" t="s">
        <v>1298</v>
      </c>
      <c r="C13663" t="s">
        <v>679</v>
      </c>
      <c r="D13663" t="s">
        <v>1435</v>
      </c>
      <c r="E13663" t="s">
        <v>187</v>
      </c>
      <c r="F13663">
        <v>2016</v>
      </c>
      <c r="G13663">
        <v>514.10519999999997</v>
      </c>
    </row>
    <row r="13664" spans="1:7">
      <c r="A13664" t="s">
        <v>1297</v>
      </c>
      <c r="B13664" t="s">
        <v>1298</v>
      </c>
      <c r="C13664" t="s">
        <v>679</v>
      </c>
      <c r="D13664" t="s">
        <v>1435</v>
      </c>
      <c r="E13664" t="s">
        <v>187</v>
      </c>
      <c r="F13664">
        <v>2020</v>
      </c>
      <c r="G13664">
        <v>451.87224099999997</v>
      </c>
    </row>
    <row r="13665" spans="1:7">
      <c r="A13665" t="s">
        <v>1297</v>
      </c>
      <c r="B13665" t="s">
        <v>1298</v>
      </c>
      <c r="C13665" t="s">
        <v>673</v>
      </c>
      <c r="D13665" t="s">
        <v>1435</v>
      </c>
      <c r="E13665" t="s">
        <v>187</v>
      </c>
      <c r="F13665">
        <v>2005</v>
      </c>
      <c r="G13665">
        <v>72.744670999999997</v>
      </c>
    </row>
    <row r="13666" spans="1:7">
      <c r="A13666" t="s">
        <v>1297</v>
      </c>
      <c r="B13666" t="s">
        <v>1298</v>
      </c>
      <c r="C13666" t="s">
        <v>673</v>
      </c>
      <c r="D13666" t="s">
        <v>1435</v>
      </c>
      <c r="E13666" t="s">
        <v>187</v>
      </c>
      <c r="F13666">
        <v>2010</v>
      </c>
      <c r="G13666">
        <v>71.578382000000005</v>
      </c>
    </row>
    <row r="13667" spans="1:7">
      <c r="A13667" t="s">
        <v>1297</v>
      </c>
      <c r="B13667" t="s">
        <v>1298</v>
      </c>
      <c r="C13667" t="s">
        <v>673</v>
      </c>
      <c r="D13667" t="s">
        <v>1435</v>
      </c>
      <c r="E13667" t="s">
        <v>187</v>
      </c>
      <c r="F13667">
        <v>2012</v>
      </c>
      <c r="G13667">
        <v>43.438657999999997</v>
      </c>
    </row>
    <row r="13668" spans="1:7">
      <c r="A13668" t="s">
        <v>1297</v>
      </c>
      <c r="B13668" t="s">
        <v>1298</v>
      </c>
      <c r="C13668" t="s">
        <v>673</v>
      </c>
      <c r="D13668" t="s">
        <v>1435</v>
      </c>
      <c r="E13668" t="s">
        <v>187</v>
      </c>
      <c r="F13668">
        <v>2016</v>
      </c>
      <c r="G13668">
        <v>64.901544999999999</v>
      </c>
    </row>
    <row r="13669" spans="1:7">
      <c r="A13669" t="s">
        <v>1297</v>
      </c>
      <c r="B13669" t="s">
        <v>1298</v>
      </c>
      <c r="C13669" t="s">
        <v>673</v>
      </c>
      <c r="D13669" t="s">
        <v>1435</v>
      </c>
      <c r="E13669" t="s">
        <v>187</v>
      </c>
      <c r="F13669">
        <v>2020</v>
      </c>
      <c r="G13669">
        <v>56.090238999999997</v>
      </c>
    </row>
    <row r="13670" spans="1:7">
      <c r="A13670" t="s">
        <v>1297</v>
      </c>
      <c r="B13670" t="s">
        <v>1298</v>
      </c>
      <c r="C13670" t="s">
        <v>651</v>
      </c>
      <c r="D13670" t="s">
        <v>1435</v>
      </c>
      <c r="E13670" t="s">
        <v>187</v>
      </c>
      <c r="F13670">
        <v>2005</v>
      </c>
      <c r="G13670">
        <v>133.542497</v>
      </c>
    </row>
    <row r="13671" spans="1:7">
      <c r="A13671" t="s">
        <v>1297</v>
      </c>
      <c r="B13671" t="s">
        <v>1298</v>
      </c>
      <c r="C13671" t="s">
        <v>651</v>
      </c>
      <c r="D13671" t="s">
        <v>1435</v>
      </c>
      <c r="E13671" t="s">
        <v>187</v>
      </c>
      <c r="F13671">
        <v>2010</v>
      </c>
      <c r="G13671">
        <v>138.108305</v>
      </c>
    </row>
    <row r="13672" spans="1:7">
      <c r="A13672" t="s">
        <v>1297</v>
      </c>
      <c r="B13672" t="s">
        <v>1298</v>
      </c>
      <c r="C13672" t="s">
        <v>651</v>
      </c>
      <c r="D13672" t="s">
        <v>1435</v>
      </c>
      <c r="E13672" t="s">
        <v>187</v>
      </c>
      <c r="F13672">
        <v>2012</v>
      </c>
      <c r="G13672">
        <v>157.85171299999999</v>
      </c>
    </row>
    <row r="13673" spans="1:7">
      <c r="A13673" t="s">
        <v>1297</v>
      </c>
      <c r="B13673" t="s">
        <v>1298</v>
      </c>
      <c r="C13673" t="s">
        <v>651</v>
      </c>
      <c r="D13673" t="s">
        <v>1435</v>
      </c>
      <c r="E13673" t="s">
        <v>187</v>
      </c>
      <c r="F13673">
        <v>2016</v>
      </c>
      <c r="G13673">
        <v>143.89681300000001</v>
      </c>
    </row>
    <row r="13674" spans="1:7">
      <c r="A13674" t="s">
        <v>1297</v>
      </c>
      <c r="B13674" t="s">
        <v>1298</v>
      </c>
      <c r="C13674" t="s">
        <v>651</v>
      </c>
      <c r="D13674" t="s">
        <v>1435</v>
      </c>
      <c r="E13674" t="s">
        <v>187</v>
      </c>
      <c r="F13674">
        <v>2020</v>
      </c>
      <c r="G13674">
        <v>145.63924600000001</v>
      </c>
    </row>
    <row r="13675" spans="1:7">
      <c r="A13675" t="s">
        <v>1297</v>
      </c>
      <c r="B13675" t="s">
        <v>1298</v>
      </c>
      <c r="C13675" t="s">
        <v>661</v>
      </c>
      <c r="D13675" t="s">
        <v>1435</v>
      </c>
      <c r="E13675" t="s">
        <v>187</v>
      </c>
      <c r="F13675">
        <v>2005</v>
      </c>
      <c r="G13675">
        <v>185.32755700000001</v>
      </c>
    </row>
    <row r="13676" spans="1:7">
      <c r="A13676" t="s">
        <v>1297</v>
      </c>
      <c r="B13676" t="s">
        <v>1298</v>
      </c>
      <c r="C13676" t="s">
        <v>661</v>
      </c>
      <c r="D13676" t="s">
        <v>1435</v>
      </c>
      <c r="E13676" t="s">
        <v>187</v>
      </c>
      <c r="F13676">
        <v>2010</v>
      </c>
      <c r="G13676">
        <v>225.76902100000001</v>
      </c>
    </row>
    <row r="13677" spans="1:7">
      <c r="A13677" t="s">
        <v>1297</v>
      </c>
      <c r="B13677" t="s">
        <v>1298</v>
      </c>
      <c r="C13677" t="s">
        <v>661</v>
      </c>
      <c r="D13677" t="s">
        <v>1435</v>
      </c>
      <c r="E13677" t="s">
        <v>187</v>
      </c>
      <c r="F13677">
        <v>2012</v>
      </c>
      <c r="G13677">
        <v>215.394588</v>
      </c>
    </row>
    <row r="13678" spans="1:7">
      <c r="A13678" t="s">
        <v>1297</v>
      </c>
      <c r="B13678" t="s">
        <v>1298</v>
      </c>
      <c r="C13678" t="s">
        <v>661</v>
      </c>
      <c r="D13678" t="s">
        <v>1435</v>
      </c>
      <c r="E13678" t="s">
        <v>187</v>
      </c>
      <c r="F13678">
        <v>2016</v>
      </c>
      <c r="G13678">
        <v>219.02115599999999</v>
      </c>
    </row>
    <row r="13679" spans="1:7">
      <c r="A13679" t="s">
        <v>1297</v>
      </c>
      <c r="B13679" t="s">
        <v>1298</v>
      </c>
      <c r="C13679" t="s">
        <v>661</v>
      </c>
      <c r="D13679" t="s">
        <v>1435</v>
      </c>
      <c r="E13679" t="s">
        <v>187</v>
      </c>
      <c r="F13679">
        <v>2020</v>
      </c>
      <c r="G13679">
        <v>204.89000799999999</v>
      </c>
    </row>
    <row r="13680" spans="1:7">
      <c r="A13680" t="s">
        <v>1297</v>
      </c>
      <c r="B13680" t="s">
        <v>1298</v>
      </c>
      <c r="C13680" t="s">
        <v>1302</v>
      </c>
      <c r="D13680" t="s">
        <v>1435</v>
      </c>
      <c r="E13680" t="s">
        <v>187</v>
      </c>
      <c r="F13680">
        <v>2005</v>
      </c>
      <c r="G13680">
        <v>0.4032</v>
      </c>
    </row>
    <row r="13681" spans="1:8">
      <c r="A13681" t="s">
        <v>1297</v>
      </c>
      <c r="B13681" t="s">
        <v>1298</v>
      </c>
      <c r="C13681" t="s">
        <v>1302</v>
      </c>
      <c r="D13681" t="s">
        <v>1435</v>
      </c>
      <c r="E13681" t="s">
        <v>187</v>
      </c>
      <c r="F13681">
        <v>2010</v>
      </c>
      <c r="G13681">
        <v>0.56159999999999999</v>
      </c>
    </row>
    <row r="13682" spans="1:8">
      <c r="A13682" t="s">
        <v>1297</v>
      </c>
      <c r="B13682" t="s">
        <v>1298</v>
      </c>
      <c r="C13682" t="s">
        <v>1302</v>
      </c>
      <c r="D13682" t="s">
        <v>1435</v>
      </c>
      <c r="E13682" t="s">
        <v>187</v>
      </c>
      <c r="F13682">
        <v>2012</v>
      </c>
      <c r="G13682">
        <v>0.344084</v>
      </c>
    </row>
    <row r="13683" spans="1:8">
      <c r="A13683" t="s">
        <v>1297</v>
      </c>
      <c r="B13683" t="s">
        <v>1298</v>
      </c>
      <c r="C13683" t="s">
        <v>1302</v>
      </c>
      <c r="D13683" t="s">
        <v>1435</v>
      </c>
      <c r="E13683" t="s">
        <v>187</v>
      </c>
      <c r="F13683">
        <v>2016</v>
      </c>
      <c r="G13683">
        <v>0.88294300000000003</v>
      </c>
    </row>
    <row r="13684" spans="1:8">
      <c r="A13684" t="s">
        <v>1297</v>
      </c>
      <c r="B13684" t="s">
        <v>1298</v>
      </c>
      <c r="C13684" t="s">
        <v>1302</v>
      </c>
      <c r="D13684" t="s">
        <v>1435</v>
      </c>
      <c r="E13684" t="s">
        <v>187</v>
      </c>
      <c r="F13684">
        <v>2020</v>
      </c>
      <c r="G13684" s="14">
        <v>0.76651199999999997</v>
      </c>
      <c r="H13684" s="14"/>
    </row>
    <row r="13685" spans="1:8">
      <c r="A13685" t="s">
        <v>1297</v>
      </c>
      <c r="B13685" t="s">
        <v>1298</v>
      </c>
      <c r="C13685" t="s">
        <v>672</v>
      </c>
      <c r="D13685" t="s">
        <v>1435</v>
      </c>
      <c r="E13685" t="s">
        <v>187</v>
      </c>
      <c r="F13685">
        <v>2005</v>
      </c>
      <c r="G13685">
        <v>17.030387000000001</v>
      </c>
    </row>
    <row r="13686" spans="1:8">
      <c r="A13686" t="s">
        <v>1297</v>
      </c>
      <c r="B13686" t="s">
        <v>1298</v>
      </c>
      <c r="C13686" t="s">
        <v>672</v>
      </c>
      <c r="D13686" t="s">
        <v>1435</v>
      </c>
      <c r="E13686" t="s">
        <v>187</v>
      </c>
      <c r="F13686">
        <v>2010</v>
      </c>
      <c r="G13686">
        <v>58.132429000000002</v>
      </c>
    </row>
    <row r="13687" spans="1:8">
      <c r="A13687" t="s">
        <v>1297</v>
      </c>
      <c r="B13687" t="s">
        <v>1298</v>
      </c>
      <c r="C13687" t="s">
        <v>672</v>
      </c>
      <c r="D13687" t="s">
        <v>1435</v>
      </c>
      <c r="E13687" t="s">
        <v>187</v>
      </c>
      <c r="F13687">
        <v>2012</v>
      </c>
      <c r="G13687">
        <v>20.241773999999999</v>
      </c>
    </row>
    <row r="13688" spans="1:8">
      <c r="A13688" t="s">
        <v>1297</v>
      </c>
      <c r="B13688" t="s">
        <v>1298</v>
      </c>
      <c r="C13688" t="s">
        <v>672</v>
      </c>
      <c r="D13688" t="s">
        <v>1435</v>
      </c>
      <c r="E13688" t="s">
        <v>187</v>
      </c>
      <c r="F13688">
        <v>2016</v>
      </c>
      <c r="G13688">
        <v>56.603963</v>
      </c>
    </row>
    <row r="13689" spans="1:8">
      <c r="A13689" t="s">
        <v>1297</v>
      </c>
      <c r="B13689" t="s">
        <v>1298</v>
      </c>
      <c r="C13689" t="s">
        <v>672</v>
      </c>
      <c r="D13689" t="s">
        <v>1435</v>
      </c>
      <c r="E13689" t="s">
        <v>187</v>
      </c>
      <c r="F13689">
        <v>2020</v>
      </c>
      <c r="G13689">
        <v>31.743770000000001</v>
      </c>
    </row>
    <row r="13690" spans="1:8">
      <c r="A13690" t="s">
        <v>1297</v>
      </c>
      <c r="B13690" t="s">
        <v>1298</v>
      </c>
      <c r="C13690" t="s">
        <v>663</v>
      </c>
      <c r="D13690" t="s">
        <v>1435</v>
      </c>
      <c r="E13690" t="s">
        <v>187</v>
      </c>
      <c r="F13690">
        <v>2005</v>
      </c>
      <c r="G13690">
        <v>0.72775100000000004</v>
      </c>
    </row>
    <row r="13691" spans="1:8">
      <c r="A13691" t="s">
        <v>1297</v>
      </c>
      <c r="B13691" t="s">
        <v>1298</v>
      </c>
      <c r="C13691" t="s">
        <v>663</v>
      </c>
      <c r="D13691" t="s">
        <v>1435</v>
      </c>
      <c r="E13691" t="s">
        <v>187</v>
      </c>
      <c r="F13691">
        <v>2010</v>
      </c>
      <c r="G13691">
        <v>0.67818199999999995</v>
      </c>
    </row>
    <row r="13692" spans="1:8">
      <c r="A13692" t="s">
        <v>1297</v>
      </c>
      <c r="B13692" t="s">
        <v>1298</v>
      </c>
      <c r="C13692" t="s">
        <v>663</v>
      </c>
      <c r="D13692" t="s">
        <v>1435</v>
      </c>
      <c r="E13692" t="s">
        <v>187</v>
      </c>
      <c r="F13692">
        <v>2012</v>
      </c>
      <c r="G13692">
        <v>0.76658000000000004</v>
      </c>
    </row>
    <row r="13693" spans="1:8">
      <c r="A13693" t="s">
        <v>1297</v>
      </c>
      <c r="B13693" t="s">
        <v>1298</v>
      </c>
      <c r="C13693" t="s">
        <v>663</v>
      </c>
      <c r="D13693" t="s">
        <v>1435</v>
      </c>
      <c r="E13693" t="s">
        <v>187</v>
      </c>
      <c r="F13693">
        <v>2016</v>
      </c>
      <c r="G13693">
        <v>0.93353399999999997</v>
      </c>
    </row>
    <row r="13694" spans="1:8">
      <c r="A13694" t="s">
        <v>1297</v>
      </c>
      <c r="B13694" t="s">
        <v>1298</v>
      </c>
      <c r="C13694" t="s">
        <v>663</v>
      </c>
      <c r="D13694" t="s">
        <v>1435</v>
      </c>
      <c r="E13694" t="s">
        <v>187</v>
      </c>
      <c r="F13694">
        <v>2020</v>
      </c>
      <c r="G13694">
        <v>0.78839999999999999</v>
      </c>
    </row>
    <row r="13695" spans="1:8">
      <c r="A13695" t="s">
        <v>1297</v>
      </c>
      <c r="B13695" t="s">
        <v>1298</v>
      </c>
      <c r="C13695" t="s">
        <v>658</v>
      </c>
      <c r="D13695" t="s">
        <v>1435</v>
      </c>
      <c r="E13695" t="s">
        <v>187</v>
      </c>
      <c r="F13695">
        <v>2005</v>
      </c>
      <c r="G13695">
        <v>7.9200000000000007E-2</v>
      </c>
    </row>
    <row r="13696" spans="1:8">
      <c r="A13696" t="s">
        <v>1297</v>
      </c>
      <c r="B13696" t="s">
        <v>1298</v>
      </c>
      <c r="C13696" t="s">
        <v>658</v>
      </c>
      <c r="D13696" t="s">
        <v>1435</v>
      </c>
      <c r="E13696" t="s">
        <v>187</v>
      </c>
      <c r="F13696">
        <v>2010</v>
      </c>
      <c r="G13696">
        <v>9.6771999999999997E-2</v>
      </c>
    </row>
    <row r="13697" spans="1:8">
      <c r="A13697" t="s">
        <v>1297</v>
      </c>
      <c r="B13697" t="s">
        <v>1298</v>
      </c>
      <c r="C13697" t="s">
        <v>658</v>
      </c>
      <c r="D13697" t="s">
        <v>1435</v>
      </c>
      <c r="E13697" t="s">
        <v>187</v>
      </c>
      <c r="F13697">
        <v>2012</v>
      </c>
      <c r="G13697">
        <v>0.15140899999999999</v>
      </c>
    </row>
    <row r="13698" spans="1:8">
      <c r="A13698" t="s">
        <v>1297</v>
      </c>
      <c r="B13698" t="s">
        <v>1298</v>
      </c>
      <c r="C13698" t="s">
        <v>658</v>
      </c>
      <c r="D13698" t="s">
        <v>1435</v>
      </c>
      <c r="E13698" t="s">
        <v>187</v>
      </c>
      <c r="F13698">
        <v>2016</v>
      </c>
      <c r="G13698">
        <v>0.126</v>
      </c>
    </row>
    <row r="13699" spans="1:8">
      <c r="A13699" t="s">
        <v>1297</v>
      </c>
      <c r="B13699" t="s">
        <v>1298</v>
      </c>
      <c r="C13699" t="s">
        <v>658</v>
      </c>
      <c r="D13699" t="s">
        <v>1435</v>
      </c>
      <c r="E13699" t="s">
        <v>187</v>
      </c>
      <c r="F13699">
        <v>2020</v>
      </c>
      <c r="G13699">
        <v>6.8400000000000002E-2</v>
      </c>
    </row>
    <row r="13700" spans="1:8">
      <c r="A13700" t="s">
        <v>1297</v>
      </c>
      <c r="B13700" t="s">
        <v>1298</v>
      </c>
      <c r="C13700" t="s">
        <v>1302</v>
      </c>
      <c r="D13700" t="s">
        <v>1436</v>
      </c>
      <c r="E13700" t="s">
        <v>187</v>
      </c>
      <c r="F13700">
        <v>2016</v>
      </c>
      <c r="G13700">
        <v>0.88294300000000003</v>
      </c>
    </row>
    <row r="13701" spans="1:8">
      <c r="A13701" t="s">
        <v>1297</v>
      </c>
      <c r="B13701" t="s">
        <v>1298</v>
      </c>
      <c r="C13701" t="s">
        <v>1302</v>
      </c>
      <c r="D13701" t="s">
        <v>1436</v>
      </c>
      <c r="E13701" t="s">
        <v>187</v>
      </c>
      <c r="F13701">
        <v>2020</v>
      </c>
      <c r="G13701">
        <v>0.76651199999999997</v>
      </c>
    </row>
    <row r="13702" spans="1:8">
      <c r="A13702" t="s">
        <v>1297</v>
      </c>
      <c r="B13702" t="s">
        <v>1298</v>
      </c>
      <c r="C13702" t="s">
        <v>672</v>
      </c>
      <c r="D13702" t="s">
        <v>1436</v>
      </c>
      <c r="E13702" t="s">
        <v>187</v>
      </c>
      <c r="F13702">
        <v>2005</v>
      </c>
      <c r="G13702">
        <v>17.030387000000001</v>
      </c>
    </row>
    <row r="13703" spans="1:8">
      <c r="A13703" t="s">
        <v>1297</v>
      </c>
      <c r="B13703" t="s">
        <v>1298</v>
      </c>
      <c r="C13703" t="s">
        <v>672</v>
      </c>
      <c r="D13703" t="s">
        <v>1436</v>
      </c>
      <c r="E13703" t="s">
        <v>187</v>
      </c>
      <c r="F13703">
        <v>2010</v>
      </c>
      <c r="G13703">
        <v>58.132429000000002</v>
      </c>
    </row>
    <row r="13704" spans="1:8">
      <c r="A13704" t="s">
        <v>1297</v>
      </c>
      <c r="B13704" t="s">
        <v>1298</v>
      </c>
      <c r="C13704" t="s">
        <v>672</v>
      </c>
      <c r="D13704" t="s">
        <v>1436</v>
      </c>
      <c r="E13704" t="s">
        <v>187</v>
      </c>
      <c r="F13704">
        <v>2012</v>
      </c>
      <c r="G13704">
        <v>20.241773999999999</v>
      </c>
    </row>
    <row r="13705" spans="1:8">
      <c r="A13705" t="s">
        <v>1297</v>
      </c>
      <c r="B13705" t="s">
        <v>1298</v>
      </c>
      <c r="C13705" t="s">
        <v>672</v>
      </c>
      <c r="D13705" t="s">
        <v>1436</v>
      </c>
      <c r="E13705" t="s">
        <v>187</v>
      </c>
      <c r="F13705">
        <v>2016</v>
      </c>
      <c r="G13705">
        <v>56.603963</v>
      </c>
    </row>
    <row r="13706" spans="1:8">
      <c r="A13706" t="s">
        <v>1297</v>
      </c>
      <c r="B13706" t="s">
        <v>1298</v>
      </c>
      <c r="C13706" t="s">
        <v>672</v>
      </c>
      <c r="D13706" t="s">
        <v>1436</v>
      </c>
      <c r="E13706" t="s">
        <v>187</v>
      </c>
      <c r="F13706">
        <v>2020</v>
      </c>
      <c r="G13706">
        <v>31.743770000000001</v>
      </c>
    </row>
    <row r="13707" spans="1:8">
      <c r="A13707" t="s">
        <v>1297</v>
      </c>
      <c r="B13707" t="s">
        <v>1298</v>
      </c>
      <c r="C13707" t="s">
        <v>663</v>
      </c>
      <c r="D13707" t="s">
        <v>1436</v>
      </c>
      <c r="E13707" t="s">
        <v>187</v>
      </c>
      <c r="F13707">
        <v>2005</v>
      </c>
      <c r="G13707">
        <v>0.72775100000000004</v>
      </c>
    </row>
    <row r="13708" spans="1:8">
      <c r="A13708" t="s">
        <v>1297</v>
      </c>
      <c r="B13708" t="s">
        <v>1298</v>
      </c>
      <c r="C13708" t="s">
        <v>663</v>
      </c>
      <c r="D13708" t="s">
        <v>1436</v>
      </c>
      <c r="E13708" t="s">
        <v>187</v>
      </c>
      <c r="F13708">
        <v>2010</v>
      </c>
      <c r="G13708">
        <v>0.67818199999999995</v>
      </c>
    </row>
    <row r="13709" spans="1:8">
      <c r="A13709" t="s">
        <v>1297</v>
      </c>
      <c r="B13709" t="s">
        <v>1298</v>
      </c>
      <c r="C13709" t="s">
        <v>663</v>
      </c>
      <c r="D13709" t="s">
        <v>1436</v>
      </c>
      <c r="E13709" t="s">
        <v>187</v>
      </c>
      <c r="F13709">
        <v>2012</v>
      </c>
      <c r="G13709" s="14">
        <v>0.76658000000000004</v>
      </c>
      <c r="H13709" s="14"/>
    </row>
    <row r="13710" spans="1:8">
      <c r="A13710" t="s">
        <v>1297</v>
      </c>
      <c r="B13710" t="s">
        <v>1298</v>
      </c>
      <c r="C13710" t="s">
        <v>663</v>
      </c>
      <c r="D13710" t="s">
        <v>1436</v>
      </c>
      <c r="E13710" t="s">
        <v>187</v>
      </c>
      <c r="F13710">
        <v>2016</v>
      </c>
      <c r="G13710">
        <v>0.93353399999999997</v>
      </c>
    </row>
    <row r="13711" spans="1:8">
      <c r="A13711" t="s">
        <v>1297</v>
      </c>
      <c r="B13711" t="s">
        <v>1298</v>
      </c>
      <c r="C13711" t="s">
        <v>663</v>
      </c>
      <c r="D13711" t="s">
        <v>1436</v>
      </c>
      <c r="E13711" t="s">
        <v>187</v>
      </c>
      <c r="F13711">
        <v>2020</v>
      </c>
      <c r="G13711">
        <v>0.78839999999999999</v>
      </c>
    </row>
    <row r="13712" spans="1:8">
      <c r="A13712" t="s">
        <v>1297</v>
      </c>
      <c r="B13712" t="s">
        <v>1298</v>
      </c>
      <c r="C13712" t="s">
        <v>658</v>
      </c>
      <c r="D13712" t="s">
        <v>1436</v>
      </c>
      <c r="E13712" t="s">
        <v>187</v>
      </c>
      <c r="F13712">
        <v>2005</v>
      </c>
      <c r="G13712">
        <v>7.9200000000000007E-2</v>
      </c>
    </row>
    <row r="13713" spans="1:8">
      <c r="A13713" t="s">
        <v>1297</v>
      </c>
      <c r="B13713" t="s">
        <v>1298</v>
      </c>
      <c r="C13713" t="s">
        <v>658</v>
      </c>
      <c r="D13713" t="s">
        <v>1436</v>
      </c>
      <c r="E13713" t="s">
        <v>187</v>
      </c>
      <c r="F13713">
        <v>2010</v>
      </c>
      <c r="G13713">
        <v>9.6771999999999997E-2</v>
      </c>
    </row>
    <row r="13714" spans="1:8">
      <c r="A13714" t="s">
        <v>1297</v>
      </c>
      <c r="B13714" t="s">
        <v>1298</v>
      </c>
      <c r="C13714" t="s">
        <v>658</v>
      </c>
      <c r="D13714" t="s">
        <v>1436</v>
      </c>
      <c r="E13714" t="s">
        <v>187</v>
      </c>
      <c r="F13714">
        <v>2012</v>
      </c>
      <c r="G13714">
        <v>0.15140899999999999</v>
      </c>
    </row>
    <row r="13715" spans="1:8">
      <c r="A13715" t="s">
        <v>1297</v>
      </c>
      <c r="B13715" t="s">
        <v>1298</v>
      </c>
      <c r="C13715" t="s">
        <v>658</v>
      </c>
      <c r="D13715" t="s">
        <v>1436</v>
      </c>
      <c r="E13715" t="s">
        <v>187</v>
      </c>
      <c r="F13715">
        <v>2016</v>
      </c>
      <c r="G13715">
        <v>0.126</v>
      </c>
    </row>
    <row r="13716" spans="1:8">
      <c r="A13716" t="s">
        <v>1297</v>
      </c>
      <c r="B13716" t="s">
        <v>1298</v>
      </c>
      <c r="C13716" t="s">
        <v>658</v>
      </c>
      <c r="D13716" t="s">
        <v>1436</v>
      </c>
      <c r="E13716" t="s">
        <v>187</v>
      </c>
      <c r="F13716">
        <v>2020</v>
      </c>
      <c r="G13716">
        <v>6.8400000000000002E-2</v>
      </c>
    </row>
    <row r="13717" spans="1:8">
      <c r="A13717" t="s">
        <v>1297</v>
      </c>
      <c r="B13717" t="s">
        <v>1298</v>
      </c>
      <c r="C13717" t="s">
        <v>666</v>
      </c>
      <c r="D13717" t="s">
        <v>1436</v>
      </c>
      <c r="E13717" t="s">
        <v>187</v>
      </c>
      <c r="F13717">
        <v>2005</v>
      </c>
      <c r="G13717">
        <v>1.6235999999999999</v>
      </c>
    </row>
    <row r="13718" spans="1:8">
      <c r="A13718" t="s">
        <v>1297</v>
      </c>
      <c r="B13718" t="s">
        <v>1298</v>
      </c>
      <c r="C13718" t="s">
        <v>666</v>
      </c>
      <c r="D13718" t="s">
        <v>1436</v>
      </c>
      <c r="E13718" t="s">
        <v>187</v>
      </c>
      <c r="F13718">
        <v>2010</v>
      </c>
      <c r="G13718">
        <v>1.944</v>
      </c>
    </row>
    <row r="13719" spans="1:8">
      <c r="A13719" t="s">
        <v>1297</v>
      </c>
      <c r="B13719" t="s">
        <v>1298</v>
      </c>
      <c r="C13719" t="s">
        <v>666</v>
      </c>
      <c r="D13719" t="s">
        <v>1436</v>
      </c>
      <c r="E13719" t="s">
        <v>187</v>
      </c>
      <c r="F13719">
        <v>2012</v>
      </c>
      <c r="G13719">
        <v>1.5227999999999999</v>
      </c>
    </row>
    <row r="13720" spans="1:8">
      <c r="A13720" t="s">
        <v>1297</v>
      </c>
      <c r="B13720" t="s">
        <v>1298</v>
      </c>
      <c r="C13720" t="s">
        <v>666</v>
      </c>
      <c r="D13720" t="s">
        <v>1436</v>
      </c>
      <c r="E13720" t="s">
        <v>187</v>
      </c>
      <c r="F13720">
        <v>2016</v>
      </c>
      <c r="G13720">
        <v>1.6344000000000001</v>
      </c>
    </row>
    <row r="13721" spans="1:8">
      <c r="A13721" t="s">
        <v>1297</v>
      </c>
      <c r="B13721" t="s">
        <v>1298</v>
      </c>
      <c r="C13721" t="s">
        <v>666</v>
      </c>
      <c r="D13721" t="s">
        <v>1436</v>
      </c>
      <c r="E13721" t="s">
        <v>187</v>
      </c>
      <c r="F13721">
        <v>2020</v>
      </c>
      <c r="G13721">
        <v>1.2434400000000001</v>
      </c>
    </row>
    <row r="13722" spans="1:8">
      <c r="A13722" t="s">
        <v>1297</v>
      </c>
      <c r="B13722" t="s">
        <v>1298</v>
      </c>
      <c r="C13722" t="s">
        <v>685</v>
      </c>
      <c r="D13722" t="s">
        <v>1436</v>
      </c>
      <c r="E13722" t="s">
        <v>187</v>
      </c>
      <c r="F13722">
        <v>2020</v>
      </c>
      <c r="G13722">
        <v>4.1892230000000001</v>
      </c>
    </row>
    <row r="13723" spans="1:8">
      <c r="A13723" t="s">
        <v>1297</v>
      </c>
      <c r="B13723" t="s">
        <v>1298</v>
      </c>
      <c r="C13723" t="s">
        <v>664</v>
      </c>
      <c r="D13723" t="s">
        <v>1436</v>
      </c>
      <c r="E13723" t="s">
        <v>187</v>
      </c>
      <c r="F13723">
        <v>2005</v>
      </c>
      <c r="G13723">
        <v>2.2725360000000001</v>
      </c>
    </row>
    <row r="13724" spans="1:8">
      <c r="A13724" t="s">
        <v>1297</v>
      </c>
      <c r="B13724" t="s">
        <v>1298</v>
      </c>
      <c r="C13724" t="s">
        <v>664</v>
      </c>
      <c r="D13724" t="s">
        <v>1436</v>
      </c>
      <c r="E13724" t="s">
        <v>187</v>
      </c>
      <c r="F13724">
        <v>2010</v>
      </c>
      <c r="G13724">
        <v>2.157232</v>
      </c>
    </row>
    <row r="13725" spans="1:8">
      <c r="A13725" t="s">
        <v>1297</v>
      </c>
      <c r="B13725" t="s">
        <v>1298</v>
      </c>
      <c r="C13725" t="s">
        <v>664</v>
      </c>
      <c r="D13725" t="s">
        <v>1436</v>
      </c>
      <c r="E13725" t="s">
        <v>187</v>
      </c>
      <c r="F13725">
        <v>2012</v>
      </c>
      <c r="G13725">
        <v>2.8884560000000001</v>
      </c>
    </row>
    <row r="13726" spans="1:8">
      <c r="A13726" t="s">
        <v>1297</v>
      </c>
      <c r="B13726" t="s">
        <v>1298</v>
      </c>
      <c r="C13726" t="s">
        <v>664</v>
      </c>
      <c r="D13726" t="s">
        <v>1436</v>
      </c>
      <c r="E13726" t="s">
        <v>187</v>
      </c>
      <c r="F13726">
        <v>2016</v>
      </c>
      <c r="G13726" s="14">
        <v>2.4516900000000001</v>
      </c>
      <c r="H13726" s="14"/>
    </row>
    <row r="13727" spans="1:8">
      <c r="A13727" t="s">
        <v>1297</v>
      </c>
      <c r="B13727" t="s">
        <v>1298</v>
      </c>
      <c r="C13727" t="s">
        <v>664</v>
      </c>
      <c r="D13727" t="s">
        <v>1436</v>
      </c>
      <c r="E13727" t="s">
        <v>187</v>
      </c>
      <c r="F13727">
        <v>2020</v>
      </c>
      <c r="G13727">
        <v>3.1917019999999998</v>
      </c>
    </row>
    <row r="13728" spans="1:8">
      <c r="A13728" t="s">
        <v>1297</v>
      </c>
      <c r="B13728" t="s">
        <v>1298</v>
      </c>
      <c r="C13728" t="s">
        <v>1303</v>
      </c>
      <c r="D13728" t="s">
        <v>1436</v>
      </c>
      <c r="E13728" t="s">
        <v>187</v>
      </c>
      <c r="F13728">
        <v>2016</v>
      </c>
      <c r="G13728">
        <v>33.585267999999999</v>
      </c>
    </row>
    <row r="13729" spans="1:7">
      <c r="A13729" t="s">
        <v>1297</v>
      </c>
      <c r="B13729" t="s">
        <v>1298</v>
      </c>
      <c r="C13729" t="s">
        <v>1303</v>
      </c>
      <c r="D13729" t="s">
        <v>1436</v>
      </c>
      <c r="E13729" t="s">
        <v>187</v>
      </c>
      <c r="F13729">
        <v>2020</v>
      </c>
      <c r="G13729">
        <v>32.154119999999999</v>
      </c>
    </row>
    <row r="13730" spans="1:7">
      <c r="A13730" t="s">
        <v>1297</v>
      </c>
      <c r="B13730" t="s">
        <v>1298</v>
      </c>
      <c r="C13730" t="s">
        <v>680</v>
      </c>
      <c r="D13730" t="s">
        <v>1436</v>
      </c>
      <c r="E13730" t="s">
        <v>187</v>
      </c>
      <c r="F13730">
        <v>2005</v>
      </c>
      <c r="G13730">
        <v>25.26943</v>
      </c>
    </row>
    <row r="13731" spans="1:7">
      <c r="A13731" t="s">
        <v>1297</v>
      </c>
      <c r="B13731" t="s">
        <v>1298</v>
      </c>
      <c r="C13731" t="s">
        <v>680</v>
      </c>
      <c r="D13731" t="s">
        <v>1436</v>
      </c>
      <c r="E13731" t="s">
        <v>187</v>
      </c>
      <c r="F13731">
        <v>2010</v>
      </c>
      <c r="G13731">
        <v>45.331491999999997</v>
      </c>
    </row>
    <row r="13732" spans="1:7">
      <c r="A13732" t="s">
        <v>1297</v>
      </c>
      <c r="B13732" t="s">
        <v>1298</v>
      </c>
      <c r="C13732" t="s">
        <v>680</v>
      </c>
      <c r="D13732" t="s">
        <v>1436</v>
      </c>
      <c r="E13732" t="s">
        <v>187</v>
      </c>
      <c r="F13732">
        <v>2012</v>
      </c>
      <c r="G13732">
        <v>44.411504000000001</v>
      </c>
    </row>
    <row r="13733" spans="1:7">
      <c r="A13733" t="s">
        <v>1297</v>
      </c>
      <c r="B13733" t="s">
        <v>1298</v>
      </c>
      <c r="C13733" t="s">
        <v>680</v>
      </c>
      <c r="D13733" t="s">
        <v>1436</v>
      </c>
      <c r="E13733" t="s">
        <v>187</v>
      </c>
      <c r="F13733">
        <v>2016</v>
      </c>
      <c r="G13733">
        <v>48.490546000000002</v>
      </c>
    </row>
    <row r="13734" spans="1:7">
      <c r="A13734" t="s">
        <v>1297</v>
      </c>
      <c r="B13734" t="s">
        <v>1298</v>
      </c>
      <c r="C13734" t="s">
        <v>680</v>
      </c>
      <c r="D13734" t="s">
        <v>1436</v>
      </c>
      <c r="E13734" t="s">
        <v>187</v>
      </c>
      <c r="F13734">
        <v>2020</v>
      </c>
      <c r="G13734">
        <v>48.461278</v>
      </c>
    </row>
    <row r="13735" spans="1:7">
      <c r="A13735" t="s">
        <v>1297</v>
      </c>
      <c r="B13735" t="s">
        <v>1298</v>
      </c>
      <c r="C13735" t="s">
        <v>656</v>
      </c>
      <c r="D13735" t="s">
        <v>1436</v>
      </c>
      <c r="E13735" t="s">
        <v>187</v>
      </c>
      <c r="F13735">
        <v>2005</v>
      </c>
      <c r="G13735">
        <v>70.696799999999996</v>
      </c>
    </row>
    <row r="13736" spans="1:7">
      <c r="A13736" t="s">
        <v>1297</v>
      </c>
      <c r="B13736" t="s">
        <v>1298</v>
      </c>
      <c r="C13736" t="s">
        <v>656</v>
      </c>
      <c r="D13736" t="s">
        <v>1436</v>
      </c>
      <c r="E13736" t="s">
        <v>187</v>
      </c>
      <c r="F13736">
        <v>2010</v>
      </c>
      <c r="G13736">
        <v>75.430800000000005</v>
      </c>
    </row>
    <row r="13737" spans="1:7">
      <c r="A13737" t="s">
        <v>1297</v>
      </c>
      <c r="B13737" t="s">
        <v>1298</v>
      </c>
      <c r="C13737" t="s">
        <v>656</v>
      </c>
      <c r="D13737" t="s">
        <v>1436</v>
      </c>
      <c r="E13737" t="s">
        <v>187</v>
      </c>
      <c r="F13737">
        <v>2012</v>
      </c>
      <c r="G13737">
        <v>78.317999999999998</v>
      </c>
    </row>
    <row r="13738" spans="1:7">
      <c r="A13738" t="s">
        <v>1297</v>
      </c>
      <c r="B13738" t="s">
        <v>1298</v>
      </c>
      <c r="C13738" t="s">
        <v>656</v>
      </c>
      <c r="D13738" t="s">
        <v>1436</v>
      </c>
      <c r="E13738" t="s">
        <v>187</v>
      </c>
      <c r="F13738">
        <v>2016</v>
      </c>
      <c r="G13738">
        <v>73.965599999999995</v>
      </c>
    </row>
    <row r="13739" spans="1:7">
      <c r="A13739" t="s">
        <v>1297</v>
      </c>
      <c r="B13739" t="s">
        <v>1298</v>
      </c>
      <c r="C13739" t="s">
        <v>656</v>
      </c>
      <c r="D13739" t="s">
        <v>1436</v>
      </c>
      <c r="E13739" t="s">
        <v>187</v>
      </c>
      <c r="F13739">
        <v>2020</v>
      </c>
      <c r="G13739">
        <v>71.031599999999997</v>
      </c>
    </row>
    <row r="13740" spans="1:7">
      <c r="A13740" t="s">
        <v>1297</v>
      </c>
      <c r="B13740" t="s">
        <v>1298</v>
      </c>
      <c r="C13740" t="s">
        <v>671</v>
      </c>
      <c r="D13740" t="s">
        <v>1436</v>
      </c>
      <c r="E13740" t="s">
        <v>187</v>
      </c>
      <c r="F13740">
        <v>2005</v>
      </c>
      <c r="G13740">
        <v>7.9231860000000003</v>
      </c>
    </row>
    <row r="13741" spans="1:7">
      <c r="A13741" t="s">
        <v>1297</v>
      </c>
      <c r="B13741" t="s">
        <v>1298</v>
      </c>
      <c r="C13741" t="s">
        <v>671</v>
      </c>
      <c r="D13741" t="s">
        <v>1436</v>
      </c>
      <c r="E13741" t="s">
        <v>187</v>
      </c>
      <c r="F13741">
        <v>2010</v>
      </c>
      <c r="G13741">
        <v>10.511791000000001</v>
      </c>
    </row>
    <row r="13742" spans="1:7">
      <c r="A13742" t="s">
        <v>1297</v>
      </c>
      <c r="B13742" t="s">
        <v>1298</v>
      </c>
      <c r="C13742" t="s">
        <v>671</v>
      </c>
      <c r="D13742" t="s">
        <v>1436</v>
      </c>
      <c r="E13742" t="s">
        <v>187</v>
      </c>
      <c r="F13742">
        <v>2012</v>
      </c>
      <c r="G13742">
        <v>7.3323140000000002</v>
      </c>
    </row>
    <row r="13743" spans="1:7">
      <c r="A13743" t="s">
        <v>1297</v>
      </c>
      <c r="B13743" t="s">
        <v>1298</v>
      </c>
      <c r="C13743" t="s">
        <v>671</v>
      </c>
      <c r="D13743" t="s">
        <v>1436</v>
      </c>
      <c r="E13743" t="s">
        <v>187</v>
      </c>
      <c r="F13743">
        <v>2016</v>
      </c>
      <c r="G13743">
        <v>7.7020059999999999</v>
      </c>
    </row>
    <row r="13744" spans="1:7">
      <c r="A13744" t="s">
        <v>1297</v>
      </c>
      <c r="B13744" t="s">
        <v>1298</v>
      </c>
      <c r="C13744" t="s">
        <v>671</v>
      </c>
      <c r="D13744" t="s">
        <v>1436</v>
      </c>
      <c r="E13744" t="s">
        <v>187</v>
      </c>
      <c r="F13744">
        <v>2020</v>
      </c>
      <c r="G13744">
        <v>7.0502979999999997</v>
      </c>
    </row>
    <row r="13745" spans="1:7">
      <c r="A13745" t="s">
        <v>1297</v>
      </c>
      <c r="B13745" t="s">
        <v>1298</v>
      </c>
      <c r="C13745" t="s">
        <v>1301</v>
      </c>
      <c r="D13745" t="s">
        <v>1436</v>
      </c>
      <c r="E13745" t="s">
        <v>187</v>
      </c>
      <c r="F13745">
        <v>2005</v>
      </c>
      <c r="G13745">
        <v>142.41816</v>
      </c>
    </row>
    <row r="13746" spans="1:7">
      <c r="A13746" t="s">
        <v>1297</v>
      </c>
      <c r="B13746" t="s">
        <v>1298</v>
      </c>
      <c r="C13746" t="s">
        <v>1301</v>
      </c>
      <c r="D13746" t="s">
        <v>1436</v>
      </c>
      <c r="E13746" t="s">
        <v>187</v>
      </c>
      <c r="F13746">
        <v>2010</v>
      </c>
      <c r="G13746">
        <v>186.46355199999999</v>
      </c>
    </row>
    <row r="13747" spans="1:7">
      <c r="A13747" t="s">
        <v>1297</v>
      </c>
      <c r="B13747" t="s">
        <v>1298</v>
      </c>
      <c r="C13747" t="s">
        <v>1301</v>
      </c>
      <c r="D13747" t="s">
        <v>1436</v>
      </c>
      <c r="E13747" t="s">
        <v>187</v>
      </c>
      <c r="F13747">
        <v>2012</v>
      </c>
      <c r="G13747">
        <v>208.313827</v>
      </c>
    </row>
    <row r="13748" spans="1:7">
      <c r="A13748" t="s">
        <v>1297</v>
      </c>
      <c r="B13748" t="s">
        <v>1298</v>
      </c>
      <c r="C13748" t="s">
        <v>1301</v>
      </c>
      <c r="D13748" t="s">
        <v>1436</v>
      </c>
      <c r="E13748" t="s">
        <v>187</v>
      </c>
      <c r="F13748">
        <v>2016</v>
      </c>
      <c r="G13748">
        <v>242.03117900000001</v>
      </c>
    </row>
    <row r="13749" spans="1:7">
      <c r="A13749" t="s">
        <v>1297</v>
      </c>
      <c r="B13749" t="s">
        <v>1298</v>
      </c>
      <c r="C13749" t="s">
        <v>289</v>
      </c>
      <c r="D13749" t="s">
        <v>1436</v>
      </c>
      <c r="E13749" t="s">
        <v>187</v>
      </c>
      <c r="F13749">
        <v>2005</v>
      </c>
      <c r="G13749">
        <v>25.3278</v>
      </c>
    </row>
    <row r="13750" spans="1:7">
      <c r="A13750" t="s">
        <v>1297</v>
      </c>
      <c r="B13750" t="s">
        <v>1298</v>
      </c>
      <c r="C13750" t="s">
        <v>655</v>
      </c>
      <c r="D13750" t="s">
        <v>1436</v>
      </c>
      <c r="E13750" t="s">
        <v>187</v>
      </c>
      <c r="F13750">
        <v>2020</v>
      </c>
      <c r="G13750">
        <v>7.228904</v>
      </c>
    </row>
    <row r="13751" spans="1:7">
      <c r="A13751" t="s">
        <v>1297</v>
      </c>
      <c r="B13751" t="s">
        <v>1298</v>
      </c>
      <c r="C13751" t="s">
        <v>682</v>
      </c>
      <c r="D13751" t="s">
        <v>1436</v>
      </c>
      <c r="E13751" t="s">
        <v>187</v>
      </c>
      <c r="F13751">
        <v>2020</v>
      </c>
      <c r="G13751">
        <v>21.9636</v>
      </c>
    </row>
    <row r="13752" spans="1:7">
      <c r="A13752" t="s">
        <v>1297</v>
      </c>
      <c r="B13752" t="s">
        <v>1298</v>
      </c>
      <c r="C13752" t="s">
        <v>289</v>
      </c>
      <c r="D13752" t="s">
        <v>1436</v>
      </c>
      <c r="E13752" t="s">
        <v>187</v>
      </c>
      <c r="F13752">
        <v>2010</v>
      </c>
      <c r="G13752">
        <v>32.854331000000002</v>
      </c>
    </row>
    <row r="13753" spans="1:7">
      <c r="A13753" t="s">
        <v>1297</v>
      </c>
      <c r="B13753" t="s">
        <v>1298</v>
      </c>
      <c r="C13753" t="s">
        <v>289</v>
      </c>
      <c r="D13753" t="s">
        <v>1436</v>
      </c>
      <c r="E13753" t="s">
        <v>187</v>
      </c>
      <c r="F13753">
        <v>2012</v>
      </c>
      <c r="G13753">
        <v>17.412839999999999</v>
      </c>
    </row>
    <row r="13754" spans="1:7">
      <c r="A13754" t="s">
        <v>1297</v>
      </c>
      <c r="B13754" t="s">
        <v>1298</v>
      </c>
      <c r="C13754" t="s">
        <v>289</v>
      </c>
      <c r="D13754" t="s">
        <v>1436</v>
      </c>
      <c r="E13754" t="s">
        <v>187</v>
      </c>
      <c r="F13754">
        <v>2016</v>
      </c>
      <c r="G13754">
        <v>24.667556000000001</v>
      </c>
    </row>
    <row r="13755" spans="1:7">
      <c r="A13755" t="s">
        <v>1297</v>
      </c>
      <c r="B13755" t="s">
        <v>1298</v>
      </c>
      <c r="C13755" t="s">
        <v>289</v>
      </c>
      <c r="D13755" t="s">
        <v>1436</v>
      </c>
      <c r="E13755" t="s">
        <v>187</v>
      </c>
      <c r="F13755">
        <v>2020</v>
      </c>
      <c r="G13755">
        <v>20.973960000000002</v>
      </c>
    </row>
    <row r="13756" spans="1:7">
      <c r="A13756" t="s">
        <v>1297</v>
      </c>
      <c r="B13756" t="s">
        <v>1298</v>
      </c>
      <c r="C13756" t="s">
        <v>653</v>
      </c>
      <c r="D13756" t="s">
        <v>1436</v>
      </c>
      <c r="E13756" t="s">
        <v>187</v>
      </c>
      <c r="F13756">
        <v>2005</v>
      </c>
      <c r="G13756">
        <v>15.470741</v>
      </c>
    </row>
    <row r="13757" spans="1:7">
      <c r="A13757" t="s">
        <v>1297</v>
      </c>
      <c r="B13757" t="s">
        <v>1298</v>
      </c>
      <c r="C13757" t="s">
        <v>653</v>
      </c>
      <c r="D13757" t="s">
        <v>1436</v>
      </c>
      <c r="E13757" t="s">
        <v>187</v>
      </c>
      <c r="F13757">
        <v>2010</v>
      </c>
      <c r="G13757">
        <v>18.112828</v>
      </c>
    </row>
    <row r="13758" spans="1:7">
      <c r="A13758" t="s">
        <v>1297</v>
      </c>
      <c r="B13758" t="s">
        <v>1298</v>
      </c>
      <c r="C13758" t="s">
        <v>653</v>
      </c>
      <c r="D13758" t="s">
        <v>1436</v>
      </c>
      <c r="E13758" t="s">
        <v>187</v>
      </c>
      <c r="F13758">
        <v>2012</v>
      </c>
      <c r="G13758">
        <v>11.439489999999999</v>
      </c>
    </row>
    <row r="13759" spans="1:7">
      <c r="A13759" t="s">
        <v>1297</v>
      </c>
      <c r="B13759" t="s">
        <v>1298</v>
      </c>
      <c r="C13759" t="s">
        <v>653</v>
      </c>
      <c r="D13759" t="s">
        <v>1436</v>
      </c>
      <c r="E13759" t="s">
        <v>187</v>
      </c>
      <c r="F13759">
        <v>2016</v>
      </c>
      <c r="G13759">
        <v>13.967430999999999</v>
      </c>
    </row>
    <row r="13760" spans="1:7">
      <c r="A13760" t="s">
        <v>1297</v>
      </c>
      <c r="B13760" t="s">
        <v>1298</v>
      </c>
      <c r="C13760" t="s">
        <v>653</v>
      </c>
      <c r="D13760" t="s">
        <v>1436</v>
      </c>
      <c r="E13760" t="s">
        <v>187</v>
      </c>
      <c r="F13760">
        <v>2020</v>
      </c>
      <c r="G13760">
        <v>10.546196</v>
      </c>
    </row>
    <row r="13761" spans="1:7">
      <c r="A13761" t="s">
        <v>1297</v>
      </c>
      <c r="B13761" t="s">
        <v>1298</v>
      </c>
      <c r="C13761" t="s">
        <v>682</v>
      </c>
      <c r="D13761" t="s">
        <v>1436</v>
      </c>
      <c r="E13761" t="s">
        <v>187</v>
      </c>
      <c r="F13761">
        <v>2016</v>
      </c>
      <c r="G13761">
        <v>20.307600000000001</v>
      </c>
    </row>
    <row r="13762" spans="1:7">
      <c r="A13762" t="s">
        <v>1297</v>
      </c>
      <c r="B13762" t="s">
        <v>1298</v>
      </c>
      <c r="C13762" t="s">
        <v>661</v>
      </c>
      <c r="D13762" t="s">
        <v>1436</v>
      </c>
      <c r="E13762" t="s">
        <v>187</v>
      </c>
      <c r="F13762">
        <v>2005</v>
      </c>
      <c r="G13762">
        <v>185.32755700000001</v>
      </c>
    </row>
    <row r="13763" spans="1:7">
      <c r="A13763" t="s">
        <v>1297</v>
      </c>
      <c r="B13763" t="s">
        <v>1298</v>
      </c>
      <c r="C13763" t="s">
        <v>661</v>
      </c>
      <c r="D13763" t="s">
        <v>1436</v>
      </c>
      <c r="E13763" t="s">
        <v>187</v>
      </c>
      <c r="F13763">
        <v>2010</v>
      </c>
      <c r="G13763">
        <v>225.76902100000001</v>
      </c>
    </row>
    <row r="13764" spans="1:7">
      <c r="A13764" t="s">
        <v>1297</v>
      </c>
      <c r="B13764" t="s">
        <v>1298</v>
      </c>
      <c r="C13764" t="s">
        <v>660</v>
      </c>
      <c r="D13764" t="s">
        <v>1436</v>
      </c>
      <c r="E13764" t="s">
        <v>187</v>
      </c>
      <c r="F13764">
        <v>2005</v>
      </c>
      <c r="G13764">
        <v>49.622399999999999</v>
      </c>
    </row>
    <row r="13765" spans="1:7">
      <c r="A13765" t="s">
        <v>1297</v>
      </c>
      <c r="B13765" t="s">
        <v>1298</v>
      </c>
      <c r="C13765" t="s">
        <v>660</v>
      </c>
      <c r="D13765" t="s">
        <v>1436</v>
      </c>
      <c r="E13765" t="s">
        <v>187</v>
      </c>
      <c r="F13765">
        <v>2010</v>
      </c>
      <c r="G13765">
        <v>46.519177999999997</v>
      </c>
    </row>
    <row r="13766" spans="1:7">
      <c r="A13766" t="s">
        <v>1297</v>
      </c>
      <c r="B13766" t="s">
        <v>1298</v>
      </c>
      <c r="C13766" t="s">
        <v>660</v>
      </c>
      <c r="D13766" t="s">
        <v>1436</v>
      </c>
      <c r="E13766" t="s">
        <v>187</v>
      </c>
      <c r="F13766">
        <v>2012</v>
      </c>
      <c r="G13766">
        <v>60.692861000000001</v>
      </c>
    </row>
    <row r="13767" spans="1:7">
      <c r="A13767" t="s">
        <v>1297</v>
      </c>
      <c r="B13767" t="s">
        <v>1298</v>
      </c>
      <c r="C13767" t="s">
        <v>660</v>
      </c>
      <c r="D13767" t="s">
        <v>1436</v>
      </c>
      <c r="E13767" t="s">
        <v>187</v>
      </c>
      <c r="F13767">
        <v>2016</v>
      </c>
      <c r="G13767">
        <v>56.876857000000001</v>
      </c>
    </row>
    <row r="13768" spans="1:7">
      <c r="A13768" t="s">
        <v>1297</v>
      </c>
      <c r="B13768" t="s">
        <v>1298</v>
      </c>
      <c r="C13768" t="s">
        <v>660</v>
      </c>
      <c r="D13768" t="s">
        <v>1436</v>
      </c>
      <c r="E13768" t="s">
        <v>187</v>
      </c>
      <c r="F13768">
        <v>2020</v>
      </c>
      <c r="G13768">
        <v>44.685744999999997</v>
      </c>
    </row>
    <row r="13769" spans="1:7">
      <c r="A13769" t="s">
        <v>1297</v>
      </c>
      <c r="B13769" t="s">
        <v>1298</v>
      </c>
      <c r="C13769" t="s">
        <v>659</v>
      </c>
      <c r="D13769" t="s">
        <v>1436</v>
      </c>
      <c r="E13769" t="s">
        <v>187</v>
      </c>
      <c r="F13769">
        <v>2005</v>
      </c>
      <c r="G13769">
        <v>66.214799999999997</v>
      </c>
    </row>
    <row r="13770" spans="1:7">
      <c r="A13770" t="s">
        <v>1297</v>
      </c>
      <c r="B13770" t="s">
        <v>1298</v>
      </c>
      <c r="C13770" t="s">
        <v>659</v>
      </c>
      <c r="D13770" t="s">
        <v>1436</v>
      </c>
      <c r="E13770" t="s">
        <v>187</v>
      </c>
      <c r="F13770">
        <v>2010</v>
      </c>
      <c r="G13770">
        <v>152.2944</v>
      </c>
    </row>
    <row r="13771" spans="1:7">
      <c r="A13771" t="s">
        <v>1297</v>
      </c>
      <c r="B13771" t="s">
        <v>1298</v>
      </c>
      <c r="C13771" t="s">
        <v>659</v>
      </c>
      <c r="D13771" t="s">
        <v>1436</v>
      </c>
      <c r="E13771" t="s">
        <v>187</v>
      </c>
      <c r="F13771">
        <v>2012</v>
      </c>
      <c r="G13771">
        <v>73.962000000000003</v>
      </c>
    </row>
    <row r="13772" spans="1:7">
      <c r="A13772" t="s">
        <v>1297</v>
      </c>
      <c r="B13772" t="s">
        <v>1298</v>
      </c>
      <c r="C13772" t="s">
        <v>659</v>
      </c>
      <c r="D13772" t="s">
        <v>1436</v>
      </c>
      <c r="E13772" t="s">
        <v>187</v>
      </c>
      <c r="F13772">
        <v>2016</v>
      </c>
      <c r="G13772">
        <v>131.02328499999999</v>
      </c>
    </row>
    <row r="13773" spans="1:7">
      <c r="A13773" t="s">
        <v>1297</v>
      </c>
      <c r="B13773" t="s">
        <v>1298</v>
      </c>
      <c r="C13773" t="s">
        <v>659</v>
      </c>
      <c r="D13773" t="s">
        <v>1436</v>
      </c>
      <c r="E13773" t="s">
        <v>187</v>
      </c>
      <c r="F13773">
        <v>2020</v>
      </c>
      <c r="G13773">
        <v>88.7256</v>
      </c>
    </row>
    <row r="13774" spans="1:7">
      <c r="A13774" t="s">
        <v>1297</v>
      </c>
      <c r="B13774" t="s">
        <v>1298</v>
      </c>
      <c r="C13774" t="s">
        <v>684</v>
      </c>
      <c r="D13774" t="s">
        <v>1436</v>
      </c>
      <c r="E13774" t="s">
        <v>187</v>
      </c>
      <c r="F13774">
        <v>2005</v>
      </c>
      <c r="G13774">
        <v>6.7176</v>
      </c>
    </row>
    <row r="13775" spans="1:7">
      <c r="A13775" t="s">
        <v>1297</v>
      </c>
      <c r="B13775" t="s">
        <v>1298</v>
      </c>
      <c r="C13775" t="s">
        <v>684</v>
      </c>
      <c r="D13775" t="s">
        <v>1436</v>
      </c>
      <c r="E13775" t="s">
        <v>187</v>
      </c>
      <c r="F13775">
        <v>2010</v>
      </c>
      <c r="G13775">
        <v>9.9</v>
      </c>
    </row>
    <row r="13776" spans="1:7">
      <c r="A13776" t="s">
        <v>1297</v>
      </c>
      <c r="B13776" t="s">
        <v>1298</v>
      </c>
      <c r="C13776" t="s">
        <v>684</v>
      </c>
      <c r="D13776" t="s">
        <v>1436</v>
      </c>
      <c r="E13776" t="s">
        <v>187</v>
      </c>
      <c r="F13776">
        <v>2012</v>
      </c>
      <c r="G13776">
        <v>5.3175129999999999</v>
      </c>
    </row>
    <row r="13777" spans="1:7">
      <c r="A13777" t="s">
        <v>1297</v>
      </c>
      <c r="B13777" t="s">
        <v>1298</v>
      </c>
      <c r="C13777" t="s">
        <v>684</v>
      </c>
      <c r="D13777" t="s">
        <v>1436</v>
      </c>
      <c r="E13777" t="s">
        <v>187</v>
      </c>
      <c r="F13777">
        <v>2016</v>
      </c>
      <c r="G13777">
        <v>6.6354879999999996</v>
      </c>
    </row>
    <row r="13778" spans="1:7">
      <c r="A13778" t="s">
        <v>1297</v>
      </c>
      <c r="B13778" t="s">
        <v>1298</v>
      </c>
      <c r="C13778" t="s">
        <v>684</v>
      </c>
      <c r="D13778" t="s">
        <v>1436</v>
      </c>
      <c r="E13778" t="s">
        <v>187</v>
      </c>
      <c r="F13778">
        <v>2020</v>
      </c>
      <c r="G13778">
        <v>5.8806000000000003</v>
      </c>
    </row>
    <row r="13779" spans="1:7">
      <c r="A13779" t="s">
        <v>1297</v>
      </c>
      <c r="B13779" t="s">
        <v>1298</v>
      </c>
      <c r="C13779" t="s">
        <v>662</v>
      </c>
      <c r="D13779" t="s">
        <v>1436</v>
      </c>
      <c r="E13779" t="s">
        <v>187</v>
      </c>
      <c r="F13779">
        <v>2005</v>
      </c>
      <c r="G13779">
        <v>18.062989000000002</v>
      </c>
    </row>
    <row r="13780" spans="1:7">
      <c r="A13780" t="s">
        <v>1297</v>
      </c>
      <c r="B13780" t="s">
        <v>1298</v>
      </c>
      <c r="C13780" t="s">
        <v>662</v>
      </c>
      <c r="D13780" t="s">
        <v>1436</v>
      </c>
      <c r="E13780" t="s">
        <v>187</v>
      </c>
      <c r="F13780">
        <v>2010</v>
      </c>
      <c r="G13780">
        <v>26.909110999999999</v>
      </c>
    </row>
    <row r="13781" spans="1:7">
      <c r="A13781" t="s">
        <v>1297</v>
      </c>
      <c r="B13781" t="s">
        <v>1298</v>
      </c>
      <c r="C13781" t="s">
        <v>662</v>
      </c>
      <c r="D13781" t="s">
        <v>1436</v>
      </c>
      <c r="E13781" t="s">
        <v>187</v>
      </c>
      <c r="F13781">
        <v>2012</v>
      </c>
      <c r="G13781">
        <v>15.813090000000001</v>
      </c>
    </row>
    <row r="13782" spans="1:7">
      <c r="A13782" t="s">
        <v>1297</v>
      </c>
      <c r="B13782" t="s">
        <v>1298</v>
      </c>
      <c r="C13782" t="s">
        <v>662</v>
      </c>
      <c r="D13782" t="s">
        <v>1436</v>
      </c>
      <c r="E13782" t="s">
        <v>187</v>
      </c>
      <c r="F13782">
        <v>2016</v>
      </c>
      <c r="G13782">
        <v>19.953496999999999</v>
      </c>
    </row>
    <row r="13783" spans="1:7">
      <c r="A13783" t="s">
        <v>1297</v>
      </c>
      <c r="B13783" t="s">
        <v>1298</v>
      </c>
      <c r="C13783" t="s">
        <v>662</v>
      </c>
      <c r="D13783" t="s">
        <v>1436</v>
      </c>
      <c r="E13783" t="s">
        <v>187</v>
      </c>
      <c r="F13783">
        <v>2020</v>
      </c>
      <c r="G13783">
        <v>14.319414</v>
      </c>
    </row>
    <row r="13784" spans="1:7">
      <c r="A13784" t="s">
        <v>1297</v>
      </c>
      <c r="B13784" t="s">
        <v>1298</v>
      </c>
      <c r="C13784" t="s">
        <v>685</v>
      </c>
      <c r="D13784" t="s">
        <v>1436</v>
      </c>
      <c r="E13784" t="s">
        <v>187</v>
      </c>
      <c r="F13784">
        <v>2005</v>
      </c>
      <c r="G13784">
        <v>5.3704080000000003</v>
      </c>
    </row>
    <row r="13785" spans="1:7">
      <c r="A13785" t="s">
        <v>1297</v>
      </c>
      <c r="B13785" t="s">
        <v>1298</v>
      </c>
      <c r="C13785" t="s">
        <v>685</v>
      </c>
      <c r="D13785" t="s">
        <v>1436</v>
      </c>
      <c r="E13785" t="s">
        <v>187</v>
      </c>
      <c r="F13785">
        <v>2010</v>
      </c>
      <c r="G13785">
        <v>8.7532960000000006</v>
      </c>
    </row>
    <row r="13786" spans="1:7">
      <c r="A13786" t="s">
        <v>1297</v>
      </c>
      <c r="B13786" t="s">
        <v>1298</v>
      </c>
      <c r="C13786" t="s">
        <v>685</v>
      </c>
      <c r="D13786" t="s">
        <v>1436</v>
      </c>
      <c r="E13786" t="s">
        <v>187</v>
      </c>
      <c r="F13786">
        <v>2012</v>
      </c>
      <c r="G13786">
        <v>3.7467609999999998</v>
      </c>
    </row>
    <row r="13787" spans="1:7">
      <c r="A13787" t="s">
        <v>1297</v>
      </c>
      <c r="B13787" t="s">
        <v>1298</v>
      </c>
      <c r="C13787" t="s">
        <v>685</v>
      </c>
      <c r="D13787" t="s">
        <v>1436</v>
      </c>
      <c r="E13787" t="s">
        <v>187</v>
      </c>
      <c r="F13787">
        <v>2016</v>
      </c>
      <c r="G13787">
        <v>6.830438</v>
      </c>
    </row>
    <row r="13788" spans="1:7">
      <c r="A13788" t="s">
        <v>1297</v>
      </c>
      <c r="B13788" t="s">
        <v>1298</v>
      </c>
      <c r="C13788" t="s">
        <v>655</v>
      </c>
      <c r="D13788" t="s">
        <v>1436</v>
      </c>
      <c r="E13788" t="s">
        <v>187</v>
      </c>
      <c r="F13788">
        <v>2005</v>
      </c>
      <c r="G13788">
        <v>8.5676760000000005</v>
      </c>
    </row>
    <row r="13789" spans="1:7">
      <c r="A13789" t="s">
        <v>1297</v>
      </c>
      <c r="B13789" t="s">
        <v>1298</v>
      </c>
      <c r="C13789" t="s">
        <v>655</v>
      </c>
      <c r="D13789" t="s">
        <v>1436</v>
      </c>
      <c r="E13789" t="s">
        <v>187</v>
      </c>
      <c r="F13789">
        <v>2010</v>
      </c>
      <c r="G13789">
        <v>10.042106</v>
      </c>
    </row>
    <row r="13790" spans="1:7">
      <c r="A13790" t="s">
        <v>1297</v>
      </c>
      <c r="B13790" t="s">
        <v>1298</v>
      </c>
      <c r="C13790" t="s">
        <v>655</v>
      </c>
      <c r="D13790" t="s">
        <v>1436</v>
      </c>
      <c r="E13790" t="s">
        <v>187</v>
      </c>
      <c r="F13790">
        <v>2012</v>
      </c>
      <c r="G13790">
        <v>7.6649149999999997</v>
      </c>
    </row>
    <row r="13791" spans="1:7">
      <c r="A13791" t="s">
        <v>1297</v>
      </c>
      <c r="B13791" t="s">
        <v>1298</v>
      </c>
      <c r="C13791" t="s">
        <v>655</v>
      </c>
      <c r="D13791" t="s">
        <v>1436</v>
      </c>
      <c r="E13791" t="s">
        <v>187</v>
      </c>
      <c r="F13791">
        <v>2016</v>
      </c>
      <c r="G13791">
        <v>7.2001299999999997</v>
      </c>
    </row>
    <row r="13792" spans="1:7">
      <c r="A13792" t="s">
        <v>1297</v>
      </c>
      <c r="B13792" t="s">
        <v>1298</v>
      </c>
      <c r="C13792" t="s">
        <v>661</v>
      </c>
      <c r="D13792" t="s">
        <v>1436</v>
      </c>
      <c r="E13792" t="s">
        <v>187</v>
      </c>
      <c r="F13792">
        <v>2012</v>
      </c>
      <c r="G13792">
        <v>215.394588</v>
      </c>
    </row>
    <row r="13793" spans="1:7">
      <c r="A13793" t="s">
        <v>1297</v>
      </c>
      <c r="B13793" t="s">
        <v>1298</v>
      </c>
      <c r="C13793" t="s">
        <v>661</v>
      </c>
      <c r="D13793" t="s">
        <v>1436</v>
      </c>
      <c r="E13793" t="s">
        <v>187</v>
      </c>
      <c r="F13793">
        <v>2016</v>
      </c>
      <c r="G13793">
        <v>219.02115599999999</v>
      </c>
    </row>
    <row r="13794" spans="1:7">
      <c r="A13794" t="s">
        <v>1297</v>
      </c>
      <c r="B13794" t="s">
        <v>1298</v>
      </c>
      <c r="C13794" t="s">
        <v>661</v>
      </c>
      <c r="D13794" t="s">
        <v>1436</v>
      </c>
      <c r="E13794" t="s">
        <v>187</v>
      </c>
      <c r="F13794">
        <v>2020</v>
      </c>
      <c r="G13794">
        <v>204.89000799999999</v>
      </c>
    </row>
    <row r="13795" spans="1:7">
      <c r="A13795" t="s">
        <v>1297</v>
      </c>
      <c r="B13795" t="s">
        <v>1298</v>
      </c>
      <c r="C13795" t="s">
        <v>1302</v>
      </c>
      <c r="D13795" t="s">
        <v>1436</v>
      </c>
      <c r="E13795" t="s">
        <v>187</v>
      </c>
      <c r="F13795">
        <v>2005</v>
      </c>
      <c r="G13795">
        <v>0.4032</v>
      </c>
    </row>
    <row r="13796" spans="1:7">
      <c r="A13796" t="s">
        <v>1297</v>
      </c>
      <c r="B13796" t="s">
        <v>1298</v>
      </c>
      <c r="C13796" t="s">
        <v>1302</v>
      </c>
      <c r="D13796" t="s">
        <v>1436</v>
      </c>
      <c r="E13796" t="s">
        <v>187</v>
      </c>
      <c r="F13796">
        <v>2010</v>
      </c>
      <c r="G13796">
        <v>0.56159999999999999</v>
      </c>
    </row>
    <row r="13797" spans="1:7">
      <c r="A13797" t="s">
        <v>1297</v>
      </c>
      <c r="B13797" t="s">
        <v>1298</v>
      </c>
      <c r="C13797" t="s">
        <v>1302</v>
      </c>
      <c r="D13797" t="s">
        <v>1436</v>
      </c>
      <c r="E13797" t="s">
        <v>187</v>
      </c>
      <c r="F13797">
        <v>2012</v>
      </c>
      <c r="G13797">
        <v>0.344084</v>
      </c>
    </row>
    <row r="13798" spans="1:7">
      <c r="A13798" t="s">
        <v>1297</v>
      </c>
      <c r="B13798" t="s">
        <v>1298</v>
      </c>
      <c r="C13798" t="s">
        <v>668</v>
      </c>
      <c r="D13798" t="s">
        <v>1436</v>
      </c>
      <c r="E13798" t="s">
        <v>187</v>
      </c>
      <c r="F13798">
        <v>2005</v>
      </c>
      <c r="G13798">
        <v>11.97104</v>
      </c>
    </row>
    <row r="13799" spans="1:7">
      <c r="A13799" t="s">
        <v>1297</v>
      </c>
      <c r="B13799" t="s">
        <v>1298</v>
      </c>
      <c r="C13799" t="s">
        <v>668</v>
      </c>
      <c r="D13799" t="s">
        <v>1436</v>
      </c>
      <c r="E13799" t="s">
        <v>187</v>
      </c>
      <c r="F13799">
        <v>2010</v>
      </c>
      <c r="G13799">
        <v>12.673821999999999</v>
      </c>
    </row>
    <row r="13800" spans="1:7">
      <c r="A13800" t="s">
        <v>1297</v>
      </c>
      <c r="B13800" t="s">
        <v>1298</v>
      </c>
      <c r="C13800" t="s">
        <v>668</v>
      </c>
      <c r="D13800" t="s">
        <v>1436</v>
      </c>
      <c r="E13800" t="s">
        <v>187</v>
      </c>
      <c r="F13800">
        <v>2012</v>
      </c>
      <c r="G13800">
        <v>13.345045000000001</v>
      </c>
    </row>
    <row r="13801" spans="1:7">
      <c r="A13801" t="s">
        <v>1297</v>
      </c>
      <c r="B13801" t="s">
        <v>1298</v>
      </c>
      <c r="C13801" t="s">
        <v>668</v>
      </c>
      <c r="D13801" t="s">
        <v>1436</v>
      </c>
      <c r="E13801" t="s">
        <v>187</v>
      </c>
      <c r="F13801">
        <v>2016</v>
      </c>
      <c r="G13801">
        <v>9.1062759999999994</v>
      </c>
    </row>
    <row r="13802" spans="1:7">
      <c r="A13802" t="s">
        <v>1297</v>
      </c>
      <c r="B13802" t="s">
        <v>1298</v>
      </c>
      <c r="C13802" t="s">
        <v>668</v>
      </c>
      <c r="D13802" t="s">
        <v>1436</v>
      </c>
      <c r="E13802" t="s">
        <v>187</v>
      </c>
      <c r="F13802">
        <v>2020</v>
      </c>
      <c r="G13802">
        <v>7.5871940000000002</v>
      </c>
    </row>
    <row r="13803" spans="1:7">
      <c r="A13803" t="s">
        <v>1297</v>
      </c>
      <c r="B13803" t="s">
        <v>1298</v>
      </c>
      <c r="C13803" t="s">
        <v>657</v>
      </c>
      <c r="D13803" t="s">
        <v>1436</v>
      </c>
      <c r="E13803" t="s">
        <v>187</v>
      </c>
      <c r="F13803">
        <v>2005</v>
      </c>
      <c r="G13803">
        <v>8.2799999999999999E-2</v>
      </c>
    </row>
    <row r="13804" spans="1:7">
      <c r="A13804" t="s">
        <v>1297</v>
      </c>
      <c r="B13804" t="s">
        <v>1298</v>
      </c>
      <c r="C13804" t="s">
        <v>657</v>
      </c>
      <c r="D13804" t="s">
        <v>1436</v>
      </c>
      <c r="E13804" t="s">
        <v>187</v>
      </c>
      <c r="F13804">
        <v>2010</v>
      </c>
      <c r="G13804">
        <v>7.4311000000000002E-2</v>
      </c>
    </row>
    <row r="13805" spans="1:7">
      <c r="A13805" t="s">
        <v>1297</v>
      </c>
      <c r="B13805" t="s">
        <v>1298</v>
      </c>
      <c r="C13805" t="s">
        <v>657</v>
      </c>
      <c r="D13805" t="s">
        <v>1436</v>
      </c>
      <c r="E13805" t="s">
        <v>187</v>
      </c>
      <c r="F13805">
        <v>2012</v>
      </c>
      <c r="G13805">
        <v>6.2913999999999998E-2</v>
      </c>
    </row>
    <row r="13806" spans="1:7">
      <c r="A13806" t="s">
        <v>1297</v>
      </c>
      <c r="B13806" t="s">
        <v>1298</v>
      </c>
      <c r="C13806" t="s">
        <v>657</v>
      </c>
      <c r="D13806" t="s">
        <v>1436</v>
      </c>
      <c r="E13806" t="s">
        <v>187</v>
      </c>
      <c r="F13806">
        <v>2016</v>
      </c>
      <c r="G13806">
        <v>6.9378999999999996E-2</v>
      </c>
    </row>
    <row r="13807" spans="1:7">
      <c r="A13807" t="s">
        <v>1297</v>
      </c>
      <c r="B13807" t="s">
        <v>1298</v>
      </c>
      <c r="C13807" t="s">
        <v>657</v>
      </c>
      <c r="D13807" t="s">
        <v>1436</v>
      </c>
      <c r="E13807" t="s">
        <v>187</v>
      </c>
      <c r="F13807">
        <v>2020</v>
      </c>
      <c r="G13807">
        <v>6.1981000000000001E-2</v>
      </c>
    </row>
    <row r="13808" spans="1:7">
      <c r="A13808" t="s">
        <v>1297</v>
      </c>
      <c r="B13808" t="s">
        <v>1298</v>
      </c>
      <c r="C13808" t="s">
        <v>652</v>
      </c>
      <c r="D13808" t="s">
        <v>1436</v>
      </c>
      <c r="E13808" t="s">
        <v>187</v>
      </c>
      <c r="F13808">
        <v>2005</v>
      </c>
      <c r="G13808">
        <v>1.0367999999999999</v>
      </c>
    </row>
    <row r="13809" spans="1:7">
      <c r="A13809" t="s">
        <v>1297</v>
      </c>
      <c r="B13809" t="s">
        <v>1298</v>
      </c>
      <c r="C13809" t="s">
        <v>652</v>
      </c>
      <c r="D13809" t="s">
        <v>1436</v>
      </c>
      <c r="E13809" t="s">
        <v>187</v>
      </c>
      <c r="F13809">
        <v>2010</v>
      </c>
      <c r="G13809">
        <v>1.1232</v>
      </c>
    </row>
    <row r="13810" spans="1:7">
      <c r="A13810" t="s">
        <v>1297</v>
      </c>
      <c r="B13810" t="s">
        <v>1298</v>
      </c>
      <c r="C13810" t="s">
        <v>652</v>
      </c>
      <c r="D13810" t="s">
        <v>1436</v>
      </c>
      <c r="E13810" t="s">
        <v>187</v>
      </c>
      <c r="F13810">
        <v>2012</v>
      </c>
      <c r="G13810">
        <v>1.2851999999999999</v>
      </c>
    </row>
    <row r="13811" spans="1:7">
      <c r="A13811" t="s">
        <v>1297</v>
      </c>
      <c r="B13811" t="s">
        <v>1298</v>
      </c>
      <c r="C13811" t="s">
        <v>652</v>
      </c>
      <c r="D13811" t="s">
        <v>1436</v>
      </c>
      <c r="E13811" t="s">
        <v>187</v>
      </c>
      <c r="F13811">
        <v>2016</v>
      </c>
      <c r="G13811">
        <v>1.3320000000000001</v>
      </c>
    </row>
    <row r="13812" spans="1:7">
      <c r="A13812" t="s">
        <v>1297</v>
      </c>
      <c r="B13812" t="s">
        <v>1298</v>
      </c>
      <c r="C13812" t="s">
        <v>652</v>
      </c>
      <c r="D13812" t="s">
        <v>1436</v>
      </c>
      <c r="E13812" t="s">
        <v>187</v>
      </c>
      <c r="F13812">
        <v>2020</v>
      </c>
      <c r="G13812">
        <v>1.0871999999999999</v>
      </c>
    </row>
    <row r="13813" spans="1:7">
      <c r="A13813" t="s">
        <v>1297</v>
      </c>
      <c r="B13813" t="s">
        <v>1298</v>
      </c>
      <c r="C13813" t="s">
        <v>676</v>
      </c>
      <c r="D13813" t="s">
        <v>1436</v>
      </c>
      <c r="E13813" t="s">
        <v>187</v>
      </c>
      <c r="F13813">
        <v>2005</v>
      </c>
      <c r="G13813">
        <v>16.6968</v>
      </c>
    </row>
    <row r="13814" spans="1:7">
      <c r="A13814" t="s">
        <v>1297</v>
      </c>
      <c r="B13814" t="s">
        <v>1298</v>
      </c>
      <c r="C13814" t="s">
        <v>676</v>
      </c>
      <c r="D13814" t="s">
        <v>1436</v>
      </c>
      <c r="E13814" t="s">
        <v>187</v>
      </c>
      <c r="F13814">
        <v>2010</v>
      </c>
      <c r="G13814">
        <v>18.917999999999999</v>
      </c>
    </row>
    <row r="13815" spans="1:7">
      <c r="A13815" t="s">
        <v>1297</v>
      </c>
      <c r="B13815" t="s">
        <v>1298</v>
      </c>
      <c r="C13815" t="s">
        <v>676</v>
      </c>
      <c r="D13815" t="s">
        <v>1436</v>
      </c>
      <c r="E13815" t="s">
        <v>187</v>
      </c>
      <c r="F13815">
        <v>2012</v>
      </c>
      <c r="G13815">
        <v>14.770799999999999</v>
      </c>
    </row>
    <row r="13816" spans="1:7">
      <c r="A13816" t="s">
        <v>1297</v>
      </c>
      <c r="B13816" t="s">
        <v>1298</v>
      </c>
      <c r="C13816" t="s">
        <v>676</v>
      </c>
      <c r="D13816" t="s">
        <v>1436</v>
      </c>
      <c r="E13816" t="s">
        <v>187</v>
      </c>
      <c r="F13816">
        <v>2016</v>
      </c>
      <c r="G13816">
        <v>15.692399999999999</v>
      </c>
    </row>
    <row r="13817" spans="1:7">
      <c r="A13817" t="s">
        <v>1297</v>
      </c>
      <c r="B13817" t="s">
        <v>1298</v>
      </c>
      <c r="C13817" t="s">
        <v>676</v>
      </c>
      <c r="D13817" t="s">
        <v>1436</v>
      </c>
      <c r="E13817" t="s">
        <v>187</v>
      </c>
      <c r="F13817">
        <v>2020</v>
      </c>
      <c r="G13817">
        <v>15.6816</v>
      </c>
    </row>
    <row r="13818" spans="1:7">
      <c r="A13818" t="s">
        <v>1297</v>
      </c>
      <c r="B13818" t="s">
        <v>1298</v>
      </c>
      <c r="C13818" t="s">
        <v>686</v>
      </c>
      <c r="D13818" t="s">
        <v>1436</v>
      </c>
      <c r="E13818" t="s">
        <v>187</v>
      </c>
      <c r="F13818">
        <v>2005</v>
      </c>
      <c r="G13818">
        <v>41.078069999999997</v>
      </c>
    </row>
    <row r="13819" spans="1:7">
      <c r="A13819" t="s">
        <v>1297</v>
      </c>
      <c r="B13819" t="s">
        <v>1298</v>
      </c>
      <c r="C13819" t="s">
        <v>686</v>
      </c>
      <c r="D13819" t="s">
        <v>1436</v>
      </c>
      <c r="E13819" t="s">
        <v>187</v>
      </c>
      <c r="F13819">
        <v>2010</v>
      </c>
      <c r="G13819">
        <v>42.807600000000001</v>
      </c>
    </row>
    <row r="13820" spans="1:7">
      <c r="A13820" t="s">
        <v>1297</v>
      </c>
      <c r="B13820" t="s">
        <v>1298</v>
      </c>
      <c r="C13820" t="s">
        <v>686</v>
      </c>
      <c r="D13820" t="s">
        <v>1436</v>
      </c>
      <c r="E13820" t="s">
        <v>187</v>
      </c>
      <c r="F13820">
        <v>2012</v>
      </c>
      <c r="G13820">
        <v>33.429600000000001</v>
      </c>
    </row>
    <row r="13821" spans="1:7">
      <c r="A13821" t="s">
        <v>1297</v>
      </c>
      <c r="B13821" t="s">
        <v>1298</v>
      </c>
      <c r="C13821" t="s">
        <v>686</v>
      </c>
      <c r="D13821" t="s">
        <v>1436</v>
      </c>
      <c r="E13821" t="s">
        <v>187</v>
      </c>
      <c r="F13821">
        <v>2016</v>
      </c>
      <c r="G13821">
        <v>38.850864999999999</v>
      </c>
    </row>
    <row r="13822" spans="1:7">
      <c r="A13822" t="s">
        <v>1297</v>
      </c>
      <c r="B13822" t="s">
        <v>1298</v>
      </c>
      <c r="C13822" t="s">
        <v>686</v>
      </c>
      <c r="D13822" t="s">
        <v>1436</v>
      </c>
      <c r="E13822" t="s">
        <v>187</v>
      </c>
      <c r="F13822">
        <v>2020</v>
      </c>
      <c r="G13822">
        <v>34.045830000000002</v>
      </c>
    </row>
    <row r="13823" spans="1:7">
      <c r="A13823" t="s">
        <v>1297</v>
      </c>
      <c r="B13823" t="s">
        <v>1298</v>
      </c>
      <c r="C13823" t="s">
        <v>1299</v>
      </c>
      <c r="D13823" t="s">
        <v>1436</v>
      </c>
      <c r="E13823" t="s">
        <v>187</v>
      </c>
      <c r="F13823">
        <v>2005</v>
      </c>
      <c r="G13823">
        <v>44.504280000000001</v>
      </c>
    </row>
    <row r="13824" spans="1:7">
      <c r="A13824" t="s">
        <v>1297</v>
      </c>
      <c r="B13824" t="s">
        <v>1298</v>
      </c>
      <c r="C13824" t="s">
        <v>1299</v>
      </c>
      <c r="D13824" t="s">
        <v>1436</v>
      </c>
      <c r="E13824" t="s">
        <v>187</v>
      </c>
      <c r="F13824">
        <v>2010</v>
      </c>
      <c r="G13824">
        <v>47.347560000000001</v>
      </c>
    </row>
    <row r="13825" spans="1:7">
      <c r="A13825" t="s">
        <v>1297</v>
      </c>
      <c r="B13825" t="s">
        <v>1298</v>
      </c>
      <c r="C13825" t="s">
        <v>1299</v>
      </c>
      <c r="D13825" t="s">
        <v>1436</v>
      </c>
      <c r="E13825" t="s">
        <v>187</v>
      </c>
      <c r="F13825">
        <v>2012</v>
      </c>
      <c r="G13825">
        <v>37.723320000000001</v>
      </c>
    </row>
    <row r="13826" spans="1:7">
      <c r="A13826" t="s">
        <v>1297</v>
      </c>
      <c r="B13826" t="s">
        <v>1298</v>
      </c>
      <c r="C13826" t="s">
        <v>1299</v>
      </c>
      <c r="D13826" t="s">
        <v>1436</v>
      </c>
      <c r="E13826" t="s">
        <v>187</v>
      </c>
      <c r="F13826">
        <v>2016</v>
      </c>
      <c r="G13826">
        <v>27.613800000000001</v>
      </c>
    </row>
    <row r="13827" spans="1:7">
      <c r="A13827" t="s">
        <v>1297</v>
      </c>
      <c r="B13827" t="s">
        <v>1298</v>
      </c>
      <c r="C13827" t="s">
        <v>1299</v>
      </c>
      <c r="D13827" t="s">
        <v>1436</v>
      </c>
      <c r="E13827" t="s">
        <v>187</v>
      </c>
      <c r="F13827">
        <v>2020</v>
      </c>
      <c r="G13827">
        <v>23.429880000000001</v>
      </c>
    </row>
    <row r="13828" spans="1:7">
      <c r="A13828" t="s">
        <v>1297</v>
      </c>
      <c r="B13828" t="s">
        <v>1298</v>
      </c>
      <c r="C13828" t="s">
        <v>677</v>
      </c>
      <c r="D13828" t="s">
        <v>1436</v>
      </c>
      <c r="E13828" t="s">
        <v>187</v>
      </c>
      <c r="F13828">
        <v>2005</v>
      </c>
      <c r="G13828">
        <v>17.716647999999999</v>
      </c>
    </row>
    <row r="13829" spans="1:7">
      <c r="A13829" t="s">
        <v>1297</v>
      </c>
      <c r="B13829" t="s">
        <v>1298</v>
      </c>
      <c r="C13829" t="s">
        <v>677</v>
      </c>
      <c r="D13829" t="s">
        <v>1436</v>
      </c>
      <c r="E13829" t="s">
        <v>187</v>
      </c>
      <c r="F13829">
        <v>2010</v>
      </c>
      <c r="G13829">
        <v>12.928788000000001</v>
      </c>
    </row>
    <row r="13830" spans="1:7">
      <c r="A13830" t="s">
        <v>1297</v>
      </c>
      <c r="B13830" t="s">
        <v>1298</v>
      </c>
      <c r="C13830" t="s">
        <v>677</v>
      </c>
      <c r="D13830" t="s">
        <v>1436</v>
      </c>
      <c r="E13830" t="s">
        <v>187</v>
      </c>
      <c r="F13830">
        <v>2012</v>
      </c>
      <c r="G13830">
        <v>19.114435</v>
      </c>
    </row>
    <row r="13831" spans="1:7">
      <c r="A13831" t="s">
        <v>1297</v>
      </c>
      <c r="B13831" t="s">
        <v>1298</v>
      </c>
      <c r="C13831" t="s">
        <v>677</v>
      </c>
      <c r="D13831" t="s">
        <v>1436</v>
      </c>
      <c r="E13831" t="s">
        <v>187</v>
      </c>
      <c r="F13831">
        <v>2016</v>
      </c>
      <c r="G13831">
        <v>19.333483000000001</v>
      </c>
    </row>
    <row r="13832" spans="1:7">
      <c r="A13832" t="s">
        <v>1297</v>
      </c>
      <c r="B13832" t="s">
        <v>1298</v>
      </c>
      <c r="C13832" t="s">
        <v>677</v>
      </c>
      <c r="D13832" t="s">
        <v>1436</v>
      </c>
      <c r="E13832" t="s">
        <v>187</v>
      </c>
      <c r="F13832">
        <v>2020</v>
      </c>
      <c r="G13832">
        <v>21.365376999999999</v>
      </c>
    </row>
    <row r="13833" spans="1:7">
      <c r="A13833" t="s">
        <v>1297</v>
      </c>
      <c r="B13833" t="s">
        <v>1298</v>
      </c>
      <c r="C13833" t="s">
        <v>670</v>
      </c>
      <c r="D13833" t="s">
        <v>1436</v>
      </c>
      <c r="E13833" t="s">
        <v>187</v>
      </c>
      <c r="F13833">
        <v>2005</v>
      </c>
      <c r="G13833">
        <v>0.31680000000000003</v>
      </c>
    </row>
    <row r="13834" spans="1:7">
      <c r="A13834" t="s">
        <v>1297</v>
      </c>
      <c r="B13834" t="s">
        <v>1298</v>
      </c>
      <c r="C13834" t="s">
        <v>670</v>
      </c>
      <c r="D13834" t="s">
        <v>1436</v>
      </c>
      <c r="E13834" t="s">
        <v>187</v>
      </c>
      <c r="F13834">
        <v>2010</v>
      </c>
      <c r="G13834">
        <v>0.378</v>
      </c>
    </row>
    <row r="13835" spans="1:7">
      <c r="A13835" t="s">
        <v>1297</v>
      </c>
      <c r="B13835" t="s">
        <v>1298</v>
      </c>
      <c r="C13835" t="s">
        <v>670</v>
      </c>
      <c r="D13835" t="s">
        <v>1436</v>
      </c>
      <c r="E13835" t="s">
        <v>187</v>
      </c>
      <c r="F13835">
        <v>2012</v>
      </c>
      <c r="G13835">
        <v>0.37579699999999999</v>
      </c>
    </row>
    <row r="13836" spans="1:7">
      <c r="A13836" t="s">
        <v>1297</v>
      </c>
      <c r="B13836" t="s">
        <v>1298</v>
      </c>
      <c r="C13836" t="s">
        <v>670</v>
      </c>
      <c r="D13836" t="s">
        <v>1436</v>
      </c>
      <c r="E13836" t="s">
        <v>187</v>
      </c>
      <c r="F13836">
        <v>2016</v>
      </c>
      <c r="G13836">
        <v>0.36028399999999999</v>
      </c>
    </row>
    <row r="13837" spans="1:7">
      <c r="A13837" t="s">
        <v>1297</v>
      </c>
      <c r="B13837" t="s">
        <v>1298</v>
      </c>
      <c r="C13837" t="s">
        <v>670</v>
      </c>
      <c r="D13837" t="s">
        <v>1436</v>
      </c>
      <c r="E13837" t="s">
        <v>187</v>
      </c>
      <c r="F13837">
        <v>2020</v>
      </c>
      <c r="G13837">
        <v>0.26705499999999999</v>
      </c>
    </row>
    <row r="13838" spans="1:7">
      <c r="A13838" t="s">
        <v>1297</v>
      </c>
      <c r="B13838" t="s">
        <v>1298</v>
      </c>
      <c r="C13838" t="s">
        <v>665</v>
      </c>
      <c r="D13838" t="s">
        <v>1436</v>
      </c>
      <c r="E13838" t="s">
        <v>187</v>
      </c>
      <c r="F13838">
        <v>2005</v>
      </c>
      <c r="G13838">
        <v>129.840239</v>
      </c>
    </row>
    <row r="13839" spans="1:7">
      <c r="A13839" t="s">
        <v>1297</v>
      </c>
      <c r="B13839" t="s">
        <v>1298</v>
      </c>
      <c r="C13839" t="s">
        <v>665</v>
      </c>
      <c r="D13839" t="s">
        <v>1436</v>
      </c>
      <c r="E13839" t="s">
        <v>187</v>
      </c>
      <c r="F13839">
        <v>2010</v>
      </c>
      <c r="G13839">
        <v>184.02035000000001</v>
      </c>
    </row>
    <row r="13840" spans="1:7">
      <c r="A13840" t="s">
        <v>1297</v>
      </c>
      <c r="B13840" t="s">
        <v>1298</v>
      </c>
      <c r="C13840" t="s">
        <v>665</v>
      </c>
      <c r="D13840" t="s">
        <v>1436</v>
      </c>
      <c r="E13840" t="s">
        <v>187</v>
      </c>
      <c r="F13840">
        <v>2012</v>
      </c>
      <c r="G13840">
        <v>150.74961500000001</v>
      </c>
    </row>
    <row r="13841" spans="1:7">
      <c r="A13841" t="s">
        <v>1297</v>
      </c>
      <c r="B13841" t="s">
        <v>1298</v>
      </c>
      <c r="C13841" t="s">
        <v>665</v>
      </c>
      <c r="D13841" t="s">
        <v>1436</v>
      </c>
      <c r="E13841" t="s">
        <v>187</v>
      </c>
      <c r="F13841">
        <v>2016</v>
      </c>
      <c r="G13841">
        <v>152.754322</v>
      </c>
    </row>
    <row r="13842" spans="1:7">
      <c r="A13842" t="s">
        <v>1297</v>
      </c>
      <c r="B13842" t="s">
        <v>1298</v>
      </c>
      <c r="C13842" t="s">
        <v>665</v>
      </c>
      <c r="D13842" t="s">
        <v>1436</v>
      </c>
      <c r="E13842" t="s">
        <v>187</v>
      </c>
      <c r="F13842">
        <v>2020</v>
      </c>
      <c r="G13842">
        <v>166.74671900000001</v>
      </c>
    </row>
    <row r="13843" spans="1:7">
      <c r="A13843" t="s">
        <v>1297</v>
      </c>
      <c r="B13843" t="s">
        <v>1298</v>
      </c>
      <c r="C13843" t="s">
        <v>681</v>
      </c>
      <c r="D13843" t="s">
        <v>1436</v>
      </c>
      <c r="E13843" t="s">
        <v>187</v>
      </c>
      <c r="F13843">
        <v>2005</v>
      </c>
      <c r="G13843">
        <v>19.3428</v>
      </c>
    </row>
    <row r="13844" spans="1:7">
      <c r="A13844" t="s">
        <v>1297</v>
      </c>
      <c r="B13844" t="s">
        <v>1298</v>
      </c>
      <c r="C13844" t="s">
        <v>681</v>
      </c>
      <c r="D13844" t="s">
        <v>1436</v>
      </c>
      <c r="E13844" t="s">
        <v>187</v>
      </c>
      <c r="F13844">
        <v>2010</v>
      </c>
      <c r="G13844">
        <v>27.241199999999999</v>
      </c>
    </row>
    <row r="13845" spans="1:7">
      <c r="A13845" t="s">
        <v>1297</v>
      </c>
      <c r="B13845" t="s">
        <v>1298</v>
      </c>
      <c r="C13845" t="s">
        <v>681</v>
      </c>
      <c r="D13845" t="s">
        <v>1436</v>
      </c>
      <c r="E13845" t="s">
        <v>187</v>
      </c>
      <c r="F13845">
        <v>2012</v>
      </c>
      <c r="G13845">
        <v>17.010000000000002</v>
      </c>
    </row>
    <row r="13846" spans="1:7">
      <c r="A13846" t="s">
        <v>1297</v>
      </c>
      <c r="B13846" t="s">
        <v>1298</v>
      </c>
      <c r="C13846" t="s">
        <v>681</v>
      </c>
      <c r="D13846" t="s">
        <v>1436</v>
      </c>
      <c r="E13846" t="s">
        <v>187</v>
      </c>
      <c r="F13846">
        <v>2016</v>
      </c>
      <c r="G13846">
        <v>28.014126999999998</v>
      </c>
    </row>
    <row r="13847" spans="1:7">
      <c r="A13847" t="s">
        <v>1297</v>
      </c>
      <c r="B13847" t="s">
        <v>1298</v>
      </c>
      <c r="C13847" t="s">
        <v>681</v>
      </c>
      <c r="D13847" t="s">
        <v>1436</v>
      </c>
      <c r="E13847" t="s">
        <v>187</v>
      </c>
      <c r="F13847">
        <v>2020</v>
      </c>
      <c r="G13847">
        <v>18.661849</v>
      </c>
    </row>
    <row r="13848" spans="1:7">
      <c r="A13848" t="s">
        <v>1297</v>
      </c>
      <c r="B13848" t="s">
        <v>1298</v>
      </c>
      <c r="C13848" t="s">
        <v>674</v>
      </c>
      <c r="D13848" t="s">
        <v>1436</v>
      </c>
      <c r="E13848" t="s">
        <v>187</v>
      </c>
      <c r="F13848">
        <v>2005</v>
      </c>
      <c r="G13848">
        <v>262.0908</v>
      </c>
    </row>
    <row r="13849" spans="1:7">
      <c r="A13849" t="s">
        <v>1297</v>
      </c>
      <c r="B13849" t="s">
        <v>1298</v>
      </c>
      <c r="C13849" t="s">
        <v>674</v>
      </c>
      <c r="D13849" t="s">
        <v>1436</v>
      </c>
      <c r="E13849" t="s">
        <v>187</v>
      </c>
      <c r="F13849">
        <v>2010</v>
      </c>
      <c r="G13849">
        <v>239.032037</v>
      </c>
    </row>
    <row r="13850" spans="1:7">
      <c r="A13850" t="s">
        <v>1297</v>
      </c>
      <c r="B13850" t="s">
        <v>1298</v>
      </c>
      <c r="C13850" t="s">
        <v>674</v>
      </c>
      <c r="D13850" t="s">
        <v>1436</v>
      </c>
      <c r="E13850" t="s">
        <v>187</v>
      </c>
      <c r="F13850">
        <v>2012</v>
      </c>
      <c r="G13850">
        <v>284.15519999999998</v>
      </c>
    </row>
    <row r="13851" spans="1:7">
      <c r="A13851" t="s">
        <v>1297</v>
      </c>
      <c r="B13851" t="s">
        <v>1298</v>
      </c>
      <c r="C13851" t="s">
        <v>674</v>
      </c>
      <c r="D13851" t="s">
        <v>1436</v>
      </c>
      <c r="E13851" t="s">
        <v>187</v>
      </c>
      <c r="F13851">
        <v>2016</v>
      </c>
      <c r="G13851">
        <v>223.263216</v>
      </c>
    </row>
    <row r="13852" spans="1:7">
      <c r="A13852" t="s">
        <v>1297</v>
      </c>
      <c r="B13852" t="s">
        <v>1298</v>
      </c>
      <c r="C13852" t="s">
        <v>674</v>
      </c>
      <c r="D13852" t="s">
        <v>1436</v>
      </c>
      <c r="E13852" t="s">
        <v>187</v>
      </c>
      <c r="F13852">
        <v>2020</v>
      </c>
      <c r="G13852">
        <v>235.3356</v>
      </c>
    </row>
    <row r="13853" spans="1:7">
      <c r="A13853" t="s">
        <v>1297</v>
      </c>
      <c r="B13853" t="s">
        <v>1298</v>
      </c>
      <c r="C13853" t="s">
        <v>675</v>
      </c>
      <c r="D13853" t="s">
        <v>1436</v>
      </c>
      <c r="E13853" t="s">
        <v>187</v>
      </c>
      <c r="F13853">
        <v>2005</v>
      </c>
      <c r="G13853">
        <v>12.459474</v>
      </c>
    </row>
    <row r="13854" spans="1:7">
      <c r="A13854" t="s">
        <v>1297</v>
      </c>
      <c r="B13854" t="s">
        <v>1298</v>
      </c>
      <c r="C13854" t="s">
        <v>675</v>
      </c>
      <c r="D13854" t="s">
        <v>1436</v>
      </c>
      <c r="E13854" t="s">
        <v>187</v>
      </c>
      <c r="F13854">
        <v>2010</v>
      </c>
      <c r="G13854">
        <v>16.264638000000001</v>
      </c>
    </row>
    <row r="13855" spans="1:7">
      <c r="A13855" t="s">
        <v>1297</v>
      </c>
      <c r="B13855" t="s">
        <v>1298</v>
      </c>
      <c r="C13855" t="s">
        <v>675</v>
      </c>
      <c r="D13855" t="s">
        <v>1436</v>
      </c>
      <c r="E13855" t="s">
        <v>187</v>
      </c>
      <c r="F13855">
        <v>2012</v>
      </c>
      <c r="G13855">
        <v>14.035918000000001</v>
      </c>
    </row>
    <row r="13856" spans="1:7">
      <c r="A13856" t="s">
        <v>1297</v>
      </c>
      <c r="B13856" t="s">
        <v>1298</v>
      </c>
      <c r="C13856" t="s">
        <v>675</v>
      </c>
      <c r="D13856" t="s">
        <v>1436</v>
      </c>
      <c r="E13856" t="s">
        <v>187</v>
      </c>
      <c r="F13856">
        <v>2016</v>
      </c>
      <c r="G13856">
        <v>16.211797000000001</v>
      </c>
    </row>
    <row r="13857" spans="1:7">
      <c r="A13857" t="s">
        <v>1297</v>
      </c>
      <c r="B13857" t="s">
        <v>1298</v>
      </c>
      <c r="C13857" t="s">
        <v>675</v>
      </c>
      <c r="D13857" t="s">
        <v>1436</v>
      </c>
      <c r="E13857" t="s">
        <v>187</v>
      </c>
      <c r="F13857">
        <v>2020</v>
      </c>
      <c r="G13857">
        <v>16.125826</v>
      </c>
    </row>
    <row r="13858" spans="1:7">
      <c r="A13858" t="s">
        <v>1297</v>
      </c>
      <c r="B13858" t="s">
        <v>1298</v>
      </c>
      <c r="C13858" t="s">
        <v>1300</v>
      </c>
      <c r="D13858" t="s">
        <v>1436</v>
      </c>
      <c r="E13858" t="s">
        <v>187</v>
      </c>
      <c r="F13858">
        <v>2010</v>
      </c>
      <c r="G13858">
        <v>0.28439999999999999</v>
      </c>
    </row>
    <row r="13859" spans="1:7">
      <c r="A13859" t="s">
        <v>1297</v>
      </c>
      <c r="B13859" t="s">
        <v>1298</v>
      </c>
      <c r="C13859" t="s">
        <v>1300</v>
      </c>
      <c r="D13859" t="s">
        <v>1436</v>
      </c>
      <c r="E13859" t="s">
        <v>187</v>
      </c>
      <c r="F13859">
        <v>2012</v>
      </c>
      <c r="G13859">
        <v>0.12201099999999999</v>
      </c>
    </row>
    <row r="13860" spans="1:7">
      <c r="A13860" t="s">
        <v>1297</v>
      </c>
      <c r="B13860" t="s">
        <v>1298</v>
      </c>
      <c r="C13860" t="s">
        <v>1300</v>
      </c>
      <c r="D13860" t="s">
        <v>1436</v>
      </c>
      <c r="E13860" t="s">
        <v>187</v>
      </c>
      <c r="F13860">
        <v>2016</v>
      </c>
      <c r="G13860">
        <v>0.14158799999999999</v>
      </c>
    </row>
    <row r="13861" spans="1:7">
      <c r="A13861" t="s">
        <v>1297</v>
      </c>
      <c r="B13861" t="s">
        <v>1298</v>
      </c>
      <c r="C13861" t="s">
        <v>1300</v>
      </c>
      <c r="D13861" t="s">
        <v>1436</v>
      </c>
      <c r="E13861" t="s">
        <v>187</v>
      </c>
      <c r="F13861">
        <v>2020</v>
      </c>
      <c r="G13861">
        <v>0.23400000000000001</v>
      </c>
    </row>
    <row r="13862" spans="1:7">
      <c r="A13862" t="s">
        <v>1297</v>
      </c>
      <c r="B13862" t="s">
        <v>1298</v>
      </c>
      <c r="C13862" t="s">
        <v>667</v>
      </c>
      <c r="D13862" t="s">
        <v>1436</v>
      </c>
      <c r="E13862" t="s">
        <v>187</v>
      </c>
      <c r="F13862">
        <v>2005</v>
      </c>
      <c r="G13862">
        <v>0.33457999999999999</v>
      </c>
    </row>
    <row r="13863" spans="1:7">
      <c r="A13863" t="s">
        <v>1297</v>
      </c>
      <c r="B13863" t="s">
        <v>1298</v>
      </c>
      <c r="C13863" t="s">
        <v>667</v>
      </c>
      <c r="D13863" t="s">
        <v>1436</v>
      </c>
      <c r="E13863" t="s">
        <v>187</v>
      </c>
      <c r="F13863">
        <v>2010</v>
      </c>
      <c r="G13863">
        <v>0.38757999999999998</v>
      </c>
    </row>
    <row r="13864" spans="1:7">
      <c r="A13864" t="s">
        <v>1297</v>
      </c>
      <c r="B13864" t="s">
        <v>1298</v>
      </c>
      <c r="C13864" t="s">
        <v>667</v>
      </c>
      <c r="D13864" t="s">
        <v>1436</v>
      </c>
      <c r="E13864" t="s">
        <v>187</v>
      </c>
      <c r="F13864">
        <v>2012</v>
      </c>
      <c r="G13864">
        <v>0.35388700000000001</v>
      </c>
    </row>
    <row r="13865" spans="1:7">
      <c r="A13865" t="s">
        <v>1297</v>
      </c>
      <c r="B13865" t="s">
        <v>1298</v>
      </c>
      <c r="C13865" t="s">
        <v>667</v>
      </c>
      <c r="D13865" t="s">
        <v>1436</v>
      </c>
      <c r="E13865" t="s">
        <v>187</v>
      </c>
      <c r="F13865">
        <v>2016</v>
      </c>
      <c r="G13865">
        <v>0.41548000000000002</v>
      </c>
    </row>
    <row r="13866" spans="1:7">
      <c r="A13866" t="s">
        <v>1297</v>
      </c>
      <c r="B13866" t="s">
        <v>1298</v>
      </c>
      <c r="C13866" t="s">
        <v>667</v>
      </c>
      <c r="D13866" t="s">
        <v>1436</v>
      </c>
      <c r="E13866" t="s">
        <v>187</v>
      </c>
      <c r="F13866">
        <v>2020</v>
      </c>
      <c r="G13866">
        <v>0.38489400000000001</v>
      </c>
    </row>
    <row r="13867" spans="1:7">
      <c r="A13867" t="s">
        <v>1297</v>
      </c>
      <c r="B13867" t="s">
        <v>1298</v>
      </c>
      <c r="C13867" t="s">
        <v>679</v>
      </c>
      <c r="D13867" t="s">
        <v>1436</v>
      </c>
      <c r="E13867" t="s">
        <v>187</v>
      </c>
      <c r="F13867">
        <v>2005</v>
      </c>
      <c r="G13867">
        <v>488.47680000000003</v>
      </c>
    </row>
    <row r="13868" spans="1:7">
      <c r="A13868" t="s">
        <v>1297</v>
      </c>
      <c r="B13868" t="s">
        <v>1298</v>
      </c>
      <c r="C13868" t="s">
        <v>679</v>
      </c>
      <c r="D13868" t="s">
        <v>1436</v>
      </c>
      <c r="E13868" t="s">
        <v>187</v>
      </c>
      <c r="F13868">
        <v>2010</v>
      </c>
      <c r="G13868">
        <v>420.2604</v>
      </c>
    </row>
    <row r="13869" spans="1:7">
      <c r="A13869" t="s">
        <v>1297</v>
      </c>
      <c r="B13869" t="s">
        <v>1298</v>
      </c>
      <c r="C13869" t="s">
        <v>679</v>
      </c>
      <c r="D13869" t="s">
        <v>1436</v>
      </c>
      <c r="E13869" t="s">
        <v>187</v>
      </c>
      <c r="F13869">
        <v>2012</v>
      </c>
      <c r="G13869">
        <v>510.20639999999997</v>
      </c>
    </row>
    <row r="13870" spans="1:7">
      <c r="A13870" t="s">
        <v>1297</v>
      </c>
      <c r="B13870" t="s">
        <v>1298</v>
      </c>
      <c r="C13870" t="s">
        <v>679</v>
      </c>
      <c r="D13870" t="s">
        <v>1436</v>
      </c>
      <c r="E13870" t="s">
        <v>187</v>
      </c>
      <c r="F13870">
        <v>2016</v>
      </c>
      <c r="G13870">
        <v>514.10519999999997</v>
      </c>
    </row>
    <row r="13871" spans="1:7">
      <c r="A13871" t="s">
        <v>1297</v>
      </c>
      <c r="B13871" t="s">
        <v>1298</v>
      </c>
      <c r="C13871" t="s">
        <v>679</v>
      </c>
      <c r="D13871" t="s">
        <v>1436</v>
      </c>
      <c r="E13871" t="s">
        <v>187</v>
      </c>
      <c r="F13871">
        <v>2020</v>
      </c>
      <c r="G13871">
        <v>451.87224099999997</v>
      </c>
    </row>
    <row r="13872" spans="1:7">
      <c r="A13872" t="s">
        <v>1297</v>
      </c>
      <c r="B13872" t="s">
        <v>1298</v>
      </c>
      <c r="C13872" t="s">
        <v>673</v>
      </c>
      <c r="D13872" t="s">
        <v>1436</v>
      </c>
      <c r="E13872" t="s">
        <v>187</v>
      </c>
      <c r="F13872">
        <v>2005</v>
      </c>
      <c r="G13872">
        <v>72.744670999999997</v>
      </c>
    </row>
    <row r="13873" spans="1:7">
      <c r="A13873" t="s">
        <v>1297</v>
      </c>
      <c r="B13873" t="s">
        <v>1298</v>
      </c>
      <c r="C13873" t="s">
        <v>673</v>
      </c>
      <c r="D13873" t="s">
        <v>1436</v>
      </c>
      <c r="E13873" t="s">
        <v>187</v>
      </c>
      <c r="F13873">
        <v>2010</v>
      </c>
      <c r="G13873">
        <v>71.578382000000005</v>
      </c>
    </row>
    <row r="13874" spans="1:7">
      <c r="A13874" t="s">
        <v>1297</v>
      </c>
      <c r="B13874" t="s">
        <v>1298</v>
      </c>
      <c r="C13874" t="s">
        <v>673</v>
      </c>
      <c r="D13874" t="s">
        <v>1436</v>
      </c>
      <c r="E13874" t="s">
        <v>187</v>
      </c>
      <c r="F13874">
        <v>2012</v>
      </c>
      <c r="G13874">
        <v>43.438657999999997</v>
      </c>
    </row>
    <row r="13875" spans="1:7">
      <c r="A13875" t="s">
        <v>1297</v>
      </c>
      <c r="B13875" t="s">
        <v>1298</v>
      </c>
      <c r="C13875" t="s">
        <v>673</v>
      </c>
      <c r="D13875" t="s">
        <v>1436</v>
      </c>
      <c r="E13875" t="s">
        <v>187</v>
      </c>
      <c r="F13875">
        <v>2016</v>
      </c>
      <c r="G13875">
        <v>64.901544999999999</v>
      </c>
    </row>
    <row r="13876" spans="1:7">
      <c r="A13876" t="s">
        <v>1297</v>
      </c>
      <c r="B13876" t="s">
        <v>1298</v>
      </c>
      <c r="C13876" t="s">
        <v>673</v>
      </c>
      <c r="D13876" t="s">
        <v>1436</v>
      </c>
      <c r="E13876" t="s">
        <v>187</v>
      </c>
      <c r="F13876">
        <v>2020</v>
      </c>
      <c r="G13876">
        <v>56.090238999999997</v>
      </c>
    </row>
    <row r="13877" spans="1:7">
      <c r="A13877" t="s">
        <v>1297</v>
      </c>
      <c r="B13877" t="s">
        <v>1298</v>
      </c>
      <c r="C13877" t="s">
        <v>651</v>
      </c>
      <c r="D13877" t="s">
        <v>1436</v>
      </c>
      <c r="E13877" t="s">
        <v>187</v>
      </c>
      <c r="F13877">
        <v>2005</v>
      </c>
      <c r="G13877">
        <v>133.542497</v>
      </c>
    </row>
    <row r="13878" spans="1:7">
      <c r="A13878" t="s">
        <v>1297</v>
      </c>
      <c r="B13878" t="s">
        <v>1298</v>
      </c>
      <c r="C13878" t="s">
        <v>651</v>
      </c>
      <c r="D13878" t="s">
        <v>1436</v>
      </c>
      <c r="E13878" t="s">
        <v>187</v>
      </c>
      <c r="F13878">
        <v>2010</v>
      </c>
      <c r="G13878">
        <v>138.108305</v>
      </c>
    </row>
    <row r="13879" spans="1:7">
      <c r="A13879" t="s">
        <v>1297</v>
      </c>
      <c r="B13879" t="s">
        <v>1298</v>
      </c>
      <c r="C13879" t="s">
        <v>651</v>
      </c>
      <c r="D13879" t="s">
        <v>1436</v>
      </c>
      <c r="E13879" t="s">
        <v>187</v>
      </c>
      <c r="F13879">
        <v>2012</v>
      </c>
      <c r="G13879">
        <v>157.85171299999999</v>
      </c>
    </row>
    <row r="13880" spans="1:7">
      <c r="A13880" t="s">
        <v>1297</v>
      </c>
      <c r="B13880" t="s">
        <v>1298</v>
      </c>
      <c r="C13880" t="s">
        <v>651</v>
      </c>
      <c r="D13880" t="s">
        <v>1436</v>
      </c>
      <c r="E13880" t="s">
        <v>187</v>
      </c>
      <c r="F13880">
        <v>2016</v>
      </c>
      <c r="G13880">
        <v>143.89681300000001</v>
      </c>
    </row>
    <row r="13881" spans="1:7">
      <c r="A13881" t="s">
        <v>1297</v>
      </c>
      <c r="B13881" t="s">
        <v>1298</v>
      </c>
      <c r="C13881" t="s">
        <v>651</v>
      </c>
      <c r="D13881" t="s">
        <v>1436</v>
      </c>
      <c r="E13881" t="s">
        <v>187</v>
      </c>
      <c r="F13881">
        <v>2020</v>
      </c>
      <c r="G13881">
        <v>145.63924600000001</v>
      </c>
    </row>
    <row r="13882" spans="1:7">
      <c r="A13882" t="s">
        <v>1297</v>
      </c>
      <c r="B13882" t="s">
        <v>1298</v>
      </c>
      <c r="C13882" t="s">
        <v>1303</v>
      </c>
      <c r="D13882" t="s">
        <v>1437</v>
      </c>
      <c r="E13882" t="s">
        <v>187</v>
      </c>
      <c r="F13882">
        <v>2016</v>
      </c>
      <c r="G13882">
        <v>8.4000000000000005E-2</v>
      </c>
    </row>
    <row r="13883" spans="1:7">
      <c r="A13883" t="s">
        <v>1297</v>
      </c>
      <c r="B13883" t="s">
        <v>1298</v>
      </c>
      <c r="C13883" t="s">
        <v>1303</v>
      </c>
      <c r="D13883" t="s">
        <v>1437</v>
      </c>
      <c r="E13883" t="s">
        <v>187</v>
      </c>
      <c r="F13883">
        <v>2020</v>
      </c>
      <c r="G13883">
        <v>8.0199999999999994E-2</v>
      </c>
    </row>
    <row r="13884" spans="1:7">
      <c r="A13884" t="s">
        <v>1297</v>
      </c>
      <c r="B13884" t="s">
        <v>1298</v>
      </c>
      <c r="C13884" t="s">
        <v>686</v>
      </c>
      <c r="D13884" t="s">
        <v>1437</v>
      </c>
      <c r="E13884" t="s">
        <v>187</v>
      </c>
      <c r="F13884">
        <v>2012</v>
      </c>
      <c r="G13884">
        <v>1E-3</v>
      </c>
    </row>
    <row r="13885" spans="1:7">
      <c r="A13885" t="s">
        <v>1297</v>
      </c>
      <c r="B13885" t="s">
        <v>1298</v>
      </c>
      <c r="C13885" t="s">
        <v>686</v>
      </c>
      <c r="D13885" t="s">
        <v>1437</v>
      </c>
      <c r="E13885" t="s">
        <v>187</v>
      </c>
      <c r="F13885">
        <v>2016</v>
      </c>
      <c r="G13885">
        <v>1E-3</v>
      </c>
    </row>
    <row r="13886" spans="1:7">
      <c r="A13886" t="s">
        <v>1297</v>
      </c>
      <c r="B13886" t="s">
        <v>1298</v>
      </c>
      <c r="C13886" t="s">
        <v>680</v>
      </c>
      <c r="D13886" t="s">
        <v>1437</v>
      </c>
      <c r="E13886" t="s">
        <v>187</v>
      </c>
      <c r="F13886">
        <v>2005</v>
      </c>
      <c r="G13886">
        <v>0.32600000000000001</v>
      </c>
    </row>
    <row r="13887" spans="1:7">
      <c r="A13887" t="s">
        <v>1297</v>
      </c>
      <c r="B13887" t="s">
        <v>1298</v>
      </c>
      <c r="C13887" t="s">
        <v>680</v>
      </c>
      <c r="D13887" t="s">
        <v>1437</v>
      </c>
      <c r="E13887" t="s">
        <v>187</v>
      </c>
      <c r="F13887">
        <v>2010</v>
      </c>
      <c r="G13887">
        <v>0.35899999999999999</v>
      </c>
    </row>
    <row r="13888" spans="1:7">
      <c r="A13888" t="s">
        <v>1297</v>
      </c>
      <c r="B13888" t="s">
        <v>1298</v>
      </c>
      <c r="C13888" t="s">
        <v>680</v>
      </c>
      <c r="D13888" t="s">
        <v>1437</v>
      </c>
      <c r="E13888" t="s">
        <v>187</v>
      </c>
      <c r="F13888">
        <v>2012</v>
      </c>
      <c r="G13888">
        <v>0.36299999999999999</v>
      </c>
    </row>
    <row r="13889" spans="1:7">
      <c r="A13889" t="s">
        <v>1297</v>
      </c>
      <c r="B13889" t="s">
        <v>1298</v>
      </c>
      <c r="C13889" t="s">
        <v>680</v>
      </c>
      <c r="D13889" t="s">
        <v>1437</v>
      </c>
      <c r="E13889" t="s">
        <v>187</v>
      </c>
      <c r="F13889">
        <v>2016</v>
      </c>
      <c r="G13889">
        <v>0.35</v>
      </c>
    </row>
    <row r="13890" spans="1:7">
      <c r="A13890" t="s">
        <v>1297</v>
      </c>
      <c r="B13890" t="s">
        <v>1298</v>
      </c>
      <c r="C13890" t="s">
        <v>680</v>
      </c>
      <c r="D13890" t="s">
        <v>1437</v>
      </c>
      <c r="E13890" t="s">
        <v>187</v>
      </c>
      <c r="F13890">
        <v>2020</v>
      </c>
      <c r="G13890">
        <v>0.36</v>
      </c>
    </row>
    <row r="13891" spans="1:7">
      <c r="A13891" t="s">
        <v>1297</v>
      </c>
      <c r="B13891" t="s">
        <v>1298</v>
      </c>
      <c r="C13891" t="s">
        <v>673</v>
      </c>
      <c r="D13891" t="s">
        <v>1437</v>
      </c>
      <c r="E13891" t="s">
        <v>187</v>
      </c>
      <c r="F13891">
        <v>2012</v>
      </c>
      <c r="G13891">
        <v>6.5000000000000002E-2</v>
      </c>
    </row>
    <row r="13892" spans="1:7">
      <c r="A13892" t="s">
        <v>1297</v>
      </c>
      <c r="B13892" t="s">
        <v>1298</v>
      </c>
      <c r="C13892" t="s">
        <v>685</v>
      </c>
      <c r="D13892" t="s">
        <v>1437</v>
      </c>
      <c r="E13892" t="s">
        <v>187</v>
      </c>
      <c r="F13892">
        <v>2005</v>
      </c>
      <c r="G13892">
        <v>4.3999999999999997E-2</v>
      </c>
    </row>
    <row r="13893" spans="1:7">
      <c r="A13893" t="s">
        <v>1297</v>
      </c>
      <c r="B13893" t="s">
        <v>1298</v>
      </c>
      <c r="C13893" t="s">
        <v>685</v>
      </c>
      <c r="D13893" t="s">
        <v>1437</v>
      </c>
      <c r="E13893" t="s">
        <v>187</v>
      </c>
      <c r="F13893">
        <v>2010</v>
      </c>
      <c r="G13893">
        <v>6.3E-2</v>
      </c>
    </row>
    <row r="13894" spans="1:7">
      <c r="A13894" t="s">
        <v>1297</v>
      </c>
      <c r="B13894" t="s">
        <v>1298</v>
      </c>
      <c r="C13894" t="s">
        <v>685</v>
      </c>
      <c r="D13894" t="s">
        <v>1437</v>
      </c>
      <c r="E13894" t="s">
        <v>187</v>
      </c>
      <c r="F13894">
        <v>2012</v>
      </c>
      <c r="G13894">
        <v>3.5000000000000003E-2</v>
      </c>
    </row>
    <row r="13895" spans="1:7">
      <c r="A13895" t="s">
        <v>1297</v>
      </c>
      <c r="B13895" t="s">
        <v>1298</v>
      </c>
      <c r="C13895" t="s">
        <v>685</v>
      </c>
      <c r="D13895" t="s">
        <v>1437</v>
      </c>
      <c r="E13895" t="s">
        <v>187</v>
      </c>
      <c r="F13895">
        <v>2016</v>
      </c>
      <c r="G13895">
        <v>2.7019000000000001E-2</v>
      </c>
    </row>
    <row r="13896" spans="1:7">
      <c r="A13896" t="s">
        <v>1297</v>
      </c>
      <c r="B13896" t="s">
        <v>1298</v>
      </c>
      <c r="C13896" t="s">
        <v>685</v>
      </c>
      <c r="D13896" t="s">
        <v>1437</v>
      </c>
      <c r="E13896" t="s">
        <v>187</v>
      </c>
      <c r="F13896">
        <v>2020</v>
      </c>
      <c r="G13896">
        <v>1.8100999999999999E-2</v>
      </c>
    </row>
    <row r="13897" spans="1:7">
      <c r="A13897" t="s">
        <v>1297</v>
      </c>
      <c r="B13897" t="s">
        <v>1298</v>
      </c>
      <c r="C13897" t="s">
        <v>652</v>
      </c>
      <c r="D13897" t="s">
        <v>1437</v>
      </c>
      <c r="E13897" t="s">
        <v>187</v>
      </c>
      <c r="F13897">
        <v>2005</v>
      </c>
      <c r="G13897">
        <v>2.8000000000000001E-2</v>
      </c>
    </row>
    <row r="13898" spans="1:7">
      <c r="A13898" t="s">
        <v>1297</v>
      </c>
      <c r="B13898" t="s">
        <v>1298</v>
      </c>
      <c r="C13898" t="s">
        <v>663</v>
      </c>
      <c r="D13898" t="s">
        <v>1438</v>
      </c>
      <c r="E13898" t="s">
        <v>187</v>
      </c>
      <c r="F13898">
        <v>2020</v>
      </c>
      <c r="G13898">
        <v>6.3E-2</v>
      </c>
    </row>
    <row r="13899" spans="1:7">
      <c r="A13899" t="s">
        <v>1297</v>
      </c>
      <c r="B13899" t="s">
        <v>1298</v>
      </c>
      <c r="C13899" t="s">
        <v>665</v>
      </c>
      <c r="D13899" t="s">
        <v>1438</v>
      </c>
      <c r="E13899" t="s">
        <v>187</v>
      </c>
      <c r="F13899">
        <v>2010</v>
      </c>
      <c r="G13899">
        <v>0.107</v>
      </c>
    </row>
    <row r="13900" spans="1:7">
      <c r="A13900" t="s">
        <v>1297</v>
      </c>
      <c r="B13900" t="s">
        <v>1298</v>
      </c>
      <c r="C13900" t="s">
        <v>665</v>
      </c>
      <c r="D13900" t="s">
        <v>1438</v>
      </c>
      <c r="E13900" t="s">
        <v>187</v>
      </c>
      <c r="F13900">
        <v>2012</v>
      </c>
      <c r="G13900">
        <v>0.08</v>
      </c>
    </row>
    <row r="13901" spans="1:7">
      <c r="A13901" t="s">
        <v>1297</v>
      </c>
      <c r="B13901" t="s">
        <v>1298</v>
      </c>
      <c r="C13901" t="s">
        <v>665</v>
      </c>
      <c r="D13901" t="s">
        <v>1438</v>
      </c>
      <c r="E13901" t="s">
        <v>187</v>
      </c>
      <c r="F13901">
        <v>2016</v>
      </c>
      <c r="G13901">
        <v>9.8000000000000004E-2</v>
      </c>
    </row>
    <row r="13902" spans="1:7">
      <c r="A13902" t="s">
        <v>1297</v>
      </c>
      <c r="B13902" t="s">
        <v>1298</v>
      </c>
      <c r="C13902" t="s">
        <v>665</v>
      </c>
      <c r="D13902" t="s">
        <v>1438</v>
      </c>
      <c r="E13902" t="s">
        <v>187</v>
      </c>
      <c r="F13902">
        <v>2020</v>
      </c>
      <c r="G13902">
        <v>6.1629000000000003E-2</v>
      </c>
    </row>
    <row r="13903" spans="1:7">
      <c r="A13903" t="s">
        <v>1297</v>
      </c>
      <c r="B13903" t="s">
        <v>1298</v>
      </c>
      <c r="C13903" t="s">
        <v>662</v>
      </c>
      <c r="D13903" t="s">
        <v>1438</v>
      </c>
      <c r="E13903" t="s">
        <v>187</v>
      </c>
      <c r="F13903">
        <v>2012</v>
      </c>
      <c r="G13903">
        <v>5.0000000000000001E-3</v>
      </c>
    </row>
    <row r="13904" spans="1:7">
      <c r="A13904" t="s">
        <v>1297</v>
      </c>
      <c r="B13904" t="s">
        <v>1298</v>
      </c>
      <c r="C13904" t="s">
        <v>662</v>
      </c>
      <c r="D13904" t="s">
        <v>1438</v>
      </c>
      <c r="E13904" t="s">
        <v>187</v>
      </c>
      <c r="F13904">
        <v>2016</v>
      </c>
      <c r="G13904">
        <v>5.0000000000000001E-3</v>
      </c>
    </row>
    <row r="13905" spans="1:7">
      <c r="A13905" t="s">
        <v>1297</v>
      </c>
      <c r="B13905" t="s">
        <v>1298</v>
      </c>
      <c r="C13905" t="s">
        <v>662</v>
      </c>
      <c r="D13905" t="s">
        <v>1438</v>
      </c>
      <c r="E13905" t="s">
        <v>187</v>
      </c>
      <c r="F13905">
        <v>2020</v>
      </c>
      <c r="G13905">
        <v>5.0000000000000001E-3</v>
      </c>
    </row>
    <row r="13906" spans="1:7">
      <c r="A13906" t="s">
        <v>1297</v>
      </c>
      <c r="B13906" t="s">
        <v>1298</v>
      </c>
      <c r="C13906" t="s">
        <v>659</v>
      </c>
      <c r="D13906" t="s">
        <v>1438</v>
      </c>
      <c r="E13906" t="s">
        <v>187</v>
      </c>
      <c r="F13906">
        <v>2010</v>
      </c>
      <c r="G13906">
        <v>1E-3</v>
      </c>
    </row>
    <row r="13907" spans="1:7">
      <c r="A13907" t="s">
        <v>1297</v>
      </c>
      <c r="B13907" t="s">
        <v>1298</v>
      </c>
      <c r="C13907" t="s">
        <v>659</v>
      </c>
      <c r="D13907" t="s">
        <v>1438</v>
      </c>
      <c r="E13907" t="s">
        <v>187</v>
      </c>
      <c r="F13907">
        <v>2012</v>
      </c>
      <c r="G13907">
        <v>3.0000000000000001E-3</v>
      </c>
    </row>
    <row r="13908" spans="1:7">
      <c r="A13908" t="s">
        <v>1297</v>
      </c>
      <c r="B13908" t="s">
        <v>1298</v>
      </c>
      <c r="C13908" t="s">
        <v>659</v>
      </c>
      <c r="D13908" t="s">
        <v>1438</v>
      </c>
      <c r="E13908" t="s">
        <v>187</v>
      </c>
      <c r="F13908">
        <v>2016</v>
      </c>
      <c r="G13908">
        <v>3.0000000000000001E-3</v>
      </c>
    </row>
    <row r="13909" spans="1:7">
      <c r="A13909" t="s">
        <v>1297</v>
      </c>
      <c r="B13909" t="s">
        <v>1298</v>
      </c>
      <c r="C13909" t="s">
        <v>659</v>
      </c>
      <c r="D13909" t="s">
        <v>1438</v>
      </c>
      <c r="E13909" t="s">
        <v>187</v>
      </c>
      <c r="F13909">
        <v>2020</v>
      </c>
      <c r="G13909">
        <v>3.0000000000000001E-3</v>
      </c>
    </row>
    <row r="13910" spans="1:7">
      <c r="A13910" t="s">
        <v>1297</v>
      </c>
      <c r="B13910" t="s">
        <v>1298</v>
      </c>
      <c r="C13910" t="s">
        <v>680</v>
      </c>
      <c r="D13910" t="s">
        <v>1438</v>
      </c>
      <c r="E13910" t="s">
        <v>187</v>
      </c>
      <c r="F13910">
        <v>2005</v>
      </c>
      <c r="G13910">
        <v>0.439</v>
      </c>
    </row>
    <row r="13911" spans="1:7">
      <c r="A13911" t="s">
        <v>1297</v>
      </c>
      <c r="B13911" t="s">
        <v>1298</v>
      </c>
      <c r="C13911" t="s">
        <v>680</v>
      </c>
      <c r="D13911" t="s">
        <v>1438</v>
      </c>
      <c r="E13911" t="s">
        <v>187</v>
      </c>
      <c r="F13911">
        <v>2010</v>
      </c>
      <c r="G13911">
        <v>0.46899999999999997</v>
      </c>
    </row>
    <row r="13912" spans="1:7">
      <c r="A13912" t="s">
        <v>1297</v>
      </c>
      <c r="B13912" t="s">
        <v>1298</v>
      </c>
      <c r="C13912" t="s">
        <v>680</v>
      </c>
      <c r="D13912" t="s">
        <v>1438</v>
      </c>
      <c r="E13912" t="s">
        <v>187</v>
      </c>
      <c r="F13912">
        <v>2012</v>
      </c>
      <c r="G13912">
        <v>0.46899999999999997</v>
      </c>
    </row>
    <row r="13913" spans="1:7">
      <c r="A13913" t="s">
        <v>1297</v>
      </c>
      <c r="B13913" t="s">
        <v>1298</v>
      </c>
      <c r="C13913" t="s">
        <v>680</v>
      </c>
      <c r="D13913" t="s">
        <v>1438</v>
      </c>
      <c r="E13913" t="s">
        <v>187</v>
      </c>
      <c r="F13913">
        <v>2016</v>
      </c>
      <c r="G13913">
        <v>0.5</v>
      </c>
    </row>
    <row r="13914" spans="1:7">
      <c r="A13914" t="s">
        <v>1297</v>
      </c>
      <c r="B13914" t="s">
        <v>1298</v>
      </c>
      <c r="C13914" t="s">
        <v>680</v>
      </c>
      <c r="D13914" t="s">
        <v>1438</v>
      </c>
      <c r="E13914" t="s">
        <v>187</v>
      </c>
      <c r="F13914">
        <v>2020</v>
      </c>
      <c r="G13914">
        <v>0.507992</v>
      </c>
    </row>
    <row r="13915" spans="1:7">
      <c r="A13915" t="s">
        <v>1297</v>
      </c>
      <c r="B13915" t="s">
        <v>1298</v>
      </c>
      <c r="C13915" t="s">
        <v>673</v>
      </c>
      <c r="D13915" t="s">
        <v>1438</v>
      </c>
      <c r="E13915" t="s">
        <v>187</v>
      </c>
      <c r="F13915">
        <v>2005</v>
      </c>
      <c r="G13915">
        <v>2.3E-2</v>
      </c>
    </row>
    <row r="13916" spans="1:7">
      <c r="A13916" t="s">
        <v>1297</v>
      </c>
      <c r="B13916" t="s">
        <v>1298</v>
      </c>
      <c r="C13916" t="s">
        <v>673</v>
      </c>
      <c r="D13916" t="s">
        <v>1438</v>
      </c>
      <c r="E13916" t="s">
        <v>187</v>
      </c>
      <c r="F13916">
        <v>2010</v>
      </c>
      <c r="G13916">
        <v>0.11</v>
      </c>
    </row>
    <row r="13917" spans="1:7">
      <c r="A13917" t="s">
        <v>1297</v>
      </c>
      <c r="B13917" t="s">
        <v>1298</v>
      </c>
      <c r="C13917" t="s">
        <v>673</v>
      </c>
      <c r="D13917" t="s">
        <v>1438</v>
      </c>
      <c r="E13917" t="s">
        <v>187</v>
      </c>
      <c r="F13917">
        <v>2012</v>
      </c>
      <c r="G13917">
        <v>3.4000000000000002E-2</v>
      </c>
    </row>
    <row r="13918" spans="1:7">
      <c r="A13918" t="s">
        <v>1297</v>
      </c>
      <c r="B13918" t="s">
        <v>1298</v>
      </c>
      <c r="C13918" t="s">
        <v>673</v>
      </c>
      <c r="D13918" t="s">
        <v>1438</v>
      </c>
      <c r="E13918" t="s">
        <v>187</v>
      </c>
      <c r="F13918">
        <v>2016</v>
      </c>
      <c r="G13918">
        <v>0.13200000000000001</v>
      </c>
    </row>
    <row r="13919" spans="1:7">
      <c r="A13919" t="s">
        <v>1297</v>
      </c>
      <c r="B13919" t="s">
        <v>1298</v>
      </c>
      <c r="C13919" t="s">
        <v>673</v>
      </c>
      <c r="D13919" t="s">
        <v>1438</v>
      </c>
      <c r="E13919" t="s">
        <v>187</v>
      </c>
      <c r="F13919">
        <v>2020</v>
      </c>
      <c r="G13919">
        <v>2.1679999999999998E-3</v>
      </c>
    </row>
    <row r="13920" spans="1:7">
      <c r="A13920" t="s">
        <v>1297</v>
      </c>
      <c r="B13920" t="s">
        <v>1298</v>
      </c>
      <c r="C13920" t="s">
        <v>663</v>
      </c>
      <c r="D13920" t="s">
        <v>1438</v>
      </c>
      <c r="E13920" t="s">
        <v>187</v>
      </c>
      <c r="F13920">
        <v>2005</v>
      </c>
      <c r="G13920">
        <v>7.1999999999999995E-2</v>
      </c>
    </row>
    <row r="13921" spans="1:7">
      <c r="A13921" t="s">
        <v>1297</v>
      </c>
      <c r="B13921" t="s">
        <v>1298</v>
      </c>
      <c r="C13921" t="s">
        <v>663</v>
      </c>
      <c r="D13921" t="s">
        <v>1438</v>
      </c>
      <c r="E13921" t="s">
        <v>187</v>
      </c>
      <c r="F13921">
        <v>2010</v>
      </c>
      <c r="G13921">
        <v>5.7000000000000002E-2</v>
      </c>
    </row>
    <row r="13922" spans="1:7">
      <c r="A13922" t="s">
        <v>1297</v>
      </c>
      <c r="B13922" t="s">
        <v>1298</v>
      </c>
      <c r="C13922" t="s">
        <v>663</v>
      </c>
      <c r="D13922" t="s">
        <v>1438</v>
      </c>
      <c r="E13922" t="s">
        <v>187</v>
      </c>
      <c r="F13922">
        <v>2012</v>
      </c>
      <c r="G13922">
        <v>5.0999999999999997E-2</v>
      </c>
    </row>
    <row r="13923" spans="1:7">
      <c r="A13923" t="s">
        <v>1297</v>
      </c>
      <c r="B13923" t="s">
        <v>1298</v>
      </c>
      <c r="C13923" t="s">
        <v>663</v>
      </c>
      <c r="D13923" t="s">
        <v>1438</v>
      </c>
      <c r="E13923" t="s">
        <v>187</v>
      </c>
      <c r="F13923">
        <v>2016</v>
      </c>
      <c r="G13923">
        <v>5.7000000000000002E-2</v>
      </c>
    </row>
    <row r="13924" spans="1:7">
      <c r="A13924" t="s">
        <v>1297</v>
      </c>
      <c r="B13924" t="s">
        <v>1298</v>
      </c>
      <c r="C13924" t="s">
        <v>662</v>
      </c>
      <c r="D13924" t="s">
        <v>1439</v>
      </c>
      <c r="E13924" t="s">
        <v>187</v>
      </c>
      <c r="F13924">
        <v>2005</v>
      </c>
      <c r="G13924">
        <v>0.23300000000000001</v>
      </c>
    </row>
    <row r="13925" spans="1:7">
      <c r="A13925" t="s">
        <v>1297</v>
      </c>
      <c r="B13925" t="s">
        <v>1298</v>
      </c>
      <c r="C13925" t="s">
        <v>662</v>
      </c>
      <c r="D13925" t="s">
        <v>1439</v>
      </c>
      <c r="E13925" t="s">
        <v>187</v>
      </c>
      <c r="F13925">
        <v>2010</v>
      </c>
      <c r="G13925">
        <v>0.34200000000000003</v>
      </c>
    </row>
    <row r="13926" spans="1:7">
      <c r="A13926" t="s">
        <v>1297</v>
      </c>
      <c r="B13926" t="s">
        <v>1298</v>
      </c>
      <c r="C13926" t="s">
        <v>662</v>
      </c>
      <c r="D13926" t="s">
        <v>1439</v>
      </c>
      <c r="E13926" t="s">
        <v>187</v>
      </c>
      <c r="F13926">
        <v>2012</v>
      </c>
      <c r="G13926">
        <v>0.248</v>
      </c>
    </row>
    <row r="13927" spans="1:7">
      <c r="A13927" t="s">
        <v>1297</v>
      </c>
      <c r="B13927" t="s">
        <v>1298</v>
      </c>
      <c r="C13927" t="s">
        <v>662</v>
      </c>
      <c r="D13927" t="s">
        <v>1439</v>
      </c>
      <c r="E13927" t="s">
        <v>187</v>
      </c>
      <c r="F13927">
        <v>2016</v>
      </c>
      <c r="G13927">
        <v>0.155</v>
      </c>
    </row>
    <row r="13928" spans="1:7">
      <c r="A13928" t="s">
        <v>1297</v>
      </c>
      <c r="B13928" t="s">
        <v>1298</v>
      </c>
      <c r="C13928" t="s">
        <v>662</v>
      </c>
      <c r="D13928" t="s">
        <v>1439</v>
      </c>
      <c r="E13928" t="s">
        <v>187</v>
      </c>
      <c r="F13928">
        <v>2020</v>
      </c>
      <c r="G13928">
        <v>0.105</v>
      </c>
    </row>
    <row r="13929" spans="1:7">
      <c r="A13929" t="s">
        <v>1297</v>
      </c>
      <c r="B13929" t="s">
        <v>1298</v>
      </c>
      <c r="C13929" t="s">
        <v>663</v>
      </c>
      <c r="D13929" t="s">
        <v>1439</v>
      </c>
      <c r="E13929" t="s">
        <v>187</v>
      </c>
      <c r="F13929">
        <v>2005</v>
      </c>
      <c r="G13929">
        <v>0.56799999999999995</v>
      </c>
    </row>
    <row r="13930" spans="1:7">
      <c r="A13930" t="s">
        <v>1297</v>
      </c>
      <c r="B13930" t="s">
        <v>1298</v>
      </c>
      <c r="C13930" t="s">
        <v>663</v>
      </c>
      <c r="D13930" t="s">
        <v>1439</v>
      </c>
      <c r="E13930" t="s">
        <v>187</v>
      </c>
      <c r="F13930">
        <v>2010</v>
      </c>
      <c r="G13930">
        <v>0.55400000000000005</v>
      </c>
    </row>
    <row r="13931" spans="1:7">
      <c r="A13931" t="s">
        <v>1297</v>
      </c>
      <c r="B13931" t="s">
        <v>1298</v>
      </c>
      <c r="C13931" t="s">
        <v>663</v>
      </c>
      <c r="D13931" t="s">
        <v>1439</v>
      </c>
      <c r="E13931" t="s">
        <v>187</v>
      </c>
      <c r="F13931">
        <v>2012</v>
      </c>
      <c r="G13931">
        <v>0.58199999999999996</v>
      </c>
    </row>
    <row r="13932" spans="1:7">
      <c r="A13932" t="s">
        <v>1297</v>
      </c>
      <c r="B13932" t="s">
        <v>1298</v>
      </c>
      <c r="C13932" t="s">
        <v>663</v>
      </c>
      <c r="D13932" t="s">
        <v>1439</v>
      </c>
      <c r="E13932" t="s">
        <v>187</v>
      </c>
      <c r="F13932">
        <v>2016</v>
      </c>
      <c r="G13932">
        <v>1.3720000000000001</v>
      </c>
    </row>
    <row r="13933" spans="1:7">
      <c r="A13933" t="s">
        <v>1297</v>
      </c>
      <c r="B13933" t="s">
        <v>1298</v>
      </c>
      <c r="C13933" t="s">
        <v>663</v>
      </c>
      <c r="D13933" t="s">
        <v>1439</v>
      </c>
      <c r="E13933" t="s">
        <v>187</v>
      </c>
      <c r="F13933">
        <v>2020</v>
      </c>
      <c r="G13933">
        <v>1.762</v>
      </c>
    </row>
    <row r="13934" spans="1:7">
      <c r="A13934" t="s">
        <v>1297</v>
      </c>
      <c r="B13934" t="s">
        <v>1298</v>
      </c>
      <c r="C13934" t="s">
        <v>676</v>
      </c>
      <c r="D13934" t="s">
        <v>1439</v>
      </c>
      <c r="E13934" t="s">
        <v>187</v>
      </c>
      <c r="F13934">
        <v>2005</v>
      </c>
      <c r="G13934">
        <v>2.1999999999999999E-2</v>
      </c>
    </row>
    <row r="13935" spans="1:7">
      <c r="A13935" t="s">
        <v>1297</v>
      </c>
      <c r="B13935" t="s">
        <v>1298</v>
      </c>
      <c r="C13935" t="s">
        <v>676</v>
      </c>
      <c r="D13935" t="s">
        <v>1439</v>
      </c>
      <c r="E13935" t="s">
        <v>187</v>
      </c>
      <c r="F13935">
        <v>2010</v>
      </c>
      <c r="G13935">
        <v>2.1999999999999999E-2</v>
      </c>
    </row>
    <row r="13936" spans="1:7">
      <c r="A13936" t="s">
        <v>1297</v>
      </c>
      <c r="B13936" t="s">
        <v>1298</v>
      </c>
      <c r="C13936" t="s">
        <v>676</v>
      </c>
      <c r="D13936" t="s">
        <v>1439</v>
      </c>
      <c r="E13936" t="s">
        <v>187</v>
      </c>
      <c r="F13936">
        <v>2012</v>
      </c>
      <c r="G13936">
        <v>2.3E-2</v>
      </c>
    </row>
    <row r="13937" spans="1:7">
      <c r="A13937" t="s">
        <v>1297</v>
      </c>
      <c r="B13937" t="s">
        <v>1298</v>
      </c>
      <c r="C13937" t="s">
        <v>676</v>
      </c>
      <c r="D13937" t="s">
        <v>1439</v>
      </c>
      <c r="E13937" t="s">
        <v>187</v>
      </c>
      <c r="F13937">
        <v>2016</v>
      </c>
      <c r="G13937">
        <v>3.2000000000000001E-2</v>
      </c>
    </row>
    <row r="13938" spans="1:7">
      <c r="A13938" t="s">
        <v>1297</v>
      </c>
      <c r="B13938" t="s">
        <v>1298</v>
      </c>
      <c r="C13938" t="s">
        <v>676</v>
      </c>
      <c r="D13938" t="s">
        <v>1439</v>
      </c>
      <c r="E13938" t="s">
        <v>187</v>
      </c>
      <c r="F13938">
        <v>2020</v>
      </c>
      <c r="G13938">
        <v>0.03</v>
      </c>
    </row>
    <row r="13939" spans="1:7">
      <c r="A13939" t="s">
        <v>1297</v>
      </c>
      <c r="B13939" t="s">
        <v>1298</v>
      </c>
      <c r="C13939" t="s">
        <v>665</v>
      </c>
      <c r="D13939" t="s">
        <v>1439</v>
      </c>
      <c r="E13939" t="s">
        <v>187</v>
      </c>
      <c r="F13939">
        <v>2005</v>
      </c>
      <c r="G13939">
        <v>0.997</v>
      </c>
    </row>
    <row r="13940" spans="1:7">
      <c r="A13940" t="s">
        <v>1297</v>
      </c>
      <c r="B13940" t="s">
        <v>1298</v>
      </c>
      <c r="C13940" t="s">
        <v>665</v>
      </c>
      <c r="D13940" t="s">
        <v>1439</v>
      </c>
      <c r="E13940" t="s">
        <v>187</v>
      </c>
      <c r="F13940">
        <v>2010</v>
      </c>
      <c r="G13940">
        <v>0.57399999999999995</v>
      </c>
    </row>
    <row r="13941" spans="1:7">
      <c r="A13941" t="s">
        <v>1297</v>
      </c>
      <c r="B13941" t="s">
        <v>1298</v>
      </c>
      <c r="C13941" t="s">
        <v>665</v>
      </c>
      <c r="D13941" t="s">
        <v>1439</v>
      </c>
      <c r="E13941" t="s">
        <v>187</v>
      </c>
      <c r="F13941">
        <v>2012</v>
      </c>
      <c r="G13941">
        <v>0.67400000000000004</v>
      </c>
    </row>
    <row r="13942" spans="1:7">
      <c r="A13942" t="s">
        <v>1297</v>
      </c>
      <c r="B13942" t="s">
        <v>1298</v>
      </c>
      <c r="C13942" t="s">
        <v>665</v>
      </c>
      <c r="D13942" t="s">
        <v>1439</v>
      </c>
      <c r="E13942" t="s">
        <v>187</v>
      </c>
      <c r="F13942">
        <v>2016</v>
      </c>
      <c r="G13942">
        <v>0.56999999999999995</v>
      </c>
    </row>
    <row r="13943" spans="1:7">
      <c r="A13943" t="s">
        <v>1297</v>
      </c>
      <c r="B13943" t="s">
        <v>1298</v>
      </c>
      <c r="C13943" t="s">
        <v>665</v>
      </c>
      <c r="D13943" t="s">
        <v>1439</v>
      </c>
      <c r="E13943" t="s">
        <v>187</v>
      </c>
      <c r="F13943">
        <v>2020</v>
      </c>
      <c r="G13943">
        <v>0.69098099999999996</v>
      </c>
    </row>
    <row r="13944" spans="1:7">
      <c r="A13944" t="s">
        <v>1297</v>
      </c>
      <c r="B13944" t="s">
        <v>1298</v>
      </c>
      <c r="C13944" t="s">
        <v>680</v>
      </c>
      <c r="D13944" t="s">
        <v>1439</v>
      </c>
      <c r="E13944" t="s">
        <v>187</v>
      </c>
      <c r="F13944">
        <v>2005</v>
      </c>
      <c r="G13944">
        <v>0.224</v>
      </c>
    </row>
    <row r="13945" spans="1:7">
      <c r="A13945" t="s">
        <v>1297</v>
      </c>
      <c r="B13945" t="s">
        <v>1298</v>
      </c>
      <c r="C13945" t="s">
        <v>680</v>
      </c>
      <c r="D13945" t="s">
        <v>1439</v>
      </c>
      <c r="E13945" t="s">
        <v>187</v>
      </c>
      <c r="F13945">
        <v>2010</v>
      </c>
      <c r="G13945">
        <v>0.20300000000000001</v>
      </c>
    </row>
    <row r="13946" spans="1:7">
      <c r="A13946" t="s">
        <v>1297</v>
      </c>
      <c r="B13946" t="s">
        <v>1298</v>
      </c>
      <c r="C13946" t="s">
        <v>680</v>
      </c>
      <c r="D13946" t="s">
        <v>1439</v>
      </c>
      <c r="E13946" t="s">
        <v>187</v>
      </c>
      <c r="F13946">
        <v>2012</v>
      </c>
      <c r="G13946">
        <v>0.20300000000000001</v>
      </c>
    </row>
    <row r="13947" spans="1:7">
      <c r="A13947" t="s">
        <v>1297</v>
      </c>
      <c r="B13947" t="s">
        <v>1298</v>
      </c>
      <c r="C13947" t="s">
        <v>680</v>
      </c>
      <c r="D13947" t="s">
        <v>1439</v>
      </c>
      <c r="E13947" t="s">
        <v>187</v>
      </c>
      <c r="F13947">
        <v>2016</v>
      </c>
      <c r="G13947">
        <v>0.24</v>
      </c>
    </row>
    <row r="13948" spans="1:7">
      <c r="A13948" t="s">
        <v>1297</v>
      </c>
      <c r="B13948" t="s">
        <v>1298</v>
      </c>
      <c r="C13948" t="s">
        <v>680</v>
      </c>
      <c r="D13948" t="s">
        <v>1439</v>
      </c>
      <c r="E13948" t="s">
        <v>187</v>
      </c>
      <c r="F13948">
        <v>2020</v>
      </c>
      <c r="G13948">
        <v>0.24</v>
      </c>
    </row>
    <row r="13949" spans="1:7">
      <c r="A13949" t="s">
        <v>1297</v>
      </c>
      <c r="B13949" t="s">
        <v>1298</v>
      </c>
      <c r="C13949" t="s">
        <v>675</v>
      </c>
      <c r="D13949" t="s">
        <v>1439</v>
      </c>
      <c r="E13949" t="s">
        <v>187</v>
      </c>
      <c r="F13949">
        <v>2010</v>
      </c>
      <c r="G13949">
        <v>9.5000000000000001E-2</v>
      </c>
    </row>
    <row r="13950" spans="1:7">
      <c r="A13950" t="s">
        <v>1297</v>
      </c>
      <c r="B13950" t="s">
        <v>1298</v>
      </c>
      <c r="C13950" t="s">
        <v>675</v>
      </c>
      <c r="D13950" t="s">
        <v>1439</v>
      </c>
      <c r="E13950" t="s">
        <v>187</v>
      </c>
      <c r="F13950">
        <v>2012</v>
      </c>
      <c r="G13950">
        <v>0.114</v>
      </c>
    </row>
    <row r="13951" spans="1:7">
      <c r="A13951" t="s">
        <v>1297</v>
      </c>
      <c r="B13951" t="s">
        <v>1298</v>
      </c>
      <c r="C13951" t="s">
        <v>675</v>
      </c>
      <c r="D13951" t="s">
        <v>1439</v>
      </c>
      <c r="E13951" t="s">
        <v>187</v>
      </c>
      <c r="F13951">
        <v>2016</v>
      </c>
      <c r="G13951">
        <v>0.128</v>
      </c>
    </row>
    <row r="13952" spans="1:7">
      <c r="A13952" t="s">
        <v>1297</v>
      </c>
      <c r="B13952" t="s">
        <v>1298</v>
      </c>
      <c r="C13952" t="s">
        <v>675</v>
      </c>
      <c r="D13952" t="s">
        <v>1439</v>
      </c>
      <c r="E13952" t="s">
        <v>187</v>
      </c>
      <c r="F13952">
        <v>2020</v>
      </c>
      <c r="G13952">
        <v>8.8340000000000002E-2</v>
      </c>
    </row>
    <row r="13953" spans="1:7">
      <c r="A13953" t="s">
        <v>1297</v>
      </c>
      <c r="B13953" t="s">
        <v>1298</v>
      </c>
      <c r="C13953" t="s">
        <v>670</v>
      </c>
      <c r="D13953" t="s">
        <v>1439</v>
      </c>
      <c r="E13953" t="s">
        <v>187</v>
      </c>
      <c r="F13953">
        <v>2010</v>
      </c>
      <c r="G13953">
        <v>0.318</v>
      </c>
    </row>
    <row r="13954" spans="1:7">
      <c r="A13954" t="s">
        <v>1297</v>
      </c>
      <c r="B13954" t="s">
        <v>1298</v>
      </c>
      <c r="C13954" t="s">
        <v>670</v>
      </c>
      <c r="D13954" t="s">
        <v>1439</v>
      </c>
      <c r="E13954" t="s">
        <v>187</v>
      </c>
      <c r="F13954">
        <v>2012</v>
      </c>
      <c r="G13954">
        <v>0.495</v>
      </c>
    </row>
    <row r="13955" spans="1:7">
      <c r="A13955" t="s">
        <v>1297</v>
      </c>
      <c r="B13955" t="s">
        <v>1298</v>
      </c>
      <c r="C13955" t="s">
        <v>670</v>
      </c>
      <c r="D13955" t="s">
        <v>1439</v>
      </c>
      <c r="E13955" t="s">
        <v>187</v>
      </c>
      <c r="F13955">
        <v>2016</v>
      </c>
      <c r="G13955">
        <v>2.8439999999999999</v>
      </c>
    </row>
    <row r="13956" spans="1:7">
      <c r="A13956" t="s">
        <v>1297</v>
      </c>
      <c r="B13956" t="s">
        <v>1298</v>
      </c>
      <c r="C13956" t="s">
        <v>670</v>
      </c>
      <c r="D13956" t="s">
        <v>1439</v>
      </c>
      <c r="E13956" t="s">
        <v>187</v>
      </c>
      <c r="F13956">
        <v>2020</v>
      </c>
      <c r="G13956">
        <v>5.5639159999999999</v>
      </c>
    </row>
    <row r="13957" spans="1:7">
      <c r="A13957" t="s">
        <v>1297</v>
      </c>
      <c r="B13957" t="s">
        <v>1298</v>
      </c>
      <c r="C13957" t="s">
        <v>659</v>
      </c>
      <c r="D13957" t="s">
        <v>1439</v>
      </c>
      <c r="E13957" t="s">
        <v>187</v>
      </c>
      <c r="F13957">
        <v>2005</v>
      </c>
      <c r="G13957">
        <v>0.183</v>
      </c>
    </row>
    <row r="13958" spans="1:7">
      <c r="A13958" t="s">
        <v>1297</v>
      </c>
      <c r="B13958" t="s">
        <v>1298</v>
      </c>
      <c r="C13958" t="s">
        <v>659</v>
      </c>
      <c r="D13958" t="s">
        <v>1439</v>
      </c>
      <c r="E13958" t="s">
        <v>187</v>
      </c>
      <c r="F13958">
        <v>2010</v>
      </c>
      <c r="G13958">
        <v>0.183</v>
      </c>
    </row>
    <row r="13959" spans="1:7">
      <c r="A13959" t="s">
        <v>1297</v>
      </c>
      <c r="B13959" t="s">
        <v>1298</v>
      </c>
      <c r="C13959" t="s">
        <v>659</v>
      </c>
      <c r="D13959" t="s">
        <v>1439</v>
      </c>
      <c r="E13959" t="s">
        <v>187</v>
      </c>
      <c r="F13959">
        <v>2012</v>
      </c>
      <c r="G13959">
        <v>0.183</v>
      </c>
    </row>
    <row r="13960" spans="1:7">
      <c r="A13960" t="s">
        <v>1297</v>
      </c>
      <c r="B13960" t="s">
        <v>1298</v>
      </c>
      <c r="C13960" t="s">
        <v>659</v>
      </c>
      <c r="D13960" t="s">
        <v>1439</v>
      </c>
      <c r="E13960" t="s">
        <v>187</v>
      </c>
      <c r="F13960">
        <v>2016</v>
      </c>
      <c r="G13960">
        <v>0.183</v>
      </c>
    </row>
    <row r="13961" spans="1:7">
      <c r="A13961" t="s">
        <v>1297</v>
      </c>
      <c r="B13961" t="s">
        <v>1298</v>
      </c>
      <c r="C13961" t="s">
        <v>659</v>
      </c>
      <c r="D13961" t="s">
        <v>1439</v>
      </c>
      <c r="E13961" t="s">
        <v>187</v>
      </c>
      <c r="F13961">
        <v>2020</v>
      </c>
      <c r="G13961">
        <v>0.183</v>
      </c>
    </row>
    <row r="13962" spans="1:7">
      <c r="A13962" t="s">
        <v>1297</v>
      </c>
      <c r="B13962" t="s">
        <v>1298</v>
      </c>
      <c r="C13962" t="s">
        <v>673</v>
      </c>
      <c r="D13962" t="s">
        <v>1439</v>
      </c>
      <c r="E13962" t="s">
        <v>187</v>
      </c>
      <c r="F13962">
        <v>2016</v>
      </c>
      <c r="G13962">
        <v>5.0000000000000001E-3</v>
      </c>
    </row>
    <row r="13963" spans="1:7">
      <c r="A13963" t="s">
        <v>1297</v>
      </c>
      <c r="B13963" t="s">
        <v>1298</v>
      </c>
      <c r="C13963" t="s">
        <v>673</v>
      </c>
      <c r="D13963" t="s">
        <v>1439</v>
      </c>
      <c r="E13963" t="s">
        <v>187</v>
      </c>
      <c r="F13963">
        <v>2020</v>
      </c>
      <c r="G13963">
        <v>7.3249999999999999E-3</v>
      </c>
    </row>
    <row r="13964" spans="1:7">
      <c r="A13964" t="s">
        <v>1297</v>
      </c>
      <c r="B13964" t="s">
        <v>1298</v>
      </c>
      <c r="C13964" t="s">
        <v>685</v>
      </c>
      <c r="D13964" t="s">
        <v>1439</v>
      </c>
      <c r="E13964" t="s">
        <v>187</v>
      </c>
      <c r="F13964">
        <v>2005</v>
      </c>
      <c r="G13964">
        <v>0.31900000000000001</v>
      </c>
    </row>
    <row r="13965" spans="1:7">
      <c r="A13965" t="s">
        <v>1297</v>
      </c>
      <c r="B13965" t="s">
        <v>1298</v>
      </c>
      <c r="C13965" t="s">
        <v>685</v>
      </c>
      <c r="D13965" t="s">
        <v>1439</v>
      </c>
      <c r="E13965" t="s">
        <v>187</v>
      </c>
      <c r="F13965">
        <v>2010</v>
      </c>
      <c r="G13965">
        <v>0.34599999999999997</v>
      </c>
    </row>
    <row r="13966" spans="1:7">
      <c r="A13966" t="s">
        <v>1297</v>
      </c>
      <c r="B13966" t="s">
        <v>1298</v>
      </c>
      <c r="C13966" t="s">
        <v>685</v>
      </c>
      <c r="D13966" t="s">
        <v>1439</v>
      </c>
      <c r="E13966" t="s">
        <v>187</v>
      </c>
      <c r="F13966">
        <v>2012</v>
      </c>
      <c r="G13966">
        <v>0.309</v>
      </c>
    </row>
    <row r="13967" spans="1:7">
      <c r="A13967" t="s">
        <v>1297</v>
      </c>
      <c r="B13967" t="s">
        <v>1298</v>
      </c>
      <c r="C13967" t="s">
        <v>685</v>
      </c>
      <c r="D13967" t="s">
        <v>1439</v>
      </c>
      <c r="E13967" t="s">
        <v>187</v>
      </c>
      <c r="F13967">
        <v>2016</v>
      </c>
      <c r="G13967">
        <v>0.154865</v>
      </c>
    </row>
    <row r="13968" spans="1:7">
      <c r="A13968" t="s">
        <v>1297</v>
      </c>
      <c r="B13968" t="s">
        <v>1298</v>
      </c>
      <c r="C13968" t="s">
        <v>685</v>
      </c>
      <c r="D13968" t="s">
        <v>1439</v>
      </c>
      <c r="E13968" t="s">
        <v>187</v>
      </c>
      <c r="F13968">
        <v>2020</v>
      </c>
      <c r="G13968">
        <v>0.142814</v>
      </c>
    </row>
    <row r="13969" spans="1:7">
      <c r="A13969" t="s">
        <v>1297</v>
      </c>
      <c r="B13969" t="s">
        <v>1298</v>
      </c>
      <c r="C13969" t="s">
        <v>686</v>
      </c>
      <c r="D13969" t="s">
        <v>1439</v>
      </c>
      <c r="E13969" t="s">
        <v>187</v>
      </c>
      <c r="F13969">
        <v>2010</v>
      </c>
      <c r="G13969">
        <v>0.112</v>
      </c>
    </row>
    <row r="13970" spans="1:7">
      <c r="A13970" t="s">
        <v>1297</v>
      </c>
      <c r="B13970" t="s">
        <v>1298</v>
      </c>
      <c r="C13970" t="s">
        <v>686</v>
      </c>
      <c r="D13970" t="s">
        <v>1439</v>
      </c>
      <c r="E13970" t="s">
        <v>187</v>
      </c>
      <c r="F13970">
        <v>2012</v>
      </c>
      <c r="G13970">
        <v>0.156</v>
      </c>
    </row>
    <row r="13971" spans="1:7">
      <c r="A13971" t="s">
        <v>1297</v>
      </c>
      <c r="B13971" t="s">
        <v>1298</v>
      </c>
      <c r="C13971" t="s">
        <v>686</v>
      </c>
      <c r="D13971" t="s">
        <v>1439</v>
      </c>
      <c r="E13971" t="s">
        <v>187</v>
      </c>
      <c r="F13971">
        <v>2016</v>
      </c>
      <c r="G13971">
        <v>0.13200000000000001</v>
      </c>
    </row>
    <row r="13972" spans="1:7">
      <c r="A13972" t="s">
        <v>1297</v>
      </c>
      <c r="B13972" t="s">
        <v>1298</v>
      </c>
      <c r="C13972" t="s">
        <v>686</v>
      </c>
      <c r="D13972" t="s">
        <v>1439</v>
      </c>
      <c r="E13972" t="s">
        <v>187</v>
      </c>
      <c r="F13972">
        <v>2020</v>
      </c>
      <c r="G13972">
        <v>0.131719</v>
      </c>
    </row>
    <row r="13973" spans="1:7">
      <c r="A13973" t="s">
        <v>1297</v>
      </c>
      <c r="B13973" t="s">
        <v>1298</v>
      </c>
      <c r="C13973" t="s">
        <v>289</v>
      </c>
      <c r="D13973" t="s">
        <v>1439</v>
      </c>
      <c r="E13973" t="s">
        <v>187</v>
      </c>
      <c r="F13973">
        <v>2016</v>
      </c>
      <c r="G13973">
        <v>0.17</v>
      </c>
    </row>
    <row r="13974" spans="1:7">
      <c r="A13974" t="s">
        <v>1297</v>
      </c>
      <c r="B13974" t="s">
        <v>1298</v>
      </c>
      <c r="C13974" t="s">
        <v>289</v>
      </c>
      <c r="D13974" t="s">
        <v>1439</v>
      </c>
      <c r="E13974" t="s">
        <v>187</v>
      </c>
      <c r="F13974">
        <v>2020</v>
      </c>
      <c r="G13974">
        <v>0.1381</v>
      </c>
    </row>
    <row r="13975" spans="1:7">
      <c r="A13975" t="s">
        <v>1297</v>
      </c>
      <c r="B13975" t="s">
        <v>1298</v>
      </c>
      <c r="C13975" t="s">
        <v>1301</v>
      </c>
      <c r="D13975" t="s">
        <v>1439</v>
      </c>
      <c r="E13975" t="s">
        <v>187</v>
      </c>
      <c r="F13975">
        <v>2012</v>
      </c>
      <c r="G13975">
        <v>15.992000000000001</v>
      </c>
    </row>
    <row r="13976" spans="1:7">
      <c r="A13976" t="s">
        <v>1297</v>
      </c>
      <c r="B13976" t="s">
        <v>1298</v>
      </c>
      <c r="C13976" t="s">
        <v>1301</v>
      </c>
      <c r="D13976" t="s">
        <v>1439</v>
      </c>
      <c r="E13976" t="s">
        <v>187</v>
      </c>
      <c r="F13976">
        <v>2016</v>
      </c>
      <c r="G13976">
        <v>24.283000000000001</v>
      </c>
    </row>
    <row r="13977" spans="1:7">
      <c r="A13977" t="s">
        <v>1297</v>
      </c>
      <c r="B13977" t="s">
        <v>1298</v>
      </c>
      <c r="C13977" t="s">
        <v>1303</v>
      </c>
      <c r="D13977" t="s">
        <v>1439</v>
      </c>
      <c r="E13977" t="s">
        <v>187</v>
      </c>
      <c r="F13977">
        <v>2016</v>
      </c>
      <c r="G13977">
        <v>3.6999999999999998E-2</v>
      </c>
    </row>
    <row r="13978" spans="1:7">
      <c r="A13978" t="s">
        <v>1297</v>
      </c>
      <c r="B13978" t="s">
        <v>1298</v>
      </c>
      <c r="C13978" t="s">
        <v>1303</v>
      </c>
      <c r="D13978" t="s">
        <v>1439</v>
      </c>
      <c r="E13978" t="s">
        <v>187</v>
      </c>
      <c r="F13978">
        <v>2020</v>
      </c>
      <c r="G13978">
        <v>4.2599999999999999E-2</v>
      </c>
    </row>
    <row r="13979" spans="1:7">
      <c r="A13979" t="s">
        <v>1297</v>
      </c>
      <c r="B13979" t="s">
        <v>1298</v>
      </c>
      <c r="C13979" t="s">
        <v>661</v>
      </c>
      <c r="D13979" t="s">
        <v>1439</v>
      </c>
      <c r="E13979" t="s">
        <v>187</v>
      </c>
      <c r="F13979">
        <v>2005</v>
      </c>
      <c r="G13979">
        <v>0.191</v>
      </c>
    </row>
    <row r="13980" spans="1:7">
      <c r="A13980" t="s">
        <v>1297</v>
      </c>
      <c r="B13980" t="s">
        <v>1298</v>
      </c>
      <c r="C13980" t="s">
        <v>661</v>
      </c>
      <c r="D13980" t="s">
        <v>1439</v>
      </c>
      <c r="E13980" t="s">
        <v>187</v>
      </c>
      <c r="F13980">
        <v>2010</v>
      </c>
      <c r="G13980">
        <v>0.19116</v>
      </c>
    </row>
    <row r="13981" spans="1:7">
      <c r="A13981" t="s">
        <v>1297</v>
      </c>
      <c r="B13981" t="s">
        <v>1298</v>
      </c>
      <c r="C13981" t="s">
        <v>661</v>
      </c>
      <c r="D13981" t="s">
        <v>1439</v>
      </c>
      <c r="E13981" t="s">
        <v>187</v>
      </c>
      <c r="F13981">
        <v>2012</v>
      </c>
      <c r="G13981">
        <v>0.63504700000000003</v>
      </c>
    </row>
    <row r="13982" spans="1:7">
      <c r="A13982" t="s">
        <v>1297</v>
      </c>
      <c r="B13982" t="s">
        <v>1298</v>
      </c>
      <c r="C13982" t="s">
        <v>661</v>
      </c>
      <c r="D13982" t="s">
        <v>1439</v>
      </c>
      <c r="E13982" t="s">
        <v>187</v>
      </c>
      <c r="F13982">
        <v>2016</v>
      </c>
      <c r="G13982">
        <v>0.63504700000000003</v>
      </c>
    </row>
    <row r="13983" spans="1:7">
      <c r="A13983" t="s">
        <v>1297</v>
      </c>
      <c r="B13983" t="s">
        <v>1298</v>
      </c>
      <c r="C13983" t="s">
        <v>661</v>
      </c>
      <c r="D13983" t="s">
        <v>1439</v>
      </c>
      <c r="E13983" t="s">
        <v>187</v>
      </c>
      <c r="F13983">
        <v>2020</v>
      </c>
      <c r="G13983">
        <v>0.63504700000000003</v>
      </c>
    </row>
    <row r="13984" spans="1:7">
      <c r="A13984" t="s">
        <v>1297</v>
      </c>
      <c r="B13984" t="s">
        <v>1298</v>
      </c>
      <c r="C13984" t="s">
        <v>676</v>
      </c>
      <c r="D13984" t="s">
        <v>1440</v>
      </c>
      <c r="E13984" t="s">
        <v>187</v>
      </c>
      <c r="F13984">
        <v>2005</v>
      </c>
      <c r="G13984">
        <v>3.5000000000000003E-2</v>
      </c>
    </row>
    <row r="13985" spans="1:7">
      <c r="A13985" t="s">
        <v>1297</v>
      </c>
      <c r="B13985" t="s">
        <v>1298</v>
      </c>
      <c r="C13985" t="s">
        <v>676</v>
      </c>
      <c r="D13985" t="s">
        <v>1440</v>
      </c>
      <c r="E13985" t="s">
        <v>187</v>
      </c>
      <c r="F13985">
        <v>2010</v>
      </c>
      <c r="G13985">
        <v>4.8000000000000001E-2</v>
      </c>
    </row>
    <row r="13986" spans="1:7">
      <c r="A13986" t="s">
        <v>1297</v>
      </c>
      <c r="B13986" t="s">
        <v>1298</v>
      </c>
      <c r="C13986" t="s">
        <v>676</v>
      </c>
      <c r="D13986" t="s">
        <v>1440</v>
      </c>
      <c r="E13986" t="s">
        <v>187</v>
      </c>
      <c r="F13986">
        <v>2012</v>
      </c>
      <c r="G13986">
        <v>3.2000000000000001E-2</v>
      </c>
    </row>
    <row r="13987" spans="1:7">
      <c r="A13987" t="s">
        <v>1297</v>
      </c>
      <c r="B13987" t="s">
        <v>1298</v>
      </c>
      <c r="C13987" t="s">
        <v>676</v>
      </c>
      <c r="D13987" t="s">
        <v>1440</v>
      </c>
      <c r="E13987" t="s">
        <v>187</v>
      </c>
      <c r="F13987">
        <v>2016</v>
      </c>
      <c r="G13987">
        <v>3.4000000000000002E-2</v>
      </c>
    </row>
    <row r="13988" spans="1:7">
      <c r="A13988" t="s">
        <v>1297</v>
      </c>
      <c r="B13988" t="s">
        <v>1298</v>
      </c>
      <c r="C13988" t="s">
        <v>676</v>
      </c>
      <c r="D13988" t="s">
        <v>1440</v>
      </c>
      <c r="E13988" t="s">
        <v>187</v>
      </c>
      <c r="F13988">
        <v>2020</v>
      </c>
      <c r="G13988">
        <v>2.8000000000000001E-2</v>
      </c>
    </row>
    <row r="13989" spans="1:7">
      <c r="A13989" t="s">
        <v>1297</v>
      </c>
      <c r="B13989" t="s">
        <v>1298</v>
      </c>
      <c r="C13989" t="s">
        <v>651</v>
      </c>
      <c r="D13989" t="s">
        <v>1440</v>
      </c>
      <c r="E13989" t="s">
        <v>187</v>
      </c>
      <c r="F13989">
        <v>2005</v>
      </c>
      <c r="G13989">
        <v>0.26983000000000001</v>
      </c>
    </row>
    <row r="13990" spans="1:7">
      <c r="A13990" t="s">
        <v>1297</v>
      </c>
      <c r="B13990" t="s">
        <v>1298</v>
      </c>
      <c r="C13990" t="s">
        <v>651</v>
      </c>
      <c r="D13990" t="s">
        <v>1440</v>
      </c>
      <c r="E13990" t="s">
        <v>187</v>
      </c>
      <c r="F13990">
        <v>2010</v>
      </c>
      <c r="G13990">
        <v>0.32065199999999999</v>
      </c>
    </row>
    <row r="13991" spans="1:7">
      <c r="A13991" t="s">
        <v>1297</v>
      </c>
      <c r="B13991" t="s">
        <v>1298</v>
      </c>
      <c r="C13991" t="s">
        <v>651</v>
      </c>
      <c r="D13991" t="s">
        <v>1440</v>
      </c>
      <c r="E13991" t="s">
        <v>187</v>
      </c>
      <c r="F13991">
        <v>2012</v>
      </c>
      <c r="G13991">
        <v>0.345688</v>
      </c>
    </row>
    <row r="13992" spans="1:7">
      <c r="A13992" t="s">
        <v>1297</v>
      </c>
      <c r="B13992" t="s">
        <v>1298</v>
      </c>
      <c r="C13992" t="s">
        <v>651</v>
      </c>
      <c r="D13992" t="s">
        <v>1440</v>
      </c>
      <c r="E13992" t="s">
        <v>187</v>
      </c>
      <c r="F13992">
        <v>2016</v>
      </c>
      <c r="G13992">
        <v>0.30001299999999997</v>
      </c>
    </row>
    <row r="13993" spans="1:7">
      <c r="A13993" t="s">
        <v>1297</v>
      </c>
      <c r="B13993" t="s">
        <v>1298</v>
      </c>
      <c r="C13993" t="s">
        <v>651</v>
      </c>
      <c r="D13993" t="s">
        <v>1440</v>
      </c>
      <c r="E13993" t="s">
        <v>187</v>
      </c>
      <c r="F13993">
        <v>2020</v>
      </c>
      <c r="G13993">
        <v>0.47586699999999998</v>
      </c>
    </row>
    <row r="13994" spans="1:7">
      <c r="A13994" t="s">
        <v>1297</v>
      </c>
      <c r="B13994" t="s">
        <v>1298</v>
      </c>
      <c r="C13994" t="s">
        <v>661</v>
      </c>
      <c r="D13994" t="s">
        <v>1440</v>
      </c>
      <c r="E13994" t="s">
        <v>187</v>
      </c>
      <c r="F13994">
        <v>2005</v>
      </c>
      <c r="G13994">
        <v>0.60299999999999998</v>
      </c>
    </row>
    <row r="13995" spans="1:7">
      <c r="A13995" t="s">
        <v>1297</v>
      </c>
      <c r="B13995" t="s">
        <v>1298</v>
      </c>
      <c r="C13995" t="s">
        <v>661</v>
      </c>
      <c r="D13995" t="s">
        <v>1440</v>
      </c>
      <c r="E13995" t="s">
        <v>187</v>
      </c>
      <c r="F13995">
        <v>2010</v>
      </c>
      <c r="G13995">
        <v>0.60250400000000004</v>
      </c>
    </row>
    <row r="13996" spans="1:7">
      <c r="A13996" t="s">
        <v>1297</v>
      </c>
      <c r="B13996" t="s">
        <v>1298</v>
      </c>
      <c r="C13996" t="s">
        <v>661</v>
      </c>
      <c r="D13996" t="s">
        <v>1440</v>
      </c>
      <c r="E13996" t="s">
        <v>187</v>
      </c>
      <c r="F13996">
        <v>2012</v>
      </c>
      <c r="G13996">
        <v>0.743479</v>
      </c>
    </row>
    <row r="13997" spans="1:7">
      <c r="A13997" t="s">
        <v>1297</v>
      </c>
      <c r="B13997" t="s">
        <v>1298</v>
      </c>
      <c r="C13997" t="s">
        <v>661</v>
      </c>
      <c r="D13997" t="s">
        <v>1440</v>
      </c>
      <c r="E13997" t="s">
        <v>187</v>
      </c>
      <c r="F13997">
        <v>2016</v>
      </c>
      <c r="G13997">
        <v>0.70015000000000005</v>
      </c>
    </row>
    <row r="13998" spans="1:7">
      <c r="A13998" t="s">
        <v>1297</v>
      </c>
      <c r="B13998" t="s">
        <v>1298</v>
      </c>
      <c r="C13998" t="s">
        <v>661</v>
      </c>
      <c r="D13998" t="s">
        <v>1440</v>
      </c>
      <c r="E13998" t="s">
        <v>187</v>
      </c>
      <c r="F13998">
        <v>2020</v>
      </c>
      <c r="G13998">
        <v>0.70015000000000005</v>
      </c>
    </row>
    <row r="13999" spans="1:7">
      <c r="A13999" t="s">
        <v>1297</v>
      </c>
      <c r="B13999" t="s">
        <v>1298</v>
      </c>
      <c r="C13999" t="s">
        <v>662</v>
      </c>
      <c r="D13999" t="s">
        <v>1440</v>
      </c>
      <c r="E13999" t="s">
        <v>187</v>
      </c>
      <c r="F13999">
        <v>2005</v>
      </c>
      <c r="G13999">
        <v>0.19600000000000001</v>
      </c>
    </row>
    <row r="14000" spans="1:7">
      <c r="A14000" t="s">
        <v>1297</v>
      </c>
      <c r="B14000" t="s">
        <v>1298</v>
      </c>
      <c r="C14000" t="s">
        <v>662</v>
      </c>
      <c r="D14000" t="s">
        <v>1440</v>
      </c>
      <c r="E14000" t="s">
        <v>187</v>
      </c>
      <c r="F14000">
        <v>2010</v>
      </c>
      <c r="G14000">
        <v>0.246</v>
      </c>
    </row>
    <row r="14001" spans="1:7">
      <c r="A14001" t="s">
        <v>1297</v>
      </c>
      <c r="B14001" t="s">
        <v>1298</v>
      </c>
      <c r="C14001" t="s">
        <v>662</v>
      </c>
      <c r="D14001" t="s">
        <v>1440</v>
      </c>
      <c r="E14001" t="s">
        <v>187</v>
      </c>
      <c r="F14001">
        <v>2012</v>
      </c>
      <c r="G14001">
        <v>0.246</v>
      </c>
    </row>
    <row r="14002" spans="1:7">
      <c r="A14002" t="s">
        <v>1297</v>
      </c>
      <c r="B14002" t="s">
        <v>1298</v>
      </c>
      <c r="C14002" t="s">
        <v>662</v>
      </c>
      <c r="D14002" t="s">
        <v>1440</v>
      </c>
      <c r="E14002" t="s">
        <v>187</v>
      </c>
      <c r="F14002">
        <v>2016</v>
      </c>
      <c r="G14002">
        <v>0.251</v>
      </c>
    </row>
    <row r="14003" spans="1:7">
      <c r="A14003" t="s">
        <v>1297</v>
      </c>
      <c r="B14003" t="s">
        <v>1298</v>
      </c>
      <c r="C14003" t="s">
        <v>662</v>
      </c>
      <c r="D14003" t="s">
        <v>1440</v>
      </c>
      <c r="E14003" t="s">
        <v>187</v>
      </c>
      <c r="F14003">
        <v>2020</v>
      </c>
      <c r="G14003">
        <v>0.32200000000000001</v>
      </c>
    </row>
    <row r="14004" spans="1:7">
      <c r="A14004" t="s">
        <v>1297</v>
      </c>
      <c r="B14004" t="s">
        <v>1298</v>
      </c>
      <c r="C14004" t="s">
        <v>680</v>
      </c>
      <c r="D14004" t="s">
        <v>1440</v>
      </c>
      <c r="E14004" t="s">
        <v>187</v>
      </c>
      <c r="F14004">
        <v>2005</v>
      </c>
      <c r="G14004">
        <v>1.377</v>
      </c>
    </row>
    <row r="14005" spans="1:7">
      <c r="A14005" t="s">
        <v>1297</v>
      </c>
      <c r="B14005" t="s">
        <v>1298</v>
      </c>
      <c r="C14005" t="s">
        <v>656</v>
      </c>
      <c r="D14005" t="s">
        <v>1440</v>
      </c>
      <c r="E14005" t="s">
        <v>187</v>
      </c>
      <c r="F14005">
        <v>2012</v>
      </c>
      <c r="G14005">
        <v>1.93</v>
      </c>
    </row>
    <row r="14006" spans="1:7">
      <c r="A14006" t="s">
        <v>1297</v>
      </c>
      <c r="B14006" t="s">
        <v>1298</v>
      </c>
      <c r="C14006" t="s">
        <v>656</v>
      </c>
      <c r="D14006" t="s">
        <v>1440</v>
      </c>
      <c r="E14006" t="s">
        <v>187</v>
      </c>
      <c r="F14006">
        <v>2016</v>
      </c>
      <c r="G14006">
        <v>2.0830000000000002</v>
      </c>
    </row>
    <row r="14007" spans="1:7">
      <c r="A14007" t="s">
        <v>1297</v>
      </c>
      <c r="B14007" t="s">
        <v>1298</v>
      </c>
      <c r="C14007" t="s">
        <v>656</v>
      </c>
      <c r="D14007" t="s">
        <v>1440</v>
      </c>
      <c r="E14007" t="s">
        <v>187</v>
      </c>
      <c r="F14007">
        <v>2020</v>
      </c>
      <c r="G14007">
        <v>2.33</v>
      </c>
    </row>
    <row r="14008" spans="1:7">
      <c r="A14008" t="s">
        <v>1297</v>
      </c>
      <c r="B14008" t="s">
        <v>1298</v>
      </c>
      <c r="C14008" t="s">
        <v>675</v>
      </c>
      <c r="D14008" t="s">
        <v>1440</v>
      </c>
      <c r="E14008" t="s">
        <v>187</v>
      </c>
      <c r="F14008">
        <v>2010</v>
      </c>
      <c r="G14008">
        <v>0.63300000000000001</v>
      </c>
    </row>
    <row r="14009" spans="1:7">
      <c r="A14009" t="s">
        <v>1297</v>
      </c>
      <c r="B14009" t="s">
        <v>1298</v>
      </c>
      <c r="C14009" t="s">
        <v>675</v>
      </c>
      <c r="D14009" t="s">
        <v>1440</v>
      </c>
      <c r="E14009" t="s">
        <v>187</v>
      </c>
      <c r="F14009">
        <v>2012</v>
      </c>
      <c r="G14009">
        <v>0.45500000000000002</v>
      </c>
    </row>
    <row r="14010" spans="1:7">
      <c r="A14010" t="s">
        <v>1297</v>
      </c>
      <c r="B14010" t="s">
        <v>1298</v>
      </c>
      <c r="C14010" t="s">
        <v>675</v>
      </c>
      <c r="D14010" t="s">
        <v>1440</v>
      </c>
      <c r="E14010" t="s">
        <v>187</v>
      </c>
      <c r="F14010">
        <v>2016</v>
      </c>
      <c r="G14010">
        <v>0.36</v>
      </c>
    </row>
    <row r="14011" spans="1:7">
      <c r="A14011" t="s">
        <v>1297</v>
      </c>
      <c r="B14011" t="s">
        <v>1298</v>
      </c>
      <c r="C14011" t="s">
        <v>675</v>
      </c>
      <c r="D14011" t="s">
        <v>1440</v>
      </c>
      <c r="E14011" t="s">
        <v>187</v>
      </c>
      <c r="F14011">
        <v>2020</v>
      </c>
      <c r="G14011">
        <v>0.49371999999999999</v>
      </c>
    </row>
    <row r="14012" spans="1:7">
      <c r="A14012" t="s">
        <v>1297</v>
      </c>
      <c r="B14012" t="s">
        <v>1298</v>
      </c>
      <c r="C14012" t="s">
        <v>663</v>
      </c>
      <c r="D14012" t="s">
        <v>1440</v>
      </c>
      <c r="E14012" t="s">
        <v>187</v>
      </c>
      <c r="F14012">
        <v>2005</v>
      </c>
      <c r="G14012">
        <v>2.7240000000000002</v>
      </c>
    </row>
    <row r="14013" spans="1:7">
      <c r="A14013" t="s">
        <v>1297</v>
      </c>
      <c r="B14013" t="s">
        <v>1298</v>
      </c>
      <c r="C14013" t="s">
        <v>663</v>
      </c>
      <c r="D14013" t="s">
        <v>1440</v>
      </c>
      <c r="E14013" t="s">
        <v>187</v>
      </c>
      <c r="F14013">
        <v>2010</v>
      </c>
      <c r="G14013">
        <v>3.274</v>
      </c>
    </row>
    <row r="14014" spans="1:7">
      <c r="A14014" t="s">
        <v>1297</v>
      </c>
      <c r="B14014" t="s">
        <v>1298</v>
      </c>
      <c r="C14014" t="s">
        <v>663</v>
      </c>
      <c r="D14014" t="s">
        <v>1440</v>
      </c>
      <c r="E14014" t="s">
        <v>187</v>
      </c>
      <c r="F14014">
        <v>2012</v>
      </c>
      <c r="G14014">
        <v>3.4380000000000002</v>
      </c>
    </row>
    <row r="14015" spans="1:7">
      <c r="A14015" t="s">
        <v>1297</v>
      </c>
      <c r="B14015" t="s">
        <v>1298</v>
      </c>
      <c r="C14015" t="s">
        <v>663</v>
      </c>
      <c r="D14015" t="s">
        <v>1440</v>
      </c>
      <c r="E14015" t="s">
        <v>187</v>
      </c>
      <c r="F14015">
        <v>2016</v>
      </c>
      <c r="G14015">
        <v>0.69099999999999995</v>
      </c>
    </row>
    <row r="14016" spans="1:7">
      <c r="A14016" t="s">
        <v>1297</v>
      </c>
      <c r="B14016" t="s">
        <v>1298</v>
      </c>
      <c r="C14016" t="s">
        <v>663</v>
      </c>
      <c r="D14016" t="s">
        <v>1440</v>
      </c>
      <c r="E14016" t="s">
        <v>187</v>
      </c>
      <c r="F14016">
        <v>2020</v>
      </c>
      <c r="G14016">
        <v>1.0069999999999999</v>
      </c>
    </row>
    <row r="14017" spans="1:7">
      <c r="A14017" t="s">
        <v>1297</v>
      </c>
      <c r="B14017" t="s">
        <v>1298</v>
      </c>
      <c r="C14017" t="s">
        <v>672</v>
      </c>
      <c r="D14017" t="s">
        <v>1440</v>
      </c>
      <c r="E14017" t="s">
        <v>187</v>
      </c>
      <c r="F14017">
        <v>2005</v>
      </c>
      <c r="G14017">
        <v>4.2000000000000003E-2</v>
      </c>
    </row>
    <row r="14018" spans="1:7">
      <c r="A14018" t="s">
        <v>1297</v>
      </c>
      <c r="B14018" t="s">
        <v>1298</v>
      </c>
      <c r="C14018" t="s">
        <v>672</v>
      </c>
      <c r="D14018" t="s">
        <v>1440</v>
      </c>
      <c r="E14018" t="s">
        <v>187</v>
      </c>
      <c r="F14018">
        <v>2010</v>
      </c>
      <c r="G14018">
        <v>4.2000000000000003E-2</v>
      </c>
    </row>
    <row r="14019" spans="1:7">
      <c r="A14019" t="s">
        <v>1297</v>
      </c>
      <c r="B14019" t="s">
        <v>1298</v>
      </c>
      <c r="C14019" t="s">
        <v>672</v>
      </c>
      <c r="D14019" t="s">
        <v>1440</v>
      </c>
      <c r="E14019" t="s">
        <v>187</v>
      </c>
      <c r="F14019">
        <v>2012</v>
      </c>
      <c r="G14019">
        <v>6.5000000000000002E-2</v>
      </c>
    </row>
    <row r="14020" spans="1:7">
      <c r="A14020" t="s">
        <v>1297</v>
      </c>
      <c r="B14020" t="s">
        <v>1298</v>
      </c>
      <c r="C14020" t="s">
        <v>672</v>
      </c>
      <c r="D14020" t="s">
        <v>1440</v>
      </c>
      <c r="E14020" t="s">
        <v>187</v>
      </c>
      <c r="F14020">
        <v>2016</v>
      </c>
      <c r="G14020">
        <v>5.7000000000000002E-2</v>
      </c>
    </row>
    <row r="14021" spans="1:7">
      <c r="A14021" t="s">
        <v>1297</v>
      </c>
      <c r="B14021" t="s">
        <v>1298</v>
      </c>
      <c r="C14021" t="s">
        <v>672</v>
      </c>
      <c r="D14021" t="s">
        <v>1440</v>
      </c>
      <c r="E14021" t="s">
        <v>187</v>
      </c>
      <c r="F14021">
        <v>2020</v>
      </c>
      <c r="G14021">
        <v>7.1999999999999995E-2</v>
      </c>
    </row>
    <row r="14022" spans="1:7">
      <c r="A14022" t="s">
        <v>1297</v>
      </c>
      <c r="B14022" t="s">
        <v>1298</v>
      </c>
      <c r="C14022" t="s">
        <v>1303</v>
      </c>
      <c r="D14022" t="s">
        <v>1440</v>
      </c>
      <c r="E14022" t="s">
        <v>187</v>
      </c>
      <c r="F14022">
        <v>2016</v>
      </c>
      <c r="G14022">
        <v>0.35099999999999998</v>
      </c>
    </row>
    <row r="14023" spans="1:7">
      <c r="A14023" t="s">
        <v>1297</v>
      </c>
      <c r="B14023" t="s">
        <v>1298</v>
      </c>
      <c r="C14023" t="s">
        <v>1303</v>
      </c>
      <c r="D14023" t="s">
        <v>1440</v>
      </c>
      <c r="E14023" t="s">
        <v>187</v>
      </c>
      <c r="F14023">
        <v>2020</v>
      </c>
      <c r="G14023">
        <v>0.372</v>
      </c>
    </row>
    <row r="14024" spans="1:7">
      <c r="A14024" t="s">
        <v>1297</v>
      </c>
      <c r="B14024" t="s">
        <v>1298</v>
      </c>
      <c r="C14024" t="s">
        <v>665</v>
      </c>
      <c r="D14024" t="s">
        <v>1440</v>
      </c>
      <c r="E14024" t="s">
        <v>187</v>
      </c>
      <c r="F14024">
        <v>2005</v>
      </c>
      <c r="G14024">
        <v>5.5289999999999999</v>
      </c>
    </row>
    <row r="14025" spans="1:7">
      <c r="A14025" t="s">
        <v>1297</v>
      </c>
      <c r="B14025" t="s">
        <v>1298</v>
      </c>
      <c r="C14025" t="s">
        <v>665</v>
      </c>
      <c r="D14025" t="s">
        <v>1440</v>
      </c>
      <c r="E14025" t="s">
        <v>187</v>
      </c>
      <c r="F14025">
        <v>2010</v>
      </c>
      <c r="G14025">
        <v>3.1850000000000001</v>
      </c>
    </row>
    <row r="14026" spans="1:7">
      <c r="A14026" t="s">
        <v>1297</v>
      </c>
      <c r="B14026" t="s">
        <v>1298</v>
      </c>
      <c r="C14026" t="s">
        <v>665</v>
      </c>
      <c r="D14026" t="s">
        <v>1440</v>
      </c>
      <c r="E14026" t="s">
        <v>187</v>
      </c>
      <c r="F14026">
        <v>2012</v>
      </c>
      <c r="G14026">
        <v>3.2240000000000002</v>
      </c>
    </row>
    <row r="14027" spans="1:7">
      <c r="A14027" t="s">
        <v>1297</v>
      </c>
      <c r="B14027" t="s">
        <v>1298</v>
      </c>
      <c r="C14027" t="s">
        <v>665</v>
      </c>
      <c r="D14027" t="s">
        <v>1440</v>
      </c>
      <c r="E14027" t="s">
        <v>187</v>
      </c>
      <c r="F14027">
        <v>2016</v>
      </c>
      <c r="G14027">
        <v>3.1859999999999999</v>
      </c>
    </row>
    <row r="14028" spans="1:7">
      <c r="A14028" t="s">
        <v>1297</v>
      </c>
      <c r="B14028" t="s">
        <v>1298</v>
      </c>
      <c r="C14028" t="s">
        <v>665</v>
      </c>
      <c r="D14028" t="s">
        <v>1440</v>
      </c>
      <c r="E14028" t="s">
        <v>187</v>
      </c>
      <c r="F14028">
        <v>2020</v>
      </c>
      <c r="G14028">
        <v>3.2940680000000002</v>
      </c>
    </row>
    <row r="14029" spans="1:7">
      <c r="A14029" t="s">
        <v>1297</v>
      </c>
      <c r="B14029" t="s">
        <v>1298</v>
      </c>
      <c r="C14029" t="s">
        <v>677</v>
      </c>
      <c r="D14029" t="s">
        <v>1440</v>
      </c>
      <c r="E14029" t="s">
        <v>187</v>
      </c>
      <c r="F14029">
        <v>2005</v>
      </c>
      <c r="G14029">
        <v>3.3000000000000002E-2</v>
      </c>
    </row>
    <row r="14030" spans="1:7">
      <c r="A14030" t="s">
        <v>1297</v>
      </c>
      <c r="B14030" t="s">
        <v>1298</v>
      </c>
      <c r="C14030" t="s">
        <v>677</v>
      </c>
      <c r="D14030" t="s">
        <v>1440</v>
      </c>
      <c r="E14030" t="s">
        <v>187</v>
      </c>
      <c r="F14030">
        <v>2010</v>
      </c>
      <c r="G14030">
        <v>3.3000000000000002E-2</v>
      </c>
    </row>
    <row r="14031" spans="1:7">
      <c r="A14031" t="s">
        <v>1297</v>
      </c>
      <c r="B14031" t="s">
        <v>1298</v>
      </c>
      <c r="C14031" t="s">
        <v>677</v>
      </c>
      <c r="D14031" t="s">
        <v>1440</v>
      </c>
      <c r="E14031" t="s">
        <v>187</v>
      </c>
      <c r="F14031">
        <v>2012</v>
      </c>
      <c r="G14031">
        <v>3.3000000000000002E-2</v>
      </c>
    </row>
    <row r="14032" spans="1:7">
      <c r="A14032" t="s">
        <v>1297</v>
      </c>
      <c r="B14032" t="s">
        <v>1298</v>
      </c>
      <c r="C14032" t="s">
        <v>677</v>
      </c>
      <c r="D14032" t="s">
        <v>1440</v>
      </c>
      <c r="E14032" t="s">
        <v>187</v>
      </c>
      <c r="F14032">
        <v>2016</v>
      </c>
      <c r="G14032">
        <v>1.7000000000000001E-2</v>
      </c>
    </row>
    <row r="14033" spans="1:7">
      <c r="A14033" t="s">
        <v>1297</v>
      </c>
      <c r="B14033" t="s">
        <v>1298</v>
      </c>
      <c r="C14033" t="s">
        <v>677</v>
      </c>
      <c r="D14033" t="s">
        <v>1440</v>
      </c>
      <c r="E14033" t="s">
        <v>187</v>
      </c>
      <c r="F14033">
        <v>2020</v>
      </c>
      <c r="G14033">
        <v>1.7000000000000001E-2</v>
      </c>
    </row>
    <row r="14034" spans="1:7">
      <c r="A14034" t="s">
        <v>1297</v>
      </c>
      <c r="B14034" t="s">
        <v>1298</v>
      </c>
      <c r="C14034" t="s">
        <v>659</v>
      </c>
      <c r="D14034" t="s">
        <v>1440</v>
      </c>
      <c r="E14034" t="s">
        <v>187</v>
      </c>
      <c r="F14034">
        <v>2005</v>
      </c>
      <c r="G14034">
        <v>4.2000000000000003E-2</v>
      </c>
    </row>
    <row r="14035" spans="1:7">
      <c r="A14035" t="s">
        <v>1297</v>
      </c>
      <c r="B14035" t="s">
        <v>1298</v>
      </c>
      <c r="C14035" t="s">
        <v>659</v>
      </c>
      <c r="D14035" t="s">
        <v>1440</v>
      </c>
      <c r="E14035" t="s">
        <v>187</v>
      </c>
      <c r="F14035">
        <v>2010</v>
      </c>
      <c r="G14035">
        <v>0.108</v>
      </c>
    </row>
    <row r="14036" spans="1:7">
      <c r="A14036" t="s">
        <v>1297</v>
      </c>
      <c r="B14036" t="s">
        <v>1298</v>
      </c>
      <c r="C14036" t="s">
        <v>659</v>
      </c>
      <c r="D14036" t="s">
        <v>1440</v>
      </c>
      <c r="E14036" t="s">
        <v>187</v>
      </c>
      <c r="F14036">
        <v>2012</v>
      </c>
      <c r="G14036">
        <v>0.124</v>
      </c>
    </row>
    <row r="14037" spans="1:7">
      <c r="A14037" t="s">
        <v>1297</v>
      </c>
      <c r="B14037" t="s">
        <v>1298</v>
      </c>
      <c r="C14037" t="s">
        <v>659</v>
      </c>
      <c r="D14037" t="s">
        <v>1440</v>
      </c>
      <c r="E14037" t="s">
        <v>187</v>
      </c>
      <c r="F14037">
        <v>2016</v>
      </c>
      <c r="G14037">
        <v>0.157</v>
      </c>
    </row>
    <row r="14038" spans="1:7">
      <c r="A14038" t="s">
        <v>1297</v>
      </c>
      <c r="B14038" t="s">
        <v>1298</v>
      </c>
      <c r="C14038" t="s">
        <v>659</v>
      </c>
      <c r="D14038" t="s">
        <v>1440</v>
      </c>
      <c r="E14038" t="s">
        <v>187</v>
      </c>
      <c r="F14038">
        <v>2020</v>
      </c>
      <c r="G14038">
        <v>0.157</v>
      </c>
    </row>
    <row r="14039" spans="1:7">
      <c r="A14039" t="s">
        <v>1297</v>
      </c>
      <c r="B14039" t="s">
        <v>1298</v>
      </c>
      <c r="C14039" t="s">
        <v>680</v>
      </c>
      <c r="D14039" t="s">
        <v>1440</v>
      </c>
      <c r="E14039" t="s">
        <v>187</v>
      </c>
      <c r="F14039">
        <v>2010</v>
      </c>
      <c r="G14039">
        <v>1.59</v>
      </c>
    </row>
    <row r="14040" spans="1:7">
      <c r="A14040" t="s">
        <v>1297</v>
      </c>
      <c r="B14040" t="s">
        <v>1298</v>
      </c>
      <c r="C14040" t="s">
        <v>680</v>
      </c>
      <c r="D14040" t="s">
        <v>1440</v>
      </c>
      <c r="E14040" t="s">
        <v>187</v>
      </c>
      <c r="F14040">
        <v>2012</v>
      </c>
      <c r="G14040">
        <v>1.59</v>
      </c>
    </row>
    <row r="14041" spans="1:7">
      <c r="A14041" t="s">
        <v>1297</v>
      </c>
      <c r="B14041" t="s">
        <v>1298</v>
      </c>
      <c r="C14041" t="s">
        <v>680</v>
      </c>
      <c r="D14041" t="s">
        <v>1440</v>
      </c>
      <c r="E14041" t="s">
        <v>187</v>
      </c>
      <c r="F14041">
        <v>2016</v>
      </c>
      <c r="G14041">
        <v>1.589</v>
      </c>
    </row>
    <row r="14042" spans="1:7">
      <c r="A14042" t="s">
        <v>1297</v>
      </c>
      <c r="B14042" t="s">
        <v>1298</v>
      </c>
      <c r="C14042" t="s">
        <v>680</v>
      </c>
      <c r="D14042" t="s">
        <v>1440</v>
      </c>
      <c r="E14042" t="s">
        <v>187</v>
      </c>
      <c r="F14042">
        <v>2020</v>
      </c>
      <c r="G14042">
        <v>1.587</v>
      </c>
    </row>
    <row r="14043" spans="1:7">
      <c r="A14043" t="s">
        <v>1297</v>
      </c>
      <c r="B14043" t="s">
        <v>1298</v>
      </c>
      <c r="C14043" t="s">
        <v>686</v>
      </c>
      <c r="D14043" t="s">
        <v>1440</v>
      </c>
      <c r="E14043" t="s">
        <v>187</v>
      </c>
      <c r="F14043">
        <v>2010</v>
      </c>
      <c r="G14043">
        <v>0.112</v>
      </c>
    </row>
    <row r="14044" spans="1:7">
      <c r="A14044" t="s">
        <v>1297</v>
      </c>
      <c r="B14044" t="s">
        <v>1298</v>
      </c>
      <c r="C14044" t="s">
        <v>686</v>
      </c>
      <c r="D14044" t="s">
        <v>1440</v>
      </c>
      <c r="E14044" t="s">
        <v>187</v>
      </c>
      <c r="F14044">
        <v>2012</v>
      </c>
      <c r="G14044">
        <v>0.104</v>
      </c>
    </row>
    <row r="14045" spans="1:7">
      <c r="A14045" t="s">
        <v>1297</v>
      </c>
      <c r="B14045" t="s">
        <v>1298</v>
      </c>
      <c r="C14045" t="s">
        <v>686</v>
      </c>
      <c r="D14045" t="s">
        <v>1440</v>
      </c>
      <c r="E14045" t="s">
        <v>187</v>
      </c>
      <c r="F14045">
        <v>2016</v>
      </c>
      <c r="G14045">
        <v>8.2000000000000003E-2</v>
      </c>
    </row>
    <row r="14046" spans="1:7">
      <c r="A14046" t="s">
        <v>1297</v>
      </c>
      <c r="B14046" t="s">
        <v>1298</v>
      </c>
      <c r="C14046" t="s">
        <v>686</v>
      </c>
      <c r="D14046" t="s">
        <v>1440</v>
      </c>
      <c r="E14046" t="s">
        <v>187</v>
      </c>
      <c r="F14046">
        <v>2020</v>
      </c>
      <c r="G14046">
        <v>8.7687000000000001E-2</v>
      </c>
    </row>
    <row r="14047" spans="1:7">
      <c r="A14047" t="s">
        <v>1297</v>
      </c>
      <c r="B14047" t="s">
        <v>1298</v>
      </c>
      <c r="C14047" t="s">
        <v>671</v>
      </c>
      <c r="D14047" t="s">
        <v>1440</v>
      </c>
      <c r="E14047" t="s">
        <v>187</v>
      </c>
      <c r="F14047">
        <v>2005</v>
      </c>
      <c r="G14047">
        <v>0.09</v>
      </c>
    </row>
    <row r="14048" spans="1:7">
      <c r="A14048" t="s">
        <v>1297</v>
      </c>
      <c r="B14048" t="s">
        <v>1298</v>
      </c>
      <c r="C14048" t="s">
        <v>671</v>
      </c>
      <c r="D14048" t="s">
        <v>1440</v>
      </c>
      <c r="E14048" t="s">
        <v>187</v>
      </c>
      <c r="F14048">
        <v>2010</v>
      </c>
      <c r="G14048">
        <v>0.123</v>
      </c>
    </row>
    <row r="14049" spans="1:7">
      <c r="A14049" t="s">
        <v>1297</v>
      </c>
      <c r="B14049" t="s">
        <v>1298</v>
      </c>
      <c r="C14049" t="s">
        <v>671</v>
      </c>
      <c r="D14049" t="s">
        <v>1440</v>
      </c>
      <c r="E14049" t="s">
        <v>187</v>
      </c>
      <c r="F14049">
        <v>2012</v>
      </c>
      <c r="G14049">
        <v>0.151</v>
      </c>
    </row>
    <row r="14050" spans="1:7">
      <c r="A14050" t="s">
        <v>1297</v>
      </c>
      <c r="B14050" t="s">
        <v>1298</v>
      </c>
      <c r="C14050" t="s">
        <v>671</v>
      </c>
      <c r="D14050" t="s">
        <v>1440</v>
      </c>
      <c r="E14050" t="s">
        <v>187</v>
      </c>
      <c r="F14050">
        <v>2016</v>
      </c>
      <c r="G14050">
        <v>0.22500000000000001</v>
      </c>
    </row>
    <row r="14051" spans="1:7">
      <c r="A14051" t="s">
        <v>1297</v>
      </c>
      <c r="B14051" t="s">
        <v>1298</v>
      </c>
      <c r="C14051" t="s">
        <v>671</v>
      </c>
      <c r="D14051" t="s">
        <v>1440</v>
      </c>
      <c r="E14051" t="s">
        <v>187</v>
      </c>
      <c r="F14051">
        <v>2020</v>
      </c>
      <c r="G14051">
        <v>0.2626</v>
      </c>
    </row>
    <row r="14052" spans="1:7">
      <c r="A14052" t="s">
        <v>1297</v>
      </c>
      <c r="B14052" t="s">
        <v>1298</v>
      </c>
      <c r="C14052" t="s">
        <v>673</v>
      </c>
      <c r="D14052" t="s">
        <v>1440</v>
      </c>
      <c r="E14052" t="s">
        <v>187</v>
      </c>
      <c r="F14052">
        <v>2005</v>
      </c>
      <c r="G14052">
        <v>0.46100000000000002</v>
      </c>
    </row>
    <row r="14053" spans="1:7">
      <c r="A14053" t="s">
        <v>1297</v>
      </c>
      <c r="B14053" t="s">
        <v>1298</v>
      </c>
      <c r="C14053" t="s">
        <v>673</v>
      </c>
      <c r="D14053" t="s">
        <v>1440</v>
      </c>
      <c r="E14053" t="s">
        <v>187</v>
      </c>
      <c r="F14053">
        <v>2010</v>
      </c>
      <c r="G14053">
        <v>0.17699999999999999</v>
      </c>
    </row>
    <row r="14054" spans="1:7">
      <c r="A14054" t="s">
        <v>1297</v>
      </c>
      <c r="B14054" t="s">
        <v>1298</v>
      </c>
      <c r="C14054" t="s">
        <v>673</v>
      </c>
      <c r="D14054" t="s">
        <v>1440</v>
      </c>
      <c r="E14054" t="s">
        <v>187</v>
      </c>
      <c r="F14054">
        <v>2012</v>
      </c>
      <c r="G14054">
        <v>0.376</v>
      </c>
    </row>
    <row r="14055" spans="1:7">
      <c r="A14055" t="s">
        <v>1297</v>
      </c>
      <c r="B14055" t="s">
        <v>1298</v>
      </c>
      <c r="C14055" t="s">
        <v>673</v>
      </c>
      <c r="D14055" t="s">
        <v>1440</v>
      </c>
      <c r="E14055" t="s">
        <v>187</v>
      </c>
      <c r="F14055">
        <v>2016</v>
      </c>
      <c r="G14055">
        <v>0.78500000000000003</v>
      </c>
    </row>
    <row r="14056" spans="1:7">
      <c r="A14056" t="s">
        <v>1297</v>
      </c>
      <c r="B14056" t="s">
        <v>1298</v>
      </c>
      <c r="C14056" t="s">
        <v>673</v>
      </c>
      <c r="D14056" t="s">
        <v>1440</v>
      </c>
      <c r="E14056" t="s">
        <v>187</v>
      </c>
      <c r="F14056">
        <v>2020</v>
      </c>
      <c r="G14056">
        <v>0.88614999999999999</v>
      </c>
    </row>
    <row r="14057" spans="1:7">
      <c r="A14057" t="s">
        <v>1297</v>
      </c>
      <c r="B14057" t="s">
        <v>1298</v>
      </c>
      <c r="C14057" t="s">
        <v>289</v>
      </c>
      <c r="D14057" t="s">
        <v>1440</v>
      </c>
      <c r="E14057" t="s">
        <v>187</v>
      </c>
      <c r="F14057">
        <v>2010</v>
      </c>
      <c r="G14057">
        <v>0.28499999999999998</v>
      </c>
    </row>
    <row r="14058" spans="1:7">
      <c r="A14058" t="s">
        <v>1297</v>
      </c>
      <c r="B14058" t="s">
        <v>1298</v>
      </c>
      <c r="C14058" t="s">
        <v>289</v>
      </c>
      <c r="D14058" t="s">
        <v>1440</v>
      </c>
      <c r="E14058" t="s">
        <v>187</v>
      </c>
      <c r="F14058">
        <v>2012</v>
      </c>
      <c r="G14058">
        <v>0.29099999999999998</v>
      </c>
    </row>
    <row r="14059" spans="1:7">
      <c r="A14059" t="s">
        <v>1297</v>
      </c>
      <c r="B14059" t="s">
        <v>1298</v>
      </c>
      <c r="C14059" t="s">
        <v>289</v>
      </c>
      <c r="D14059" t="s">
        <v>1440</v>
      </c>
      <c r="E14059" t="s">
        <v>187</v>
      </c>
      <c r="F14059">
        <v>2016</v>
      </c>
      <c r="G14059">
        <v>0.20899999999999999</v>
      </c>
    </row>
    <row r="14060" spans="1:7">
      <c r="A14060" t="s">
        <v>1297</v>
      </c>
      <c r="B14060" t="s">
        <v>1298</v>
      </c>
      <c r="C14060" t="s">
        <v>289</v>
      </c>
      <c r="D14060" t="s">
        <v>1440</v>
      </c>
      <c r="E14060" t="s">
        <v>187</v>
      </c>
      <c r="F14060">
        <v>2020</v>
      </c>
      <c r="G14060">
        <v>0.16270000000000001</v>
      </c>
    </row>
    <row r="14061" spans="1:7">
      <c r="A14061" t="s">
        <v>1297</v>
      </c>
      <c r="B14061" t="s">
        <v>1298</v>
      </c>
      <c r="C14061" t="s">
        <v>653</v>
      </c>
      <c r="D14061" t="s">
        <v>1440</v>
      </c>
      <c r="E14061" t="s">
        <v>187</v>
      </c>
      <c r="F14061">
        <v>2005</v>
      </c>
      <c r="G14061">
        <v>1.3680000000000001</v>
      </c>
    </row>
    <row r="14062" spans="1:7">
      <c r="A14062" t="s">
        <v>1297</v>
      </c>
      <c r="B14062" t="s">
        <v>1298</v>
      </c>
      <c r="C14062" t="s">
        <v>653</v>
      </c>
      <c r="D14062" t="s">
        <v>1440</v>
      </c>
      <c r="E14062" t="s">
        <v>187</v>
      </c>
      <c r="F14062">
        <v>2010</v>
      </c>
      <c r="G14062">
        <v>1.3680000000000001</v>
      </c>
    </row>
    <row r="14063" spans="1:7">
      <c r="A14063" t="s">
        <v>1297</v>
      </c>
      <c r="B14063" t="s">
        <v>1298</v>
      </c>
      <c r="C14063" t="s">
        <v>653</v>
      </c>
      <c r="D14063" t="s">
        <v>1440</v>
      </c>
      <c r="E14063" t="s">
        <v>187</v>
      </c>
      <c r="F14063">
        <v>2012</v>
      </c>
      <c r="G14063">
        <v>1.4</v>
      </c>
    </row>
    <row r="14064" spans="1:7">
      <c r="A14064" t="s">
        <v>1297</v>
      </c>
      <c r="B14064" t="s">
        <v>1298</v>
      </c>
      <c r="C14064" t="s">
        <v>653</v>
      </c>
      <c r="D14064" t="s">
        <v>1440</v>
      </c>
      <c r="E14064" t="s">
        <v>187</v>
      </c>
      <c r="F14064">
        <v>2016</v>
      </c>
      <c r="G14064">
        <v>1.45</v>
      </c>
    </row>
    <row r="14065" spans="1:7">
      <c r="A14065" t="s">
        <v>1297</v>
      </c>
      <c r="B14065" t="s">
        <v>1298</v>
      </c>
      <c r="C14065" t="s">
        <v>653</v>
      </c>
      <c r="D14065" t="s">
        <v>1440</v>
      </c>
      <c r="E14065" t="s">
        <v>187</v>
      </c>
      <c r="F14065">
        <v>2020</v>
      </c>
      <c r="G14065">
        <v>1.47</v>
      </c>
    </row>
    <row r="14066" spans="1:7">
      <c r="A14066" t="s">
        <v>1297</v>
      </c>
      <c r="B14066" t="s">
        <v>1298</v>
      </c>
      <c r="C14066" t="s">
        <v>685</v>
      </c>
      <c r="D14066" t="s">
        <v>1440</v>
      </c>
      <c r="E14066" t="s">
        <v>187</v>
      </c>
      <c r="F14066">
        <v>2005</v>
      </c>
      <c r="G14066">
        <v>5.8000000000000003E-2</v>
      </c>
    </row>
    <row r="14067" spans="1:7">
      <c r="A14067" t="s">
        <v>1297</v>
      </c>
      <c r="B14067" t="s">
        <v>1298</v>
      </c>
      <c r="C14067" t="s">
        <v>685</v>
      </c>
      <c r="D14067" t="s">
        <v>1440</v>
      </c>
      <c r="E14067" t="s">
        <v>187</v>
      </c>
      <c r="F14067">
        <v>2010</v>
      </c>
      <c r="G14067">
        <v>6.7000000000000004E-2</v>
      </c>
    </row>
    <row r="14068" spans="1:7">
      <c r="A14068" t="s">
        <v>1297</v>
      </c>
      <c r="B14068" t="s">
        <v>1298</v>
      </c>
      <c r="C14068" t="s">
        <v>685</v>
      </c>
      <c r="D14068" t="s">
        <v>1440</v>
      </c>
      <c r="E14068" t="s">
        <v>187</v>
      </c>
      <c r="F14068">
        <v>2012</v>
      </c>
      <c r="G14068">
        <v>8.6999999999999994E-2</v>
      </c>
    </row>
    <row r="14069" spans="1:7">
      <c r="A14069" t="s">
        <v>1297</v>
      </c>
      <c r="B14069" t="s">
        <v>1298</v>
      </c>
      <c r="C14069" t="s">
        <v>685</v>
      </c>
      <c r="D14069" t="s">
        <v>1440</v>
      </c>
      <c r="E14069" t="s">
        <v>187</v>
      </c>
      <c r="F14069">
        <v>2016</v>
      </c>
      <c r="G14069">
        <v>5.4649999999999997E-2</v>
      </c>
    </row>
    <row r="14070" spans="1:7">
      <c r="A14070" t="s">
        <v>1297</v>
      </c>
      <c r="B14070" t="s">
        <v>1298</v>
      </c>
      <c r="C14070" t="s">
        <v>685</v>
      </c>
      <c r="D14070" t="s">
        <v>1440</v>
      </c>
      <c r="E14070" t="s">
        <v>187</v>
      </c>
      <c r="F14070">
        <v>2020</v>
      </c>
      <c r="G14070">
        <v>4.1605999999999997E-2</v>
      </c>
    </row>
    <row r="14071" spans="1:7">
      <c r="A14071" t="s">
        <v>1297</v>
      </c>
      <c r="B14071" t="s">
        <v>1298</v>
      </c>
      <c r="C14071" t="s">
        <v>656</v>
      </c>
      <c r="D14071" t="s">
        <v>1440</v>
      </c>
      <c r="E14071" t="s">
        <v>187</v>
      </c>
      <c r="F14071">
        <v>2005</v>
      </c>
      <c r="G14071">
        <v>1.496</v>
      </c>
    </row>
    <row r="14072" spans="1:7">
      <c r="A14072" t="s">
        <v>1297</v>
      </c>
      <c r="B14072" t="s">
        <v>1298</v>
      </c>
      <c r="C14072" t="s">
        <v>656</v>
      </c>
      <c r="D14072" t="s">
        <v>1440</v>
      </c>
      <c r="E14072" t="s">
        <v>187</v>
      </c>
      <c r="F14072">
        <v>2010</v>
      </c>
      <c r="G14072">
        <v>1.663</v>
      </c>
    </row>
    <row r="14073" spans="1:7">
      <c r="A14073" t="s">
        <v>1297</v>
      </c>
      <c r="B14073" t="s">
        <v>1298</v>
      </c>
      <c r="C14073" t="s">
        <v>661</v>
      </c>
      <c r="D14073" t="s">
        <v>1441</v>
      </c>
      <c r="E14073" t="s">
        <v>187</v>
      </c>
      <c r="F14073">
        <v>2005</v>
      </c>
      <c r="G14073">
        <v>0.11700000000000001</v>
      </c>
    </row>
    <row r="14074" spans="1:7">
      <c r="A14074" t="s">
        <v>1297</v>
      </c>
      <c r="B14074" t="s">
        <v>1298</v>
      </c>
      <c r="C14074" t="s">
        <v>661</v>
      </c>
      <c r="D14074" t="s">
        <v>1441</v>
      </c>
      <c r="E14074" t="s">
        <v>187</v>
      </c>
      <c r="F14074">
        <v>2010</v>
      </c>
      <c r="G14074">
        <v>0.11669400000000001</v>
      </c>
    </row>
    <row r="14075" spans="1:7">
      <c r="A14075" t="s">
        <v>1297</v>
      </c>
      <c r="B14075" t="s">
        <v>1298</v>
      </c>
      <c r="C14075" t="s">
        <v>661</v>
      </c>
      <c r="D14075" t="s">
        <v>1441</v>
      </c>
      <c r="E14075" t="s">
        <v>187</v>
      </c>
      <c r="F14075">
        <v>2012</v>
      </c>
      <c r="G14075">
        <v>0.34609699999999999</v>
      </c>
    </row>
    <row r="14076" spans="1:7">
      <c r="A14076" t="s">
        <v>1297</v>
      </c>
      <c r="B14076" t="s">
        <v>1298</v>
      </c>
      <c r="C14076" t="s">
        <v>661</v>
      </c>
      <c r="D14076" t="s">
        <v>1441</v>
      </c>
      <c r="E14076" t="s">
        <v>187</v>
      </c>
      <c r="F14076">
        <v>2016</v>
      </c>
      <c r="G14076">
        <v>0.34609699999999999</v>
      </c>
    </row>
    <row r="14077" spans="1:7">
      <c r="A14077" t="s">
        <v>1297</v>
      </c>
      <c r="B14077" t="s">
        <v>1298</v>
      </c>
      <c r="C14077" t="s">
        <v>661</v>
      </c>
      <c r="D14077" t="s">
        <v>1441</v>
      </c>
      <c r="E14077" t="s">
        <v>187</v>
      </c>
      <c r="F14077">
        <v>2020</v>
      </c>
      <c r="G14077">
        <v>0.34609699999999999</v>
      </c>
    </row>
    <row r="14078" spans="1:7">
      <c r="A14078" t="s">
        <v>1297</v>
      </c>
      <c r="B14078" t="s">
        <v>1298</v>
      </c>
      <c r="C14078" t="s">
        <v>662</v>
      </c>
      <c r="D14078" t="s">
        <v>1441</v>
      </c>
      <c r="E14078" t="s">
        <v>187</v>
      </c>
      <c r="F14078">
        <v>2005</v>
      </c>
      <c r="G14078">
        <v>7.5700000000000003E-2</v>
      </c>
    </row>
    <row r="14079" spans="1:7">
      <c r="A14079" t="s">
        <v>1297</v>
      </c>
      <c r="B14079" t="s">
        <v>1298</v>
      </c>
      <c r="C14079" t="s">
        <v>662</v>
      </c>
      <c r="D14079" t="s">
        <v>1441</v>
      </c>
      <c r="E14079" t="s">
        <v>187</v>
      </c>
      <c r="F14079">
        <v>2010</v>
      </c>
      <c r="G14079">
        <v>7.4300000000000005E-2</v>
      </c>
    </row>
    <row r="14080" spans="1:7">
      <c r="A14080" t="s">
        <v>1297</v>
      </c>
      <c r="B14080" t="s">
        <v>1298</v>
      </c>
      <c r="C14080" t="s">
        <v>662</v>
      </c>
      <c r="D14080" t="s">
        <v>1441</v>
      </c>
      <c r="E14080" t="s">
        <v>187</v>
      </c>
      <c r="F14080">
        <v>2012</v>
      </c>
      <c r="G14080">
        <v>4.0300000000000002E-2</v>
      </c>
    </row>
    <row r="14081" spans="1:7">
      <c r="A14081" t="s">
        <v>1297</v>
      </c>
      <c r="B14081" t="s">
        <v>1298</v>
      </c>
      <c r="C14081" t="s">
        <v>662</v>
      </c>
      <c r="D14081" t="s">
        <v>1441</v>
      </c>
      <c r="E14081" t="s">
        <v>187</v>
      </c>
      <c r="F14081">
        <v>2016</v>
      </c>
      <c r="G14081">
        <v>1.17E-2</v>
      </c>
    </row>
    <row r="14082" spans="1:7">
      <c r="A14082" t="s">
        <v>1297</v>
      </c>
      <c r="B14082" t="s">
        <v>1298</v>
      </c>
      <c r="C14082" t="s">
        <v>680</v>
      </c>
      <c r="D14082" t="s">
        <v>1441</v>
      </c>
      <c r="E14082" t="s">
        <v>187</v>
      </c>
      <c r="F14082">
        <v>2005</v>
      </c>
      <c r="G14082">
        <v>0.84099999999999997</v>
      </c>
    </row>
    <row r="14083" spans="1:7">
      <c r="A14083" t="s">
        <v>1297</v>
      </c>
      <c r="B14083" t="s">
        <v>1298</v>
      </c>
      <c r="C14083" t="s">
        <v>680</v>
      </c>
      <c r="D14083" t="s">
        <v>1441</v>
      </c>
      <c r="E14083" t="s">
        <v>187</v>
      </c>
      <c r="F14083">
        <v>2010</v>
      </c>
      <c r="G14083">
        <v>0.82599999999999996</v>
      </c>
    </row>
    <row r="14084" spans="1:7">
      <c r="A14084" t="s">
        <v>1297</v>
      </c>
      <c r="B14084" t="s">
        <v>1298</v>
      </c>
      <c r="C14084" t="s">
        <v>680</v>
      </c>
      <c r="D14084" t="s">
        <v>1441</v>
      </c>
      <c r="E14084" t="s">
        <v>187</v>
      </c>
      <c r="F14084">
        <v>2012</v>
      </c>
      <c r="G14084">
        <v>1.0089999999999999</v>
      </c>
    </row>
    <row r="14085" spans="1:7">
      <c r="A14085" t="s">
        <v>1297</v>
      </c>
      <c r="B14085" t="s">
        <v>1298</v>
      </c>
      <c r="C14085" t="s">
        <v>680</v>
      </c>
      <c r="D14085" t="s">
        <v>1441</v>
      </c>
      <c r="E14085" t="s">
        <v>187</v>
      </c>
      <c r="F14085">
        <v>2016</v>
      </c>
      <c r="G14085">
        <v>0.57899999999999996</v>
      </c>
    </row>
    <row r="14086" spans="1:7">
      <c r="A14086" t="s">
        <v>1297</v>
      </c>
      <c r="B14086" t="s">
        <v>1298</v>
      </c>
      <c r="C14086" t="s">
        <v>680</v>
      </c>
      <c r="D14086" t="s">
        <v>1441</v>
      </c>
      <c r="E14086" t="s">
        <v>187</v>
      </c>
      <c r="F14086">
        <v>2020</v>
      </c>
      <c r="G14086">
        <v>0.42460300000000001</v>
      </c>
    </row>
    <row r="14087" spans="1:7">
      <c r="A14087" t="s">
        <v>1297</v>
      </c>
      <c r="B14087" t="s">
        <v>1298</v>
      </c>
      <c r="C14087" t="s">
        <v>665</v>
      </c>
      <c r="D14087" t="s">
        <v>1441</v>
      </c>
      <c r="E14087" t="s">
        <v>187</v>
      </c>
      <c r="F14087">
        <v>2005</v>
      </c>
      <c r="G14087">
        <v>2.2930000000000001</v>
      </c>
    </row>
    <row r="14088" spans="1:7">
      <c r="A14088" t="s">
        <v>1297</v>
      </c>
      <c r="B14088" t="s">
        <v>1298</v>
      </c>
      <c r="C14088" t="s">
        <v>665</v>
      </c>
      <c r="D14088" t="s">
        <v>1441</v>
      </c>
      <c r="E14088" t="s">
        <v>187</v>
      </c>
      <c r="F14088">
        <v>2010</v>
      </c>
      <c r="G14088">
        <v>1.321</v>
      </c>
    </row>
    <row r="14089" spans="1:7">
      <c r="A14089" t="s">
        <v>1297</v>
      </c>
      <c r="B14089" t="s">
        <v>1298</v>
      </c>
      <c r="C14089" t="s">
        <v>665</v>
      </c>
      <c r="D14089" t="s">
        <v>1441</v>
      </c>
      <c r="E14089" t="s">
        <v>187</v>
      </c>
      <c r="F14089">
        <v>2012</v>
      </c>
      <c r="G14089">
        <v>0.90800000000000003</v>
      </c>
    </row>
    <row r="14090" spans="1:7">
      <c r="A14090" t="s">
        <v>1297</v>
      </c>
      <c r="B14090" t="s">
        <v>1298</v>
      </c>
      <c r="C14090" t="s">
        <v>665</v>
      </c>
      <c r="D14090" t="s">
        <v>1441</v>
      </c>
      <c r="E14090" t="s">
        <v>187</v>
      </c>
      <c r="F14090">
        <v>2016</v>
      </c>
      <c r="G14090">
        <v>1.331</v>
      </c>
    </row>
    <row r="14091" spans="1:7">
      <c r="A14091" t="s">
        <v>1297</v>
      </c>
      <c r="B14091" t="s">
        <v>1298</v>
      </c>
      <c r="C14091" t="s">
        <v>665</v>
      </c>
      <c r="D14091" t="s">
        <v>1441</v>
      </c>
      <c r="E14091" t="s">
        <v>187</v>
      </c>
      <c r="F14091">
        <v>2020</v>
      </c>
      <c r="G14091">
        <v>1.3904369999999999</v>
      </c>
    </row>
    <row r="14092" spans="1:7">
      <c r="A14092" t="s">
        <v>1297</v>
      </c>
      <c r="B14092" t="s">
        <v>1298</v>
      </c>
      <c r="C14092" t="s">
        <v>671</v>
      </c>
      <c r="D14092" t="s">
        <v>1442</v>
      </c>
      <c r="E14092" t="s">
        <v>187</v>
      </c>
      <c r="F14092">
        <v>2005</v>
      </c>
      <c r="G14092">
        <v>0.38600000000000001</v>
      </c>
    </row>
    <row r="14093" spans="1:7">
      <c r="A14093" t="s">
        <v>1297</v>
      </c>
      <c r="B14093" t="s">
        <v>1298</v>
      </c>
      <c r="C14093" t="s">
        <v>671</v>
      </c>
      <c r="D14093" t="s">
        <v>1442</v>
      </c>
      <c r="E14093" t="s">
        <v>187</v>
      </c>
      <c r="F14093">
        <v>2010</v>
      </c>
      <c r="G14093">
        <v>0.44</v>
      </c>
    </row>
    <row r="14094" spans="1:7">
      <c r="A14094" t="s">
        <v>1297</v>
      </c>
      <c r="B14094" t="s">
        <v>1298</v>
      </c>
      <c r="C14094" t="s">
        <v>671</v>
      </c>
      <c r="D14094" t="s">
        <v>1442</v>
      </c>
      <c r="E14094" t="s">
        <v>187</v>
      </c>
      <c r="F14094">
        <v>2012</v>
      </c>
      <c r="G14094">
        <v>0.51</v>
      </c>
    </row>
    <row r="14095" spans="1:7">
      <c r="A14095" t="s">
        <v>1297</v>
      </c>
      <c r="B14095" t="s">
        <v>1298</v>
      </c>
      <c r="C14095" t="s">
        <v>671</v>
      </c>
      <c r="D14095" t="s">
        <v>1442</v>
      </c>
      <c r="E14095" t="s">
        <v>187</v>
      </c>
      <c r="F14095">
        <v>2016</v>
      </c>
      <c r="G14095">
        <v>0.70499999999999996</v>
      </c>
    </row>
    <row r="14096" spans="1:7">
      <c r="A14096" t="s">
        <v>1297</v>
      </c>
      <c r="B14096" t="s">
        <v>1298</v>
      </c>
      <c r="C14096" t="s">
        <v>671</v>
      </c>
      <c r="D14096" t="s">
        <v>1442</v>
      </c>
      <c r="E14096" t="s">
        <v>187</v>
      </c>
      <c r="F14096">
        <v>2020</v>
      </c>
      <c r="G14096">
        <v>0.787798</v>
      </c>
    </row>
    <row r="14097" spans="1:7">
      <c r="A14097" t="s">
        <v>1297</v>
      </c>
      <c r="B14097" t="s">
        <v>1298</v>
      </c>
      <c r="C14097" t="s">
        <v>1301</v>
      </c>
      <c r="D14097" t="s">
        <v>1442</v>
      </c>
      <c r="E14097" t="s">
        <v>187</v>
      </c>
      <c r="F14097">
        <v>2005</v>
      </c>
      <c r="G14097">
        <v>38.762999999999998</v>
      </c>
    </row>
    <row r="14098" spans="1:7">
      <c r="A14098" t="s">
        <v>1297</v>
      </c>
      <c r="B14098" t="s">
        <v>1298</v>
      </c>
      <c r="C14098" t="s">
        <v>1301</v>
      </c>
      <c r="D14098" t="s">
        <v>1442</v>
      </c>
      <c r="E14098" t="s">
        <v>187</v>
      </c>
      <c r="F14098">
        <v>2010</v>
      </c>
      <c r="G14098">
        <v>58.256999999999998</v>
      </c>
    </row>
    <row r="14099" spans="1:7">
      <c r="A14099" t="s">
        <v>1297</v>
      </c>
      <c r="B14099" t="s">
        <v>1298</v>
      </c>
      <c r="C14099" t="s">
        <v>1301</v>
      </c>
      <c r="D14099" t="s">
        <v>1442</v>
      </c>
      <c r="E14099" t="s">
        <v>187</v>
      </c>
      <c r="F14099">
        <v>2012</v>
      </c>
      <c r="G14099">
        <v>45.262</v>
      </c>
    </row>
    <row r="14100" spans="1:7">
      <c r="A14100" t="s">
        <v>1297</v>
      </c>
      <c r="B14100" t="s">
        <v>1298</v>
      </c>
      <c r="C14100" t="s">
        <v>1301</v>
      </c>
      <c r="D14100" t="s">
        <v>1442</v>
      </c>
      <c r="E14100" t="s">
        <v>187</v>
      </c>
      <c r="F14100">
        <v>2016</v>
      </c>
      <c r="G14100">
        <v>54.847000000000001</v>
      </c>
    </row>
    <row r="14101" spans="1:7">
      <c r="A14101" t="s">
        <v>1297</v>
      </c>
      <c r="B14101" t="s">
        <v>1298</v>
      </c>
      <c r="C14101" t="s">
        <v>662</v>
      </c>
      <c r="D14101" t="s">
        <v>1442</v>
      </c>
      <c r="E14101" t="s">
        <v>187</v>
      </c>
      <c r="F14101">
        <v>2005</v>
      </c>
      <c r="G14101">
        <v>7.0000000000000001E-3</v>
      </c>
    </row>
    <row r="14102" spans="1:7">
      <c r="A14102" t="s">
        <v>1297</v>
      </c>
      <c r="B14102" t="s">
        <v>1298</v>
      </c>
      <c r="C14102" t="s">
        <v>662</v>
      </c>
      <c r="D14102" t="s">
        <v>1442</v>
      </c>
      <c r="E14102" t="s">
        <v>187</v>
      </c>
      <c r="F14102">
        <v>2010</v>
      </c>
      <c r="G14102">
        <v>8.0000000000000002E-3</v>
      </c>
    </row>
    <row r="14103" spans="1:7">
      <c r="A14103" t="s">
        <v>1297</v>
      </c>
      <c r="B14103" t="s">
        <v>1298</v>
      </c>
      <c r="C14103" t="s">
        <v>662</v>
      </c>
      <c r="D14103" t="s">
        <v>1442</v>
      </c>
      <c r="E14103" t="s">
        <v>187</v>
      </c>
      <c r="F14103">
        <v>2012</v>
      </c>
      <c r="G14103">
        <v>8.0000000000000002E-3</v>
      </c>
    </row>
    <row r="14104" spans="1:7">
      <c r="A14104" t="s">
        <v>1297</v>
      </c>
      <c r="B14104" t="s">
        <v>1298</v>
      </c>
      <c r="C14104" t="s">
        <v>659</v>
      </c>
      <c r="D14104" t="s">
        <v>1442</v>
      </c>
      <c r="E14104" t="s">
        <v>187</v>
      </c>
      <c r="F14104">
        <v>2005</v>
      </c>
      <c r="G14104">
        <v>0.08</v>
      </c>
    </row>
    <row r="14105" spans="1:7">
      <c r="A14105" t="s">
        <v>1297</v>
      </c>
      <c r="B14105" t="s">
        <v>1298</v>
      </c>
      <c r="C14105" t="s">
        <v>659</v>
      </c>
      <c r="D14105" t="s">
        <v>1442</v>
      </c>
      <c r="E14105" t="s">
        <v>187</v>
      </c>
      <c r="F14105">
        <v>2010</v>
      </c>
      <c r="G14105">
        <v>0.378</v>
      </c>
    </row>
    <row r="14106" spans="1:7">
      <c r="A14106" t="s">
        <v>1297</v>
      </c>
      <c r="B14106" t="s">
        <v>1298</v>
      </c>
      <c r="C14106" t="s">
        <v>659</v>
      </c>
      <c r="D14106" t="s">
        <v>1442</v>
      </c>
      <c r="E14106" t="s">
        <v>187</v>
      </c>
      <c r="F14106">
        <v>2012</v>
      </c>
      <c r="G14106">
        <v>0.42799999999999999</v>
      </c>
    </row>
    <row r="14107" spans="1:7">
      <c r="A14107" t="s">
        <v>1297</v>
      </c>
      <c r="B14107" t="s">
        <v>1298</v>
      </c>
      <c r="C14107" t="s">
        <v>659</v>
      </c>
      <c r="D14107" t="s">
        <v>1442</v>
      </c>
      <c r="E14107" t="s">
        <v>187</v>
      </c>
      <c r="F14107">
        <v>2016</v>
      </c>
      <c r="G14107">
        <v>0.44600000000000001</v>
      </c>
    </row>
    <row r="14108" spans="1:7">
      <c r="A14108" t="s">
        <v>1297</v>
      </c>
      <c r="B14108" t="s">
        <v>1298</v>
      </c>
      <c r="C14108" t="s">
        <v>659</v>
      </c>
      <c r="D14108" t="s">
        <v>1442</v>
      </c>
      <c r="E14108" t="s">
        <v>187</v>
      </c>
      <c r="F14108">
        <v>2020</v>
      </c>
      <c r="G14108">
        <v>0.44600000000000001</v>
      </c>
    </row>
    <row r="14109" spans="1:7">
      <c r="A14109" t="s">
        <v>1297</v>
      </c>
      <c r="B14109" t="s">
        <v>1298</v>
      </c>
      <c r="C14109" t="s">
        <v>680</v>
      </c>
      <c r="D14109" t="s">
        <v>1442</v>
      </c>
      <c r="E14109" t="s">
        <v>187</v>
      </c>
      <c r="F14109">
        <v>2010</v>
      </c>
      <c r="G14109">
        <v>1.145</v>
      </c>
    </row>
    <row r="14110" spans="1:7">
      <c r="A14110" t="s">
        <v>1297</v>
      </c>
      <c r="B14110" t="s">
        <v>1298</v>
      </c>
      <c r="C14110" t="s">
        <v>680</v>
      </c>
      <c r="D14110" t="s">
        <v>1442</v>
      </c>
      <c r="E14110" t="s">
        <v>187</v>
      </c>
      <c r="F14110">
        <v>2012</v>
      </c>
      <c r="G14110">
        <v>1.145</v>
      </c>
    </row>
    <row r="14111" spans="1:7">
      <c r="A14111" t="s">
        <v>1297</v>
      </c>
      <c r="B14111" t="s">
        <v>1298</v>
      </c>
      <c r="C14111" t="s">
        <v>680</v>
      </c>
      <c r="D14111" t="s">
        <v>1442</v>
      </c>
      <c r="E14111" t="s">
        <v>187</v>
      </c>
      <c r="F14111">
        <v>2016</v>
      </c>
      <c r="G14111">
        <v>0.52700000000000002</v>
      </c>
    </row>
    <row r="14112" spans="1:7">
      <c r="A14112" t="s">
        <v>1297</v>
      </c>
      <c r="B14112" t="s">
        <v>1298</v>
      </c>
      <c r="C14112" t="s">
        <v>680</v>
      </c>
      <c r="D14112" t="s">
        <v>1442</v>
      </c>
      <c r="E14112" t="s">
        <v>187</v>
      </c>
      <c r="F14112">
        <v>2020</v>
      </c>
      <c r="G14112">
        <v>0.505</v>
      </c>
    </row>
    <row r="14113" spans="1:7">
      <c r="A14113" t="s">
        <v>1297</v>
      </c>
      <c r="B14113" t="s">
        <v>1298</v>
      </c>
      <c r="C14113" t="s">
        <v>654</v>
      </c>
      <c r="D14113" t="s">
        <v>1442</v>
      </c>
      <c r="E14113" t="s">
        <v>187</v>
      </c>
      <c r="F14113">
        <v>2010</v>
      </c>
      <c r="G14113">
        <v>3.2000000000000001E-2</v>
      </c>
    </row>
    <row r="14114" spans="1:7">
      <c r="A14114" t="s">
        <v>1297</v>
      </c>
      <c r="B14114" t="s">
        <v>1298</v>
      </c>
      <c r="C14114" t="s">
        <v>654</v>
      </c>
      <c r="D14114" t="s">
        <v>1442</v>
      </c>
      <c r="E14114" t="s">
        <v>187</v>
      </c>
      <c r="F14114">
        <v>2012</v>
      </c>
      <c r="G14114">
        <v>6.2E-2</v>
      </c>
    </row>
    <row r="14115" spans="1:7">
      <c r="A14115" t="s">
        <v>1297</v>
      </c>
      <c r="B14115" t="s">
        <v>1298</v>
      </c>
      <c r="C14115" t="s">
        <v>654</v>
      </c>
      <c r="D14115" t="s">
        <v>1442</v>
      </c>
      <c r="E14115" t="s">
        <v>187</v>
      </c>
      <c r="F14115">
        <v>2016</v>
      </c>
      <c r="G14115">
        <v>6.5000000000000002E-2</v>
      </c>
    </row>
    <row r="14116" spans="1:7">
      <c r="A14116" t="s">
        <v>1297</v>
      </c>
      <c r="B14116" t="s">
        <v>1298</v>
      </c>
      <c r="C14116" t="s">
        <v>654</v>
      </c>
      <c r="D14116" t="s">
        <v>1442</v>
      </c>
      <c r="E14116" t="s">
        <v>187</v>
      </c>
      <c r="F14116">
        <v>2020</v>
      </c>
      <c r="G14116">
        <v>6.4916000000000001E-2</v>
      </c>
    </row>
    <row r="14117" spans="1:7">
      <c r="A14117" t="s">
        <v>1297</v>
      </c>
      <c r="B14117" t="s">
        <v>1298</v>
      </c>
      <c r="C14117" t="s">
        <v>673</v>
      </c>
      <c r="D14117" t="s">
        <v>1442</v>
      </c>
      <c r="E14117" t="s">
        <v>187</v>
      </c>
      <c r="F14117">
        <v>2005</v>
      </c>
      <c r="G14117">
        <v>0.23300000000000001</v>
      </c>
    </row>
    <row r="14118" spans="1:7">
      <c r="A14118" t="s">
        <v>1297</v>
      </c>
      <c r="B14118" t="s">
        <v>1298</v>
      </c>
      <c r="C14118" t="s">
        <v>673</v>
      </c>
      <c r="D14118" t="s">
        <v>1442</v>
      </c>
      <c r="E14118" t="s">
        <v>187</v>
      </c>
      <c r="F14118">
        <v>2010</v>
      </c>
      <c r="G14118">
        <v>0.629</v>
      </c>
    </row>
    <row r="14119" spans="1:7">
      <c r="A14119" t="s">
        <v>1297</v>
      </c>
      <c r="B14119" t="s">
        <v>1298</v>
      </c>
      <c r="C14119" t="s">
        <v>673</v>
      </c>
      <c r="D14119" t="s">
        <v>1442</v>
      </c>
      <c r="E14119" t="s">
        <v>187</v>
      </c>
      <c r="F14119">
        <v>2012</v>
      </c>
      <c r="G14119">
        <v>0.49199999999999999</v>
      </c>
    </row>
    <row r="14120" spans="1:7">
      <c r="A14120" t="s">
        <v>1297</v>
      </c>
      <c r="B14120" t="s">
        <v>1298</v>
      </c>
      <c r="C14120" t="s">
        <v>673</v>
      </c>
      <c r="D14120" t="s">
        <v>1442</v>
      </c>
      <c r="E14120" t="s">
        <v>187</v>
      </c>
      <c r="F14120">
        <v>2016</v>
      </c>
      <c r="G14120">
        <v>0.14899999999999999</v>
      </c>
    </row>
    <row r="14121" spans="1:7">
      <c r="A14121" t="s">
        <v>1297</v>
      </c>
      <c r="B14121" t="s">
        <v>1298</v>
      </c>
      <c r="C14121" t="s">
        <v>673</v>
      </c>
      <c r="D14121" t="s">
        <v>1442</v>
      </c>
      <c r="E14121" t="s">
        <v>187</v>
      </c>
      <c r="F14121">
        <v>2020</v>
      </c>
      <c r="G14121">
        <v>0.14913699999999999</v>
      </c>
    </row>
    <row r="14122" spans="1:7">
      <c r="A14122" t="s">
        <v>1297</v>
      </c>
      <c r="B14122" t="s">
        <v>1298</v>
      </c>
      <c r="C14122" t="s">
        <v>680</v>
      </c>
      <c r="D14122" t="s">
        <v>1442</v>
      </c>
      <c r="E14122" t="s">
        <v>187</v>
      </c>
      <c r="F14122">
        <v>2005</v>
      </c>
      <c r="G14122">
        <v>1.032</v>
      </c>
    </row>
    <row r="14123" spans="1:7">
      <c r="A14123" t="s">
        <v>1297</v>
      </c>
      <c r="B14123" t="s">
        <v>1298</v>
      </c>
      <c r="C14123" t="s">
        <v>665</v>
      </c>
      <c r="D14123" t="s">
        <v>1442</v>
      </c>
      <c r="E14123" t="s">
        <v>187</v>
      </c>
      <c r="F14123">
        <v>2005</v>
      </c>
      <c r="G14123">
        <v>9.7000000000000003E-2</v>
      </c>
    </row>
    <row r="14124" spans="1:7">
      <c r="A14124" t="s">
        <v>1297</v>
      </c>
      <c r="B14124" t="s">
        <v>1298</v>
      </c>
      <c r="C14124" t="s">
        <v>665</v>
      </c>
      <c r="D14124" t="s">
        <v>1442</v>
      </c>
      <c r="E14124" t="s">
        <v>187</v>
      </c>
      <c r="F14124">
        <v>2010</v>
      </c>
      <c r="G14124">
        <v>5.6000000000000001E-2</v>
      </c>
    </row>
    <row r="14125" spans="1:7">
      <c r="A14125" t="s">
        <v>1297</v>
      </c>
      <c r="B14125" t="s">
        <v>1298</v>
      </c>
      <c r="C14125" t="s">
        <v>665</v>
      </c>
      <c r="D14125" t="s">
        <v>1442</v>
      </c>
      <c r="E14125" t="s">
        <v>187</v>
      </c>
      <c r="F14125">
        <v>2012</v>
      </c>
      <c r="G14125">
        <v>6.4000000000000001E-2</v>
      </c>
    </row>
    <row r="14126" spans="1:7">
      <c r="A14126" t="s">
        <v>1297</v>
      </c>
      <c r="B14126" t="s">
        <v>1298</v>
      </c>
      <c r="C14126" t="s">
        <v>665</v>
      </c>
      <c r="D14126" t="s">
        <v>1442</v>
      </c>
      <c r="E14126" t="s">
        <v>187</v>
      </c>
      <c r="F14126">
        <v>2016</v>
      </c>
      <c r="G14126">
        <v>3.6999999999999998E-2</v>
      </c>
    </row>
    <row r="14127" spans="1:7">
      <c r="A14127" t="s">
        <v>1297</v>
      </c>
      <c r="B14127" t="s">
        <v>1298</v>
      </c>
      <c r="C14127" t="s">
        <v>665</v>
      </c>
      <c r="D14127" t="s">
        <v>1442</v>
      </c>
      <c r="E14127" t="s">
        <v>187</v>
      </c>
      <c r="F14127">
        <v>2020</v>
      </c>
      <c r="G14127">
        <v>3.9876000000000002E-2</v>
      </c>
    </row>
    <row r="14128" spans="1:7">
      <c r="A14128" t="s">
        <v>1297</v>
      </c>
      <c r="B14128" t="s">
        <v>1298</v>
      </c>
      <c r="C14128" t="s">
        <v>1303</v>
      </c>
      <c r="D14128" t="s">
        <v>1442</v>
      </c>
      <c r="E14128" t="s">
        <v>187</v>
      </c>
      <c r="F14128">
        <v>2016</v>
      </c>
      <c r="G14128">
        <v>0.253</v>
      </c>
    </row>
    <row r="14129" spans="1:7">
      <c r="A14129" t="s">
        <v>1297</v>
      </c>
      <c r="B14129" t="s">
        <v>1298</v>
      </c>
      <c r="C14129" t="s">
        <v>1303</v>
      </c>
      <c r="D14129" t="s">
        <v>1442</v>
      </c>
      <c r="E14129" t="s">
        <v>187</v>
      </c>
      <c r="F14129">
        <v>2020</v>
      </c>
      <c r="G14129">
        <v>0.26519999999999999</v>
      </c>
    </row>
    <row r="14130" spans="1:7">
      <c r="A14130" t="s">
        <v>1297</v>
      </c>
      <c r="B14130" t="s">
        <v>1298</v>
      </c>
      <c r="C14130" t="s">
        <v>677</v>
      </c>
      <c r="D14130" t="s">
        <v>1442</v>
      </c>
      <c r="E14130" t="s">
        <v>187</v>
      </c>
      <c r="F14130">
        <v>2016</v>
      </c>
      <c r="G14130">
        <v>1.7000000000000001E-2</v>
      </c>
    </row>
    <row r="14131" spans="1:7">
      <c r="A14131" t="s">
        <v>1297</v>
      </c>
      <c r="B14131" t="s">
        <v>1298</v>
      </c>
      <c r="C14131" t="s">
        <v>677</v>
      </c>
      <c r="D14131" t="s">
        <v>1442</v>
      </c>
      <c r="E14131" t="s">
        <v>187</v>
      </c>
      <c r="F14131">
        <v>2020</v>
      </c>
      <c r="G14131">
        <v>1.7000000000000001E-2</v>
      </c>
    </row>
    <row r="14132" spans="1:7">
      <c r="A14132" t="s">
        <v>1297</v>
      </c>
      <c r="B14132" t="s">
        <v>1298</v>
      </c>
      <c r="C14132" t="s">
        <v>656</v>
      </c>
      <c r="D14132" t="s">
        <v>1442</v>
      </c>
      <c r="E14132" t="s">
        <v>187</v>
      </c>
      <c r="F14132">
        <v>2005</v>
      </c>
      <c r="G14132">
        <v>0.29399999999999998</v>
      </c>
    </row>
    <row r="14133" spans="1:7">
      <c r="A14133" t="s">
        <v>1297</v>
      </c>
      <c r="B14133" t="s">
        <v>1298</v>
      </c>
      <c r="C14133" t="s">
        <v>656</v>
      </c>
      <c r="D14133" t="s">
        <v>1442</v>
      </c>
      <c r="E14133" t="s">
        <v>187</v>
      </c>
      <c r="F14133">
        <v>2010</v>
      </c>
      <c r="G14133">
        <v>0.59199999999999997</v>
      </c>
    </row>
    <row r="14134" spans="1:7">
      <c r="A14134" t="s">
        <v>1297</v>
      </c>
      <c r="B14134" t="s">
        <v>1298</v>
      </c>
      <c r="C14134" t="s">
        <v>656</v>
      </c>
      <c r="D14134" t="s">
        <v>1442</v>
      </c>
      <c r="E14134" t="s">
        <v>187</v>
      </c>
      <c r="F14134">
        <v>2012</v>
      </c>
      <c r="G14134">
        <v>0.88100000000000001</v>
      </c>
    </row>
    <row r="14135" spans="1:7">
      <c r="A14135" t="s">
        <v>1297</v>
      </c>
      <c r="B14135" t="s">
        <v>1298</v>
      </c>
      <c r="C14135" t="s">
        <v>656</v>
      </c>
      <c r="D14135" t="s">
        <v>1442</v>
      </c>
      <c r="E14135" t="s">
        <v>187</v>
      </c>
      <c r="F14135">
        <v>2016</v>
      </c>
      <c r="G14135">
        <v>1.246</v>
      </c>
    </row>
    <row r="14136" spans="1:7">
      <c r="A14136" t="s">
        <v>1297</v>
      </c>
      <c r="B14136" t="s">
        <v>1298</v>
      </c>
      <c r="C14136" t="s">
        <v>656</v>
      </c>
      <c r="D14136" t="s">
        <v>1442</v>
      </c>
      <c r="E14136" t="s">
        <v>187</v>
      </c>
      <c r="F14136">
        <v>2020</v>
      </c>
      <c r="G14136">
        <v>1.06</v>
      </c>
    </row>
    <row r="14137" spans="1:7">
      <c r="A14137" t="s">
        <v>1297</v>
      </c>
      <c r="B14137" t="s">
        <v>1298</v>
      </c>
      <c r="C14137" t="s">
        <v>680</v>
      </c>
      <c r="D14137" t="s">
        <v>1443</v>
      </c>
      <c r="E14137" t="s">
        <v>187</v>
      </c>
      <c r="F14137">
        <v>2012</v>
      </c>
      <c r="G14137">
        <v>18.754355</v>
      </c>
    </row>
    <row r="14138" spans="1:7">
      <c r="A14138" t="s">
        <v>1297</v>
      </c>
      <c r="B14138" t="s">
        <v>1298</v>
      </c>
      <c r="C14138" t="s">
        <v>680</v>
      </c>
      <c r="D14138" t="s">
        <v>1443</v>
      </c>
      <c r="E14138" t="s">
        <v>187</v>
      </c>
      <c r="F14138">
        <v>2016</v>
      </c>
      <c r="G14138">
        <v>18.242208000000002</v>
      </c>
    </row>
    <row r="14139" spans="1:7">
      <c r="A14139" t="s">
        <v>1297</v>
      </c>
      <c r="B14139" t="s">
        <v>1298</v>
      </c>
      <c r="C14139" t="s">
        <v>673</v>
      </c>
      <c r="D14139" t="s">
        <v>1443</v>
      </c>
      <c r="E14139" t="s">
        <v>187</v>
      </c>
      <c r="F14139">
        <v>2016</v>
      </c>
      <c r="G14139">
        <v>3.7399999999999998E-4</v>
      </c>
    </row>
    <row r="14140" spans="1:7">
      <c r="A14140" t="s">
        <v>1297</v>
      </c>
      <c r="B14140" t="s">
        <v>1298</v>
      </c>
      <c r="C14140" t="s">
        <v>661</v>
      </c>
      <c r="D14140" t="s">
        <v>1443</v>
      </c>
      <c r="E14140" t="s">
        <v>187</v>
      </c>
      <c r="F14140">
        <v>2012</v>
      </c>
      <c r="G14140">
        <v>0.20344699999999999</v>
      </c>
    </row>
    <row r="14141" spans="1:7">
      <c r="A14141" t="s">
        <v>1297</v>
      </c>
      <c r="B14141" t="s">
        <v>1298</v>
      </c>
      <c r="C14141" t="s">
        <v>661</v>
      </c>
      <c r="D14141" t="s">
        <v>1443</v>
      </c>
      <c r="E14141" t="s">
        <v>187</v>
      </c>
      <c r="F14141">
        <v>2016</v>
      </c>
      <c r="G14141">
        <v>0.35137800000000002</v>
      </c>
    </row>
    <row r="14142" spans="1:7">
      <c r="A14142" t="s">
        <v>1297</v>
      </c>
      <c r="B14142" t="s">
        <v>1298</v>
      </c>
      <c r="C14142" t="s">
        <v>661</v>
      </c>
      <c r="D14142" t="s">
        <v>1443</v>
      </c>
      <c r="E14142" t="s">
        <v>187</v>
      </c>
      <c r="F14142">
        <v>2020</v>
      </c>
      <c r="G14142">
        <v>0.46255000000000002</v>
      </c>
    </row>
    <row r="14143" spans="1:7">
      <c r="A14143" t="s">
        <v>1297</v>
      </c>
      <c r="B14143" t="s">
        <v>1298</v>
      </c>
      <c r="C14143" t="s">
        <v>656</v>
      </c>
      <c r="D14143" t="s">
        <v>1443</v>
      </c>
      <c r="E14143" t="s">
        <v>187</v>
      </c>
      <c r="F14143">
        <v>2010</v>
      </c>
      <c r="G14143">
        <v>0.1008</v>
      </c>
    </row>
    <row r="14144" spans="1:7">
      <c r="A14144" t="s">
        <v>1297</v>
      </c>
      <c r="B14144" t="s">
        <v>1298</v>
      </c>
      <c r="C14144" t="s">
        <v>656</v>
      </c>
      <c r="D14144" t="s">
        <v>1443</v>
      </c>
      <c r="E14144" t="s">
        <v>187</v>
      </c>
      <c r="F14144">
        <v>2012</v>
      </c>
      <c r="G14144">
        <v>0.09</v>
      </c>
    </row>
    <row r="14145" spans="1:7">
      <c r="A14145" t="s">
        <v>1297</v>
      </c>
      <c r="B14145" t="s">
        <v>1298</v>
      </c>
      <c r="C14145" t="s">
        <v>656</v>
      </c>
      <c r="D14145" t="s">
        <v>1443</v>
      </c>
      <c r="E14145" t="s">
        <v>187</v>
      </c>
      <c r="F14145">
        <v>2016</v>
      </c>
      <c r="G14145">
        <v>0.63</v>
      </c>
    </row>
    <row r="14146" spans="1:7">
      <c r="A14146" t="s">
        <v>1297</v>
      </c>
      <c r="B14146" t="s">
        <v>1298</v>
      </c>
      <c r="C14146" t="s">
        <v>656</v>
      </c>
      <c r="D14146" t="s">
        <v>1443</v>
      </c>
      <c r="E14146" t="s">
        <v>187</v>
      </c>
      <c r="F14146">
        <v>2020</v>
      </c>
      <c r="G14146">
        <v>0.70920000000000005</v>
      </c>
    </row>
    <row r="14147" spans="1:7">
      <c r="A14147" t="s">
        <v>1297</v>
      </c>
      <c r="B14147" t="s">
        <v>1298</v>
      </c>
      <c r="C14147" t="s">
        <v>289</v>
      </c>
      <c r="D14147" t="s">
        <v>1443</v>
      </c>
      <c r="E14147" t="s">
        <v>187</v>
      </c>
      <c r="F14147">
        <v>2020</v>
      </c>
      <c r="G14147">
        <v>0.33084000000000002</v>
      </c>
    </row>
    <row r="14148" spans="1:7">
      <c r="A14148" t="s">
        <v>1297</v>
      </c>
      <c r="B14148" t="s">
        <v>1298</v>
      </c>
      <c r="C14148" t="s">
        <v>672</v>
      </c>
      <c r="D14148" t="s">
        <v>1443</v>
      </c>
      <c r="E14148" t="s">
        <v>187</v>
      </c>
      <c r="F14148">
        <v>2005</v>
      </c>
      <c r="G14148">
        <v>0.25528000000000001</v>
      </c>
    </row>
    <row r="14149" spans="1:7">
      <c r="A14149" t="s">
        <v>1297</v>
      </c>
      <c r="B14149" t="s">
        <v>1298</v>
      </c>
      <c r="C14149" t="s">
        <v>672</v>
      </c>
      <c r="D14149" t="s">
        <v>1443</v>
      </c>
      <c r="E14149" t="s">
        <v>187</v>
      </c>
      <c r="F14149">
        <v>2010</v>
      </c>
      <c r="G14149">
        <v>0.70954200000000001</v>
      </c>
    </row>
    <row r="14150" spans="1:7">
      <c r="A14150" t="s">
        <v>1297</v>
      </c>
      <c r="B14150" t="s">
        <v>1298</v>
      </c>
      <c r="C14150" t="s">
        <v>672</v>
      </c>
      <c r="D14150" t="s">
        <v>1443</v>
      </c>
      <c r="E14150" t="s">
        <v>187</v>
      </c>
      <c r="F14150">
        <v>2012</v>
      </c>
      <c r="G14150">
        <v>0.52727000000000002</v>
      </c>
    </row>
    <row r="14151" spans="1:7">
      <c r="A14151" t="s">
        <v>1297</v>
      </c>
      <c r="B14151" t="s">
        <v>1298</v>
      </c>
      <c r="C14151" t="s">
        <v>672</v>
      </c>
      <c r="D14151" t="s">
        <v>1443</v>
      </c>
      <c r="E14151" t="s">
        <v>187</v>
      </c>
      <c r="F14151">
        <v>2016</v>
      </c>
      <c r="G14151">
        <v>0.61767700000000003</v>
      </c>
    </row>
    <row r="14152" spans="1:7">
      <c r="A14152" t="s">
        <v>1297</v>
      </c>
      <c r="B14152" t="s">
        <v>1298</v>
      </c>
      <c r="C14152" t="s">
        <v>672</v>
      </c>
      <c r="D14152" t="s">
        <v>1443</v>
      </c>
      <c r="E14152" t="s">
        <v>187</v>
      </c>
      <c r="F14152">
        <v>2020</v>
      </c>
      <c r="G14152">
        <v>0.77529599999999999</v>
      </c>
    </row>
    <row r="14153" spans="1:7">
      <c r="A14153" t="s">
        <v>1297</v>
      </c>
      <c r="B14153" t="s">
        <v>1298</v>
      </c>
      <c r="C14153" t="s">
        <v>665</v>
      </c>
      <c r="D14153" t="s">
        <v>1443</v>
      </c>
      <c r="E14153" t="s">
        <v>187</v>
      </c>
      <c r="F14153">
        <v>2005</v>
      </c>
      <c r="G14153">
        <v>19.168056</v>
      </c>
    </row>
    <row r="14154" spans="1:7">
      <c r="A14154" t="s">
        <v>1297</v>
      </c>
      <c r="B14154" t="s">
        <v>1298</v>
      </c>
      <c r="C14154" t="s">
        <v>665</v>
      </c>
      <c r="D14154" t="s">
        <v>1443</v>
      </c>
      <c r="E14154" t="s">
        <v>187</v>
      </c>
      <c r="F14154">
        <v>2010</v>
      </c>
      <c r="G14154">
        <v>19.353297999999999</v>
      </c>
    </row>
    <row r="14155" spans="1:7">
      <c r="A14155" t="s">
        <v>1297</v>
      </c>
      <c r="B14155" t="s">
        <v>1298</v>
      </c>
      <c r="C14155" t="s">
        <v>665</v>
      </c>
      <c r="D14155" t="s">
        <v>1443</v>
      </c>
      <c r="E14155" t="s">
        <v>187</v>
      </c>
      <c r="F14155">
        <v>2012</v>
      </c>
      <c r="G14155">
        <v>20.130065999999999</v>
      </c>
    </row>
    <row r="14156" spans="1:7">
      <c r="A14156" t="s">
        <v>1297</v>
      </c>
      <c r="B14156" t="s">
        <v>1298</v>
      </c>
      <c r="C14156" t="s">
        <v>665</v>
      </c>
      <c r="D14156" t="s">
        <v>1443</v>
      </c>
      <c r="E14156" t="s">
        <v>187</v>
      </c>
      <c r="F14156">
        <v>2016</v>
      </c>
      <c r="G14156">
        <v>22.638863000000001</v>
      </c>
    </row>
    <row r="14157" spans="1:7">
      <c r="A14157" t="s">
        <v>1297</v>
      </c>
      <c r="B14157" t="s">
        <v>1298</v>
      </c>
      <c r="C14157" t="s">
        <v>665</v>
      </c>
      <c r="D14157" t="s">
        <v>1443</v>
      </c>
      <c r="E14157" t="s">
        <v>187</v>
      </c>
      <c r="F14157">
        <v>2020</v>
      </c>
      <c r="G14157">
        <v>21.869496000000002</v>
      </c>
    </row>
    <row r="14158" spans="1:7">
      <c r="A14158" t="s">
        <v>1297</v>
      </c>
      <c r="B14158" t="s">
        <v>1298</v>
      </c>
      <c r="C14158" t="s">
        <v>680</v>
      </c>
      <c r="D14158" t="s">
        <v>1443</v>
      </c>
      <c r="E14158" t="s">
        <v>187</v>
      </c>
      <c r="F14158">
        <v>2020</v>
      </c>
      <c r="G14158">
        <v>21.665296999999999</v>
      </c>
    </row>
    <row r="14159" spans="1:7">
      <c r="A14159" t="s">
        <v>1297</v>
      </c>
      <c r="B14159" t="s">
        <v>1298</v>
      </c>
      <c r="C14159" t="s">
        <v>651</v>
      </c>
      <c r="D14159" t="s">
        <v>1443</v>
      </c>
      <c r="E14159" t="s">
        <v>187</v>
      </c>
      <c r="F14159">
        <v>2005</v>
      </c>
      <c r="G14159">
        <v>8.2869999999999992E-3</v>
      </c>
    </row>
    <row r="14160" spans="1:7">
      <c r="A14160" t="s">
        <v>1297</v>
      </c>
      <c r="B14160" t="s">
        <v>1298</v>
      </c>
      <c r="C14160" t="s">
        <v>651</v>
      </c>
      <c r="D14160" t="s">
        <v>1443</v>
      </c>
      <c r="E14160" t="s">
        <v>187</v>
      </c>
      <c r="F14160">
        <v>2010</v>
      </c>
      <c r="G14160">
        <v>5.0330000000000001E-3</v>
      </c>
    </row>
    <row r="14161" spans="1:7">
      <c r="A14161" t="s">
        <v>1297</v>
      </c>
      <c r="B14161" t="s">
        <v>1298</v>
      </c>
      <c r="C14161" t="s">
        <v>651</v>
      </c>
      <c r="D14161" t="s">
        <v>1443</v>
      </c>
      <c r="E14161" t="s">
        <v>187</v>
      </c>
      <c r="F14161">
        <v>2012</v>
      </c>
      <c r="G14161">
        <v>2.4369999999999999E-3</v>
      </c>
    </row>
    <row r="14162" spans="1:7">
      <c r="A14162" t="s">
        <v>1297</v>
      </c>
      <c r="B14162" t="s">
        <v>1298</v>
      </c>
      <c r="C14162" t="s">
        <v>651</v>
      </c>
      <c r="D14162" t="s">
        <v>1443</v>
      </c>
      <c r="E14162" t="s">
        <v>187</v>
      </c>
      <c r="F14162">
        <v>2016</v>
      </c>
      <c r="G14162" s="14">
        <v>7.6000000000000004E-5</v>
      </c>
    </row>
    <row r="14163" spans="1:7">
      <c r="A14163" t="s">
        <v>1297</v>
      </c>
      <c r="B14163" t="s">
        <v>1298</v>
      </c>
      <c r="C14163" t="s">
        <v>651</v>
      </c>
      <c r="D14163" t="s">
        <v>1443</v>
      </c>
      <c r="E14163" t="s">
        <v>187</v>
      </c>
      <c r="F14163">
        <v>2020</v>
      </c>
      <c r="G14163">
        <v>7.2000000000000005E-4</v>
      </c>
    </row>
    <row r="14164" spans="1:7">
      <c r="A14164" t="s">
        <v>1297</v>
      </c>
      <c r="B14164" t="s">
        <v>1298</v>
      </c>
      <c r="C14164" t="s">
        <v>1301</v>
      </c>
      <c r="D14164" t="s">
        <v>1443</v>
      </c>
      <c r="E14164" t="s">
        <v>187</v>
      </c>
      <c r="F14164">
        <v>2005</v>
      </c>
      <c r="G14164">
        <v>0.33839999999999998</v>
      </c>
    </row>
    <row r="14165" spans="1:7">
      <c r="A14165" t="s">
        <v>1297</v>
      </c>
      <c r="B14165" t="s">
        <v>1298</v>
      </c>
      <c r="C14165" t="s">
        <v>1301</v>
      </c>
      <c r="D14165" t="s">
        <v>1443</v>
      </c>
      <c r="E14165" t="s">
        <v>187</v>
      </c>
      <c r="F14165">
        <v>2010</v>
      </c>
      <c r="G14165">
        <v>2.405567</v>
      </c>
    </row>
    <row r="14166" spans="1:7">
      <c r="A14166" t="s">
        <v>1297</v>
      </c>
      <c r="B14166" t="s">
        <v>1298</v>
      </c>
      <c r="C14166" t="s">
        <v>1301</v>
      </c>
      <c r="D14166" t="s">
        <v>1443</v>
      </c>
      <c r="E14166" t="s">
        <v>187</v>
      </c>
      <c r="F14166">
        <v>2012</v>
      </c>
      <c r="G14166">
        <v>3.237635</v>
      </c>
    </row>
    <row r="14167" spans="1:7">
      <c r="A14167" t="s">
        <v>1297</v>
      </c>
      <c r="B14167" t="s">
        <v>1298</v>
      </c>
      <c r="C14167" t="s">
        <v>1301</v>
      </c>
      <c r="D14167" t="s">
        <v>1443</v>
      </c>
      <c r="E14167" t="s">
        <v>187</v>
      </c>
      <c r="F14167">
        <v>2016</v>
      </c>
      <c r="G14167">
        <v>17.346685999999998</v>
      </c>
    </row>
    <row r="14168" spans="1:7">
      <c r="A14168" t="s">
        <v>1297</v>
      </c>
      <c r="B14168" t="s">
        <v>1298</v>
      </c>
      <c r="C14168" t="s">
        <v>663</v>
      </c>
      <c r="D14168" t="s">
        <v>1443</v>
      </c>
      <c r="E14168" t="s">
        <v>187</v>
      </c>
      <c r="F14168">
        <v>2020</v>
      </c>
      <c r="G14168">
        <v>6.4799999999999996E-2</v>
      </c>
    </row>
    <row r="14169" spans="1:7">
      <c r="A14169" t="s">
        <v>1297</v>
      </c>
      <c r="B14169" t="s">
        <v>1298</v>
      </c>
      <c r="C14169" t="s">
        <v>680</v>
      </c>
      <c r="D14169" t="s">
        <v>1443</v>
      </c>
      <c r="E14169" t="s">
        <v>187</v>
      </c>
      <c r="F14169">
        <v>2005</v>
      </c>
      <c r="G14169">
        <v>5.9687890000000001</v>
      </c>
    </row>
    <row r="14170" spans="1:7">
      <c r="A14170" t="s">
        <v>1297</v>
      </c>
      <c r="B14170" t="s">
        <v>1298</v>
      </c>
      <c r="C14170" t="s">
        <v>680</v>
      </c>
      <c r="D14170" t="s">
        <v>1443</v>
      </c>
      <c r="E14170" t="s">
        <v>187</v>
      </c>
      <c r="F14170">
        <v>2010</v>
      </c>
      <c r="G14170">
        <v>16.075158999999999</v>
      </c>
    </row>
    <row r="14171" spans="1:7">
      <c r="A14171" t="s">
        <v>1297</v>
      </c>
      <c r="B14171" t="s">
        <v>1298</v>
      </c>
      <c r="C14171" t="s">
        <v>651</v>
      </c>
      <c r="D14171" t="s">
        <v>1444</v>
      </c>
      <c r="E14171" t="s">
        <v>187</v>
      </c>
      <c r="F14171">
        <v>2005</v>
      </c>
      <c r="G14171">
        <v>0.44678600000000002</v>
      </c>
    </row>
    <row r="14172" spans="1:7">
      <c r="A14172" t="s">
        <v>1297</v>
      </c>
      <c r="B14172" t="s">
        <v>1298</v>
      </c>
      <c r="C14172" t="s">
        <v>651</v>
      </c>
      <c r="D14172" t="s">
        <v>1444</v>
      </c>
      <c r="E14172" t="s">
        <v>187</v>
      </c>
      <c r="F14172">
        <v>2010</v>
      </c>
      <c r="G14172">
        <v>0.53756300000000001</v>
      </c>
    </row>
    <row r="14173" spans="1:7">
      <c r="A14173" t="s">
        <v>1297</v>
      </c>
      <c r="B14173" t="s">
        <v>1298</v>
      </c>
      <c r="C14173" t="s">
        <v>651</v>
      </c>
      <c r="D14173" t="s">
        <v>1444</v>
      </c>
      <c r="E14173" t="s">
        <v>187</v>
      </c>
      <c r="F14173">
        <v>2012</v>
      </c>
      <c r="G14173">
        <v>0.57794400000000001</v>
      </c>
    </row>
    <row r="14174" spans="1:7">
      <c r="A14174" t="s">
        <v>1297</v>
      </c>
      <c r="B14174" t="s">
        <v>1298</v>
      </c>
      <c r="C14174" t="s">
        <v>651</v>
      </c>
      <c r="D14174" t="s">
        <v>1444</v>
      </c>
      <c r="E14174" t="s">
        <v>187</v>
      </c>
      <c r="F14174">
        <v>2016</v>
      </c>
      <c r="G14174">
        <v>0.58659399999999995</v>
      </c>
    </row>
    <row r="14175" spans="1:7">
      <c r="A14175" t="s">
        <v>1297</v>
      </c>
      <c r="B14175" t="s">
        <v>1298</v>
      </c>
      <c r="C14175" t="s">
        <v>651</v>
      </c>
      <c r="D14175" t="s">
        <v>1444</v>
      </c>
      <c r="E14175" t="s">
        <v>187</v>
      </c>
      <c r="F14175">
        <v>2020</v>
      </c>
      <c r="G14175">
        <v>0.46988200000000002</v>
      </c>
    </row>
    <row r="14176" spans="1:7">
      <c r="A14176" t="s">
        <v>1297</v>
      </c>
      <c r="B14176" t="s">
        <v>1298</v>
      </c>
      <c r="C14176" t="s">
        <v>676</v>
      </c>
      <c r="D14176" t="s">
        <v>1444</v>
      </c>
      <c r="E14176" t="s">
        <v>187</v>
      </c>
      <c r="F14176">
        <v>2005</v>
      </c>
      <c r="G14176">
        <v>0.14000000000000001</v>
      </c>
    </row>
    <row r="14177" spans="1:7">
      <c r="A14177" t="s">
        <v>1297</v>
      </c>
      <c r="B14177" t="s">
        <v>1298</v>
      </c>
      <c r="C14177" t="s">
        <v>676</v>
      </c>
      <c r="D14177" t="s">
        <v>1444</v>
      </c>
      <c r="E14177" t="s">
        <v>187</v>
      </c>
      <c r="F14177">
        <v>2010</v>
      </c>
      <c r="G14177">
        <v>0.13900000000000001</v>
      </c>
    </row>
    <row r="14178" spans="1:7">
      <c r="A14178" t="s">
        <v>1297</v>
      </c>
      <c r="B14178" t="s">
        <v>1298</v>
      </c>
      <c r="C14178" t="s">
        <v>676</v>
      </c>
      <c r="D14178" t="s">
        <v>1444</v>
      </c>
      <c r="E14178" t="s">
        <v>187</v>
      </c>
      <c r="F14178">
        <v>2012</v>
      </c>
      <c r="G14178">
        <v>9.5000000000000001E-2</v>
      </c>
    </row>
    <row r="14179" spans="1:7">
      <c r="A14179" t="s">
        <v>1297</v>
      </c>
      <c r="B14179" t="s">
        <v>1298</v>
      </c>
      <c r="C14179" t="s">
        <v>676</v>
      </c>
      <c r="D14179" t="s">
        <v>1444</v>
      </c>
      <c r="E14179" t="s">
        <v>187</v>
      </c>
      <c r="F14179">
        <v>2016</v>
      </c>
      <c r="G14179">
        <v>0.14000000000000001</v>
      </c>
    </row>
    <row r="14180" spans="1:7">
      <c r="A14180" t="s">
        <v>1297</v>
      </c>
      <c r="B14180" t="s">
        <v>1298</v>
      </c>
      <c r="C14180" t="s">
        <v>676</v>
      </c>
      <c r="D14180" t="s">
        <v>1444</v>
      </c>
      <c r="E14180" t="s">
        <v>187</v>
      </c>
      <c r="F14180">
        <v>2020</v>
      </c>
      <c r="G14180">
        <v>0.17499999999999999</v>
      </c>
    </row>
    <row r="14181" spans="1:7">
      <c r="A14181" t="s">
        <v>1297</v>
      </c>
      <c r="B14181" t="s">
        <v>1298</v>
      </c>
      <c r="C14181" t="s">
        <v>657</v>
      </c>
      <c r="D14181" t="s">
        <v>1444</v>
      </c>
      <c r="E14181" t="s">
        <v>187</v>
      </c>
      <c r="F14181">
        <v>2005</v>
      </c>
      <c r="G14181">
        <v>8.5999999999999993E-2</v>
      </c>
    </row>
    <row r="14182" spans="1:7">
      <c r="A14182" t="s">
        <v>1297</v>
      </c>
      <c r="B14182" t="s">
        <v>1298</v>
      </c>
      <c r="C14182" t="s">
        <v>657</v>
      </c>
      <c r="D14182" t="s">
        <v>1444</v>
      </c>
      <c r="E14182" t="s">
        <v>187</v>
      </c>
      <c r="F14182">
        <v>2010</v>
      </c>
      <c r="G14182">
        <v>0.106</v>
      </c>
    </row>
    <row r="14183" spans="1:7">
      <c r="A14183" t="s">
        <v>1297</v>
      </c>
      <c r="B14183" t="s">
        <v>1298</v>
      </c>
      <c r="C14183" t="s">
        <v>657</v>
      </c>
      <c r="D14183" t="s">
        <v>1444</v>
      </c>
      <c r="E14183" t="s">
        <v>187</v>
      </c>
      <c r="F14183">
        <v>2012</v>
      </c>
      <c r="G14183">
        <v>0.14399999999999999</v>
      </c>
    </row>
    <row r="14184" spans="1:7">
      <c r="A14184" t="s">
        <v>1297</v>
      </c>
      <c r="B14184" t="s">
        <v>1298</v>
      </c>
      <c r="C14184" t="s">
        <v>657</v>
      </c>
      <c r="D14184" t="s">
        <v>1444</v>
      </c>
      <c r="E14184" t="s">
        <v>187</v>
      </c>
      <c r="F14184">
        <v>2016</v>
      </c>
      <c r="G14184">
        <v>0.11244999999999999</v>
      </c>
    </row>
    <row r="14185" spans="1:7">
      <c r="A14185" t="s">
        <v>1297</v>
      </c>
      <c r="B14185" t="s">
        <v>1298</v>
      </c>
      <c r="C14185" t="s">
        <v>657</v>
      </c>
      <c r="D14185" t="s">
        <v>1444</v>
      </c>
      <c r="E14185" t="s">
        <v>187</v>
      </c>
      <c r="F14185">
        <v>2020</v>
      </c>
      <c r="G14185">
        <v>3.4249000000000002E-2</v>
      </c>
    </row>
    <row r="14186" spans="1:7">
      <c r="A14186" t="s">
        <v>1297</v>
      </c>
      <c r="B14186" t="s">
        <v>1298</v>
      </c>
      <c r="C14186" t="s">
        <v>663</v>
      </c>
      <c r="D14186" t="s">
        <v>1444</v>
      </c>
      <c r="E14186" t="s">
        <v>187</v>
      </c>
      <c r="F14186">
        <v>2005</v>
      </c>
      <c r="G14186">
        <v>0.23400000000000001</v>
      </c>
    </row>
    <row r="14187" spans="1:7">
      <c r="A14187" t="s">
        <v>1297</v>
      </c>
      <c r="B14187" t="s">
        <v>1298</v>
      </c>
      <c r="C14187" t="s">
        <v>663</v>
      </c>
      <c r="D14187" t="s">
        <v>1444</v>
      </c>
      <c r="E14187" t="s">
        <v>187</v>
      </c>
      <c r="F14187">
        <v>2010</v>
      </c>
      <c r="G14187">
        <v>0.23300000000000001</v>
      </c>
    </row>
    <row r="14188" spans="1:7">
      <c r="A14188" t="s">
        <v>1297</v>
      </c>
      <c r="B14188" t="s">
        <v>1298</v>
      </c>
      <c r="C14188" t="s">
        <v>663</v>
      </c>
      <c r="D14188" t="s">
        <v>1444</v>
      </c>
      <c r="E14188" t="s">
        <v>187</v>
      </c>
      <c r="F14188">
        <v>2012</v>
      </c>
      <c r="G14188">
        <v>0.39500000000000002</v>
      </c>
    </row>
    <row r="14189" spans="1:7">
      <c r="A14189" t="s">
        <v>1297</v>
      </c>
      <c r="B14189" t="s">
        <v>1298</v>
      </c>
      <c r="C14189" t="s">
        <v>663</v>
      </c>
      <c r="D14189" t="s">
        <v>1444</v>
      </c>
      <c r="E14189" t="s">
        <v>187</v>
      </c>
      <c r="F14189">
        <v>2016</v>
      </c>
      <c r="G14189">
        <v>2.7</v>
      </c>
    </row>
    <row r="14190" spans="1:7">
      <c r="A14190" t="s">
        <v>1297</v>
      </c>
      <c r="B14190" t="s">
        <v>1298</v>
      </c>
      <c r="C14190" t="s">
        <v>663</v>
      </c>
      <c r="D14190" t="s">
        <v>1444</v>
      </c>
      <c r="E14190" t="s">
        <v>187</v>
      </c>
      <c r="F14190">
        <v>2020</v>
      </c>
      <c r="G14190">
        <v>2.8639999999999999</v>
      </c>
    </row>
    <row r="14191" spans="1:7">
      <c r="A14191" t="s">
        <v>1297</v>
      </c>
      <c r="B14191" t="s">
        <v>1298</v>
      </c>
      <c r="C14191" t="s">
        <v>652</v>
      </c>
      <c r="D14191" t="s">
        <v>1444</v>
      </c>
      <c r="E14191" t="s">
        <v>187</v>
      </c>
      <c r="F14191">
        <v>2005</v>
      </c>
      <c r="G14191">
        <v>5.0999999999999997E-2</v>
      </c>
    </row>
    <row r="14192" spans="1:7">
      <c r="A14192" t="s">
        <v>1297</v>
      </c>
      <c r="B14192" t="s">
        <v>1298</v>
      </c>
      <c r="C14192" t="s">
        <v>652</v>
      </c>
      <c r="D14192" t="s">
        <v>1444</v>
      </c>
      <c r="E14192" t="s">
        <v>187</v>
      </c>
      <c r="F14192">
        <v>2010</v>
      </c>
      <c r="G14192">
        <v>6.3399999999999998E-2</v>
      </c>
    </row>
    <row r="14193" spans="1:7">
      <c r="A14193" t="s">
        <v>1297</v>
      </c>
      <c r="B14193" t="s">
        <v>1298</v>
      </c>
      <c r="C14193" t="s">
        <v>652</v>
      </c>
      <c r="D14193" t="s">
        <v>1444</v>
      </c>
      <c r="E14193" t="s">
        <v>187</v>
      </c>
      <c r="F14193">
        <v>2012</v>
      </c>
      <c r="G14193">
        <v>4.1300000000000003E-2</v>
      </c>
    </row>
    <row r="14194" spans="1:7">
      <c r="A14194" t="s">
        <v>1297</v>
      </c>
      <c r="B14194" t="s">
        <v>1298</v>
      </c>
      <c r="C14194" t="s">
        <v>652</v>
      </c>
      <c r="D14194" t="s">
        <v>1444</v>
      </c>
      <c r="E14194" t="s">
        <v>187</v>
      </c>
      <c r="F14194">
        <v>2016</v>
      </c>
      <c r="G14194">
        <v>5.2400000000000002E-2</v>
      </c>
    </row>
    <row r="14195" spans="1:7">
      <c r="A14195" t="s">
        <v>1297</v>
      </c>
      <c r="B14195" t="s">
        <v>1298</v>
      </c>
      <c r="C14195" t="s">
        <v>652</v>
      </c>
      <c r="D14195" t="s">
        <v>1444</v>
      </c>
      <c r="E14195" t="s">
        <v>187</v>
      </c>
      <c r="F14195">
        <v>2020</v>
      </c>
      <c r="G14195">
        <v>5.62E-2</v>
      </c>
    </row>
    <row r="14196" spans="1:7">
      <c r="A14196" t="s">
        <v>1297</v>
      </c>
      <c r="B14196" t="s">
        <v>1298</v>
      </c>
      <c r="C14196" t="s">
        <v>666</v>
      </c>
      <c r="D14196" t="s">
        <v>1444</v>
      </c>
      <c r="E14196" t="s">
        <v>187</v>
      </c>
      <c r="F14196">
        <v>2005</v>
      </c>
      <c r="G14196">
        <v>6.0999999999999999E-2</v>
      </c>
    </row>
    <row r="14197" spans="1:7">
      <c r="A14197" t="s">
        <v>1297</v>
      </c>
      <c r="B14197" t="s">
        <v>1298</v>
      </c>
      <c r="C14197" t="s">
        <v>666</v>
      </c>
      <c r="D14197" t="s">
        <v>1444</v>
      </c>
      <c r="E14197" t="s">
        <v>187</v>
      </c>
      <c r="F14197">
        <v>2010</v>
      </c>
      <c r="G14197">
        <v>9.5000000000000001E-2</v>
      </c>
    </row>
    <row r="14198" spans="1:7">
      <c r="A14198" t="s">
        <v>1297</v>
      </c>
      <c r="B14198" t="s">
        <v>1298</v>
      </c>
      <c r="C14198" t="s">
        <v>666</v>
      </c>
      <c r="D14198" t="s">
        <v>1444</v>
      </c>
      <c r="E14198" t="s">
        <v>187</v>
      </c>
      <c r="F14198">
        <v>2012</v>
      </c>
      <c r="G14198">
        <v>7.9000000000000001E-2</v>
      </c>
    </row>
    <row r="14199" spans="1:7">
      <c r="A14199" t="s">
        <v>1297</v>
      </c>
      <c r="B14199" t="s">
        <v>1298</v>
      </c>
      <c r="C14199" t="s">
        <v>666</v>
      </c>
      <c r="D14199" t="s">
        <v>1444</v>
      </c>
      <c r="E14199" t="s">
        <v>187</v>
      </c>
      <c r="F14199">
        <v>2016</v>
      </c>
      <c r="G14199">
        <v>4.1000000000000002E-2</v>
      </c>
    </row>
    <row r="14200" spans="1:7">
      <c r="A14200" t="s">
        <v>1297</v>
      </c>
      <c r="B14200" t="s">
        <v>1298</v>
      </c>
      <c r="C14200" t="s">
        <v>675</v>
      </c>
      <c r="D14200" t="s">
        <v>1444</v>
      </c>
      <c r="E14200" t="s">
        <v>187</v>
      </c>
      <c r="F14200">
        <v>2020</v>
      </c>
      <c r="G14200">
        <v>1.9223000000000001E-2</v>
      </c>
    </row>
    <row r="14201" spans="1:7">
      <c r="A14201" t="s">
        <v>1297</v>
      </c>
      <c r="B14201" t="s">
        <v>1298</v>
      </c>
      <c r="C14201" t="s">
        <v>656</v>
      </c>
      <c r="D14201" t="s">
        <v>1444</v>
      </c>
      <c r="E14201" t="s">
        <v>187</v>
      </c>
      <c r="F14201">
        <v>2005</v>
      </c>
      <c r="G14201">
        <v>0.127</v>
      </c>
    </row>
    <row r="14202" spans="1:7">
      <c r="A14202" t="s">
        <v>1297</v>
      </c>
      <c r="B14202" t="s">
        <v>1298</v>
      </c>
      <c r="C14202" t="s">
        <v>656</v>
      </c>
      <c r="D14202" t="s">
        <v>1444</v>
      </c>
      <c r="E14202" t="s">
        <v>187</v>
      </c>
      <c r="F14202">
        <v>2010</v>
      </c>
      <c r="G14202">
        <v>0.22500000000000001</v>
      </c>
    </row>
    <row r="14203" spans="1:7">
      <c r="A14203" t="s">
        <v>1297</v>
      </c>
      <c r="B14203" t="s">
        <v>1298</v>
      </c>
      <c r="C14203" t="s">
        <v>656</v>
      </c>
      <c r="D14203" t="s">
        <v>1444</v>
      </c>
      <c r="E14203" t="s">
        <v>187</v>
      </c>
      <c r="F14203">
        <v>2012</v>
      </c>
      <c r="G14203">
        <v>8.5000000000000006E-2</v>
      </c>
    </row>
    <row r="14204" spans="1:7">
      <c r="A14204" t="s">
        <v>1297</v>
      </c>
      <c r="B14204" t="s">
        <v>1298</v>
      </c>
      <c r="C14204" t="s">
        <v>656</v>
      </c>
      <c r="D14204" t="s">
        <v>1444</v>
      </c>
      <c r="E14204" t="s">
        <v>187</v>
      </c>
      <c r="F14204">
        <v>2016</v>
      </c>
      <c r="G14204">
        <v>0.79700000000000004</v>
      </c>
    </row>
    <row r="14205" spans="1:7">
      <c r="A14205" t="s">
        <v>1297</v>
      </c>
      <c r="B14205" t="s">
        <v>1298</v>
      </c>
      <c r="C14205" t="s">
        <v>656</v>
      </c>
      <c r="D14205" t="s">
        <v>1444</v>
      </c>
      <c r="E14205" t="s">
        <v>187</v>
      </c>
      <c r="F14205">
        <v>2020</v>
      </c>
      <c r="G14205">
        <v>1.732</v>
      </c>
    </row>
    <row r="14206" spans="1:7">
      <c r="A14206" t="s">
        <v>1297</v>
      </c>
      <c r="B14206" t="s">
        <v>1298</v>
      </c>
      <c r="C14206" t="s">
        <v>665</v>
      </c>
      <c r="D14206" t="s">
        <v>1444</v>
      </c>
      <c r="E14206" t="s">
        <v>187</v>
      </c>
      <c r="F14206">
        <v>2010</v>
      </c>
      <c r="G14206">
        <v>0.58899999999999997</v>
      </c>
    </row>
    <row r="14207" spans="1:7">
      <c r="A14207" t="s">
        <v>1297</v>
      </c>
      <c r="B14207" t="s">
        <v>1298</v>
      </c>
      <c r="C14207" t="s">
        <v>665</v>
      </c>
      <c r="D14207" t="s">
        <v>1444</v>
      </c>
      <c r="E14207" t="s">
        <v>187</v>
      </c>
      <c r="F14207">
        <v>2012</v>
      </c>
      <c r="G14207">
        <v>0.65</v>
      </c>
    </row>
    <row r="14208" spans="1:7">
      <c r="A14208" t="s">
        <v>1297</v>
      </c>
      <c r="B14208" t="s">
        <v>1298</v>
      </c>
      <c r="C14208" t="s">
        <v>665</v>
      </c>
      <c r="D14208" t="s">
        <v>1444</v>
      </c>
      <c r="E14208" t="s">
        <v>187</v>
      </c>
      <c r="F14208">
        <v>2016</v>
      </c>
      <c r="G14208">
        <v>0.81</v>
      </c>
    </row>
    <row r="14209" spans="1:7">
      <c r="A14209" t="s">
        <v>1297</v>
      </c>
      <c r="B14209" t="s">
        <v>1298</v>
      </c>
      <c r="C14209" t="s">
        <v>665</v>
      </c>
      <c r="D14209" t="s">
        <v>1444</v>
      </c>
      <c r="E14209" t="s">
        <v>187</v>
      </c>
      <c r="F14209">
        <v>2020</v>
      </c>
      <c r="G14209">
        <v>0.87020799999999998</v>
      </c>
    </row>
    <row r="14210" spans="1:7">
      <c r="A14210" t="s">
        <v>1297</v>
      </c>
      <c r="B14210" t="s">
        <v>1298</v>
      </c>
      <c r="C14210" t="s">
        <v>680</v>
      </c>
      <c r="D14210" t="s">
        <v>1444</v>
      </c>
      <c r="E14210" t="s">
        <v>187</v>
      </c>
      <c r="F14210">
        <v>2005</v>
      </c>
      <c r="G14210">
        <v>19.120999999999999</v>
      </c>
    </row>
    <row r="14211" spans="1:7">
      <c r="A14211" t="s">
        <v>1297</v>
      </c>
      <c r="B14211" t="s">
        <v>1298</v>
      </c>
      <c r="C14211" t="s">
        <v>680</v>
      </c>
      <c r="D14211" t="s">
        <v>1444</v>
      </c>
      <c r="E14211" t="s">
        <v>187</v>
      </c>
      <c r="F14211">
        <v>2010</v>
      </c>
      <c r="G14211">
        <v>20.864000000000001</v>
      </c>
    </row>
    <row r="14212" spans="1:7">
      <c r="A14212" t="s">
        <v>1297</v>
      </c>
      <c r="B14212" t="s">
        <v>1298</v>
      </c>
      <c r="C14212" t="s">
        <v>680</v>
      </c>
      <c r="D14212" t="s">
        <v>1444</v>
      </c>
      <c r="E14212" t="s">
        <v>187</v>
      </c>
      <c r="F14212">
        <v>2012</v>
      </c>
      <c r="G14212">
        <v>22.241</v>
      </c>
    </row>
    <row r="14213" spans="1:7">
      <c r="A14213" t="s">
        <v>1297</v>
      </c>
      <c r="B14213" t="s">
        <v>1298</v>
      </c>
      <c r="C14213" t="s">
        <v>680</v>
      </c>
      <c r="D14213" t="s">
        <v>1444</v>
      </c>
      <c r="E14213" t="s">
        <v>187</v>
      </c>
      <c r="F14213">
        <v>2016</v>
      </c>
      <c r="G14213">
        <v>27.176200000000001</v>
      </c>
    </row>
    <row r="14214" spans="1:7">
      <c r="A14214" t="s">
        <v>1297</v>
      </c>
      <c r="B14214" t="s">
        <v>1298</v>
      </c>
      <c r="C14214" t="s">
        <v>680</v>
      </c>
      <c r="D14214" t="s">
        <v>1444</v>
      </c>
      <c r="E14214" t="s">
        <v>187</v>
      </c>
      <c r="F14214">
        <v>2020</v>
      </c>
      <c r="G14214">
        <v>33.038876999999999</v>
      </c>
    </row>
    <row r="14215" spans="1:7">
      <c r="A14215" t="s">
        <v>1297</v>
      </c>
      <c r="B14215" t="s">
        <v>1298</v>
      </c>
      <c r="C14215" t="s">
        <v>661</v>
      </c>
      <c r="D14215" t="s">
        <v>1444</v>
      </c>
      <c r="E14215" t="s">
        <v>187</v>
      </c>
      <c r="F14215">
        <v>2005</v>
      </c>
      <c r="G14215">
        <v>3.512</v>
      </c>
    </row>
    <row r="14216" spans="1:7">
      <c r="A14216" t="s">
        <v>1297</v>
      </c>
      <c r="B14216" t="s">
        <v>1298</v>
      </c>
      <c r="C14216" t="s">
        <v>661</v>
      </c>
      <c r="D14216" t="s">
        <v>1444</v>
      </c>
      <c r="E14216" t="s">
        <v>187</v>
      </c>
      <c r="F14216">
        <v>2010</v>
      </c>
      <c r="G14216">
        <v>3.1991429999999998</v>
      </c>
    </row>
    <row r="14217" spans="1:7">
      <c r="A14217" t="s">
        <v>1297</v>
      </c>
      <c r="B14217" t="s">
        <v>1298</v>
      </c>
      <c r="C14217" t="s">
        <v>661</v>
      </c>
      <c r="D14217" t="s">
        <v>1444</v>
      </c>
      <c r="E14217" t="s">
        <v>187</v>
      </c>
      <c r="F14217">
        <v>2012</v>
      </c>
      <c r="G14217">
        <v>3.183602</v>
      </c>
    </row>
    <row r="14218" spans="1:7">
      <c r="A14218" t="s">
        <v>1297</v>
      </c>
      <c r="B14218" t="s">
        <v>1298</v>
      </c>
      <c r="C14218" t="s">
        <v>661</v>
      </c>
      <c r="D14218" t="s">
        <v>1444</v>
      </c>
      <c r="E14218" t="s">
        <v>187</v>
      </c>
      <c r="F14218">
        <v>2016</v>
      </c>
      <c r="G14218">
        <v>4.3972540000000002</v>
      </c>
    </row>
    <row r="14219" spans="1:7">
      <c r="A14219" t="s">
        <v>1297</v>
      </c>
      <c r="B14219" t="s">
        <v>1298</v>
      </c>
      <c r="C14219" t="s">
        <v>661</v>
      </c>
      <c r="D14219" t="s">
        <v>1444</v>
      </c>
      <c r="E14219" t="s">
        <v>187</v>
      </c>
      <c r="F14219">
        <v>2020</v>
      </c>
      <c r="G14219">
        <v>6.4808760000000003</v>
      </c>
    </row>
    <row r="14220" spans="1:7">
      <c r="A14220" t="s">
        <v>1297</v>
      </c>
      <c r="B14220" t="s">
        <v>1298</v>
      </c>
      <c r="C14220" t="s">
        <v>675</v>
      </c>
      <c r="D14220" t="s">
        <v>1444</v>
      </c>
      <c r="E14220" t="s">
        <v>187</v>
      </c>
      <c r="F14220">
        <v>2010</v>
      </c>
      <c r="G14220">
        <v>2.3E-2</v>
      </c>
    </row>
    <row r="14221" spans="1:7">
      <c r="A14221" t="s">
        <v>1297</v>
      </c>
      <c r="B14221" t="s">
        <v>1298</v>
      </c>
      <c r="C14221" t="s">
        <v>673</v>
      </c>
      <c r="D14221" t="s">
        <v>1444</v>
      </c>
      <c r="E14221" t="s">
        <v>187</v>
      </c>
      <c r="F14221">
        <v>2005</v>
      </c>
      <c r="G14221">
        <v>3.2000000000000001E-2</v>
      </c>
    </row>
    <row r="14222" spans="1:7">
      <c r="A14222" t="s">
        <v>1297</v>
      </c>
      <c r="B14222" t="s">
        <v>1298</v>
      </c>
      <c r="C14222" t="s">
        <v>673</v>
      </c>
      <c r="D14222" t="s">
        <v>1444</v>
      </c>
      <c r="E14222" t="s">
        <v>187</v>
      </c>
      <c r="F14222">
        <v>2010</v>
      </c>
      <c r="G14222">
        <v>1.0999999999999999E-2</v>
      </c>
    </row>
    <row r="14223" spans="1:7">
      <c r="A14223" t="s">
        <v>1297</v>
      </c>
      <c r="B14223" t="s">
        <v>1298</v>
      </c>
      <c r="C14223" t="s">
        <v>673</v>
      </c>
      <c r="D14223" t="s">
        <v>1444</v>
      </c>
      <c r="E14223" t="s">
        <v>187</v>
      </c>
      <c r="F14223">
        <v>2012</v>
      </c>
      <c r="G14223">
        <v>4.0000000000000001E-3</v>
      </c>
    </row>
    <row r="14224" spans="1:7">
      <c r="A14224" t="s">
        <v>1297</v>
      </c>
      <c r="B14224" t="s">
        <v>1298</v>
      </c>
      <c r="C14224" t="s">
        <v>673</v>
      </c>
      <c r="D14224" t="s">
        <v>1444</v>
      </c>
      <c r="E14224" t="s">
        <v>187</v>
      </c>
      <c r="F14224">
        <v>2016</v>
      </c>
      <c r="G14224">
        <v>0.25600000000000001</v>
      </c>
    </row>
    <row r="14225" spans="1:7">
      <c r="A14225" t="s">
        <v>1297</v>
      </c>
      <c r="B14225" t="s">
        <v>1298</v>
      </c>
      <c r="C14225" t="s">
        <v>673</v>
      </c>
      <c r="D14225" t="s">
        <v>1444</v>
      </c>
      <c r="E14225" t="s">
        <v>187</v>
      </c>
      <c r="F14225">
        <v>2020</v>
      </c>
      <c r="G14225">
        <v>0.24302699999999999</v>
      </c>
    </row>
    <row r="14226" spans="1:7">
      <c r="A14226" t="s">
        <v>1297</v>
      </c>
      <c r="B14226" t="s">
        <v>1298</v>
      </c>
      <c r="C14226" t="s">
        <v>675</v>
      </c>
      <c r="D14226" t="s">
        <v>1444</v>
      </c>
      <c r="E14226" t="s">
        <v>187</v>
      </c>
      <c r="F14226">
        <v>2012</v>
      </c>
      <c r="G14226">
        <v>2.1999999999999999E-2</v>
      </c>
    </row>
    <row r="14227" spans="1:7">
      <c r="A14227" t="s">
        <v>1297</v>
      </c>
      <c r="B14227" t="s">
        <v>1298</v>
      </c>
      <c r="C14227" t="s">
        <v>675</v>
      </c>
      <c r="D14227" t="s">
        <v>1444</v>
      </c>
      <c r="E14227" t="s">
        <v>187</v>
      </c>
      <c r="F14227">
        <v>2016</v>
      </c>
      <c r="G14227">
        <v>1.7999999999999999E-2</v>
      </c>
    </row>
    <row r="14228" spans="1:7">
      <c r="A14228" t="s">
        <v>1297</v>
      </c>
      <c r="B14228" t="s">
        <v>1298</v>
      </c>
      <c r="C14228" t="s">
        <v>652</v>
      </c>
      <c r="D14228" t="s">
        <v>1445</v>
      </c>
      <c r="E14228" t="s">
        <v>187</v>
      </c>
      <c r="F14228">
        <v>2010</v>
      </c>
      <c r="G14228">
        <v>2.7E-2</v>
      </c>
    </row>
    <row r="14229" spans="1:7">
      <c r="A14229" t="s">
        <v>1297</v>
      </c>
      <c r="B14229" t="s">
        <v>1298</v>
      </c>
      <c r="C14229" t="s">
        <v>652</v>
      </c>
      <c r="D14229" t="s">
        <v>1445</v>
      </c>
      <c r="E14229" t="s">
        <v>187</v>
      </c>
      <c r="F14229">
        <v>2012</v>
      </c>
      <c r="G14229">
        <v>1.84E-2</v>
      </c>
    </row>
    <row r="14230" spans="1:7">
      <c r="A14230" t="s">
        <v>1297</v>
      </c>
      <c r="B14230" t="s">
        <v>1298</v>
      </c>
      <c r="C14230" t="s">
        <v>652</v>
      </c>
      <c r="D14230" t="s">
        <v>1445</v>
      </c>
      <c r="E14230" t="s">
        <v>187</v>
      </c>
      <c r="F14230">
        <v>2016</v>
      </c>
      <c r="G14230">
        <v>1.4E-2</v>
      </c>
    </row>
    <row r="14231" spans="1:7">
      <c r="A14231" t="s">
        <v>1297</v>
      </c>
      <c r="B14231" t="s">
        <v>1298</v>
      </c>
      <c r="C14231" t="s">
        <v>652</v>
      </c>
      <c r="D14231" t="s">
        <v>1445</v>
      </c>
      <c r="E14231" t="s">
        <v>187</v>
      </c>
      <c r="F14231">
        <v>2020</v>
      </c>
      <c r="G14231">
        <v>1.3100000000000001E-2</v>
      </c>
    </row>
    <row r="14232" spans="1:7">
      <c r="A14232" t="s">
        <v>1297</v>
      </c>
      <c r="B14232" t="s">
        <v>1298</v>
      </c>
      <c r="C14232" t="s">
        <v>673</v>
      </c>
      <c r="D14232" t="s">
        <v>1445</v>
      </c>
      <c r="E14232" t="s">
        <v>187</v>
      </c>
      <c r="F14232">
        <v>2010</v>
      </c>
      <c r="G14232">
        <v>3.5000000000000003E-2</v>
      </c>
    </row>
    <row r="14233" spans="1:7">
      <c r="A14233" t="s">
        <v>1297</v>
      </c>
      <c r="B14233" t="s">
        <v>1298</v>
      </c>
      <c r="C14233" t="s">
        <v>662</v>
      </c>
      <c r="D14233" t="s">
        <v>1446</v>
      </c>
      <c r="E14233" t="s">
        <v>187</v>
      </c>
      <c r="F14233">
        <v>2012</v>
      </c>
      <c r="G14233">
        <v>0.54730000000000001</v>
      </c>
    </row>
    <row r="14234" spans="1:7">
      <c r="A14234" t="s">
        <v>1297</v>
      </c>
      <c r="B14234" t="s">
        <v>1298</v>
      </c>
      <c r="C14234" t="s">
        <v>662</v>
      </c>
      <c r="D14234" t="s">
        <v>1446</v>
      </c>
      <c r="E14234" t="s">
        <v>187</v>
      </c>
      <c r="F14234">
        <v>2016</v>
      </c>
      <c r="G14234">
        <v>0.42270000000000002</v>
      </c>
    </row>
    <row r="14235" spans="1:7">
      <c r="A14235" t="s">
        <v>1297</v>
      </c>
      <c r="B14235" t="s">
        <v>1298</v>
      </c>
      <c r="C14235" t="s">
        <v>662</v>
      </c>
      <c r="D14235" t="s">
        <v>1446</v>
      </c>
      <c r="E14235" t="s">
        <v>187</v>
      </c>
      <c r="F14235">
        <v>2020</v>
      </c>
      <c r="G14235">
        <v>0.432</v>
      </c>
    </row>
    <row r="14236" spans="1:7">
      <c r="A14236" t="s">
        <v>1297</v>
      </c>
      <c r="B14236" t="s">
        <v>1298</v>
      </c>
      <c r="C14236" t="s">
        <v>676</v>
      </c>
      <c r="D14236" t="s">
        <v>1446</v>
      </c>
      <c r="E14236" t="s">
        <v>187</v>
      </c>
      <c r="F14236">
        <v>2005</v>
      </c>
      <c r="G14236">
        <v>0.33700000000000002</v>
      </c>
    </row>
    <row r="14237" spans="1:7">
      <c r="A14237" t="s">
        <v>1297</v>
      </c>
      <c r="B14237" t="s">
        <v>1298</v>
      </c>
      <c r="C14237" t="s">
        <v>676</v>
      </c>
      <c r="D14237" t="s">
        <v>1446</v>
      </c>
      <c r="E14237" t="s">
        <v>187</v>
      </c>
      <c r="F14237">
        <v>2010</v>
      </c>
      <c r="G14237">
        <v>0.34799999999999998</v>
      </c>
    </row>
    <row r="14238" spans="1:7">
      <c r="A14238" t="s">
        <v>1297</v>
      </c>
      <c r="B14238" t="s">
        <v>1298</v>
      </c>
      <c r="C14238" t="s">
        <v>676</v>
      </c>
      <c r="D14238" t="s">
        <v>1446</v>
      </c>
      <c r="E14238" t="s">
        <v>187</v>
      </c>
      <c r="F14238">
        <v>2012</v>
      </c>
      <c r="G14238">
        <v>0.245</v>
      </c>
    </row>
    <row r="14239" spans="1:7">
      <c r="A14239" t="s">
        <v>1297</v>
      </c>
      <c r="B14239" t="s">
        <v>1298</v>
      </c>
      <c r="C14239" t="s">
        <v>676</v>
      </c>
      <c r="D14239" t="s">
        <v>1446</v>
      </c>
      <c r="E14239" t="s">
        <v>187</v>
      </c>
      <c r="F14239">
        <v>2016</v>
      </c>
      <c r="G14239">
        <v>0.34599999999999997</v>
      </c>
    </row>
    <row r="14240" spans="1:7">
      <c r="A14240" t="s">
        <v>1297</v>
      </c>
      <c r="B14240" t="s">
        <v>1298</v>
      </c>
      <c r="C14240" t="s">
        <v>676</v>
      </c>
      <c r="D14240" t="s">
        <v>1446</v>
      </c>
      <c r="E14240" t="s">
        <v>187</v>
      </c>
      <c r="F14240">
        <v>2020</v>
      </c>
      <c r="G14240">
        <v>0.40799999999999997</v>
      </c>
    </row>
    <row r="14241" spans="1:7">
      <c r="A14241" t="s">
        <v>1297</v>
      </c>
      <c r="B14241" t="s">
        <v>1298</v>
      </c>
      <c r="C14241" t="s">
        <v>677</v>
      </c>
      <c r="D14241" t="s">
        <v>1446</v>
      </c>
      <c r="E14241" t="s">
        <v>187</v>
      </c>
      <c r="F14241">
        <v>2005</v>
      </c>
      <c r="G14241">
        <v>3.3000000000000002E-2</v>
      </c>
    </row>
    <row r="14242" spans="1:7">
      <c r="A14242" t="s">
        <v>1297</v>
      </c>
      <c r="B14242" t="s">
        <v>1298</v>
      </c>
      <c r="C14242" t="s">
        <v>677</v>
      </c>
      <c r="D14242" t="s">
        <v>1446</v>
      </c>
      <c r="E14242" t="s">
        <v>187</v>
      </c>
      <c r="F14242">
        <v>2010</v>
      </c>
      <c r="G14242">
        <v>3.3000000000000002E-2</v>
      </c>
    </row>
    <row r="14243" spans="1:7">
      <c r="A14243" t="s">
        <v>1297</v>
      </c>
      <c r="B14243" t="s">
        <v>1298</v>
      </c>
      <c r="C14243" t="s">
        <v>677</v>
      </c>
      <c r="D14243" t="s">
        <v>1446</v>
      </c>
      <c r="E14243" t="s">
        <v>187</v>
      </c>
      <c r="F14243">
        <v>2012</v>
      </c>
      <c r="G14243">
        <v>3.3000000000000002E-2</v>
      </c>
    </row>
    <row r="14244" spans="1:7">
      <c r="A14244" t="s">
        <v>1297</v>
      </c>
      <c r="B14244" t="s">
        <v>1298</v>
      </c>
      <c r="C14244" t="s">
        <v>677</v>
      </c>
      <c r="D14244" t="s">
        <v>1446</v>
      </c>
      <c r="E14244" t="s">
        <v>187</v>
      </c>
      <c r="F14244">
        <v>2016</v>
      </c>
      <c r="G14244">
        <v>3.4000000000000002E-2</v>
      </c>
    </row>
    <row r="14245" spans="1:7">
      <c r="A14245" t="s">
        <v>1297</v>
      </c>
      <c r="B14245" t="s">
        <v>1298</v>
      </c>
      <c r="C14245" t="s">
        <v>677</v>
      </c>
      <c r="D14245" t="s">
        <v>1446</v>
      </c>
      <c r="E14245" t="s">
        <v>187</v>
      </c>
      <c r="F14245">
        <v>2020</v>
      </c>
      <c r="G14245">
        <v>3.4000000000000002E-2</v>
      </c>
    </row>
    <row r="14246" spans="1:7">
      <c r="A14246" t="s">
        <v>1297</v>
      </c>
      <c r="B14246" t="s">
        <v>1298</v>
      </c>
      <c r="C14246" t="s">
        <v>653</v>
      </c>
      <c r="D14246" t="s">
        <v>1446</v>
      </c>
      <c r="E14246" t="s">
        <v>187</v>
      </c>
      <c r="F14246">
        <v>2016</v>
      </c>
      <c r="G14246">
        <v>1.45</v>
      </c>
    </row>
    <row r="14247" spans="1:7">
      <c r="A14247" t="s">
        <v>1297</v>
      </c>
      <c r="B14247" t="s">
        <v>1298</v>
      </c>
      <c r="C14247" t="s">
        <v>653</v>
      </c>
      <c r="D14247" t="s">
        <v>1446</v>
      </c>
      <c r="E14247" t="s">
        <v>187</v>
      </c>
      <c r="F14247">
        <v>2020</v>
      </c>
      <c r="G14247">
        <v>1.47</v>
      </c>
    </row>
    <row r="14248" spans="1:7">
      <c r="A14248" t="s">
        <v>1297</v>
      </c>
      <c r="B14248" t="s">
        <v>1298</v>
      </c>
      <c r="C14248" t="s">
        <v>654</v>
      </c>
      <c r="D14248" t="s">
        <v>1446</v>
      </c>
      <c r="E14248" t="s">
        <v>187</v>
      </c>
      <c r="F14248">
        <v>2010</v>
      </c>
      <c r="G14248">
        <v>3.2000000000000001E-2</v>
      </c>
    </row>
    <row r="14249" spans="1:7">
      <c r="A14249" t="s">
        <v>1297</v>
      </c>
      <c r="B14249" t="s">
        <v>1298</v>
      </c>
      <c r="C14249" t="s">
        <v>654</v>
      </c>
      <c r="D14249" t="s">
        <v>1446</v>
      </c>
      <c r="E14249" t="s">
        <v>187</v>
      </c>
      <c r="F14249">
        <v>2012</v>
      </c>
      <c r="G14249">
        <v>6.2E-2</v>
      </c>
    </row>
    <row r="14250" spans="1:7">
      <c r="A14250" t="s">
        <v>1297</v>
      </c>
      <c r="B14250" t="s">
        <v>1298</v>
      </c>
      <c r="C14250" t="s">
        <v>654</v>
      </c>
      <c r="D14250" t="s">
        <v>1446</v>
      </c>
      <c r="E14250" t="s">
        <v>187</v>
      </c>
      <c r="F14250">
        <v>2016</v>
      </c>
      <c r="G14250">
        <v>6.5000000000000002E-2</v>
      </c>
    </row>
    <row r="14251" spans="1:7">
      <c r="A14251" t="s">
        <v>1297</v>
      </c>
      <c r="B14251" t="s">
        <v>1298</v>
      </c>
      <c r="C14251" t="s">
        <v>654</v>
      </c>
      <c r="D14251" t="s">
        <v>1446</v>
      </c>
      <c r="E14251" t="s">
        <v>187</v>
      </c>
      <c r="F14251">
        <v>2020</v>
      </c>
      <c r="G14251">
        <v>6.4916000000000001E-2</v>
      </c>
    </row>
    <row r="14252" spans="1:7">
      <c r="A14252" t="s">
        <v>1297</v>
      </c>
      <c r="B14252" t="s">
        <v>1298</v>
      </c>
      <c r="C14252" t="s">
        <v>657</v>
      </c>
      <c r="D14252" t="s">
        <v>1446</v>
      </c>
      <c r="E14252" t="s">
        <v>187</v>
      </c>
      <c r="F14252">
        <v>2005</v>
      </c>
      <c r="G14252">
        <v>0.17199999999999999</v>
      </c>
    </row>
    <row r="14253" spans="1:7">
      <c r="A14253" t="s">
        <v>1297</v>
      </c>
      <c r="B14253" t="s">
        <v>1298</v>
      </c>
      <c r="C14253" t="s">
        <v>657</v>
      </c>
      <c r="D14253" t="s">
        <v>1446</v>
      </c>
      <c r="E14253" t="s">
        <v>187</v>
      </c>
      <c r="F14253">
        <v>2010</v>
      </c>
      <c r="G14253">
        <v>0.21199999999999999</v>
      </c>
    </row>
    <row r="14254" spans="1:7">
      <c r="A14254" t="s">
        <v>1297</v>
      </c>
      <c r="B14254" t="s">
        <v>1298</v>
      </c>
      <c r="C14254" t="s">
        <v>657</v>
      </c>
      <c r="D14254" t="s">
        <v>1446</v>
      </c>
      <c r="E14254" t="s">
        <v>187</v>
      </c>
      <c r="F14254">
        <v>2012</v>
      </c>
      <c r="G14254">
        <v>0.28799999999999998</v>
      </c>
    </row>
    <row r="14255" spans="1:7">
      <c r="A14255" t="s">
        <v>1297</v>
      </c>
      <c r="B14255" t="s">
        <v>1298</v>
      </c>
      <c r="C14255" t="s">
        <v>657</v>
      </c>
      <c r="D14255" t="s">
        <v>1446</v>
      </c>
      <c r="E14255" t="s">
        <v>187</v>
      </c>
      <c r="F14255">
        <v>2016</v>
      </c>
      <c r="G14255">
        <v>0.22489899999999999</v>
      </c>
    </row>
    <row r="14256" spans="1:7">
      <c r="A14256" t="s">
        <v>1297</v>
      </c>
      <c r="B14256" t="s">
        <v>1298</v>
      </c>
      <c r="C14256" t="s">
        <v>657</v>
      </c>
      <c r="D14256" t="s">
        <v>1446</v>
      </c>
      <c r="E14256" t="s">
        <v>187</v>
      </c>
      <c r="F14256">
        <v>2020</v>
      </c>
      <c r="G14256">
        <v>6.8497000000000002E-2</v>
      </c>
    </row>
    <row r="14257" spans="1:7">
      <c r="A14257" t="s">
        <v>1297</v>
      </c>
      <c r="B14257" t="s">
        <v>1298</v>
      </c>
      <c r="C14257" t="s">
        <v>656</v>
      </c>
      <c r="D14257" t="s">
        <v>1446</v>
      </c>
      <c r="E14257" t="s">
        <v>187</v>
      </c>
      <c r="F14257">
        <v>2005</v>
      </c>
      <c r="G14257">
        <v>2.0499999999999998</v>
      </c>
    </row>
    <row r="14258" spans="1:7">
      <c r="A14258" t="s">
        <v>1297</v>
      </c>
      <c r="B14258" t="s">
        <v>1298</v>
      </c>
      <c r="C14258" t="s">
        <v>656</v>
      </c>
      <c r="D14258" t="s">
        <v>1446</v>
      </c>
      <c r="E14258" t="s">
        <v>187</v>
      </c>
      <c r="F14258">
        <v>2010</v>
      </c>
      <c r="G14258">
        <v>3.702</v>
      </c>
    </row>
    <row r="14259" spans="1:7">
      <c r="A14259" t="s">
        <v>1297</v>
      </c>
      <c r="B14259" t="s">
        <v>1298</v>
      </c>
      <c r="C14259" t="s">
        <v>656</v>
      </c>
      <c r="D14259" t="s">
        <v>1446</v>
      </c>
      <c r="E14259" t="s">
        <v>187</v>
      </c>
      <c r="F14259">
        <v>2012</v>
      </c>
      <c r="G14259">
        <v>3.895</v>
      </c>
    </row>
    <row r="14260" spans="1:7">
      <c r="A14260" t="s">
        <v>1297</v>
      </c>
      <c r="B14260" t="s">
        <v>1298</v>
      </c>
      <c r="C14260" t="s">
        <v>656</v>
      </c>
      <c r="D14260" t="s">
        <v>1446</v>
      </c>
      <c r="E14260" t="s">
        <v>187</v>
      </c>
      <c r="F14260">
        <v>2016</v>
      </c>
      <c r="G14260">
        <v>11.211</v>
      </c>
    </row>
    <row r="14261" spans="1:7">
      <c r="A14261" t="s">
        <v>1297</v>
      </c>
      <c r="B14261" t="s">
        <v>1298</v>
      </c>
      <c r="C14261" t="s">
        <v>656</v>
      </c>
      <c r="D14261" t="s">
        <v>1446</v>
      </c>
      <c r="E14261" t="s">
        <v>187</v>
      </c>
      <c r="F14261">
        <v>2020</v>
      </c>
      <c r="G14261">
        <v>13.955</v>
      </c>
    </row>
    <row r="14262" spans="1:7">
      <c r="A14262" t="s">
        <v>1297</v>
      </c>
      <c r="B14262" t="s">
        <v>1298</v>
      </c>
      <c r="C14262" t="s">
        <v>653</v>
      </c>
      <c r="D14262" t="s">
        <v>1446</v>
      </c>
      <c r="E14262" t="s">
        <v>187</v>
      </c>
      <c r="F14262">
        <v>2005</v>
      </c>
      <c r="G14262">
        <v>1.3680000000000001</v>
      </c>
    </row>
    <row r="14263" spans="1:7">
      <c r="A14263" t="s">
        <v>1297</v>
      </c>
      <c r="B14263" t="s">
        <v>1298</v>
      </c>
      <c r="C14263" t="s">
        <v>653</v>
      </c>
      <c r="D14263" t="s">
        <v>1446</v>
      </c>
      <c r="E14263" t="s">
        <v>187</v>
      </c>
      <c r="F14263">
        <v>2010</v>
      </c>
      <c r="G14263">
        <v>1.3680000000000001</v>
      </c>
    </row>
    <row r="14264" spans="1:7">
      <c r="A14264" t="s">
        <v>1297</v>
      </c>
      <c r="B14264" t="s">
        <v>1298</v>
      </c>
      <c r="C14264" t="s">
        <v>653</v>
      </c>
      <c r="D14264" t="s">
        <v>1446</v>
      </c>
      <c r="E14264" t="s">
        <v>187</v>
      </c>
      <c r="F14264">
        <v>2012</v>
      </c>
      <c r="G14264">
        <v>1.4</v>
      </c>
    </row>
    <row r="14265" spans="1:7">
      <c r="A14265" t="s">
        <v>1297</v>
      </c>
      <c r="B14265" t="s">
        <v>1298</v>
      </c>
      <c r="C14265" t="s">
        <v>289</v>
      </c>
      <c r="D14265" t="s">
        <v>1446</v>
      </c>
      <c r="E14265" t="s">
        <v>187</v>
      </c>
      <c r="F14265">
        <v>2010</v>
      </c>
      <c r="G14265">
        <v>0.28499999999999998</v>
      </c>
    </row>
    <row r="14266" spans="1:7">
      <c r="A14266" t="s">
        <v>1297</v>
      </c>
      <c r="B14266" t="s">
        <v>1298</v>
      </c>
      <c r="C14266" t="s">
        <v>289</v>
      </c>
      <c r="D14266" t="s">
        <v>1446</v>
      </c>
      <c r="E14266" t="s">
        <v>187</v>
      </c>
      <c r="F14266">
        <v>2012</v>
      </c>
      <c r="G14266">
        <v>0.29099999999999998</v>
      </c>
    </row>
    <row r="14267" spans="1:7">
      <c r="A14267" t="s">
        <v>1297</v>
      </c>
      <c r="B14267" t="s">
        <v>1298</v>
      </c>
      <c r="C14267" t="s">
        <v>289</v>
      </c>
      <c r="D14267" t="s">
        <v>1446</v>
      </c>
      <c r="E14267" t="s">
        <v>187</v>
      </c>
      <c r="F14267">
        <v>2016</v>
      </c>
      <c r="G14267">
        <v>0.379</v>
      </c>
    </row>
    <row r="14268" spans="1:7">
      <c r="A14268" t="s">
        <v>1297</v>
      </c>
      <c r="B14268" t="s">
        <v>1298</v>
      </c>
      <c r="C14268" t="s">
        <v>289</v>
      </c>
      <c r="D14268" t="s">
        <v>1446</v>
      </c>
      <c r="E14268" t="s">
        <v>187</v>
      </c>
      <c r="F14268">
        <v>2020</v>
      </c>
      <c r="G14268">
        <v>1.9426859999999999</v>
      </c>
    </row>
    <row r="14269" spans="1:7">
      <c r="A14269" t="s">
        <v>1297</v>
      </c>
      <c r="B14269" t="s">
        <v>1298</v>
      </c>
      <c r="C14269" t="s">
        <v>673</v>
      </c>
      <c r="D14269" t="s">
        <v>1446</v>
      </c>
      <c r="E14269" t="s">
        <v>187</v>
      </c>
      <c r="F14269">
        <v>2005</v>
      </c>
      <c r="G14269">
        <v>0.749</v>
      </c>
    </row>
    <row r="14270" spans="1:7">
      <c r="A14270" t="s">
        <v>1297</v>
      </c>
      <c r="B14270" t="s">
        <v>1298</v>
      </c>
      <c r="C14270" t="s">
        <v>673</v>
      </c>
      <c r="D14270" t="s">
        <v>1446</v>
      </c>
      <c r="E14270" t="s">
        <v>187</v>
      </c>
      <c r="F14270">
        <v>2010</v>
      </c>
      <c r="G14270">
        <v>0.96199999999999997</v>
      </c>
    </row>
    <row r="14271" spans="1:7">
      <c r="A14271" t="s">
        <v>1297</v>
      </c>
      <c r="B14271" t="s">
        <v>1298</v>
      </c>
      <c r="C14271" t="s">
        <v>673</v>
      </c>
      <c r="D14271" t="s">
        <v>1446</v>
      </c>
      <c r="E14271" t="s">
        <v>187</v>
      </c>
      <c r="F14271">
        <v>2012</v>
      </c>
      <c r="G14271">
        <v>0.97399999999999998</v>
      </c>
    </row>
    <row r="14272" spans="1:7">
      <c r="A14272" t="s">
        <v>1297</v>
      </c>
      <c r="B14272" t="s">
        <v>1298</v>
      </c>
      <c r="C14272" t="s">
        <v>673</v>
      </c>
      <c r="D14272" t="s">
        <v>1446</v>
      </c>
      <c r="E14272" t="s">
        <v>187</v>
      </c>
      <c r="F14272">
        <v>2016</v>
      </c>
      <c r="G14272">
        <v>1.5089999999999999</v>
      </c>
    </row>
    <row r="14273" spans="1:7">
      <c r="A14273" t="s">
        <v>1297</v>
      </c>
      <c r="B14273" t="s">
        <v>1298</v>
      </c>
      <c r="C14273" t="s">
        <v>673</v>
      </c>
      <c r="D14273" t="s">
        <v>1446</v>
      </c>
      <c r="E14273" t="s">
        <v>187</v>
      </c>
      <c r="F14273">
        <v>2020</v>
      </c>
      <c r="G14273">
        <v>1.662658</v>
      </c>
    </row>
    <row r="14274" spans="1:7">
      <c r="A14274" t="s">
        <v>1297</v>
      </c>
      <c r="B14274" t="s">
        <v>1298</v>
      </c>
      <c r="C14274" t="s">
        <v>672</v>
      </c>
      <c r="D14274" t="s">
        <v>1446</v>
      </c>
      <c r="E14274" t="s">
        <v>187</v>
      </c>
      <c r="F14274">
        <v>2005</v>
      </c>
      <c r="G14274">
        <v>2.7490000000000001</v>
      </c>
    </row>
    <row r="14275" spans="1:7">
      <c r="A14275" t="s">
        <v>1297</v>
      </c>
      <c r="B14275" t="s">
        <v>1298</v>
      </c>
      <c r="C14275" t="s">
        <v>672</v>
      </c>
      <c r="D14275" t="s">
        <v>1446</v>
      </c>
      <c r="E14275" t="s">
        <v>187</v>
      </c>
      <c r="F14275">
        <v>2010</v>
      </c>
      <c r="G14275">
        <v>7.56</v>
      </c>
    </row>
    <row r="14276" spans="1:7">
      <c r="A14276" t="s">
        <v>1297</v>
      </c>
      <c r="B14276" t="s">
        <v>1298</v>
      </c>
      <c r="C14276" t="s">
        <v>672</v>
      </c>
      <c r="D14276" t="s">
        <v>1446</v>
      </c>
      <c r="E14276" t="s">
        <v>187</v>
      </c>
      <c r="F14276">
        <v>2012</v>
      </c>
      <c r="G14276">
        <v>5.6520000000000001</v>
      </c>
    </row>
    <row r="14277" spans="1:7">
      <c r="A14277" t="s">
        <v>1297</v>
      </c>
      <c r="B14277" t="s">
        <v>1298</v>
      </c>
      <c r="C14277" t="s">
        <v>672</v>
      </c>
      <c r="D14277" t="s">
        <v>1446</v>
      </c>
      <c r="E14277" t="s">
        <v>187</v>
      </c>
      <c r="F14277">
        <v>2016</v>
      </c>
      <c r="G14277">
        <v>6.6020000000000003</v>
      </c>
    </row>
    <row r="14278" spans="1:7">
      <c r="A14278" t="s">
        <v>1297</v>
      </c>
      <c r="B14278" t="s">
        <v>1298</v>
      </c>
      <c r="C14278" t="s">
        <v>672</v>
      </c>
      <c r="D14278" t="s">
        <v>1446</v>
      </c>
      <c r="E14278" t="s">
        <v>187</v>
      </c>
      <c r="F14278">
        <v>2020</v>
      </c>
      <c r="G14278">
        <v>8.2868040000000001</v>
      </c>
    </row>
    <row r="14279" spans="1:7">
      <c r="A14279" t="s">
        <v>1297</v>
      </c>
      <c r="B14279" t="s">
        <v>1298</v>
      </c>
      <c r="C14279" t="s">
        <v>663</v>
      </c>
      <c r="D14279" t="s">
        <v>1446</v>
      </c>
      <c r="E14279" t="s">
        <v>187</v>
      </c>
      <c r="F14279">
        <v>2005</v>
      </c>
      <c r="G14279">
        <v>3.6269999999999998</v>
      </c>
    </row>
    <row r="14280" spans="1:7">
      <c r="A14280" t="s">
        <v>1297</v>
      </c>
      <c r="B14280" t="s">
        <v>1298</v>
      </c>
      <c r="C14280" t="s">
        <v>663</v>
      </c>
      <c r="D14280" t="s">
        <v>1446</v>
      </c>
      <c r="E14280" t="s">
        <v>187</v>
      </c>
      <c r="F14280">
        <v>2010</v>
      </c>
      <c r="G14280">
        <v>4.13</v>
      </c>
    </row>
    <row r="14281" spans="1:7">
      <c r="A14281" t="s">
        <v>1297</v>
      </c>
      <c r="B14281" t="s">
        <v>1298</v>
      </c>
      <c r="C14281" t="s">
        <v>663</v>
      </c>
      <c r="D14281" t="s">
        <v>1446</v>
      </c>
      <c r="E14281" t="s">
        <v>187</v>
      </c>
      <c r="F14281">
        <v>2012</v>
      </c>
      <c r="G14281">
        <v>4.49</v>
      </c>
    </row>
    <row r="14282" spans="1:7">
      <c r="A14282" t="s">
        <v>1297</v>
      </c>
      <c r="B14282" t="s">
        <v>1298</v>
      </c>
      <c r="C14282" t="s">
        <v>663</v>
      </c>
      <c r="D14282" t="s">
        <v>1446</v>
      </c>
      <c r="E14282" t="s">
        <v>187</v>
      </c>
      <c r="F14282">
        <v>2016</v>
      </c>
      <c r="G14282">
        <v>5.0259999999999998</v>
      </c>
    </row>
    <row r="14283" spans="1:7">
      <c r="A14283" t="s">
        <v>1297</v>
      </c>
      <c r="B14283" t="s">
        <v>1298</v>
      </c>
      <c r="C14283" t="s">
        <v>663</v>
      </c>
      <c r="D14283" t="s">
        <v>1446</v>
      </c>
      <c r="E14283" t="s">
        <v>187</v>
      </c>
      <c r="F14283">
        <v>2020</v>
      </c>
      <c r="G14283">
        <v>6.6109999999999998</v>
      </c>
    </row>
    <row r="14284" spans="1:7">
      <c r="A14284" t="s">
        <v>1297</v>
      </c>
      <c r="B14284" t="s">
        <v>1298</v>
      </c>
      <c r="C14284" t="s">
        <v>661</v>
      </c>
      <c r="D14284" t="s">
        <v>1446</v>
      </c>
      <c r="E14284" t="s">
        <v>187</v>
      </c>
      <c r="F14284">
        <v>2005</v>
      </c>
      <c r="G14284">
        <v>7.9329999999999998</v>
      </c>
    </row>
    <row r="14285" spans="1:7">
      <c r="A14285" t="s">
        <v>1297</v>
      </c>
      <c r="B14285" t="s">
        <v>1298</v>
      </c>
      <c r="C14285" t="s">
        <v>661</v>
      </c>
      <c r="D14285" t="s">
        <v>1446</v>
      </c>
      <c r="E14285" t="s">
        <v>187</v>
      </c>
      <c r="F14285">
        <v>2010</v>
      </c>
      <c r="G14285">
        <v>7.3086440000000001</v>
      </c>
    </row>
    <row r="14286" spans="1:7">
      <c r="A14286" t="s">
        <v>1297</v>
      </c>
      <c r="B14286" t="s">
        <v>1298</v>
      </c>
      <c r="C14286" t="s">
        <v>661</v>
      </c>
      <c r="D14286" t="s">
        <v>1446</v>
      </c>
      <c r="E14286" t="s">
        <v>187</v>
      </c>
      <c r="F14286">
        <v>2012</v>
      </c>
      <c r="G14286">
        <v>10.126310999999999</v>
      </c>
    </row>
    <row r="14287" spans="1:7">
      <c r="A14287" t="s">
        <v>1297</v>
      </c>
      <c r="B14287" t="s">
        <v>1298</v>
      </c>
      <c r="C14287" t="s">
        <v>661</v>
      </c>
      <c r="D14287" t="s">
        <v>1446</v>
      </c>
      <c r="E14287" t="s">
        <v>187</v>
      </c>
      <c r="F14287">
        <v>2016</v>
      </c>
      <c r="G14287">
        <v>13.989609</v>
      </c>
    </row>
    <row r="14288" spans="1:7">
      <c r="A14288" t="s">
        <v>1297</v>
      </c>
      <c r="B14288" t="s">
        <v>1298</v>
      </c>
      <c r="C14288" t="s">
        <v>661</v>
      </c>
      <c r="D14288" t="s">
        <v>1446</v>
      </c>
      <c r="E14288" t="s">
        <v>187</v>
      </c>
      <c r="F14288">
        <v>2020</v>
      </c>
      <c r="G14288">
        <v>19.268543999999999</v>
      </c>
    </row>
    <row r="14289" spans="1:7">
      <c r="A14289" t="s">
        <v>1297</v>
      </c>
      <c r="B14289" t="s">
        <v>1298</v>
      </c>
      <c r="C14289" t="s">
        <v>659</v>
      </c>
      <c r="D14289" t="s">
        <v>1446</v>
      </c>
      <c r="E14289" t="s">
        <v>187</v>
      </c>
      <c r="F14289">
        <v>2005</v>
      </c>
      <c r="G14289">
        <v>0.30499999999999999</v>
      </c>
    </row>
    <row r="14290" spans="1:7">
      <c r="A14290" t="s">
        <v>1297</v>
      </c>
      <c r="B14290" t="s">
        <v>1298</v>
      </c>
      <c r="C14290" t="s">
        <v>659</v>
      </c>
      <c r="D14290" t="s">
        <v>1446</v>
      </c>
      <c r="E14290" t="s">
        <v>187</v>
      </c>
      <c r="F14290">
        <v>2010</v>
      </c>
      <c r="G14290">
        <v>0.67</v>
      </c>
    </row>
    <row r="14291" spans="1:7">
      <c r="A14291" t="s">
        <v>1297</v>
      </c>
      <c r="B14291" t="s">
        <v>1298</v>
      </c>
      <c r="C14291" t="s">
        <v>659</v>
      </c>
      <c r="D14291" t="s">
        <v>1446</v>
      </c>
      <c r="E14291" t="s">
        <v>187</v>
      </c>
      <c r="F14291">
        <v>2012</v>
      </c>
      <c r="G14291">
        <v>0.73799999999999999</v>
      </c>
    </row>
    <row r="14292" spans="1:7">
      <c r="A14292" t="s">
        <v>1297</v>
      </c>
      <c r="B14292" t="s">
        <v>1298</v>
      </c>
      <c r="C14292" t="s">
        <v>659</v>
      </c>
      <c r="D14292" t="s">
        <v>1446</v>
      </c>
      <c r="E14292" t="s">
        <v>187</v>
      </c>
      <c r="F14292">
        <v>2016</v>
      </c>
      <c r="G14292">
        <v>0.78900000000000003</v>
      </c>
    </row>
    <row r="14293" spans="1:7">
      <c r="A14293" t="s">
        <v>1297</v>
      </c>
      <c r="B14293" t="s">
        <v>1298</v>
      </c>
      <c r="C14293" t="s">
        <v>659</v>
      </c>
      <c r="D14293" t="s">
        <v>1446</v>
      </c>
      <c r="E14293" t="s">
        <v>187</v>
      </c>
      <c r="F14293">
        <v>2020</v>
      </c>
      <c r="G14293">
        <v>0.78900000000000003</v>
      </c>
    </row>
    <row r="14294" spans="1:7">
      <c r="A14294" t="s">
        <v>1297</v>
      </c>
      <c r="B14294" t="s">
        <v>1298</v>
      </c>
      <c r="C14294" t="s">
        <v>675</v>
      </c>
      <c r="D14294" t="s">
        <v>1446</v>
      </c>
      <c r="E14294" t="s">
        <v>187</v>
      </c>
      <c r="F14294">
        <v>2010</v>
      </c>
      <c r="G14294">
        <v>0.81100000000000005</v>
      </c>
    </row>
    <row r="14295" spans="1:7">
      <c r="A14295" t="s">
        <v>1297</v>
      </c>
      <c r="B14295" t="s">
        <v>1298</v>
      </c>
      <c r="C14295" t="s">
        <v>675</v>
      </c>
      <c r="D14295" t="s">
        <v>1446</v>
      </c>
      <c r="E14295" t="s">
        <v>187</v>
      </c>
      <c r="F14295">
        <v>2012</v>
      </c>
      <c r="G14295">
        <v>0.65300000000000002</v>
      </c>
    </row>
    <row r="14296" spans="1:7">
      <c r="A14296" t="s">
        <v>1297</v>
      </c>
      <c r="B14296" t="s">
        <v>1298</v>
      </c>
      <c r="C14296" t="s">
        <v>675</v>
      </c>
      <c r="D14296" t="s">
        <v>1446</v>
      </c>
      <c r="E14296" t="s">
        <v>187</v>
      </c>
      <c r="F14296">
        <v>2016</v>
      </c>
      <c r="G14296">
        <v>0.53400000000000003</v>
      </c>
    </row>
    <row r="14297" spans="1:7">
      <c r="A14297" t="s">
        <v>1297</v>
      </c>
      <c r="B14297" t="s">
        <v>1298</v>
      </c>
      <c r="C14297" t="s">
        <v>675</v>
      </c>
      <c r="D14297" t="s">
        <v>1446</v>
      </c>
      <c r="E14297" t="s">
        <v>187</v>
      </c>
      <c r="F14297">
        <v>2020</v>
      </c>
      <c r="G14297">
        <v>0.62089000000000005</v>
      </c>
    </row>
    <row r="14298" spans="1:7">
      <c r="A14298" t="s">
        <v>1297</v>
      </c>
      <c r="B14298" t="s">
        <v>1298</v>
      </c>
      <c r="C14298" t="s">
        <v>652</v>
      </c>
      <c r="D14298" t="s">
        <v>1446</v>
      </c>
      <c r="E14298" t="s">
        <v>187</v>
      </c>
      <c r="F14298">
        <v>2005</v>
      </c>
      <c r="G14298">
        <v>0.13</v>
      </c>
    </row>
    <row r="14299" spans="1:7">
      <c r="A14299" t="s">
        <v>1297</v>
      </c>
      <c r="B14299" t="s">
        <v>1298</v>
      </c>
      <c r="C14299" t="s">
        <v>652</v>
      </c>
      <c r="D14299" t="s">
        <v>1446</v>
      </c>
      <c r="E14299" t="s">
        <v>187</v>
      </c>
      <c r="F14299">
        <v>2010</v>
      </c>
      <c r="G14299">
        <v>0.15390000000000001</v>
      </c>
    </row>
    <row r="14300" spans="1:7">
      <c r="A14300" t="s">
        <v>1297</v>
      </c>
      <c r="B14300" t="s">
        <v>1298</v>
      </c>
      <c r="C14300" t="s">
        <v>652</v>
      </c>
      <c r="D14300" t="s">
        <v>1446</v>
      </c>
      <c r="E14300" t="s">
        <v>187</v>
      </c>
      <c r="F14300">
        <v>2012</v>
      </c>
      <c r="G14300">
        <v>0.10100000000000001</v>
      </c>
    </row>
    <row r="14301" spans="1:7">
      <c r="A14301" t="s">
        <v>1297</v>
      </c>
      <c r="B14301" t="s">
        <v>1298</v>
      </c>
      <c r="C14301" t="s">
        <v>652</v>
      </c>
      <c r="D14301" t="s">
        <v>1446</v>
      </c>
      <c r="E14301" t="s">
        <v>187</v>
      </c>
      <c r="F14301">
        <v>2016</v>
      </c>
      <c r="G14301">
        <v>0.1187</v>
      </c>
    </row>
    <row r="14302" spans="1:7">
      <c r="A14302" t="s">
        <v>1297</v>
      </c>
      <c r="B14302" t="s">
        <v>1298</v>
      </c>
      <c r="C14302" t="s">
        <v>652</v>
      </c>
      <c r="D14302" t="s">
        <v>1446</v>
      </c>
      <c r="E14302" t="s">
        <v>187</v>
      </c>
      <c r="F14302">
        <v>2020</v>
      </c>
      <c r="G14302">
        <v>0.12559999999999999</v>
      </c>
    </row>
    <row r="14303" spans="1:7">
      <c r="A14303" t="s">
        <v>1297</v>
      </c>
      <c r="B14303" t="s">
        <v>1298</v>
      </c>
      <c r="C14303" t="s">
        <v>1303</v>
      </c>
      <c r="D14303" t="s">
        <v>1446</v>
      </c>
      <c r="E14303" t="s">
        <v>187</v>
      </c>
      <c r="F14303">
        <v>2016</v>
      </c>
      <c r="G14303">
        <v>0.72599999999999998</v>
      </c>
    </row>
    <row r="14304" spans="1:7">
      <c r="A14304" t="s">
        <v>1297</v>
      </c>
      <c r="B14304" t="s">
        <v>1298</v>
      </c>
      <c r="C14304" t="s">
        <v>1303</v>
      </c>
      <c r="D14304" t="s">
        <v>1446</v>
      </c>
      <c r="E14304" t="s">
        <v>187</v>
      </c>
      <c r="F14304">
        <v>2020</v>
      </c>
      <c r="G14304">
        <v>0.76</v>
      </c>
    </row>
    <row r="14305" spans="1:7">
      <c r="A14305" t="s">
        <v>1297</v>
      </c>
      <c r="B14305" t="s">
        <v>1298</v>
      </c>
      <c r="C14305" t="s">
        <v>665</v>
      </c>
      <c r="D14305" t="s">
        <v>1446</v>
      </c>
      <c r="E14305" t="s">
        <v>187</v>
      </c>
      <c r="F14305">
        <v>2005</v>
      </c>
      <c r="G14305">
        <v>200.59700000000001</v>
      </c>
    </row>
    <row r="14306" spans="1:7">
      <c r="A14306" t="s">
        <v>1297</v>
      </c>
      <c r="B14306" t="s">
        <v>1298</v>
      </c>
      <c r="C14306" t="s">
        <v>665</v>
      </c>
      <c r="D14306" t="s">
        <v>1446</v>
      </c>
      <c r="E14306" t="s">
        <v>187</v>
      </c>
      <c r="F14306">
        <v>2010</v>
      </c>
      <c r="G14306">
        <v>199.95400000000001</v>
      </c>
    </row>
    <row r="14307" spans="1:7">
      <c r="A14307" t="s">
        <v>1297</v>
      </c>
      <c r="B14307" t="s">
        <v>1298</v>
      </c>
      <c r="C14307" t="s">
        <v>665</v>
      </c>
      <c r="D14307" t="s">
        <v>1446</v>
      </c>
      <c r="E14307" t="s">
        <v>187</v>
      </c>
      <c r="F14307">
        <v>2012</v>
      </c>
      <c r="G14307">
        <v>207.55099999999999</v>
      </c>
    </row>
    <row r="14308" spans="1:7">
      <c r="A14308" t="s">
        <v>1297</v>
      </c>
      <c r="B14308" t="s">
        <v>1298</v>
      </c>
      <c r="C14308" t="s">
        <v>665</v>
      </c>
      <c r="D14308" t="s">
        <v>1446</v>
      </c>
      <c r="E14308" t="s">
        <v>187</v>
      </c>
      <c r="F14308">
        <v>2016</v>
      </c>
      <c r="G14308">
        <v>233.23</v>
      </c>
    </row>
    <row r="14309" spans="1:7">
      <c r="A14309" t="s">
        <v>1297</v>
      </c>
      <c r="B14309" t="s">
        <v>1298</v>
      </c>
      <c r="C14309" t="s">
        <v>665</v>
      </c>
      <c r="D14309" t="s">
        <v>1446</v>
      </c>
      <c r="E14309" t="s">
        <v>187</v>
      </c>
      <c r="F14309">
        <v>2020</v>
      </c>
      <c r="G14309">
        <v>225.91238300000001</v>
      </c>
    </row>
    <row r="14310" spans="1:7">
      <c r="A14310" t="s">
        <v>1297</v>
      </c>
      <c r="B14310" t="s">
        <v>1298</v>
      </c>
      <c r="C14310" t="s">
        <v>666</v>
      </c>
      <c r="D14310" t="s">
        <v>1446</v>
      </c>
      <c r="E14310" t="s">
        <v>187</v>
      </c>
      <c r="F14310">
        <v>2005</v>
      </c>
      <c r="G14310">
        <v>0.121</v>
      </c>
    </row>
    <row r="14311" spans="1:7">
      <c r="A14311" t="s">
        <v>1297</v>
      </c>
      <c r="B14311" t="s">
        <v>1298</v>
      </c>
      <c r="C14311" t="s">
        <v>666</v>
      </c>
      <c r="D14311" t="s">
        <v>1446</v>
      </c>
      <c r="E14311" t="s">
        <v>187</v>
      </c>
      <c r="F14311">
        <v>2010</v>
      </c>
      <c r="G14311">
        <v>0.19</v>
      </c>
    </row>
    <row r="14312" spans="1:7">
      <c r="A14312" t="s">
        <v>1297</v>
      </c>
      <c r="B14312" t="s">
        <v>1298</v>
      </c>
      <c r="C14312" t="s">
        <v>666</v>
      </c>
      <c r="D14312" t="s">
        <v>1446</v>
      </c>
      <c r="E14312" t="s">
        <v>187</v>
      </c>
      <c r="F14312">
        <v>2012</v>
      </c>
      <c r="G14312">
        <v>0.158</v>
      </c>
    </row>
    <row r="14313" spans="1:7">
      <c r="A14313" t="s">
        <v>1297</v>
      </c>
      <c r="B14313" t="s">
        <v>1298</v>
      </c>
      <c r="C14313" t="s">
        <v>666</v>
      </c>
      <c r="D14313" t="s">
        <v>1446</v>
      </c>
      <c r="E14313" t="s">
        <v>187</v>
      </c>
      <c r="F14313">
        <v>2016</v>
      </c>
      <c r="G14313">
        <v>8.2000000000000003E-2</v>
      </c>
    </row>
    <row r="14314" spans="1:7">
      <c r="A14314" t="s">
        <v>1297</v>
      </c>
      <c r="B14314" t="s">
        <v>1298</v>
      </c>
      <c r="C14314" t="s">
        <v>1301</v>
      </c>
      <c r="D14314" t="s">
        <v>1446</v>
      </c>
      <c r="E14314" t="s">
        <v>187</v>
      </c>
      <c r="F14314">
        <v>2010</v>
      </c>
      <c r="G14314">
        <v>82.316999999999993</v>
      </c>
    </row>
    <row r="14315" spans="1:7">
      <c r="A14315" t="s">
        <v>1297</v>
      </c>
      <c r="B14315" t="s">
        <v>1298</v>
      </c>
      <c r="C14315" t="s">
        <v>1301</v>
      </c>
      <c r="D14315" t="s">
        <v>1446</v>
      </c>
      <c r="E14315" t="s">
        <v>187</v>
      </c>
      <c r="F14315">
        <v>2012</v>
      </c>
      <c r="G14315">
        <v>93.635999999999996</v>
      </c>
    </row>
    <row r="14316" spans="1:7">
      <c r="A14316" t="s">
        <v>1297</v>
      </c>
      <c r="B14316" t="s">
        <v>1298</v>
      </c>
      <c r="C14316" t="s">
        <v>1301</v>
      </c>
      <c r="D14316" t="s">
        <v>1446</v>
      </c>
      <c r="E14316" t="s">
        <v>187</v>
      </c>
      <c r="F14316">
        <v>2016</v>
      </c>
      <c r="G14316">
        <v>252.589</v>
      </c>
    </row>
    <row r="14317" spans="1:7">
      <c r="A14317" t="s">
        <v>1297</v>
      </c>
      <c r="B14317" t="s">
        <v>1298</v>
      </c>
      <c r="C14317" t="s">
        <v>685</v>
      </c>
      <c r="D14317" t="s">
        <v>1446</v>
      </c>
      <c r="E14317" t="s">
        <v>187</v>
      </c>
      <c r="F14317">
        <v>2005</v>
      </c>
      <c r="G14317">
        <v>0.42099999999999999</v>
      </c>
    </row>
    <row r="14318" spans="1:7">
      <c r="A14318" t="s">
        <v>1297</v>
      </c>
      <c r="B14318" t="s">
        <v>1298</v>
      </c>
      <c r="C14318" t="s">
        <v>685</v>
      </c>
      <c r="D14318" t="s">
        <v>1446</v>
      </c>
      <c r="E14318" t="s">
        <v>187</v>
      </c>
      <c r="F14318">
        <v>2010</v>
      </c>
      <c r="G14318">
        <v>0.47599999999999998</v>
      </c>
    </row>
    <row r="14319" spans="1:7">
      <c r="A14319" t="s">
        <v>1297</v>
      </c>
      <c r="B14319" t="s">
        <v>1298</v>
      </c>
      <c r="C14319" t="s">
        <v>685</v>
      </c>
      <c r="D14319" t="s">
        <v>1446</v>
      </c>
      <c r="E14319" t="s">
        <v>187</v>
      </c>
      <c r="F14319">
        <v>2012</v>
      </c>
      <c r="G14319">
        <v>0.43099999999999999</v>
      </c>
    </row>
    <row r="14320" spans="1:7">
      <c r="A14320" t="s">
        <v>1297</v>
      </c>
      <c r="B14320" t="s">
        <v>1298</v>
      </c>
      <c r="C14320" t="s">
        <v>685</v>
      </c>
      <c r="D14320" t="s">
        <v>1446</v>
      </c>
      <c r="E14320" t="s">
        <v>187</v>
      </c>
      <c r="F14320">
        <v>2016</v>
      </c>
      <c r="G14320">
        <v>0.23653399999999999</v>
      </c>
    </row>
    <row r="14321" spans="1:7">
      <c r="A14321" t="s">
        <v>1297</v>
      </c>
      <c r="B14321" t="s">
        <v>1298</v>
      </c>
      <c r="C14321" t="s">
        <v>685</v>
      </c>
      <c r="D14321" t="s">
        <v>1446</v>
      </c>
      <c r="E14321" t="s">
        <v>187</v>
      </c>
      <c r="F14321">
        <v>2020</v>
      </c>
      <c r="G14321">
        <v>0.20252100000000001</v>
      </c>
    </row>
    <row r="14322" spans="1:7">
      <c r="A14322" t="s">
        <v>1297</v>
      </c>
      <c r="B14322" t="s">
        <v>1298</v>
      </c>
      <c r="C14322" t="s">
        <v>686</v>
      </c>
      <c r="D14322" t="s">
        <v>1446</v>
      </c>
      <c r="E14322" t="s">
        <v>187</v>
      </c>
      <c r="F14322">
        <v>2010</v>
      </c>
      <c r="G14322">
        <v>0.224</v>
      </c>
    </row>
    <row r="14323" spans="1:7">
      <c r="A14323" t="s">
        <v>1297</v>
      </c>
      <c r="B14323" t="s">
        <v>1298</v>
      </c>
      <c r="C14323" t="s">
        <v>686</v>
      </c>
      <c r="D14323" t="s">
        <v>1446</v>
      </c>
      <c r="E14323" t="s">
        <v>187</v>
      </c>
      <c r="F14323">
        <v>2012</v>
      </c>
      <c r="G14323">
        <v>0.26100000000000001</v>
      </c>
    </row>
    <row r="14324" spans="1:7">
      <c r="A14324" t="s">
        <v>1297</v>
      </c>
      <c r="B14324" t="s">
        <v>1298</v>
      </c>
      <c r="C14324" t="s">
        <v>686</v>
      </c>
      <c r="D14324" t="s">
        <v>1446</v>
      </c>
      <c r="E14324" t="s">
        <v>187</v>
      </c>
      <c r="F14324">
        <v>2016</v>
      </c>
      <c r="G14324">
        <v>0.215</v>
      </c>
    </row>
    <row r="14325" spans="1:7">
      <c r="A14325" t="s">
        <v>1297</v>
      </c>
      <c r="B14325" t="s">
        <v>1298</v>
      </c>
      <c r="C14325" t="s">
        <v>686</v>
      </c>
      <c r="D14325" t="s">
        <v>1446</v>
      </c>
      <c r="E14325" t="s">
        <v>187</v>
      </c>
      <c r="F14325">
        <v>2020</v>
      </c>
      <c r="G14325">
        <v>0.21940599999999999</v>
      </c>
    </row>
    <row r="14326" spans="1:7">
      <c r="A14326" t="s">
        <v>1297</v>
      </c>
      <c r="B14326" t="s">
        <v>1298</v>
      </c>
      <c r="C14326" t="s">
        <v>1301</v>
      </c>
      <c r="D14326" t="s">
        <v>1446</v>
      </c>
      <c r="E14326" t="s">
        <v>187</v>
      </c>
      <c r="F14326">
        <v>2005</v>
      </c>
      <c r="G14326">
        <v>42.161000000000001</v>
      </c>
    </row>
    <row r="14327" spans="1:7">
      <c r="A14327" t="s">
        <v>1297</v>
      </c>
      <c r="B14327" t="s">
        <v>1298</v>
      </c>
      <c r="C14327" t="s">
        <v>670</v>
      </c>
      <c r="D14327" t="s">
        <v>1446</v>
      </c>
      <c r="E14327" t="s">
        <v>187</v>
      </c>
      <c r="F14327">
        <v>2010</v>
      </c>
      <c r="G14327">
        <v>0.318</v>
      </c>
    </row>
    <row r="14328" spans="1:7">
      <c r="A14328" t="s">
        <v>1297</v>
      </c>
      <c r="B14328" t="s">
        <v>1298</v>
      </c>
      <c r="C14328" t="s">
        <v>670</v>
      </c>
      <c r="D14328" t="s">
        <v>1446</v>
      </c>
      <c r="E14328" t="s">
        <v>187</v>
      </c>
      <c r="F14328">
        <v>2012</v>
      </c>
      <c r="G14328">
        <v>0.495</v>
      </c>
    </row>
    <row r="14329" spans="1:7">
      <c r="A14329" t="s">
        <v>1297</v>
      </c>
      <c r="B14329" t="s">
        <v>1298</v>
      </c>
      <c r="C14329" t="s">
        <v>670</v>
      </c>
      <c r="D14329" t="s">
        <v>1446</v>
      </c>
      <c r="E14329" t="s">
        <v>187</v>
      </c>
      <c r="F14329">
        <v>2016</v>
      </c>
      <c r="G14329">
        <v>2.8439999999999999</v>
      </c>
    </row>
    <row r="14330" spans="1:7">
      <c r="A14330" t="s">
        <v>1297</v>
      </c>
      <c r="B14330" t="s">
        <v>1298</v>
      </c>
      <c r="C14330" t="s">
        <v>670</v>
      </c>
      <c r="D14330" t="s">
        <v>1446</v>
      </c>
      <c r="E14330" t="s">
        <v>187</v>
      </c>
      <c r="F14330">
        <v>2020</v>
      </c>
      <c r="G14330">
        <v>5.5639159999999999</v>
      </c>
    </row>
    <row r="14331" spans="1:7">
      <c r="A14331" t="s">
        <v>1297</v>
      </c>
      <c r="B14331" t="s">
        <v>1298</v>
      </c>
      <c r="C14331" t="s">
        <v>671</v>
      </c>
      <c r="D14331" t="s">
        <v>1446</v>
      </c>
      <c r="E14331" t="s">
        <v>187</v>
      </c>
      <c r="F14331">
        <v>2005</v>
      </c>
      <c r="G14331">
        <v>0.47599999999999998</v>
      </c>
    </row>
    <row r="14332" spans="1:7">
      <c r="A14332" t="s">
        <v>1297</v>
      </c>
      <c r="B14332" t="s">
        <v>1298</v>
      </c>
      <c r="C14332" t="s">
        <v>671</v>
      </c>
      <c r="D14332" t="s">
        <v>1446</v>
      </c>
      <c r="E14332" t="s">
        <v>187</v>
      </c>
      <c r="F14332">
        <v>2010</v>
      </c>
      <c r="G14332">
        <v>0.56299999999999994</v>
      </c>
    </row>
    <row r="14333" spans="1:7">
      <c r="A14333" t="s">
        <v>1297</v>
      </c>
      <c r="B14333" t="s">
        <v>1298</v>
      </c>
      <c r="C14333" t="s">
        <v>671</v>
      </c>
      <c r="D14333" t="s">
        <v>1446</v>
      </c>
      <c r="E14333" t="s">
        <v>187</v>
      </c>
      <c r="F14333">
        <v>2012</v>
      </c>
      <c r="G14333">
        <v>0.66100000000000003</v>
      </c>
    </row>
    <row r="14334" spans="1:7">
      <c r="A14334" t="s">
        <v>1297</v>
      </c>
      <c r="B14334" t="s">
        <v>1298</v>
      </c>
      <c r="C14334" t="s">
        <v>671</v>
      </c>
      <c r="D14334" t="s">
        <v>1446</v>
      </c>
      <c r="E14334" t="s">
        <v>187</v>
      </c>
      <c r="F14334">
        <v>2016</v>
      </c>
      <c r="G14334">
        <v>0.93</v>
      </c>
    </row>
    <row r="14335" spans="1:7">
      <c r="A14335" t="s">
        <v>1297</v>
      </c>
      <c r="B14335" t="s">
        <v>1298</v>
      </c>
      <c r="C14335" t="s">
        <v>671</v>
      </c>
      <c r="D14335" t="s">
        <v>1446</v>
      </c>
      <c r="E14335" t="s">
        <v>187</v>
      </c>
      <c r="F14335">
        <v>2020</v>
      </c>
      <c r="G14335">
        <v>1.0503979999999999</v>
      </c>
    </row>
    <row r="14336" spans="1:7">
      <c r="A14336" t="s">
        <v>1297</v>
      </c>
      <c r="B14336" t="s">
        <v>1298</v>
      </c>
      <c r="C14336" t="s">
        <v>651</v>
      </c>
      <c r="D14336" t="s">
        <v>1446</v>
      </c>
      <c r="E14336" t="s">
        <v>187</v>
      </c>
      <c r="F14336">
        <v>2005</v>
      </c>
      <c r="G14336">
        <v>1.246275</v>
      </c>
    </row>
    <row r="14337" spans="1:8">
      <c r="A14337" t="s">
        <v>1297</v>
      </c>
      <c r="B14337" t="s">
        <v>1298</v>
      </c>
      <c r="C14337" t="s">
        <v>651</v>
      </c>
      <c r="D14337" t="s">
        <v>1446</v>
      </c>
      <c r="E14337" t="s">
        <v>187</v>
      </c>
      <c r="F14337">
        <v>2010</v>
      </c>
      <c r="G14337">
        <v>1.4461059999999999</v>
      </c>
    </row>
    <row r="14338" spans="1:8">
      <c r="A14338" t="s">
        <v>1297</v>
      </c>
      <c r="B14338" t="s">
        <v>1298</v>
      </c>
      <c r="C14338" t="s">
        <v>651</v>
      </c>
      <c r="D14338" t="s">
        <v>1446</v>
      </c>
      <c r="E14338" t="s">
        <v>187</v>
      </c>
      <c r="F14338">
        <v>2012</v>
      </c>
      <c r="G14338" s="14">
        <v>1.5259480000000001</v>
      </c>
      <c r="H14338" s="14"/>
    </row>
    <row r="14339" spans="1:8">
      <c r="A14339" t="s">
        <v>1297</v>
      </c>
      <c r="B14339" t="s">
        <v>1298</v>
      </c>
      <c r="C14339" t="s">
        <v>651</v>
      </c>
      <c r="D14339" t="s">
        <v>1446</v>
      </c>
      <c r="E14339" t="s">
        <v>187</v>
      </c>
      <c r="F14339">
        <v>2016</v>
      </c>
      <c r="G14339">
        <v>1.473956</v>
      </c>
    </row>
    <row r="14340" spans="1:8">
      <c r="A14340" t="s">
        <v>1297</v>
      </c>
      <c r="B14340" t="s">
        <v>1298</v>
      </c>
      <c r="C14340" t="s">
        <v>651</v>
      </c>
      <c r="D14340" t="s">
        <v>1446</v>
      </c>
      <c r="E14340" t="s">
        <v>187</v>
      </c>
      <c r="F14340">
        <v>2020</v>
      </c>
      <c r="G14340">
        <v>1.422831</v>
      </c>
    </row>
    <row r="14341" spans="1:8">
      <c r="A14341" t="s">
        <v>1297</v>
      </c>
      <c r="B14341" t="s">
        <v>1298</v>
      </c>
      <c r="C14341" t="s">
        <v>680</v>
      </c>
      <c r="D14341" t="s">
        <v>1446</v>
      </c>
      <c r="E14341" t="s">
        <v>187</v>
      </c>
      <c r="F14341">
        <v>2005</v>
      </c>
      <c r="G14341">
        <v>74.450999999999993</v>
      </c>
    </row>
    <row r="14342" spans="1:8">
      <c r="A14342" t="s">
        <v>1297</v>
      </c>
      <c r="B14342" t="s">
        <v>1298</v>
      </c>
      <c r="C14342" t="s">
        <v>680</v>
      </c>
      <c r="D14342" t="s">
        <v>1446</v>
      </c>
      <c r="E14342" t="s">
        <v>187</v>
      </c>
      <c r="F14342">
        <v>2010</v>
      </c>
      <c r="G14342">
        <v>155.196</v>
      </c>
    </row>
    <row r="14343" spans="1:8">
      <c r="A14343" t="s">
        <v>1297</v>
      </c>
      <c r="B14343" t="s">
        <v>1298</v>
      </c>
      <c r="C14343" t="s">
        <v>680</v>
      </c>
      <c r="D14343" t="s">
        <v>1446</v>
      </c>
      <c r="E14343" t="s">
        <v>187</v>
      </c>
      <c r="F14343">
        <v>2012</v>
      </c>
      <c r="G14343">
        <v>167.81399999999999</v>
      </c>
    </row>
    <row r="14344" spans="1:8">
      <c r="A14344" t="s">
        <v>1297</v>
      </c>
      <c r="B14344" t="s">
        <v>1298</v>
      </c>
      <c r="C14344" t="s">
        <v>680</v>
      </c>
      <c r="D14344" t="s">
        <v>1446</v>
      </c>
      <c r="E14344" t="s">
        <v>187</v>
      </c>
      <c r="F14344">
        <v>2016</v>
      </c>
      <c r="G14344">
        <v>143.72900000000001</v>
      </c>
    </row>
    <row r="14345" spans="1:8">
      <c r="A14345" t="s">
        <v>1297</v>
      </c>
      <c r="B14345" t="s">
        <v>1298</v>
      </c>
      <c r="C14345" t="s">
        <v>680</v>
      </c>
      <c r="D14345" t="s">
        <v>1446</v>
      </c>
      <c r="E14345" t="s">
        <v>187</v>
      </c>
      <c r="F14345">
        <v>2020</v>
      </c>
      <c r="G14345">
        <v>174.485986</v>
      </c>
    </row>
    <row r="14346" spans="1:8">
      <c r="A14346" t="s">
        <v>1297</v>
      </c>
      <c r="B14346" t="s">
        <v>1298</v>
      </c>
      <c r="C14346" t="s">
        <v>662</v>
      </c>
      <c r="D14346" t="s">
        <v>1446</v>
      </c>
      <c r="E14346" t="s">
        <v>187</v>
      </c>
      <c r="F14346">
        <v>2005</v>
      </c>
      <c r="G14346">
        <v>0.51170000000000004</v>
      </c>
    </row>
    <row r="14347" spans="1:8">
      <c r="A14347" t="s">
        <v>1297</v>
      </c>
      <c r="B14347" t="s">
        <v>1298</v>
      </c>
      <c r="C14347" t="s">
        <v>662</v>
      </c>
      <c r="D14347" t="s">
        <v>1446</v>
      </c>
      <c r="E14347" t="s">
        <v>187</v>
      </c>
      <c r="F14347">
        <v>2010</v>
      </c>
      <c r="G14347">
        <v>0.67030000000000001</v>
      </c>
    </row>
    <row r="14348" spans="1:8">
      <c r="A14348" t="s">
        <v>1297</v>
      </c>
      <c r="B14348" t="s">
        <v>1298</v>
      </c>
      <c r="C14348" t="s">
        <v>673</v>
      </c>
      <c r="D14348" t="s">
        <v>1447</v>
      </c>
      <c r="E14348" t="s">
        <v>187</v>
      </c>
      <c r="F14348">
        <v>2016</v>
      </c>
      <c r="G14348">
        <v>0.438</v>
      </c>
    </row>
    <row r="14349" spans="1:8">
      <c r="A14349" t="s">
        <v>1297</v>
      </c>
      <c r="B14349" t="s">
        <v>1298</v>
      </c>
      <c r="C14349" t="s">
        <v>673</v>
      </c>
      <c r="D14349" t="s">
        <v>1447</v>
      </c>
      <c r="E14349" t="s">
        <v>187</v>
      </c>
      <c r="F14349">
        <v>2020</v>
      </c>
      <c r="G14349">
        <v>0.61787800000000004</v>
      </c>
    </row>
    <row r="14350" spans="1:8">
      <c r="A14350" t="s">
        <v>1297</v>
      </c>
      <c r="B14350" t="s">
        <v>1298</v>
      </c>
      <c r="C14350" t="s">
        <v>661</v>
      </c>
      <c r="D14350" t="s">
        <v>1447</v>
      </c>
      <c r="E14350" t="s">
        <v>187</v>
      </c>
      <c r="F14350">
        <v>2005</v>
      </c>
      <c r="G14350">
        <v>7.0220000000000002</v>
      </c>
    </row>
    <row r="14351" spans="1:8">
      <c r="A14351" t="s">
        <v>1297</v>
      </c>
      <c r="B14351" t="s">
        <v>1298</v>
      </c>
      <c r="C14351" t="s">
        <v>661</v>
      </c>
      <c r="D14351" t="s">
        <v>1447</v>
      </c>
      <c r="E14351" t="s">
        <v>187</v>
      </c>
      <c r="F14351">
        <v>2010</v>
      </c>
      <c r="G14351">
        <v>6.3982859999999997</v>
      </c>
    </row>
    <row r="14352" spans="1:8">
      <c r="A14352" t="s">
        <v>1297</v>
      </c>
      <c r="B14352" t="s">
        <v>1298</v>
      </c>
      <c r="C14352" t="s">
        <v>661</v>
      </c>
      <c r="D14352" t="s">
        <v>1447</v>
      </c>
      <c r="E14352" t="s">
        <v>187</v>
      </c>
      <c r="F14352">
        <v>2012</v>
      </c>
      <c r="G14352">
        <v>8.401688</v>
      </c>
    </row>
    <row r="14353" spans="1:7">
      <c r="A14353" t="s">
        <v>1297</v>
      </c>
      <c r="B14353" t="s">
        <v>1298</v>
      </c>
      <c r="C14353" t="s">
        <v>661</v>
      </c>
      <c r="D14353" t="s">
        <v>1447</v>
      </c>
      <c r="E14353" t="s">
        <v>187</v>
      </c>
      <c r="F14353">
        <v>2016</v>
      </c>
      <c r="G14353">
        <v>12.308315</v>
      </c>
    </row>
    <row r="14354" spans="1:7">
      <c r="A14354" t="s">
        <v>1297</v>
      </c>
      <c r="B14354" t="s">
        <v>1298</v>
      </c>
      <c r="C14354" t="s">
        <v>661</v>
      </c>
      <c r="D14354" t="s">
        <v>1447</v>
      </c>
      <c r="E14354" t="s">
        <v>187</v>
      </c>
      <c r="F14354">
        <v>2020</v>
      </c>
      <c r="G14354">
        <v>17.587250000000001</v>
      </c>
    </row>
    <row r="14355" spans="1:7">
      <c r="A14355" t="s">
        <v>1297</v>
      </c>
      <c r="B14355" t="s">
        <v>1298</v>
      </c>
      <c r="C14355" t="s">
        <v>675</v>
      </c>
      <c r="D14355" t="s">
        <v>1447</v>
      </c>
      <c r="E14355" t="s">
        <v>187</v>
      </c>
      <c r="F14355">
        <v>2010</v>
      </c>
      <c r="G14355">
        <v>8.3000000000000004E-2</v>
      </c>
    </row>
    <row r="14356" spans="1:7">
      <c r="A14356" t="s">
        <v>1297</v>
      </c>
      <c r="B14356" t="s">
        <v>1298</v>
      </c>
      <c r="C14356" t="s">
        <v>675</v>
      </c>
      <c r="D14356" t="s">
        <v>1447</v>
      </c>
      <c r="E14356" t="s">
        <v>187</v>
      </c>
      <c r="F14356">
        <v>2012</v>
      </c>
      <c r="G14356">
        <v>8.4000000000000005E-2</v>
      </c>
    </row>
    <row r="14357" spans="1:7">
      <c r="A14357" t="s">
        <v>1297</v>
      </c>
      <c r="B14357" t="s">
        <v>1298</v>
      </c>
      <c r="C14357" t="s">
        <v>675</v>
      </c>
      <c r="D14357" t="s">
        <v>1447</v>
      </c>
      <c r="E14357" t="s">
        <v>187</v>
      </c>
      <c r="F14357">
        <v>2016</v>
      </c>
      <c r="G14357">
        <v>4.5999999999999999E-2</v>
      </c>
    </row>
    <row r="14358" spans="1:7">
      <c r="A14358" t="s">
        <v>1297</v>
      </c>
      <c r="B14358" t="s">
        <v>1298</v>
      </c>
      <c r="C14358" t="s">
        <v>675</v>
      </c>
      <c r="D14358" t="s">
        <v>1447</v>
      </c>
      <c r="E14358" t="s">
        <v>187</v>
      </c>
      <c r="F14358">
        <v>2020</v>
      </c>
      <c r="G14358">
        <v>3.8830000000000003E-2</v>
      </c>
    </row>
    <row r="14359" spans="1:7">
      <c r="A14359" t="s">
        <v>1297</v>
      </c>
      <c r="B14359" t="s">
        <v>1298</v>
      </c>
      <c r="C14359" t="s">
        <v>672</v>
      </c>
      <c r="D14359" t="s">
        <v>1447</v>
      </c>
      <c r="E14359" t="s">
        <v>187</v>
      </c>
      <c r="F14359">
        <v>2005</v>
      </c>
      <c r="G14359">
        <v>2.7069999999999999</v>
      </c>
    </row>
    <row r="14360" spans="1:7">
      <c r="A14360" t="s">
        <v>1297</v>
      </c>
      <c r="B14360" t="s">
        <v>1298</v>
      </c>
      <c r="C14360" t="s">
        <v>672</v>
      </c>
      <c r="D14360" t="s">
        <v>1447</v>
      </c>
      <c r="E14360" t="s">
        <v>187</v>
      </c>
      <c r="F14360">
        <v>2010</v>
      </c>
      <c r="G14360">
        <v>7.5179999999999998</v>
      </c>
    </row>
    <row r="14361" spans="1:7">
      <c r="A14361" t="s">
        <v>1297</v>
      </c>
      <c r="B14361" t="s">
        <v>1298</v>
      </c>
      <c r="C14361" t="s">
        <v>672</v>
      </c>
      <c r="D14361" t="s">
        <v>1447</v>
      </c>
      <c r="E14361" t="s">
        <v>187</v>
      </c>
      <c r="F14361">
        <v>2012</v>
      </c>
      <c r="G14361">
        <v>5.5869999999999997</v>
      </c>
    </row>
    <row r="14362" spans="1:7">
      <c r="A14362" t="s">
        <v>1297</v>
      </c>
      <c r="B14362" t="s">
        <v>1298</v>
      </c>
      <c r="C14362" t="s">
        <v>672</v>
      </c>
      <c r="D14362" t="s">
        <v>1447</v>
      </c>
      <c r="E14362" t="s">
        <v>187</v>
      </c>
      <c r="F14362">
        <v>2016</v>
      </c>
      <c r="G14362">
        <v>6.5449999999999999</v>
      </c>
    </row>
    <row r="14363" spans="1:7">
      <c r="A14363" t="s">
        <v>1297</v>
      </c>
      <c r="B14363" t="s">
        <v>1298</v>
      </c>
      <c r="C14363" t="s">
        <v>672</v>
      </c>
      <c r="D14363" t="s">
        <v>1447</v>
      </c>
      <c r="E14363" t="s">
        <v>187</v>
      </c>
      <c r="F14363">
        <v>2020</v>
      </c>
      <c r="G14363">
        <v>8.2148040000000009</v>
      </c>
    </row>
    <row r="14364" spans="1:7">
      <c r="A14364" t="s">
        <v>1297</v>
      </c>
      <c r="B14364" t="s">
        <v>1298</v>
      </c>
      <c r="C14364" t="s">
        <v>289</v>
      </c>
      <c r="D14364" t="s">
        <v>1447</v>
      </c>
      <c r="E14364" t="s">
        <v>187</v>
      </c>
      <c r="F14364">
        <v>2020</v>
      </c>
      <c r="G14364">
        <v>1.641886</v>
      </c>
    </row>
    <row r="14365" spans="1:7">
      <c r="A14365" t="s">
        <v>1297</v>
      </c>
      <c r="B14365" t="s">
        <v>1298</v>
      </c>
      <c r="C14365" t="s">
        <v>652</v>
      </c>
      <c r="D14365" t="s">
        <v>1447</v>
      </c>
      <c r="E14365" t="s">
        <v>187</v>
      </c>
      <c r="F14365">
        <v>2005</v>
      </c>
      <c r="G14365">
        <v>0.10199999999999999</v>
      </c>
    </row>
    <row r="14366" spans="1:7">
      <c r="A14366" t="s">
        <v>1297</v>
      </c>
      <c r="B14366" t="s">
        <v>1298</v>
      </c>
      <c r="C14366" t="s">
        <v>652</v>
      </c>
      <c r="D14366" t="s">
        <v>1447</v>
      </c>
      <c r="E14366" t="s">
        <v>187</v>
      </c>
      <c r="F14366">
        <v>2010</v>
      </c>
      <c r="G14366">
        <v>0.12690000000000001</v>
      </c>
    </row>
    <row r="14367" spans="1:7">
      <c r="A14367" t="s">
        <v>1297</v>
      </c>
      <c r="B14367" t="s">
        <v>1298</v>
      </c>
      <c r="C14367" t="s">
        <v>652</v>
      </c>
      <c r="D14367" t="s">
        <v>1447</v>
      </c>
      <c r="E14367" t="s">
        <v>187</v>
      </c>
      <c r="F14367">
        <v>2012</v>
      </c>
      <c r="G14367">
        <v>8.2600000000000007E-2</v>
      </c>
    </row>
    <row r="14368" spans="1:7">
      <c r="A14368" t="s">
        <v>1297</v>
      </c>
      <c r="B14368" t="s">
        <v>1298</v>
      </c>
      <c r="C14368" t="s">
        <v>652</v>
      </c>
      <c r="D14368" t="s">
        <v>1447</v>
      </c>
      <c r="E14368" t="s">
        <v>187</v>
      </c>
      <c r="F14368">
        <v>2016</v>
      </c>
      <c r="G14368">
        <v>0.1048</v>
      </c>
    </row>
    <row r="14369" spans="1:7">
      <c r="A14369" t="s">
        <v>1297</v>
      </c>
      <c r="B14369" t="s">
        <v>1298</v>
      </c>
      <c r="C14369" t="s">
        <v>652</v>
      </c>
      <c r="D14369" t="s">
        <v>1447</v>
      </c>
      <c r="E14369" t="s">
        <v>187</v>
      </c>
      <c r="F14369">
        <v>2020</v>
      </c>
      <c r="G14369">
        <v>0.1125</v>
      </c>
    </row>
    <row r="14370" spans="1:7">
      <c r="A14370" t="s">
        <v>1297</v>
      </c>
      <c r="B14370" t="s">
        <v>1298</v>
      </c>
      <c r="C14370" t="s">
        <v>676</v>
      </c>
      <c r="D14370" t="s">
        <v>1447</v>
      </c>
      <c r="E14370" t="s">
        <v>187</v>
      </c>
      <c r="F14370">
        <v>2005</v>
      </c>
      <c r="G14370">
        <v>0.28000000000000003</v>
      </c>
    </row>
    <row r="14371" spans="1:7">
      <c r="A14371" t="s">
        <v>1297</v>
      </c>
      <c r="B14371" t="s">
        <v>1298</v>
      </c>
      <c r="C14371" t="s">
        <v>676</v>
      </c>
      <c r="D14371" t="s">
        <v>1447</v>
      </c>
      <c r="E14371" t="s">
        <v>187</v>
      </c>
      <c r="F14371">
        <v>2010</v>
      </c>
      <c r="G14371">
        <v>0.27800000000000002</v>
      </c>
    </row>
    <row r="14372" spans="1:7">
      <c r="A14372" t="s">
        <v>1297</v>
      </c>
      <c r="B14372" t="s">
        <v>1298</v>
      </c>
      <c r="C14372" t="s">
        <v>676</v>
      </c>
      <c r="D14372" t="s">
        <v>1447</v>
      </c>
      <c r="E14372" t="s">
        <v>187</v>
      </c>
      <c r="F14372">
        <v>2012</v>
      </c>
      <c r="G14372">
        <v>0.19</v>
      </c>
    </row>
    <row r="14373" spans="1:7">
      <c r="A14373" t="s">
        <v>1297</v>
      </c>
      <c r="B14373" t="s">
        <v>1298</v>
      </c>
      <c r="C14373" t="s">
        <v>676</v>
      </c>
      <c r="D14373" t="s">
        <v>1447</v>
      </c>
      <c r="E14373" t="s">
        <v>187</v>
      </c>
      <c r="F14373">
        <v>2016</v>
      </c>
      <c r="G14373">
        <v>0.28000000000000003</v>
      </c>
    </row>
    <row r="14374" spans="1:7">
      <c r="A14374" t="s">
        <v>1297</v>
      </c>
      <c r="B14374" t="s">
        <v>1298</v>
      </c>
      <c r="C14374" t="s">
        <v>676</v>
      </c>
      <c r="D14374" t="s">
        <v>1447</v>
      </c>
      <c r="E14374" t="s">
        <v>187</v>
      </c>
      <c r="F14374">
        <v>2020</v>
      </c>
      <c r="G14374">
        <v>0.35</v>
      </c>
    </row>
    <row r="14375" spans="1:7">
      <c r="A14375" t="s">
        <v>1297</v>
      </c>
      <c r="B14375" t="s">
        <v>1298</v>
      </c>
      <c r="C14375" t="s">
        <v>657</v>
      </c>
      <c r="D14375" t="s">
        <v>1447</v>
      </c>
      <c r="E14375" t="s">
        <v>187</v>
      </c>
      <c r="F14375">
        <v>2005</v>
      </c>
      <c r="G14375">
        <v>0.17199999999999999</v>
      </c>
    </row>
    <row r="14376" spans="1:7">
      <c r="A14376" t="s">
        <v>1297</v>
      </c>
      <c r="B14376" t="s">
        <v>1298</v>
      </c>
      <c r="C14376" t="s">
        <v>657</v>
      </c>
      <c r="D14376" t="s">
        <v>1447</v>
      </c>
      <c r="E14376" t="s">
        <v>187</v>
      </c>
      <c r="F14376">
        <v>2010</v>
      </c>
      <c r="G14376">
        <v>0.21199999999999999</v>
      </c>
    </row>
    <row r="14377" spans="1:7">
      <c r="A14377" t="s">
        <v>1297</v>
      </c>
      <c r="B14377" t="s">
        <v>1298</v>
      </c>
      <c r="C14377" t="s">
        <v>657</v>
      </c>
      <c r="D14377" t="s">
        <v>1447</v>
      </c>
      <c r="E14377" t="s">
        <v>187</v>
      </c>
      <c r="F14377">
        <v>2012</v>
      </c>
      <c r="G14377">
        <v>0.28799999999999998</v>
      </c>
    </row>
    <row r="14378" spans="1:7">
      <c r="A14378" t="s">
        <v>1297</v>
      </c>
      <c r="B14378" t="s">
        <v>1298</v>
      </c>
      <c r="C14378" t="s">
        <v>657</v>
      </c>
      <c r="D14378" t="s">
        <v>1447</v>
      </c>
      <c r="E14378" t="s">
        <v>187</v>
      </c>
      <c r="F14378">
        <v>2016</v>
      </c>
      <c r="G14378">
        <v>0.22489899999999999</v>
      </c>
    </row>
    <row r="14379" spans="1:7">
      <c r="A14379" t="s">
        <v>1297</v>
      </c>
      <c r="B14379" t="s">
        <v>1298</v>
      </c>
      <c r="C14379" t="s">
        <v>657</v>
      </c>
      <c r="D14379" t="s">
        <v>1447</v>
      </c>
      <c r="E14379" t="s">
        <v>187</v>
      </c>
      <c r="F14379">
        <v>2020</v>
      </c>
      <c r="G14379">
        <v>6.8497000000000002E-2</v>
      </c>
    </row>
    <row r="14380" spans="1:7">
      <c r="A14380" t="s">
        <v>1297</v>
      </c>
      <c r="B14380" t="s">
        <v>1298</v>
      </c>
      <c r="C14380" t="s">
        <v>680</v>
      </c>
      <c r="D14380" t="s">
        <v>1447</v>
      </c>
      <c r="E14380" t="s">
        <v>187</v>
      </c>
      <c r="F14380">
        <v>2005</v>
      </c>
      <c r="G14380">
        <v>69.599000000000004</v>
      </c>
    </row>
    <row r="14381" spans="1:7">
      <c r="A14381" t="s">
        <v>1297</v>
      </c>
      <c r="B14381" t="s">
        <v>1298</v>
      </c>
      <c r="C14381" t="s">
        <v>680</v>
      </c>
      <c r="D14381" t="s">
        <v>1447</v>
      </c>
      <c r="E14381" t="s">
        <v>187</v>
      </c>
      <c r="F14381">
        <v>2010</v>
      </c>
      <c r="G14381">
        <v>150.696</v>
      </c>
    </row>
    <row r="14382" spans="1:7">
      <c r="A14382" t="s">
        <v>1297</v>
      </c>
      <c r="B14382" t="s">
        <v>1298</v>
      </c>
      <c r="C14382" t="s">
        <v>680</v>
      </c>
      <c r="D14382" t="s">
        <v>1447</v>
      </c>
      <c r="E14382" t="s">
        <v>187</v>
      </c>
      <c r="F14382">
        <v>2012</v>
      </c>
      <c r="G14382">
        <v>162.214</v>
      </c>
    </row>
    <row r="14383" spans="1:7">
      <c r="A14383" t="s">
        <v>1297</v>
      </c>
      <c r="B14383" t="s">
        <v>1298</v>
      </c>
      <c r="C14383" t="s">
        <v>680</v>
      </c>
      <c r="D14383" t="s">
        <v>1447</v>
      </c>
      <c r="E14383" t="s">
        <v>187</v>
      </c>
      <c r="F14383">
        <v>2016</v>
      </c>
      <c r="G14383">
        <v>137.30420000000001</v>
      </c>
    </row>
    <row r="14384" spans="1:7">
      <c r="A14384" t="s">
        <v>1297</v>
      </c>
      <c r="B14384" t="s">
        <v>1298</v>
      </c>
      <c r="C14384" t="s">
        <v>680</v>
      </c>
      <c r="D14384" t="s">
        <v>1447</v>
      </c>
      <c r="E14384" t="s">
        <v>187</v>
      </c>
      <c r="F14384">
        <v>2020</v>
      </c>
      <c r="G14384">
        <v>169.78654499999999</v>
      </c>
    </row>
    <row r="14385" spans="1:7">
      <c r="A14385" t="s">
        <v>1297</v>
      </c>
      <c r="B14385" t="s">
        <v>1298</v>
      </c>
      <c r="C14385" t="s">
        <v>656</v>
      </c>
      <c r="D14385" t="s">
        <v>1447</v>
      </c>
      <c r="E14385" t="s">
        <v>187</v>
      </c>
      <c r="F14385">
        <v>2005</v>
      </c>
      <c r="G14385">
        <v>0.26</v>
      </c>
    </row>
    <row r="14386" spans="1:7">
      <c r="A14386" t="s">
        <v>1297</v>
      </c>
      <c r="B14386" t="s">
        <v>1298</v>
      </c>
      <c r="C14386" t="s">
        <v>656</v>
      </c>
      <c r="D14386" t="s">
        <v>1447</v>
      </c>
      <c r="E14386" t="s">
        <v>187</v>
      </c>
      <c r="F14386">
        <v>2010</v>
      </c>
      <c r="G14386">
        <v>1.4470000000000001</v>
      </c>
    </row>
    <row r="14387" spans="1:7">
      <c r="A14387" t="s">
        <v>1297</v>
      </c>
      <c r="B14387" t="s">
        <v>1298</v>
      </c>
      <c r="C14387" t="s">
        <v>656</v>
      </c>
      <c r="D14387" t="s">
        <v>1447</v>
      </c>
      <c r="E14387" t="s">
        <v>187</v>
      </c>
      <c r="F14387">
        <v>2012</v>
      </c>
      <c r="G14387">
        <v>1.0840000000000001</v>
      </c>
    </row>
    <row r="14388" spans="1:7">
      <c r="A14388" t="s">
        <v>1297</v>
      </c>
      <c r="B14388" t="s">
        <v>1298</v>
      </c>
      <c r="C14388" t="s">
        <v>656</v>
      </c>
      <c r="D14388" t="s">
        <v>1447</v>
      </c>
      <c r="E14388" t="s">
        <v>187</v>
      </c>
      <c r="F14388">
        <v>2016</v>
      </c>
      <c r="G14388">
        <v>7.8819999999999997</v>
      </c>
    </row>
    <row r="14389" spans="1:7">
      <c r="A14389" t="s">
        <v>1297</v>
      </c>
      <c r="B14389" t="s">
        <v>1298</v>
      </c>
      <c r="C14389" t="s">
        <v>656</v>
      </c>
      <c r="D14389" t="s">
        <v>1447</v>
      </c>
      <c r="E14389" t="s">
        <v>187</v>
      </c>
      <c r="F14389">
        <v>2020</v>
      </c>
      <c r="G14389">
        <v>10.565</v>
      </c>
    </row>
    <row r="14390" spans="1:7">
      <c r="A14390" t="s">
        <v>1297</v>
      </c>
      <c r="B14390" t="s">
        <v>1298</v>
      </c>
      <c r="C14390" t="s">
        <v>651</v>
      </c>
      <c r="D14390" t="s">
        <v>1447</v>
      </c>
      <c r="E14390" t="s">
        <v>187</v>
      </c>
      <c r="F14390">
        <v>2005</v>
      </c>
      <c r="G14390">
        <v>0.97644500000000001</v>
      </c>
    </row>
    <row r="14391" spans="1:7">
      <c r="A14391" t="s">
        <v>1297</v>
      </c>
      <c r="B14391" t="s">
        <v>1298</v>
      </c>
      <c r="C14391" t="s">
        <v>651</v>
      </c>
      <c r="D14391" t="s">
        <v>1447</v>
      </c>
      <c r="E14391" t="s">
        <v>187</v>
      </c>
      <c r="F14391">
        <v>2010</v>
      </c>
      <c r="G14391">
        <v>1.125454</v>
      </c>
    </row>
    <row r="14392" spans="1:7">
      <c r="A14392" t="s">
        <v>1297</v>
      </c>
      <c r="B14392" t="s">
        <v>1298</v>
      </c>
      <c r="C14392" t="s">
        <v>651</v>
      </c>
      <c r="D14392" t="s">
        <v>1447</v>
      </c>
      <c r="E14392" t="s">
        <v>187</v>
      </c>
      <c r="F14392">
        <v>2012</v>
      </c>
      <c r="G14392">
        <v>1.1802600000000001</v>
      </c>
    </row>
    <row r="14393" spans="1:7">
      <c r="A14393" t="s">
        <v>1297</v>
      </c>
      <c r="B14393" t="s">
        <v>1298</v>
      </c>
      <c r="C14393" t="s">
        <v>651</v>
      </c>
      <c r="D14393" t="s">
        <v>1447</v>
      </c>
      <c r="E14393" t="s">
        <v>187</v>
      </c>
      <c r="F14393">
        <v>2016</v>
      </c>
      <c r="G14393">
        <v>1.173943</v>
      </c>
    </row>
    <row r="14394" spans="1:7">
      <c r="A14394" t="s">
        <v>1297</v>
      </c>
      <c r="B14394" t="s">
        <v>1298</v>
      </c>
      <c r="C14394" t="s">
        <v>651</v>
      </c>
      <c r="D14394" t="s">
        <v>1447</v>
      </c>
      <c r="E14394" t="s">
        <v>187</v>
      </c>
      <c r="F14394">
        <v>2020</v>
      </c>
      <c r="G14394">
        <v>0.94696400000000003</v>
      </c>
    </row>
    <row r="14395" spans="1:7">
      <c r="A14395" t="s">
        <v>1297</v>
      </c>
      <c r="B14395" t="s">
        <v>1298</v>
      </c>
      <c r="C14395" t="s">
        <v>1301</v>
      </c>
      <c r="D14395" t="s">
        <v>1447</v>
      </c>
      <c r="E14395" t="s">
        <v>187</v>
      </c>
      <c r="F14395">
        <v>2005</v>
      </c>
      <c r="G14395">
        <v>3.3980000000000001</v>
      </c>
    </row>
    <row r="14396" spans="1:7">
      <c r="A14396" t="s">
        <v>1297</v>
      </c>
      <c r="B14396" t="s">
        <v>1298</v>
      </c>
      <c r="C14396" t="s">
        <v>1301</v>
      </c>
      <c r="D14396" t="s">
        <v>1447</v>
      </c>
      <c r="E14396" t="s">
        <v>187</v>
      </c>
      <c r="F14396">
        <v>2010</v>
      </c>
      <c r="G14396">
        <v>24.06</v>
      </c>
    </row>
    <row r="14397" spans="1:7">
      <c r="A14397" t="s">
        <v>1297</v>
      </c>
      <c r="B14397" t="s">
        <v>1298</v>
      </c>
      <c r="C14397" t="s">
        <v>1301</v>
      </c>
      <c r="D14397" t="s">
        <v>1447</v>
      </c>
      <c r="E14397" t="s">
        <v>187</v>
      </c>
      <c r="F14397">
        <v>2012</v>
      </c>
      <c r="G14397">
        <v>32.381999999999998</v>
      </c>
    </row>
    <row r="14398" spans="1:7">
      <c r="A14398" t="s">
        <v>1297</v>
      </c>
      <c r="B14398" t="s">
        <v>1298</v>
      </c>
      <c r="C14398" t="s">
        <v>1301</v>
      </c>
      <c r="D14398" t="s">
        <v>1447</v>
      </c>
      <c r="E14398" t="s">
        <v>187</v>
      </c>
      <c r="F14398">
        <v>2016</v>
      </c>
      <c r="G14398">
        <v>173.459</v>
      </c>
    </row>
    <row r="14399" spans="1:7">
      <c r="A14399" t="s">
        <v>1297</v>
      </c>
      <c r="B14399" t="s">
        <v>1298</v>
      </c>
      <c r="C14399" t="s">
        <v>666</v>
      </c>
      <c r="D14399" t="s">
        <v>1447</v>
      </c>
      <c r="E14399" t="s">
        <v>187</v>
      </c>
      <c r="F14399">
        <v>2005</v>
      </c>
      <c r="G14399">
        <v>0.121</v>
      </c>
    </row>
    <row r="14400" spans="1:7">
      <c r="A14400" t="s">
        <v>1297</v>
      </c>
      <c r="B14400" t="s">
        <v>1298</v>
      </c>
      <c r="C14400" t="s">
        <v>666</v>
      </c>
      <c r="D14400" t="s">
        <v>1447</v>
      </c>
      <c r="E14400" t="s">
        <v>187</v>
      </c>
      <c r="F14400">
        <v>2010</v>
      </c>
      <c r="G14400">
        <v>0.19</v>
      </c>
    </row>
    <row r="14401" spans="1:7">
      <c r="A14401" t="s">
        <v>1297</v>
      </c>
      <c r="B14401" t="s">
        <v>1298</v>
      </c>
      <c r="C14401" t="s">
        <v>666</v>
      </c>
      <c r="D14401" t="s">
        <v>1447</v>
      </c>
      <c r="E14401" t="s">
        <v>187</v>
      </c>
      <c r="F14401">
        <v>2012</v>
      </c>
      <c r="G14401">
        <v>0.158</v>
      </c>
    </row>
    <row r="14402" spans="1:7">
      <c r="A14402" t="s">
        <v>1297</v>
      </c>
      <c r="B14402" t="s">
        <v>1298</v>
      </c>
      <c r="C14402" t="s">
        <v>666</v>
      </c>
      <c r="D14402" t="s">
        <v>1447</v>
      </c>
      <c r="E14402" t="s">
        <v>187</v>
      </c>
      <c r="F14402">
        <v>2016</v>
      </c>
      <c r="G14402">
        <v>8.2000000000000003E-2</v>
      </c>
    </row>
    <row r="14403" spans="1:7">
      <c r="A14403" t="s">
        <v>1297</v>
      </c>
      <c r="B14403" t="s">
        <v>1298</v>
      </c>
      <c r="C14403" t="s">
        <v>663</v>
      </c>
      <c r="D14403" t="s">
        <v>1447</v>
      </c>
      <c r="E14403" t="s">
        <v>187</v>
      </c>
      <c r="F14403">
        <v>2005</v>
      </c>
      <c r="G14403">
        <v>0.26300000000000001</v>
      </c>
    </row>
    <row r="14404" spans="1:7">
      <c r="A14404" t="s">
        <v>1297</v>
      </c>
      <c r="B14404" t="s">
        <v>1298</v>
      </c>
      <c r="C14404" t="s">
        <v>663</v>
      </c>
      <c r="D14404" t="s">
        <v>1447</v>
      </c>
      <c r="E14404" t="s">
        <v>187</v>
      </c>
      <c r="F14404">
        <v>2010</v>
      </c>
      <c r="G14404">
        <v>0.245</v>
      </c>
    </row>
    <row r="14405" spans="1:7">
      <c r="A14405" t="s">
        <v>1297</v>
      </c>
      <c r="B14405" t="s">
        <v>1298</v>
      </c>
      <c r="C14405" t="s">
        <v>663</v>
      </c>
      <c r="D14405" t="s">
        <v>1447</v>
      </c>
      <c r="E14405" t="s">
        <v>187</v>
      </c>
      <c r="F14405">
        <v>2012</v>
      </c>
      <c r="G14405">
        <v>0.41899999999999998</v>
      </c>
    </row>
    <row r="14406" spans="1:7">
      <c r="A14406" t="s">
        <v>1297</v>
      </c>
      <c r="B14406" t="s">
        <v>1298</v>
      </c>
      <c r="C14406" t="s">
        <v>663</v>
      </c>
      <c r="D14406" t="s">
        <v>1447</v>
      </c>
      <c r="E14406" t="s">
        <v>187</v>
      </c>
      <c r="F14406">
        <v>2016</v>
      </c>
      <c r="G14406">
        <v>2.9060000000000001</v>
      </c>
    </row>
    <row r="14407" spans="1:7">
      <c r="A14407" t="s">
        <v>1297</v>
      </c>
      <c r="B14407" t="s">
        <v>1298</v>
      </c>
      <c r="C14407" t="s">
        <v>663</v>
      </c>
      <c r="D14407" t="s">
        <v>1447</v>
      </c>
      <c r="E14407" t="s">
        <v>187</v>
      </c>
      <c r="F14407">
        <v>2020</v>
      </c>
      <c r="G14407">
        <v>3.7789999999999999</v>
      </c>
    </row>
    <row r="14408" spans="1:7">
      <c r="A14408" t="s">
        <v>1297</v>
      </c>
      <c r="B14408" t="s">
        <v>1298</v>
      </c>
      <c r="C14408" t="s">
        <v>665</v>
      </c>
      <c r="D14408" t="s">
        <v>1447</v>
      </c>
      <c r="E14408" t="s">
        <v>187</v>
      </c>
      <c r="F14408">
        <v>2005</v>
      </c>
      <c r="G14408">
        <v>191.68100000000001</v>
      </c>
    </row>
    <row r="14409" spans="1:7">
      <c r="A14409" t="s">
        <v>1297</v>
      </c>
      <c r="B14409" t="s">
        <v>1298</v>
      </c>
      <c r="C14409" t="s">
        <v>665</v>
      </c>
      <c r="D14409" t="s">
        <v>1447</v>
      </c>
      <c r="E14409" t="s">
        <v>187</v>
      </c>
      <c r="F14409">
        <v>2010</v>
      </c>
      <c r="G14409">
        <v>194.71100000000001</v>
      </c>
    </row>
    <row r="14410" spans="1:7">
      <c r="A14410" t="s">
        <v>1297</v>
      </c>
      <c r="B14410" t="s">
        <v>1298</v>
      </c>
      <c r="C14410" t="s">
        <v>665</v>
      </c>
      <c r="D14410" t="s">
        <v>1447</v>
      </c>
      <c r="E14410" t="s">
        <v>187</v>
      </c>
      <c r="F14410">
        <v>2012</v>
      </c>
      <c r="G14410">
        <v>202.601</v>
      </c>
    </row>
    <row r="14411" spans="1:7">
      <c r="A14411" t="s">
        <v>1297</v>
      </c>
      <c r="B14411" t="s">
        <v>1298</v>
      </c>
      <c r="C14411" t="s">
        <v>665</v>
      </c>
      <c r="D14411" t="s">
        <v>1447</v>
      </c>
      <c r="E14411" t="s">
        <v>187</v>
      </c>
      <c r="F14411">
        <v>2016</v>
      </c>
      <c r="G14411">
        <v>228.00800000000001</v>
      </c>
    </row>
    <row r="14412" spans="1:7">
      <c r="A14412" t="s">
        <v>1297</v>
      </c>
      <c r="B14412" t="s">
        <v>1298</v>
      </c>
      <c r="C14412" t="s">
        <v>665</v>
      </c>
      <c r="D14412" t="s">
        <v>1447</v>
      </c>
      <c r="E14412" t="s">
        <v>187</v>
      </c>
      <c r="F14412">
        <v>2020</v>
      </c>
      <c r="G14412">
        <v>220.43539200000001</v>
      </c>
    </row>
    <row r="14413" spans="1:7">
      <c r="A14413" t="s">
        <v>1297</v>
      </c>
      <c r="B14413" t="s">
        <v>1298</v>
      </c>
      <c r="C14413" t="s">
        <v>673</v>
      </c>
      <c r="D14413" t="s">
        <v>1447</v>
      </c>
      <c r="E14413" t="s">
        <v>187</v>
      </c>
      <c r="F14413">
        <v>2005</v>
      </c>
      <c r="G14413">
        <v>3.2000000000000001E-2</v>
      </c>
    </row>
    <row r="14414" spans="1:7">
      <c r="A14414" t="s">
        <v>1297</v>
      </c>
      <c r="B14414" t="s">
        <v>1298</v>
      </c>
      <c r="C14414" t="s">
        <v>673</v>
      </c>
      <c r="D14414" t="s">
        <v>1447</v>
      </c>
      <c r="E14414" t="s">
        <v>187</v>
      </c>
      <c r="F14414">
        <v>2010</v>
      </c>
      <c r="G14414">
        <v>1.0999999999999999E-2</v>
      </c>
    </row>
    <row r="14415" spans="1:7">
      <c r="A14415" t="s">
        <v>1297</v>
      </c>
      <c r="B14415" t="s">
        <v>1298</v>
      </c>
      <c r="C14415" t="s">
        <v>673</v>
      </c>
      <c r="D14415" t="s">
        <v>1447</v>
      </c>
      <c r="E14415" t="s">
        <v>187</v>
      </c>
      <c r="F14415">
        <v>2012</v>
      </c>
      <c r="G14415">
        <v>7.0000000000000001E-3</v>
      </c>
    </row>
    <row r="14416" spans="1:7">
      <c r="A14416" t="s">
        <v>1297</v>
      </c>
      <c r="B14416" t="s">
        <v>1298</v>
      </c>
      <c r="C14416" t="s">
        <v>674</v>
      </c>
      <c r="D14416" t="s">
        <v>1448</v>
      </c>
      <c r="E14416" t="s">
        <v>187</v>
      </c>
      <c r="F14416">
        <v>2016</v>
      </c>
      <c r="G14416">
        <v>55.724400000000003</v>
      </c>
    </row>
    <row r="14417" spans="1:8">
      <c r="A14417" t="s">
        <v>1297</v>
      </c>
      <c r="B14417" t="s">
        <v>1298</v>
      </c>
      <c r="C14417" t="s">
        <v>674</v>
      </c>
      <c r="D14417" t="s">
        <v>1448</v>
      </c>
      <c r="E14417" t="s">
        <v>187</v>
      </c>
      <c r="F14417">
        <v>2020</v>
      </c>
      <c r="G14417">
        <v>71.449200000000005</v>
      </c>
    </row>
    <row r="14418" spans="1:8">
      <c r="A14418" t="s">
        <v>1297</v>
      </c>
      <c r="B14418" t="s">
        <v>1298</v>
      </c>
      <c r="C14418" t="s">
        <v>658</v>
      </c>
      <c r="D14418" t="s">
        <v>1448</v>
      </c>
      <c r="E14418" t="s">
        <v>187</v>
      </c>
      <c r="F14418">
        <v>2005</v>
      </c>
      <c r="G14418">
        <v>0.19439999999999999</v>
      </c>
    </row>
    <row r="14419" spans="1:8">
      <c r="A14419" t="s">
        <v>1297</v>
      </c>
      <c r="B14419" t="s">
        <v>1298</v>
      </c>
      <c r="C14419" t="s">
        <v>658</v>
      </c>
      <c r="D14419" t="s">
        <v>1448</v>
      </c>
      <c r="E14419" t="s">
        <v>187</v>
      </c>
      <c r="F14419">
        <v>2010</v>
      </c>
      <c r="G14419">
        <v>0.99717100000000003</v>
      </c>
    </row>
    <row r="14420" spans="1:8">
      <c r="A14420" t="s">
        <v>1297</v>
      </c>
      <c r="B14420" t="s">
        <v>1298</v>
      </c>
      <c r="C14420" t="s">
        <v>658</v>
      </c>
      <c r="D14420" t="s">
        <v>1448</v>
      </c>
      <c r="E14420" t="s">
        <v>187</v>
      </c>
      <c r="F14420">
        <v>2012</v>
      </c>
      <c r="G14420">
        <v>1.5606610000000001</v>
      </c>
    </row>
    <row r="14421" spans="1:8">
      <c r="A14421" t="s">
        <v>1297</v>
      </c>
      <c r="B14421" t="s">
        <v>1298</v>
      </c>
      <c r="C14421" t="s">
        <v>658</v>
      </c>
      <c r="D14421" t="s">
        <v>1448</v>
      </c>
      <c r="E14421" t="s">
        <v>187</v>
      </c>
      <c r="F14421">
        <v>2016</v>
      </c>
      <c r="G14421">
        <v>2.1383999999999999</v>
      </c>
    </row>
    <row r="14422" spans="1:8">
      <c r="A14422" t="s">
        <v>1297</v>
      </c>
      <c r="B14422" t="s">
        <v>1298</v>
      </c>
      <c r="C14422" t="s">
        <v>658</v>
      </c>
      <c r="D14422" t="s">
        <v>1448</v>
      </c>
      <c r="E14422" t="s">
        <v>187</v>
      </c>
      <c r="F14422">
        <v>2020</v>
      </c>
      <c r="G14422">
        <v>2.4731999999999998</v>
      </c>
    </row>
    <row r="14423" spans="1:8">
      <c r="A14423" t="s">
        <v>1297</v>
      </c>
      <c r="B14423" t="s">
        <v>1298</v>
      </c>
      <c r="C14423" t="s">
        <v>1301</v>
      </c>
      <c r="D14423" t="s">
        <v>1448</v>
      </c>
      <c r="E14423" t="s">
        <v>187</v>
      </c>
      <c r="F14423">
        <v>2005</v>
      </c>
      <c r="G14423" s="14">
        <v>0.21240000000000001</v>
      </c>
      <c r="H14423" s="14"/>
    </row>
    <row r="14424" spans="1:8">
      <c r="A14424" t="s">
        <v>1297</v>
      </c>
      <c r="B14424" t="s">
        <v>1298</v>
      </c>
      <c r="C14424" t="s">
        <v>1301</v>
      </c>
      <c r="D14424" t="s">
        <v>1448</v>
      </c>
      <c r="E14424" t="s">
        <v>187</v>
      </c>
      <c r="F14424">
        <v>2010</v>
      </c>
      <c r="G14424">
        <v>10.498943000000001</v>
      </c>
    </row>
    <row r="14425" spans="1:8">
      <c r="A14425" t="s">
        <v>1297</v>
      </c>
      <c r="B14425" t="s">
        <v>1298</v>
      </c>
      <c r="C14425" t="s">
        <v>1301</v>
      </c>
      <c r="D14425" t="s">
        <v>1448</v>
      </c>
      <c r="E14425" t="s">
        <v>187</v>
      </c>
      <c r="F14425">
        <v>2012</v>
      </c>
      <c r="G14425">
        <v>21.098844</v>
      </c>
    </row>
    <row r="14426" spans="1:8">
      <c r="A14426" t="s">
        <v>1297</v>
      </c>
      <c r="B14426" t="s">
        <v>1298</v>
      </c>
      <c r="C14426" t="s">
        <v>1301</v>
      </c>
      <c r="D14426" t="s">
        <v>1448</v>
      </c>
      <c r="E14426" t="s">
        <v>187</v>
      </c>
      <c r="F14426">
        <v>2016</v>
      </c>
      <c r="G14426">
        <v>55.861513000000002</v>
      </c>
    </row>
    <row r="14427" spans="1:8">
      <c r="A14427" t="s">
        <v>1297</v>
      </c>
      <c r="B14427" t="s">
        <v>1298</v>
      </c>
      <c r="C14427" t="s">
        <v>679</v>
      </c>
      <c r="D14427" t="s">
        <v>1448</v>
      </c>
      <c r="E14427" t="s">
        <v>187</v>
      </c>
      <c r="F14427">
        <v>2005</v>
      </c>
      <c r="G14427">
        <v>1.7964</v>
      </c>
    </row>
    <row r="14428" spans="1:8">
      <c r="A14428" t="s">
        <v>1297</v>
      </c>
      <c r="B14428" t="s">
        <v>1298</v>
      </c>
      <c r="C14428" t="s">
        <v>679</v>
      </c>
      <c r="D14428" t="s">
        <v>1448</v>
      </c>
      <c r="E14428" t="s">
        <v>187</v>
      </c>
      <c r="F14428">
        <v>2010</v>
      </c>
      <c r="G14428">
        <v>3.1644000000000001</v>
      </c>
    </row>
    <row r="14429" spans="1:8">
      <c r="A14429" t="s">
        <v>1297</v>
      </c>
      <c r="B14429" t="s">
        <v>1298</v>
      </c>
      <c r="C14429" t="s">
        <v>679</v>
      </c>
      <c r="D14429" t="s">
        <v>1448</v>
      </c>
      <c r="E14429" t="s">
        <v>187</v>
      </c>
      <c r="F14429">
        <v>2012</v>
      </c>
      <c r="G14429">
        <v>5.5728</v>
      </c>
    </row>
    <row r="14430" spans="1:8">
      <c r="A14430" t="s">
        <v>1297</v>
      </c>
      <c r="B14430" t="s">
        <v>1298</v>
      </c>
      <c r="C14430" t="s">
        <v>679</v>
      </c>
      <c r="D14430" t="s">
        <v>1448</v>
      </c>
      <c r="E14430" t="s">
        <v>187</v>
      </c>
      <c r="F14430">
        <v>2016</v>
      </c>
      <c r="G14430">
        <v>7.6176000000000004</v>
      </c>
    </row>
    <row r="14431" spans="1:8">
      <c r="A14431" t="s">
        <v>1297</v>
      </c>
      <c r="B14431" t="s">
        <v>1298</v>
      </c>
      <c r="C14431" t="s">
        <v>679</v>
      </c>
      <c r="D14431" t="s">
        <v>1448</v>
      </c>
      <c r="E14431" t="s">
        <v>187</v>
      </c>
      <c r="F14431">
        <v>2020</v>
      </c>
      <c r="G14431">
        <v>19.930499999999999</v>
      </c>
    </row>
    <row r="14432" spans="1:8">
      <c r="A14432" t="s">
        <v>1297</v>
      </c>
      <c r="B14432" t="s">
        <v>1298</v>
      </c>
      <c r="C14432" t="s">
        <v>664</v>
      </c>
      <c r="D14432" t="s">
        <v>1448</v>
      </c>
      <c r="E14432" t="s">
        <v>187</v>
      </c>
      <c r="F14432">
        <v>2016</v>
      </c>
      <c r="G14432">
        <v>22.129355</v>
      </c>
    </row>
    <row r="14433" spans="1:7">
      <c r="A14433" t="s">
        <v>1297</v>
      </c>
      <c r="B14433" t="s">
        <v>1298</v>
      </c>
      <c r="C14433" t="s">
        <v>664</v>
      </c>
      <c r="D14433" t="s">
        <v>1448</v>
      </c>
      <c r="E14433" t="s">
        <v>187</v>
      </c>
      <c r="F14433">
        <v>2020</v>
      </c>
      <c r="G14433">
        <v>36.070146000000001</v>
      </c>
    </row>
    <row r="14434" spans="1:7">
      <c r="A14434" t="s">
        <v>1297</v>
      </c>
      <c r="B14434" t="s">
        <v>1298</v>
      </c>
      <c r="C14434" t="s">
        <v>676</v>
      </c>
      <c r="D14434" t="s">
        <v>1448</v>
      </c>
      <c r="E14434" t="s">
        <v>187</v>
      </c>
      <c r="F14434">
        <v>2005</v>
      </c>
      <c r="G14434">
        <v>2.1600000000000001E-2</v>
      </c>
    </row>
    <row r="14435" spans="1:7">
      <c r="A14435" t="s">
        <v>1297</v>
      </c>
      <c r="B14435" t="s">
        <v>1298</v>
      </c>
      <c r="C14435" t="s">
        <v>676</v>
      </c>
      <c r="D14435" t="s">
        <v>1448</v>
      </c>
      <c r="E14435" t="s">
        <v>187</v>
      </c>
      <c r="F14435">
        <v>2010</v>
      </c>
      <c r="G14435">
        <v>2.1600000000000001E-2</v>
      </c>
    </row>
    <row r="14436" spans="1:7">
      <c r="A14436" t="s">
        <v>1297</v>
      </c>
      <c r="B14436" t="s">
        <v>1298</v>
      </c>
      <c r="C14436" t="s">
        <v>676</v>
      </c>
      <c r="D14436" t="s">
        <v>1448</v>
      </c>
      <c r="E14436" t="s">
        <v>187</v>
      </c>
      <c r="F14436">
        <v>2012</v>
      </c>
      <c r="G14436">
        <v>2.1600000000000001E-2</v>
      </c>
    </row>
    <row r="14437" spans="1:7">
      <c r="A14437" t="s">
        <v>1297</v>
      </c>
      <c r="B14437" t="s">
        <v>1298</v>
      </c>
      <c r="C14437" t="s">
        <v>676</v>
      </c>
      <c r="D14437" t="s">
        <v>1448</v>
      </c>
      <c r="E14437" t="s">
        <v>187</v>
      </c>
      <c r="F14437">
        <v>2016</v>
      </c>
      <c r="G14437">
        <v>2.1600000000000001E-2</v>
      </c>
    </row>
    <row r="14438" spans="1:7">
      <c r="A14438" t="s">
        <v>1297</v>
      </c>
      <c r="B14438" t="s">
        <v>1298</v>
      </c>
      <c r="C14438" t="s">
        <v>676</v>
      </c>
      <c r="D14438" t="s">
        <v>1448</v>
      </c>
      <c r="E14438" t="s">
        <v>187</v>
      </c>
      <c r="F14438">
        <v>2020</v>
      </c>
      <c r="G14438">
        <v>2.1600000000000001E-2</v>
      </c>
    </row>
    <row r="14439" spans="1:7">
      <c r="A14439" t="s">
        <v>1297</v>
      </c>
      <c r="B14439" t="s">
        <v>1298</v>
      </c>
      <c r="C14439" t="s">
        <v>686</v>
      </c>
      <c r="D14439" t="s">
        <v>1448</v>
      </c>
      <c r="E14439" t="s">
        <v>187</v>
      </c>
      <c r="F14439">
        <v>2016</v>
      </c>
      <c r="G14439">
        <v>9.3600000000000003E-2</v>
      </c>
    </row>
    <row r="14440" spans="1:7">
      <c r="A14440" t="s">
        <v>1297</v>
      </c>
      <c r="B14440" t="s">
        <v>1298</v>
      </c>
      <c r="C14440" t="s">
        <v>686</v>
      </c>
      <c r="D14440" t="s">
        <v>1448</v>
      </c>
      <c r="E14440" t="s">
        <v>187</v>
      </c>
      <c r="F14440">
        <v>2020</v>
      </c>
      <c r="G14440">
        <v>3.2335630000000002</v>
      </c>
    </row>
    <row r="14441" spans="1:7">
      <c r="A14441" t="s">
        <v>1297</v>
      </c>
      <c r="B14441" t="s">
        <v>1298</v>
      </c>
      <c r="C14441" t="s">
        <v>652</v>
      </c>
      <c r="D14441" t="s">
        <v>1448</v>
      </c>
      <c r="E14441" t="s">
        <v>187</v>
      </c>
      <c r="F14441">
        <v>2005</v>
      </c>
      <c r="G14441">
        <v>0.81720000000000004</v>
      </c>
    </row>
    <row r="14442" spans="1:7">
      <c r="A14442" t="s">
        <v>1297</v>
      </c>
      <c r="B14442" t="s">
        <v>1298</v>
      </c>
      <c r="C14442" t="s">
        <v>652</v>
      </c>
      <c r="D14442" t="s">
        <v>1448</v>
      </c>
      <c r="E14442" t="s">
        <v>187</v>
      </c>
      <c r="F14442">
        <v>2010</v>
      </c>
      <c r="G14442">
        <v>4.6512000000000002</v>
      </c>
    </row>
    <row r="14443" spans="1:7">
      <c r="A14443" t="s">
        <v>1297</v>
      </c>
      <c r="B14443" t="s">
        <v>1298</v>
      </c>
      <c r="C14443" t="s">
        <v>652</v>
      </c>
      <c r="D14443" t="s">
        <v>1448</v>
      </c>
      <c r="E14443" t="s">
        <v>187</v>
      </c>
      <c r="F14443">
        <v>2012</v>
      </c>
      <c r="G14443">
        <v>9.9036000000000008</v>
      </c>
    </row>
    <row r="14444" spans="1:7">
      <c r="A14444" t="s">
        <v>1297</v>
      </c>
      <c r="B14444" t="s">
        <v>1298</v>
      </c>
      <c r="C14444" t="s">
        <v>652</v>
      </c>
      <c r="D14444" t="s">
        <v>1448</v>
      </c>
      <c r="E14444" t="s">
        <v>187</v>
      </c>
      <c r="F14444">
        <v>2016</v>
      </c>
      <c r="G14444">
        <v>19.57572</v>
      </c>
    </row>
    <row r="14445" spans="1:7">
      <c r="A14445" t="s">
        <v>1297</v>
      </c>
      <c r="B14445" t="s">
        <v>1298</v>
      </c>
      <c r="C14445" t="s">
        <v>652</v>
      </c>
      <c r="D14445" t="s">
        <v>1448</v>
      </c>
      <c r="E14445" t="s">
        <v>187</v>
      </c>
      <c r="F14445">
        <v>2020</v>
      </c>
      <c r="G14445">
        <v>35.012160000000002</v>
      </c>
    </row>
    <row r="14446" spans="1:7">
      <c r="A14446" t="s">
        <v>1297</v>
      </c>
      <c r="B14446" t="s">
        <v>1298</v>
      </c>
      <c r="C14446" t="s">
        <v>685</v>
      </c>
      <c r="D14446" t="s">
        <v>1448</v>
      </c>
      <c r="E14446" t="s">
        <v>187</v>
      </c>
      <c r="F14446">
        <v>2016</v>
      </c>
      <c r="G14446">
        <v>0.39413500000000001</v>
      </c>
    </row>
    <row r="14447" spans="1:7">
      <c r="A14447" t="s">
        <v>1297</v>
      </c>
      <c r="B14447" t="s">
        <v>1298</v>
      </c>
      <c r="C14447" t="s">
        <v>685</v>
      </c>
      <c r="D14447" t="s">
        <v>1448</v>
      </c>
      <c r="E14447" t="s">
        <v>187</v>
      </c>
      <c r="F14447">
        <v>2020</v>
      </c>
      <c r="G14447">
        <v>0.36650500000000003</v>
      </c>
    </row>
    <row r="14448" spans="1:7">
      <c r="A14448" t="s">
        <v>1297</v>
      </c>
      <c r="B14448" t="s">
        <v>1298</v>
      </c>
      <c r="C14448" t="s">
        <v>659</v>
      </c>
      <c r="D14448" t="s">
        <v>1448</v>
      </c>
      <c r="E14448" t="s">
        <v>187</v>
      </c>
      <c r="F14448">
        <v>2005</v>
      </c>
      <c r="G14448">
        <v>76.233599999999996</v>
      </c>
    </row>
    <row r="14449" spans="1:8">
      <c r="A14449" t="s">
        <v>1297</v>
      </c>
      <c r="B14449" t="s">
        <v>1298</v>
      </c>
      <c r="C14449" t="s">
        <v>659</v>
      </c>
      <c r="D14449" t="s">
        <v>1448</v>
      </c>
      <c r="E14449" t="s">
        <v>187</v>
      </c>
      <c r="F14449">
        <v>2010</v>
      </c>
      <c r="G14449">
        <v>159.37559999999999</v>
      </c>
    </row>
    <row r="14450" spans="1:8">
      <c r="A14450" t="s">
        <v>1297</v>
      </c>
      <c r="B14450" t="s">
        <v>1298</v>
      </c>
      <c r="C14450" t="s">
        <v>659</v>
      </c>
      <c r="D14450" t="s">
        <v>1448</v>
      </c>
      <c r="E14450" t="s">
        <v>187</v>
      </c>
      <c r="F14450">
        <v>2012</v>
      </c>
      <c r="G14450">
        <v>178.0992</v>
      </c>
    </row>
    <row r="14451" spans="1:8">
      <c r="A14451" t="s">
        <v>1297</v>
      </c>
      <c r="B14451" t="s">
        <v>1298</v>
      </c>
      <c r="C14451" t="s">
        <v>659</v>
      </c>
      <c r="D14451" t="s">
        <v>1448</v>
      </c>
      <c r="E14451" t="s">
        <v>187</v>
      </c>
      <c r="F14451">
        <v>2016</v>
      </c>
      <c r="G14451">
        <v>176.05799999999999</v>
      </c>
    </row>
    <row r="14452" spans="1:8">
      <c r="A14452" t="s">
        <v>1297</v>
      </c>
      <c r="B14452" t="s">
        <v>1298</v>
      </c>
      <c r="C14452" t="s">
        <v>659</v>
      </c>
      <c r="D14452" t="s">
        <v>1448</v>
      </c>
      <c r="E14452" t="s">
        <v>187</v>
      </c>
      <c r="F14452">
        <v>2020</v>
      </c>
      <c r="G14452">
        <v>200.32919999999999</v>
      </c>
    </row>
    <row r="14453" spans="1:8">
      <c r="A14453" t="s">
        <v>1297</v>
      </c>
      <c r="B14453" t="s">
        <v>1298</v>
      </c>
      <c r="C14453" t="s">
        <v>682</v>
      </c>
      <c r="D14453" t="s">
        <v>1448</v>
      </c>
      <c r="E14453" t="s">
        <v>187</v>
      </c>
      <c r="F14453">
        <v>2020</v>
      </c>
      <c r="G14453">
        <v>0.91439999999999999</v>
      </c>
    </row>
    <row r="14454" spans="1:8">
      <c r="A14454" t="s">
        <v>1297</v>
      </c>
      <c r="B14454" t="s">
        <v>1298</v>
      </c>
      <c r="C14454" t="s">
        <v>1300</v>
      </c>
      <c r="D14454" t="s">
        <v>1448</v>
      </c>
      <c r="E14454" t="s">
        <v>187</v>
      </c>
      <c r="F14454">
        <v>2016</v>
      </c>
      <c r="G14454">
        <v>9.1690000000000001E-3</v>
      </c>
    </row>
    <row r="14455" spans="1:8">
      <c r="A14455" t="s">
        <v>1297</v>
      </c>
      <c r="B14455" t="s">
        <v>1298</v>
      </c>
      <c r="C14455" t="s">
        <v>1300</v>
      </c>
      <c r="D14455" t="s">
        <v>1448</v>
      </c>
      <c r="E14455" t="s">
        <v>187</v>
      </c>
      <c r="F14455">
        <v>2020</v>
      </c>
      <c r="G14455">
        <v>0.15479999999999999</v>
      </c>
    </row>
    <row r="14456" spans="1:8">
      <c r="A14456" t="s">
        <v>1297</v>
      </c>
      <c r="B14456" t="s">
        <v>1298</v>
      </c>
      <c r="C14456" t="s">
        <v>666</v>
      </c>
      <c r="D14456" t="s">
        <v>1448</v>
      </c>
      <c r="E14456" t="s">
        <v>187</v>
      </c>
      <c r="F14456">
        <v>2005</v>
      </c>
      <c r="G14456">
        <v>7.1999999999999998E-3</v>
      </c>
    </row>
    <row r="14457" spans="1:8">
      <c r="A14457" t="s">
        <v>1297</v>
      </c>
      <c r="B14457" t="s">
        <v>1298</v>
      </c>
      <c r="C14457" t="s">
        <v>666</v>
      </c>
      <c r="D14457" t="s">
        <v>1448</v>
      </c>
      <c r="E14457" t="s">
        <v>187</v>
      </c>
      <c r="F14457">
        <v>2010</v>
      </c>
      <c r="G14457">
        <v>0.80640000000000001</v>
      </c>
    </row>
    <row r="14458" spans="1:8">
      <c r="A14458" t="s">
        <v>1297</v>
      </c>
      <c r="B14458" t="s">
        <v>1298</v>
      </c>
      <c r="C14458" t="s">
        <v>666</v>
      </c>
      <c r="D14458" t="s">
        <v>1448</v>
      </c>
      <c r="E14458" t="s">
        <v>187</v>
      </c>
      <c r="F14458">
        <v>2012</v>
      </c>
      <c r="G14458">
        <v>1.944</v>
      </c>
    </row>
    <row r="14459" spans="1:8">
      <c r="A14459" t="s">
        <v>1297</v>
      </c>
      <c r="B14459" t="s">
        <v>1298</v>
      </c>
      <c r="C14459" t="s">
        <v>666</v>
      </c>
      <c r="D14459" t="s">
        <v>1448</v>
      </c>
      <c r="E14459" t="s">
        <v>187</v>
      </c>
      <c r="F14459">
        <v>2016</v>
      </c>
      <c r="G14459">
        <v>4.0895999999999999</v>
      </c>
    </row>
    <row r="14460" spans="1:8">
      <c r="A14460" t="s">
        <v>1297</v>
      </c>
      <c r="B14460" t="s">
        <v>1298</v>
      </c>
      <c r="C14460" t="s">
        <v>666</v>
      </c>
      <c r="D14460" t="s">
        <v>1448</v>
      </c>
      <c r="E14460" t="s">
        <v>187</v>
      </c>
      <c r="F14460">
        <v>2020</v>
      </c>
      <c r="G14460">
        <v>5.3978400000000004</v>
      </c>
    </row>
    <row r="14461" spans="1:8">
      <c r="A14461" t="s">
        <v>1297</v>
      </c>
      <c r="B14461" t="s">
        <v>1298</v>
      </c>
      <c r="C14461" t="s">
        <v>669</v>
      </c>
      <c r="D14461" t="s">
        <v>1448</v>
      </c>
      <c r="E14461" t="s">
        <v>187</v>
      </c>
      <c r="F14461">
        <v>2012</v>
      </c>
      <c r="G14461">
        <v>2.7E-4</v>
      </c>
    </row>
    <row r="14462" spans="1:8">
      <c r="A14462" t="s">
        <v>1297</v>
      </c>
      <c r="B14462" t="s">
        <v>1298</v>
      </c>
      <c r="C14462" t="s">
        <v>669</v>
      </c>
      <c r="D14462" t="s">
        <v>1448</v>
      </c>
      <c r="E14462" t="s">
        <v>187</v>
      </c>
      <c r="F14462">
        <v>2016</v>
      </c>
      <c r="G14462">
        <v>2.0900000000000001E-4</v>
      </c>
    </row>
    <row r="14463" spans="1:8">
      <c r="A14463" t="s">
        <v>1297</v>
      </c>
      <c r="B14463" t="s">
        <v>1298</v>
      </c>
      <c r="C14463" t="s">
        <v>669</v>
      </c>
      <c r="D14463" t="s">
        <v>1448</v>
      </c>
      <c r="E14463" t="s">
        <v>187</v>
      </c>
      <c r="F14463">
        <v>2020</v>
      </c>
      <c r="G14463">
        <v>2.0900000000000001E-4</v>
      </c>
    </row>
    <row r="14464" spans="1:8">
      <c r="A14464" t="s">
        <v>1297</v>
      </c>
      <c r="B14464" t="s">
        <v>1298</v>
      </c>
      <c r="C14464" t="s">
        <v>684</v>
      </c>
      <c r="D14464" t="s">
        <v>1448</v>
      </c>
      <c r="E14464" t="s">
        <v>187</v>
      </c>
      <c r="F14464">
        <v>2020</v>
      </c>
      <c r="G14464" s="14">
        <v>1.0562400000000001</v>
      </c>
      <c r="H14464" s="14"/>
    </row>
    <row r="14465" spans="1:7">
      <c r="A14465" t="s">
        <v>1297</v>
      </c>
      <c r="B14465" t="s">
        <v>1298</v>
      </c>
      <c r="C14465" t="s">
        <v>1302</v>
      </c>
      <c r="D14465" t="s">
        <v>1448</v>
      </c>
      <c r="E14465" t="s">
        <v>187</v>
      </c>
      <c r="F14465">
        <v>2010</v>
      </c>
      <c r="G14465">
        <v>3.5999999999999999E-3</v>
      </c>
    </row>
    <row r="14466" spans="1:7">
      <c r="A14466" t="s">
        <v>1297</v>
      </c>
      <c r="B14466" t="s">
        <v>1298</v>
      </c>
      <c r="C14466" t="s">
        <v>1302</v>
      </c>
      <c r="D14466" t="s">
        <v>1448</v>
      </c>
      <c r="E14466" t="s">
        <v>187</v>
      </c>
      <c r="F14466">
        <v>2016</v>
      </c>
      <c r="G14466">
        <v>4.2499999999999998E-4</v>
      </c>
    </row>
    <row r="14467" spans="1:7">
      <c r="A14467" t="s">
        <v>1297</v>
      </c>
      <c r="B14467" t="s">
        <v>1298</v>
      </c>
      <c r="C14467" t="s">
        <v>1302</v>
      </c>
      <c r="D14467" t="s">
        <v>1448</v>
      </c>
      <c r="E14467" t="s">
        <v>187</v>
      </c>
      <c r="F14467">
        <v>2020</v>
      </c>
      <c r="G14467">
        <v>0.32633600000000001</v>
      </c>
    </row>
    <row r="14468" spans="1:7">
      <c r="A14468" t="s">
        <v>1297</v>
      </c>
      <c r="B14468" t="s">
        <v>1298</v>
      </c>
      <c r="C14468" t="s">
        <v>1299</v>
      </c>
      <c r="D14468" t="s">
        <v>1448</v>
      </c>
      <c r="E14468" t="s">
        <v>187</v>
      </c>
      <c r="F14468">
        <v>2005</v>
      </c>
      <c r="G14468">
        <v>0.13536000000000001</v>
      </c>
    </row>
    <row r="14469" spans="1:7">
      <c r="A14469" t="s">
        <v>1297</v>
      </c>
      <c r="B14469" t="s">
        <v>1298</v>
      </c>
      <c r="C14469" t="s">
        <v>1299</v>
      </c>
      <c r="D14469" t="s">
        <v>1448</v>
      </c>
      <c r="E14469" t="s">
        <v>187</v>
      </c>
      <c r="F14469">
        <v>2010</v>
      </c>
      <c r="G14469">
        <v>0.18323999999999999</v>
      </c>
    </row>
    <row r="14470" spans="1:7">
      <c r="A14470" t="s">
        <v>1297</v>
      </c>
      <c r="B14470" t="s">
        <v>1298</v>
      </c>
      <c r="C14470" t="s">
        <v>1299</v>
      </c>
      <c r="D14470" t="s">
        <v>1448</v>
      </c>
      <c r="E14470" t="s">
        <v>187</v>
      </c>
      <c r="F14470">
        <v>2012</v>
      </c>
      <c r="G14470">
        <v>1.03752</v>
      </c>
    </row>
    <row r="14471" spans="1:7">
      <c r="A14471" t="s">
        <v>1297</v>
      </c>
      <c r="B14471" t="s">
        <v>1298</v>
      </c>
      <c r="C14471" t="s">
        <v>1299</v>
      </c>
      <c r="D14471" t="s">
        <v>1448</v>
      </c>
      <c r="E14471" t="s">
        <v>187</v>
      </c>
      <c r="F14471">
        <v>2016</v>
      </c>
      <c r="G14471">
        <v>3.4336799999999998</v>
      </c>
    </row>
    <row r="14472" spans="1:7">
      <c r="A14472" t="s">
        <v>1297</v>
      </c>
      <c r="B14472" t="s">
        <v>1298</v>
      </c>
      <c r="C14472" t="s">
        <v>1299</v>
      </c>
      <c r="D14472" t="s">
        <v>1448</v>
      </c>
      <c r="E14472" t="s">
        <v>187</v>
      </c>
      <c r="F14472">
        <v>2020</v>
      </c>
      <c r="G14472">
        <v>7.2727199999999996</v>
      </c>
    </row>
    <row r="14473" spans="1:7">
      <c r="A14473" t="s">
        <v>1297</v>
      </c>
      <c r="B14473" t="s">
        <v>1298</v>
      </c>
      <c r="C14473" t="s">
        <v>655</v>
      </c>
      <c r="D14473" t="s">
        <v>1448</v>
      </c>
      <c r="E14473" t="s">
        <v>187</v>
      </c>
      <c r="F14473">
        <v>2005</v>
      </c>
      <c r="G14473">
        <v>7.6607999999999996E-2</v>
      </c>
    </row>
    <row r="14474" spans="1:7">
      <c r="A14474" t="s">
        <v>1297</v>
      </c>
      <c r="B14474" t="s">
        <v>1298</v>
      </c>
      <c r="C14474" t="s">
        <v>655</v>
      </c>
      <c r="D14474" t="s">
        <v>1448</v>
      </c>
      <c r="E14474" t="s">
        <v>187</v>
      </c>
      <c r="F14474">
        <v>2010</v>
      </c>
      <c r="G14474">
        <v>1.207775</v>
      </c>
    </row>
    <row r="14475" spans="1:7">
      <c r="A14475" t="s">
        <v>1297</v>
      </c>
      <c r="B14475" t="s">
        <v>1298</v>
      </c>
      <c r="C14475" t="s">
        <v>655</v>
      </c>
      <c r="D14475" t="s">
        <v>1448</v>
      </c>
      <c r="E14475" t="s">
        <v>187</v>
      </c>
      <c r="F14475">
        <v>2012</v>
      </c>
      <c r="G14475">
        <v>1.4969410000000001</v>
      </c>
    </row>
    <row r="14476" spans="1:7">
      <c r="A14476" t="s">
        <v>1297</v>
      </c>
      <c r="B14476" t="s">
        <v>1298</v>
      </c>
      <c r="C14476" t="s">
        <v>655</v>
      </c>
      <c r="D14476" t="s">
        <v>1448</v>
      </c>
      <c r="E14476" t="s">
        <v>187</v>
      </c>
      <c r="F14476">
        <v>2016</v>
      </c>
      <c r="G14476">
        <v>1.789045</v>
      </c>
    </row>
    <row r="14477" spans="1:7">
      <c r="A14477" t="s">
        <v>1297</v>
      </c>
      <c r="B14477" t="s">
        <v>1298</v>
      </c>
      <c r="C14477" t="s">
        <v>655</v>
      </c>
      <c r="D14477" t="s">
        <v>1448</v>
      </c>
      <c r="E14477" t="s">
        <v>187</v>
      </c>
      <c r="F14477">
        <v>2020</v>
      </c>
      <c r="G14477">
        <v>2.5200499999999999</v>
      </c>
    </row>
    <row r="14478" spans="1:7">
      <c r="A14478" t="s">
        <v>1297</v>
      </c>
      <c r="B14478" t="s">
        <v>1298</v>
      </c>
      <c r="C14478" t="s">
        <v>675</v>
      </c>
      <c r="D14478" t="s">
        <v>1448</v>
      </c>
      <c r="E14478" t="s">
        <v>187</v>
      </c>
      <c r="F14478">
        <v>2016</v>
      </c>
      <c r="G14478">
        <v>2.0801E-2</v>
      </c>
    </row>
    <row r="14479" spans="1:7">
      <c r="A14479" t="s">
        <v>1297</v>
      </c>
      <c r="B14479" t="s">
        <v>1298</v>
      </c>
      <c r="C14479" t="s">
        <v>675</v>
      </c>
      <c r="D14479" t="s">
        <v>1448</v>
      </c>
      <c r="E14479" t="s">
        <v>187</v>
      </c>
      <c r="F14479">
        <v>2020</v>
      </c>
      <c r="G14479">
        <v>2.214E-2</v>
      </c>
    </row>
    <row r="14480" spans="1:7">
      <c r="A14480" t="s">
        <v>1297</v>
      </c>
      <c r="B14480" t="s">
        <v>1298</v>
      </c>
      <c r="C14480" t="s">
        <v>660</v>
      </c>
      <c r="D14480" t="s">
        <v>1448</v>
      </c>
      <c r="E14480" t="s">
        <v>187</v>
      </c>
      <c r="F14480">
        <v>2005</v>
      </c>
      <c r="G14480">
        <v>0.61179099999999997</v>
      </c>
    </row>
    <row r="14481" spans="1:7">
      <c r="A14481" t="s">
        <v>1297</v>
      </c>
      <c r="B14481" t="s">
        <v>1298</v>
      </c>
      <c r="C14481" t="s">
        <v>660</v>
      </c>
      <c r="D14481" t="s">
        <v>1448</v>
      </c>
      <c r="E14481" t="s">
        <v>187</v>
      </c>
      <c r="F14481">
        <v>2010</v>
      </c>
      <c r="G14481">
        <v>1.0595410000000001</v>
      </c>
    </row>
    <row r="14482" spans="1:7">
      <c r="A14482" t="s">
        <v>1297</v>
      </c>
      <c r="B14482" t="s">
        <v>1298</v>
      </c>
      <c r="C14482" t="s">
        <v>660</v>
      </c>
      <c r="D14482" t="s">
        <v>1448</v>
      </c>
      <c r="E14482" t="s">
        <v>187</v>
      </c>
      <c r="F14482">
        <v>2012</v>
      </c>
      <c r="G14482">
        <v>1.779563</v>
      </c>
    </row>
    <row r="14483" spans="1:7">
      <c r="A14483" t="s">
        <v>1297</v>
      </c>
      <c r="B14483" t="s">
        <v>1298</v>
      </c>
      <c r="C14483" t="s">
        <v>660</v>
      </c>
      <c r="D14483" t="s">
        <v>1448</v>
      </c>
      <c r="E14483" t="s">
        <v>187</v>
      </c>
      <c r="F14483">
        <v>2016</v>
      </c>
      <c r="G14483">
        <v>11.044948</v>
      </c>
    </row>
    <row r="14484" spans="1:7">
      <c r="A14484" t="s">
        <v>1297</v>
      </c>
      <c r="B14484" t="s">
        <v>1298</v>
      </c>
      <c r="C14484" t="s">
        <v>660</v>
      </c>
      <c r="D14484" t="s">
        <v>1448</v>
      </c>
      <c r="E14484" t="s">
        <v>187</v>
      </c>
      <c r="F14484">
        <v>2020</v>
      </c>
      <c r="G14484">
        <v>21.689086</v>
      </c>
    </row>
    <row r="14485" spans="1:7">
      <c r="A14485" t="s">
        <v>1297</v>
      </c>
      <c r="B14485" t="s">
        <v>1298</v>
      </c>
      <c r="C14485" t="s">
        <v>674</v>
      </c>
      <c r="D14485" t="s">
        <v>1448</v>
      </c>
      <c r="E14485" t="s">
        <v>187</v>
      </c>
      <c r="F14485">
        <v>2005</v>
      </c>
      <c r="G14485">
        <v>3.3660000000000001</v>
      </c>
    </row>
    <row r="14486" spans="1:7">
      <c r="A14486" t="s">
        <v>1297</v>
      </c>
      <c r="B14486" t="s">
        <v>1298</v>
      </c>
      <c r="C14486" t="s">
        <v>674</v>
      </c>
      <c r="D14486" t="s">
        <v>1448</v>
      </c>
      <c r="E14486" t="s">
        <v>187</v>
      </c>
      <c r="F14486">
        <v>2010</v>
      </c>
      <c r="G14486">
        <v>12.5532</v>
      </c>
    </row>
    <row r="14487" spans="1:7">
      <c r="A14487" t="s">
        <v>1297</v>
      </c>
      <c r="B14487" t="s">
        <v>1298</v>
      </c>
      <c r="C14487" t="s">
        <v>674</v>
      </c>
      <c r="D14487" t="s">
        <v>1448</v>
      </c>
      <c r="E14487" t="s">
        <v>187</v>
      </c>
      <c r="F14487">
        <v>2012</v>
      </c>
      <c r="G14487">
        <v>25.790400000000002</v>
      </c>
    </row>
    <row r="14488" spans="1:7">
      <c r="A14488" t="s">
        <v>1297</v>
      </c>
      <c r="B14488" t="s">
        <v>1298</v>
      </c>
      <c r="C14488" t="s">
        <v>653</v>
      </c>
      <c r="D14488" t="s">
        <v>1448</v>
      </c>
      <c r="E14488" t="s">
        <v>187</v>
      </c>
      <c r="F14488">
        <v>2005</v>
      </c>
      <c r="G14488">
        <v>1.6513E-2</v>
      </c>
    </row>
    <row r="14489" spans="1:7">
      <c r="A14489" t="s">
        <v>1297</v>
      </c>
      <c r="B14489" t="s">
        <v>1298</v>
      </c>
      <c r="C14489" t="s">
        <v>653</v>
      </c>
      <c r="D14489" t="s">
        <v>1448</v>
      </c>
      <c r="E14489" t="s">
        <v>187</v>
      </c>
      <c r="F14489">
        <v>2010</v>
      </c>
      <c r="G14489">
        <v>2.452928</v>
      </c>
    </row>
    <row r="14490" spans="1:7">
      <c r="A14490" t="s">
        <v>1297</v>
      </c>
      <c r="B14490" t="s">
        <v>1298</v>
      </c>
      <c r="C14490" t="s">
        <v>653</v>
      </c>
      <c r="D14490" t="s">
        <v>1448</v>
      </c>
      <c r="E14490" t="s">
        <v>187</v>
      </c>
      <c r="F14490">
        <v>2012</v>
      </c>
      <c r="G14490">
        <v>4.3952330000000002</v>
      </c>
    </row>
    <row r="14491" spans="1:7">
      <c r="A14491" t="s">
        <v>1297</v>
      </c>
      <c r="B14491" t="s">
        <v>1298</v>
      </c>
      <c r="C14491" t="s">
        <v>653</v>
      </c>
      <c r="D14491" t="s">
        <v>1448</v>
      </c>
      <c r="E14491" t="s">
        <v>187</v>
      </c>
      <c r="F14491">
        <v>2016</v>
      </c>
      <c r="G14491">
        <v>5.1298919999999999</v>
      </c>
    </row>
    <row r="14492" spans="1:7">
      <c r="A14492" t="s">
        <v>1297</v>
      </c>
      <c r="B14492" t="s">
        <v>1298</v>
      </c>
      <c r="C14492" t="s">
        <v>653</v>
      </c>
      <c r="D14492" t="s">
        <v>1448</v>
      </c>
      <c r="E14492" t="s">
        <v>187</v>
      </c>
      <c r="F14492">
        <v>2020</v>
      </c>
      <c r="G14492">
        <v>4.7411570000000003</v>
      </c>
    </row>
    <row r="14493" spans="1:7">
      <c r="A14493" t="s">
        <v>1297</v>
      </c>
      <c r="B14493" t="s">
        <v>1298</v>
      </c>
      <c r="C14493" t="s">
        <v>651</v>
      </c>
      <c r="D14493" t="s">
        <v>1448</v>
      </c>
      <c r="E14493" t="s">
        <v>187</v>
      </c>
      <c r="F14493">
        <v>2005</v>
      </c>
      <c r="G14493">
        <v>4.7925969999999998</v>
      </c>
    </row>
    <row r="14494" spans="1:7">
      <c r="A14494" t="s">
        <v>1297</v>
      </c>
      <c r="B14494" t="s">
        <v>1298</v>
      </c>
      <c r="C14494" t="s">
        <v>651</v>
      </c>
      <c r="D14494" t="s">
        <v>1448</v>
      </c>
      <c r="E14494" t="s">
        <v>187</v>
      </c>
      <c r="F14494">
        <v>2010</v>
      </c>
      <c r="G14494">
        <v>7.4300899999999999</v>
      </c>
    </row>
    <row r="14495" spans="1:7">
      <c r="A14495" t="s">
        <v>1297</v>
      </c>
      <c r="B14495" t="s">
        <v>1298</v>
      </c>
      <c r="C14495" t="s">
        <v>651</v>
      </c>
      <c r="D14495" t="s">
        <v>1448</v>
      </c>
      <c r="E14495" t="s">
        <v>187</v>
      </c>
      <c r="F14495">
        <v>2012</v>
      </c>
      <c r="G14495">
        <v>8.8663100000000004</v>
      </c>
    </row>
    <row r="14496" spans="1:7">
      <c r="A14496" t="s">
        <v>1297</v>
      </c>
      <c r="B14496" t="s">
        <v>1298</v>
      </c>
      <c r="C14496" t="s">
        <v>651</v>
      </c>
      <c r="D14496" t="s">
        <v>1448</v>
      </c>
      <c r="E14496" t="s">
        <v>187</v>
      </c>
      <c r="F14496">
        <v>2016</v>
      </c>
      <c r="G14496">
        <v>18.845417000000001</v>
      </c>
    </row>
    <row r="14497" spans="1:7">
      <c r="A14497" t="s">
        <v>1297</v>
      </c>
      <c r="B14497" t="s">
        <v>1298</v>
      </c>
      <c r="C14497" t="s">
        <v>651</v>
      </c>
      <c r="D14497" t="s">
        <v>1448</v>
      </c>
      <c r="E14497" t="s">
        <v>187</v>
      </c>
      <c r="F14497">
        <v>2020</v>
      </c>
      <c r="G14497">
        <v>26.918507000000002</v>
      </c>
    </row>
    <row r="14498" spans="1:7">
      <c r="A14498" t="s">
        <v>1297</v>
      </c>
      <c r="B14498" t="s">
        <v>1298</v>
      </c>
      <c r="C14498" t="s">
        <v>677</v>
      </c>
      <c r="D14498" t="s">
        <v>1448</v>
      </c>
      <c r="E14498" t="s">
        <v>187</v>
      </c>
      <c r="F14498">
        <v>2005</v>
      </c>
      <c r="G14498">
        <v>10.454010999999999</v>
      </c>
    </row>
    <row r="14499" spans="1:7">
      <c r="A14499" t="s">
        <v>1297</v>
      </c>
      <c r="B14499" t="s">
        <v>1298</v>
      </c>
      <c r="C14499" t="s">
        <v>677</v>
      </c>
      <c r="D14499" t="s">
        <v>1448</v>
      </c>
      <c r="E14499" t="s">
        <v>187</v>
      </c>
      <c r="F14499">
        <v>2010</v>
      </c>
      <c r="G14499">
        <v>37.028303999999999</v>
      </c>
    </row>
    <row r="14500" spans="1:7">
      <c r="A14500" t="s">
        <v>1297</v>
      </c>
      <c r="B14500" t="s">
        <v>1298</v>
      </c>
      <c r="C14500" t="s">
        <v>677</v>
      </c>
      <c r="D14500" t="s">
        <v>1448</v>
      </c>
      <c r="E14500" t="s">
        <v>187</v>
      </c>
      <c r="F14500">
        <v>2012</v>
      </c>
      <c r="G14500">
        <v>71.449639000000005</v>
      </c>
    </row>
    <row r="14501" spans="1:7">
      <c r="A14501" t="s">
        <v>1297</v>
      </c>
      <c r="B14501" t="s">
        <v>1298</v>
      </c>
      <c r="C14501" t="s">
        <v>677</v>
      </c>
      <c r="D14501" t="s">
        <v>1448</v>
      </c>
      <c r="E14501" t="s">
        <v>187</v>
      </c>
      <c r="F14501">
        <v>2016</v>
      </c>
      <c r="G14501">
        <v>133.77391900000001</v>
      </c>
    </row>
    <row r="14502" spans="1:7">
      <c r="A14502" t="s">
        <v>1297</v>
      </c>
      <c r="B14502" t="s">
        <v>1298</v>
      </c>
      <c r="C14502" t="s">
        <v>677</v>
      </c>
      <c r="D14502" t="s">
        <v>1448</v>
      </c>
      <c r="E14502" t="s">
        <v>187</v>
      </c>
      <c r="F14502">
        <v>2020</v>
      </c>
      <c r="G14502">
        <v>231.60543799999999</v>
      </c>
    </row>
    <row r="14503" spans="1:7">
      <c r="A14503" t="s">
        <v>1297</v>
      </c>
      <c r="B14503" t="s">
        <v>1298</v>
      </c>
      <c r="C14503" t="s">
        <v>289</v>
      </c>
      <c r="D14503" t="s">
        <v>1448</v>
      </c>
      <c r="E14503" t="s">
        <v>187</v>
      </c>
      <c r="F14503">
        <v>2005</v>
      </c>
      <c r="G14503">
        <v>3.5999999999999997E-2</v>
      </c>
    </row>
    <row r="14504" spans="1:7">
      <c r="A14504" t="s">
        <v>1297</v>
      </c>
      <c r="B14504" t="s">
        <v>1298</v>
      </c>
      <c r="C14504" t="s">
        <v>289</v>
      </c>
      <c r="D14504" t="s">
        <v>1448</v>
      </c>
      <c r="E14504" t="s">
        <v>187</v>
      </c>
      <c r="F14504">
        <v>2010</v>
      </c>
      <c r="G14504">
        <v>0.50075999999999998</v>
      </c>
    </row>
    <row r="14505" spans="1:7">
      <c r="A14505" t="s">
        <v>1297</v>
      </c>
      <c r="B14505" t="s">
        <v>1298</v>
      </c>
      <c r="C14505" t="s">
        <v>289</v>
      </c>
      <c r="D14505" t="s">
        <v>1448</v>
      </c>
      <c r="E14505" t="s">
        <v>187</v>
      </c>
      <c r="F14505">
        <v>2012</v>
      </c>
      <c r="G14505">
        <v>1.183486</v>
      </c>
    </row>
    <row r="14506" spans="1:7">
      <c r="A14506" t="s">
        <v>1297</v>
      </c>
      <c r="B14506" t="s">
        <v>1298</v>
      </c>
      <c r="C14506" t="s">
        <v>289</v>
      </c>
      <c r="D14506" t="s">
        <v>1448</v>
      </c>
      <c r="E14506" t="s">
        <v>187</v>
      </c>
      <c r="F14506">
        <v>2016</v>
      </c>
      <c r="G14506">
        <v>3.6512929999999999</v>
      </c>
    </row>
    <row r="14507" spans="1:7">
      <c r="A14507" t="s">
        <v>1297</v>
      </c>
      <c r="B14507" t="s">
        <v>1298</v>
      </c>
      <c r="C14507" t="s">
        <v>289</v>
      </c>
      <c r="D14507" t="s">
        <v>1448</v>
      </c>
      <c r="E14507" t="s">
        <v>187</v>
      </c>
      <c r="F14507">
        <v>2020</v>
      </c>
      <c r="G14507">
        <v>5.2822800000000001</v>
      </c>
    </row>
    <row r="14508" spans="1:7">
      <c r="A14508" t="s">
        <v>1297</v>
      </c>
      <c r="B14508" t="s">
        <v>1298</v>
      </c>
      <c r="C14508" t="s">
        <v>664</v>
      </c>
      <c r="D14508" t="s">
        <v>1448</v>
      </c>
      <c r="E14508" t="s">
        <v>187</v>
      </c>
      <c r="F14508">
        <v>2005</v>
      </c>
      <c r="G14508">
        <v>4.0028759999999997</v>
      </c>
    </row>
    <row r="14509" spans="1:7">
      <c r="A14509" t="s">
        <v>1297</v>
      </c>
      <c r="B14509" t="s">
        <v>1298</v>
      </c>
      <c r="C14509" t="s">
        <v>664</v>
      </c>
      <c r="D14509" t="s">
        <v>1448</v>
      </c>
      <c r="E14509" t="s">
        <v>187</v>
      </c>
      <c r="F14509">
        <v>2010</v>
      </c>
      <c r="G14509">
        <v>10.132771999999999</v>
      </c>
    </row>
    <row r="14510" spans="1:7">
      <c r="A14510" t="s">
        <v>1297</v>
      </c>
      <c r="B14510" t="s">
        <v>1298</v>
      </c>
      <c r="C14510" t="s">
        <v>664</v>
      </c>
      <c r="D14510" t="s">
        <v>1448</v>
      </c>
      <c r="E14510" t="s">
        <v>187</v>
      </c>
      <c r="F14510">
        <v>2012</v>
      </c>
      <c r="G14510">
        <v>14.437721</v>
      </c>
    </row>
    <row r="14511" spans="1:7">
      <c r="A14511" t="s">
        <v>1297</v>
      </c>
      <c r="B14511" t="s">
        <v>1298</v>
      </c>
      <c r="C14511" t="s">
        <v>657</v>
      </c>
      <c r="D14511" t="s">
        <v>1448</v>
      </c>
      <c r="E14511" t="s">
        <v>187</v>
      </c>
      <c r="F14511">
        <v>2005</v>
      </c>
      <c r="G14511">
        <v>23.810400000000001</v>
      </c>
    </row>
    <row r="14512" spans="1:7">
      <c r="A14512" t="s">
        <v>1297</v>
      </c>
      <c r="B14512" t="s">
        <v>1298</v>
      </c>
      <c r="C14512" t="s">
        <v>657</v>
      </c>
      <c r="D14512" t="s">
        <v>1448</v>
      </c>
      <c r="E14512" t="s">
        <v>187</v>
      </c>
      <c r="F14512">
        <v>2010</v>
      </c>
      <c r="G14512">
        <v>28.113918999999999</v>
      </c>
    </row>
    <row r="14513" spans="1:7">
      <c r="A14513" t="s">
        <v>1297</v>
      </c>
      <c r="B14513" t="s">
        <v>1298</v>
      </c>
      <c r="C14513" t="s">
        <v>657</v>
      </c>
      <c r="D14513" t="s">
        <v>1448</v>
      </c>
      <c r="E14513" t="s">
        <v>187</v>
      </c>
      <c r="F14513">
        <v>2012</v>
      </c>
      <c r="G14513">
        <v>36.971784</v>
      </c>
    </row>
    <row r="14514" spans="1:7">
      <c r="A14514" t="s">
        <v>1297</v>
      </c>
      <c r="B14514" t="s">
        <v>1298</v>
      </c>
      <c r="C14514" t="s">
        <v>657</v>
      </c>
      <c r="D14514" t="s">
        <v>1448</v>
      </c>
      <c r="E14514" t="s">
        <v>187</v>
      </c>
      <c r="F14514">
        <v>2016</v>
      </c>
      <c r="G14514">
        <v>46.014232</v>
      </c>
    </row>
    <row r="14515" spans="1:7">
      <c r="A14515" t="s">
        <v>1297</v>
      </c>
      <c r="B14515" t="s">
        <v>1298</v>
      </c>
      <c r="C14515" t="s">
        <v>657</v>
      </c>
      <c r="D14515" t="s">
        <v>1448</v>
      </c>
      <c r="E14515" t="s">
        <v>187</v>
      </c>
      <c r="F14515">
        <v>2020</v>
      </c>
      <c r="G14515">
        <v>58.139398999999997</v>
      </c>
    </row>
    <row r="14516" spans="1:7">
      <c r="A14516" t="s">
        <v>1297</v>
      </c>
      <c r="B14516" t="s">
        <v>1298</v>
      </c>
      <c r="C14516" t="s">
        <v>1303</v>
      </c>
      <c r="D14516" t="s">
        <v>1448</v>
      </c>
      <c r="E14516" t="s">
        <v>187</v>
      </c>
      <c r="F14516">
        <v>2016</v>
      </c>
      <c r="G14516">
        <v>3.2399999999999998E-2</v>
      </c>
    </row>
    <row r="14517" spans="1:7">
      <c r="A14517" t="s">
        <v>1297</v>
      </c>
      <c r="B14517" t="s">
        <v>1298</v>
      </c>
      <c r="C14517" t="s">
        <v>1303</v>
      </c>
      <c r="D14517" t="s">
        <v>1448</v>
      </c>
      <c r="E14517" t="s">
        <v>187</v>
      </c>
      <c r="F14517">
        <v>2020</v>
      </c>
      <c r="G14517">
        <v>0.304898</v>
      </c>
    </row>
    <row r="14518" spans="1:7">
      <c r="A14518" t="s">
        <v>1297</v>
      </c>
      <c r="B14518" t="s">
        <v>1298</v>
      </c>
      <c r="C14518" t="s">
        <v>667</v>
      </c>
      <c r="D14518" t="s">
        <v>1448</v>
      </c>
      <c r="E14518" t="s">
        <v>187</v>
      </c>
      <c r="F14518">
        <v>2005</v>
      </c>
      <c r="G14518">
        <v>0.18810399999999999</v>
      </c>
    </row>
    <row r="14519" spans="1:7">
      <c r="A14519" t="s">
        <v>1297</v>
      </c>
      <c r="B14519" t="s">
        <v>1298</v>
      </c>
      <c r="C14519" t="s">
        <v>667</v>
      </c>
      <c r="D14519" t="s">
        <v>1448</v>
      </c>
      <c r="E14519" t="s">
        <v>187</v>
      </c>
      <c r="F14519">
        <v>2010</v>
      </c>
      <c r="G14519">
        <v>0.198299</v>
      </c>
    </row>
    <row r="14520" spans="1:7">
      <c r="A14520" t="s">
        <v>1297</v>
      </c>
      <c r="B14520" t="s">
        <v>1298</v>
      </c>
      <c r="C14520" t="s">
        <v>667</v>
      </c>
      <c r="D14520" t="s">
        <v>1448</v>
      </c>
      <c r="E14520" t="s">
        <v>187</v>
      </c>
      <c r="F14520">
        <v>2012</v>
      </c>
      <c r="G14520">
        <v>0.27887800000000001</v>
      </c>
    </row>
    <row r="14521" spans="1:7">
      <c r="A14521" t="s">
        <v>1297</v>
      </c>
      <c r="B14521" t="s">
        <v>1298</v>
      </c>
      <c r="C14521" t="s">
        <v>667</v>
      </c>
      <c r="D14521" t="s">
        <v>1448</v>
      </c>
      <c r="E14521" t="s">
        <v>187</v>
      </c>
      <c r="F14521">
        <v>2016</v>
      </c>
      <c r="G14521">
        <v>0.36535000000000001</v>
      </c>
    </row>
    <row r="14522" spans="1:7">
      <c r="A14522" t="s">
        <v>1297</v>
      </c>
      <c r="B14522" t="s">
        <v>1298</v>
      </c>
      <c r="C14522" t="s">
        <v>667</v>
      </c>
      <c r="D14522" t="s">
        <v>1448</v>
      </c>
      <c r="E14522" t="s">
        <v>187</v>
      </c>
      <c r="F14522">
        <v>2020</v>
      </c>
      <c r="G14522">
        <v>1.0126189999999999</v>
      </c>
    </row>
    <row r="14523" spans="1:7">
      <c r="A14523" t="s">
        <v>1297</v>
      </c>
      <c r="B14523" t="s">
        <v>1298</v>
      </c>
      <c r="C14523" t="s">
        <v>661</v>
      </c>
      <c r="D14523" t="s">
        <v>1448</v>
      </c>
      <c r="E14523" t="s">
        <v>187</v>
      </c>
      <c r="F14523">
        <v>2005</v>
      </c>
      <c r="G14523">
        <v>3.465252</v>
      </c>
    </row>
    <row r="14524" spans="1:7">
      <c r="A14524" t="s">
        <v>1297</v>
      </c>
      <c r="B14524" t="s">
        <v>1298</v>
      </c>
      <c r="C14524" t="s">
        <v>661</v>
      </c>
      <c r="D14524" t="s">
        <v>1448</v>
      </c>
      <c r="E14524" t="s">
        <v>187</v>
      </c>
      <c r="F14524">
        <v>2010</v>
      </c>
      <c r="G14524">
        <v>35.801963999999998</v>
      </c>
    </row>
    <row r="14525" spans="1:7">
      <c r="A14525" t="s">
        <v>1297</v>
      </c>
      <c r="B14525" t="s">
        <v>1298</v>
      </c>
      <c r="C14525" t="s">
        <v>661</v>
      </c>
      <c r="D14525" t="s">
        <v>1448</v>
      </c>
      <c r="E14525" t="s">
        <v>187</v>
      </c>
      <c r="F14525">
        <v>2012</v>
      </c>
      <c r="G14525">
        <v>54.642240000000001</v>
      </c>
    </row>
    <row r="14526" spans="1:7">
      <c r="A14526" t="s">
        <v>1297</v>
      </c>
      <c r="B14526" t="s">
        <v>1298</v>
      </c>
      <c r="C14526" t="s">
        <v>661</v>
      </c>
      <c r="D14526" t="s">
        <v>1448</v>
      </c>
      <c r="E14526" t="s">
        <v>187</v>
      </c>
      <c r="F14526">
        <v>2016</v>
      </c>
      <c r="G14526">
        <v>76.971541999999999</v>
      </c>
    </row>
    <row r="14527" spans="1:7">
      <c r="A14527" t="s">
        <v>1297</v>
      </c>
      <c r="B14527" t="s">
        <v>1298</v>
      </c>
      <c r="C14527" t="s">
        <v>661</v>
      </c>
      <c r="D14527" t="s">
        <v>1448</v>
      </c>
      <c r="E14527" t="s">
        <v>187</v>
      </c>
      <c r="F14527">
        <v>2020</v>
      </c>
      <c r="G14527">
        <v>124.998062</v>
      </c>
    </row>
    <row r="14528" spans="1:7">
      <c r="A14528" t="s">
        <v>1297</v>
      </c>
      <c r="B14528" t="s">
        <v>1298</v>
      </c>
      <c r="C14528" t="s">
        <v>673</v>
      </c>
      <c r="D14528" t="s">
        <v>1448</v>
      </c>
      <c r="E14528" t="s">
        <v>187</v>
      </c>
      <c r="F14528">
        <v>2005</v>
      </c>
      <c r="G14528">
        <v>8.1700000000000002E-4</v>
      </c>
    </row>
    <row r="14529" spans="1:7">
      <c r="A14529" t="s">
        <v>1297</v>
      </c>
      <c r="B14529" t="s">
        <v>1298</v>
      </c>
      <c r="C14529" t="s">
        <v>673</v>
      </c>
      <c r="D14529" t="s">
        <v>1448</v>
      </c>
      <c r="E14529" t="s">
        <v>187</v>
      </c>
      <c r="F14529">
        <v>2010</v>
      </c>
      <c r="G14529">
        <v>1.1028530000000001</v>
      </c>
    </row>
    <row r="14530" spans="1:7">
      <c r="A14530" t="s">
        <v>1297</v>
      </c>
      <c r="B14530" t="s">
        <v>1298</v>
      </c>
      <c r="C14530" t="s">
        <v>673</v>
      </c>
      <c r="D14530" t="s">
        <v>1448</v>
      </c>
      <c r="E14530" t="s">
        <v>187</v>
      </c>
      <c r="F14530">
        <v>2012</v>
      </c>
      <c r="G14530">
        <v>9.5035500000000006</v>
      </c>
    </row>
    <row r="14531" spans="1:7">
      <c r="A14531" t="s">
        <v>1297</v>
      </c>
      <c r="B14531" t="s">
        <v>1298</v>
      </c>
      <c r="C14531" t="s">
        <v>673</v>
      </c>
      <c r="D14531" t="s">
        <v>1448</v>
      </c>
      <c r="E14531" t="s">
        <v>187</v>
      </c>
      <c r="F14531">
        <v>2016</v>
      </c>
      <c r="G14531">
        <v>23.724</v>
      </c>
    </row>
    <row r="14532" spans="1:7">
      <c r="A14532" t="s">
        <v>1297</v>
      </c>
      <c r="B14532" t="s">
        <v>1298</v>
      </c>
      <c r="C14532" t="s">
        <v>673</v>
      </c>
      <c r="D14532" t="s">
        <v>1448</v>
      </c>
      <c r="E14532" t="s">
        <v>187</v>
      </c>
      <c r="F14532">
        <v>2020</v>
      </c>
      <c r="G14532">
        <v>24.382111999999999</v>
      </c>
    </row>
    <row r="14533" spans="1:7">
      <c r="A14533" t="s">
        <v>1297</v>
      </c>
      <c r="B14533" t="s">
        <v>1298</v>
      </c>
      <c r="C14533" t="s">
        <v>656</v>
      </c>
      <c r="D14533" t="s">
        <v>1448</v>
      </c>
      <c r="E14533" t="s">
        <v>187</v>
      </c>
      <c r="F14533">
        <v>2005</v>
      </c>
      <c r="G14533">
        <v>99.986400000000003</v>
      </c>
    </row>
    <row r="14534" spans="1:7">
      <c r="A14534" t="s">
        <v>1297</v>
      </c>
      <c r="B14534" t="s">
        <v>1298</v>
      </c>
      <c r="C14534" t="s">
        <v>656</v>
      </c>
      <c r="D14534" t="s">
        <v>1448</v>
      </c>
      <c r="E14534" t="s">
        <v>187</v>
      </c>
      <c r="F14534">
        <v>2010</v>
      </c>
      <c r="G14534">
        <v>138.76920000000001</v>
      </c>
    </row>
    <row r="14535" spans="1:7">
      <c r="A14535" t="s">
        <v>1297</v>
      </c>
      <c r="B14535" t="s">
        <v>1298</v>
      </c>
      <c r="C14535" t="s">
        <v>656</v>
      </c>
      <c r="D14535" t="s">
        <v>1448</v>
      </c>
      <c r="E14535" t="s">
        <v>187</v>
      </c>
      <c r="F14535">
        <v>2012</v>
      </c>
      <c r="G14535">
        <v>186.048</v>
      </c>
    </row>
    <row r="14536" spans="1:7">
      <c r="A14536" t="s">
        <v>1297</v>
      </c>
      <c r="B14536" t="s">
        <v>1298</v>
      </c>
      <c r="C14536" t="s">
        <v>656</v>
      </c>
      <c r="D14536" t="s">
        <v>1448</v>
      </c>
      <c r="E14536" t="s">
        <v>187</v>
      </c>
      <c r="F14536">
        <v>2016</v>
      </c>
      <c r="G14536">
        <v>287.72640000000001</v>
      </c>
    </row>
    <row r="14537" spans="1:7">
      <c r="A14537" t="s">
        <v>1297</v>
      </c>
      <c r="B14537" t="s">
        <v>1298</v>
      </c>
      <c r="C14537" t="s">
        <v>656</v>
      </c>
      <c r="D14537" t="s">
        <v>1448</v>
      </c>
      <c r="E14537" t="s">
        <v>187</v>
      </c>
      <c r="F14537">
        <v>2020</v>
      </c>
      <c r="G14537">
        <v>453.21839999999997</v>
      </c>
    </row>
    <row r="14538" spans="1:7">
      <c r="A14538" t="s">
        <v>1297</v>
      </c>
      <c r="B14538" t="s">
        <v>1298</v>
      </c>
      <c r="C14538" t="s">
        <v>662</v>
      </c>
      <c r="D14538" t="s">
        <v>1448</v>
      </c>
      <c r="E14538" t="s">
        <v>187</v>
      </c>
      <c r="F14538">
        <v>2005</v>
      </c>
      <c r="G14538">
        <v>4.5592269999999999</v>
      </c>
    </row>
    <row r="14539" spans="1:7">
      <c r="A14539" t="s">
        <v>1297</v>
      </c>
      <c r="B14539" t="s">
        <v>1298</v>
      </c>
      <c r="C14539" t="s">
        <v>662</v>
      </c>
      <c r="D14539" t="s">
        <v>1448</v>
      </c>
      <c r="E14539" t="s">
        <v>187</v>
      </c>
      <c r="F14539">
        <v>2010</v>
      </c>
      <c r="G14539">
        <v>9.7701729999999998</v>
      </c>
    </row>
    <row r="14540" spans="1:7">
      <c r="A14540" t="s">
        <v>1297</v>
      </c>
      <c r="B14540" t="s">
        <v>1298</v>
      </c>
      <c r="C14540" t="s">
        <v>662</v>
      </c>
      <c r="D14540" t="s">
        <v>1448</v>
      </c>
      <c r="E14540" t="s">
        <v>187</v>
      </c>
      <c r="F14540">
        <v>2012</v>
      </c>
      <c r="G14540">
        <v>13.860564999999999</v>
      </c>
    </row>
    <row r="14541" spans="1:7">
      <c r="A14541" t="s">
        <v>1297</v>
      </c>
      <c r="B14541" t="s">
        <v>1298</v>
      </c>
      <c r="C14541" t="s">
        <v>662</v>
      </c>
      <c r="D14541" t="s">
        <v>1448</v>
      </c>
      <c r="E14541" t="s">
        <v>187</v>
      </c>
      <c r="F14541">
        <v>2016</v>
      </c>
      <c r="G14541">
        <v>18.525226</v>
      </c>
    </row>
    <row r="14542" spans="1:7">
      <c r="A14542" t="s">
        <v>1297</v>
      </c>
      <c r="B14542" t="s">
        <v>1298</v>
      </c>
      <c r="C14542" t="s">
        <v>662</v>
      </c>
      <c r="D14542" t="s">
        <v>1448</v>
      </c>
      <c r="E14542" t="s">
        <v>187</v>
      </c>
      <c r="F14542">
        <v>2020</v>
      </c>
      <c r="G14542">
        <v>26.158849</v>
      </c>
    </row>
    <row r="14543" spans="1:7">
      <c r="A14543" t="s">
        <v>1297</v>
      </c>
      <c r="B14543" t="s">
        <v>1298</v>
      </c>
      <c r="C14543" t="s">
        <v>672</v>
      </c>
      <c r="D14543" t="s">
        <v>1448</v>
      </c>
      <c r="E14543" t="s">
        <v>187</v>
      </c>
      <c r="F14543">
        <v>2005</v>
      </c>
      <c r="G14543">
        <v>6.3837469999999996</v>
      </c>
    </row>
    <row r="14544" spans="1:7">
      <c r="A14544" t="s">
        <v>1297</v>
      </c>
      <c r="B14544" t="s">
        <v>1298</v>
      </c>
      <c r="C14544" t="s">
        <v>672</v>
      </c>
      <c r="D14544" t="s">
        <v>1448</v>
      </c>
      <c r="E14544" t="s">
        <v>187</v>
      </c>
      <c r="F14544">
        <v>2010</v>
      </c>
      <c r="G14544">
        <v>33.053659000000003</v>
      </c>
    </row>
    <row r="14545" spans="1:7">
      <c r="A14545" t="s">
        <v>1297</v>
      </c>
      <c r="B14545" t="s">
        <v>1298</v>
      </c>
      <c r="C14545" t="s">
        <v>672</v>
      </c>
      <c r="D14545" t="s">
        <v>1448</v>
      </c>
      <c r="E14545" t="s">
        <v>187</v>
      </c>
      <c r="F14545">
        <v>2012</v>
      </c>
      <c r="G14545">
        <v>36.935200999999999</v>
      </c>
    </row>
    <row r="14546" spans="1:7">
      <c r="A14546" t="s">
        <v>1297</v>
      </c>
      <c r="B14546" t="s">
        <v>1298</v>
      </c>
      <c r="C14546" t="s">
        <v>672</v>
      </c>
      <c r="D14546" t="s">
        <v>1448</v>
      </c>
      <c r="E14546" t="s">
        <v>187</v>
      </c>
      <c r="F14546">
        <v>2016</v>
      </c>
      <c r="G14546">
        <v>44.906745999999998</v>
      </c>
    </row>
    <row r="14547" spans="1:7">
      <c r="A14547" t="s">
        <v>1297</v>
      </c>
      <c r="B14547" t="s">
        <v>1298</v>
      </c>
      <c r="C14547" t="s">
        <v>672</v>
      </c>
      <c r="D14547" t="s">
        <v>1448</v>
      </c>
      <c r="E14547" t="s">
        <v>187</v>
      </c>
      <c r="F14547">
        <v>2020</v>
      </c>
      <c r="G14547">
        <v>49.201016000000003</v>
      </c>
    </row>
    <row r="14548" spans="1:7">
      <c r="A14548" t="s">
        <v>1297</v>
      </c>
      <c r="B14548" t="s">
        <v>1298</v>
      </c>
      <c r="C14548" t="s">
        <v>668</v>
      </c>
      <c r="D14548" t="s">
        <v>1448</v>
      </c>
      <c r="E14548" t="s">
        <v>187</v>
      </c>
      <c r="F14548">
        <v>2005</v>
      </c>
      <c r="G14548">
        <v>0.16867399999999999</v>
      </c>
    </row>
    <row r="14549" spans="1:7">
      <c r="A14549" t="s">
        <v>1297</v>
      </c>
      <c r="B14549" t="s">
        <v>1298</v>
      </c>
      <c r="C14549" t="s">
        <v>668</v>
      </c>
      <c r="D14549" t="s">
        <v>1448</v>
      </c>
      <c r="E14549" t="s">
        <v>187</v>
      </c>
      <c r="F14549">
        <v>2010</v>
      </c>
      <c r="G14549">
        <v>0.17660500000000001</v>
      </c>
    </row>
    <row r="14550" spans="1:7">
      <c r="A14550" t="s">
        <v>1297</v>
      </c>
      <c r="B14550" t="s">
        <v>1298</v>
      </c>
      <c r="C14550" t="s">
        <v>668</v>
      </c>
      <c r="D14550" t="s">
        <v>1448</v>
      </c>
      <c r="E14550" t="s">
        <v>187</v>
      </c>
      <c r="F14550">
        <v>2012</v>
      </c>
      <c r="G14550">
        <v>0.411358</v>
      </c>
    </row>
    <row r="14551" spans="1:7">
      <c r="A14551" t="s">
        <v>1297</v>
      </c>
      <c r="B14551" t="s">
        <v>1298</v>
      </c>
      <c r="C14551" t="s">
        <v>668</v>
      </c>
      <c r="D14551" t="s">
        <v>1448</v>
      </c>
      <c r="E14551" t="s">
        <v>187</v>
      </c>
      <c r="F14551">
        <v>2016</v>
      </c>
      <c r="G14551">
        <v>0.46039999999999998</v>
      </c>
    </row>
    <row r="14552" spans="1:7">
      <c r="A14552" t="s">
        <v>1297</v>
      </c>
      <c r="B14552" t="s">
        <v>1298</v>
      </c>
      <c r="C14552" t="s">
        <v>668</v>
      </c>
      <c r="D14552" t="s">
        <v>1448</v>
      </c>
      <c r="E14552" t="s">
        <v>187</v>
      </c>
      <c r="F14552">
        <v>2020</v>
      </c>
      <c r="G14552">
        <v>0.554396</v>
      </c>
    </row>
    <row r="14553" spans="1:7">
      <c r="A14553" t="s">
        <v>1297</v>
      </c>
      <c r="B14553" t="s">
        <v>1298</v>
      </c>
      <c r="C14553" t="s">
        <v>671</v>
      </c>
      <c r="D14553" t="s">
        <v>1448</v>
      </c>
      <c r="E14553" t="s">
        <v>187</v>
      </c>
      <c r="F14553">
        <v>2005</v>
      </c>
      <c r="G14553">
        <v>0.48769200000000001</v>
      </c>
    </row>
    <row r="14554" spans="1:7">
      <c r="A14554" t="s">
        <v>1297</v>
      </c>
      <c r="B14554" t="s">
        <v>1298</v>
      </c>
      <c r="C14554" t="s">
        <v>671</v>
      </c>
      <c r="D14554" t="s">
        <v>1448</v>
      </c>
      <c r="E14554" t="s">
        <v>187</v>
      </c>
      <c r="F14554">
        <v>2010</v>
      </c>
      <c r="G14554">
        <v>5.9916200000000002</v>
      </c>
    </row>
    <row r="14555" spans="1:7">
      <c r="A14555" t="s">
        <v>1297</v>
      </c>
      <c r="B14555" t="s">
        <v>1298</v>
      </c>
      <c r="C14555" t="s">
        <v>671</v>
      </c>
      <c r="D14555" t="s">
        <v>1448</v>
      </c>
      <c r="E14555" t="s">
        <v>187</v>
      </c>
      <c r="F14555">
        <v>2012</v>
      </c>
      <c r="G14555">
        <v>17.087724000000001</v>
      </c>
    </row>
    <row r="14556" spans="1:7">
      <c r="A14556" t="s">
        <v>1297</v>
      </c>
      <c r="B14556" t="s">
        <v>1298</v>
      </c>
      <c r="C14556" t="s">
        <v>671</v>
      </c>
      <c r="D14556" t="s">
        <v>1448</v>
      </c>
      <c r="E14556" t="s">
        <v>187</v>
      </c>
      <c r="F14556">
        <v>2016</v>
      </c>
      <c r="G14556">
        <v>45.315323999999997</v>
      </c>
    </row>
    <row r="14557" spans="1:7">
      <c r="A14557" t="s">
        <v>1297</v>
      </c>
      <c r="B14557" t="s">
        <v>1298</v>
      </c>
      <c r="C14557" t="s">
        <v>671</v>
      </c>
      <c r="D14557" t="s">
        <v>1448</v>
      </c>
      <c r="E14557" t="s">
        <v>187</v>
      </c>
      <c r="F14557">
        <v>2020</v>
      </c>
      <c r="G14557">
        <v>54.384332000000001</v>
      </c>
    </row>
    <row r="14558" spans="1:7">
      <c r="A14558" t="s">
        <v>1297</v>
      </c>
      <c r="B14558" t="s">
        <v>1298</v>
      </c>
      <c r="C14558" t="s">
        <v>665</v>
      </c>
      <c r="D14558" t="s">
        <v>1448</v>
      </c>
      <c r="E14558" t="s">
        <v>187</v>
      </c>
      <c r="F14558">
        <v>2005</v>
      </c>
      <c r="G14558">
        <v>8.4362359999999992</v>
      </c>
    </row>
    <row r="14559" spans="1:7">
      <c r="A14559" t="s">
        <v>1297</v>
      </c>
      <c r="B14559" t="s">
        <v>1298</v>
      </c>
      <c r="C14559" t="s">
        <v>665</v>
      </c>
      <c r="D14559" t="s">
        <v>1448</v>
      </c>
      <c r="E14559" t="s">
        <v>187</v>
      </c>
      <c r="F14559">
        <v>2010</v>
      </c>
      <c r="G14559">
        <v>32.853304999999999</v>
      </c>
    </row>
    <row r="14560" spans="1:7">
      <c r="A14560" t="s">
        <v>1297</v>
      </c>
      <c r="B14560" t="s">
        <v>1298</v>
      </c>
      <c r="C14560" t="s">
        <v>665</v>
      </c>
      <c r="D14560" t="s">
        <v>1448</v>
      </c>
      <c r="E14560" t="s">
        <v>187</v>
      </c>
      <c r="F14560">
        <v>2012</v>
      </c>
      <c r="G14560">
        <v>48.265656999999997</v>
      </c>
    </row>
    <row r="14561" spans="1:7">
      <c r="A14561" t="s">
        <v>1297</v>
      </c>
      <c r="B14561" t="s">
        <v>1298</v>
      </c>
      <c r="C14561" t="s">
        <v>665</v>
      </c>
      <c r="D14561" t="s">
        <v>1448</v>
      </c>
      <c r="E14561" t="s">
        <v>187</v>
      </c>
      <c r="F14561">
        <v>2016</v>
      </c>
      <c r="G14561">
        <v>63.679212</v>
      </c>
    </row>
    <row r="14562" spans="1:7">
      <c r="A14562" t="s">
        <v>1297</v>
      </c>
      <c r="B14562" t="s">
        <v>1298</v>
      </c>
      <c r="C14562" t="s">
        <v>665</v>
      </c>
      <c r="D14562" t="s">
        <v>1448</v>
      </c>
      <c r="E14562" t="s">
        <v>187</v>
      </c>
      <c r="F14562">
        <v>2020</v>
      </c>
      <c r="G14562">
        <v>72.727350999999999</v>
      </c>
    </row>
    <row r="14563" spans="1:7">
      <c r="A14563" t="s">
        <v>1297</v>
      </c>
      <c r="B14563" t="s">
        <v>1298</v>
      </c>
      <c r="C14563" t="s">
        <v>654</v>
      </c>
      <c r="D14563" t="s">
        <v>1448</v>
      </c>
      <c r="E14563" t="s">
        <v>187</v>
      </c>
      <c r="F14563">
        <v>2005</v>
      </c>
      <c r="G14563">
        <v>1.2780000000000001E-3</v>
      </c>
    </row>
    <row r="14564" spans="1:7">
      <c r="A14564" t="s">
        <v>1297</v>
      </c>
      <c r="B14564" t="s">
        <v>1298</v>
      </c>
      <c r="C14564" t="s">
        <v>654</v>
      </c>
      <c r="D14564" t="s">
        <v>1448</v>
      </c>
      <c r="E14564" t="s">
        <v>187</v>
      </c>
      <c r="F14564">
        <v>2010</v>
      </c>
      <c r="G14564">
        <v>0.11421000000000001</v>
      </c>
    </row>
    <row r="14565" spans="1:7">
      <c r="A14565" t="s">
        <v>1297</v>
      </c>
      <c r="B14565" t="s">
        <v>1298</v>
      </c>
      <c r="C14565" t="s">
        <v>654</v>
      </c>
      <c r="D14565" t="s">
        <v>1448</v>
      </c>
      <c r="E14565" t="s">
        <v>187</v>
      </c>
      <c r="F14565">
        <v>2012</v>
      </c>
      <c r="G14565">
        <v>0.66772100000000001</v>
      </c>
    </row>
    <row r="14566" spans="1:7">
      <c r="A14566" t="s">
        <v>1297</v>
      </c>
      <c r="B14566" t="s">
        <v>1298</v>
      </c>
      <c r="C14566" t="s">
        <v>654</v>
      </c>
      <c r="D14566" t="s">
        <v>1448</v>
      </c>
      <c r="E14566" t="s">
        <v>187</v>
      </c>
      <c r="F14566">
        <v>2016</v>
      </c>
      <c r="G14566">
        <v>0.81612399999999996</v>
      </c>
    </row>
    <row r="14567" spans="1:7">
      <c r="A14567" t="s">
        <v>1297</v>
      </c>
      <c r="B14567" t="s">
        <v>1298</v>
      </c>
      <c r="C14567" t="s">
        <v>654</v>
      </c>
      <c r="D14567" t="s">
        <v>1448</v>
      </c>
      <c r="E14567" t="s">
        <v>187</v>
      </c>
      <c r="F14567">
        <v>2020</v>
      </c>
      <c r="G14567">
        <v>0.85883399999999999</v>
      </c>
    </row>
    <row r="14568" spans="1:7">
      <c r="A14568" t="s">
        <v>1297</v>
      </c>
      <c r="B14568" t="s">
        <v>1298</v>
      </c>
      <c r="C14568" t="s">
        <v>663</v>
      </c>
      <c r="D14568" t="s">
        <v>1448</v>
      </c>
      <c r="E14568" t="s">
        <v>187</v>
      </c>
      <c r="F14568">
        <v>2005</v>
      </c>
      <c r="G14568">
        <v>3.6341999999999999E-2</v>
      </c>
    </row>
    <row r="14569" spans="1:7">
      <c r="A14569" t="s">
        <v>1297</v>
      </c>
      <c r="B14569" t="s">
        <v>1298</v>
      </c>
      <c r="C14569" t="s">
        <v>663</v>
      </c>
      <c r="D14569" t="s">
        <v>1448</v>
      </c>
      <c r="E14569" t="s">
        <v>187</v>
      </c>
      <c r="F14569">
        <v>2010</v>
      </c>
      <c r="G14569">
        <v>1.921651</v>
      </c>
    </row>
    <row r="14570" spans="1:7">
      <c r="A14570" t="s">
        <v>1297</v>
      </c>
      <c r="B14570" t="s">
        <v>1298</v>
      </c>
      <c r="C14570" t="s">
        <v>663</v>
      </c>
      <c r="D14570" t="s">
        <v>1448</v>
      </c>
      <c r="E14570" t="s">
        <v>187</v>
      </c>
      <c r="F14570">
        <v>2012</v>
      </c>
      <c r="G14570">
        <v>2.7719710000000002</v>
      </c>
    </row>
    <row r="14571" spans="1:7">
      <c r="A14571" t="s">
        <v>1297</v>
      </c>
      <c r="B14571" t="s">
        <v>1298</v>
      </c>
      <c r="C14571" t="s">
        <v>663</v>
      </c>
      <c r="D14571" t="s">
        <v>1448</v>
      </c>
      <c r="E14571" t="s">
        <v>187</v>
      </c>
      <c r="F14571">
        <v>2016</v>
      </c>
      <c r="G14571">
        <v>2.4612910000000001</v>
      </c>
    </row>
    <row r="14572" spans="1:7">
      <c r="A14572" t="s">
        <v>1297</v>
      </c>
      <c r="B14572" t="s">
        <v>1298</v>
      </c>
      <c r="C14572" t="s">
        <v>663</v>
      </c>
      <c r="D14572" t="s">
        <v>1448</v>
      </c>
      <c r="E14572" t="s">
        <v>187</v>
      </c>
      <c r="F14572">
        <v>2020</v>
      </c>
      <c r="G14572">
        <v>2.6244000000000001</v>
      </c>
    </row>
    <row r="14573" spans="1:7">
      <c r="A14573" t="s">
        <v>1297</v>
      </c>
      <c r="B14573" t="s">
        <v>1298</v>
      </c>
      <c r="C14573" t="s">
        <v>680</v>
      </c>
      <c r="D14573" t="s">
        <v>1448</v>
      </c>
      <c r="E14573" t="s">
        <v>187</v>
      </c>
      <c r="F14573">
        <v>2016</v>
      </c>
      <c r="G14573">
        <v>3.3155999999999998E-2</v>
      </c>
    </row>
    <row r="14574" spans="1:7">
      <c r="A14574" t="s">
        <v>1297</v>
      </c>
      <c r="B14574" t="s">
        <v>1298</v>
      </c>
      <c r="C14574" t="s">
        <v>680</v>
      </c>
      <c r="D14574" t="s">
        <v>1448</v>
      </c>
      <c r="E14574" t="s">
        <v>187</v>
      </c>
      <c r="F14574">
        <v>2020</v>
      </c>
      <c r="G14574">
        <v>2.3647999999999999E-2</v>
      </c>
    </row>
    <row r="14575" spans="1:7">
      <c r="A14575" t="s">
        <v>1297</v>
      </c>
      <c r="B14575" t="s">
        <v>1298</v>
      </c>
      <c r="C14575" t="s">
        <v>670</v>
      </c>
      <c r="D14575" t="s">
        <v>1448</v>
      </c>
      <c r="E14575" t="s">
        <v>187</v>
      </c>
      <c r="F14575">
        <v>2005</v>
      </c>
      <c r="G14575">
        <v>7.4399579999999998</v>
      </c>
    </row>
    <row r="14576" spans="1:7">
      <c r="A14576" t="s">
        <v>1297</v>
      </c>
      <c r="B14576" t="s">
        <v>1298</v>
      </c>
      <c r="C14576" t="s">
        <v>670</v>
      </c>
      <c r="D14576" t="s">
        <v>1448</v>
      </c>
      <c r="E14576" t="s">
        <v>187</v>
      </c>
      <c r="F14576">
        <v>2010</v>
      </c>
      <c r="G14576">
        <v>14.375292999999999</v>
      </c>
    </row>
    <row r="14577" spans="1:7">
      <c r="A14577" t="s">
        <v>1297</v>
      </c>
      <c r="B14577" t="s">
        <v>1298</v>
      </c>
      <c r="C14577" t="s">
        <v>670</v>
      </c>
      <c r="D14577" t="s">
        <v>1448</v>
      </c>
      <c r="E14577" t="s">
        <v>187</v>
      </c>
      <c r="F14577">
        <v>2012</v>
      </c>
      <c r="G14577">
        <v>17.934584000000001</v>
      </c>
    </row>
    <row r="14578" spans="1:7">
      <c r="A14578" t="s">
        <v>1297</v>
      </c>
      <c r="B14578" t="s">
        <v>1298</v>
      </c>
      <c r="C14578" t="s">
        <v>670</v>
      </c>
      <c r="D14578" t="s">
        <v>1448</v>
      </c>
      <c r="E14578" t="s">
        <v>187</v>
      </c>
      <c r="F14578">
        <v>2016</v>
      </c>
      <c r="G14578">
        <v>29.413637999999999</v>
      </c>
    </row>
    <row r="14579" spans="1:7">
      <c r="A14579" t="s">
        <v>1297</v>
      </c>
      <c r="B14579" t="s">
        <v>1298</v>
      </c>
      <c r="C14579" t="s">
        <v>670</v>
      </c>
      <c r="D14579" t="s">
        <v>1448</v>
      </c>
      <c r="E14579" t="s">
        <v>187</v>
      </c>
      <c r="F14579">
        <v>2020</v>
      </c>
      <c r="G14579">
        <v>41.428536999999999</v>
      </c>
    </row>
    <row r="14580" spans="1:7">
      <c r="A14580" t="s">
        <v>1297</v>
      </c>
      <c r="B14580" t="s">
        <v>1298</v>
      </c>
      <c r="C14580" t="s">
        <v>660</v>
      </c>
      <c r="D14580" t="s">
        <v>1449</v>
      </c>
      <c r="E14580" t="s">
        <v>187</v>
      </c>
      <c r="F14580">
        <v>2005</v>
      </c>
      <c r="G14580">
        <v>0.61179099999999997</v>
      </c>
    </row>
    <row r="14581" spans="1:7">
      <c r="A14581" t="s">
        <v>1297</v>
      </c>
      <c r="B14581" t="s">
        <v>1298</v>
      </c>
      <c r="C14581" t="s">
        <v>660</v>
      </c>
      <c r="D14581" t="s">
        <v>1449</v>
      </c>
      <c r="E14581" t="s">
        <v>187</v>
      </c>
      <c r="F14581">
        <v>2010</v>
      </c>
      <c r="G14581">
        <v>1.0595410000000001</v>
      </c>
    </row>
    <row r="14582" spans="1:7">
      <c r="A14582" t="s">
        <v>1297</v>
      </c>
      <c r="B14582" t="s">
        <v>1298</v>
      </c>
      <c r="C14582" t="s">
        <v>660</v>
      </c>
      <c r="D14582" t="s">
        <v>1449</v>
      </c>
      <c r="E14582" t="s">
        <v>187</v>
      </c>
      <c r="F14582">
        <v>2012</v>
      </c>
      <c r="G14582">
        <v>1.779563</v>
      </c>
    </row>
    <row r="14583" spans="1:7">
      <c r="A14583" t="s">
        <v>1297</v>
      </c>
      <c r="B14583" t="s">
        <v>1298</v>
      </c>
      <c r="C14583" t="s">
        <v>660</v>
      </c>
      <c r="D14583" t="s">
        <v>1449</v>
      </c>
      <c r="E14583" t="s">
        <v>187</v>
      </c>
      <c r="F14583">
        <v>2016</v>
      </c>
      <c r="G14583">
        <v>11.044948</v>
      </c>
    </row>
    <row r="14584" spans="1:7">
      <c r="A14584" t="s">
        <v>1297</v>
      </c>
      <c r="B14584" t="s">
        <v>1298</v>
      </c>
      <c r="C14584" t="s">
        <v>660</v>
      </c>
      <c r="D14584" t="s">
        <v>1449</v>
      </c>
      <c r="E14584" t="s">
        <v>187</v>
      </c>
      <c r="F14584">
        <v>2020</v>
      </c>
      <c r="G14584">
        <v>21.689086</v>
      </c>
    </row>
    <row r="14585" spans="1:7">
      <c r="A14585" t="s">
        <v>1297</v>
      </c>
      <c r="B14585" t="s">
        <v>1298</v>
      </c>
      <c r="C14585" t="s">
        <v>1300</v>
      </c>
      <c r="D14585" t="s">
        <v>1449</v>
      </c>
      <c r="E14585" t="s">
        <v>187</v>
      </c>
      <c r="F14585">
        <v>2016</v>
      </c>
      <c r="G14585">
        <v>9.1690000000000001E-3</v>
      </c>
    </row>
    <row r="14586" spans="1:7">
      <c r="A14586" t="s">
        <v>1297</v>
      </c>
      <c r="B14586" t="s">
        <v>1298</v>
      </c>
      <c r="C14586" t="s">
        <v>1300</v>
      </c>
      <c r="D14586" t="s">
        <v>1449</v>
      </c>
      <c r="E14586" t="s">
        <v>187</v>
      </c>
      <c r="F14586">
        <v>2020</v>
      </c>
      <c r="G14586">
        <v>0.15479999999999999</v>
      </c>
    </row>
    <row r="14587" spans="1:7">
      <c r="A14587" t="s">
        <v>1297</v>
      </c>
      <c r="B14587" t="s">
        <v>1298</v>
      </c>
      <c r="C14587" t="s">
        <v>652</v>
      </c>
      <c r="D14587" t="s">
        <v>1449</v>
      </c>
      <c r="E14587" t="s">
        <v>187</v>
      </c>
      <c r="F14587">
        <v>2005</v>
      </c>
      <c r="G14587">
        <v>0.81720000000000004</v>
      </c>
    </row>
    <row r="14588" spans="1:7">
      <c r="A14588" t="s">
        <v>1297</v>
      </c>
      <c r="B14588" t="s">
        <v>1298</v>
      </c>
      <c r="C14588" t="s">
        <v>652</v>
      </c>
      <c r="D14588" t="s">
        <v>1449</v>
      </c>
      <c r="E14588" t="s">
        <v>187</v>
      </c>
      <c r="F14588">
        <v>2010</v>
      </c>
      <c r="G14588">
        <v>4.6512000000000002</v>
      </c>
    </row>
    <row r="14589" spans="1:7">
      <c r="A14589" t="s">
        <v>1297</v>
      </c>
      <c r="B14589" t="s">
        <v>1298</v>
      </c>
      <c r="C14589" t="s">
        <v>652</v>
      </c>
      <c r="D14589" t="s">
        <v>1449</v>
      </c>
      <c r="E14589" t="s">
        <v>187</v>
      </c>
      <c r="F14589">
        <v>2012</v>
      </c>
      <c r="G14589">
        <v>9.9036000000000008</v>
      </c>
    </row>
    <row r="14590" spans="1:7">
      <c r="A14590" t="s">
        <v>1297</v>
      </c>
      <c r="B14590" t="s">
        <v>1298</v>
      </c>
      <c r="C14590" t="s">
        <v>652</v>
      </c>
      <c r="D14590" t="s">
        <v>1449</v>
      </c>
      <c r="E14590" t="s">
        <v>187</v>
      </c>
      <c r="F14590">
        <v>2016</v>
      </c>
      <c r="G14590">
        <v>19.57572</v>
      </c>
    </row>
    <row r="14591" spans="1:7">
      <c r="A14591" t="s">
        <v>1297</v>
      </c>
      <c r="B14591" t="s">
        <v>1298</v>
      </c>
      <c r="C14591" t="s">
        <v>652</v>
      </c>
      <c r="D14591" t="s">
        <v>1449</v>
      </c>
      <c r="E14591" t="s">
        <v>187</v>
      </c>
      <c r="F14591">
        <v>2020</v>
      </c>
      <c r="G14591">
        <v>35.012160000000002</v>
      </c>
    </row>
    <row r="14592" spans="1:7">
      <c r="A14592" t="s">
        <v>1297</v>
      </c>
      <c r="B14592" t="s">
        <v>1298</v>
      </c>
      <c r="C14592" t="s">
        <v>674</v>
      </c>
      <c r="D14592" t="s">
        <v>1449</v>
      </c>
      <c r="E14592" t="s">
        <v>187</v>
      </c>
      <c r="F14592">
        <v>2005</v>
      </c>
      <c r="G14592">
        <v>3.3660000000000001</v>
      </c>
    </row>
    <row r="14593" spans="1:7">
      <c r="A14593" t="s">
        <v>1297</v>
      </c>
      <c r="B14593" t="s">
        <v>1298</v>
      </c>
      <c r="C14593" t="s">
        <v>674</v>
      </c>
      <c r="D14593" t="s">
        <v>1449</v>
      </c>
      <c r="E14593" t="s">
        <v>187</v>
      </c>
      <c r="F14593">
        <v>2010</v>
      </c>
      <c r="G14593">
        <v>12.5532</v>
      </c>
    </row>
    <row r="14594" spans="1:7">
      <c r="A14594" t="s">
        <v>1297</v>
      </c>
      <c r="B14594" t="s">
        <v>1298</v>
      </c>
      <c r="C14594" t="s">
        <v>674</v>
      </c>
      <c r="D14594" t="s">
        <v>1449</v>
      </c>
      <c r="E14594" t="s">
        <v>187</v>
      </c>
      <c r="F14594">
        <v>2012</v>
      </c>
      <c r="G14594">
        <v>25.790400000000002</v>
      </c>
    </row>
    <row r="14595" spans="1:7">
      <c r="A14595" t="s">
        <v>1297</v>
      </c>
      <c r="B14595" t="s">
        <v>1298</v>
      </c>
      <c r="C14595" t="s">
        <v>674</v>
      </c>
      <c r="D14595" t="s">
        <v>1449</v>
      </c>
      <c r="E14595" t="s">
        <v>187</v>
      </c>
      <c r="F14595">
        <v>2016</v>
      </c>
      <c r="G14595">
        <v>55.724400000000003</v>
      </c>
    </row>
    <row r="14596" spans="1:7">
      <c r="A14596" t="s">
        <v>1297</v>
      </c>
      <c r="B14596" t="s">
        <v>1298</v>
      </c>
      <c r="C14596" t="s">
        <v>674</v>
      </c>
      <c r="D14596" t="s">
        <v>1449</v>
      </c>
      <c r="E14596" t="s">
        <v>187</v>
      </c>
      <c r="F14596">
        <v>2020</v>
      </c>
      <c r="G14596">
        <v>71.449200000000005</v>
      </c>
    </row>
    <row r="14597" spans="1:7">
      <c r="A14597" t="s">
        <v>1297</v>
      </c>
      <c r="B14597" t="s">
        <v>1298</v>
      </c>
      <c r="C14597" t="s">
        <v>669</v>
      </c>
      <c r="D14597" t="s">
        <v>1449</v>
      </c>
      <c r="E14597" t="s">
        <v>187</v>
      </c>
      <c r="F14597">
        <v>2012</v>
      </c>
      <c r="G14597">
        <v>2.7E-4</v>
      </c>
    </row>
    <row r="14598" spans="1:7">
      <c r="A14598" t="s">
        <v>1297</v>
      </c>
      <c r="B14598" t="s">
        <v>1298</v>
      </c>
      <c r="C14598" t="s">
        <v>669</v>
      </c>
      <c r="D14598" t="s">
        <v>1449</v>
      </c>
      <c r="E14598" t="s">
        <v>187</v>
      </c>
      <c r="F14598">
        <v>2016</v>
      </c>
      <c r="G14598">
        <v>2.0900000000000001E-4</v>
      </c>
    </row>
    <row r="14599" spans="1:7">
      <c r="A14599" t="s">
        <v>1297</v>
      </c>
      <c r="B14599" t="s">
        <v>1298</v>
      </c>
      <c r="C14599" t="s">
        <v>669</v>
      </c>
      <c r="D14599" t="s">
        <v>1449</v>
      </c>
      <c r="E14599" t="s">
        <v>187</v>
      </c>
      <c r="F14599">
        <v>2020</v>
      </c>
      <c r="G14599">
        <v>2.0900000000000001E-4</v>
      </c>
    </row>
    <row r="14600" spans="1:7">
      <c r="A14600" t="s">
        <v>1297</v>
      </c>
      <c r="B14600" t="s">
        <v>1298</v>
      </c>
      <c r="C14600" t="s">
        <v>658</v>
      </c>
      <c r="D14600" t="s">
        <v>1449</v>
      </c>
      <c r="E14600" t="s">
        <v>187</v>
      </c>
      <c r="F14600">
        <v>2005</v>
      </c>
      <c r="G14600">
        <v>0.19439999999999999</v>
      </c>
    </row>
    <row r="14601" spans="1:7">
      <c r="A14601" t="s">
        <v>1297</v>
      </c>
      <c r="B14601" t="s">
        <v>1298</v>
      </c>
      <c r="C14601" t="s">
        <v>658</v>
      </c>
      <c r="D14601" t="s">
        <v>1449</v>
      </c>
      <c r="E14601" t="s">
        <v>187</v>
      </c>
      <c r="F14601">
        <v>2010</v>
      </c>
      <c r="G14601">
        <v>0.99717100000000003</v>
      </c>
    </row>
    <row r="14602" spans="1:7">
      <c r="A14602" t="s">
        <v>1297</v>
      </c>
      <c r="B14602" t="s">
        <v>1298</v>
      </c>
      <c r="C14602" t="s">
        <v>658</v>
      </c>
      <c r="D14602" t="s">
        <v>1449</v>
      </c>
      <c r="E14602" t="s">
        <v>187</v>
      </c>
      <c r="F14602">
        <v>2012</v>
      </c>
      <c r="G14602">
        <v>1.5606610000000001</v>
      </c>
    </row>
    <row r="14603" spans="1:7">
      <c r="A14603" t="s">
        <v>1297</v>
      </c>
      <c r="B14603" t="s">
        <v>1298</v>
      </c>
      <c r="C14603" t="s">
        <v>658</v>
      </c>
      <c r="D14603" t="s">
        <v>1449</v>
      </c>
      <c r="E14603" t="s">
        <v>187</v>
      </c>
      <c r="F14603">
        <v>2016</v>
      </c>
      <c r="G14603">
        <v>2.1383999999999999</v>
      </c>
    </row>
    <row r="14604" spans="1:7">
      <c r="A14604" t="s">
        <v>1297</v>
      </c>
      <c r="B14604" t="s">
        <v>1298</v>
      </c>
      <c r="C14604" t="s">
        <v>658</v>
      </c>
      <c r="D14604" t="s">
        <v>1449</v>
      </c>
      <c r="E14604" t="s">
        <v>187</v>
      </c>
      <c r="F14604">
        <v>2020</v>
      </c>
      <c r="G14604">
        <v>2.4731999999999998</v>
      </c>
    </row>
    <row r="14605" spans="1:7">
      <c r="A14605" t="s">
        <v>1297</v>
      </c>
      <c r="B14605" t="s">
        <v>1298</v>
      </c>
      <c r="C14605" t="s">
        <v>657</v>
      </c>
      <c r="D14605" t="s">
        <v>1449</v>
      </c>
      <c r="E14605" t="s">
        <v>187</v>
      </c>
      <c r="F14605">
        <v>2005</v>
      </c>
      <c r="G14605">
        <v>23.810400000000001</v>
      </c>
    </row>
    <row r="14606" spans="1:7">
      <c r="A14606" t="s">
        <v>1297</v>
      </c>
      <c r="B14606" t="s">
        <v>1298</v>
      </c>
      <c r="C14606" t="s">
        <v>289</v>
      </c>
      <c r="D14606" t="s">
        <v>1449</v>
      </c>
      <c r="E14606" t="s">
        <v>187</v>
      </c>
      <c r="F14606">
        <v>2016</v>
      </c>
      <c r="G14606">
        <v>3.6512929999999999</v>
      </c>
    </row>
    <row r="14607" spans="1:7">
      <c r="A14607" t="s">
        <v>1297</v>
      </c>
      <c r="B14607" t="s">
        <v>1298</v>
      </c>
      <c r="C14607" t="s">
        <v>289</v>
      </c>
      <c r="D14607" t="s">
        <v>1449</v>
      </c>
      <c r="E14607" t="s">
        <v>187</v>
      </c>
      <c r="F14607">
        <v>2020</v>
      </c>
      <c r="G14607">
        <v>5.2822800000000001</v>
      </c>
    </row>
    <row r="14608" spans="1:7">
      <c r="A14608" t="s">
        <v>1297</v>
      </c>
      <c r="B14608" t="s">
        <v>1298</v>
      </c>
      <c r="C14608" t="s">
        <v>651</v>
      </c>
      <c r="D14608" t="s">
        <v>1449</v>
      </c>
      <c r="E14608" t="s">
        <v>187</v>
      </c>
      <c r="F14608">
        <v>2005</v>
      </c>
      <c r="G14608">
        <v>4.7925969999999998</v>
      </c>
    </row>
    <row r="14609" spans="1:7">
      <c r="A14609" t="s">
        <v>1297</v>
      </c>
      <c r="B14609" t="s">
        <v>1298</v>
      </c>
      <c r="C14609" t="s">
        <v>651</v>
      </c>
      <c r="D14609" t="s">
        <v>1449</v>
      </c>
      <c r="E14609" t="s">
        <v>187</v>
      </c>
      <c r="F14609">
        <v>2010</v>
      </c>
      <c r="G14609">
        <v>7.4300899999999999</v>
      </c>
    </row>
    <row r="14610" spans="1:7">
      <c r="A14610" t="s">
        <v>1297</v>
      </c>
      <c r="B14610" t="s">
        <v>1298</v>
      </c>
      <c r="C14610" t="s">
        <v>651</v>
      </c>
      <c r="D14610" t="s">
        <v>1449</v>
      </c>
      <c r="E14610" t="s">
        <v>187</v>
      </c>
      <c r="F14610">
        <v>2012</v>
      </c>
      <c r="G14610">
        <v>8.8663100000000004</v>
      </c>
    </row>
    <row r="14611" spans="1:7">
      <c r="A14611" t="s">
        <v>1297</v>
      </c>
      <c r="B14611" t="s">
        <v>1298</v>
      </c>
      <c r="C14611" t="s">
        <v>651</v>
      </c>
      <c r="D14611" t="s">
        <v>1449</v>
      </c>
      <c r="E14611" t="s">
        <v>187</v>
      </c>
      <c r="F14611">
        <v>2016</v>
      </c>
      <c r="G14611">
        <v>18.845417000000001</v>
      </c>
    </row>
    <row r="14612" spans="1:7">
      <c r="A14612" t="s">
        <v>1297</v>
      </c>
      <c r="B14612" t="s">
        <v>1298</v>
      </c>
      <c r="C14612" t="s">
        <v>651</v>
      </c>
      <c r="D14612" t="s">
        <v>1449</v>
      </c>
      <c r="E14612" t="s">
        <v>187</v>
      </c>
      <c r="F14612">
        <v>2020</v>
      </c>
      <c r="G14612">
        <v>26.918507000000002</v>
      </c>
    </row>
    <row r="14613" spans="1:7">
      <c r="A14613" t="s">
        <v>1297</v>
      </c>
      <c r="B14613" t="s">
        <v>1298</v>
      </c>
      <c r="C14613" t="s">
        <v>677</v>
      </c>
      <c r="D14613" t="s">
        <v>1449</v>
      </c>
      <c r="E14613" t="s">
        <v>187</v>
      </c>
      <c r="F14613">
        <v>2005</v>
      </c>
      <c r="G14613">
        <v>10.454010999999999</v>
      </c>
    </row>
    <row r="14614" spans="1:7">
      <c r="A14614" t="s">
        <v>1297</v>
      </c>
      <c r="B14614" t="s">
        <v>1298</v>
      </c>
      <c r="C14614" t="s">
        <v>677</v>
      </c>
      <c r="D14614" t="s">
        <v>1449</v>
      </c>
      <c r="E14614" t="s">
        <v>187</v>
      </c>
      <c r="F14614">
        <v>2010</v>
      </c>
      <c r="G14614">
        <v>37.028303999999999</v>
      </c>
    </row>
    <row r="14615" spans="1:7">
      <c r="A14615" t="s">
        <v>1297</v>
      </c>
      <c r="B14615" t="s">
        <v>1298</v>
      </c>
      <c r="C14615" t="s">
        <v>677</v>
      </c>
      <c r="D14615" t="s">
        <v>1449</v>
      </c>
      <c r="E14615" t="s">
        <v>187</v>
      </c>
      <c r="F14615">
        <v>2012</v>
      </c>
      <c r="G14615">
        <v>71.449639000000005</v>
      </c>
    </row>
    <row r="14616" spans="1:7">
      <c r="A14616" t="s">
        <v>1297</v>
      </c>
      <c r="B14616" t="s">
        <v>1298</v>
      </c>
      <c r="C14616" t="s">
        <v>677</v>
      </c>
      <c r="D14616" t="s">
        <v>1449</v>
      </c>
      <c r="E14616" t="s">
        <v>187</v>
      </c>
      <c r="F14616">
        <v>2016</v>
      </c>
      <c r="G14616">
        <v>133.77391900000001</v>
      </c>
    </row>
    <row r="14617" spans="1:7">
      <c r="A14617" t="s">
        <v>1297</v>
      </c>
      <c r="B14617" t="s">
        <v>1298</v>
      </c>
      <c r="C14617" t="s">
        <v>677</v>
      </c>
      <c r="D14617" t="s">
        <v>1449</v>
      </c>
      <c r="E14617" t="s">
        <v>187</v>
      </c>
      <c r="F14617">
        <v>2020</v>
      </c>
      <c r="G14617">
        <v>231.60543799999999</v>
      </c>
    </row>
    <row r="14618" spans="1:7">
      <c r="A14618" t="s">
        <v>1297</v>
      </c>
      <c r="B14618" t="s">
        <v>1298</v>
      </c>
      <c r="C14618" t="s">
        <v>676</v>
      </c>
      <c r="D14618" t="s">
        <v>1449</v>
      </c>
      <c r="E14618" t="s">
        <v>187</v>
      </c>
      <c r="F14618">
        <v>2005</v>
      </c>
      <c r="G14618">
        <v>2.1600000000000001E-2</v>
      </c>
    </row>
    <row r="14619" spans="1:7">
      <c r="A14619" t="s">
        <v>1297</v>
      </c>
      <c r="B14619" t="s">
        <v>1298</v>
      </c>
      <c r="C14619" t="s">
        <v>676</v>
      </c>
      <c r="D14619" t="s">
        <v>1449</v>
      </c>
      <c r="E14619" t="s">
        <v>187</v>
      </c>
      <c r="F14619">
        <v>2010</v>
      </c>
      <c r="G14619">
        <v>2.1600000000000001E-2</v>
      </c>
    </row>
    <row r="14620" spans="1:7">
      <c r="A14620" t="s">
        <v>1297</v>
      </c>
      <c r="B14620" t="s">
        <v>1298</v>
      </c>
      <c r="C14620" t="s">
        <v>676</v>
      </c>
      <c r="D14620" t="s">
        <v>1449</v>
      </c>
      <c r="E14620" t="s">
        <v>187</v>
      </c>
      <c r="F14620">
        <v>2012</v>
      </c>
      <c r="G14620">
        <v>2.1600000000000001E-2</v>
      </c>
    </row>
    <row r="14621" spans="1:7">
      <c r="A14621" t="s">
        <v>1297</v>
      </c>
      <c r="B14621" t="s">
        <v>1298</v>
      </c>
      <c r="C14621" t="s">
        <v>676</v>
      </c>
      <c r="D14621" t="s">
        <v>1449</v>
      </c>
      <c r="E14621" t="s">
        <v>187</v>
      </c>
      <c r="F14621">
        <v>2016</v>
      </c>
      <c r="G14621">
        <v>2.1600000000000001E-2</v>
      </c>
    </row>
    <row r="14622" spans="1:7">
      <c r="A14622" t="s">
        <v>1297</v>
      </c>
      <c r="B14622" t="s">
        <v>1298</v>
      </c>
      <c r="C14622" t="s">
        <v>676</v>
      </c>
      <c r="D14622" t="s">
        <v>1449</v>
      </c>
      <c r="E14622" t="s">
        <v>187</v>
      </c>
      <c r="F14622">
        <v>2020</v>
      </c>
      <c r="G14622">
        <v>2.1600000000000001E-2</v>
      </c>
    </row>
    <row r="14623" spans="1:7">
      <c r="A14623" t="s">
        <v>1297</v>
      </c>
      <c r="B14623" t="s">
        <v>1298</v>
      </c>
      <c r="C14623" t="s">
        <v>653</v>
      </c>
      <c r="D14623" t="s">
        <v>1449</v>
      </c>
      <c r="E14623" t="s">
        <v>187</v>
      </c>
      <c r="F14623">
        <v>2005</v>
      </c>
      <c r="G14623">
        <v>1.6513E-2</v>
      </c>
    </row>
    <row r="14624" spans="1:7">
      <c r="A14624" t="s">
        <v>1297</v>
      </c>
      <c r="B14624" t="s">
        <v>1298</v>
      </c>
      <c r="C14624" t="s">
        <v>653</v>
      </c>
      <c r="D14624" t="s">
        <v>1449</v>
      </c>
      <c r="E14624" t="s">
        <v>187</v>
      </c>
      <c r="F14624">
        <v>2010</v>
      </c>
      <c r="G14624">
        <v>2.452928</v>
      </c>
    </row>
    <row r="14625" spans="1:7">
      <c r="A14625" t="s">
        <v>1297</v>
      </c>
      <c r="B14625" t="s">
        <v>1298</v>
      </c>
      <c r="C14625" t="s">
        <v>653</v>
      </c>
      <c r="D14625" t="s">
        <v>1449</v>
      </c>
      <c r="E14625" t="s">
        <v>187</v>
      </c>
      <c r="F14625">
        <v>2012</v>
      </c>
      <c r="G14625">
        <v>4.3952330000000002</v>
      </c>
    </row>
    <row r="14626" spans="1:7">
      <c r="A14626" t="s">
        <v>1297</v>
      </c>
      <c r="B14626" t="s">
        <v>1298</v>
      </c>
      <c r="C14626" t="s">
        <v>653</v>
      </c>
      <c r="D14626" t="s">
        <v>1449</v>
      </c>
      <c r="E14626" t="s">
        <v>187</v>
      </c>
      <c r="F14626">
        <v>2016</v>
      </c>
      <c r="G14626">
        <v>5.1298919999999999</v>
      </c>
    </row>
    <row r="14627" spans="1:7">
      <c r="A14627" t="s">
        <v>1297</v>
      </c>
      <c r="B14627" t="s">
        <v>1298</v>
      </c>
      <c r="C14627" t="s">
        <v>653</v>
      </c>
      <c r="D14627" t="s">
        <v>1449</v>
      </c>
      <c r="E14627" t="s">
        <v>187</v>
      </c>
      <c r="F14627">
        <v>2020</v>
      </c>
      <c r="G14627">
        <v>4.7411570000000003</v>
      </c>
    </row>
    <row r="14628" spans="1:7">
      <c r="A14628" t="s">
        <v>1297</v>
      </c>
      <c r="B14628" t="s">
        <v>1298</v>
      </c>
      <c r="C14628" t="s">
        <v>661</v>
      </c>
      <c r="D14628" t="s">
        <v>1449</v>
      </c>
      <c r="E14628" t="s">
        <v>187</v>
      </c>
      <c r="F14628">
        <v>2005</v>
      </c>
      <c r="G14628">
        <v>3.465252</v>
      </c>
    </row>
    <row r="14629" spans="1:7">
      <c r="A14629" t="s">
        <v>1297</v>
      </c>
      <c r="B14629" t="s">
        <v>1298</v>
      </c>
      <c r="C14629" t="s">
        <v>661</v>
      </c>
      <c r="D14629" t="s">
        <v>1449</v>
      </c>
      <c r="E14629" t="s">
        <v>187</v>
      </c>
      <c r="F14629">
        <v>2010</v>
      </c>
      <c r="G14629">
        <v>35.801963999999998</v>
      </c>
    </row>
    <row r="14630" spans="1:7">
      <c r="A14630" t="s">
        <v>1297</v>
      </c>
      <c r="B14630" t="s">
        <v>1298</v>
      </c>
      <c r="C14630" t="s">
        <v>661</v>
      </c>
      <c r="D14630" t="s">
        <v>1449</v>
      </c>
      <c r="E14630" t="s">
        <v>187</v>
      </c>
      <c r="F14630">
        <v>2012</v>
      </c>
      <c r="G14630">
        <v>54.642240000000001</v>
      </c>
    </row>
    <row r="14631" spans="1:7">
      <c r="A14631" t="s">
        <v>1297</v>
      </c>
      <c r="B14631" t="s">
        <v>1298</v>
      </c>
      <c r="C14631" t="s">
        <v>661</v>
      </c>
      <c r="D14631" t="s">
        <v>1449</v>
      </c>
      <c r="E14631" t="s">
        <v>187</v>
      </c>
      <c r="F14631">
        <v>2016</v>
      </c>
      <c r="G14631">
        <v>76.971541999999999</v>
      </c>
    </row>
    <row r="14632" spans="1:7">
      <c r="A14632" t="s">
        <v>1297</v>
      </c>
      <c r="B14632" t="s">
        <v>1298</v>
      </c>
      <c r="C14632" t="s">
        <v>661</v>
      </c>
      <c r="D14632" t="s">
        <v>1449</v>
      </c>
      <c r="E14632" t="s">
        <v>187</v>
      </c>
      <c r="F14632">
        <v>2020</v>
      </c>
      <c r="G14632">
        <v>124.998062</v>
      </c>
    </row>
    <row r="14633" spans="1:7">
      <c r="A14633" t="s">
        <v>1297</v>
      </c>
      <c r="B14633" t="s">
        <v>1298</v>
      </c>
      <c r="C14633" t="s">
        <v>659</v>
      </c>
      <c r="D14633" t="s">
        <v>1449</v>
      </c>
      <c r="E14633" t="s">
        <v>187</v>
      </c>
      <c r="F14633">
        <v>2005</v>
      </c>
      <c r="G14633">
        <v>76.233599999999996</v>
      </c>
    </row>
    <row r="14634" spans="1:7">
      <c r="A14634" t="s">
        <v>1297</v>
      </c>
      <c r="B14634" t="s">
        <v>1298</v>
      </c>
      <c r="C14634" t="s">
        <v>659</v>
      </c>
      <c r="D14634" t="s">
        <v>1449</v>
      </c>
      <c r="E14634" t="s">
        <v>187</v>
      </c>
      <c r="F14634">
        <v>2010</v>
      </c>
      <c r="G14634">
        <v>159.37559999999999</v>
      </c>
    </row>
    <row r="14635" spans="1:7">
      <c r="A14635" t="s">
        <v>1297</v>
      </c>
      <c r="B14635" t="s">
        <v>1298</v>
      </c>
      <c r="C14635" t="s">
        <v>659</v>
      </c>
      <c r="D14635" t="s">
        <v>1449</v>
      </c>
      <c r="E14635" t="s">
        <v>187</v>
      </c>
      <c r="F14635">
        <v>2012</v>
      </c>
      <c r="G14635">
        <v>178.0992</v>
      </c>
    </row>
    <row r="14636" spans="1:7">
      <c r="A14636" t="s">
        <v>1297</v>
      </c>
      <c r="B14636" t="s">
        <v>1298</v>
      </c>
      <c r="C14636" t="s">
        <v>659</v>
      </c>
      <c r="D14636" t="s">
        <v>1449</v>
      </c>
      <c r="E14636" t="s">
        <v>187</v>
      </c>
      <c r="F14636">
        <v>2016</v>
      </c>
      <c r="G14636">
        <v>176.05799999999999</v>
      </c>
    </row>
    <row r="14637" spans="1:7">
      <c r="A14637" t="s">
        <v>1297</v>
      </c>
      <c r="B14637" t="s">
        <v>1298</v>
      </c>
      <c r="C14637" t="s">
        <v>659</v>
      </c>
      <c r="D14637" t="s">
        <v>1449</v>
      </c>
      <c r="E14637" t="s">
        <v>187</v>
      </c>
      <c r="F14637">
        <v>2020</v>
      </c>
      <c r="G14637">
        <v>200.32919999999999</v>
      </c>
    </row>
    <row r="14638" spans="1:7">
      <c r="A14638" t="s">
        <v>1297</v>
      </c>
      <c r="B14638" t="s">
        <v>1298</v>
      </c>
      <c r="C14638" t="s">
        <v>664</v>
      </c>
      <c r="D14638" t="s">
        <v>1449</v>
      </c>
      <c r="E14638" t="s">
        <v>187</v>
      </c>
      <c r="F14638">
        <v>2005</v>
      </c>
      <c r="G14638">
        <v>4.0028759999999997</v>
      </c>
    </row>
    <row r="14639" spans="1:7">
      <c r="A14639" t="s">
        <v>1297</v>
      </c>
      <c r="B14639" t="s">
        <v>1298</v>
      </c>
      <c r="C14639" t="s">
        <v>664</v>
      </c>
      <c r="D14639" t="s">
        <v>1449</v>
      </c>
      <c r="E14639" t="s">
        <v>187</v>
      </c>
      <c r="F14639">
        <v>2010</v>
      </c>
      <c r="G14639">
        <v>10.132771999999999</v>
      </c>
    </row>
    <row r="14640" spans="1:7">
      <c r="A14640" t="s">
        <v>1297</v>
      </c>
      <c r="B14640" t="s">
        <v>1298</v>
      </c>
      <c r="C14640" t="s">
        <v>664</v>
      </c>
      <c r="D14640" t="s">
        <v>1449</v>
      </c>
      <c r="E14640" t="s">
        <v>187</v>
      </c>
      <c r="F14640">
        <v>2012</v>
      </c>
      <c r="G14640">
        <v>14.437721</v>
      </c>
    </row>
    <row r="14641" spans="1:7">
      <c r="A14641" t="s">
        <v>1297</v>
      </c>
      <c r="B14641" t="s">
        <v>1298</v>
      </c>
      <c r="C14641" t="s">
        <v>664</v>
      </c>
      <c r="D14641" t="s">
        <v>1449</v>
      </c>
      <c r="E14641" t="s">
        <v>187</v>
      </c>
      <c r="F14641">
        <v>2016</v>
      </c>
      <c r="G14641">
        <v>22.129355</v>
      </c>
    </row>
    <row r="14642" spans="1:7">
      <c r="A14642" t="s">
        <v>1297</v>
      </c>
      <c r="B14642" t="s">
        <v>1298</v>
      </c>
      <c r="C14642" t="s">
        <v>664</v>
      </c>
      <c r="D14642" t="s">
        <v>1449</v>
      </c>
      <c r="E14642" t="s">
        <v>187</v>
      </c>
      <c r="F14642">
        <v>2020</v>
      </c>
      <c r="G14642">
        <v>36.070146000000001</v>
      </c>
    </row>
    <row r="14643" spans="1:7">
      <c r="A14643" t="s">
        <v>1297</v>
      </c>
      <c r="B14643" t="s">
        <v>1298</v>
      </c>
      <c r="C14643" t="s">
        <v>682</v>
      </c>
      <c r="D14643" t="s">
        <v>1449</v>
      </c>
      <c r="E14643" t="s">
        <v>187</v>
      </c>
      <c r="F14643">
        <v>2020</v>
      </c>
      <c r="G14643">
        <v>0.91439999999999999</v>
      </c>
    </row>
    <row r="14644" spans="1:7">
      <c r="A14644" t="s">
        <v>1297</v>
      </c>
      <c r="B14644" t="s">
        <v>1298</v>
      </c>
      <c r="C14644" t="s">
        <v>684</v>
      </c>
      <c r="D14644" t="s">
        <v>1449</v>
      </c>
      <c r="E14644" t="s">
        <v>187</v>
      </c>
      <c r="F14644">
        <v>2020</v>
      </c>
      <c r="G14644">
        <v>1.0562400000000001</v>
      </c>
    </row>
    <row r="14645" spans="1:7">
      <c r="A14645" t="s">
        <v>1297</v>
      </c>
      <c r="B14645" t="s">
        <v>1298</v>
      </c>
      <c r="C14645" t="s">
        <v>666</v>
      </c>
      <c r="D14645" t="s">
        <v>1449</v>
      </c>
      <c r="E14645" t="s">
        <v>187</v>
      </c>
      <c r="F14645">
        <v>2005</v>
      </c>
      <c r="G14645">
        <v>7.1999999999999998E-3</v>
      </c>
    </row>
    <row r="14646" spans="1:7">
      <c r="A14646" t="s">
        <v>1297</v>
      </c>
      <c r="B14646" t="s">
        <v>1298</v>
      </c>
      <c r="C14646" t="s">
        <v>666</v>
      </c>
      <c r="D14646" t="s">
        <v>1449</v>
      </c>
      <c r="E14646" t="s">
        <v>187</v>
      </c>
      <c r="F14646">
        <v>2010</v>
      </c>
      <c r="G14646">
        <v>0.80640000000000001</v>
      </c>
    </row>
    <row r="14647" spans="1:7">
      <c r="A14647" t="s">
        <v>1297</v>
      </c>
      <c r="B14647" t="s">
        <v>1298</v>
      </c>
      <c r="C14647" t="s">
        <v>666</v>
      </c>
      <c r="D14647" t="s">
        <v>1449</v>
      </c>
      <c r="E14647" t="s">
        <v>187</v>
      </c>
      <c r="F14647">
        <v>2012</v>
      </c>
      <c r="G14647">
        <v>1.944</v>
      </c>
    </row>
    <row r="14648" spans="1:7">
      <c r="A14648" t="s">
        <v>1297</v>
      </c>
      <c r="B14648" t="s">
        <v>1298</v>
      </c>
      <c r="C14648" t="s">
        <v>666</v>
      </c>
      <c r="D14648" t="s">
        <v>1449</v>
      </c>
      <c r="E14648" t="s">
        <v>187</v>
      </c>
      <c r="F14648">
        <v>2016</v>
      </c>
      <c r="G14648">
        <v>4.0895999999999999</v>
      </c>
    </row>
    <row r="14649" spans="1:7">
      <c r="A14649" t="s">
        <v>1297</v>
      </c>
      <c r="B14649" t="s">
        <v>1298</v>
      </c>
      <c r="C14649" t="s">
        <v>666</v>
      </c>
      <c r="D14649" t="s">
        <v>1449</v>
      </c>
      <c r="E14649" t="s">
        <v>187</v>
      </c>
      <c r="F14649">
        <v>2020</v>
      </c>
      <c r="G14649">
        <v>5.3978400000000004</v>
      </c>
    </row>
    <row r="14650" spans="1:7">
      <c r="A14650" t="s">
        <v>1297</v>
      </c>
      <c r="B14650" t="s">
        <v>1298</v>
      </c>
      <c r="C14650" t="s">
        <v>1302</v>
      </c>
      <c r="D14650" t="s">
        <v>1449</v>
      </c>
      <c r="E14650" t="s">
        <v>187</v>
      </c>
      <c r="F14650">
        <v>2010</v>
      </c>
      <c r="G14650">
        <v>3.5999999999999999E-3</v>
      </c>
    </row>
    <row r="14651" spans="1:7">
      <c r="A14651" t="s">
        <v>1297</v>
      </c>
      <c r="B14651" t="s">
        <v>1298</v>
      </c>
      <c r="C14651" t="s">
        <v>1302</v>
      </c>
      <c r="D14651" t="s">
        <v>1449</v>
      </c>
      <c r="E14651" t="s">
        <v>187</v>
      </c>
      <c r="F14651">
        <v>2016</v>
      </c>
      <c r="G14651">
        <v>4.2499999999999998E-4</v>
      </c>
    </row>
    <row r="14652" spans="1:7">
      <c r="A14652" t="s">
        <v>1297</v>
      </c>
      <c r="B14652" t="s">
        <v>1298</v>
      </c>
      <c r="C14652" t="s">
        <v>1302</v>
      </c>
      <c r="D14652" t="s">
        <v>1449</v>
      </c>
      <c r="E14652" t="s">
        <v>187</v>
      </c>
      <c r="F14652">
        <v>2020</v>
      </c>
      <c r="G14652">
        <v>0.32633600000000001</v>
      </c>
    </row>
    <row r="14653" spans="1:7">
      <c r="A14653" t="s">
        <v>1297</v>
      </c>
      <c r="B14653" t="s">
        <v>1298</v>
      </c>
      <c r="C14653" t="s">
        <v>1299</v>
      </c>
      <c r="D14653" t="s">
        <v>1449</v>
      </c>
      <c r="E14653" t="s">
        <v>187</v>
      </c>
      <c r="F14653">
        <v>2005</v>
      </c>
      <c r="G14653">
        <v>0.13536000000000001</v>
      </c>
    </row>
    <row r="14654" spans="1:7">
      <c r="A14654" t="s">
        <v>1297</v>
      </c>
      <c r="B14654" t="s">
        <v>1298</v>
      </c>
      <c r="C14654" t="s">
        <v>1299</v>
      </c>
      <c r="D14654" t="s">
        <v>1449</v>
      </c>
      <c r="E14654" t="s">
        <v>187</v>
      </c>
      <c r="F14654">
        <v>2010</v>
      </c>
      <c r="G14654">
        <v>0.18323999999999999</v>
      </c>
    </row>
    <row r="14655" spans="1:7">
      <c r="A14655" t="s">
        <v>1297</v>
      </c>
      <c r="B14655" t="s">
        <v>1298</v>
      </c>
      <c r="C14655" t="s">
        <v>1299</v>
      </c>
      <c r="D14655" t="s">
        <v>1449</v>
      </c>
      <c r="E14655" t="s">
        <v>187</v>
      </c>
      <c r="F14655">
        <v>2012</v>
      </c>
      <c r="G14655">
        <v>1.03752</v>
      </c>
    </row>
    <row r="14656" spans="1:7">
      <c r="A14656" t="s">
        <v>1297</v>
      </c>
      <c r="B14656" t="s">
        <v>1298</v>
      </c>
      <c r="C14656" t="s">
        <v>1299</v>
      </c>
      <c r="D14656" t="s">
        <v>1449</v>
      </c>
      <c r="E14656" t="s">
        <v>187</v>
      </c>
      <c r="F14656">
        <v>2016</v>
      </c>
      <c r="G14656">
        <v>3.4336799999999998</v>
      </c>
    </row>
    <row r="14657" spans="1:7">
      <c r="A14657" t="s">
        <v>1297</v>
      </c>
      <c r="B14657" t="s">
        <v>1298</v>
      </c>
      <c r="C14657" t="s">
        <v>1299</v>
      </c>
      <c r="D14657" t="s">
        <v>1449</v>
      </c>
      <c r="E14657" t="s">
        <v>187</v>
      </c>
      <c r="F14657">
        <v>2020</v>
      </c>
      <c r="G14657">
        <v>7.2727199999999996</v>
      </c>
    </row>
    <row r="14658" spans="1:7">
      <c r="A14658" t="s">
        <v>1297</v>
      </c>
      <c r="B14658" t="s">
        <v>1298</v>
      </c>
      <c r="C14658" t="s">
        <v>655</v>
      </c>
      <c r="D14658" t="s">
        <v>1449</v>
      </c>
      <c r="E14658" t="s">
        <v>187</v>
      </c>
      <c r="F14658">
        <v>2005</v>
      </c>
      <c r="G14658">
        <v>7.6607999999999996E-2</v>
      </c>
    </row>
    <row r="14659" spans="1:7">
      <c r="A14659" t="s">
        <v>1297</v>
      </c>
      <c r="B14659" t="s">
        <v>1298</v>
      </c>
      <c r="C14659" t="s">
        <v>655</v>
      </c>
      <c r="D14659" t="s">
        <v>1449</v>
      </c>
      <c r="E14659" t="s">
        <v>187</v>
      </c>
      <c r="F14659">
        <v>2010</v>
      </c>
      <c r="G14659">
        <v>1.207775</v>
      </c>
    </row>
    <row r="14660" spans="1:7">
      <c r="A14660" t="s">
        <v>1297</v>
      </c>
      <c r="B14660" t="s">
        <v>1298</v>
      </c>
      <c r="C14660" t="s">
        <v>655</v>
      </c>
      <c r="D14660" t="s">
        <v>1449</v>
      </c>
      <c r="E14660" t="s">
        <v>187</v>
      </c>
      <c r="F14660">
        <v>2012</v>
      </c>
      <c r="G14660">
        <v>1.4969410000000001</v>
      </c>
    </row>
    <row r="14661" spans="1:7">
      <c r="A14661" t="s">
        <v>1297</v>
      </c>
      <c r="B14661" t="s">
        <v>1298</v>
      </c>
      <c r="C14661" t="s">
        <v>655</v>
      </c>
      <c r="D14661" t="s">
        <v>1449</v>
      </c>
      <c r="E14661" t="s">
        <v>187</v>
      </c>
      <c r="F14661">
        <v>2016</v>
      </c>
      <c r="G14661">
        <v>1.789045</v>
      </c>
    </row>
    <row r="14662" spans="1:7">
      <c r="A14662" t="s">
        <v>1297</v>
      </c>
      <c r="B14662" t="s">
        <v>1298</v>
      </c>
      <c r="C14662" t="s">
        <v>655</v>
      </c>
      <c r="D14662" t="s">
        <v>1449</v>
      </c>
      <c r="E14662" t="s">
        <v>187</v>
      </c>
      <c r="F14662">
        <v>2020</v>
      </c>
      <c r="G14662">
        <v>2.5200499999999999</v>
      </c>
    </row>
    <row r="14663" spans="1:7">
      <c r="A14663" t="s">
        <v>1297</v>
      </c>
      <c r="B14663" t="s">
        <v>1298</v>
      </c>
      <c r="C14663" t="s">
        <v>685</v>
      </c>
      <c r="D14663" t="s">
        <v>1449</v>
      </c>
      <c r="E14663" t="s">
        <v>187</v>
      </c>
      <c r="F14663">
        <v>2016</v>
      </c>
      <c r="G14663">
        <v>0.39413500000000001</v>
      </c>
    </row>
    <row r="14664" spans="1:7">
      <c r="A14664" t="s">
        <v>1297</v>
      </c>
      <c r="B14664" t="s">
        <v>1298</v>
      </c>
      <c r="C14664" t="s">
        <v>685</v>
      </c>
      <c r="D14664" t="s">
        <v>1449</v>
      </c>
      <c r="E14664" t="s">
        <v>187</v>
      </c>
      <c r="F14664">
        <v>2020</v>
      </c>
      <c r="G14664">
        <v>0.36650500000000003</v>
      </c>
    </row>
    <row r="14665" spans="1:7">
      <c r="A14665" t="s">
        <v>1297</v>
      </c>
      <c r="B14665" t="s">
        <v>1298</v>
      </c>
      <c r="C14665" t="s">
        <v>675</v>
      </c>
      <c r="D14665" t="s">
        <v>1449</v>
      </c>
      <c r="E14665" t="s">
        <v>187</v>
      </c>
      <c r="F14665">
        <v>2016</v>
      </c>
      <c r="G14665">
        <v>2.0801E-2</v>
      </c>
    </row>
    <row r="14666" spans="1:7">
      <c r="A14666" t="s">
        <v>1297</v>
      </c>
      <c r="B14666" t="s">
        <v>1298</v>
      </c>
      <c r="C14666" t="s">
        <v>675</v>
      </c>
      <c r="D14666" t="s">
        <v>1449</v>
      </c>
      <c r="E14666" t="s">
        <v>187</v>
      </c>
      <c r="F14666">
        <v>2020</v>
      </c>
      <c r="G14666">
        <v>2.214E-2</v>
      </c>
    </row>
    <row r="14667" spans="1:7">
      <c r="A14667" t="s">
        <v>1297</v>
      </c>
      <c r="B14667" t="s">
        <v>1298</v>
      </c>
      <c r="C14667" t="s">
        <v>289</v>
      </c>
      <c r="D14667" t="s">
        <v>1449</v>
      </c>
      <c r="E14667" t="s">
        <v>187</v>
      </c>
      <c r="F14667">
        <v>2005</v>
      </c>
      <c r="G14667">
        <v>3.5999999999999997E-2</v>
      </c>
    </row>
    <row r="14668" spans="1:7">
      <c r="A14668" t="s">
        <v>1297</v>
      </c>
      <c r="B14668" t="s">
        <v>1298</v>
      </c>
      <c r="C14668" t="s">
        <v>289</v>
      </c>
      <c r="D14668" t="s">
        <v>1449</v>
      </c>
      <c r="E14668" t="s">
        <v>187</v>
      </c>
      <c r="F14668">
        <v>2010</v>
      </c>
      <c r="G14668">
        <v>0.50075999999999998</v>
      </c>
    </row>
    <row r="14669" spans="1:7">
      <c r="A14669" t="s">
        <v>1297</v>
      </c>
      <c r="B14669" t="s">
        <v>1298</v>
      </c>
      <c r="C14669" t="s">
        <v>289</v>
      </c>
      <c r="D14669" t="s">
        <v>1449</v>
      </c>
      <c r="E14669" t="s">
        <v>187</v>
      </c>
      <c r="F14669">
        <v>2012</v>
      </c>
      <c r="G14669">
        <v>1.183486</v>
      </c>
    </row>
    <row r="14670" spans="1:7">
      <c r="A14670" t="s">
        <v>1297</v>
      </c>
      <c r="B14670" t="s">
        <v>1298</v>
      </c>
      <c r="C14670" t="s">
        <v>665</v>
      </c>
      <c r="D14670" t="s">
        <v>1449</v>
      </c>
      <c r="E14670" t="s">
        <v>187</v>
      </c>
      <c r="F14670">
        <v>2012</v>
      </c>
      <c r="G14670">
        <v>48.265656999999997</v>
      </c>
    </row>
    <row r="14671" spans="1:7">
      <c r="A14671" t="s">
        <v>1297</v>
      </c>
      <c r="B14671" t="s">
        <v>1298</v>
      </c>
      <c r="C14671" t="s">
        <v>665</v>
      </c>
      <c r="D14671" t="s">
        <v>1449</v>
      </c>
      <c r="E14671" t="s">
        <v>187</v>
      </c>
      <c r="F14671">
        <v>2016</v>
      </c>
      <c r="G14671">
        <v>63.679212</v>
      </c>
    </row>
    <row r="14672" spans="1:7">
      <c r="A14672" t="s">
        <v>1297</v>
      </c>
      <c r="B14672" t="s">
        <v>1298</v>
      </c>
      <c r="C14672" t="s">
        <v>665</v>
      </c>
      <c r="D14672" t="s">
        <v>1449</v>
      </c>
      <c r="E14672" t="s">
        <v>187</v>
      </c>
      <c r="F14672">
        <v>2020</v>
      </c>
      <c r="G14672">
        <v>72.727350999999999</v>
      </c>
    </row>
    <row r="14673" spans="1:7">
      <c r="A14673" t="s">
        <v>1297</v>
      </c>
      <c r="B14673" t="s">
        <v>1298</v>
      </c>
      <c r="C14673" t="s">
        <v>654</v>
      </c>
      <c r="D14673" t="s">
        <v>1449</v>
      </c>
      <c r="E14673" t="s">
        <v>187</v>
      </c>
      <c r="F14673">
        <v>2005</v>
      </c>
      <c r="G14673">
        <v>1.2780000000000001E-3</v>
      </c>
    </row>
    <row r="14674" spans="1:7">
      <c r="A14674" t="s">
        <v>1297</v>
      </c>
      <c r="B14674" t="s">
        <v>1298</v>
      </c>
      <c r="C14674" t="s">
        <v>654</v>
      </c>
      <c r="D14674" t="s">
        <v>1449</v>
      </c>
      <c r="E14674" t="s">
        <v>187</v>
      </c>
      <c r="F14674">
        <v>2010</v>
      </c>
      <c r="G14674">
        <v>0.11421000000000001</v>
      </c>
    </row>
    <row r="14675" spans="1:7">
      <c r="A14675" t="s">
        <v>1297</v>
      </c>
      <c r="B14675" t="s">
        <v>1298</v>
      </c>
      <c r="C14675" t="s">
        <v>654</v>
      </c>
      <c r="D14675" t="s">
        <v>1449</v>
      </c>
      <c r="E14675" t="s">
        <v>187</v>
      </c>
      <c r="F14675">
        <v>2012</v>
      </c>
      <c r="G14675">
        <v>0.66772100000000001</v>
      </c>
    </row>
    <row r="14676" spans="1:7">
      <c r="A14676" t="s">
        <v>1297</v>
      </c>
      <c r="B14676" t="s">
        <v>1298</v>
      </c>
      <c r="C14676" t="s">
        <v>654</v>
      </c>
      <c r="D14676" t="s">
        <v>1449</v>
      </c>
      <c r="E14676" t="s">
        <v>187</v>
      </c>
      <c r="F14676">
        <v>2016</v>
      </c>
      <c r="G14676">
        <v>0.81612399999999996</v>
      </c>
    </row>
    <row r="14677" spans="1:7">
      <c r="A14677" t="s">
        <v>1297</v>
      </c>
      <c r="B14677" t="s">
        <v>1298</v>
      </c>
      <c r="C14677" t="s">
        <v>654</v>
      </c>
      <c r="D14677" t="s">
        <v>1449</v>
      </c>
      <c r="E14677" t="s">
        <v>187</v>
      </c>
      <c r="F14677">
        <v>2020</v>
      </c>
      <c r="G14677">
        <v>0.85883399999999999</v>
      </c>
    </row>
    <row r="14678" spans="1:7">
      <c r="A14678" t="s">
        <v>1297</v>
      </c>
      <c r="B14678" t="s">
        <v>1298</v>
      </c>
      <c r="C14678" t="s">
        <v>1301</v>
      </c>
      <c r="D14678" t="s">
        <v>1449</v>
      </c>
      <c r="E14678" t="s">
        <v>187</v>
      </c>
      <c r="F14678">
        <v>2005</v>
      </c>
      <c r="G14678">
        <v>0.21240000000000001</v>
      </c>
    </row>
    <row r="14679" spans="1:7">
      <c r="A14679" t="s">
        <v>1297</v>
      </c>
      <c r="B14679" t="s">
        <v>1298</v>
      </c>
      <c r="C14679" t="s">
        <v>1301</v>
      </c>
      <c r="D14679" t="s">
        <v>1449</v>
      </c>
      <c r="E14679" t="s">
        <v>187</v>
      </c>
      <c r="F14679">
        <v>2010</v>
      </c>
      <c r="G14679">
        <v>10.498943000000001</v>
      </c>
    </row>
    <row r="14680" spans="1:7">
      <c r="A14680" t="s">
        <v>1297</v>
      </c>
      <c r="B14680" t="s">
        <v>1298</v>
      </c>
      <c r="C14680" t="s">
        <v>1301</v>
      </c>
      <c r="D14680" t="s">
        <v>1449</v>
      </c>
      <c r="E14680" t="s">
        <v>187</v>
      </c>
      <c r="F14680">
        <v>2012</v>
      </c>
      <c r="G14680">
        <v>21.098844</v>
      </c>
    </row>
    <row r="14681" spans="1:7">
      <c r="A14681" t="s">
        <v>1297</v>
      </c>
      <c r="B14681" t="s">
        <v>1298</v>
      </c>
      <c r="C14681" t="s">
        <v>1301</v>
      </c>
      <c r="D14681" t="s">
        <v>1449</v>
      </c>
      <c r="E14681" t="s">
        <v>187</v>
      </c>
      <c r="F14681">
        <v>2016</v>
      </c>
      <c r="G14681">
        <v>55.861513000000002</v>
      </c>
    </row>
    <row r="14682" spans="1:7">
      <c r="A14682" t="s">
        <v>1297</v>
      </c>
      <c r="B14682" t="s">
        <v>1298</v>
      </c>
      <c r="C14682" t="s">
        <v>663</v>
      </c>
      <c r="D14682" t="s">
        <v>1449</v>
      </c>
      <c r="E14682" t="s">
        <v>187</v>
      </c>
      <c r="F14682">
        <v>2005</v>
      </c>
      <c r="G14682">
        <v>3.6341999999999999E-2</v>
      </c>
    </row>
    <row r="14683" spans="1:7">
      <c r="A14683" t="s">
        <v>1297</v>
      </c>
      <c r="B14683" t="s">
        <v>1298</v>
      </c>
      <c r="C14683" t="s">
        <v>663</v>
      </c>
      <c r="D14683" t="s">
        <v>1449</v>
      </c>
      <c r="E14683" t="s">
        <v>187</v>
      </c>
      <c r="F14683">
        <v>2010</v>
      </c>
      <c r="G14683">
        <v>1.921651</v>
      </c>
    </row>
    <row r="14684" spans="1:7">
      <c r="A14684" t="s">
        <v>1297</v>
      </c>
      <c r="B14684" t="s">
        <v>1298</v>
      </c>
      <c r="C14684" t="s">
        <v>663</v>
      </c>
      <c r="D14684" t="s">
        <v>1449</v>
      </c>
      <c r="E14684" t="s">
        <v>187</v>
      </c>
      <c r="F14684">
        <v>2012</v>
      </c>
      <c r="G14684">
        <v>2.7719710000000002</v>
      </c>
    </row>
    <row r="14685" spans="1:7">
      <c r="A14685" t="s">
        <v>1297</v>
      </c>
      <c r="B14685" t="s">
        <v>1298</v>
      </c>
      <c r="C14685" t="s">
        <v>663</v>
      </c>
      <c r="D14685" t="s">
        <v>1449</v>
      </c>
      <c r="E14685" t="s">
        <v>187</v>
      </c>
      <c r="F14685">
        <v>2016</v>
      </c>
      <c r="G14685">
        <v>2.4612910000000001</v>
      </c>
    </row>
    <row r="14686" spans="1:7">
      <c r="A14686" t="s">
        <v>1297</v>
      </c>
      <c r="B14686" t="s">
        <v>1298</v>
      </c>
      <c r="C14686" t="s">
        <v>663</v>
      </c>
      <c r="D14686" t="s">
        <v>1449</v>
      </c>
      <c r="E14686" t="s">
        <v>187</v>
      </c>
      <c r="F14686">
        <v>2020</v>
      </c>
      <c r="G14686">
        <v>2.6244000000000001</v>
      </c>
    </row>
    <row r="14687" spans="1:7">
      <c r="A14687" t="s">
        <v>1297</v>
      </c>
      <c r="B14687" t="s">
        <v>1298</v>
      </c>
      <c r="C14687" t="s">
        <v>680</v>
      </c>
      <c r="D14687" t="s">
        <v>1449</v>
      </c>
      <c r="E14687" t="s">
        <v>187</v>
      </c>
      <c r="F14687">
        <v>2016</v>
      </c>
      <c r="G14687">
        <v>3.3155999999999998E-2</v>
      </c>
    </row>
    <row r="14688" spans="1:7">
      <c r="A14688" t="s">
        <v>1297</v>
      </c>
      <c r="B14688" t="s">
        <v>1298</v>
      </c>
      <c r="C14688" t="s">
        <v>680</v>
      </c>
      <c r="D14688" t="s">
        <v>1449</v>
      </c>
      <c r="E14688" t="s">
        <v>187</v>
      </c>
      <c r="F14688">
        <v>2020</v>
      </c>
      <c r="G14688">
        <v>2.3647999999999999E-2</v>
      </c>
    </row>
    <row r="14689" spans="1:7">
      <c r="A14689" t="s">
        <v>1297</v>
      </c>
      <c r="B14689" t="s">
        <v>1298</v>
      </c>
      <c r="C14689" t="s">
        <v>1303</v>
      </c>
      <c r="D14689" t="s">
        <v>1449</v>
      </c>
      <c r="E14689" t="s">
        <v>187</v>
      </c>
      <c r="F14689">
        <v>2016</v>
      </c>
      <c r="G14689">
        <v>3.2399999999999998E-2</v>
      </c>
    </row>
    <row r="14690" spans="1:7">
      <c r="A14690" t="s">
        <v>1297</v>
      </c>
      <c r="B14690" t="s">
        <v>1298</v>
      </c>
      <c r="C14690" t="s">
        <v>1303</v>
      </c>
      <c r="D14690" t="s">
        <v>1449</v>
      </c>
      <c r="E14690" t="s">
        <v>187</v>
      </c>
      <c r="F14690">
        <v>2020</v>
      </c>
      <c r="G14690">
        <v>0.304898</v>
      </c>
    </row>
    <row r="14691" spans="1:7">
      <c r="A14691" t="s">
        <v>1297</v>
      </c>
      <c r="B14691" t="s">
        <v>1298</v>
      </c>
      <c r="C14691" t="s">
        <v>657</v>
      </c>
      <c r="D14691" t="s">
        <v>1449</v>
      </c>
      <c r="E14691" t="s">
        <v>187</v>
      </c>
      <c r="F14691">
        <v>2010</v>
      </c>
      <c r="G14691">
        <v>28.113918999999999</v>
      </c>
    </row>
    <row r="14692" spans="1:7">
      <c r="A14692" t="s">
        <v>1297</v>
      </c>
      <c r="B14692" t="s">
        <v>1298</v>
      </c>
      <c r="C14692" t="s">
        <v>657</v>
      </c>
      <c r="D14692" t="s">
        <v>1449</v>
      </c>
      <c r="E14692" t="s">
        <v>187</v>
      </c>
      <c r="F14692">
        <v>2012</v>
      </c>
      <c r="G14692">
        <v>36.971784</v>
      </c>
    </row>
    <row r="14693" spans="1:7">
      <c r="A14693" t="s">
        <v>1297</v>
      </c>
      <c r="B14693" t="s">
        <v>1298</v>
      </c>
      <c r="C14693" t="s">
        <v>657</v>
      </c>
      <c r="D14693" t="s">
        <v>1449</v>
      </c>
      <c r="E14693" t="s">
        <v>187</v>
      </c>
      <c r="F14693">
        <v>2016</v>
      </c>
      <c r="G14693">
        <v>46.014232</v>
      </c>
    </row>
    <row r="14694" spans="1:7">
      <c r="A14694" t="s">
        <v>1297</v>
      </c>
      <c r="B14694" t="s">
        <v>1298</v>
      </c>
      <c r="C14694" t="s">
        <v>657</v>
      </c>
      <c r="D14694" t="s">
        <v>1449</v>
      </c>
      <c r="E14694" t="s">
        <v>187</v>
      </c>
      <c r="F14694">
        <v>2020</v>
      </c>
      <c r="G14694">
        <v>58.139398999999997</v>
      </c>
    </row>
    <row r="14695" spans="1:7">
      <c r="A14695" t="s">
        <v>1297</v>
      </c>
      <c r="B14695" t="s">
        <v>1298</v>
      </c>
      <c r="C14695" t="s">
        <v>667</v>
      </c>
      <c r="D14695" t="s">
        <v>1449</v>
      </c>
      <c r="E14695" t="s">
        <v>187</v>
      </c>
      <c r="F14695">
        <v>2005</v>
      </c>
      <c r="G14695">
        <v>0.18810399999999999</v>
      </c>
    </row>
    <row r="14696" spans="1:7">
      <c r="A14696" t="s">
        <v>1297</v>
      </c>
      <c r="B14696" t="s">
        <v>1298</v>
      </c>
      <c r="C14696" t="s">
        <v>667</v>
      </c>
      <c r="D14696" t="s">
        <v>1449</v>
      </c>
      <c r="E14696" t="s">
        <v>187</v>
      </c>
      <c r="F14696">
        <v>2010</v>
      </c>
      <c r="G14696">
        <v>0.198299</v>
      </c>
    </row>
    <row r="14697" spans="1:7">
      <c r="A14697" t="s">
        <v>1297</v>
      </c>
      <c r="B14697" t="s">
        <v>1298</v>
      </c>
      <c r="C14697" t="s">
        <v>667</v>
      </c>
      <c r="D14697" t="s">
        <v>1449</v>
      </c>
      <c r="E14697" t="s">
        <v>187</v>
      </c>
      <c r="F14697">
        <v>2012</v>
      </c>
      <c r="G14697">
        <v>0.27887800000000001</v>
      </c>
    </row>
    <row r="14698" spans="1:7">
      <c r="A14698" t="s">
        <v>1297</v>
      </c>
      <c r="B14698" t="s">
        <v>1298</v>
      </c>
      <c r="C14698" t="s">
        <v>667</v>
      </c>
      <c r="D14698" t="s">
        <v>1449</v>
      </c>
      <c r="E14698" t="s">
        <v>187</v>
      </c>
      <c r="F14698">
        <v>2016</v>
      </c>
      <c r="G14698">
        <v>0.36535000000000001</v>
      </c>
    </row>
    <row r="14699" spans="1:7">
      <c r="A14699" t="s">
        <v>1297</v>
      </c>
      <c r="B14699" t="s">
        <v>1298</v>
      </c>
      <c r="C14699" t="s">
        <v>667</v>
      </c>
      <c r="D14699" t="s">
        <v>1449</v>
      </c>
      <c r="E14699" t="s">
        <v>187</v>
      </c>
      <c r="F14699">
        <v>2020</v>
      </c>
      <c r="G14699">
        <v>1.0126189999999999</v>
      </c>
    </row>
    <row r="14700" spans="1:7">
      <c r="A14700" t="s">
        <v>1297</v>
      </c>
      <c r="B14700" t="s">
        <v>1298</v>
      </c>
      <c r="C14700" t="s">
        <v>673</v>
      </c>
      <c r="D14700" t="s">
        <v>1449</v>
      </c>
      <c r="E14700" t="s">
        <v>187</v>
      </c>
      <c r="F14700">
        <v>2005</v>
      </c>
      <c r="G14700">
        <v>8.1700000000000002E-4</v>
      </c>
    </row>
    <row r="14701" spans="1:7">
      <c r="A14701" t="s">
        <v>1297</v>
      </c>
      <c r="B14701" t="s">
        <v>1298</v>
      </c>
      <c r="C14701" t="s">
        <v>673</v>
      </c>
      <c r="D14701" t="s">
        <v>1449</v>
      </c>
      <c r="E14701" t="s">
        <v>187</v>
      </c>
      <c r="F14701">
        <v>2010</v>
      </c>
      <c r="G14701">
        <v>1.1028530000000001</v>
      </c>
    </row>
    <row r="14702" spans="1:7">
      <c r="A14702" t="s">
        <v>1297</v>
      </c>
      <c r="B14702" t="s">
        <v>1298</v>
      </c>
      <c r="C14702" t="s">
        <v>673</v>
      </c>
      <c r="D14702" t="s">
        <v>1449</v>
      </c>
      <c r="E14702" t="s">
        <v>187</v>
      </c>
      <c r="F14702">
        <v>2012</v>
      </c>
      <c r="G14702">
        <v>9.5035500000000006</v>
      </c>
    </row>
    <row r="14703" spans="1:7">
      <c r="A14703" t="s">
        <v>1297</v>
      </c>
      <c r="B14703" t="s">
        <v>1298</v>
      </c>
      <c r="C14703" t="s">
        <v>673</v>
      </c>
      <c r="D14703" t="s">
        <v>1449</v>
      </c>
      <c r="E14703" t="s">
        <v>187</v>
      </c>
      <c r="F14703">
        <v>2016</v>
      </c>
      <c r="G14703">
        <v>23.724</v>
      </c>
    </row>
    <row r="14704" spans="1:7">
      <c r="A14704" t="s">
        <v>1297</v>
      </c>
      <c r="B14704" t="s">
        <v>1298</v>
      </c>
      <c r="C14704" t="s">
        <v>673</v>
      </c>
      <c r="D14704" t="s">
        <v>1449</v>
      </c>
      <c r="E14704" t="s">
        <v>187</v>
      </c>
      <c r="F14704">
        <v>2020</v>
      </c>
      <c r="G14704">
        <v>24.382111999999999</v>
      </c>
    </row>
    <row r="14705" spans="1:7">
      <c r="A14705" t="s">
        <v>1297</v>
      </c>
      <c r="B14705" t="s">
        <v>1298</v>
      </c>
      <c r="C14705" t="s">
        <v>656</v>
      </c>
      <c r="D14705" t="s">
        <v>1449</v>
      </c>
      <c r="E14705" t="s">
        <v>187</v>
      </c>
      <c r="F14705">
        <v>2005</v>
      </c>
      <c r="G14705">
        <v>99.986400000000003</v>
      </c>
    </row>
    <row r="14706" spans="1:7">
      <c r="A14706" t="s">
        <v>1297</v>
      </c>
      <c r="B14706" t="s">
        <v>1298</v>
      </c>
      <c r="C14706" t="s">
        <v>656</v>
      </c>
      <c r="D14706" t="s">
        <v>1449</v>
      </c>
      <c r="E14706" t="s">
        <v>187</v>
      </c>
      <c r="F14706">
        <v>2010</v>
      </c>
      <c r="G14706">
        <v>138.76920000000001</v>
      </c>
    </row>
    <row r="14707" spans="1:7">
      <c r="A14707" t="s">
        <v>1297</v>
      </c>
      <c r="B14707" t="s">
        <v>1298</v>
      </c>
      <c r="C14707" t="s">
        <v>656</v>
      </c>
      <c r="D14707" t="s">
        <v>1449</v>
      </c>
      <c r="E14707" t="s">
        <v>187</v>
      </c>
      <c r="F14707">
        <v>2012</v>
      </c>
      <c r="G14707">
        <v>186.048</v>
      </c>
    </row>
    <row r="14708" spans="1:7">
      <c r="A14708" t="s">
        <v>1297</v>
      </c>
      <c r="B14708" t="s">
        <v>1298</v>
      </c>
      <c r="C14708" t="s">
        <v>656</v>
      </c>
      <c r="D14708" t="s">
        <v>1449</v>
      </c>
      <c r="E14708" t="s">
        <v>187</v>
      </c>
      <c r="F14708">
        <v>2016</v>
      </c>
      <c r="G14708">
        <v>287.72640000000001</v>
      </c>
    </row>
    <row r="14709" spans="1:7">
      <c r="A14709" t="s">
        <v>1297</v>
      </c>
      <c r="B14709" t="s">
        <v>1298</v>
      </c>
      <c r="C14709" t="s">
        <v>656</v>
      </c>
      <c r="D14709" t="s">
        <v>1449</v>
      </c>
      <c r="E14709" t="s">
        <v>187</v>
      </c>
      <c r="F14709">
        <v>2020</v>
      </c>
      <c r="G14709">
        <v>453.21839999999997</v>
      </c>
    </row>
    <row r="14710" spans="1:7">
      <c r="A14710" t="s">
        <v>1297</v>
      </c>
      <c r="B14710" t="s">
        <v>1298</v>
      </c>
      <c r="C14710" t="s">
        <v>662</v>
      </c>
      <c r="D14710" t="s">
        <v>1449</v>
      </c>
      <c r="E14710" t="s">
        <v>187</v>
      </c>
      <c r="F14710">
        <v>2005</v>
      </c>
      <c r="G14710">
        <v>4.5592269999999999</v>
      </c>
    </row>
    <row r="14711" spans="1:7">
      <c r="A14711" t="s">
        <v>1297</v>
      </c>
      <c r="B14711" t="s">
        <v>1298</v>
      </c>
      <c r="C14711" t="s">
        <v>662</v>
      </c>
      <c r="D14711" t="s">
        <v>1449</v>
      </c>
      <c r="E14711" t="s">
        <v>187</v>
      </c>
      <c r="F14711">
        <v>2010</v>
      </c>
      <c r="G14711">
        <v>9.7701729999999998</v>
      </c>
    </row>
    <row r="14712" spans="1:7">
      <c r="A14712" t="s">
        <v>1297</v>
      </c>
      <c r="B14712" t="s">
        <v>1298</v>
      </c>
      <c r="C14712" t="s">
        <v>662</v>
      </c>
      <c r="D14712" t="s">
        <v>1449</v>
      </c>
      <c r="E14712" t="s">
        <v>187</v>
      </c>
      <c r="F14712">
        <v>2012</v>
      </c>
      <c r="G14712">
        <v>13.860564999999999</v>
      </c>
    </row>
    <row r="14713" spans="1:7">
      <c r="A14713" t="s">
        <v>1297</v>
      </c>
      <c r="B14713" t="s">
        <v>1298</v>
      </c>
      <c r="C14713" t="s">
        <v>662</v>
      </c>
      <c r="D14713" t="s">
        <v>1449</v>
      </c>
      <c r="E14713" t="s">
        <v>187</v>
      </c>
      <c r="F14713">
        <v>2016</v>
      </c>
      <c r="G14713">
        <v>18.525226</v>
      </c>
    </row>
    <row r="14714" spans="1:7">
      <c r="A14714" t="s">
        <v>1297</v>
      </c>
      <c r="B14714" t="s">
        <v>1298</v>
      </c>
      <c r="C14714" t="s">
        <v>662</v>
      </c>
      <c r="D14714" t="s">
        <v>1449</v>
      </c>
      <c r="E14714" t="s">
        <v>187</v>
      </c>
      <c r="F14714">
        <v>2020</v>
      </c>
      <c r="G14714">
        <v>26.158849</v>
      </c>
    </row>
    <row r="14715" spans="1:7">
      <c r="A14715" t="s">
        <v>1297</v>
      </c>
      <c r="B14715" t="s">
        <v>1298</v>
      </c>
      <c r="C14715" t="s">
        <v>672</v>
      </c>
      <c r="D14715" t="s">
        <v>1449</v>
      </c>
      <c r="E14715" t="s">
        <v>187</v>
      </c>
      <c r="F14715">
        <v>2005</v>
      </c>
      <c r="G14715">
        <v>6.3837469999999996</v>
      </c>
    </row>
    <row r="14716" spans="1:7">
      <c r="A14716" t="s">
        <v>1297</v>
      </c>
      <c r="B14716" t="s">
        <v>1298</v>
      </c>
      <c r="C14716" t="s">
        <v>672</v>
      </c>
      <c r="D14716" t="s">
        <v>1449</v>
      </c>
      <c r="E14716" t="s">
        <v>187</v>
      </c>
      <c r="F14716">
        <v>2010</v>
      </c>
      <c r="G14716">
        <v>33.053659000000003</v>
      </c>
    </row>
    <row r="14717" spans="1:7">
      <c r="A14717" t="s">
        <v>1297</v>
      </c>
      <c r="B14717" t="s">
        <v>1298</v>
      </c>
      <c r="C14717" t="s">
        <v>672</v>
      </c>
      <c r="D14717" t="s">
        <v>1449</v>
      </c>
      <c r="E14717" t="s">
        <v>187</v>
      </c>
      <c r="F14717">
        <v>2012</v>
      </c>
      <c r="G14717">
        <v>36.935200999999999</v>
      </c>
    </row>
    <row r="14718" spans="1:7">
      <c r="A14718" t="s">
        <v>1297</v>
      </c>
      <c r="B14718" t="s">
        <v>1298</v>
      </c>
      <c r="C14718" t="s">
        <v>672</v>
      </c>
      <c r="D14718" t="s">
        <v>1449</v>
      </c>
      <c r="E14718" t="s">
        <v>187</v>
      </c>
      <c r="F14718">
        <v>2016</v>
      </c>
      <c r="G14718">
        <v>44.906745999999998</v>
      </c>
    </row>
    <row r="14719" spans="1:7">
      <c r="A14719" t="s">
        <v>1297</v>
      </c>
      <c r="B14719" t="s">
        <v>1298</v>
      </c>
      <c r="C14719" t="s">
        <v>672</v>
      </c>
      <c r="D14719" t="s">
        <v>1449</v>
      </c>
      <c r="E14719" t="s">
        <v>187</v>
      </c>
      <c r="F14719">
        <v>2020</v>
      </c>
      <c r="G14719">
        <v>49.201016000000003</v>
      </c>
    </row>
    <row r="14720" spans="1:7">
      <c r="A14720" t="s">
        <v>1297</v>
      </c>
      <c r="B14720" t="s">
        <v>1298</v>
      </c>
      <c r="C14720" t="s">
        <v>668</v>
      </c>
      <c r="D14720" t="s">
        <v>1449</v>
      </c>
      <c r="E14720" t="s">
        <v>187</v>
      </c>
      <c r="F14720">
        <v>2005</v>
      </c>
      <c r="G14720">
        <v>0.16867399999999999</v>
      </c>
    </row>
    <row r="14721" spans="1:7">
      <c r="A14721" t="s">
        <v>1297</v>
      </c>
      <c r="B14721" t="s">
        <v>1298</v>
      </c>
      <c r="C14721" t="s">
        <v>668</v>
      </c>
      <c r="D14721" t="s">
        <v>1449</v>
      </c>
      <c r="E14721" t="s">
        <v>187</v>
      </c>
      <c r="F14721">
        <v>2010</v>
      </c>
      <c r="G14721">
        <v>0.17660500000000001</v>
      </c>
    </row>
    <row r="14722" spans="1:7">
      <c r="A14722" t="s">
        <v>1297</v>
      </c>
      <c r="B14722" t="s">
        <v>1298</v>
      </c>
      <c r="C14722" t="s">
        <v>668</v>
      </c>
      <c r="D14722" t="s">
        <v>1449</v>
      </c>
      <c r="E14722" t="s">
        <v>187</v>
      </c>
      <c r="F14722">
        <v>2012</v>
      </c>
      <c r="G14722">
        <v>0.411358</v>
      </c>
    </row>
    <row r="14723" spans="1:7">
      <c r="A14723" t="s">
        <v>1297</v>
      </c>
      <c r="B14723" t="s">
        <v>1298</v>
      </c>
      <c r="C14723" t="s">
        <v>668</v>
      </c>
      <c r="D14723" t="s">
        <v>1449</v>
      </c>
      <c r="E14723" t="s">
        <v>187</v>
      </c>
      <c r="F14723">
        <v>2016</v>
      </c>
      <c r="G14723">
        <v>0.46039999999999998</v>
      </c>
    </row>
    <row r="14724" spans="1:7">
      <c r="A14724" t="s">
        <v>1297</v>
      </c>
      <c r="B14724" t="s">
        <v>1298</v>
      </c>
      <c r="C14724" t="s">
        <v>668</v>
      </c>
      <c r="D14724" t="s">
        <v>1449</v>
      </c>
      <c r="E14724" t="s">
        <v>187</v>
      </c>
      <c r="F14724">
        <v>2020</v>
      </c>
      <c r="G14724">
        <v>0.554396</v>
      </c>
    </row>
    <row r="14725" spans="1:7">
      <c r="A14725" t="s">
        <v>1297</v>
      </c>
      <c r="B14725" t="s">
        <v>1298</v>
      </c>
      <c r="C14725" t="s">
        <v>686</v>
      </c>
      <c r="D14725" t="s">
        <v>1449</v>
      </c>
      <c r="E14725" t="s">
        <v>187</v>
      </c>
      <c r="F14725">
        <v>2016</v>
      </c>
      <c r="G14725">
        <v>9.3600000000000003E-2</v>
      </c>
    </row>
    <row r="14726" spans="1:7">
      <c r="A14726" t="s">
        <v>1297</v>
      </c>
      <c r="B14726" t="s">
        <v>1298</v>
      </c>
      <c r="C14726" t="s">
        <v>686</v>
      </c>
      <c r="D14726" t="s">
        <v>1449</v>
      </c>
      <c r="E14726" t="s">
        <v>187</v>
      </c>
      <c r="F14726">
        <v>2020</v>
      </c>
      <c r="G14726">
        <v>3.2335630000000002</v>
      </c>
    </row>
    <row r="14727" spans="1:7">
      <c r="A14727" t="s">
        <v>1297</v>
      </c>
      <c r="B14727" t="s">
        <v>1298</v>
      </c>
      <c r="C14727" t="s">
        <v>671</v>
      </c>
      <c r="D14727" t="s">
        <v>1449</v>
      </c>
      <c r="E14727" t="s">
        <v>187</v>
      </c>
      <c r="F14727">
        <v>2005</v>
      </c>
      <c r="G14727">
        <v>0.48769200000000001</v>
      </c>
    </row>
    <row r="14728" spans="1:7">
      <c r="A14728" t="s">
        <v>1297</v>
      </c>
      <c r="B14728" t="s">
        <v>1298</v>
      </c>
      <c r="C14728" t="s">
        <v>671</v>
      </c>
      <c r="D14728" t="s">
        <v>1449</v>
      </c>
      <c r="E14728" t="s">
        <v>187</v>
      </c>
      <c r="F14728">
        <v>2010</v>
      </c>
      <c r="G14728">
        <v>5.9916200000000002</v>
      </c>
    </row>
    <row r="14729" spans="1:7">
      <c r="A14729" t="s">
        <v>1297</v>
      </c>
      <c r="B14729" t="s">
        <v>1298</v>
      </c>
      <c r="C14729" t="s">
        <v>671</v>
      </c>
      <c r="D14729" t="s">
        <v>1449</v>
      </c>
      <c r="E14729" t="s">
        <v>187</v>
      </c>
      <c r="F14729">
        <v>2012</v>
      </c>
      <c r="G14729">
        <v>17.087724000000001</v>
      </c>
    </row>
    <row r="14730" spans="1:7">
      <c r="A14730" t="s">
        <v>1297</v>
      </c>
      <c r="B14730" t="s">
        <v>1298</v>
      </c>
      <c r="C14730" t="s">
        <v>671</v>
      </c>
      <c r="D14730" t="s">
        <v>1449</v>
      </c>
      <c r="E14730" t="s">
        <v>187</v>
      </c>
      <c r="F14730">
        <v>2016</v>
      </c>
      <c r="G14730">
        <v>45.315323999999997</v>
      </c>
    </row>
    <row r="14731" spans="1:7">
      <c r="A14731" t="s">
        <v>1297</v>
      </c>
      <c r="B14731" t="s">
        <v>1298</v>
      </c>
      <c r="C14731" t="s">
        <v>671</v>
      </c>
      <c r="D14731" t="s">
        <v>1449</v>
      </c>
      <c r="E14731" t="s">
        <v>187</v>
      </c>
      <c r="F14731">
        <v>2020</v>
      </c>
      <c r="G14731">
        <v>54.384332000000001</v>
      </c>
    </row>
    <row r="14732" spans="1:7">
      <c r="A14732" t="s">
        <v>1297</v>
      </c>
      <c r="B14732" t="s">
        <v>1298</v>
      </c>
      <c r="C14732" t="s">
        <v>670</v>
      </c>
      <c r="D14732" t="s">
        <v>1449</v>
      </c>
      <c r="E14732" t="s">
        <v>187</v>
      </c>
      <c r="F14732">
        <v>2005</v>
      </c>
      <c r="G14732">
        <v>7.4399579999999998</v>
      </c>
    </row>
    <row r="14733" spans="1:7">
      <c r="A14733" t="s">
        <v>1297</v>
      </c>
      <c r="B14733" t="s">
        <v>1298</v>
      </c>
      <c r="C14733" t="s">
        <v>670</v>
      </c>
      <c r="D14733" t="s">
        <v>1449</v>
      </c>
      <c r="E14733" t="s">
        <v>187</v>
      </c>
      <c r="F14733">
        <v>2010</v>
      </c>
      <c r="G14733">
        <v>14.375292999999999</v>
      </c>
    </row>
    <row r="14734" spans="1:7">
      <c r="A14734" t="s">
        <v>1297</v>
      </c>
      <c r="B14734" t="s">
        <v>1298</v>
      </c>
      <c r="C14734" t="s">
        <v>670</v>
      </c>
      <c r="D14734" t="s">
        <v>1449</v>
      </c>
      <c r="E14734" t="s">
        <v>187</v>
      </c>
      <c r="F14734">
        <v>2012</v>
      </c>
      <c r="G14734">
        <v>17.934584000000001</v>
      </c>
    </row>
    <row r="14735" spans="1:7">
      <c r="A14735" t="s">
        <v>1297</v>
      </c>
      <c r="B14735" t="s">
        <v>1298</v>
      </c>
      <c r="C14735" t="s">
        <v>670</v>
      </c>
      <c r="D14735" t="s">
        <v>1449</v>
      </c>
      <c r="E14735" t="s">
        <v>187</v>
      </c>
      <c r="F14735">
        <v>2016</v>
      </c>
      <c r="G14735">
        <v>29.413637999999999</v>
      </c>
    </row>
    <row r="14736" spans="1:7">
      <c r="A14736" t="s">
        <v>1297</v>
      </c>
      <c r="B14736" t="s">
        <v>1298</v>
      </c>
      <c r="C14736" t="s">
        <v>670</v>
      </c>
      <c r="D14736" t="s">
        <v>1449</v>
      </c>
      <c r="E14736" t="s">
        <v>187</v>
      </c>
      <c r="F14736">
        <v>2020</v>
      </c>
      <c r="G14736">
        <v>41.428536999999999</v>
      </c>
    </row>
    <row r="14737" spans="1:7">
      <c r="A14737" t="s">
        <v>1297</v>
      </c>
      <c r="B14737" t="s">
        <v>1298</v>
      </c>
      <c r="C14737" t="s">
        <v>679</v>
      </c>
      <c r="D14737" t="s">
        <v>1449</v>
      </c>
      <c r="E14737" t="s">
        <v>187</v>
      </c>
      <c r="F14737">
        <v>2005</v>
      </c>
      <c r="G14737">
        <v>1.7964</v>
      </c>
    </row>
    <row r="14738" spans="1:7">
      <c r="A14738" t="s">
        <v>1297</v>
      </c>
      <c r="B14738" t="s">
        <v>1298</v>
      </c>
      <c r="C14738" t="s">
        <v>679</v>
      </c>
      <c r="D14738" t="s">
        <v>1449</v>
      </c>
      <c r="E14738" t="s">
        <v>187</v>
      </c>
      <c r="F14738">
        <v>2010</v>
      </c>
      <c r="G14738">
        <v>3.1644000000000001</v>
      </c>
    </row>
    <row r="14739" spans="1:7">
      <c r="A14739" t="s">
        <v>1297</v>
      </c>
      <c r="B14739" t="s">
        <v>1298</v>
      </c>
      <c r="C14739" t="s">
        <v>679</v>
      </c>
      <c r="D14739" t="s">
        <v>1449</v>
      </c>
      <c r="E14739" t="s">
        <v>187</v>
      </c>
      <c r="F14739">
        <v>2012</v>
      </c>
      <c r="G14739">
        <v>5.5728</v>
      </c>
    </row>
    <row r="14740" spans="1:7">
      <c r="A14740" t="s">
        <v>1297</v>
      </c>
      <c r="B14740" t="s">
        <v>1298</v>
      </c>
      <c r="C14740" t="s">
        <v>679</v>
      </c>
      <c r="D14740" t="s">
        <v>1449</v>
      </c>
      <c r="E14740" t="s">
        <v>187</v>
      </c>
      <c r="F14740">
        <v>2016</v>
      </c>
      <c r="G14740">
        <v>7.6176000000000004</v>
      </c>
    </row>
    <row r="14741" spans="1:7">
      <c r="A14741" t="s">
        <v>1297</v>
      </c>
      <c r="B14741" t="s">
        <v>1298</v>
      </c>
      <c r="C14741" t="s">
        <v>679</v>
      </c>
      <c r="D14741" t="s">
        <v>1449</v>
      </c>
      <c r="E14741" t="s">
        <v>187</v>
      </c>
      <c r="F14741">
        <v>2020</v>
      </c>
      <c r="G14741">
        <v>19.930499999999999</v>
      </c>
    </row>
    <row r="14742" spans="1:7">
      <c r="A14742" t="s">
        <v>1297</v>
      </c>
      <c r="B14742" t="s">
        <v>1298</v>
      </c>
      <c r="C14742" t="s">
        <v>665</v>
      </c>
      <c r="D14742" t="s">
        <v>1449</v>
      </c>
      <c r="E14742" t="s">
        <v>187</v>
      </c>
      <c r="F14742">
        <v>2005</v>
      </c>
      <c r="G14742">
        <v>8.4362359999999992</v>
      </c>
    </row>
    <row r="14743" spans="1:7">
      <c r="A14743" t="s">
        <v>1297</v>
      </c>
      <c r="B14743" t="s">
        <v>1298</v>
      </c>
      <c r="C14743" t="s">
        <v>665</v>
      </c>
      <c r="D14743" t="s">
        <v>1449</v>
      </c>
      <c r="E14743" t="s">
        <v>187</v>
      </c>
      <c r="F14743">
        <v>2010</v>
      </c>
      <c r="G14743">
        <v>32.853304999999999</v>
      </c>
    </row>
    <row r="14744" spans="1:7">
      <c r="A14744" t="s">
        <v>1297</v>
      </c>
      <c r="B14744" t="s">
        <v>1298</v>
      </c>
      <c r="C14744" t="s">
        <v>289</v>
      </c>
      <c r="D14744" t="s">
        <v>1450</v>
      </c>
      <c r="E14744" t="s">
        <v>187</v>
      </c>
      <c r="F14744">
        <v>2005</v>
      </c>
      <c r="G14744">
        <v>3.5999999999999997E-2</v>
      </c>
    </row>
    <row r="14745" spans="1:7">
      <c r="A14745" t="s">
        <v>1297</v>
      </c>
      <c r="B14745" t="s">
        <v>1298</v>
      </c>
      <c r="C14745" t="s">
        <v>289</v>
      </c>
      <c r="D14745" t="s">
        <v>1450</v>
      </c>
      <c r="E14745" t="s">
        <v>187</v>
      </c>
      <c r="F14745">
        <v>2010</v>
      </c>
      <c r="G14745">
        <v>0.50075999999999998</v>
      </c>
    </row>
    <row r="14746" spans="1:7">
      <c r="A14746" t="s">
        <v>1297</v>
      </c>
      <c r="B14746" t="s">
        <v>1298</v>
      </c>
      <c r="C14746" t="s">
        <v>289</v>
      </c>
      <c r="D14746" t="s">
        <v>1450</v>
      </c>
      <c r="E14746" t="s">
        <v>187</v>
      </c>
      <c r="F14746">
        <v>2012</v>
      </c>
      <c r="G14746">
        <v>1.183486</v>
      </c>
    </row>
    <row r="14747" spans="1:7">
      <c r="A14747" t="s">
        <v>1297</v>
      </c>
      <c r="B14747" t="s">
        <v>1298</v>
      </c>
      <c r="C14747" t="s">
        <v>289</v>
      </c>
      <c r="D14747" t="s">
        <v>1450</v>
      </c>
      <c r="E14747" t="s">
        <v>187</v>
      </c>
      <c r="F14747">
        <v>2016</v>
      </c>
      <c r="G14747">
        <v>3.6512929999999999</v>
      </c>
    </row>
    <row r="14748" spans="1:7">
      <c r="A14748" t="s">
        <v>1297</v>
      </c>
      <c r="B14748" t="s">
        <v>1298</v>
      </c>
      <c r="C14748" t="s">
        <v>289</v>
      </c>
      <c r="D14748" t="s">
        <v>1450</v>
      </c>
      <c r="E14748" t="s">
        <v>187</v>
      </c>
      <c r="F14748">
        <v>2020</v>
      </c>
      <c r="G14748">
        <v>5.2822800000000001</v>
      </c>
    </row>
    <row r="14749" spans="1:7">
      <c r="A14749" t="s">
        <v>1297</v>
      </c>
      <c r="B14749" t="s">
        <v>1298</v>
      </c>
      <c r="C14749" t="s">
        <v>651</v>
      </c>
      <c r="D14749" t="s">
        <v>1450</v>
      </c>
      <c r="E14749" t="s">
        <v>187</v>
      </c>
      <c r="F14749">
        <v>2005</v>
      </c>
      <c r="G14749">
        <v>4.7925969999999998</v>
      </c>
    </row>
    <row r="14750" spans="1:7">
      <c r="A14750" t="s">
        <v>1297</v>
      </c>
      <c r="B14750" t="s">
        <v>1298</v>
      </c>
      <c r="C14750" t="s">
        <v>651</v>
      </c>
      <c r="D14750" t="s">
        <v>1450</v>
      </c>
      <c r="E14750" t="s">
        <v>187</v>
      </c>
      <c r="F14750">
        <v>2010</v>
      </c>
      <c r="G14750">
        <v>7.4300899999999999</v>
      </c>
    </row>
    <row r="14751" spans="1:7">
      <c r="A14751" t="s">
        <v>1297</v>
      </c>
      <c r="B14751" t="s">
        <v>1298</v>
      </c>
      <c r="C14751" t="s">
        <v>651</v>
      </c>
      <c r="D14751" t="s">
        <v>1450</v>
      </c>
      <c r="E14751" t="s">
        <v>187</v>
      </c>
      <c r="F14751">
        <v>2012</v>
      </c>
      <c r="G14751">
        <v>8.8663100000000004</v>
      </c>
    </row>
    <row r="14752" spans="1:7">
      <c r="A14752" t="s">
        <v>1297</v>
      </c>
      <c r="B14752" t="s">
        <v>1298</v>
      </c>
      <c r="C14752" t="s">
        <v>651</v>
      </c>
      <c r="D14752" t="s">
        <v>1450</v>
      </c>
      <c r="E14752" t="s">
        <v>187</v>
      </c>
      <c r="F14752">
        <v>2016</v>
      </c>
      <c r="G14752">
        <v>18.845417000000001</v>
      </c>
    </row>
    <row r="14753" spans="1:7">
      <c r="A14753" t="s">
        <v>1297</v>
      </c>
      <c r="B14753" t="s">
        <v>1298</v>
      </c>
      <c r="C14753" t="s">
        <v>651</v>
      </c>
      <c r="D14753" t="s">
        <v>1450</v>
      </c>
      <c r="E14753" t="s">
        <v>187</v>
      </c>
      <c r="F14753">
        <v>2020</v>
      </c>
      <c r="G14753">
        <v>26.918507000000002</v>
      </c>
    </row>
    <row r="14754" spans="1:7">
      <c r="A14754" t="s">
        <v>1297</v>
      </c>
      <c r="B14754" t="s">
        <v>1298</v>
      </c>
      <c r="C14754" t="s">
        <v>664</v>
      </c>
      <c r="D14754" t="s">
        <v>1450</v>
      </c>
      <c r="E14754" t="s">
        <v>187</v>
      </c>
      <c r="F14754">
        <v>2005</v>
      </c>
      <c r="G14754">
        <v>4.0028759999999997</v>
      </c>
    </row>
    <row r="14755" spans="1:7">
      <c r="A14755" t="s">
        <v>1297</v>
      </c>
      <c r="B14755" t="s">
        <v>1298</v>
      </c>
      <c r="C14755" t="s">
        <v>664</v>
      </c>
      <c r="D14755" t="s">
        <v>1450</v>
      </c>
      <c r="E14755" t="s">
        <v>187</v>
      </c>
      <c r="F14755">
        <v>2010</v>
      </c>
      <c r="G14755">
        <v>10.132771999999999</v>
      </c>
    </row>
    <row r="14756" spans="1:7">
      <c r="A14756" t="s">
        <v>1297</v>
      </c>
      <c r="B14756" t="s">
        <v>1298</v>
      </c>
      <c r="C14756" t="s">
        <v>664</v>
      </c>
      <c r="D14756" t="s">
        <v>1450</v>
      </c>
      <c r="E14756" t="s">
        <v>187</v>
      </c>
      <c r="F14756">
        <v>2012</v>
      </c>
      <c r="G14756">
        <v>14.437721</v>
      </c>
    </row>
    <row r="14757" spans="1:7">
      <c r="A14757" t="s">
        <v>1297</v>
      </c>
      <c r="B14757" t="s">
        <v>1298</v>
      </c>
      <c r="C14757" t="s">
        <v>664</v>
      </c>
      <c r="D14757" t="s">
        <v>1450</v>
      </c>
      <c r="E14757" t="s">
        <v>187</v>
      </c>
      <c r="F14757">
        <v>2016</v>
      </c>
      <c r="G14757">
        <v>22.129355</v>
      </c>
    </row>
    <row r="14758" spans="1:7">
      <c r="A14758" t="s">
        <v>1297</v>
      </c>
      <c r="B14758" t="s">
        <v>1298</v>
      </c>
      <c r="C14758" t="s">
        <v>664</v>
      </c>
      <c r="D14758" t="s">
        <v>1450</v>
      </c>
      <c r="E14758" t="s">
        <v>187</v>
      </c>
      <c r="F14758">
        <v>2020</v>
      </c>
      <c r="G14758">
        <v>36.070146000000001</v>
      </c>
    </row>
    <row r="14759" spans="1:7">
      <c r="A14759" t="s">
        <v>1297</v>
      </c>
      <c r="B14759" t="s">
        <v>1298</v>
      </c>
      <c r="C14759" t="s">
        <v>676</v>
      </c>
      <c r="D14759" t="s">
        <v>1450</v>
      </c>
      <c r="E14759" t="s">
        <v>187</v>
      </c>
      <c r="F14759">
        <v>2005</v>
      </c>
      <c r="G14759">
        <v>2.1600000000000001E-2</v>
      </c>
    </row>
    <row r="14760" spans="1:7">
      <c r="A14760" t="s">
        <v>1297</v>
      </c>
      <c r="B14760" t="s">
        <v>1298</v>
      </c>
      <c r="C14760" t="s">
        <v>676</v>
      </c>
      <c r="D14760" t="s">
        <v>1450</v>
      </c>
      <c r="E14760" t="s">
        <v>187</v>
      </c>
      <c r="F14760">
        <v>2010</v>
      </c>
      <c r="G14760">
        <v>2.1600000000000001E-2</v>
      </c>
    </row>
    <row r="14761" spans="1:7">
      <c r="A14761" t="s">
        <v>1297</v>
      </c>
      <c r="B14761" t="s">
        <v>1298</v>
      </c>
      <c r="C14761" t="s">
        <v>676</v>
      </c>
      <c r="D14761" t="s">
        <v>1450</v>
      </c>
      <c r="E14761" t="s">
        <v>187</v>
      </c>
      <c r="F14761">
        <v>2012</v>
      </c>
      <c r="G14761">
        <v>2.1600000000000001E-2</v>
      </c>
    </row>
    <row r="14762" spans="1:7">
      <c r="A14762" t="s">
        <v>1297</v>
      </c>
      <c r="B14762" t="s">
        <v>1298</v>
      </c>
      <c r="C14762" t="s">
        <v>674</v>
      </c>
      <c r="D14762" t="s">
        <v>1450</v>
      </c>
      <c r="E14762" t="s">
        <v>187</v>
      </c>
      <c r="F14762">
        <v>2020</v>
      </c>
      <c r="G14762">
        <v>71.449200000000005</v>
      </c>
    </row>
    <row r="14763" spans="1:7">
      <c r="A14763" t="s">
        <v>1297</v>
      </c>
      <c r="B14763" t="s">
        <v>1298</v>
      </c>
      <c r="C14763" t="s">
        <v>669</v>
      </c>
      <c r="D14763" t="s">
        <v>1450</v>
      </c>
      <c r="E14763" t="s">
        <v>187</v>
      </c>
      <c r="F14763">
        <v>2012</v>
      </c>
      <c r="G14763">
        <v>2.7E-4</v>
      </c>
    </row>
    <row r="14764" spans="1:7">
      <c r="A14764" t="s">
        <v>1297</v>
      </c>
      <c r="B14764" t="s">
        <v>1298</v>
      </c>
      <c r="C14764" t="s">
        <v>669</v>
      </c>
      <c r="D14764" t="s">
        <v>1450</v>
      </c>
      <c r="E14764" t="s">
        <v>187</v>
      </c>
      <c r="F14764">
        <v>2016</v>
      </c>
      <c r="G14764">
        <v>2.0900000000000001E-4</v>
      </c>
    </row>
    <row r="14765" spans="1:7">
      <c r="A14765" t="s">
        <v>1297</v>
      </c>
      <c r="B14765" t="s">
        <v>1298</v>
      </c>
      <c r="C14765" t="s">
        <v>669</v>
      </c>
      <c r="D14765" t="s">
        <v>1450</v>
      </c>
      <c r="E14765" t="s">
        <v>187</v>
      </c>
      <c r="F14765">
        <v>2020</v>
      </c>
      <c r="G14765">
        <v>2.0900000000000001E-4</v>
      </c>
    </row>
    <row r="14766" spans="1:7">
      <c r="A14766" t="s">
        <v>1297</v>
      </c>
      <c r="B14766" t="s">
        <v>1298</v>
      </c>
      <c r="C14766" t="s">
        <v>658</v>
      </c>
      <c r="D14766" t="s">
        <v>1450</v>
      </c>
      <c r="E14766" t="s">
        <v>187</v>
      </c>
      <c r="F14766">
        <v>2005</v>
      </c>
      <c r="G14766">
        <v>0.19439999999999999</v>
      </c>
    </row>
    <row r="14767" spans="1:7">
      <c r="A14767" t="s">
        <v>1297</v>
      </c>
      <c r="B14767" t="s">
        <v>1298</v>
      </c>
      <c r="C14767" t="s">
        <v>658</v>
      </c>
      <c r="D14767" t="s">
        <v>1450</v>
      </c>
      <c r="E14767" t="s">
        <v>187</v>
      </c>
      <c r="F14767">
        <v>2010</v>
      </c>
      <c r="G14767">
        <v>0.99717100000000003</v>
      </c>
    </row>
    <row r="14768" spans="1:7">
      <c r="A14768" t="s">
        <v>1297</v>
      </c>
      <c r="B14768" t="s">
        <v>1298</v>
      </c>
      <c r="C14768" t="s">
        <v>658</v>
      </c>
      <c r="D14768" t="s">
        <v>1450</v>
      </c>
      <c r="E14768" t="s">
        <v>187</v>
      </c>
      <c r="F14768">
        <v>2012</v>
      </c>
      <c r="G14768">
        <v>1.5606610000000001</v>
      </c>
    </row>
    <row r="14769" spans="1:7">
      <c r="A14769" t="s">
        <v>1297</v>
      </c>
      <c r="B14769" t="s">
        <v>1298</v>
      </c>
      <c r="C14769" t="s">
        <v>658</v>
      </c>
      <c r="D14769" t="s">
        <v>1450</v>
      </c>
      <c r="E14769" t="s">
        <v>187</v>
      </c>
      <c r="F14769">
        <v>2016</v>
      </c>
      <c r="G14769">
        <v>2.1383999999999999</v>
      </c>
    </row>
    <row r="14770" spans="1:7">
      <c r="A14770" t="s">
        <v>1297</v>
      </c>
      <c r="B14770" t="s">
        <v>1298</v>
      </c>
      <c r="C14770" t="s">
        <v>658</v>
      </c>
      <c r="D14770" t="s">
        <v>1450</v>
      </c>
      <c r="E14770" t="s">
        <v>187</v>
      </c>
      <c r="F14770">
        <v>2020</v>
      </c>
      <c r="G14770">
        <v>2.4731999999999998</v>
      </c>
    </row>
    <row r="14771" spans="1:7">
      <c r="A14771" t="s">
        <v>1297</v>
      </c>
      <c r="B14771" t="s">
        <v>1298</v>
      </c>
      <c r="C14771" t="s">
        <v>677</v>
      </c>
      <c r="D14771" t="s">
        <v>1450</v>
      </c>
      <c r="E14771" t="s">
        <v>187</v>
      </c>
      <c r="F14771">
        <v>2005</v>
      </c>
      <c r="G14771">
        <v>10.454010999999999</v>
      </c>
    </row>
    <row r="14772" spans="1:7">
      <c r="A14772" t="s">
        <v>1297</v>
      </c>
      <c r="B14772" t="s">
        <v>1298</v>
      </c>
      <c r="C14772" t="s">
        <v>677</v>
      </c>
      <c r="D14772" t="s">
        <v>1450</v>
      </c>
      <c r="E14772" t="s">
        <v>187</v>
      </c>
      <c r="F14772">
        <v>2010</v>
      </c>
      <c r="G14772">
        <v>37.028303999999999</v>
      </c>
    </row>
    <row r="14773" spans="1:7">
      <c r="A14773" t="s">
        <v>1297</v>
      </c>
      <c r="B14773" t="s">
        <v>1298</v>
      </c>
      <c r="C14773" t="s">
        <v>677</v>
      </c>
      <c r="D14773" t="s">
        <v>1450</v>
      </c>
      <c r="E14773" t="s">
        <v>187</v>
      </c>
      <c r="F14773">
        <v>2012</v>
      </c>
      <c r="G14773">
        <v>71.449639000000005</v>
      </c>
    </row>
    <row r="14774" spans="1:7">
      <c r="A14774" t="s">
        <v>1297</v>
      </c>
      <c r="B14774" t="s">
        <v>1298</v>
      </c>
      <c r="C14774" t="s">
        <v>677</v>
      </c>
      <c r="D14774" t="s">
        <v>1450</v>
      </c>
      <c r="E14774" t="s">
        <v>187</v>
      </c>
      <c r="F14774">
        <v>2016</v>
      </c>
      <c r="G14774">
        <v>133.77391900000001</v>
      </c>
    </row>
    <row r="14775" spans="1:7">
      <c r="A14775" t="s">
        <v>1297</v>
      </c>
      <c r="B14775" t="s">
        <v>1298</v>
      </c>
      <c r="C14775" t="s">
        <v>677</v>
      </c>
      <c r="D14775" t="s">
        <v>1450</v>
      </c>
      <c r="E14775" t="s">
        <v>187</v>
      </c>
      <c r="F14775">
        <v>2020</v>
      </c>
      <c r="G14775">
        <v>231.60543799999999</v>
      </c>
    </row>
    <row r="14776" spans="1:7">
      <c r="A14776" t="s">
        <v>1297</v>
      </c>
      <c r="B14776" t="s">
        <v>1298</v>
      </c>
      <c r="C14776" t="s">
        <v>657</v>
      </c>
      <c r="D14776" t="s">
        <v>1450</v>
      </c>
      <c r="E14776" t="s">
        <v>187</v>
      </c>
      <c r="F14776">
        <v>2005</v>
      </c>
      <c r="G14776">
        <v>23.810400000000001</v>
      </c>
    </row>
    <row r="14777" spans="1:7">
      <c r="A14777" t="s">
        <v>1297</v>
      </c>
      <c r="B14777" t="s">
        <v>1298</v>
      </c>
      <c r="C14777" t="s">
        <v>657</v>
      </c>
      <c r="D14777" t="s">
        <v>1450</v>
      </c>
      <c r="E14777" t="s">
        <v>187</v>
      </c>
      <c r="F14777">
        <v>2010</v>
      </c>
      <c r="G14777">
        <v>28.113918999999999</v>
      </c>
    </row>
    <row r="14778" spans="1:7">
      <c r="A14778" t="s">
        <v>1297</v>
      </c>
      <c r="B14778" t="s">
        <v>1298</v>
      </c>
      <c r="C14778" t="s">
        <v>657</v>
      </c>
      <c r="D14778" t="s">
        <v>1450</v>
      </c>
      <c r="E14778" t="s">
        <v>187</v>
      </c>
      <c r="F14778">
        <v>2012</v>
      </c>
      <c r="G14778">
        <v>36.971784</v>
      </c>
    </row>
    <row r="14779" spans="1:7">
      <c r="A14779" t="s">
        <v>1297</v>
      </c>
      <c r="B14779" t="s">
        <v>1298</v>
      </c>
      <c r="C14779" t="s">
        <v>657</v>
      </c>
      <c r="D14779" t="s">
        <v>1450</v>
      </c>
      <c r="E14779" t="s">
        <v>187</v>
      </c>
      <c r="F14779">
        <v>2016</v>
      </c>
      <c r="G14779">
        <v>46.014232</v>
      </c>
    </row>
    <row r="14780" spans="1:7">
      <c r="A14780" t="s">
        <v>1297</v>
      </c>
      <c r="B14780" t="s">
        <v>1298</v>
      </c>
      <c r="C14780" t="s">
        <v>657</v>
      </c>
      <c r="D14780" t="s">
        <v>1450</v>
      </c>
      <c r="E14780" t="s">
        <v>187</v>
      </c>
      <c r="F14780">
        <v>2020</v>
      </c>
      <c r="G14780">
        <v>58.139398999999997</v>
      </c>
    </row>
    <row r="14781" spans="1:7">
      <c r="A14781" t="s">
        <v>1297</v>
      </c>
      <c r="B14781" t="s">
        <v>1298</v>
      </c>
      <c r="C14781" t="s">
        <v>667</v>
      </c>
      <c r="D14781" t="s">
        <v>1450</v>
      </c>
      <c r="E14781" t="s">
        <v>187</v>
      </c>
      <c r="F14781">
        <v>2005</v>
      </c>
      <c r="G14781">
        <v>0.18810399999999999</v>
      </c>
    </row>
    <row r="14782" spans="1:7">
      <c r="A14782" t="s">
        <v>1297</v>
      </c>
      <c r="B14782" t="s">
        <v>1298</v>
      </c>
      <c r="C14782" t="s">
        <v>676</v>
      </c>
      <c r="D14782" t="s">
        <v>1450</v>
      </c>
      <c r="E14782" t="s">
        <v>187</v>
      </c>
      <c r="F14782">
        <v>2016</v>
      </c>
      <c r="G14782">
        <v>2.1600000000000001E-2</v>
      </c>
    </row>
    <row r="14783" spans="1:7">
      <c r="A14783" t="s">
        <v>1297</v>
      </c>
      <c r="B14783" t="s">
        <v>1298</v>
      </c>
      <c r="C14783" t="s">
        <v>676</v>
      </c>
      <c r="D14783" t="s">
        <v>1450</v>
      </c>
      <c r="E14783" t="s">
        <v>187</v>
      </c>
      <c r="F14783">
        <v>2020</v>
      </c>
      <c r="G14783">
        <v>2.1600000000000001E-2</v>
      </c>
    </row>
    <row r="14784" spans="1:7">
      <c r="A14784" t="s">
        <v>1297</v>
      </c>
      <c r="B14784" t="s">
        <v>1298</v>
      </c>
      <c r="C14784" t="s">
        <v>652</v>
      </c>
      <c r="D14784" t="s">
        <v>1450</v>
      </c>
      <c r="E14784" t="s">
        <v>187</v>
      </c>
      <c r="F14784">
        <v>2005</v>
      </c>
      <c r="G14784">
        <v>0.81720000000000004</v>
      </c>
    </row>
    <row r="14785" spans="1:7">
      <c r="A14785" t="s">
        <v>1297</v>
      </c>
      <c r="B14785" t="s">
        <v>1298</v>
      </c>
      <c r="C14785" t="s">
        <v>652</v>
      </c>
      <c r="D14785" t="s">
        <v>1450</v>
      </c>
      <c r="E14785" t="s">
        <v>187</v>
      </c>
      <c r="F14785">
        <v>2010</v>
      </c>
      <c r="G14785">
        <v>4.6512000000000002</v>
      </c>
    </row>
    <row r="14786" spans="1:7">
      <c r="A14786" t="s">
        <v>1297</v>
      </c>
      <c r="B14786" t="s">
        <v>1298</v>
      </c>
      <c r="C14786" t="s">
        <v>652</v>
      </c>
      <c r="D14786" t="s">
        <v>1450</v>
      </c>
      <c r="E14786" t="s">
        <v>187</v>
      </c>
      <c r="F14786">
        <v>2012</v>
      </c>
      <c r="G14786">
        <v>9.9036000000000008</v>
      </c>
    </row>
    <row r="14787" spans="1:7">
      <c r="A14787" t="s">
        <v>1297</v>
      </c>
      <c r="B14787" t="s">
        <v>1298</v>
      </c>
      <c r="C14787" t="s">
        <v>652</v>
      </c>
      <c r="D14787" t="s">
        <v>1450</v>
      </c>
      <c r="E14787" t="s">
        <v>187</v>
      </c>
      <c r="F14787">
        <v>2016</v>
      </c>
      <c r="G14787">
        <v>19.57572</v>
      </c>
    </row>
    <row r="14788" spans="1:7">
      <c r="A14788" t="s">
        <v>1297</v>
      </c>
      <c r="B14788" t="s">
        <v>1298</v>
      </c>
      <c r="C14788" t="s">
        <v>652</v>
      </c>
      <c r="D14788" t="s">
        <v>1450</v>
      </c>
      <c r="E14788" t="s">
        <v>187</v>
      </c>
      <c r="F14788">
        <v>2020</v>
      </c>
      <c r="G14788">
        <v>35.012160000000002</v>
      </c>
    </row>
    <row r="14789" spans="1:7">
      <c r="A14789" t="s">
        <v>1297</v>
      </c>
      <c r="B14789" t="s">
        <v>1298</v>
      </c>
      <c r="C14789" t="s">
        <v>653</v>
      </c>
      <c r="D14789" t="s">
        <v>1450</v>
      </c>
      <c r="E14789" t="s">
        <v>187</v>
      </c>
      <c r="F14789">
        <v>2005</v>
      </c>
      <c r="G14789">
        <v>1.6513E-2</v>
      </c>
    </row>
    <row r="14790" spans="1:7">
      <c r="A14790" t="s">
        <v>1297</v>
      </c>
      <c r="B14790" t="s">
        <v>1298</v>
      </c>
      <c r="C14790" t="s">
        <v>653</v>
      </c>
      <c r="D14790" t="s">
        <v>1450</v>
      </c>
      <c r="E14790" t="s">
        <v>187</v>
      </c>
      <c r="F14790">
        <v>2010</v>
      </c>
      <c r="G14790">
        <v>2.452928</v>
      </c>
    </row>
    <row r="14791" spans="1:7">
      <c r="A14791" t="s">
        <v>1297</v>
      </c>
      <c r="B14791" t="s">
        <v>1298</v>
      </c>
      <c r="C14791" t="s">
        <v>653</v>
      </c>
      <c r="D14791" t="s">
        <v>1450</v>
      </c>
      <c r="E14791" t="s">
        <v>187</v>
      </c>
      <c r="F14791">
        <v>2012</v>
      </c>
      <c r="G14791">
        <v>4.3952330000000002</v>
      </c>
    </row>
    <row r="14792" spans="1:7">
      <c r="A14792" t="s">
        <v>1297</v>
      </c>
      <c r="B14792" t="s">
        <v>1298</v>
      </c>
      <c r="C14792" t="s">
        <v>653</v>
      </c>
      <c r="D14792" t="s">
        <v>1450</v>
      </c>
      <c r="E14792" t="s">
        <v>187</v>
      </c>
      <c r="F14792">
        <v>2016</v>
      </c>
      <c r="G14792">
        <v>5.1298919999999999</v>
      </c>
    </row>
    <row r="14793" spans="1:7">
      <c r="A14793" t="s">
        <v>1297</v>
      </c>
      <c r="B14793" t="s">
        <v>1298</v>
      </c>
      <c r="C14793" t="s">
        <v>653</v>
      </c>
      <c r="D14793" t="s">
        <v>1450</v>
      </c>
      <c r="E14793" t="s">
        <v>187</v>
      </c>
      <c r="F14793">
        <v>2020</v>
      </c>
      <c r="G14793">
        <v>4.7411570000000003</v>
      </c>
    </row>
    <row r="14794" spans="1:7">
      <c r="A14794" t="s">
        <v>1297</v>
      </c>
      <c r="B14794" t="s">
        <v>1298</v>
      </c>
      <c r="C14794" t="s">
        <v>661</v>
      </c>
      <c r="D14794" t="s">
        <v>1450</v>
      </c>
      <c r="E14794" t="s">
        <v>187</v>
      </c>
      <c r="F14794">
        <v>2005</v>
      </c>
      <c r="G14794">
        <v>3.465252</v>
      </c>
    </row>
    <row r="14795" spans="1:7">
      <c r="A14795" t="s">
        <v>1297</v>
      </c>
      <c r="B14795" t="s">
        <v>1298</v>
      </c>
      <c r="C14795" t="s">
        <v>661</v>
      </c>
      <c r="D14795" t="s">
        <v>1450</v>
      </c>
      <c r="E14795" t="s">
        <v>187</v>
      </c>
      <c r="F14795">
        <v>2010</v>
      </c>
      <c r="G14795">
        <v>35.801963999999998</v>
      </c>
    </row>
    <row r="14796" spans="1:7">
      <c r="A14796" t="s">
        <v>1297</v>
      </c>
      <c r="B14796" t="s">
        <v>1298</v>
      </c>
      <c r="C14796" t="s">
        <v>661</v>
      </c>
      <c r="D14796" t="s">
        <v>1450</v>
      </c>
      <c r="E14796" t="s">
        <v>187</v>
      </c>
      <c r="F14796">
        <v>2012</v>
      </c>
      <c r="G14796">
        <v>54.642240000000001</v>
      </c>
    </row>
    <row r="14797" spans="1:7">
      <c r="A14797" t="s">
        <v>1297</v>
      </c>
      <c r="B14797" t="s">
        <v>1298</v>
      </c>
      <c r="C14797" t="s">
        <v>661</v>
      </c>
      <c r="D14797" t="s">
        <v>1450</v>
      </c>
      <c r="E14797" t="s">
        <v>187</v>
      </c>
      <c r="F14797">
        <v>2016</v>
      </c>
      <c r="G14797">
        <v>76.971541999999999</v>
      </c>
    </row>
    <row r="14798" spans="1:7">
      <c r="A14798" t="s">
        <v>1297</v>
      </c>
      <c r="B14798" t="s">
        <v>1298</v>
      </c>
      <c r="C14798" t="s">
        <v>661</v>
      </c>
      <c r="D14798" t="s">
        <v>1450</v>
      </c>
      <c r="E14798" t="s">
        <v>187</v>
      </c>
      <c r="F14798">
        <v>2020</v>
      </c>
      <c r="G14798">
        <v>124.998062</v>
      </c>
    </row>
    <row r="14799" spans="1:7">
      <c r="A14799" t="s">
        <v>1297</v>
      </c>
      <c r="B14799" t="s">
        <v>1298</v>
      </c>
      <c r="C14799" t="s">
        <v>659</v>
      </c>
      <c r="D14799" t="s">
        <v>1450</v>
      </c>
      <c r="E14799" t="s">
        <v>187</v>
      </c>
      <c r="F14799">
        <v>2005</v>
      </c>
      <c r="G14799">
        <v>76.233599999999996</v>
      </c>
    </row>
    <row r="14800" spans="1:7">
      <c r="A14800" t="s">
        <v>1297</v>
      </c>
      <c r="B14800" t="s">
        <v>1298</v>
      </c>
      <c r="C14800" t="s">
        <v>659</v>
      </c>
      <c r="D14800" t="s">
        <v>1450</v>
      </c>
      <c r="E14800" t="s">
        <v>187</v>
      </c>
      <c r="F14800">
        <v>2010</v>
      </c>
      <c r="G14800">
        <v>159.37559999999999</v>
      </c>
    </row>
    <row r="14801" spans="1:7">
      <c r="A14801" t="s">
        <v>1297</v>
      </c>
      <c r="B14801" t="s">
        <v>1298</v>
      </c>
      <c r="C14801" t="s">
        <v>659</v>
      </c>
      <c r="D14801" t="s">
        <v>1450</v>
      </c>
      <c r="E14801" t="s">
        <v>187</v>
      </c>
      <c r="F14801">
        <v>2012</v>
      </c>
      <c r="G14801">
        <v>178.0992</v>
      </c>
    </row>
    <row r="14802" spans="1:7">
      <c r="A14802" t="s">
        <v>1297</v>
      </c>
      <c r="B14802" t="s">
        <v>1298</v>
      </c>
      <c r="C14802" t="s">
        <v>659</v>
      </c>
      <c r="D14802" t="s">
        <v>1450</v>
      </c>
      <c r="E14802" t="s">
        <v>187</v>
      </c>
      <c r="F14802">
        <v>2016</v>
      </c>
      <c r="G14802">
        <v>176.05799999999999</v>
      </c>
    </row>
    <row r="14803" spans="1:7">
      <c r="A14803" t="s">
        <v>1297</v>
      </c>
      <c r="B14803" t="s">
        <v>1298</v>
      </c>
      <c r="C14803" t="s">
        <v>659</v>
      </c>
      <c r="D14803" t="s">
        <v>1450</v>
      </c>
      <c r="E14803" t="s">
        <v>187</v>
      </c>
      <c r="F14803">
        <v>2020</v>
      </c>
      <c r="G14803">
        <v>200.32919999999999</v>
      </c>
    </row>
    <row r="14804" spans="1:7">
      <c r="A14804" t="s">
        <v>1297</v>
      </c>
      <c r="B14804" t="s">
        <v>1298</v>
      </c>
      <c r="C14804" t="s">
        <v>682</v>
      </c>
      <c r="D14804" t="s">
        <v>1450</v>
      </c>
      <c r="E14804" t="s">
        <v>187</v>
      </c>
      <c r="F14804">
        <v>2020</v>
      </c>
      <c r="G14804">
        <v>0.91439999999999999</v>
      </c>
    </row>
    <row r="14805" spans="1:7">
      <c r="A14805" t="s">
        <v>1297</v>
      </c>
      <c r="B14805" t="s">
        <v>1298</v>
      </c>
      <c r="C14805" t="s">
        <v>1300</v>
      </c>
      <c r="D14805" t="s">
        <v>1450</v>
      </c>
      <c r="E14805" t="s">
        <v>187</v>
      </c>
      <c r="F14805">
        <v>2016</v>
      </c>
      <c r="G14805">
        <v>9.1690000000000001E-3</v>
      </c>
    </row>
    <row r="14806" spans="1:7">
      <c r="A14806" t="s">
        <v>1297</v>
      </c>
      <c r="B14806" t="s">
        <v>1298</v>
      </c>
      <c r="C14806" t="s">
        <v>1300</v>
      </c>
      <c r="D14806" t="s">
        <v>1450</v>
      </c>
      <c r="E14806" t="s">
        <v>187</v>
      </c>
      <c r="F14806">
        <v>2020</v>
      </c>
      <c r="G14806">
        <v>0.15479999999999999</v>
      </c>
    </row>
    <row r="14807" spans="1:7">
      <c r="A14807" t="s">
        <v>1297</v>
      </c>
      <c r="B14807" t="s">
        <v>1298</v>
      </c>
      <c r="C14807" t="s">
        <v>666</v>
      </c>
      <c r="D14807" t="s">
        <v>1450</v>
      </c>
      <c r="E14807" t="s">
        <v>187</v>
      </c>
      <c r="F14807">
        <v>2005</v>
      </c>
      <c r="G14807">
        <v>7.1999999999999998E-3</v>
      </c>
    </row>
    <row r="14808" spans="1:7">
      <c r="A14808" t="s">
        <v>1297</v>
      </c>
      <c r="B14808" t="s">
        <v>1298</v>
      </c>
      <c r="C14808" t="s">
        <v>666</v>
      </c>
      <c r="D14808" t="s">
        <v>1450</v>
      </c>
      <c r="E14808" t="s">
        <v>187</v>
      </c>
      <c r="F14808">
        <v>2010</v>
      </c>
      <c r="G14808">
        <v>0.80640000000000001</v>
      </c>
    </row>
    <row r="14809" spans="1:7">
      <c r="A14809" t="s">
        <v>1297</v>
      </c>
      <c r="B14809" t="s">
        <v>1298</v>
      </c>
      <c r="C14809" t="s">
        <v>666</v>
      </c>
      <c r="D14809" t="s">
        <v>1450</v>
      </c>
      <c r="E14809" t="s">
        <v>187</v>
      </c>
      <c r="F14809">
        <v>2012</v>
      </c>
      <c r="G14809">
        <v>1.944</v>
      </c>
    </row>
    <row r="14810" spans="1:7">
      <c r="A14810" t="s">
        <v>1297</v>
      </c>
      <c r="B14810" t="s">
        <v>1298</v>
      </c>
      <c r="C14810" t="s">
        <v>666</v>
      </c>
      <c r="D14810" t="s">
        <v>1450</v>
      </c>
      <c r="E14810" t="s">
        <v>187</v>
      </c>
      <c r="F14810">
        <v>2016</v>
      </c>
      <c r="G14810">
        <v>4.0895999999999999</v>
      </c>
    </row>
    <row r="14811" spans="1:7">
      <c r="A14811" t="s">
        <v>1297</v>
      </c>
      <c r="B14811" t="s">
        <v>1298</v>
      </c>
      <c r="C14811" t="s">
        <v>666</v>
      </c>
      <c r="D14811" t="s">
        <v>1450</v>
      </c>
      <c r="E14811" t="s">
        <v>187</v>
      </c>
      <c r="F14811">
        <v>2020</v>
      </c>
      <c r="G14811">
        <v>5.3978400000000004</v>
      </c>
    </row>
    <row r="14812" spans="1:7">
      <c r="A14812" t="s">
        <v>1297</v>
      </c>
      <c r="B14812" t="s">
        <v>1298</v>
      </c>
      <c r="C14812" t="s">
        <v>684</v>
      </c>
      <c r="D14812" t="s">
        <v>1450</v>
      </c>
      <c r="E14812" t="s">
        <v>187</v>
      </c>
      <c r="F14812">
        <v>2020</v>
      </c>
      <c r="G14812">
        <v>1.0562400000000001</v>
      </c>
    </row>
    <row r="14813" spans="1:7">
      <c r="A14813" t="s">
        <v>1297</v>
      </c>
      <c r="B14813" t="s">
        <v>1298</v>
      </c>
      <c r="C14813" t="s">
        <v>655</v>
      </c>
      <c r="D14813" t="s">
        <v>1450</v>
      </c>
      <c r="E14813" t="s">
        <v>187</v>
      </c>
      <c r="F14813">
        <v>2005</v>
      </c>
      <c r="G14813">
        <v>7.6607999999999996E-2</v>
      </c>
    </row>
    <row r="14814" spans="1:7">
      <c r="A14814" t="s">
        <v>1297</v>
      </c>
      <c r="B14814" t="s">
        <v>1298</v>
      </c>
      <c r="C14814" t="s">
        <v>655</v>
      </c>
      <c r="D14814" t="s">
        <v>1450</v>
      </c>
      <c r="E14814" t="s">
        <v>187</v>
      </c>
      <c r="F14814">
        <v>2010</v>
      </c>
      <c r="G14814">
        <v>1.207775</v>
      </c>
    </row>
    <row r="14815" spans="1:7">
      <c r="A14815" t="s">
        <v>1297</v>
      </c>
      <c r="B14815" t="s">
        <v>1298</v>
      </c>
      <c r="C14815" t="s">
        <v>655</v>
      </c>
      <c r="D14815" t="s">
        <v>1450</v>
      </c>
      <c r="E14815" t="s">
        <v>187</v>
      </c>
      <c r="F14815">
        <v>2012</v>
      </c>
      <c r="G14815">
        <v>1.4969410000000001</v>
      </c>
    </row>
    <row r="14816" spans="1:7">
      <c r="A14816" t="s">
        <v>1297</v>
      </c>
      <c r="B14816" t="s">
        <v>1298</v>
      </c>
      <c r="C14816" t="s">
        <v>655</v>
      </c>
      <c r="D14816" t="s">
        <v>1450</v>
      </c>
      <c r="E14816" t="s">
        <v>187</v>
      </c>
      <c r="F14816">
        <v>2016</v>
      </c>
      <c r="G14816">
        <v>1.789045</v>
      </c>
    </row>
    <row r="14817" spans="1:7">
      <c r="A14817" t="s">
        <v>1297</v>
      </c>
      <c r="B14817" t="s">
        <v>1298</v>
      </c>
      <c r="C14817" t="s">
        <v>655</v>
      </c>
      <c r="D14817" t="s">
        <v>1450</v>
      </c>
      <c r="E14817" t="s">
        <v>187</v>
      </c>
      <c r="F14817">
        <v>2020</v>
      </c>
      <c r="G14817">
        <v>2.5200499999999999</v>
      </c>
    </row>
    <row r="14818" spans="1:7">
      <c r="A14818" t="s">
        <v>1297</v>
      </c>
      <c r="B14818" t="s">
        <v>1298</v>
      </c>
      <c r="C14818" t="s">
        <v>1299</v>
      </c>
      <c r="D14818" t="s">
        <v>1450</v>
      </c>
      <c r="E14818" t="s">
        <v>187</v>
      </c>
      <c r="F14818">
        <v>2005</v>
      </c>
      <c r="G14818">
        <v>0.13536000000000001</v>
      </c>
    </row>
    <row r="14819" spans="1:7">
      <c r="A14819" t="s">
        <v>1297</v>
      </c>
      <c r="B14819" t="s">
        <v>1298</v>
      </c>
      <c r="C14819" t="s">
        <v>1299</v>
      </c>
      <c r="D14819" t="s">
        <v>1450</v>
      </c>
      <c r="E14819" t="s">
        <v>187</v>
      </c>
      <c r="F14819">
        <v>2010</v>
      </c>
      <c r="G14819">
        <v>0.18323999999999999</v>
      </c>
    </row>
    <row r="14820" spans="1:7">
      <c r="A14820" t="s">
        <v>1297</v>
      </c>
      <c r="B14820" t="s">
        <v>1298</v>
      </c>
      <c r="C14820" t="s">
        <v>1299</v>
      </c>
      <c r="D14820" t="s">
        <v>1450</v>
      </c>
      <c r="E14820" t="s">
        <v>187</v>
      </c>
      <c r="F14820">
        <v>2012</v>
      </c>
      <c r="G14820">
        <v>1.03752</v>
      </c>
    </row>
    <row r="14821" spans="1:7">
      <c r="A14821" t="s">
        <v>1297</v>
      </c>
      <c r="B14821" t="s">
        <v>1298</v>
      </c>
      <c r="C14821" t="s">
        <v>1299</v>
      </c>
      <c r="D14821" t="s">
        <v>1450</v>
      </c>
      <c r="E14821" t="s">
        <v>187</v>
      </c>
      <c r="F14821">
        <v>2016</v>
      </c>
      <c r="G14821">
        <v>3.4336799999999998</v>
      </c>
    </row>
    <row r="14822" spans="1:7">
      <c r="A14822" t="s">
        <v>1297</v>
      </c>
      <c r="B14822" t="s">
        <v>1298</v>
      </c>
      <c r="C14822" t="s">
        <v>1299</v>
      </c>
      <c r="D14822" t="s">
        <v>1450</v>
      </c>
      <c r="E14822" t="s">
        <v>187</v>
      </c>
      <c r="F14822">
        <v>2020</v>
      </c>
      <c r="G14822">
        <v>7.2727199999999996</v>
      </c>
    </row>
    <row r="14823" spans="1:7">
      <c r="A14823" t="s">
        <v>1297</v>
      </c>
      <c r="B14823" t="s">
        <v>1298</v>
      </c>
      <c r="C14823" t="s">
        <v>675</v>
      </c>
      <c r="D14823" t="s">
        <v>1450</v>
      </c>
      <c r="E14823" t="s">
        <v>187</v>
      </c>
      <c r="F14823">
        <v>2016</v>
      </c>
      <c r="G14823">
        <v>2.0801E-2</v>
      </c>
    </row>
    <row r="14824" spans="1:7">
      <c r="A14824" t="s">
        <v>1297</v>
      </c>
      <c r="B14824" t="s">
        <v>1298</v>
      </c>
      <c r="C14824" t="s">
        <v>675</v>
      </c>
      <c r="D14824" t="s">
        <v>1450</v>
      </c>
      <c r="E14824" t="s">
        <v>187</v>
      </c>
      <c r="F14824">
        <v>2020</v>
      </c>
      <c r="G14824">
        <v>2.214E-2</v>
      </c>
    </row>
    <row r="14825" spans="1:7">
      <c r="A14825" t="s">
        <v>1297</v>
      </c>
      <c r="B14825" t="s">
        <v>1298</v>
      </c>
      <c r="C14825" t="s">
        <v>685</v>
      </c>
      <c r="D14825" t="s">
        <v>1450</v>
      </c>
      <c r="E14825" t="s">
        <v>187</v>
      </c>
      <c r="F14825">
        <v>2016</v>
      </c>
      <c r="G14825">
        <v>0.39413500000000001</v>
      </c>
    </row>
    <row r="14826" spans="1:7">
      <c r="A14826" t="s">
        <v>1297</v>
      </c>
      <c r="B14826" t="s">
        <v>1298</v>
      </c>
      <c r="C14826" t="s">
        <v>685</v>
      </c>
      <c r="D14826" t="s">
        <v>1450</v>
      </c>
      <c r="E14826" t="s">
        <v>187</v>
      </c>
      <c r="F14826">
        <v>2020</v>
      </c>
      <c r="G14826">
        <v>0.36650500000000003</v>
      </c>
    </row>
    <row r="14827" spans="1:7">
      <c r="A14827" t="s">
        <v>1297</v>
      </c>
      <c r="B14827" t="s">
        <v>1298</v>
      </c>
      <c r="C14827" t="s">
        <v>1302</v>
      </c>
      <c r="D14827" t="s">
        <v>1450</v>
      </c>
      <c r="E14827" t="s">
        <v>187</v>
      </c>
      <c r="F14827">
        <v>2010</v>
      </c>
      <c r="G14827">
        <v>3.5999999999999999E-3</v>
      </c>
    </row>
    <row r="14828" spans="1:7">
      <c r="A14828" t="s">
        <v>1297</v>
      </c>
      <c r="B14828" t="s">
        <v>1298</v>
      </c>
      <c r="C14828" t="s">
        <v>1302</v>
      </c>
      <c r="D14828" t="s">
        <v>1450</v>
      </c>
      <c r="E14828" t="s">
        <v>187</v>
      </c>
      <c r="F14828">
        <v>2016</v>
      </c>
      <c r="G14828">
        <v>4.2499999999999998E-4</v>
      </c>
    </row>
    <row r="14829" spans="1:7">
      <c r="A14829" t="s">
        <v>1297</v>
      </c>
      <c r="B14829" t="s">
        <v>1298</v>
      </c>
      <c r="C14829" t="s">
        <v>1302</v>
      </c>
      <c r="D14829" t="s">
        <v>1450</v>
      </c>
      <c r="E14829" t="s">
        <v>187</v>
      </c>
      <c r="F14829">
        <v>2020</v>
      </c>
      <c r="G14829">
        <v>0.32633600000000001</v>
      </c>
    </row>
    <row r="14830" spans="1:7">
      <c r="A14830" t="s">
        <v>1297</v>
      </c>
      <c r="B14830" t="s">
        <v>1298</v>
      </c>
      <c r="C14830" t="s">
        <v>674</v>
      </c>
      <c r="D14830" t="s">
        <v>1450</v>
      </c>
      <c r="E14830" t="s">
        <v>187</v>
      </c>
      <c r="F14830">
        <v>2005</v>
      </c>
      <c r="G14830">
        <v>3.3660000000000001</v>
      </c>
    </row>
    <row r="14831" spans="1:7">
      <c r="A14831" t="s">
        <v>1297</v>
      </c>
      <c r="B14831" t="s">
        <v>1298</v>
      </c>
      <c r="C14831" t="s">
        <v>674</v>
      </c>
      <c r="D14831" t="s">
        <v>1450</v>
      </c>
      <c r="E14831" t="s">
        <v>187</v>
      </c>
      <c r="F14831">
        <v>2010</v>
      </c>
      <c r="G14831">
        <v>12.5532</v>
      </c>
    </row>
    <row r="14832" spans="1:7">
      <c r="A14832" t="s">
        <v>1297</v>
      </c>
      <c r="B14832" t="s">
        <v>1298</v>
      </c>
      <c r="C14832" t="s">
        <v>674</v>
      </c>
      <c r="D14832" t="s">
        <v>1450</v>
      </c>
      <c r="E14832" t="s">
        <v>187</v>
      </c>
      <c r="F14832">
        <v>2012</v>
      </c>
      <c r="G14832">
        <v>25.790400000000002</v>
      </c>
    </row>
    <row r="14833" spans="1:7">
      <c r="A14833" t="s">
        <v>1297</v>
      </c>
      <c r="B14833" t="s">
        <v>1298</v>
      </c>
      <c r="C14833" t="s">
        <v>674</v>
      </c>
      <c r="D14833" t="s">
        <v>1450</v>
      </c>
      <c r="E14833" t="s">
        <v>187</v>
      </c>
      <c r="F14833">
        <v>2016</v>
      </c>
      <c r="G14833">
        <v>55.724400000000003</v>
      </c>
    </row>
    <row r="14834" spans="1:7">
      <c r="A14834" t="s">
        <v>1297</v>
      </c>
      <c r="B14834" t="s">
        <v>1298</v>
      </c>
      <c r="C14834" t="s">
        <v>668</v>
      </c>
      <c r="D14834" t="s">
        <v>1450</v>
      </c>
      <c r="E14834" t="s">
        <v>187</v>
      </c>
      <c r="F14834">
        <v>2020</v>
      </c>
      <c r="G14834">
        <v>0.554396</v>
      </c>
    </row>
    <row r="14835" spans="1:7">
      <c r="A14835" t="s">
        <v>1297</v>
      </c>
      <c r="B14835" t="s">
        <v>1298</v>
      </c>
      <c r="C14835" t="s">
        <v>686</v>
      </c>
      <c r="D14835" t="s">
        <v>1450</v>
      </c>
      <c r="E14835" t="s">
        <v>187</v>
      </c>
      <c r="F14835">
        <v>2016</v>
      </c>
      <c r="G14835">
        <v>9.3600000000000003E-2</v>
      </c>
    </row>
    <row r="14836" spans="1:7">
      <c r="A14836" t="s">
        <v>1297</v>
      </c>
      <c r="B14836" t="s">
        <v>1298</v>
      </c>
      <c r="C14836" t="s">
        <v>686</v>
      </c>
      <c r="D14836" t="s">
        <v>1450</v>
      </c>
      <c r="E14836" t="s">
        <v>187</v>
      </c>
      <c r="F14836">
        <v>2020</v>
      </c>
      <c r="G14836">
        <v>3.2335630000000002</v>
      </c>
    </row>
    <row r="14837" spans="1:7">
      <c r="A14837" t="s">
        <v>1297</v>
      </c>
      <c r="B14837" t="s">
        <v>1298</v>
      </c>
      <c r="C14837" t="s">
        <v>671</v>
      </c>
      <c r="D14837" t="s">
        <v>1450</v>
      </c>
      <c r="E14837" t="s">
        <v>187</v>
      </c>
      <c r="F14837">
        <v>2005</v>
      </c>
      <c r="G14837">
        <v>0.48769200000000001</v>
      </c>
    </row>
    <row r="14838" spans="1:7">
      <c r="A14838" t="s">
        <v>1297</v>
      </c>
      <c r="B14838" t="s">
        <v>1298</v>
      </c>
      <c r="C14838" t="s">
        <v>671</v>
      </c>
      <c r="D14838" t="s">
        <v>1450</v>
      </c>
      <c r="E14838" t="s">
        <v>187</v>
      </c>
      <c r="F14838">
        <v>2010</v>
      </c>
      <c r="G14838">
        <v>5.9916200000000002</v>
      </c>
    </row>
    <row r="14839" spans="1:7">
      <c r="A14839" t="s">
        <v>1297</v>
      </c>
      <c r="B14839" t="s">
        <v>1298</v>
      </c>
      <c r="C14839" t="s">
        <v>671</v>
      </c>
      <c r="D14839" t="s">
        <v>1450</v>
      </c>
      <c r="E14839" t="s">
        <v>187</v>
      </c>
      <c r="F14839">
        <v>2012</v>
      </c>
      <c r="G14839">
        <v>17.087724000000001</v>
      </c>
    </row>
    <row r="14840" spans="1:7">
      <c r="A14840" t="s">
        <v>1297</v>
      </c>
      <c r="B14840" t="s">
        <v>1298</v>
      </c>
      <c r="C14840" t="s">
        <v>671</v>
      </c>
      <c r="D14840" t="s">
        <v>1450</v>
      </c>
      <c r="E14840" t="s">
        <v>187</v>
      </c>
      <c r="F14840">
        <v>2016</v>
      </c>
      <c r="G14840">
        <v>45.315323999999997</v>
      </c>
    </row>
    <row r="14841" spans="1:7">
      <c r="A14841" t="s">
        <v>1297</v>
      </c>
      <c r="B14841" t="s">
        <v>1298</v>
      </c>
      <c r="C14841" t="s">
        <v>671</v>
      </c>
      <c r="D14841" t="s">
        <v>1450</v>
      </c>
      <c r="E14841" t="s">
        <v>187</v>
      </c>
      <c r="F14841">
        <v>2020</v>
      </c>
      <c r="G14841">
        <v>54.384332000000001</v>
      </c>
    </row>
    <row r="14842" spans="1:7">
      <c r="A14842" t="s">
        <v>1297</v>
      </c>
      <c r="B14842" t="s">
        <v>1298</v>
      </c>
      <c r="C14842" t="s">
        <v>660</v>
      </c>
      <c r="D14842" t="s">
        <v>1450</v>
      </c>
      <c r="E14842" t="s">
        <v>187</v>
      </c>
      <c r="F14842">
        <v>2005</v>
      </c>
      <c r="G14842">
        <v>0.61179099999999997</v>
      </c>
    </row>
    <row r="14843" spans="1:7">
      <c r="A14843" t="s">
        <v>1297</v>
      </c>
      <c r="B14843" t="s">
        <v>1298</v>
      </c>
      <c r="C14843" t="s">
        <v>660</v>
      </c>
      <c r="D14843" t="s">
        <v>1450</v>
      </c>
      <c r="E14843" t="s">
        <v>187</v>
      </c>
      <c r="F14843">
        <v>2010</v>
      </c>
      <c r="G14843">
        <v>1.0595410000000001</v>
      </c>
    </row>
    <row r="14844" spans="1:7">
      <c r="A14844" t="s">
        <v>1297</v>
      </c>
      <c r="B14844" t="s">
        <v>1298</v>
      </c>
      <c r="C14844" t="s">
        <v>660</v>
      </c>
      <c r="D14844" t="s">
        <v>1450</v>
      </c>
      <c r="E14844" t="s">
        <v>187</v>
      </c>
      <c r="F14844">
        <v>2012</v>
      </c>
      <c r="G14844">
        <v>1.779563</v>
      </c>
    </row>
    <row r="14845" spans="1:7">
      <c r="A14845" t="s">
        <v>1297</v>
      </c>
      <c r="B14845" t="s">
        <v>1298</v>
      </c>
      <c r="C14845" t="s">
        <v>660</v>
      </c>
      <c r="D14845" t="s">
        <v>1450</v>
      </c>
      <c r="E14845" t="s">
        <v>187</v>
      </c>
      <c r="F14845">
        <v>2016</v>
      </c>
      <c r="G14845">
        <v>11.044948</v>
      </c>
    </row>
    <row r="14846" spans="1:7">
      <c r="A14846" t="s">
        <v>1297</v>
      </c>
      <c r="B14846" t="s">
        <v>1298</v>
      </c>
      <c r="C14846" t="s">
        <v>660</v>
      </c>
      <c r="D14846" t="s">
        <v>1450</v>
      </c>
      <c r="E14846" t="s">
        <v>187</v>
      </c>
      <c r="F14846">
        <v>2020</v>
      </c>
      <c r="G14846">
        <v>21.689086</v>
      </c>
    </row>
    <row r="14847" spans="1:7">
      <c r="A14847" t="s">
        <v>1297</v>
      </c>
      <c r="B14847" t="s">
        <v>1298</v>
      </c>
      <c r="C14847" t="s">
        <v>679</v>
      </c>
      <c r="D14847" t="s">
        <v>1450</v>
      </c>
      <c r="E14847" t="s">
        <v>187</v>
      </c>
      <c r="F14847">
        <v>2005</v>
      </c>
      <c r="G14847">
        <v>1.7964</v>
      </c>
    </row>
    <row r="14848" spans="1:7">
      <c r="A14848" t="s">
        <v>1297</v>
      </c>
      <c r="B14848" t="s">
        <v>1298</v>
      </c>
      <c r="C14848" t="s">
        <v>679</v>
      </c>
      <c r="D14848" t="s">
        <v>1450</v>
      </c>
      <c r="E14848" t="s">
        <v>187</v>
      </c>
      <c r="F14848">
        <v>2010</v>
      </c>
      <c r="G14848">
        <v>3.1644000000000001</v>
      </c>
    </row>
    <row r="14849" spans="1:7">
      <c r="A14849" t="s">
        <v>1297</v>
      </c>
      <c r="B14849" t="s">
        <v>1298</v>
      </c>
      <c r="C14849" t="s">
        <v>679</v>
      </c>
      <c r="D14849" t="s">
        <v>1450</v>
      </c>
      <c r="E14849" t="s">
        <v>187</v>
      </c>
      <c r="F14849">
        <v>2012</v>
      </c>
      <c r="G14849">
        <v>5.5728</v>
      </c>
    </row>
    <row r="14850" spans="1:7">
      <c r="A14850" t="s">
        <v>1297</v>
      </c>
      <c r="B14850" t="s">
        <v>1298</v>
      </c>
      <c r="C14850" t="s">
        <v>679</v>
      </c>
      <c r="D14850" t="s">
        <v>1450</v>
      </c>
      <c r="E14850" t="s">
        <v>187</v>
      </c>
      <c r="F14850">
        <v>2016</v>
      </c>
      <c r="G14850">
        <v>7.6176000000000004</v>
      </c>
    </row>
    <row r="14851" spans="1:7">
      <c r="A14851" t="s">
        <v>1297</v>
      </c>
      <c r="B14851" t="s">
        <v>1298</v>
      </c>
      <c r="C14851" t="s">
        <v>679</v>
      </c>
      <c r="D14851" t="s">
        <v>1450</v>
      </c>
      <c r="E14851" t="s">
        <v>187</v>
      </c>
      <c r="F14851">
        <v>2020</v>
      </c>
      <c r="G14851">
        <v>19.930499999999999</v>
      </c>
    </row>
    <row r="14852" spans="1:7">
      <c r="A14852" t="s">
        <v>1297</v>
      </c>
      <c r="B14852" t="s">
        <v>1298</v>
      </c>
      <c r="C14852" t="s">
        <v>665</v>
      </c>
      <c r="D14852" t="s">
        <v>1450</v>
      </c>
      <c r="E14852" t="s">
        <v>187</v>
      </c>
      <c r="F14852">
        <v>2005</v>
      </c>
      <c r="G14852">
        <v>8.4362359999999992</v>
      </c>
    </row>
    <row r="14853" spans="1:7">
      <c r="A14853" t="s">
        <v>1297</v>
      </c>
      <c r="B14853" t="s">
        <v>1298</v>
      </c>
      <c r="C14853" t="s">
        <v>665</v>
      </c>
      <c r="D14853" t="s">
        <v>1450</v>
      </c>
      <c r="E14853" t="s">
        <v>187</v>
      </c>
      <c r="F14853">
        <v>2010</v>
      </c>
      <c r="G14853">
        <v>32.853304999999999</v>
      </c>
    </row>
    <row r="14854" spans="1:7">
      <c r="A14854" t="s">
        <v>1297</v>
      </c>
      <c r="B14854" t="s">
        <v>1298</v>
      </c>
      <c r="C14854" t="s">
        <v>665</v>
      </c>
      <c r="D14854" t="s">
        <v>1450</v>
      </c>
      <c r="E14854" t="s">
        <v>187</v>
      </c>
      <c r="F14854">
        <v>2012</v>
      </c>
      <c r="G14854">
        <v>48.265656999999997</v>
      </c>
    </row>
    <row r="14855" spans="1:7">
      <c r="A14855" t="s">
        <v>1297</v>
      </c>
      <c r="B14855" t="s">
        <v>1298</v>
      </c>
      <c r="C14855" t="s">
        <v>665</v>
      </c>
      <c r="D14855" t="s">
        <v>1450</v>
      </c>
      <c r="E14855" t="s">
        <v>187</v>
      </c>
      <c r="F14855">
        <v>2016</v>
      </c>
      <c r="G14855">
        <v>63.679212</v>
      </c>
    </row>
    <row r="14856" spans="1:7">
      <c r="A14856" t="s">
        <v>1297</v>
      </c>
      <c r="B14856" t="s">
        <v>1298</v>
      </c>
      <c r="C14856" t="s">
        <v>665</v>
      </c>
      <c r="D14856" t="s">
        <v>1450</v>
      </c>
      <c r="E14856" t="s">
        <v>187</v>
      </c>
      <c r="F14856">
        <v>2020</v>
      </c>
      <c r="G14856">
        <v>72.727350999999999</v>
      </c>
    </row>
    <row r="14857" spans="1:7">
      <c r="A14857" t="s">
        <v>1297</v>
      </c>
      <c r="B14857" t="s">
        <v>1298</v>
      </c>
      <c r="C14857" t="s">
        <v>654</v>
      </c>
      <c r="D14857" t="s">
        <v>1450</v>
      </c>
      <c r="E14857" t="s">
        <v>187</v>
      </c>
      <c r="F14857">
        <v>2005</v>
      </c>
      <c r="G14857">
        <v>1.2780000000000001E-3</v>
      </c>
    </row>
    <row r="14858" spans="1:7">
      <c r="A14858" t="s">
        <v>1297</v>
      </c>
      <c r="B14858" t="s">
        <v>1298</v>
      </c>
      <c r="C14858" t="s">
        <v>654</v>
      </c>
      <c r="D14858" t="s">
        <v>1450</v>
      </c>
      <c r="E14858" t="s">
        <v>187</v>
      </c>
      <c r="F14858">
        <v>2010</v>
      </c>
      <c r="G14858">
        <v>0.11421000000000001</v>
      </c>
    </row>
    <row r="14859" spans="1:7">
      <c r="A14859" t="s">
        <v>1297</v>
      </c>
      <c r="B14859" t="s">
        <v>1298</v>
      </c>
      <c r="C14859" t="s">
        <v>654</v>
      </c>
      <c r="D14859" t="s">
        <v>1450</v>
      </c>
      <c r="E14859" t="s">
        <v>187</v>
      </c>
      <c r="F14859">
        <v>2012</v>
      </c>
      <c r="G14859">
        <v>0.66772100000000001</v>
      </c>
    </row>
    <row r="14860" spans="1:7">
      <c r="A14860" t="s">
        <v>1297</v>
      </c>
      <c r="B14860" t="s">
        <v>1298</v>
      </c>
      <c r="C14860" t="s">
        <v>654</v>
      </c>
      <c r="D14860" t="s">
        <v>1450</v>
      </c>
      <c r="E14860" t="s">
        <v>187</v>
      </c>
      <c r="F14860">
        <v>2016</v>
      </c>
      <c r="G14860">
        <v>0.81612399999999996</v>
      </c>
    </row>
    <row r="14861" spans="1:7">
      <c r="A14861" t="s">
        <v>1297</v>
      </c>
      <c r="B14861" t="s">
        <v>1298</v>
      </c>
      <c r="C14861" t="s">
        <v>654</v>
      </c>
      <c r="D14861" t="s">
        <v>1450</v>
      </c>
      <c r="E14861" t="s">
        <v>187</v>
      </c>
      <c r="F14861">
        <v>2020</v>
      </c>
      <c r="G14861">
        <v>0.85883399999999999</v>
      </c>
    </row>
    <row r="14862" spans="1:7">
      <c r="A14862" t="s">
        <v>1297</v>
      </c>
      <c r="B14862" t="s">
        <v>1298</v>
      </c>
      <c r="C14862" t="s">
        <v>1301</v>
      </c>
      <c r="D14862" t="s">
        <v>1450</v>
      </c>
      <c r="E14862" t="s">
        <v>187</v>
      </c>
      <c r="F14862">
        <v>2005</v>
      </c>
      <c r="G14862">
        <v>0.21240000000000001</v>
      </c>
    </row>
    <row r="14863" spans="1:7">
      <c r="A14863" t="s">
        <v>1297</v>
      </c>
      <c r="B14863" t="s">
        <v>1298</v>
      </c>
      <c r="C14863" t="s">
        <v>1301</v>
      </c>
      <c r="D14863" t="s">
        <v>1450</v>
      </c>
      <c r="E14863" t="s">
        <v>187</v>
      </c>
      <c r="F14863">
        <v>2010</v>
      </c>
      <c r="G14863">
        <v>10.498943000000001</v>
      </c>
    </row>
    <row r="14864" spans="1:7">
      <c r="A14864" t="s">
        <v>1297</v>
      </c>
      <c r="B14864" t="s">
        <v>1298</v>
      </c>
      <c r="C14864" t="s">
        <v>1301</v>
      </c>
      <c r="D14864" t="s">
        <v>1450</v>
      </c>
      <c r="E14864" t="s">
        <v>187</v>
      </c>
      <c r="F14864">
        <v>2012</v>
      </c>
      <c r="G14864">
        <v>21.098844</v>
      </c>
    </row>
    <row r="14865" spans="1:7">
      <c r="A14865" t="s">
        <v>1297</v>
      </c>
      <c r="B14865" t="s">
        <v>1298</v>
      </c>
      <c r="C14865" t="s">
        <v>1301</v>
      </c>
      <c r="D14865" t="s">
        <v>1450</v>
      </c>
      <c r="E14865" t="s">
        <v>187</v>
      </c>
      <c r="F14865">
        <v>2016</v>
      </c>
      <c r="G14865">
        <v>55.861513000000002</v>
      </c>
    </row>
    <row r="14866" spans="1:7">
      <c r="A14866" t="s">
        <v>1297</v>
      </c>
      <c r="B14866" t="s">
        <v>1298</v>
      </c>
      <c r="C14866" t="s">
        <v>663</v>
      </c>
      <c r="D14866" t="s">
        <v>1450</v>
      </c>
      <c r="E14866" t="s">
        <v>187</v>
      </c>
      <c r="F14866">
        <v>2005</v>
      </c>
      <c r="G14866">
        <v>3.6341999999999999E-2</v>
      </c>
    </row>
    <row r="14867" spans="1:7">
      <c r="A14867" t="s">
        <v>1297</v>
      </c>
      <c r="B14867" t="s">
        <v>1298</v>
      </c>
      <c r="C14867" t="s">
        <v>663</v>
      </c>
      <c r="D14867" t="s">
        <v>1450</v>
      </c>
      <c r="E14867" t="s">
        <v>187</v>
      </c>
      <c r="F14867">
        <v>2010</v>
      </c>
      <c r="G14867">
        <v>1.921651</v>
      </c>
    </row>
    <row r="14868" spans="1:7">
      <c r="A14868" t="s">
        <v>1297</v>
      </c>
      <c r="B14868" t="s">
        <v>1298</v>
      </c>
      <c r="C14868" t="s">
        <v>663</v>
      </c>
      <c r="D14868" t="s">
        <v>1450</v>
      </c>
      <c r="E14868" t="s">
        <v>187</v>
      </c>
      <c r="F14868">
        <v>2012</v>
      </c>
      <c r="G14868">
        <v>2.7719710000000002</v>
      </c>
    </row>
    <row r="14869" spans="1:7">
      <c r="A14869" t="s">
        <v>1297</v>
      </c>
      <c r="B14869" t="s">
        <v>1298</v>
      </c>
      <c r="C14869" t="s">
        <v>663</v>
      </c>
      <c r="D14869" t="s">
        <v>1450</v>
      </c>
      <c r="E14869" t="s">
        <v>187</v>
      </c>
      <c r="F14869">
        <v>2016</v>
      </c>
      <c r="G14869">
        <v>2.4612910000000001</v>
      </c>
    </row>
    <row r="14870" spans="1:7">
      <c r="A14870" t="s">
        <v>1297</v>
      </c>
      <c r="B14870" t="s">
        <v>1298</v>
      </c>
      <c r="C14870" t="s">
        <v>663</v>
      </c>
      <c r="D14870" t="s">
        <v>1450</v>
      </c>
      <c r="E14870" t="s">
        <v>187</v>
      </c>
      <c r="F14870">
        <v>2020</v>
      </c>
      <c r="G14870">
        <v>2.6244000000000001</v>
      </c>
    </row>
    <row r="14871" spans="1:7">
      <c r="A14871" t="s">
        <v>1297</v>
      </c>
      <c r="B14871" t="s">
        <v>1298</v>
      </c>
      <c r="C14871" t="s">
        <v>680</v>
      </c>
      <c r="D14871" t="s">
        <v>1450</v>
      </c>
      <c r="E14871" t="s">
        <v>187</v>
      </c>
      <c r="F14871">
        <v>2016</v>
      </c>
      <c r="G14871">
        <v>3.3155999999999998E-2</v>
      </c>
    </row>
    <row r="14872" spans="1:7">
      <c r="A14872" t="s">
        <v>1297</v>
      </c>
      <c r="B14872" t="s">
        <v>1298</v>
      </c>
      <c r="C14872" t="s">
        <v>680</v>
      </c>
      <c r="D14872" t="s">
        <v>1450</v>
      </c>
      <c r="E14872" t="s">
        <v>187</v>
      </c>
      <c r="F14872">
        <v>2020</v>
      </c>
      <c r="G14872">
        <v>2.3647999999999999E-2</v>
      </c>
    </row>
    <row r="14873" spans="1:7">
      <c r="A14873" t="s">
        <v>1297</v>
      </c>
      <c r="B14873" t="s">
        <v>1298</v>
      </c>
      <c r="C14873" t="s">
        <v>670</v>
      </c>
      <c r="D14873" t="s">
        <v>1450</v>
      </c>
      <c r="E14873" t="s">
        <v>187</v>
      </c>
      <c r="F14873">
        <v>2005</v>
      </c>
      <c r="G14873">
        <v>7.4399579999999998</v>
      </c>
    </row>
    <row r="14874" spans="1:7">
      <c r="A14874" t="s">
        <v>1297</v>
      </c>
      <c r="B14874" t="s">
        <v>1298</v>
      </c>
      <c r="C14874" t="s">
        <v>670</v>
      </c>
      <c r="D14874" t="s">
        <v>1450</v>
      </c>
      <c r="E14874" t="s">
        <v>187</v>
      </c>
      <c r="F14874">
        <v>2010</v>
      </c>
      <c r="G14874">
        <v>14.375292999999999</v>
      </c>
    </row>
    <row r="14875" spans="1:7">
      <c r="A14875" t="s">
        <v>1297</v>
      </c>
      <c r="B14875" t="s">
        <v>1298</v>
      </c>
      <c r="C14875" t="s">
        <v>670</v>
      </c>
      <c r="D14875" t="s">
        <v>1450</v>
      </c>
      <c r="E14875" t="s">
        <v>187</v>
      </c>
      <c r="F14875">
        <v>2012</v>
      </c>
      <c r="G14875">
        <v>17.934584000000001</v>
      </c>
    </row>
    <row r="14876" spans="1:7">
      <c r="A14876" t="s">
        <v>1297</v>
      </c>
      <c r="B14876" t="s">
        <v>1298</v>
      </c>
      <c r="C14876" t="s">
        <v>670</v>
      </c>
      <c r="D14876" t="s">
        <v>1450</v>
      </c>
      <c r="E14876" t="s">
        <v>187</v>
      </c>
      <c r="F14876">
        <v>2016</v>
      </c>
      <c r="G14876">
        <v>29.413637999999999</v>
      </c>
    </row>
    <row r="14877" spans="1:7">
      <c r="A14877" t="s">
        <v>1297</v>
      </c>
      <c r="B14877" t="s">
        <v>1298</v>
      </c>
      <c r="C14877" t="s">
        <v>670</v>
      </c>
      <c r="D14877" t="s">
        <v>1450</v>
      </c>
      <c r="E14877" t="s">
        <v>187</v>
      </c>
      <c r="F14877">
        <v>2020</v>
      </c>
      <c r="G14877">
        <v>41.428536999999999</v>
      </c>
    </row>
    <row r="14878" spans="1:7">
      <c r="A14878" t="s">
        <v>1297</v>
      </c>
      <c r="B14878" t="s">
        <v>1298</v>
      </c>
      <c r="C14878" t="s">
        <v>1303</v>
      </c>
      <c r="D14878" t="s">
        <v>1450</v>
      </c>
      <c r="E14878" t="s">
        <v>187</v>
      </c>
      <c r="F14878">
        <v>2016</v>
      </c>
      <c r="G14878">
        <v>3.2399999999999998E-2</v>
      </c>
    </row>
    <row r="14879" spans="1:7">
      <c r="A14879" t="s">
        <v>1297</v>
      </c>
      <c r="B14879" t="s">
        <v>1298</v>
      </c>
      <c r="C14879" t="s">
        <v>1303</v>
      </c>
      <c r="D14879" t="s">
        <v>1450</v>
      </c>
      <c r="E14879" t="s">
        <v>187</v>
      </c>
      <c r="F14879">
        <v>2020</v>
      </c>
      <c r="G14879">
        <v>0.304898</v>
      </c>
    </row>
    <row r="14880" spans="1:7">
      <c r="A14880" t="s">
        <v>1297</v>
      </c>
      <c r="B14880" t="s">
        <v>1298</v>
      </c>
      <c r="C14880" t="s">
        <v>667</v>
      </c>
      <c r="D14880" t="s">
        <v>1450</v>
      </c>
      <c r="E14880" t="s">
        <v>187</v>
      </c>
      <c r="F14880">
        <v>2010</v>
      </c>
      <c r="G14880">
        <v>0.198299</v>
      </c>
    </row>
    <row r="14881" spans="1:7">
      <c r="A14881" t="s">
        <v>1297</v>
      </c>
      <c r="B14881" t="s">
        <v>1298</v>
      </c>
      <c r="C14881" t="s">
        <v>667</v>
      </c>
      <c r="D14881" t="s">
        <v>1450</v>
      </c>
      <c r="E14881" t="s">
        <v>187</v>
      </c>
      <c r="F14881">
        <v>2012</v>
      </c>
      <c r="G14881">
        <v>0.27887800000000001</v>
      </c>
    </row>
    <row r="14882" spans="1:7">
      <c r="A14882" t="s">
        <v>1297</v>
      </c>
      <c r="B14882" t="s">
        <v>1298</v>
      </c>
      <c r="C14882" t="s">
        <v>667</v>
      </c>
      <c r="D14882" t="s">
        <v>1450</v>
      </c>
      <c r="E14882" t="s">
        <v>187</v>
      </c>
      <c r="F14882">
        <v>2016</v>
      </c>
      <c r="G14882">
        <v>0.36535000000000001</v>
      </c>
    </row>
    <row r="14883" spans="1:7">
      <c r="A14883" t="s">
        <v>1297</v>
      </c>
      <c r="B14883" t="s">
        <v>1298</v>
      </c>
      <c r="C14883" t="s">
        <v>667</v>
      </c>
      <c r="D14883" t="s">
        <v>1450</v>
      </c>
      <c r="E14883" t="s">
        <v>187</v>
      </c>
      <c r="F14883">
        <v>2020</v>
      </c>
      <c r="G14883">
        <v>1.0126189999999999</v>
      </c>
    </row>
    <row r="14884" spans="1:7">
      <c r="A14884" t="s">
        <v>1297</v>
      </c>
      <c r="B14884" t="s">
        <v>1298</v>
      </c>
      <c r="C14884" t="s">
        <v>672</v>
      </c>
      <c r="D14884" t="s">
        <v>1450</v>
      </c>
      <c r="E14884" t="s">
        <v>187</v>
      </c>
      <c r="F14884">
        <v>2005</v>
      </c>
      <c r="G14884">
        <v>6.3837469999999996</v>
      </c>
    </row>
    <row r="14885" spans="1:7">
      <c r="A14885" t="s">
        <v>1297</v>
      </c>
      <c r="B14885" t="s">
        <v>1298</v>
      </c>
      <c r="C14885" t="s">
        <v>672</v>
      </c>
      <c r="D14885" t="s">
        <v>1450</v>
      </c>
      <c r="E14885" t="s">
        <v>187</v>
      </c>
      <c r="F14885">
        <v>2010</v>
      </c>
      <c r="G14885">
        <v>33.053659000000003</v>
      </c>
    </row>
    <row r="14886" spans="1:7">
      <c r="A14886" t="s">
        <v>1297</v>
      </c>
      <c r="B14886" t="s">
        <v>1298</v>
      </c>
      <c r="C14886" t="s">
        <v>672</v>
      </c>
      <c r="D14886" t="s">
        <v>1450</v>
      </c>
      <c r="E14886" t="s">
        <v>187</v>
      </c>
      <c r="F14886">
        <v>2012</v>
      </c>
      <c r="G14886">
        <v>36.935200999999999</v>
      </c>
    </row>
    <row r="14887" spans="1:7">
      <c r="A14887" t="s">
        <v>1297</v>
      </c>
      <c r="B14887" t="s">
        <v>1298</v>
      </c>
      <c r="C14887" t="s">
        <v>672</v>
      </c>
      <c r="D14887" t="s">
        <v>1450</v>
      </c>
      <c r="E14887" t="s">
        <v>187</v>
      </c>
      <c r="F14887">
        <v>2016</v>
      </c>
      <c r="G14887">
        <v>44.906745999999998</v>
      </c>
    </row>
    <row r="14888" spans="1:7">
      <c r="A14888" t="s">
        <v>1297</v>
      </c>
      <c r="B14888" t="s">
        <v>1298</v>
      </c>
      <c r="C14888" t="s">
        <v>672</v>
      </c>
      <c r="D14888" t="s">
        <v>1450</v>
      </c>
      <c r="E14888" t="s">
        <v>187</v>
      </c>
      <c r="F14888">
        <v>2020</v>
      </c>
      <c r="G14888">
        <v>49.201016000000003</v>
      </c>
    </row>
    <row r="14889" spans="1:7">
      <c r="A14889" t="s">
        <v>1297</v>
      </c>
      <c r="B14889" t="s">
        <v>1298</v>
      </c>
      <c r="C14889" t="s">
        <v>673</v>
      </c>
      <c r="D14889" t="s">
        <v>1450</v>
      </c>
      <c r="E14889" t="s">
        <v>187</v>
      </c>
      <c r="F14889">
        <v>2005</v>
      </c>
      <c r="G14889">
        <v>8.1700000000000002E-4</v>
      </c>
    </row>
    <row r="14890" spans="1:7">
      <c r="A14890" t="s">
        <v>1297</v>
      </c>
      <c r="B14890" t="s">
        <v>1298</v>
      </c>
      <c r="C14890" t="s">
        <v>673</v>
      </c>
      <c r="D14890" t="s">
        <v>1450</v>
      </c>
      <c r="E14890" t="s">
        <v>187</v>
      </c>
      <c r="F14890">
        <v>2010</v>
      </c>
      <c r="G14890">
        <v>1.1028530000000001</v>
      </c>
    </row>
    <row r="14891" spans="1:7">
      <c r="A14891" t="s">
        <v>1297</v>
      </c>
      <c r="B14891" t="s">
        <v>1298</v>
      </c>
      <c r="C14891" t="s">
        <v>673</v>
      </c>
      <c r="D14891" t="s">
        <v>1450</v>
      </c>
      <c r="E14891" t="s">
        <v>187</v>
      </c>
      <c r="F14891">
        <v>2012</v>
      </c>
      <c r="G14891">
        <v>9.5035500000000006</v>
      </c>
    </row>
    <row r="14892" spans="1:7">
      <c r="A14892" t="s">
        <v>1297</v>
      </c>
      <c r="B14892" t="s">
        <v>1298</v>
      </c>
      <c r="C14892" t="s">
        <v>673</v>
      </c>
      <c r="D14892" t="s">
        <v>1450</v>
      </c>
      <c r="E14892" t="s">
        <v>187</v>
      </c>
      <c r="F14892">
        <v>2016</v>
      </c>
      <c r="G14892">
        <v>23.724</v>
      </c>
    </row>
    <row r="14893" spans="1:7">
      <c r="A14893" t="s">
        <v>1297</v>
      </c>
      <c r="B14893" t="s">
        <v>1298</v>
      </c>
      <c r="C14893" t="s">
        <v>673</v>
      </c>
      <c r="D14893" t="s">
        <v>1450</v>
      </c>
      <c r="E14893" t="s">
        <v>187</v>
      </c>
      <c r="F14893">
        <v>2020</v>
      </c>
      <c r="G14893">
        <v>24.382111999999999</v>
      </c>
    </row>
    <row r="14894" spans="1:7">
      <c r="A14894" t="s">
        <v>1297</v>
      </c>
      <c r="B14894" t="s">
        <v>1298</v>
      </c>
      <c r="C14894" t="s">
        <v>656</v>
      </c>
      <c r="D14894" t="s">
        <v>1450</v>
      </c>
      <c r="E14894" t="s">
        <v>187</v>
      </c>
      <c r="F14894">
        <v>2005</v>
      </c>
      <c r="G14894">
        <v>99.986400000000003</v>
      </c>
    </row>
    <row r="14895" spans="1:7">
      <c r="A14895" t="s">
        <v>1297</v>
      </c>
      <c r="B14895" t="s">
        <v>1298</v>
      </c>
      <c r="C14895" t="s">
        <v>656</v>
      </c>
      <c r="D14895" t="s">
        <v>1450</v>
      </c>
      <c r="E14895" t="s">
        <v>187</v>
      </c>
      <c r="F14895">
        <v>2010</v>
      </c>
      <c r="G14895">
        <v>138.76920000000001</v>
      </c>
    </row>
    <row r="14896" spans="1:7">
      <c r="A14896" t="s">
        <v>1297</v>
      </c>
      <c r="B14896" t="s">
        <v>1298</v>
      </c>
      <c r="C14896" t="s">
        <v>656</v>
      </c>
      <c r="D14896" t="s">
        <v>1450</v>
      </c>
      <c r="E14896" t="s">
        <v>187</v>
      </c>
      <c r="F14896">
        <v>2012</v>
      </c>
      <c r="G14896">
        <v>186.048</v>
      </c>
    </row>
    <row r="14897" spans="1:7">
      <c r="A14897" t="s">
        <v>1297</v>
      </c>
      <c r="B14897" t="s">
        <v>1298</v>
      </c>
      <c r="C14897" t="s">
        <v>656</v>
      </c>
      <c r="D14897" t="s">
        <v>1450</v>
      </c>
      <c r="E14897" t="s">
        <v>187</v>
      </c>
      <c r="F14897">
        <v>2016</v>
      </c>
      <c r="G14897">
        <v>287.72640000000001</v>
      </c>
    </row>
    <row r="14898" spans="1:7">
      <c r="A14898" t="s">
        <v>1297</v>
      </c>
      <c r="B14898" t="s">
        <v>1298</v>
      </c>
      <c r="C14898" t="s">
        <v>656</v>
      </c>
      <c r="D14898" t="s">
        <v>1450</v>
      </c>
      <c r="E14898" t="s">
        <v>187</v>
      </c>
      <c r="F14898">
        <v>2020</v>
      </c>
      <c r="G14898">
        <v>453.21839999999997</v>
      </c>
    </row>
    <row r="14899" spans="1:7">
      <c r="A14899" t="s">
        <v>1297</v>
      </c>
      <c r="B14899" t="s">
        <v>1298</v>
      </c>
      <c r="C14899" t="s">
        <v>662</v>
      </c>
      <c r="D14899" t="s">
        <v>1450</v>
      </c>
      <c r="E14899" t="s">
        <v>187</v>
      </c>
      <c r="F14899">
        <v>2005</v>
      </c>
      <c r="G14899">
        <v>4.5592269999999999</v>
      </c>
    </row>
    <row r="14900" spans="1:7">
      <c r="A14900" t="s">
        <v>1297</v>
      </c>
      <c r="B14900" t="s">
        <v>1298</v>
      </c>
      <c r="C14900" t="s">
        <v>662</v>
      </c>
      <c r="D14900" t="s">
        <v>1450</v>
      </c>
      <c r="E14900" t="s">
        <v>187</v>
      </c>
      <c r="F14900">
        <v>2010</v>
      </c>
      <c r="G14900">
        <v>9.7701729999999998</v>
      </c>
    </row>
    <row r="14901" spans="1:7">
      <c r="A14901" t="s">
        <v>1297</v>
      </c>
      <c r="B14901" t="s">
        <v>1298</v>
      </c>
      <c r="C14901" t="s">
        <v>662</v>
      </c>
      <c r="D14901" t="s">
        <v>1450</v>
      </c>
      <c r="E14901" t="s">
        <v>187</v>
      </c>
      <c r="F14901">
        <v>2012</v>
      </c>
      <c r="G14901">
        <v>13.860564999999999</v>
      </c>
    </row>
    <row r="14902" spans="1:7">
      <c r="A14902" t="s">
        <v>1297</v>
      </c>
      <c r="B14902" t="s">
        <v>1298</v>
      </c>
      <c r="C14902" t="s">
        <v>662</v>
      </c>
      <c r="D14902" t="s">
        <v>1450</v>
      </c>
      <c r="E14902" t="s">
        <v>187</v>
      </c>
      <c r="F14902">
        <v>2016</v>
      </c>
      <c r="G14902">
        <v>18.525226</v>
      </c>
    </row>
    <row r="14903" spans="1:7">
      <c r="A14903" t="s">
        <v>1297</v>
      </c>
      <c r="B14903" t="s">
        <v>1298</v>
      </c>
      <c r="C14903" t="s">
        <v>662</v>
      </c>
      <c r="D14903" t="s">
        <v>1450</v>
      </c>
      <c r="E14903" t="s">
        <v>187</v>
      </c>
      <c r="F14903">
        <v>2020</v>
      </c>
      <c r="G14903">
        <v>26.158849</v>
      </c>
    </row>
    <row r="14904" spans="1:7">
      <c r="A14904" t="s">
        <v>1297</v>
      </c>
      <c r="B14904" t="s">
        <v>1298</v>
      </c>
      <c r="C14904" t="s">
        <v>668</v>
      </c>
      <c r="D14904" t="s">
        <v>1450</v>
      </c>
      <c r="E14904" t="s">
        <v>187</v>
      </c>
      <c r="F14904">
        <v>2005</v>
      </c>
      <c r="G14904">
        <v>0.16867399999999999</v>
      </c>
    </row>
    <row r="14905" spans="1:7">
      <c r="A14905" t="s">
        <v>1297</v>
      </c>
      <c r="B14905" t="s">
        <v>1298</v>
      </c>
      <c r="C14905" t="s">
        <v>668</v>
      </c>
      <c r="D14905" t="s">
        <v>1450</v>
      </c>
      <c r="E14905" t="s">
        <v>187</v>
      </c>
      <c r="F14905">
        <v>2010</v>
      </c>
      <c r="G14905">
        <v>0.17660500000000001</v>
      </c>
    </row>
    <row r="14906" spans="1:7">
      <c r="A14906" t="s">
        <v>1297</v>
      </c>
      <c r="B14906" t="s">
        <v>1298</v>
      </c>
      <c r="C14906" t="s">
        <v>668</v>
      </c>
      <c r="D14906" t="s">
        <v>1450</v>
      </c>
      <c r="E14906" t="s">
        <v>187</v>
      </c>
      <c r="F14906">
        <v>2012</v>
      </c>
      <c r="G14906">
        <v>0.411358</v>
      </c>
    </row>
    <row r="14907" spans="1:7">
      <c r="A14907" t="s">
        <v>1297</v>
      </c>
      <c r="B14907" t="s">
        <v>1298</v>
      </c>
      <c r="C14907" t="s">
        <v>668</v>
      </c>
      <c r="D14907" t="s">
        <v>1450</v>
      </c>
      <c r="E14907" t="s">
        <v>187</v>
      </c>
      <c r="F14907">
        <v>2016</v>
      </c>
      <c r="G14907">
        <v>0.46039999999999998</v>
      </c>
    </row>
    <row r="14908" spans="1:7">
      <c r="A14908" t="s">
        <v>1297</v>
      </c>
      <c r="B14908" t="s">
        <v>1298</v>
      </c>
      <c r="C14908" t="s">
        <v>668</v>
      </c>
      <c r="D14908" t="s">
        <v>1451</v>
      </c>
      <c r="E14908" t="s">
        <v>187</v>
      </c>
      <c r="F14908">
        <v>2020</v>
      </c>
      <c r="G14908">
        <v>2.7599999999999999E-4</v>
      </c>
    </row>
    <row r="14909" spans="1:7">
      <c r="A14909" t="s">
        <v>1297</v>
      </c>
      <c r="B14909" t="s">
        <v>1298</v>
      </c>
      <c r="C14909" t="s">
        <v>656</v>
      </c>
      <c r="D14909" t="s">
        <v>1452</v>
      </c>
      <c r="E14909" t="s">
        <v>187</v>
      </c>
      <c r="F14909">
        <v>2020</v>
      </c>
      <c r="G14909">
        <v>5.0000000000000001E-3</v>
      </c>
    </row>
    <row r="14910" spans="1:7">
      <c r="A14910" t="s">
        <v>1297</v>
      </c>
      <c r="B14910" t="s">
        <v>1298</v>
      </c>
      <c r="C14910" t="s">
        <v>662</v>
      </c>
      <c r="D14910" t="s">
        <v>1452</v>
      </c>
      <c r="E14910" t="s">
        <v>187</v>
      </c>
      <c r="F14910">
        <v>2005</v>
      </c>
      <c r="G14910">
        <v>3.6999999999999998E-2</v>
      </c>
    </row>
    <row r="14911" spans="1:7">
      <c r="A14911" t="s">
        <v>1297</v>
      </c>
      <c r="B14911" t="s">
        <v>1298</v>
      </c>
      <c r="C14911" t="s">
        <v>662</v>
      </c>
      <c r="D14911" t="s">
        <v>1452</v>
      </c>
      <c r="E14911" t="s">
        <v>187</v>
      </c>
      <c r="F14911">
        <v>2010</v>
      </c>
      <c r="G14911">
        <v>5.6000000000000001E-2</v>
      </c>
    </row>
    <row r="14912" spans="1:7">
      <c r="A14912" t="s">
        <v>1297</v>
      </c>
      <c r="B14912" t="s">
        <v>1298</v>
      </c>
      <c r="C14912" t="s">
        <v>662</v>
      </c>
      <c r="D14912" t="s">
        <v>1452</v>
      </c>
      <c r="E14912" t="s">
        <v>187</v>
      </c>
      <c r="F14912">
        <v>2012</v>
      </c>
      <c r="G14912">
        <v>5.6000000000000001E-2</v>
      </c>
    </row>
    <row r="14913" spans="1:7">
      <c r="A14913" t="s">
        <v>1297</v>
      </c>
      <c r="B14913" t="s">
        <v>1298</v>
      </c>
      <c r="C14913" t="s">
        <v>662</v>
      </c>
      <c r="D14913" t="s">
        <v>1452</v>
      </c>
      <c r="E14913" t="s">
        <v>187</v>
      </c>
      <c r="F14913">
        <v>2016</v>
      </c>
      <c r="G14913">
        <v>6.0999999999999999E-2</v>
      </c>
    </row>
    <row r="14914" spans="1:7">
      <c r="A14914" t="s">
        <v>1297</v>
      </c>
      <c r="B14914" t="s">
        <v>1298</v>
      </c>
      <c r="C14914" t="s">
        <v>662</v>
      </c>
      <c r="D14914" t="s">
        <v>1452</v>
      </c>
      <c r="E14914" t="s">
        <v>187</v>
      </c>
      <c r="F14914">
        <v>2020</v>
      </c>
      <c r="G14914">
        <v>6.6000000000000003E-2</v>
      </c>
    </row>
    <row r="14915" spans="1:7">
      <c r="A14915" t="s">
        <v>1297</v>
      </c>
      <c r="B14915" t="s">
        <v>1298</v>
      </c>
      <c r="C14915" t="s">
        <v>659</v>
      </c>
      <c r="D14915" t="s">
        <v>1452</v>
      </c>
      <c r="E14915" t="s">
        <v>187</v>
      </c>
      <c r="F14915">
        <v>2005</v>
      </c>
      <c r="G14915">
        <v>3.4592999999999999E-2</v>
      </c>
    </row>
    <row r="14916" spans="1:7">
      <c r="A14916" t="s">
        <v>1297</v>
      </c>
      <c r="B14916" t="s">
        <v>1298</v>
      </c>
      <c r="C14916" t="s">
        <v>659</v>
      </c>
      <c r="D14916" t="s">
        <v>1452</v>
      </c>
      <c r="E14916" t="s">
        <v>187</v>
      </c>
      <c r="F14916">
        <v>2010</v>
      </c>
      <c r="G14916">
        <v>7.3163000000000006E-2</v>
      </c>
    </row>
    <row r="14917" spans="1:7">
      <c r="A14917" t="s">
        <v>1297</v>
      </c>
      <c r="B14917" t="s">
        <v>1298</v>
      </c>
      <c r="C14917" t="s">
        <v>659</v>
      </c>
      <c r="D14917" t="s">
        <v>1452</v>
      </c>
      <c r="E14917" t="s">
        <v>187</v>
      </c>
      <c r="F14917">
        <v>2012</v>
      </c>
      <c r="G14917">
        <v>8.7972999999999996E-2</v>
      </c>
    </row>
    <row r="14918" spans="1:7">
      <c r="A14918" t="s">
        <v>1297</v>
      </c>
      <c r="B14918" t="s">
        <v>1298</v>
      </c>
      <c r="C14918" t="s">
        <v>659</v>
      </c>
      <c r="D14918" t="s">
        <v>1452</v>
      </c>
      <c r="E14918" t="s">
        <v>187</v>
      </c>
      <c r="F14918">
        <v>2016</v>
      </c>
      <c r="G14918">
        <v>0.106377</v>
      </c>
    </row>
    <row r="14919" spans="1:7">
      <c r="A14919" t="s">
        <v>1297</v>
      </c>
      <c r="B14919" t="s">
        <v>1298</v>
      </c>
      <c r="C14919" t="s">
        <v>659</v>
      </c>
      <c r="D14919" t="s">
        <v>1452</v>
      </c>
      <c r="E14919" t="s">
        <v>187</v>
      </c>
      <c r="F14919">
        <v>2020</v>
      </c>
      <c r="G14919">
        <v>0.12024799999999999</v>
      </c>
    </row>
    <row r="14920" spans="1:7">
      <c r="A14920" t="s">
        <v>1297</v>
      </c>
      <c r="B14920" t="s">
        <v>1298</v>
      </c>
      <c r="C14920" t="s">
        <v>661</v>
      </c>
      <c r="D14920" t="s">
        <v>1452</v>
      </c>
      <c r="E14920" t="s">
        <v>187</v>
      </c>
      <c r="F14920">
        <v>2005</v>
      </c>
      <c r="G14920">
        <v>3.0000000000000001E-3</v>
      </c>
    </row>
    <row r="14921" spans="1:7">
      <c r="A14921" t="s">
        <v>1297</v>
      </c>
      <c r="B14921" t="s">
        <v>1298</v>
      </c>
      <c r="C14921" t="s">
        <v>661</v>
      </c>
      <c r="D14921" t="s">
        <v>1452</v>
      </c>
      <c r="E14921" t="s">
        <v>187</v>
      </c>
      <c r="F14921">
        <v>2010</v>
      </c>
      <c r="G14921">
        <v>5.0000000000000001E-3</v>
      </c>
    </row>
    <row r="14922" spans="1:7">
      <c r="A14922" t="s">
        <v>1297</v>
      </c>
      <c r="B14922" t="s">
        <v>1298</v>
      </c>
      <c r="C14922" t="s">
        <v>661</v>
      </c>
      <c r="D14922" t="s">
        <v>1452</v>
      </c>
      <c r="E14922" t="s">
        <v>187</v>
      </c>
      <c r="F14922">
        <v>2012</v>
      </c>
      <c r="G14922">
        <v>7.5360000000000002E-3</v>
      </c>
    </row>
    <row r="14923" spans="1:7">
      <c r="A14923" t="s">
        <v>1297</v>
      </c>
      <c r="B14923" t="s">
        <v>1298</v>
      </c>
      <c r="C14923" t="s">
        <v>661</v>
      </c>
      <c r="D14923" t="s">
        <v>1452</v>
      </c>
      <c r="E14923" t="s">
        <v>187</v>
      </c>
      <c r="F14923">
        <v>2016</v>
      </c>
      <c r="G14923">
        <v>1.9358E-2</v>
      </c>
    </row>
    <row r="14924" spans="1:7">
      <c r="A14924" t="s">
        <v>1297</v>
      </c>
      <c r="B14924" t="s">
        <v>1298</v>
      </c>
      <c r="C14924" t="s">
        <v>661</v>
      </c>
      <c r="D14924" t="s">
        <v>1452</v>
      </c>
      <c r="E14924" t="s">
        <v>187</v>
      </c>
      <c r="F14924">
        <v>2020</v>
      </c>
      <c r="G14924">
        <v>5.3076999999999999E-2</v>
      </c>
    </row>
    <row r="14925" spans="1:7">
      <c r="A14925" t="s">
        <v>1297</v>
      </c>
      <c r="B14925" t="s">
        <v>1298</v>
      </c>
      <c r="C14925" t="s">
        <v>654</v>
      </c>
      <c r="D14925" t="s">
        <v>1452</v>
      </c>
      <c r="E14925" t="s">
        <v>187</v>
      </c>
      <c r="F14925">
        <v>2020</v>
      </c>
      <c r="G14925">
        <v>1.6799999999999999E-2</v>
      </c>
    </row>
    <row r="14926" spans="1:7">
      <c r="A14926" t="s">
        <v>1297</v>
      </c>
      <c r="B14926" t="s">
        <v>1298</v>
      </c>
      <c r="C14926" t="s">
        <v>681</v>
      </c>
      <c r="D14926" t="s">
        <v>1452</v>
      </c>
      <c r="E14926" t="s">
        <v>187</v>
      </c>
      <c r="F14926">
        <v>2012</v>
      </c>
      <c r="G14926">
        <v>1.7000000000000001E-2</v>
      </c>
    </row>
    <row r="14927" spans="1:7">
      <c r="A14927" t="s">
        <v>1297</v>
      </c>
      <c r="B14927" t="s">
        <v>1298</v>
      </c>
      <c r="C14927" t="s">
        <v>681</v>
      </c>
      <c r="D14927" t="s">
        <v>1452</v>
      </c>
      <c r="E14927" t="s">
        <v>187</v>
      </c>
      <c r="F14927">
        <v>2016</v>
      </c>
      <c r="G14927">
        <v>3.0145000000000002E-2</v>
      </c>
    </row>
    <row r="14928" spans="1:7">
      <c r="A14928" t="s">
        <v>1297</v>
      </c>
      <c r="B14928" t="s">
        <v>1298</v>
      </c>
      <c r="C14928" t="s">
        <v>681</v>
      </c>
      <c r="D14928" t="s">
        <v>1452</v>
      </c>
      <c r="E14928" t="s">
        <v>187</v>
      </c>
      <c r="F14928">
        <v>2020</v>
      </c>
      <c r="G14928">
        <v>4.1000000000000002E-2</v>
      </c>
    </row>
    <row r="14929" spans="1:7">
      <c r="A14929" t="s">
        <v>1297</v>
      </c>
      <c r="B14929" t="s">
        <v>1298</v>
      </c>
      <c r="C14929" t="s">
        <v>1301</v>
      </c>
      <c r="D14929" t="s">
        <v>1452</v>
      </c>
      <c r="E14929" t="s">
        <v>187</v>
      </c>
      <c r="F14929">
        <v>2005</v>
      </c>
      <c r="G14929">
        <v>5.0650000000000004</v>
      </c>
    </row>
    <row r="14930" spans="1:7">
      <c r="A14930" t="s">
        <v>1297</v>
      </c>
      <c r="B14930" t="s">
        <v>1298</v>
      </c>
      <c r="C14930" t="s">
        <v>1301</v>
      </c>
      <c r="D14930" t="s">
        <v>1452</v>
      </c>
      <c r="E14930" t="s">
        <v>187</v>
      </c>
      <c r="F14930">
        <v>2010</v>
      </c>
      <c r="G14930">
        <v>5.4260000000000002</v>
      </c>
    </row>
    <row r="14931" spans="1:7">
      <c r="A14931" t="s">
        <v>1297</v>
      </c>
      <c r="B14931" t="s">
        <v>1298</v>
      </c>
      <c r="C14931" t="s">
        <v>1301</v>
      </c>
      <c r="D14931" t="s">
        <v>1452</v>
      </c>
      <c r="E14931" t="s">
        <v>187</v>
      </c>
      <c r="F14931">
        <v>2012</v>
      </c>
      <c r="G14931">
        <v>11.221</v>
      </c>
    </row>
    <row r="14932" spans="1:7">
      <c r="A14932" t="s">
        <v>1297</v>
      </c>
      <c r="B14932" t="s">
        <v>1298</v>
      </c>
      <c r="C14932" t="s">
        <v>1301</v>
      </c>
      <c r="D14932" t="s">
        <v>1452</v>
      </c>
      <c r="E14932" t="s">
        <v>187</v>
      </c>
      <c r="F14932">
        <v>2016</v>
      </c>
      <c r="G14932">
        <v>12.058</v>
      </c>
    </row>
    <row r="14933" spans="1:7">
      <c r="A14933" t="s">
        <v>1297</v>
      </c>
      <c r="B14933" t="s">
        <v>1298</v>
      </c>
      <c r="C14933" t="s">
        <v>673</v>
      </c>
      <c r="D14933" t="s">
        <v>1452</v>
      </c>
      <c r="E14933" t="s">
        <v>187</v>
      </c>
      <c r="F14933">
        <v>2010</v>
      </c>
      <c r="G14933">
        <v>1E-3</v>
      </c>
    </row>
    <row r="14934" spans="1:7">
      <c r="A14934" t="s">
        <v>1297</v>
      </c>
      <c r="B14934" t="s">
        <v>1298</v>
      </c>
      <c r="C14934" t="s">
        <v>673</v>
      </c>
      <c r="D14934" t="s">
        <v>1452</v>
      </c>
      <c r="E14934" t="s">
        <v>187</v>
      </c>
      <c r="F14934">
        <v>2016</v>
      </c>
      <c r="G14934">
        <v>2.1000000000000001E-2</v>
      </c>
    </row>
    <row r="14935" spans="1:7">
      <c r="A14935" t="s">
        <v>1297</v>
      </c>
      <c r="B14935" t="s">
        <v>1298</v>
      </c>
      <c r="C14935" t="s">
        <v>673</v>
      </c>
      <c r="D14935" t="s">
        <v>1452</v>
      </c>
      <c r="E14935" t="s">
        <v>187</v>
      </c>
      <c r="F14935">
        <v>2020</v>
      </c>
      <c r="G14935">
        <v>2.7483E-2</v>
      </c>
    </row>
    <row r="14936" spans="1:7">
      <c r="A14936" t="s">
        <v>1297</v>
      </c>
      <c r="B14936" t="s">
        <v>1298</v>
      </c>
      <c r="C14936" t="s">
        <v>652</v>
      </c>
      <c r="D14936" t="s">
        <v>1452</v>
      </c>
      <c r="E14936" t="s">
        <v>187</v>
      </c>
      <c r="F14936">
        <v>2016</v>
      </c>
      <c r="G14936">
        <v>8.9999999999999998E-4</v>
      </c>
    </row>
    <row r="14937" spans="1:7">
      <c r="A14937" t="s">
        <v>1297</v>
      </c>
      <c r="B14937" t="s">
        <v>1298</v>
      </c>
      <c r="C14937" t="s">
        <v>652</v>
      </c>
      <c r="D14937" t="s">
        <v>1452</v>
      </c>
      <c r="E14937" t="s">
        <v>187</v>
      </c>
      <c r="F14937">
        <v>2020</v>
      </c>
      <c r="G14937">
        <v>1.1999999999999999E-3</v>
      </c>
    </row>
    <row r="14938" spans="1:7">
      <c r="A14938" t="s">
        <v>1297</v>
      </c>
      <c r="B14938" t="s">
        <v>1298</v>
      </c>
      <c r="C14938" t="s">
        <v>665</v>
      </c>
      <c r="D14938" t="s">
        <v>1452</v>
      </c>
      <c r="E14938" t="s">
        <v>187</v>
      </c>
      <c r="F14938">
        <v>2010</v>
      </c>
      <c r="G14938">
        <v>0.28100000000000003</v>
      </c>
    </row>
    <row r="14939" spans="1:7">
      <c r="A14939" t="s">
        <v>1297</v>
      </c>
      <c r="B14939" t="s">
        <v>1298</v>
      </c>
      <c r="C14939" t="s">
        <v>665</v>
      </c>
      <c r="D14939" t="s">
        <v>1452</v>
      </c>
      <c r="E14939" t="s">
        <v>187</v>
      </c>
      <c r="F14939">
        <v>2012</v>
      </c>
      <c r="G14939">
        <v>0.32500000000000001</v>
      </c>
    </row>
    <row r="14940" spans="1:7">
      <c r="A14940" t="s">
        <v>1297</v>
      </c>
      <c r="B14940" t="s">
        <v>1298</v>
      </c>
      <c r="C14940" t="s">
        <v>665</v>
      </c>
      <c r="D14940" t="s">
        <v>1452</v>
      </c>
      <c r="E14940" t="s">
        <v>187</v>
      </c>
      <c r="F14940">
        <v>2016</v>
      </c>
      <c r="G14940">
        <v>0.41899999999999998</v>
      </c>
    </row>
    <row r="14941" spans="1:7">
      <c r="A14941" t="s">
        <v>1297</v>
      </c>
      <c r="B14941" t="s">
        <v>1298</v>
      </c>
      <c r="C14941" t="s">
        <v>665</v>
      </c>
      <c r="D14941" t="s">
        <v>1452</v>
      </c>
      <c r="E14941" t="s">
        <v>187</v>
      </c>
      <c r="F14941">
        <v>2020</v>
      </c>
      <c r="G14941">
        <v>0.47718300000000002</v>
      </c>
    </row>
    <row r="14942" spans="1:7">
      <c r="A14942" t="s">
        <v>1297</v>
      </c>
      <c r="B14942" t="s">
        <v>1298</v>
      </c>
      <c r="C14942" t="s">
        <v>659</v>
      </c>
      <c r="D14942" t="s">
        <v>1453</v>
      </c>
      <c r="E14942" t="s">
        <v>187</v>
      </c>
      <c r="F14942">
        <v>2005</v>
      </c>
      <c r="G14942">
        <v>1.2016000000000001E-2</v>
      </c>
    </row>
    <row r="14943" spans="1:7">
      <c r="A14943" t="s">
        <v>1297</v>
      </c>
      <c r="B14943" t="s">
        <v>1298</v>
      </c>
      <c r="C14943" t="s">
        <v>659</v>
      </c>
      <c r="D14943" t="s">
        <v>1453</v>
      </c>
      <c r="E14943" t="s">
        <v>187</v>
      </c>
      <c r="F14943">
        <v>2010</v>
      </c>
      <c r="G14943">
        <v>4.8340000000000001E-2</v>
      </c>
    </row>
    <row r="14944" spans="1:7">
      <c r="A14944" t="s">
        <v>1297</v>
      </c>
      <c r="B14944" t="s">
        <v>1298</v>
      </c>
      <c r="C14944" t="s">
        <v>659</v>
      </c>
      <c r="D14944" t="s">
        <v>1453</v>
      </c>
      <c r="E14944" t="s">
        <v>187</v>
      </c>
      <c r="F14944">
        <v>2012</v>
      </c>
      <c r="G14944">
        <v>5.7632000000000003E-2</v>
      </c>
    </row>
    <row r="14945" spans="1:7">
      <c r="A14945" t="s">
        <v>1297</v>
      </c>
      <c r="B14945" t="s">
        <v>1298</v>
      </c>
      <c r="C14945" t="s">
        <v>659</v>
      </c>
      <c r="D14945" t="s">
        <v>1453</v>
      </c>
      <c r="E14945" t="s">
        <v>187</v>
      </c>
      <c r="F14945">
        <v>2016</v>
      </c>
      <c r="G14945">
        <v>7.3871999999999993E-2</v>
      </c>
    </row>
    <row r="14946" spans="1:7">
      <c r="A14946" t="s">
        <v>1297</v>
      </c>
      <c r="B14946" t="s">
        <v>1298</v>
      </c>
      <c r="C14946" t="s">
        <v>659</v>
      </c>
      <c r="D14946" t="s">
        <v>1453</v>
      </c>
      <c r="E14946" t="s">
        <v>187</v>
      </c>
      <c r="F14946">
        <v>2020</v>
      </c>
      <c r="G14946">
        <v>7.7882999999999994E-2</v>
      </c>
    </row>
    <row r="14947" spans="1:7">
      <c r="A14947" t="s">
        <v>1297</v>
      </c>
      <c r="B14947" t="s">
        <v>1298</v>
      </c>
      <c r="C14947" t="s">
        <v>651</v>
      </c>
      <c r="D14947" t="s">
        <v>1453</v>
      </c>
      <c r="E14947" t="s">
        <v>187</v>
      </c>
      <c r="F14947">
        <v>2005</v>
      </c>
      <c r="G14947">
        <v>4.4013999999999998E-2</v>
      </c>
    </row>
    <row r="14948" spans="1:7">
      <c r="A14948" t="s">
        <v>1297</v>
      </c>
      <c r="B14948" t="s">
        <v>1298</v>
      </c>
      <c r="C14948" t="s">
        <v>651</v>
      </c>
      <c r="D14948" t="s">
        <v>1453</v>
      </c>
      <c r="E14948" t="s">
        <v>187</v>
      </c>
      <c r="F14948">
        <v>2010</v>
      </c>
      <c r="G14948">
        <v>8.9029999999999998E-2</v>
      </c>
    </row>
    <row r="14949" spans="1:7">
      <c r="A14949" t="s">
        <v>1297</v>
      </c>
      <c r="B14949" t="s">
        <v>1298</v>
      </c>
      <c r="C14949" t="s">
        <v>651</v>
      </c>
      <c r="D14949" t="s">
        <v>1453</v>
      </c>
      <c r="E14949" t="s">
        <v>187</v>
      </c>
      <c r="F14949">
        <v>2012</v>
      </c>
      <c r="G14949">
        <v>5.3735999999999999E-2</v>
      </c>
    </row>
    <row r="14950" spans="1:7">
      <c r="A14950" t="s">
        <v>1297</v>
      </c>
      <c r="B14950" t="s">
        <v>1298</v>
      </c>
      <c r="C14950" t="s">
        <v>651</v>
      </c>
      <c r="D14950" t="s">
        <v>1453</v>
      </c>
      <c r="E14950" t="s">
        <v>187</v>
      </c>
      <c r="F14950">
        <v>2016</v>
      </c>
      <c r="G14950">
        <v>6.1414000000000003E-2</v>
      </c>
    </row>
    <row r="14951" spans="1:7">
      <c r="A14951" t="s">
        <v>1297</v>
      </c>
      <c r="B14951" t="s">
        <v>1298</v>
      </c>
      <c r="C14951" t="s">
        <v>651</v>
      </c>
      <c r="D14951" t="s">
        <v>1453</v>
      </c>
      <c r="E14951" t="s">
        <v>187</v>
      </c>
      <c r="F14951">
        <v>2020</v>
      </c>
      <c r="G14951">
        <v>5.6321000000000003E-2</v>
      </c>
    </row>
    <row r="14952" spans="1:7">
      <c r="A14952" t="s">
        <v>1297</v>
      </c>
      <c r="B14952" t="s">
        <v>1298</v>
      </c>
      <c r="C14952" t="s">
        <v>652</v>
      </c>
      <c r="D14952" t="s">
        <v>1453</v>
      </c>
      <c r="E14952" t="s">
        <v>187</v>
      </c>
      <c r="F14952">
        <v>2016</v>
      </c>
      <c r="G14952">
        <v>1.6999999999999999E-3</v>
      </c>
    </row>
    <row r="14953" spans="1:7">
      <c r="A14953" t="s">
        <v>1297</v>
      </c>
      <c r="B14953" t="s">
        <v>1298</v>
      </c>
      <c r="C14953" t="s">
        <v>652</v>
      </c>
      <c r="D14953" t="s">
        <v>1453</v>
      </c>
      <c r="E14953" t="s">
        <v>187</v>
      </c>
      <c r="F14953">
        <v>2020</v>
      </c>
      <c r="G14953">
        <v>1.9E-3</v>
      </c>
    </row>
    <row r="14954" spans="1:7">
      <c r="A14954" t="s">
        <v>1297</v>
      </c>
      <c r="B14954" t="s">
        <v>1298</v>
      </c>
      <c r="C14954" t="s">
        <v>1302</v>
      </c>
      <c r="D14954" t="s">
        <v>1453</v>
      </c>
      <c r="E14954" t="s">
        <v>187</v>
      </c>
      <c r="F14954">
        <v>2005</v>
      </c>
      <c r="G14954">
        <v>2E-3</v>
      </c>
    </row>
    <row r="14955" spans="1:7">
      <c r="A14955" t="s">
        <v>1297</v>
      </c>
      <c r="B14955" t="s">
        <v>1298</v>
      </c>
      <c r="C14955" t="s">
        <v>656</v>
      </c>
      <c r="D14955" t="s">
        <v>1453</v>
      </c>
      <c r="E14955" t="s">
        <v>187</v>
      </c>
      <c r="F14955">
        <v>2005</v>
      </c>
      <c r="G14955">
        <v>3.7999999999999999E-2</v>
      </c>
    </row>
    <row r="14956" spans="1:7">
      <c r="A14956" t="s">
        <v>1297</v>
      </c>
      <c r="B14956" t="s">
        <v>1298</v>
      </c>
      <c r="C14956" t="s">
        <v>656</v>
      </c>
      <c r="D14956" t="s">
        <v>1453</v>
      </c>
      <c r="E14956" t="s">
        <v>187</v>
      </c>
      <c r="F14956">
        <v>2010</v>
      </c>
      <c r="G14956">
        <v>3.1E-2</v>
      </c>
    </row>
    <row r="14957" spans="1:7">
      <c r="A14957" t="s">
        <v>1297</v>
      </c>
      <c r="B14957" t="s">
        <v>1298</v>
      </c>
      <c r="C14957" t="s">
        <v>656</v>
      </c>
      <c r="D14957" t="s">
        <v>1453</v>
      </c>
      <c r="E14957" t="s">
        <v>187</v>
      </c>
      <c r="F14957">
        <v>2012</v>
      </c>
      <c r="G14957">
        <v>3.5000000000000003E-2</v>
      </c>
    </row>
    <row r="14958" spans="1:7">
      <c r="A14958" t="s">
        <v>1297</v>
      </c>
      <c r="B14958" t="s">
        <v>1298</v>
      </c>
      <c r="C14958" t="s">
        <v>656</v>
      </c>
      <c r="D14958" t="s">
        <v>1453</v>
      </c>
      <c r="E14958" t="s">
        <v>187</v>
      </c>
      <c r="F14958">
        <v>2016</v>
      </c>
      <c r="G14958">
        <v>4.1000000000000002E-2</v>
      </c>
    </row>
    <row r="14959" spans="1:7">
      <c r="A14959" t="s">
        <v>1297</v>
      </c>
      <c r="B14959" t="s">
        <v>1298</v>
      </c>
      <c r="C14959" t="s">
        <v>656</v>
      </c>
      <c r="D14959" t="s">
        <v>1453</v>
      </c>
      <c r="E14959" t="s">
        <v>187</v>
      </c>
      <c r="F14959">
        <v>2020</v>
      </c>
      <c r="G14959">
        <v>4.4999999999999998E-2</v>
      </c>
    </row>
    <row r="14960" spans="1:7">
      <c r="A14960" t="s">
        <v>1297</v>
      </c>
      <c r="B14960" t="s">
        <v>1298</v>
      </c>
      <c r="C14960" t="s">
        <v>661</v>
      </c>
      <c r="D14960" t="s">
        <v>1453</v>
      </c>
      <c r="E14960" t="s">
        <v>187</v>
      </c>
      <c r="F14960">
        <v>2005</v>
      </c>
      <c r="G14960">
        <v>1.6E-2</v>
      </c>
    </row>
    <row r="14961" spans="1:7">
      <c r="A14961" t="s">
        <v>1297</v>
      </c>
      <c r="B14961" t="s">
        <v>1298</v>
      </c>
      <c r="C14961" t="s">
        <v>661</v>
      </c>
      <c r="D14961" t="s">
        <v>1453</v>
      </c>
      <c r="E14961" t="s">
        <v>187</v>
      </c>
      <c r="F14961">
        <v>2010</v>
      </c>
      <c r="G14961">
        <v>0.03</v>
      </c>
    </row>
    <row r="14962" spans="1:7">
      <c r="A14962" t="s">
        <v>1297</v>
      </c>
      <c r="B14962" t="s">
        <v>1298</v>
      </c>
      <c r="C14962" t="s">
        <v>661</v>
      </c>
      <c r="D14962" t="s">
        <v>1453</v>
      </c>
      <c r="E14962" t="s">
        <v>187</v>
      </c>
      <c r="F14962">
        <v>2012</v>
      </c>
      <c r="G14962">
        <v>4.2622E-2</v>
      </c>
    </row>
    <row r="14963" spans="1:7">
      <c r="A14963" t="s">
        <v>1297</v>
      </c>
      <c r="B14963" t="s">
        <v>1298</v>
      </c>
      <c r="C14963" t="s">
        <v>661</v>
      </c>
      <c r="D14963" t="s">
        <v>1453</v>
      </c>
      <c r="E14963" t="s">
        <v>187</v>
      </c>
      <c r="F14963">
        <v>2016</v>
      </c>
      <c r="G14963">
        <v>6.8114999999999995E-2</v>
      </c>
    </row>
    <row r="14964" spans="1:7">
      <c r="A14964" t="s">
        <v>1297</v>
      </c>
      <c r="B14964" t="s">
        <v>1298</v>
      </c>
      <c r="C14964" t="s">
        <v>661</v>
      </c>
      <c r="D14964" t="s">
        <v>1453</v>
      </c>
      <c r="E14964" t="s">
        <v>187</v>
      </c>
      <c r="F14964">
        <v>2020</v>
      </c>
      <c r="G14964">
        <v>7.0874999999999994E-2</v>
      </c>
    </row>
    <row r="14965" spans="1:7">
      <c r="A14965" t="s">
        <v>1297</v>
      </c>
      <c r="B14965" t="s">
        <v>1298</v>
      </c>
      <c r="C14965" t="s">
        <v>665</v>
      </c>
      <c r="D14965" t="s">
        <v>1453</v>
      </c>
      <c r="E14965" t="s">
        <v>187</v>
      </c>
      <c r="F14965">
        <v>2005</v>
      </c>
      <c r="G14965">
        <v>1.2E-2</v>
      </c>
    </row>
    <row r="14966" spans="1:7">
      <c r="A14966" t="s">
        <v>1297</v>
      </c>
      <c r="B14966" t="s">
        <v>1298</v>
      </c>
      <c r="C14966" t="s">
        <v>665</v>
      </c>
      <c r="D14966" t="s">
        <v>1453</v>
      </c>
      <c r="E14966" t="s">
        <v>187</v>
      </c>
      <c r="F14966">
        <v>2010</v>
      </c>
      <c r="G14966">
        <v>5.6000000000000001E-2</v>
      </c>
    </row>
    <row r="14967" spans="1:7">
      <c r="A14967" t="s">
        <v>1297</v>
      </c>
      <c r="B14967" t="s">
        <v>1298</v>
      </c>
      <c r="C14967" t="s">
        <v>665</v>
      </c>
      <c r="D14967" t="s">
        <v>1453</v>
      </c>
      <c r="E14967" t="s">
        <v>187</v>
      </c>
      <c r="F14967">
        <v>2012</v>
      </c>
      <c r="G14967">
        <v>6.5000000000000002E-2</v>
      </c>
    </row>
    <row r="14968" spans="1:7">
      <c r="A14968" t="s">
        <v>1297</v>
      </c>
      <c r="B14968" t="s">
        <v>1298</v>
      </c>
      <c r="C14968" t="s">
        <v>665</v>
      </c>
      <c r="D14968" t="s">
        <v>1453</v>
      </c>
      <c r="E14968" t="s">
        <v>187</v>
      </c>
      <c r="F14968">
        <v>2016</v>
      </c>
      <c r="G14968">
        <v>8.4000000000000005E-2</v>
      </c>
    </row>
    <row r="14969" spans="1:7">
      <c r="A14969" t="s">
        <v>1297</v>
      </c>
      <c r="B14969" t="s">
        <v>1298</v>
      </c>
      <c r="C14969" t="s">
        <v>665</v>
      </c>
      <c r="D14969" t="s">
        <v>1453</v>
      </c>
      <c r="E14969" t="s">
        <v>187</v>
      </c>
      <c r="F14969">
        <v>2020</v>
      </c>
      <c r="G14969">
        <v>9.5436999999999994E-2</v>
      </c>
    </row>
    <row r="14970" spans="1:7">
      <c r="A14970" t="s">
        <v>1297</v>
      </c>
      <c r="B14970" t="s">
        <v>1298</v>
      </c>
      <c r="C14970" t="s">
        <v>1302</v>
      </c>
      <c r="D14970" t="s">
        <v>1454</v>
      </c>
      <c r="E14970" t="s">
        <v>187</v>
      </c>
      <c r="F14970">
        <v>2005</v>
      </c>
      <c r="G14970">
        <v>1E-3</v>
      </c>
    </row>
    <row r="14971" spans="1:7">
      <c r="A14971" t="s">
        <v>1297</v>
      </c>
      <c r="B14971" t="s">
        <v>1298</v>
      </c>
      <c r="C14971" t="s">
        <v>1302</v>
      </c>
      <c r="D14971" t="s">
        <v>1454</v>
      </c>
      <c r="E14971" t="s">
        <v>187</v>
      </c>
      <c r="F14971">
        <v>2010</v>
      </c>
      <c r="G14971">
        <v>7.0000000000000001E-3</v>
      </c>
    </row>
    <row r="14972" spans="1:7">
      <c r="A14972" t="s">
        <v>1297</v>
      </c>
      <c r="B14972" t="s">
        <v>1298</v>
      </c>
      <c r="C14972" t="s">
        <v>1302</v>
      </c>
      <c r="D14972" t="s">
        <v>1454</v>
      </c>
      <c r="E14972" t="s">
        <v>187</v>
      </c>
      <c r="F14972">
        <v>2012</v>
      </c>
      <c r="G14972">
        <v>7.0000000000000001E-3</v>
      </c>
    </row>
    <row r="14973" spans="1:7">
      <c r="A14973" t="s">
        <v>1297</v>
      </c>
      <c r="B14973" t="s">
        <v>1298</v>
      </c>
      <c r="C14973" t="s">
        <v>1302</v>
      </c>
      <c r="D14973" t="s">
        <v>1454</v>
      </c>
      <c r="E14973" t="s">
        <v>187</v>
      </c>
      <c r="F14973">
        <v>2016</v>
      </c>
      <c r="G14973">
        <v>0.01</v>
      </c>
    </row>
    <row r="14974" spans="1:7">
      <c r="A14974" t="s">
        <v>1297</v>
      </c>
      <c r="B14974" t="s">
        <v>1298</v>
      </c>
      <c r="C14974" t="s">
        <v>1302</v>
      </c>
      <c r="D14974" t="s">
        <v>1454</v>
      </c>
      <c r="E14974" t="s">
        <v>187</v>
      </c>
      <c r="F14974">
        <v>2020</v>
      </c>
      <c r="G14974">
        <v>1.1226E-2</v>
      </c>
    </row>
    <row r="14975" spans="1:7">
      <c r="A14975" t="s">
        <v>1297</v>
      </c>
      <c r="B14975" t="s">
        <v>1298</v>
      </c>
      <c r="C14975" t="s">
        <v>656</v>
      </c>
      <c r="D14975" t="s">
        <v>1454</v>
      </c>
      <c r="E14975" t="s">
        <v>187</v>
      </c>
      <c r="F14975">
        <v>2005</v>
      </c>
      <c r="G14975">
        <v>0.72699999999999998</v>
      </c>
    </row>
    <row r="14976" spans="1:7">
      <c r="A14976" t="s">
        <v>1297</v>
      </c>
      <c r="B14976" t="s">
        <v>1298</v>
      </c>
      <c r="C14976" t="s">
        <v>656</v>
      </c>
      <c r="D14976" t="s">
        <v>1454</v>
      </c>
      <c r="E14976" t="s">
        <v>187</v>
      </c>
      <c r="F14976">
        <v>2010</v>
      </c>
      <c r="G14976">
        <v>1.052</v>
      </c>
    </row>
    <row r="14977" spans="1:7">
      <c r="A14977" t="s">
        <v>1297</v>
      </c>
      <c r="B14977" t="s">
        <v>1298</v>
      </c>
      <c r="C14977" t="s">
        <v>656</v>
      </c>
      <c r="D14977" t="s">
        <v>1454</v>
      </c>
      <c r="E14977" t="s">
        <v>187</v>
      </c>
      <c r="F14977">
        <v>2012</v>
      </c>
      <c r="G14977">
        <v>1.141</v>
      </c>
    </row>
    <row r="14978" spans="1:7">
      <c r="A14978" t="s">
        <v>1297</v>
      </c>
      <c r="B14978" t="s">
        <v>1298</v>
      </c>
      <c r="C14978" t="s">
        <v>656</v>
      </c>
      <c r="D14978" t="s">
        <v>1454</v>
      </c>
      <c r="E14978" t="s">
        <v>187</v>
      </c>
      <c r="F14978">
        <v>2016</v>
      </c>
      <c r="G14978">
        <v>1.1890000000000001</v>
      </c>
    </row>
    <row r="14979" spans="1:7">
      <c r="A14979" t="s">
        <v>1297</v>
      </c>
      <c r="B14979" t="s">
        <v>1298</v>
      </c>
      <c r="C14979" t="s">
        <v>656</v>
      </c>
      <c r="D14979" t="s">
        <v>1454</v>
      </c>
      <c r="E14979" t="s">
        <v>187</v>
      </c>
      <c r="F14979">
        <v>2020</v>
      </c>
      <c r="G14979">
        <v>1.264</v>
      </c>
    </row>
    <row r="14980" spans="1:7">
      <c r="A14980" t="s">
        <v>1297</v>
      </c>
      <c r="B14980" t="s">
        <v>1298</v>
      </c>
      <c r="C14980" t="s">
        <v>672</v>
      </c>
      <c r="D14980" t="s">
        <v>1454</v>
      </c>
      <c r="E14980" t="s">
        <v>187</v>
      </c>
      <c r="F14980">
        <v>2005</v>
      </c>
      <c r="G14980">
        <v>0.373</v>
      </c>
    </row>
    <row r="14981" spans="1:7">
      <c r="A14981" t="s">
        <v>1297</v>
      </c>
      <c r="B14981" t="s">
        <v>1298</v>
      </c>
      <c r="C14981" t="s">
        <v>672</v>
      </c>
      <c r="D14981" t="s">
        <v>1454</v>
      </c>
      <c r="E14981" t="s">
        <v>187</v>
      </c>
      <c r="F14981">
        <v>2010</v>
      </c>
      <c r="G14981">
        <v>0.80500000000000005</v>
      </c>
    </row>
    <row r="14982" spans="1:7">
      <c r="A14982" t="s">
        <v>1297</v>
      </c>
      <c r="B14982" t="s">
        <v>1298</v>
      </c>
      <c r="C14982" t="s">
        <v>672</v>
      </c>
      <c r="D14982" t="s">
        <v>1454</v>
      </c>
      <c r="E14982" t="s">
        <v>187</v>
      </c>
      <c r="F14982">
        <v>2012</v>
      </c>
      <c r="G14982">
        <v>1.1279999999999999</v>
      </c>
    </row>
    <row r="14983" spans="1:7">
      <c r="A14983" t="s">
        <v>1297</v>
      </c>
      <c r="B14983" t="s">
        <v>1298</v>
      </c>
      <c r="C14983" t="s">
        <v>672</v>
      </c>
      <c r="D14983" t="s">
        <v>1454</v>
      </c>
      <c r="E14983" t="s">
        <v>187</v>
      </c>
      <c r="F14983">
        <v>2016</v>
      </c>
      <c r="G14983">
        <v>1.4059999999999999</v>
      </c>
    </row>
    <row r="14984" spans="1:7">
      <c r="A14984" t="s">
        <v>1297</v>
      </c>
      <c r="B14984" t="s">
        <v>1298</v>
      </c>
      <c r="C14984" t="s">
        <v>672</v>
      </c>
      <c r="D14984" t="s">
        <v>1454</v>
      </c>
      <c r="E14984" t="s">
        <v>187</v>
      </c>
      <c r="F14984">
        <v>2020</v>
      </c>
      <c r="G14984">
        <v>1.6132690000000001</v>
      </c>
    </row>
    <row r="14985" spans="1:7">
      <c r="A14985" t="s">
        <v>1297</v>
      </c>
      <c r="B14985" t="s">
        <v>1298</v>
      </c>
      <c r="C14985" t="s">
        <v>684</v>
      </c>
      <c r="D14985" t="s">
        <v>1454</v>
      </c>
      <c r="E14985" t="s">
        <v>187</v>
      </c>
      <c r="F14985">
        <v>2016</v>
      </c>
      <c r="G14985">
        <v>8.0000000000000002E-3</v>
      </c>
    </row>
    <row r="14986" spans="1:7">
      <c r="A14986" t="s">
        <v>1297</v>
      </c>
      <c r="B14986" t="s">
        <v>1298</v>
      </c>
      <c r="C14986" t="s">
        <v>684</v>
      </c>
      <c r="D14986" t="s">
        <v>1454</v>
      </c>
      <c r="E14986" t="s">
        <v>187</v>
      </c>
      <c r="F14986">
        <v>2020</v>
      </c>
      <c r="G14986">
        <v>8.0000000000000002E-3</v>
      </c>
    </row>
    <row r="14987" spans="1:7">
      <c r="A14987" t="s">
        <v>1297</v>
      </c>
      <c r="B14987" t="s">
        <v>1298</v>
      </c>
      <c r="C14987" t="s">
        <v>655</v>
      </c>
      <c r="D14987" t="s">
        <v>1454</v>
      </c>
      <c r="E14987" t="s">
        <v>187</v>
      </c>
      <c r="F14987">
        <v>2005</v>
      </c>
      <c r="G14987">
        <v>2.5000000000000001E-2</v>
      </c>
    </row>
    <row r="14988" spans="1:7">
      <c r="A14988" t="s">
        <v>1297</v>
      </c>
      <c r="B14988" t="s">
        <v>1298</v>
      </c>
      <c r="C14988" t="s">
        <v>655</v>
      </c>
      <c r="D14988" t="s">
        <v>1454</v>
      </c>
      <c r="E14988" t="s">
        <v>187</v>
      </c>
      <c r="F14988">
        <v>2010</v>
      </c>
      <c r="G14988">
        <v>7.9584000000000002E-2</v>
      </c>
    </row>
    <row r="14989" spans="1:7">
      <c r="A14989" t="s">
        <v>1297</v>
      </c>
      <c r="B14989" t="s">
        <v>1298</v>
      </c>
      <c r="C14989" t="s">
        <v>655</v>
      </c>
      <c r="D14989" t="s">
        <v>1454</v>
      </c>
      <c r="E14989" t="s">
        <v>187</v>
      </c>
      <c r="F14989">
        <v>2012</v>
      </c>
      <c r="G14989">
        <v>0.11251800000000001</v>
      </c>
    </row>
    <row r="14990" spans="1:7">
      <c r="A14990" t="s">
        <v>1297</v>
      </c>
      <c r="B14990" t="s">
        <v>1298</v>
      </c>
      <c r="C14990" t="s">
        <v>655</v>
      </c>
      <c r="D14990" t="s">
        <v>1454</v>
      </c>
      <c r="E14990" t="s">
        <v>187</v>
      </c>
      <c r="F14990">
        <v>2016</v>
      </c>
      <c r="G14990">
        <v>0.15360399999999999</v>
      </c>
    </row>
    <row r="14991" spans="1:7">
      <c r="A14991" t="s">
        <v>1297</v>
      </c>
      <c r="B14991" t="s">
        <v>1298</v>
      </c>
      <c r="C14991" t="s">
        <v>655</v>
      </c>
      <c r="D14991" t="s">
        <v>1454</v>
      </c>
      <c r="E14991" t="s">
        <v>187</v>
      </c>
      <c r="F14991">
        <v>2020</v>
      </c>
      <c r="G14991">
        <v>0.167573</v>
      </c>
    </row>
    <row r="14992" spans="1:7">
      <c r="A14992" t="s">
        <v>1297</v>
      </c>
      <c r="B14992" t="s">
        <v>1298</v>
      </c>
      <c r="C14992" t="s">
        <v>671</v>
      </c>
      <c r="D14992" t="s">
        <v>1454</v>
      </c>
      <c r="E14992" t="s">
        <v>187</v>
      </c>
      <c r="F14992">
        <v>2016</v>
      </c>
      <c r="G14992">
        <v>0.246</v>
      </c>
    </row>
    <row r="14993" spans="1:8">
      <c r="A14993" t="s">
        <v>1297</v>
      </c>
      <c r="B14993" t="s">
        <v>1298</v>
      </c>
      <c r="C14993" t="s">
        <v>671</v>
      </c>
      <c r="D14993" t="s">
        <v>1454</v>
      </c>
      <c r="E14993" t="s">
        <v>187</v>
      </c>
      <c r="F14993">
        <v>2020</v>
      </c>
      <c r="G14993">
        <v>0.24504400000000001</v>
      </c>
    </row>
    <row r="14994" spans="1:8">
      <c r="A14994" t="s">
        <v>1297</v>
      </c>
      <c r="B14994" t="s">
        <v>1298</v>
      </c>
      <c r="C14994" t="s">
        <v>651</v>
      </c>
      <c r="D14994" t="s">
        <v>1454</v>
      </c>
      <c r="E14994" t="s">
        <v>187</v>
      </c>
      <c r="F14994">
        <v>2005</v>
      </c>
      <c r="G14994">
        <v>1.3380920000000001</v>
      </c>
    </row>
    <row r="14995" spans="1:8">
      <c r="A14995" t="s">
        <v>1297</v>
      </c>
      <c r="B14995" t="s">
        <v>1298</v>
      </c>
      <c r="C14995" t="s">
        <v>651</v>
      </c>
      <c r="D14995" t="s">
        <v>1454</v>
      </c>
      <c r="E14995" t="s">
        <v>187</v>
      </c>
      <c r="F14995">
        <v>2010</v>
      </c>
      <c r="G14995">
        <v>2.1142310000000002</v>
      </c>
    </row>
    <row r="14996" spans="1:8">
      <c r="A14996" t="s">
        <v>1297</v>
      </c>
      <c r="B14996" t="s">
        <v>1298</v>
      </c>
      <c r="C14996" t="s">
        <v>651</v>
      </c>
      <c r="D14996" t="s">
        <v>1454</v>
      </c>
      <c r="E14996" t="s">
        <v>187</v>
      </c>
      <c r="F14996">
        <v>2012</v>
      </c>
      <c r="G14996">
        <v>2.5774210000000002</v>
      </c>
    </row>
    <row r="14997" spans="1:8">
      <c r="A14997" t="s">
        <v>1297</v>
      </c>
      <c r="B14997" t="s">
        <v>1298</v>
      </c>
      <c r="C14997" t="s">
        <v>651</v>
      </c>
      <c r="D14997" t="s">
        <v>1454</v>
      </c>
      <c r="E14997" t="s">
        <v>187</v>
      </c>
      <c r="F14997">
        <v>2016</v>
      </c>
      <c r="G14997">
        <v>2.020416</v>
      </c>
    </row>
    <row r="14998" spans="1:8">
      <c r="A14998" t="s">
        <v>1297</v>
      </c>
      <c r="B14998" t="s">
        <v>1298</v>
      </c>
      <c r="C14998" t="s">
        <v>651</v>
      </c>
      <c r="D14998" t="s">
        <v>1454</v>
      </c>
      <c r="E14998" t="s">
        <v>187</v>
      </c>
      <c r="F14998">
        <v>2020</v>
      </c>
      <c r="G14998">
        <v>2.6095280000000001</v>
      </c>
    </row>
    <row r="14999" spans="1:8">
      <c r="A14999" t="s">
        <v>1297</v>
      </c>
      <c r="B14999" t="s">
        <v>1298</v>
      </c>
      <c r="C14999" t="s">
        <v>653</v>
      </c>
      <c r="D14999" t="s">
        <v>1454</v>
      </c>
      <c r="E14999" t="s">
        <v>187</v>
      </c>
      <c r="F14999">
        <v>2010</v>
      </c>
      <c r="G14999">
        <v>0.158</v>
      </c>
    </row>
    <row r="15000" spans="1:8">
      <c r="A15000" t="s">
        <v>1297</v>
      </c>
      <c r="B15000" t="s">
        <v>1298</v>
      </c>
      <c r="C15000" t="s">
        <v>653</v>
      </c>
      <c r="D15000" t="s">
        <v>1454</v>
      </c>
      <c r="E15000" t="s">
        <v>187</v>
      </c>
      <c r="F15000">
        <v>2012</v>
      </c>
      <c r="G15000">
        <v>0.3</v>
      </c>
    </row>
    <row r="15001" spans="1:8">
      <c r="A15001" t="s">
        <v>1297</v>
      </c>
      <c r="B15001" t="s">
        <v>1298</v>
      </c>
      <c r="C15001" t="s">
        <v>653</v>
      </c>
      <c r="D15001" t="s">
        <v>1454</v>
      </c>
      <c r="E15001" t="s">
        <v>187</v>
      </c>
      <c r="F15001">
        <v>2016</v>
      </c>
      <c r="G15001">
        <v>0.53300000000000003</v>
      </c>
    </row>
    <row r="15002" spans="1:8">
      <c r="A15002" t="s">
        <v>1297</v>
      </c>
      <c r="B15002" t="s">
        <v>1298</v>
      </c>
      <c r="C15002" t="s">
        <v>653</v>
      </c>
      <c r="D15002" t="s">
        <v>1454</v>
      </c>
      <c r="E15002" t="s">
        <v>187</v>
      </c>
      <c r="F15002">
        <v>2020</v>
      </c>
      <c r="G15002" s="14">
        <v>0.63328300000000004</v>
      </c>
      <c r="H15002" s="14"/>
    </row>
    <row r="15003" spans="1:8">
      <c r="A15003" t="s">
        <v>1297</v>
      </c>
      <c r="B15003" t="s">
        <v>1298</v>
      </c>
      <c r="C15003" t="s">
        <v>681</v>
      </c>
      <c r="D15003" t="s">
        <v>1454</v>
      </c>
      <c r="E15003" t="s">
        <v>187</v>
      </c>
      <c r="F15003">
        <v>2005</v>
      </c>
      <c r="G15003">
        <v>5.3999999999999999E-2</v>
      </c>
    </row>
    <row r="15004" spans="1:8">
      <c r="A15004" t="s">
        <v>1297</v>
      </c>
      <c r="B15004" t="s">
        <v>1298</v>
      </c>
      <c r="C15004" t="s">
        <v>681</v>
      </c>
      <c r="D15004" t="s">
        <v>1454</v>
      </c>
      <c r="E15004" t="s">
        <v>187</v>
      </c>
      <c r="F15004">
        <v>2010</v>
      </c>
      <c r="G15004">
        <v>0.19700000000000001</v>
      </c>
    </row>
    <row r="15005" spans="1:8">
      <c r="A15005" t="s">
        <v>1297</v>
      </c>
      <c r="B15005" t="s">
        <v>1298</v>
      </c>
      <c r="C15005" t="s">
        <v>681</v>
      </c>
      <c r="D15005" t="s">
        <v>1454</v>
      </c>
      <c r="E15005" t="s">
        <v>187</v>
      </c>
      <c r="F15005">
        <v>2012</v>
      </c>
      <c r="G15005">
        <v>0.252</v>
      </c>
    </row>
    <row r="15006" spans="1:8">
      <c r="A15006" t="s">
        <v>1297</v>
      </c>
      <c r="B15006" t="s">
        <v>1298</v>
      </c>
      <c r="C15006" t="s">
        <v>681</v>
      </c>
      <c r="D15006" t="s">
        <v>1454</v>
      </c>
      <c r="E15006" t="s">
        <v>187</v>
      </c>
      <c r="F15006">
        <v>2016</v>
      </c>
      <c r="G15006">
        <v>0.23153000000000001</v>
      </c>
    </row>
    <row r="15007" spans="1:8">
      <c r="A15007" t="s">
        <v>1297</v>
      </c>
      <c r="B15007" t="s">
        <v>1298</v>
      </c>
      <c r="C15007" t="s">
        <v>681</v>
      </c>
      <c r="D15007" t="s">
        <v>1454</v>
      </c>
      <c r="E15007" t="s">
        <v>187</v>
      </c>
      <c r="F15007">
        <v>2020</v>
      </c>
      <c r="G15007">
        <v>0.22277</v>
      </c>
    </row>
    <row r="15008" spans="1:8">
      <c r="A15008" t="s">
        <v>1297</v>
      </c>
      <c r="B15008" t="s">
        <v>1298</v>
      </c>
      <c r="C15008" t="s">
        <v>1303</v>
      </c>
      <c r="D15008" t="s">
        <v>1454</v>
      </c>
      <c r="E15008" t="s">
        <v>187</v>
      </c>
      <c r="F15008">
        <v>2016</v>
      </c>
      <c r="G15008">
        <v>0.128</v>
      </c>
    </row>
    <row r="15009" spans="1:7">
      <c r="A15009" t="s">
        <v>1297</v>
      </c>
      <c r="B15009" t="s">
        <v>1298</v>
      </c>
      <c r="C15009" t="s">
        <v>1303</v>
      </c>
      <c r="D15009" t="s">
        <v>1454</v>
      </c>
      <c r="E15009" t="s">
        <v>187</v>
      </c>
      <c r="F15009">
        <v>2020</v>
      </c>
      <c r="G15009">
        <v>0.12609999999999999</v>
      </c>
    </row>
    <row r="15010" spans="1:7">
      <c r="A15010" t="s">
        <v>1297</v>
      </c>
      <c r="B15010" t="s">
        <v>1298</v>
      </c>
      <c r="C15010" t="s">
        <v>673</v>
      </c>
      <c r="D15010" t="s">
        <v>1454</v>
      </c>
      <c r="E15010" t="s">
        <v>187</v>
      </c>
      <c r="F15010">
        <v>2010</v>
      </c>
      <c r="G15010">
        <v>3.0000000000000001E-3</v>
      </c>
    </row>
    <row r="15011" spans="1:7">
      <c r="A15011" t="s">
        <v>1297</v>
      </c>
      <c r="B15011" t="s">
        <v>1298</v>
      </c>
      <c r="C15011" t="s">
        <v>673</v>
      </c>
      <c r="D15011" t="s">
        <v>1454</v>
      </c>
      <c r="E15011" t="s">
        <v>187</v>
      </c>
      <c r="F15011">
        <v>2012</v>
      </c>
      <c r="G15011">
        <v>4.0000000000000001E-3</v>
      </c>
    </row>
    <row r="15012" spans="1:7">
      <c r="A15012" t="s">
        <v>1297</v>
      </c>
      <c r="B15012" t="s">
        <v>1298</v>
      </c>
      <c r="C15012" t="s">
        <v>673</v>
      </c>
      <c r="D15012" t="s">
        <v>1454</v>
      </c>
      <c r="E15012" t="s">
        <v>187</v>
      </c>
      <c r="F15012">
        <v>2016</v>
      </c>
      <c r="G15012">
        <v>1E-3</v>
      </c>
    </row>
    <row r="15013" spans="1:7">
      <c r="A15013" t="s">
        <v>1297</v>
      </c>
      <c r="B15013" t="s">
        <v>1298</v>
      </c>
      <c r="C15013" t="s">
        <v>673</v>
      </c>
      <c r="D15013" t="s">
        <v>1454</v>
      </c>
      <c r="E15013" t="s">
        <v>187</v>
      </c>
      <c r="F15013">
        <v>2020</v>
      </c>
      <c r="G15013">
        <v>2.813E-3</v>
      </c>
    </row>
    <row r="15014" spans="1:7">
      <c r="A15014" t="s">
        <v>1297</v>
      </c>
      <c r="B15014" t="s">
        <v>1298</v>
      </c>
      <c r="C15014" t="s">
        <v>663</v>
      </c>
      <c r="D15014" t="s">
        <v>1454</v>
      </c>
      <c r="E15014" t="s">
        <v>187</v>
      </c>
      <c r="F15014">
        <v>2005</v>
      </c>
      <c r="G15014">
        <v>1E-3</v>
      </c>
    </row>
    <row r="15015" spans="1:7">
      <c r="A15015" t="s">
        <v>1297</v>
      </c>
      <c r="B15015" t="s">
        <v>1298</v>
      </c>
      <c r="C15015" t="s">
        <v>663</v>
      </c>
      <c r="D15015" t="s">
        <v>1454</v>
      </c>
      <c r="E15015" t="s">
        <v>187</v>
      </c>
      <c r="F15015">
        <v>2010</v>
      </c>
      <c r="G15015">
        <v>7.0000000000000001E-3</v>
      </c>
    </row>
    <row r="15016" spans="1:7">
      <c r="A15016" t="s">
        <v>1297</v>
      </c>
      <c r="B15016" t="s">
        <v>1298</v>
      </c>
      <c r="C15016" t="s">
        <v>663</v>
      </c>
      <c r="D15016" t="s">
        <v>1454</v>
      </c>
      <c r="E15016" t="s">
        <v>187</v>
      </c>
      <c r="F15016">
        <v>2012</v>
      </c>
      <c r="G15016">
        <v>8.0000000000000002E-3</v>
      </c>
    </row>
    <row r="15017" spans="1:7">
      <c r="A15017" t="s">
        <v>1297</v>
      </c>
      <c r="B15017" t="s">
        <v>1298</v>
      </c>
      <c r="C15017" t="s">
        <v>663</v>
      </c>
      <c r="D15017" t="s">
        <v>1454</v>
      </c>
      <c r="E15017" t="s">
        <v>187</v>
      </c>
      <c r="F15017">
        <v>2016</v>
      </c>
      <c r="G15017">
        <v>8.9999999999999993E-3</v>
      </c>
    </row>
    <row r="15018" spans="1:7">
      <c r="A15018" t="s">
        <v>1297</v>
      </c>
      <c r="B15018" t="s">
        <v>1298</v>
      </c>
      <c r="C15018" t="s">
        <v>663</v>
      </c>
      <c r="D15018" t="s">
        <v>1454</v>
      </c>
      <c r="E15018" t="s">
        <v>187</v>
      </c>
      <c r="F15018">
        <v>2020</v>
      </c>
      <c r="G15018">
        <v>1.0999999999999999E-2</v>
      </c>
    </row>
    <row r="15019" spans="1:7">
      <c r="A15019" t="s">
        <v>1297</v>
      </c>
      <c r="B15019" t="s">
        <v>1298</v>
      </c>
      <c r="C15019" t="s">
        <v>677</v>
      </c>
      <c r="D15019" t="s">
        <v>1454</v>
      </c>
      <c r="E15019" t="s">
        <v>187</v>
      </c>
      <c r="F15019">
        <v>2016</v>
      </c>
      <c r="G15019">
        <v>0.66700000000000004</v>
      </c>
    </row>
    <row r="15020" spans="1:7">
      <c r="A15020" t="s">
        <v>1297</v>
      </c>
      <c r="B15020" t="s">
        <v>1298</v>
      </c>
      <c r="C15020" t="s">
        <v>677</v>
      </c>
      <c r="D15020" t="s">
        <v>1454</v>
      </c>
      <c r="E15020" t="s">
        <v>187</v>
      </c>
      <c r="F15020">
        <v>2020</v>
      </c>
      <c r="G15020">
        <v>0.71899999999999997</v>
      </c>
    </row>
    <row r="15021" spans="1:7">
      <c r="A15021" t="s">
        <v>1297</v>
      </c>
      <c r="B15021" t="s">
        <v>1298</v>
      </c>
      <c r="C15021" t="s">
        <v>664</v>
      </c>
      <c r="D15021" t="s">
        <v>1454</v>
      </c>
      <c r="E15021" t="s">
        <v>187</v>
      </c>
      <c r="F15021">
        <v>2010</v>
      </c>
      <c r="G15021">
        <v>6.4200000000000004E-3</v>
      </c>
    </row>
    <row r="15022" spans="1:7">
      <c r="A15022" t="s">
        <v>1297</v>
      </c>
      <c r="B15022" t="s">
        <v>1298</v>
      </c>
      <c r="C15022" t="s">
        <v>664</v>
      </c>
      <c r="D15022" t="s">
        <v>1454</v>
      </c>
      <c r="E15022" t="s">
        <v>187</v>
      </c>
      <c r="F15022">
        <v>2012</v>
      </c>
      <c r="G15022">
        <v>6.9569999999999996E-3</v>
      </c>
    </row>
    <row r="15023" spans="1:7">
      <c r="A15023" t="s">
        <v>1297</v>
      </c>
      <c r="B15023" t="s">
        <v>1298</v>
      </c>
      <c r="C15023" t="s">
        <v>664</v>
      </c>
      <c r="D15023" t="s">
        <v>1454</v>
      </c>
      <c r="E15023" t="s">
        <v>187</v>
      </c>
      <c r="F15023">
        <v>2016</v>
      </c>
      <c r="G15023">
        <v>6.9569999999999996E-3</v>
      </c>
    </row>
    <row r="15024" spans="1:7">
      <c r="A15024" t="s">
        <v>1297</v>
      </c>
      <c r="B15024" t="s">
        <v>1298</v>
      </c>
      <c r="C15024" t="s">
        <v>664</v>
      </c>
      <c r="D15024" t="s">
        <v>1454</v>
      </c>
      <c r="E15024" t="s">
        <v>187</v>
      </c>
      <c r="F15024">
        <v>2020</v>
      </c>
      <c r="G15024">
        <v>6.9719999999999999E-3</v>
      </c>
    </row>
    <row r="15025" spans="1:7">
      <c r="A15025" t="s">
        <v>1297</v>
      </c>
      <c r="B15025" t="s">
        <v>1298</v>
      </c>
      <c r="C15025" t="s">
        <v>665</v>
      </c>
      <c r="D15025" t="s">
        <v>1454</v>
      </c>
      <c r="E15025" t="s">
        <v>187</v>
      </c>
      <c r="F15025">
        <v>2005</v>
      </c>
      <c r="G15025">
        <v>0.24099999999999999</v>
      </c>
    </row>
    <row r="15026" spans="1:7">
      <c r="A15026" t="s">
        <v>1297</v>
      </c>
      <c r="B15026" t="s">
        <v>1298</v>
      </c>
      <c r="C15026" t="s">
        <v>665</v>
      </c>
      <c r="D15026" t="s">
        <v>1454</v>
      </c>
      <c r="E15026" t="s">
        <v>187</v>
      </c>
      <c r="F15026">
        <v>2010</v>
      </c>
      <c r="G15026">
        <v>1.123</v>
      </c>
    </row>
    <row r="15027" spans="1:7">
      <c r="A15027" t="s">
        <v>1297</v>
      </c>
      <c r="B15027" t="s">
        <v>1298</v>
      </c>
      <c r="C15027" t="s">
        <v>665</v>
      </c>
      <c r="D15027" t="s">
        <v>1454</v>
      </c>
      <c r="E15027" t="s">
        <v>187</v>
      </c>
      <c r="F15027">
        <v>2012</v>
      </c>
      <c r="G15027">
        <v>1.3009999999999999</v>
      </c>
    </row>
    <row r="15028" spans="1:7">
      <c r="A15028" t="s">
        <v>1297</v>
      </c>
      <c r="B15028" t="s">
        <v>1298</v>
      </c>
      <c r="C15028" t="s">
        <v>665</v>
      </c>
      <c r="D15028" t="s">
        <v>1454</v>
      </c>
      <c r="E15028" t="s">
        <v>187</v>
      </c>
      <c r="F15028">
        <v>2016</v>
      </c>
      <c r="G15028">
        <v>1.6759999999999999</v>
      </c>
    </row>
    <row r="15029" spans="1:7">
      <c r="A15029" t="s">
        <v>1297</v>
      </c>
      <c r="B15029" t="s">
        <v>1298</v>
      </c>
      <c r="C15029" t="s">
        <v>665</v>
      </c>
      <c r="D15029" t="s">
        <v>1454</v>
      </c>
      <c r="E15029" t="s">
        <v>187</v>
      </c>
      <c r="F15029">
        <v>2020</v>
      </c>
      <c r="G15029">
        <v>1.908733</v>
      </c>
    </row>
    <row r="15030" spans="1:7">
      <c r="A15030" t="s">
        <v>1297</v>
      </c>
      <c r="B15030" t="s">
        <v>1298</v>
      </c>
      <c r="C15030" t="s">
        <v>657</v>
      </c>
      <c r="D15030" t="s">
        <v>1454</v>
      </c>
      <c r="E15030" t="s">
        <v>187</v>
      </c>
      <c r="F15030">
        <v>2005</v>
      </c>
      <c r="G15030">
        <v>5.3999999999999999E-2</v>
      </c>
    </row>
    <row r="15031" spans="1:7">
      <c r="A15031" t="s">
        <v>1297</v>
      </c>
      <c r="B15031" t="s">
        <v>1298</v>
      </c>
      <c r="C15031" t="s">
        <v>657</v>
      </c>
      <c r="D15031" t="s">
        <v>1454</v>
      </c>
      <c r="E15031" t="s">
        <v>187</v>
      </c>
      <c r="F15031">
        <v>2010</v>
      </c>
      <c r="G15031">
        <v>7.3856000000000005E-2</v>
      </c>
    </row>
    <row r="15032" spans="1:7">
      <c r="A15032" t="s">
        <v>1297</v>
      </c>
      <c r="B15032" t="s">
        <v>1298</v>
      </c>
      <c r="C15032" t="s">
        <v>657</v>
      </c>
      <c r="D15032" t="s">
        <v>1454</v>
      </c>
      <c r="E15032" t="s">
        <v>187</v>
      </c>
      <c r="F15032">
        <v>2012</v>
      </c>
      <c r="G15032">
        <v>8.0145999999999995E-2</v>
      </c>
    </row>
    <row r="15033" spans="1:7">
      <c r="A15033" t="s">
        <v>1297</v>
      </c>
      <c r="B15033" t="s">
        <v>1298</v>
      </c>
      <c r="C15033" t="s">
        <v>657</v>
      </c>
      <c r="D15033" t="s">
        <v>1454</v>
      </c>
      <c r="E15033" t="s">
        <v>187</v>
      </c>
      <c r="F15033">
        <v>2016</v>
      </c>
      <c r="G15033">
        <v>8.8327000000000003E-2</v>
      </c>
    </row>
    <row r="15034" spans="1:7">
      <c r="A15034" t="s">
        <v>1297</v>
      </c>
      <c r="B15034" t="s">
        <v>1298</v>
      </c>
      <c r="C15034" t="s">
        <v>657</v>
      </c>
      <c r="D15034" t="s">
        <v>1454</v>
      </c>
      <c r="E15034" t="s">
        <v>187</v>
      </c>
      <c r="F15034">
        <v>2020</v>
      </c>
      <c r="G15034">
        <v>9.1647999999999993E-2</v>
      </c>
    </row>
    <row r="15035" spans="1:7">
      <c r="A15035" t="s">
        <v>1297</v>
      </c>
      <c r="B15035" t="s">
        <v>1298</v>
      </c>
      <c r="C15035" t="s">
        <v>662</v>
      </c>
      <c r="D15035" t="s">
        <v>1454</v>
      </c>
      <c r="E15035" t="s">
        <v>187</v>
      </c>
      <c r="F15035">
        <v>2005</v>
      </c>
      <c r="G15035">
        <v>0.251</v>
      </c>
    </row>
    <row r="15036" spans="1:7">
      <c r="A15036" t="s">
        <v>1297</v>
      </c>
      <c r="B15036" t="s">
        <v>1298</v>
      </c>
      <c r="C15036" t="s">
        <v>652</v>
      </c>
      <c r="D15036" t="s">
        <v>1454</v>
      </c>
      <c r="E15036" t="s">
        <v>187</v>
      </c>
      <c r="F15036">
        <v>2012</v>
      </c>
      <c r="G15036">
        <v>3.5999999999999997E-2</v>
      </c>
    </row>
    <row r="15037" spans="1:7">
      <c r="A15037" t="s">
        <v>1297</v>
      </c>
      <c r="B15037" t="s">
        <v>1298</v>
      </c>
      <c r="C15037" t="s">
        <v>652</v>
      </c>
      <c r="D15037" t="s">
        <v>1454</v>
      </c>
      <c r="E15037" t="s">
        <v>187</v>
      </c>
      <c r="F15037">
        <v>2016</v>
      </c>
      <c r="G15037">
        <v>4.4999999999999998E-2</v>
      </c>
    </row>
    <row r="15038" spans="1:7">
      <c r="A15038" t="s">
        <v>1297</v>
      </c>
      <c r="B15038" t="s">
        <v>1298</v>
      </c>
      <c r="C15038" t="s">
        <v>652</v>
      </c>
      <c r="D15038" t="s">
        <v>1454</v>
      </c>
      <c r="E15038" t="s">
        <v>187</v>
      </c>
      <c r="F15038">
        <v>2020</v>
      </c>
      <c r="G15038">
        <v>5.0700000000000002E-2</v>
      </c>
    </row>
    <row r="15039" spans="1:7">
      <c r="A15039" t="s">
        <v>1297</v>
      </c>
      <c r="B15039" t="s">
        <v>1298</v>
      </c>
      <c r="C15039" t="s">
        <v>289</v>
      </c>
      <c r="D15039" t="s">
        <v>1454</v>
      </c>
      <c r="E15039" t="s">
        <v>187</v>
      </c>
      <c r="F15039">
        <v>2005</v>
      </c>
      <c r="G15039">
        <v>2.9000000000000001E-2</v>
      </c>
    </row>
    <row r="15040" spans="1:7">
      <c r="A15040" t="s">
        <v>1297</v>
      </c>
      <c r="B15040" t="s">
        <v>1298</v>
      </c>
      <c r="C15040" t="s">
        <v>289</v>
      </c>
      <c r="D15040" t="s">
        <v>1454</v>
      </c>
      <c r="E15040" t="s">
        <v>187</v>
      </c>
      <c r="F15040">
        <v>2010</v>
      </c>
      <c r="G15040">
        <v>6.5000000000000002E-2</v>
      </c>
    </row>
    <row r="15041" spans="1:7">
      <c r="A15041" t="s">
        <v>1297</v>
      </c>
      <c r="B15041" t="s">
        <v>1298</v>
      </c>
      <c r="C15041" t="s">
        <v>662</v>
      </c>
      <c r="D15041" t="s">
        <v>1454</v>
      </c>
      <c r="E15041" t="s">
        <v>187</v>
      </c>
      <c r="F15041">
        <v>2010</v>
      </c>
      <c r="G15041">
        <v>0.374</v>
      </c>
    </row>
    <row r="15042" spans="1:7">
      <c r="A15042" t="s">
        <v>1297</v>
      </c>
      <c r="B15042" t="s">
        <v>1298</v>
      </c>
      <c r="C15042" t="s">
        <v>662</v>
      </c>
      <c r="D15042" t="s">
        <v>1454</v>
      </c>
      <c r="E15042" t="s">
        <v>187</v>
      </c>
      <c r="F15042">
        <v>2012</v>
      </c>
      <c r="G15042">
        <v>0.377</v>
      </c>
    </row>
    <row r="15043" spans="1:7">
      <c r="A15043" t="s">
        <v>1297</v>
      </c>
      <c r="B15043" t="s">
        <v>1298</v>
      </c>
      <c r="C15043" t="s">
        <v>662</v>
      </c>
      <c r="D15043" t="s">
        <v>1454</v>
      </c>
      <c r="E15043" t="s">
        <v>187</v>
      </c>
      <c r="F15043">
        <v>2016</v>
      </c>
      <c r="G15043">
        <v>0.40899999999999997</v>
      </c>
    </row>
    <row r="15044" spans="1:7">
      <c r="A15044" t="s">
        <v>1297</v>
      </c>
      <c r="B15044" t="s">
        <v>1298</v>
      </c>
      <c r="C15044" t="s">
        <v>662</v>
      </c>
      <c r="D15044" t="s">
        <v>1454</v>
      </c>
      <c r="E15044" t="s">
        <v>187</v>
      </c>
      <c r="F15044">
        <v>2020</v>
      </c>
      <c r="G15044">
        <v>0.437</v>
      </c>
    </row>
    <row r="15045" spans="1:7">
      <c r="A15045" t="s">
        <v>1297</v>
      </c>
      <c r="B15045" t="s">
        <v>1298</v>
      </c>
      <c r="C15045" t="s">
        <v>652</v>
      </c>
      <c r="D15045" t="s">
        <v>1454</v>
      </c>
      <c r="E15045" t="s">
        <v>187</v>
      </c>
      <c r="F15045">
        <v>2005</v>
      </c>
      <c r="G15045">
        <v>1.2999999999999999E-2</v>
      </c>
    </row>
    <row r="15046" spans="1:7">
      <c r="A15046" t="s">
        <v>1297</v>
      </c>
      <c r="B15046" t="s">
        <v>1298</v>
      </c>
      <c r="C15046" t="s">
        <v>652</v>
      </c>
      <c r="D15046" t="s">
        <v>1454</v>
      </c>
      <c r="E15046" t="s">
        <v>187</v>
      </c>
      <c r="F15046">
        <v>2010</v>
      </c>
      <c r="G15046">
        <v>3.3000000000000002E-2</v>
      </c>
    </row>
    <row r="15047" spans="1:7">
      <c r="A15047" t="s">
        <v>1297</v>
      </c>
      <c r="B15047" t="s">
        <v>1298</v>
      </c>
      <c r="C15047" t="s">
        <v>289</v>
      </c>
      <c r="D15047" t="s">
        <v>1454</v>
      </c>
      <c r="E15047" t="s">
        <v>187</v>
      </c>
      <c r="F15047">
        <v>2012</v>
      </c>
      <c r="G15047">
        <v>0.09</v>
      </c>
    </row>
    <row r="15048" spans="1:7">
      <c r="A15048" t="s">
        <v>1297</v>
      </c>
      <c r="B15048" t="s">
        <v>1298</v>
      </c>
      <c r="C15048" t="s">
        <v>289</v>
      </c>
      <c r="D15048" t="s">
        <v>1454</v>
      </c>
      <c r="E15048" t="s">
        <v>187</v>
      </c>
      <c r="F15048">
        <v>2016</v>
      </c>
      <c r="G15048">
        <v>0.14499999999999999</v>
      </c>
    </row>
    <row r="15049" spans="1:7">
      <c r="A15049" t="s">
        <v>1297</v>
      </c>
      <c r="B15049" t="s">
        <v>1298</v>
      </c>
      <c r="C15049" t="s">
        <v>289</v>
      </c>
      <c r="D15049" t="s">
        <v>1454</v>
      </c>
      <c r="E15049" t="s">
        <v>187</v>
      </c>
      <c r="F15049">
        <v>2020</v>
      </c>
      <c r="G15049">
        <v>0.19400000000000001</v>
      </c>
    </row>
    <row r="15050" spans="1:7">
      <c r="A15050" t="s">
        <v>1297</v>
      </c>
      <c r="B15050" t="s">
        <v>1298</v>
      </c>
      <c r="C15050" t="s">
        <v>676</v>
      </c>
      <c r="D15050" t="s">
        <v>1454</v>
      </c>
      <c r="E15050" t="s">
        <v>187</v>
      </c>
      <c r="F15050">
        <v>2005</v>
      </c>
      <c r="G15050">
        <v>1E-3</v>
      </c>
    </row>
    <row r="15051" spans="1:7">
      <c r="A15051" t="s">
        <v>1297</v>
      </c>
      <c r="B15051" t="s">
        <v>1298</v>
      </c>
      <c r="C15051" t="s">
        <v>676</v>
      </c>
      <c r="D15051" t="s">
        <v>1454</v>
      </c>
      <c r="E15051" t="s">
        <v>187</v>
      </c>
      <c r="F15051">
        <v>2010</v>
      </c>
      <c r="G15051">
        <v>1.9E-2</v>
      </c>
    </row>
    <row r="15052" spans="1:7">
      <c r="A15052" t="s">
        <v>1297</v>
      </c>
      <c r="B15052" t="s">
        <v>1298</v>
      </c>
      <c r="C15052" t="s">
        <v>676</v>
      </c>
      <c r="D15052" t="s">
        <v>1454</v>
      </c>
      <c r="E15052" t="s">
        <v>187</v>
      </c>
      <c r="F15052">
        <v>2012</v>
      </c>
      <c r="G15052">
        <v>2.3E-2</v>
      </c>
    </row>
    <row r="15053" spans="1:7">
      <c r="A15053" t="s">
        <v>1297</v>
      </c>
      <c r="B15053" t="s">
        <v>1298</v>
      </c>
      <c r="C15053" t="s">
        <v>676</v>
      </c>
      <c r="D15053" t="s">
        <v>1454</v>
      </c>
      <c r="E15053" t="s">
        <v>187</v>
      </c>
      <c r="F15053">
        <v>2016</v>
      </c>
      <c r="G15053">
        <v>3.5999999999999997E-2</v>
      </c>
    </row>
    <row r="15054" spans="1:7">
      <c r="A15054" t="s">
        <v>1297</v>
      </c>
      <c r="B15054" t="s">
        <v>1298</v>
      </c>
      <c r="C15054" t="s">
        <v>676</v>
      </c>
      <c r="D15054" t="s">
        <v>1454</v>
      </c>
      <c r="E15054" t="s">
        <v>187</v>
      </c>
      <c r="F15054">
        <v>2020</v>
      </c>
      <c r="G15054">
        <v>0.03</v>
      </c>
    </row>
    <row r="15055" spans="1:7">
      <c r="A15055" t="s">
        <v>1297</v>
      </c>
      <c r="B15055" t="s">
        <v>1298</v>
      </c>
      <c r="C15055" t="s">
        <v>659</v>
      </c>
      <c r="D15055" t="s">
        <v>1454</v>
      </c>
      <c r="E15055" t="s">
        <v>187</v>
      </c>
      <c r="F15055">
        <v>2005</v>
      </c>
      <c r="G15055">
        <v>0.76886299999999996</v>
      </c>
    </row>
    <row r="15056" spans="1:7">
      <c r="A15056" t="s">
        <v>1297</v>
      </c>
      <c r="B15056" t="s">
        <v>1298</v>
      </c>
      <c r="C15056" t="s">
        <v>659</v>
      </c>
      <c r="D15056" t="s">
        <v>1454</v>
      </c>
      <c r="E15056" t="s">
        <v>187</v>
      </c>
      <c r="F15056">
        <v>2010</v>
      </c>
      <c r="G15056">
        <v>1.5215609999999999</v>
      </c>
    </row>
    <row r="15057" spans="1:7">
      <c r="A15057" t="s">
        <v>1297</v>
      </c>
      <c r="B15057" t="s">
        <v>1298</v>
      </c>
      <c r="C15057" t="s">
        <v>659</v>
      </c>
      <c r="D15057" t="s">
        <v>1454</v>
      </c>
      <c r="E15057" t="s">
        <v>187</v>
      </c>
      <c r="F15057">
        <v>2012</v>
      </c>
      <c r="G15057">
        <v>1.775774</v>
      </c>
    </row>
    <row r="15058" spans="1:7">
      <c r="A15058" t="s">
        <v>1297</v>
      </c>
      <c r="B15058" t="s">
        <v>1298</v>
      </c>
      <c r="C15058" t="s">
        <v>659</v>
      </c>
      <c r="D15058" t="s">
        <v>1454</v>
      </c>
      <c r="E15058" t="s">
        <v>187</v>
      </c>
      <c r="F15058">
        <v>2016</v>
      </c>
      <c r="G15058">
        <v>2.0922830000000001</v>
      </c>
    </row>
    <row r="15059" spans="1:7">
      <c r="A15059" t="s">
        <v>1297</v>
      </c>
      <c r="B15059" t="s">
        <v>1298</v>
      </c>
      <c r="C15059" t="s">
        <v>659</v>
      </c>
      <c r="D15059" t="s">
        <v>1454</v>
      </c>
      <c r="E15059" t="s">
        <v>187</v>
      </c>
      <c r="F15059">
        <v>2020</v>
      </c>
      <c r="G15059">
        <v>2.254156</v>
      </c>
    </row>
    <row r="15060" spans="1:7">
      <c r="A15060" t="s">
        <v>1297</v>
      </c>
      <c r="B15060" t="s">
        <v>1298</v>
      </c>
      <c r="C15060" t="s">
        <v>670</v>
      </c>
      <c r="D15060" t="s">
        <v>1454</v>
      </c>
      <c r="E15060" t="s">
        <v>187</v>
      </c>
      <c r="F15060">
        <v>2005</v>
      </c>
      <c r="G15060">
        <v>0.14399999999999999</v>
      </c>
    </row>
    <row r="15061" spans="1:7">
      <c r="A15061" t="s">
        <v>1297</v>
      </c>
      <c r="B15061" t="s">
        <v>1298</v>
      </c>
      <c r="C15061" t="s">
        <v>670</v>
      </c>
      <c r="D15061" t="s">
        <v>1454</v>
      </c>
      <c r="E15061" t="s">
        <v>187</v>
      </c>
      <c r="F15061">
        <v>2010</v>
      </c>
      <c r="G15061">
        <v>0.19900000000000001</v>
      </c>
    </row>
    <row r="15062" spans="1:7">
      <c r="A15062" t="s">
        <v>1297</v>
      </c>
      <c r="B15062" t="s">
        <v>1298</v>
      </c>
      <c r="C15062" t="s">
        <v>670</v>
      </c>
      <c r="D15062" t="s">
        <v>1454</v>
      </c>
      <c r="E15062" t="s">
        <v>187</v>
      </c>
      <c r="F15062">
        <v>2012</v>
      </c>
      <c r="G15062">
        <v>0.214</v>
      </c>
    </row>
    <row r="15063" spans="1:7">
      <c r="A15063" t="s">
        <v>1297</v>
      </c>
      <c r="B15063" t="s">
        <v>1298</v>
      </c>
      <c r="C15063" t="s">
        <v>670</v>
      </c>
      <c r="D15063" t="s">
        <v>1454</v>
      </c>
      <c r="E15063" t="s">
        <v>187</v>
      </c>
      <c r="F15063">
        <v>2016</v>
      </c>
      <c r="G15063">
        <v>0.22900000000000001</v>
      </c>
    </row>
    <row r="15064" spans="1:7">
      <c r="A15064" t="s">
        <v>1297</v>
      </c>
      <c r="B15064" t="s">
        <v>1298</v>
      </c>
      <c r="C15064" t="s">
        <v>670</v>
      </c>
      <c r="D15064" t="s">
        <v>1454</v>
      </c>
      <c r="E15064" t="s">
        <v>187</v>
      </c>
      <c r="F15064">
        <v>2020</v>
      </c>
      <c r="G15064">
        <v>0.24099999999999999</v>
      </c>
    </row>
    <row r="15065" spans="1:7">
      <c r="A15065" t="s">
        <v>1297</v>
      </c>
      <c r="B15065" t="s">
        <v>1298</v>
      </c>
      <c r="C15065" t="s">
        <v>654</v>
      </c>
      <c r="D15065" t="s">
        <v>1454</v>
      </c>
      <c r="E15065" t="s">
        <v>187</v>
      </c>
      <c r="F15065">
        <v>2005</v>
      </c>
      <c r="G15065">
        <v>0.255</v>
      </c>
    </row>
    <row r="15066" spans="1:7">
      <c r="A15066" t="s">
        <v>1297</v>
      </c>
      <c r="B15066" t="s">
        <v>1298</v>
      </c>
      <c r="C15066" t="s">
        <v>654</v>
      </c>
      <c r="D15066" t="s">
        <v>1454</v>
      </c>
      <c r="E15066" t="s">
        <v>187</v>
      </c>
      <c r="F15066">
        <v>2010</v>
      </c>
      <c r="G15066">
        <v>0.38200000000000001</v>
      </c>
    </row>
    <row r="15067" spans="1:7">
      <c r="A15067" t="s">
        <v>1297</v>
      </c>
      <c r="B15067" t="s">
        <v>1298</v>
      </c>
      <c r="C15067" t="s">
        <v>654</v>
      </c>
      <c r="D15067" t="s">
        <v>1454</v>
      </c>
      <c r="E15067" t="s">
        <v>187</v>
      </c>
      <c r="F15067">
        <v>2012</v>
      </c>
      <c r="G15067">
        <v>0.40500000000000003</v>
      </c>
    </row>
    <row r="15068" spans="1:7">
      <c r="A15068" t="s">
        <v>1297</v>
      </c>
      <c r="B15068" t="s">
        <v>1298</v>
      </c>
      <c r="C15068" t="s">
        <v>654</v>
      </c>
      <c r="D15068" t="s">
        <v>1454</v>
      </c>
      <c r="E15068" t="s">
        <v>187</v>
      </c>
      <c r="F15068">
        <v>2016</v>
      </c>
      <c r="G15068">
        <v>0.433</v>
      </c>
    </row>
    <row r="15069" spans="1:7">
      <c r="A15069" t="s">
        <v>1297</v>
      </c>
      <c r="B15069" t="s">
        <v>1298</v>
      </c>
      <c r="C15069" t="s">
        <v>654</v>
      </c>
      <c r="D15069" t="s">
        <v>1454</v>
      </c>
      <c r="E15069" t="s">
        <v>187</v>
      </c>
      <c r="F15069">
        <v>2020</v>
      </c>
      <c r="G15069">
        <v>0.45682299999999998</v>
      </c>
    </row>
    <row r="15070" spans="1:7">
      <c r="A15070" t="s">
        <v>1297</v>
      </c>
      <c r="B15070" t="s">
        <v>1298</v>
      </c>
      <c r="C15070" t="s">
        <v>671</v>
      </c>
      <c r="D15070" t="s">
        <v>1454</v>
      </c>
      <c r="E15070" t="s">
        <v>187</v>
      </c>
      <c r="F15070">
        <v>2005</v>
      </c>
      <c r="G15070">
        <v>6.0000000000000001E-3</v>
      </c>
    </row>
    <row r="15071" spans="1:7">
      <c r="A15071" t="s">
        <v>1297</v>
      </c>
      <c r="B15071" t="s">
        <v>1298</v>
      </c>
      <c r="C15071" t="s">
        <v>671</v>
      </c>
      <c r="D15071" t="s">
        <v>1454</v>
      </c>
      <c r="E15071" t="s">
        <v>187</v>
      </c>
      <c r="F15071">
        <v>2010</v>
      </c>
      <c r="G15071">
        <v>0.1</v>
      </c>
    </row>
    <row r="15072" spans="1:7">
      <c r="A15072" t="s">
        <v>1297</v>
      </c>
      <c r="B15072" t="s">
        <v>1298</v>
      </c>
      <c r="C15072" t="s">
        <v>671</v>
      </c>
      <c r="D15072" t="s">
        <v>1454</v>
      </c>
      <c r="E15072" t="s">
        <v>187</v>
      </c>
      <c r="F15072">
        <v>2012</v>
      </c>
      <c r="G15072">
        <v>0.16400000000000001</v>
      </c>
    </row>
    <row r="15073" spans="1:7">
      <c r="A15073" t="s">
        <v>1297</v>
      </c>
      <c r="B15073" t="s">
        <v>1298</v>
      </c>
      <c r="C15073" t="s">
        <v>661</v>
      </c>
      <c r="D15073" t="s">
        <v>1454</v>
      </c>
      <c r="E15073" t="s">
        <v>187</v>
      </c>
      <c r="F15073">
        <v>2005</v>
      </c>
      <c r="G15073">
        <v>7.3999999999999996E-2</v>
      </c>
    </row>
    <row r="15074" spans="1:7">
      <c r="A15074" t="s">
        <v>1297</v>
      </c>
      <c r="B15074" t="s">
        <v>1298</v>
      </c>
      <c r="C15074" t="s">
        <v>661</v>
      </c>
      <c r="D15074" t="s">
        <v>1454</v>
      </c>
      <c r="E15074" t="s">
        <v>187</v>
      </c>
      <c r="F15074">
        <v>2010</v>
      </c>
      <c r="G15074">
        <v>0.14000000000000001</v>
      </c>
    </row>
    <row r="15075" spans="1:7">
      <c r="A15075" t="s">
        <v>1297</v>
      </c>
      <c r="B15075" t="s">
        <v>1298</v>
      </c>
      <c r="C15075" t="s">
        <v>661</v>
      </c>
      <c r="D15075" t="s">
        <v>1454</v>
      </c>
      <c r="E15075" t="s">
        <v>187</v>
      </c>
      <c r="F15075">
        <v>2012</v>
      </c>
      <c r="G15075">
        <v>0.36525600000000003</v>
      </c>
    </row>
    <row r="15076" spans="1:7">
      <c r="A15076" t="s">
        <v>1297</v>
      </c>
      <c r="B15076" t="s">
        <v>1298</v>
      </c>
      <c r="C15076" t="s">
        <v>661</v>
      </c>
      <c r="D15076" t="s">
        <v>1454</v>
      </c>
      <c r="E15076" t="s">
        <v>187</v>
      </c>
      <c r="F15076">
        <v>2016</v>
      </c>
      <c r="G15076">
        <v>0.50694300000000003</v>
      </c>
    </row>
    <row r="15077" spans="1:7">
      <c r="A15077" t="s">
        <v>1297</v>
      </c>
      <c r="B15077" t="s">
        <v>1298</v>
      </c>
      <c r="C15077" t="s">
        <v>661</v>
      </c>
      <c r="D15077" t="s">
        <v>1454</v>
      </c>
      <c r="E15077" t="s">
        <v>187</v>
      </c>
      <c r="F15077">
        <v>2020</v>
      </c>
      <c r="G15077">
        <v>0.56817099999999998</v>
      </c>
    </row>
    <row r="15078" spans="1:7">
      <c r="A15078" t="s">
        <v>1297</v>
      </c>
      <c r="B15078" t="s">
        <v>1298</v>
      </c>
      <c r="C15078" t="s">
        <v>668</v>
      </c>
      <c r="D15078" t="s">
        <v>1454</v>
      </c>
      <c r="E15078" t="s">
        <v>187</v>
      </c>
      <c r="F15078">
        <v>2020</v>
      </c>
      <c r="G15078">
        <v>2.8800000000000001E-4</v>
      </c>
    </row>
    <row r="15079" spans="1:7">
      <c r="A15079" t="s">
        <v>1297</v>
      </c>
      <c r="B15079" t="s">
        <v>1298</v>
      </c>
      <c r="C15079" t="s">
        <v>659</v>
      </c>
      <c r="D15079" t="s">
        <v>1455</v>
      </c>
      <c r="E15079" t="s">
        <v>187</v>
      </c>
      <c r="F15079">
        <v>2005</v>
      </c>
      <c r="G15079">
        <v>4.8999999999999998E-3</v>
      </c>
    </row>
    <row r="15080" spans="1:7">
      <c r="A15080" t="s">
        <v>1297</v>
      </c>
      <c r="B15080" t="s">
        <v>1298</v>
      </c>
      <c r="C15080" t="s">
        <v>659</v>
      </c>
      <c r="D15080" t="s">
        <v>1455</v>
      </c>
      <c r="E15080" t="s">
        <v>187</v>
      </c>
      <c r="F15080">
        <v>2010</v>
      </c>
      <c r="G15080">
        <v>4.8999999999999998E-3</v>
      </c>
    </row>
    <row r="15081" spans="1:7">
      <c r="A15081" t="s">
        <v>1297</v>
      </c>
      <c r="B15081" t="s">
        <v>1298</v>
      </c>
      <c r="C15081" t="s">
        <v>659</v>
      </c>
      <c r="D15081" t="s">
        <v>1455</v>
      </c>
      <c r="E15081" t="s">
        <v>187</v>
      </c>
      <c r="F15081">
        <v>2012</v>
      </c>
      <c r="G15081">
        <v>4.9150000000000001E-3</v>
      </c>
    </row>
    <row r="15082" spans="1:7">
      <c r="A15082" t="s">
        <v>1297</v>
      </c>
      <c r="B15082" t="s">
        <v>1298</v>
      </c>
      <c r="C15082" t="s">
        <v>659</v>
      </c>
      <c r="D15082" t="s">
        <v>1455</v>
      </c>
      <c r="E15082" t="s">
        <v>187</v>
      </c>
      <c r="F15082">
        <v>2016</v>
      </c>
      <c r="G15082">
        <v>4.9699999999999996E-3</v>
      </c>
    </row>
    <row r="15083" spans="1:7">
      <c r="A15083" t="s">
        <v>1297</v>
      </c>
      <c r="B15083" t="s">
        <v>1298</v>
      </c>
      <c r="C15083" t="s">
        <v>659</v>
      </c>
      <c r="D15083" t="s">
        <v>1455</v>
      </c>
      <c r="E15083" t="s">
        <v>187</v>
      </c>
      <c r="F15083">
        <v>2020</v>
      </c>
      <c r="G15083">
        <v>4.9699999999999996E-3</v>
      </c>
    </row>
    <row r="15084" spans="1:7">
      <c r="A15084" t="s">
        <v>1297</v>
      </c>
      <c r="B15084" t="s">
        <v>1298</v>
      </c>
      <c r="C15084" t="s">
        <v>668</v>
      </c>
      <c r="D15084" t="s">
        <v>1456</v>
      </c>
      <c r="E15084" t="s">
        <v>187</v>
      </c>
      <c r="F15084">
        <v>2020</v>
      </c>
      <c r="G15084">
        <v>1.6900000000000001E-3</v>
      </c>
    </row>
    <row r="15085" spans="1:7">
      <c r="A15085" t="s">
        <v>1297</v>
      </c>
      <c r="B15085" t="s">
        <v>1298</v>
      </c>
      <c r="C15085" t="s">
        <v>672</v>
      </c>
      <c r="D15085" t="s">
        <v>1456</v>
      </c>
      <c r="E15085" t="s">
        <v>187</v>
      </c>
      <c r="F15085">
        <v>2005</v>
      </c>
      <c r="G15085">
        <v>0.56599999999999995</v>
      </c>
    </row>
    <row r="15086" spans="1:7">
      <c r="A15086" t="s">
        <v>1297</v>
      </c>
      <c r="B15086" t="s">
        <v>1298</v>
      </c>
      <c r="C15086" t="s">
        <v>672</v>
      </c>
      <c r="D15086" t="s">
        <v>1456</v>
      </c>
      <c r="E15086" t="s">
        <v>187</v>
      </c>
      <c r="F15086">
        <v>2010</v>
      </c>
      <c r="G15086">
        <v>1.208</v>
      </c>
    </row>
    <row r="15087" spans="1:7">
      <c r="A15087" t="s">
        <v>1297</v>
      </c>
      <c r="B15087" t="s">
        <v>1298</v>
      </c>
      <c r="C15087" t="s">
        <v>672</v>
      </c>
      <c r="D15087" t="s">
        <v>1456</v>
      </c>
      <c r="E15087" t="s">
        <v>187</v>
      </c>
      <c r="F15087">
        <v>2012</v>
      </c>
      <c r="G15087">
        <v>1.6919999999999999</v>
      </c>
    </row>
    <row r="15088" spans="1:7">
      <c r="A15088" t="s">
        <v>1297</v>
      </c>
      <c r="B15088" t="s">
        <v>1298</v>
      </c>
      <c r="C15088" t="s">
        <v>672</v>
      </c>
      <c r="D15088" t="s">
        <v>1456</v>
      </c>
      <c r="E15088" t="s">
        <v>187</v>
      </c>
      <c r="F15088">
        <v>2016</v>
      </c>
      <c r="G15088">
        <v>2.109</v>
      </c>
    </row>
    <row r="15089" spans="1:7">
      <c r="A15089" t="s">
        <v>1297</v>
      </c>
      <c r="B15089" t="s">
        <v>1298</v>
      </c>
      <c r="C15089" t="s">
        <v>672</v>
      </c>
      <c r="D15089" t="s">
        <v>1456</v>
      </c>
      <c r="E15089" t="s">
        <v>187</v>
      </c>
      <c r="F15089">
        <v>2020</v>
      </c>
      <c r="G15089">
        <v>2.4199030000000001</v>
      </c>
    </row>
    <row r="15090" spans="1:7">
      <c r="A15090" t="s">
        <v>1297</v>
      </c>
      <c r="B15090" t="s">
        <v>1298</v>
      </c>
      <c r="C15090" t="s">
        <v>1302</v>
      </c>
      <c r="D15090" t="s">
        <v>1456</v>
      </c>
      <c r="E15090" t="s">
        <v>187</v>
      </c>
      <c r="F15090">
        <v>2005</v>
      </c>
      <c r="G15090">
        <v>4.0000000000000001E-3</v>
      </c>
    </row>
    <row r="15091" spans="1:7">
      <c r="A15091" t="s">
        <v>1297</v>
      </c>
      <c r="B15091" t="s">
        <v>1298</v>
      </c>
      <c r="C15091" t="s">
        <v>1302</v>
      </c>
      <c r="D15091" t="s">
        <v>1456</v>
      </c>
      <c r="E15091" t="s">
        <v>187</v>
      </c>
      <c r="F15091">
        <v>2010</v>
      </c>
      <c r="G15091">
        <v>3.0000000000000001E-3</v>
      </c>
    </row>
    <row r="15092" spans="1:7">
      <c r="A15092" t="s">
        <v>1297</v>
      </c>
      <c r="B15092" t="s">
        <v>1298</v>
      </c>
      <c r="C15092" t="s">
        <v>1302</v>
      </c>
      <c r="D15092" t="s">
        <v>1456</v>
      </c>
      <c r="E15092" t="s">
        <v>187</v>
      </c>
      <c r="F15092">
        <v>2012</v>
      </c>
      <c r="G15092">
        <v>4.0000000000000001E-3</v>
      </c>
    </row>
    <row r="15093" spans="1:7">
      <c r="A15093" t="s">
        <v>1297</v>
      </c>
      <c r="B15093" t="s">
        <v>1298</v>
      </c>
      <c r="C15093" t="s">
        <v>1302</v>
      </c>
      <c r="D15093" t="s">
        <v>1456</v>
      </c>
      <c r="E15093" t="s">
        <v>187</v>
      </c>
      <c r="F15093">
        <v>2016</v>
      </c>
      <c r="G15093">
        <v>4.0000000000000001E-3</v>
      </c>
    </row>
    <row r="15094" spans="1:7">
      <c r="A15094" t="s">
        <v>1297</v>
      </c>
      <c r="B15094" t="s">
        <v>1298</v>
      </c>
      <c r="C15094" t="s">
        <v>1302</v>
      </c>
      <c r="D15094" t="s">
        <v>1456</v>
      </c>
      <c r="E15094" t="s">
        <v>187</v>
      </c>
      <c r="F15094">
        <v>2020</v>
      </c>
      <c r="G15094">
        <v>4.3610000000000003E-3</v>
      </c>
    </row>
    <row r="15095" spans="1:7">
      <c r="A15095" t="s">
        <v>1297</v>
      </c>
      <c r="B15095" t="s">
        <v>1298</v>
      </c>
      <c r="C15095" t="s">
        <v>674</v>
      </c>
      <c r="D15095" t="s">
        <v>1456</v>
      </c>
      <c r="E15095" t="s">
        <v>187</v>
      </c>
      <c r="F15095">
        <v>2005</v>
      </c>
      <c r="G15095">
        <v>0.247</v>
      </c>
    </row>
    <row r="15096" spans="1:7">
      <c r="A15096" t="s">
        <v>1297</v>
      </c>
      <c r="B15096" t="s">
        <v>1298</v>
      </c>
      <c r="C15096" t="s">
        <v>674</v>
      </c>
      <c r="D15096" t="s">
        <v>1456</v>
      </c>
      <c r="E15096" t="s">
        <v>187</v>
      </c>
      <c r="F15096">
        <v>2010</v>
      </c>
      <c r="G15096">
        <v>0.432</v>
      </c>
    </row>
    <row r="15097" spans="1:7">
      <c r="A15097" t="s">
        <v>1297</v>
      </c>
      <c r="B15097" t="s">
        <v>1298</v>
      </c>
      <c r="C15097" t="s">
        <v>674</v>
      </c>
      <c r="D15097" t="s">
        <v>1456</v>
      </c>
      <c r="E15097" t="s">
        <v>187</v>
      </c>
      <c r="F15097">
        <v>2012</v>
      </c>
      <c r="G15097">
        <v>0.46400000000000002</v>
      </c>
    </row>
    <row r="15098" spans="1:7">
      <c r="A15098" t="s">
        <v>1297</v>
      </c>
      <c r="B15098" t="s">
        <v>1298</v>
      </c>
      <c r="C15098" t="s">
        <v>674</v>
      </c>
      <c r="D15098" t="s">
        <v>1456</v>
      </c>
      <c r="E15098" t="s">
        <v>187</v>
      </c>
      <c r="F15098">
        <v>2016</v>
      </c>
      <c r="G15098">
        <v>0.46800000000000003</v>
      </c>
    </row>
    <row r="15099" spans="1:7">
      <c r="A15099" t="s">
        <v>1297</v>
      </c>
      <c r="B15099" t="s">
        <v>1298</v>
      </c>
      <c r="C15099" t="s">
        <v>674</v>
      </c>
      <c r="D15099" t="s">
        <v>1456</v>
      </c>
      <c r="E15099" t="s">
        <v>187</v>
      </c>
      <c r="F15099">
        <v>2020</v>
      </c>
      <c r="G15099">
        <v>0.44600000000000001</v>
      </c>
    </row>
    <row r="15100" spans="1:7">
      <c r="A15100" t="s">
        <v>1297</v>
      </c>
      <c r="B15100" t="s">
        <v>1298</v>
      </c>
      <c r="C15100" t="s">
        <v>653</v>
      </c>
      <c r="D15100" t="s">
        <v>1456</v>
      </c>
      <c r="E15100" t="s">
        <v>187</v>
      </c>
      <c r="F15100">
        <v>2010</v>
      </c>
      <c r="G15100">
        <v>0.27</v>
      </c>
    </row>
    <row r="15101" spans="1:7">
      <c r="A15101" t="s">
        <v>1297</v>
      </c>
      <c r="B15101" t="s">
        <v>1298</v>
      </c>
      <c r="C15101" t="s">
        <v>653</v>
      </c>
      <c r="D15101" t="s">
        <v>1456</v>
      </c>
      <c r="E15101" t="s">
        <v>187</v>
      </c>
      <c r="F15101">
        <v>2012</v>
      </c>
      <c r="G15101">
        <v>0.34499999999999997</v>
      </c>
    </row>
    <row r="15102" spans="1:7">
      <c r="A15102" t="s">
        <v>1297</v>
      </c>
      <c r="B15102" t="s">
        <v>1298</v>
      </c>
      <c r="C15102" t="s">
        <v>653</v>
      </c>
      <c r="D15102" t="s">
        <v>1456</v>
      </c>
      <c r="E15102" t="s">
        <v>187</v>
      </c>
      <c r="F15102">
        <v>2016</v>
      </c>
      <c r="G15102">
        <v>0.40400000000000003</v>
      </c>
    </row>
    <row r="15103" spans="1:7">
      <c r="A15103" t="s">
        <v>1297</v>
      </c>
      <c r="B15103" t="s">
        <v>1298</v>
      </c>
      <c r="C15103" t="s">
        <v>653</v>
      </c>
      <c r="D15103" t="s">
        <v>1456</v>
      </c>
      <c r="E15103" t="s">
        <v>187</v>
      </c>
      <c r="F15103">
        <v>2020</v>
      </c>
      <c r="G15103">
        <v>0.45858500000000002</v>
      </c>
    </row>
    <row r="15104" spans="1:7">
      <c r="A15104" t="s">
        <v>1297</v>
      </c>
      <c r="B15104" t="s">
        <v>1298</v>
      </c>
      <c r="C15104" t="s">
        <v>659</v>
      </c>
      <c r="D15104" t="s">
        <v>1456</v>
      </c>
      <c r="E15104" t="s">
        <v>187</v>
      </c>
      <c r="F15104">
        <v>2005</v>
      </c>
      <c r="G15104">
        <v>1.7318830000000001</v>
      </c>
    </row>
    <row r="15105" spans="1:7">
      <c r="A15105" t="s">
        <v>1297</v>
      </c>
      <c r="B15105" t="s">
        <v>1298</v>
      </c>
      <c r="C15105" t="s">
        <v>659</v>
      </c>
      <c r="D15105" t="s">
        <v>1456</v>
      </c>
      <c r="E15105" t="s">
        <v>187</v>
      </c>
      <c r="F15105">
        <v>2010</v>
      </c>
      <c r="G15105">
        <v>6.0072150000000004</v>
      </c>
    </row>
    <row r="15106" spans="1:7">
      <c r="A15106" t="s">
        <v>1297</v>
      </c>
      <c r="B15106" t="s">
        <v>1298</v>
      </c>
      <c r="C15106" t="s">
        <v>659</v>
      </c>
      <c r="D15106" t="s">
        <v>1456</v>
      </c>
      <c r="E15106" t="s">
        <v>187</v>
      </c>
      <c r="F15106">
        <v>2012</v>
      </c>
      <c r="G15106">
        <v>7.307874</v>
      </c>
    </row>
    <row r="15107" spans="1:7">
      <c r="A15107" t="s">
        <v>1297</v>
      </c>
      <c r="B15107" t="s">
        <v>1298</v>
      </c>
      <c r="C15107" t="s">
        <v>659</v>
      </c>
      <c r="D15107" t="s">
        <v>1456</v>
      </c>
      <c r="E15107" t="s">
        <v>187</v>
      </c>
      <c r="F15107">
        <v>2016</v>
      </c>
      <c r="G15107">
        <v>9.7771500000000007</v>
      </c>
    </row>
    <row r="15108" spans="1:7">
      <c r="A15108" t="s">
        <v>1297</v>
      </c>
      <c r="B15108" t="s">
        <v>1298</v>
      </c>
      <c r="C15108" t="s">
        <v>659</v>
      </c>
      <c r="D15108" t="s">
        <v>1456</v>
      </c>
      <c r="E15108" t="s">
        <v>187</v>
      </c>
      <c r="F15108">
        <v>2020</v>
      </c>
      <c r="G15108">
        <v>11.545461</v>
      </c>
    </row>
    <row r="15109" spans="1:7">
      <c r="A15109" t="s">
        <v>1297</v>
      </c>
      <c r="B15109" t="s">
        <v>1298</v>
      </c>
      <c r="C15109" t="s">
        <v>675</v>
      </c>
      <c r="D15109" t="s">
        <v>1456</v>
      </c>
      <c r="E15109" t="s">
        <v>187</v>
      </c>
      <c r="F15109">
        <v>2005</v>
      </c>
      <c r="G15109">
        <v>0.20599999999999999</v>
      </c>
    </row>
    <row r="15110" spans="1:7">
      <c r="A15110" t="s">
        <v>1297</v>
      </c>
      <c r="B15110" t="s">
        <v>1298</v>
      </c>
      <c r="C15110" t="s">
        <v>675</v>
      </c>
      <c r="D15110" t="s">
        <v>1456</v>
      </c>
      <c r="E15110" t="s">
        <v>187</v>
      </c>
      <c r="F15110">
        <v>2010</v>
      </c>
      <c r="G15110">
        <v>0.34399999999999997</v>
      </c>
    </row>
    <row r="15111" spans="1:7">
      <c r="A15111" t="s">
        <v>1297</v>
      </c>
      <c r="B15111" t="s">
        <v>1298</v>
      </c>
      <c r="C15111" t="s">
        <v>675</v>
      </c>
      <c r="D15111" t="s">
        <v>1456</v>
      </c>
      <c r="E15111" t="s">
        <v>187</v>
      </c>
      <c r="F15111">
        <v>2012</v>
      </c>
      <c r="G15111">
        <v>0.41</v>
      </c>
    </row>
    <row r="15112" spans="1:7">
      <c r="A15112" t="s">
        <v>1297</v>
      </c>
      <c r="B15112" t="s">
        <v>1298</v>
      </c>
      <c r="C15112" t="s">
        <v>675</v>
      </c>
      <c r="D15112" t="s">
        <v>1456</v>
      </c>
      <c r="E15112" t="s">
        <v>187</v>
      </c>
      <c r="F15112">
        <v>2016</v>
      </c>
      <c r="G15112">
        <v>0.44</v>
      </c>
    </row>
    <row r="15113" spans="1:7">
      <c r="A15113" t="s">
        <v>1297</v>
      </c>
      <c r="B15113" t="s">
        <v>1298</v>
      </c>
      <c r="C15113" t="s">
        <v>675</v>
      </c>
      <c r="D15113" t="s">
        <v>1456</v>
      </c>
      <c r="E15113" t="s">
        <v>187</v>
      </c>
      <c r="F15113">
        <v>2020</v>
      </c>
      <c r="G15113">
        <v>0.44329800000000003</v>
      </c>
    </row>
    <row r="15114" spans="1:7">
      <c r="A15114" t="s">
        <v>1297</v>
      </c>
      <c r="B15114" t="s">
        <v>1298</v>
      </c>
      <c r="C15114" t="s">
        <v>661</v>
      </c>
      <c r="D15114" t="s">
        <v>1456</v>
      </c>
      <c r="E15114" t="s">
        <v>187</v>
      </c>
      <c r="F15114">
        <v>2005</v>
      </c>
      <c r="G15114">
        <v>0.94099999999999995</v>
      </c>
    </row>
    <row r="15115" spans="1:7">
      <c r="A15115" t="s">
        <v>1297</v>
      </c>
      <c r="B15115" t="s">
        <v>1298</v>
      </c>
      <c r="C15115" t="s">
        <v>661</v>
      </c>
      <c r="D15115" t="s">
        <v>1456</v>
      </c>
      <c r="E15115" t="s">
        <v>187</v>
      </c>
      <c r="F15115">
        <v>2010</v>
      </c>
      <c r="G15115">
        <v>2.5190000000000001</v>
      </c>
    </row>
    <row r="15116" spans="1:7">
      <c r="A15116" t="s">
        <v>1297</v>
      </c>
      <c r="B15116" t="s">
        <v>1298</v>
      </c>
      <c r="C15116" t="s">
        <v>661</v>
      </c>
      <c r="D15116" t="s">
        <v>1456</v>
      </c>
      <c r="E15116" t="s">
        <v>187</v>
      </c>
      <c r="F15116">
        <v>2012</v>
      </c>
      <c r="G15116">
        <v>5.2313650000000003</v>
      </c>
    </row>
    <row r="15117" spans="1:7">
      <c r="A15117" t="s">
        <v>1297</v>
      </c>
      <c r="B15117" t="s">
        <v>1298</v>
      </c>
      <c r="C15117" t="s">
        <v>661</v>
      </c>
      <c r="D15117" t="s">
        <v>1456</v>
      </c>
      <c r="E15117" t="s">
        <v>187</v>
      </c>
      <c r="F15117">
        <v>2016</v>
      </c>
      <c r="G15117">
        <v>6.354133</v>
      </c>
    </row>
    <row r="15118" spans="1:7">
      <c r="A15118" t="s">
        <v>1297</v>
      </c>
      <c r="B15118" t="s">
        <v>1298</v>
      </c>
      <c r="C15118" t="s">
        <v>661</v>
      </c>
      <c r="D15118" t="s">
        <v>1456</v>
      </c>
      <c r="E15118" t="s">
        <v>187</v>
      </c>
      <c r="F15118">
        <v>2020</v>
      </c>
      <c r="G15118">
        <v>7.1510129999999998</v>
      </c>
    </row>
    <row r="15119" spans="1:7">
      <c r="A15119" t="s">
        <v>1297</v>
      </c>
      <c r="B15119" t="s">
        <v>1298</v>
      </c>
      <c r="C15119" t="s">
        <v>671</v>
      </c>
      <c r="D15119" t="s">
        <v>1456</v>
      </c>
      <c r="E15119" t="s">
        <v>187</v>
      </c>
      <c r="F15119">
        <v>2010</v>
      </c>
      <c r="G15119">
        <v>0.32</v>
      </c>
    </row>
    <row r="15120" spans="1:7">
      <c r="A15120" t="s">
        <v>1297</v>
      </c>
      <c r="B15120" t="s">
        <v>1298</v>
      </c>
      <c r="C15120" t="s">
        <v>671</v>
      </c>
      <c r="D15120" t="s">
        <v>1456</v>
      </c>
      <c r="E15120" t="s">
        <v>187</v>
      </c>
      <c r="F15120">
        <v>2012</v>
      </c>
      <c r="G15120">
        <v>0.45600000000000002</v>
      </c>
    </row>
    <row r="15121" spans="1:7">
      <c r="A15121" t="s">
        <v>1297</v>
      </c>
      <c r="B15121" t="s">
        <v>1298</v>
      </c>
      <c r="C15121" t="s">
        <v>662</v>
      </c>
      <c r="D15121" t="s">
        <v>1456</v>
      </c>
      <c r="E15121" t="s">
        <v>187</v>
      </c>
      <c r="F15121">
        <v>2005</v>
      </c>
      <c r="G15121">
        <v>6.4939999999999998</v>
      </c>
    </row>
    <row r="15122" spans="1:7">
      <c r="A15122" t="s">
        <v>1297</v>
      </c>
      <c r="B15122" t="s">
        <v>1298</v>
      </c>
      <c r="C15122" t="s">
        <v>662</v>
      </c>
      <c r="D15122" t="s">
        <v>1456</v>
      </c>
      <c r="E15122" t="s">
        <v>187</v>
      </c>
      <c r="F15122">
        <v>2010</v>
      </c>
      <c r="G15122">
        <v>9.6780000000000008</v>
      </c>
    </row>
    <row r="15123" spans="1:7">
      <c r="A15123" t="s">
        <v>1297</v>
      </c>
      <c r="B15123" t="s">
        <v>1298</v>
      </c>
      <c r="C15123" t="s">
        <v>662</v>
      </c>
      <c r="D15123" t="s">
        <v>1456</v>
      </c>
      <c r="E15123" t="s">
        <v>187</v>
      </c>
      <c r="F15123">
        <v>2012</v>
      </c>
      <c r="G15123">
        <v>9.7609999999999992</v>
      </c>
    </row>
    <row r="15124" spans="1:7">
      <c r="A15124" t="s">
        <v>1297</v>
      </c>
      <c r="B15124" t="s">
        <v>1298</v>
      </c>
      <c r="C15124" t="s">
        <v>662</v>
      </c>
      <c r="D15124" t="s">
        <v>1456</v>
      </c>
      <c r="E15124" t="s">
        <v>187</v>
      </c>
      <c r="F15124">
        <v>2016</v>
      </c>
      <c r="G15124">
        <v>10.601000000000001</v>
      </c>
    </row>
    <row r="15125" spans="1:7">
      <c r="A15125" t="s">
        <v>1297</v>
      </c>
      <c r="B15125" t="s">
        <v>1298</v>
      </c>
      <c r="C15125" t="s">
        <v>662</v>
      </c>
      <c r="D15125" t="s">
        <v>1456</v>
      </c>
      <c r="E15125" t="s">
        <v>187</v>
      </c>
      <c r="F15125">
        <v>2020</v>
      </c>
      <c r="G15125">
        <v>11.465</v>
      </c>
    </row>
    <row r="15126" spans="1:7">
      <c r="A15126" t="s">
        <v>1297</v>
      </c>
      <c r="B15126" t="s">
        <v>1298</v>
      </c>
      <c r="C15126" t="s">
        <v>655</v>
      </c>
      <c r="D15126" t="s">
        <v>1456</v>
      </c>
      <c r="E15126" t="s">
        <v>187</v>
      </c>
      <c r="F15126">
        <v>2005</v>
      </c>
      <c r="G15126">
        <v>7.8E-2</v>
      </c>
    </row>
    <row r="15127" spans="1:7">
      <c r="A15127" t="s">
        <v>1297</v>
      </c>
      <c r="B15127" t="s">
        <v>1298</v>
      </c>
      <c r="C15127" t="s">
        <v>655</v>
      </c>
      <c r="D15127" t="s">
        <v>1456</v>
      </c>
      <c r="E15127" t="s">
        <v>187</v>
      </c>
      <c r="F15127">
        <v>2010</v>
      </c>
      <c r="G15127">
        <v>0.28451199999999999</v>
      </c>
    </row>
    <row r="15128" spans="1:7">
      <c r="A15128" t="s">
        <v>1297</v>
      </c>
      <c r="B15128" t="s">
        <v>1298</v>
      </c>
      <c r="C15128" t="s">
        <v>655</v>
      </c>
      <c r="D15128" t="s">
        <v>1456</v>
      </c>
      <c r="E15128" t="s">
        <v>187</v>
      </c>
      <c r="F15128">
        <v>2012</v>
      </c>
      <c r="G15128">
        <v>0.41350300000000001</v>
      </c>
    </row>
    <row r="15129" spans="1:7">
      <c r="A15129" t="s">
        <v>1297</v>
      </c>
      <c r="B15129" t="s">
        <v>1298</v>
      </c>
      <c r="C15129" t="s">
        <v>655</v>
      </c>
      <c r="D15129" t="s">
        <v>1456</v>
      </c>
      <c r="E15129" t="s">
        <v>187</v>
      </c>
      <c r="F15129">
        <v>2016</v>
      </c>
      <c r="G15129">
        <v>0.54515899999999995</v>
      </c>
    </row>
    <row r="15130" spans="1:7">
      <c r="A15130" t="s">
        <v>1297</v>
      </c>
      <c r="B15130" t="s">
        <v>1298</v>
      </c>
      <c r="C15130" t="s">
        <v>655</v>
      </c>
      <c r="D15130" t="s">
        <v>1456</v>
      </c>
      <c r="E15130" t="s">
        <v>187</v>
      </c>
      <c r="F15130">
        <v>2020</v>
      </c>
      <c r="G15130">
        <v>0.59973299999999996</v>
      </c>
    </row>
    <row r="15131" spans="1:7">
      <c r="A15131" t="s">
        <v>1297</v>
      </c>
      <c r="B15131" t="s">
        <v>1298</v>
      </c>
      <c r="C15131" t="s">
        <v>664</v>
      </c>
      <c r="D15131" t="s">
        <v>1456</v>
      </c>
      <c r="E15131" t="s">
        <v>187</v>
      </c>
      <c r="F15131">
        <v>2005</v>
      </c>
      <c r="G15131">
        <v>1.9297999999999999E-2</v>
      </c>
    </row>
    <row r="15132" spans="1:7">
      <c r="A15132" t="s">
        <v>1297</v>
      </c>
      <c r="B15132" t="s">
        <v>1298</v>
      </c>
      <c r="C15132" t="s">
        <v>664</v>
      </c>
      <c r="D15132" t="s">
        <v>1456</v>
      </c>
      <c r="E15132" t="s">
        <v>187</v>
      </c>
      <c r="F15132">
        <v>2010</v>
      </c>
      <c r="G15132">
        <v>0.307583</v>
      </c>
    </row>
    <row r="15133" spans="1:7">
      <c r="A15133" t="s">
        <v>1297</v>
      </c>
      <c r="B15133" t="s">
        <v>1298</v>
      </c>
      <c r="C15133" t="s">
        <v>664</v>
      </c>
      <c r="D15133" t="s">
        <v>1456</v>
      </c>
      <c r="E15133" t="s">
        <v>187</v>
      </c>
      <c r="F15133">
        <v>2012</v>
      </c>
      <c r="G15133">
        <v>0.385355</v>
      </c>
    </row>
    <row r="15134" spans="1:7">
      <c r="A15134" t="s">
        <v>1297</v>
      </c>
      <c r="B15134" t="s">
        <v>1298</v>
      </c>
      <c r="C15134" t="s">
        <v>664</v>
      </c>
      <c r="D15134" t="s">
        <v>1456</v>
      </c>
      <c r="E15134" t="s">
        <v>187</v>
      </c>
      <c r="F15134">
        <v>2016</v>
      </c>
      <c r="G15134">
        <v>0.49932300000000002</v>
      </c>
    </row>
    <row r="15135" spans="1:7">
      <c r="A15135" t="s">
        <v>1297</v>
      </c>
      <c r="B15135" t="s">
        <v>1298</v>
      </c>
      <c r="C15135" t="s">
        <v>664</v>
      </c>
      <c r="D15135" t="s">
        <v>1456</v>
      </c>
      <c r="E15135" t="s">
        <v>187</v>
      </c>
      <c r="F15135">
        <v>2020</v>
      </c>
      <c r="G15135">
        <v>0.56633500000000003</v>
      </c>
    </row>
    <row r="15136" spans="1:7">
      <c r="A15136" t="s">
        <v>1297</v>
      </c>
      <c r="B15136" t="s">
        <v>1298</v>
      </c>
      <c r="C15136" t="s">
        <v>654</v>
      </c>
      <c r="D15136" t="s">
        <v>1456</v>
      </c>
      <c r="E15136" t="s">
        <v>187</v>
      </c>
      <c r="F15136">
        <v>2005</v>
      </c>
      <c r="G15136">
        <v>1.474</v>
      </c>
    </row>
    <row r="15137" spans="1:7">
      <c r="A15137" t="s">
        <v>1297</v>
      </c>
      <c r="B15137" t="s">
        <v>1298</v>
      </c>
      <c r="C15137" t="s">
        <v>654</v>
      </c>
      <c r="D15137" t="s">
        <v>1456</v>
      </c>
      <c r="E15137" t="s">
        <v>187</v>
      </c>
      <c r="F15137">
        <v>2010</v>
      </c>
      <c r="G15137">
        <v>2.1629999999999998</v>
      </c>
    </row>
    <row r="15138" spans="1:7">
      <c r="A15138" t="s">
        <v>1297</v>
      </c>
      <c r="B15138" t="s">
        <v>1298</v>
      </c>
      <c r="C15138" t="s">
        <v>654</v>
      </c>
      <c r="D15138" t="s">
        <v>1456</v>
      </c>
      <c r="E15138" t="s">
        <v>187</v>
      </c>
      <c r="F15138">
        <v>2012</v>
      </c>
      <c r="G15138">
        <v>2.2949999999999999</v>
      </c>
    </row>
    <row r="15139" spans="1:7">
      <c r="A15139" t="s">
        <v>1297</v>
      </c>
      <c r="B15139" t="s">
        <v>1298</v>
      </c>
      <c r="C15139" t="s">
        <v>654</v>
      </c>
      <c r="D15139" t="s">
        <v>1456</v>
      </c>
      <c r="E15139" t="s">
        <v>187</v>
      </c>
      <c r="F15139">
        <v>2016</v>
      </c>
      <c r="G15139">
        <v>2.4540000000000002</v>
      </c>
    </row>
    <row r="15140" spans="1:7">
      <c r="A15140" t="s">
        <v>1297</v>
      </c>
      <c r="B15140" t="s">
        <v>1298</v>
      </c>
      <c r="C15140" t="s">
        <v>654</v>
      </c>
      <c r="D15140" t="s">
        <v>1456</v>
      </c>
      <c r="E15140" t="s">
        <v>187</v>
      </c>
      <c r="F15140">
        <v>2020</v>
      </c>
      <c r="G15140">
        <v>2.5886650000000002</v>
      </c>
    </row>
    <row r="15141" spans="1:7">
      <c r="A15141" t="s">
        <v>1297</v>
      </c>
      <c r="B15141" t="s">
        <v>1298</v>
      </c>
      <c r="C15141" t="s">
        <v>657</v>
      </c>
      <c r="D15141" t="s">
        <v>1456</v>
      </c>
      <c r="E15141" t="s">
        <v>187</v>
      </c>
      <c r="F15141">
        <v>2020</v>
      </c>
      <c r="G15141">
        <v>0.51933799999999997</v>
      </c>
    </row>
    <row r="15142" spans="1:7">
      <c r="A15142" t="s">
        <v>1297</v>
      </c>
      <c r="B15142" t="s">
        <v>1298</v>
      </c>
      <c r="C15142" t="s">
        <v>669</v>
      </c>
      <c r="D15142" t="s">
        <v>1456</v>
      </c>
      <c r="E15142" t="s">
        <v>187</v>
      </c>
      <c r="F15142">
        <v>2010</v>
      </c>
      <c r="G15142">
        <v>0.14976999999999999</v>
      </c>
    </row>
    <row r="15143" spans="1:7">
      <c r="A15143" t="s">
        <v>1297</v>
      </c>
      <c r="B15143" t="s">
        <v>1298</v>
      </c>
      <c r="C15143" t="s">
        <v>669</v>
      </c>
      <c r="D15143" t="s">
        <v>1456</v>
      </c>
      <c r="E15143" t="s">
        <v>187</v>
      </c>
      <c r="F15143">
        <v>2012</v>
      </c>
      <c r="G15143">
        <v>0.17355999999999999</v>
      </c>
    </row>
    <row r="15144" spans="1:7">
      <c r="A15144" t="s">
        <v>1297</v>
      </c>
      <c r="B15144" t="s">
        <v>1298</v>
      </c>
      <c r="C15144" t="s">
        <v>669</v>
      </c>
      <c r="D15144" t="s">
        <v>1456</v>
      </c>
      <c r="E15144" t="s">
        <v>187</v>
      </c>
      <c r="F15144">
        <v>2016</v>
      </c>
      <c r="G15144">
        <v>0.20699999999999999</v>
      </c>
    </row>
    <row r="15145" spans="1:7">
      <c r="A15145" t="s">
        <v>1297</v>
      </c>
      <c r="B15145" t="s">
        <v>1298</v>
      </c>
      <c r="C15145" t="s">
        <v>669</v>
      </c>
      <c r="D15145" t="s">
        <v>1456</v>
      </c>
      <c r="E15145" t="s">
        <v>187</v>
      </c>
      <c r="F15145">
        <v>2020</v>
      </c>
      <c r="G15145">
        <v>0.21249899999999999</v>
      </c>
    </row>
    <row r="15146" spans="1:7">
      <c r="A15146" t="s">
        <v>1297</v>
      </c>
      <c r="B15146" t="s">
        <v>1298</v>
      </c>
      <c r="C15146" t="s">
        <v>676</v>
      </c>
      <c r="D15146" t="s">
        <v>1456</v>
      </c>
      <c r="E15146" t="s">
        <v>187</v>
      </c>
      <c r="F15146">
        <v>2010</v>
      </c>
      <c r="G15146">
        <v>0.159</v>
      </c>
    </row>
    <row r="15147" spans="1:7">
      <c r="A15147" t="s">
        <v>1297</v>
      </c>
      <c r="B15147" t="s">
        <v>1298</v>
      </c>
      <c r="C15147" t="s">
        <v>676</v>
      </c>
      <c r="D15147" t="s">
        <v>1456</v>
      </c>
      <c r="E15147" t="s">
        <v>187</v>
      </c>
      <c r="F15147">
        <v>2012</v>
      </c>
      <c r="G15147">
        <v>0.19900000000000001</v>
      </c>
    </row>
    <row r="15148" spans="1:7">
      <c r="A15148" t="s">
        <v>1297</v>
      </c>
      <c r="B15148" t="s">
        <v>1298</v>
      </c>
      <c r="C15148" t="s">
        <v>676</v>
      </c>
      <c r="D15148" t="s">
        <v>1456</v>
      </c>
      <c r="E15148" t="s">
        <v>187</v>
      </c>
      <c r="F15148">
        <v>2016</v>
      </c>
      <c r="G15148">
        <v>0.19600000000000001</v>
      </c>
    </row>
    <row r="15149" spans="1:7">
      <c r="A15149" t="s">
        <v>1297</v>
      </c>
      <c r="B15149" t="s">
        <v>1298</v>
      </c>
      <c r="C15149" t="s">
        <v>676</v>
      </c>
      <c r="D15149" t="s">
        <v>1456</v>
      </c>
      <c r="E15149" t="s">
        <v>187</v>
      </c>
      <c r="F15149">
        <v>2020</v>
      </c>
      <c r="G15149">
        <v>0.28599999999999998</v>
      </c>
    </row>
    <row r="15150" spans="1:7">
      <c r="A15150" t="s">
        <v>1297</v>
      </c>
      <c r="B15150" t="s">
        <v>1298</v>
      </c>
      <c r="C15150" t="s">
        <v>681</v>
      </c>
      <c r="D15150" t="s">
        <v>1456</v>
      </c>
      <c r="E15150" t="s">
        <v>187</v>
      </c>
      <c r="F15150">
        <v>2005</v>
      </c>
      <c r="G15150">
        <v>4.2000000000000003E-2</v>
      </c>
    </row>
    <row r="15151" spans="1:7">
      <c r="A15151" t="s">
        <v>1297</v>
      </c>
      <c r="B15151" t="s">
        <v>1298</v>
      </c>
      <c r="C15151" t="s">
        <v>681</v>
      </c>
      <c r="D15151" t="s">
        <v>1456</v>
      </c>
      <c r="E15151" t="s">
        <v>187</v>
      </c>
      <c r="F15151">
        <v>2010</v>
      </c>
      <c r="G15151">
        <v>8.4000000000000005E-2</v>
      </c>
    </row>
    <row r="15152" spans="1:7">
      <c r="A15152" t="s">
        <v>1297</v>
      </c>
      <c r="B15152" t="s">
        <v>1298</v>
      </c>
      <c r="C15152" t="s">
        <v>681</v>
      </c>
      <c r="D15152" t="s">
        <v>1456</v>
      </c>
      <c r="E15152" t="s">
        <v>187</v>
      </c>
      <c r="F15152">
        <v>2012</v>
      </c>
      <c r="G15152">
        <v>0.22500000000000001</v>
      </c>
    </row>
    <row r="15153" spans="1:7">
      <c r="A15153" t="s">
        <v>1297</v>
      </c>
      <c r="B15153" t="s">
        <v>1298</v>
      </c>
      <c r="C15153" t="s">
        <v>681</v>
      </c>
      <c r="D15153" t="s">
        <v>1456</v>
      </c>
      <c r="E15153" t="s">
        <v>187</v>
      </c>
      <c r="F15153">
        <v>2016</v>
      </c>
      <c r="G15153">
        <v>0.272142</v>
      </c>
    </row>
    <row r="15154" spans="1:7">
      <c r="A15154" t="s">
        <v>1297</v>
      </c>
      <c r="B15154" t="s">
        <v>1298</v>
      </c>
      <c r="C15154" t="s">
        <v>681</v>
      </c>
      <c r="D15154" t="s">
        <v>1456</v>
      </c>
      <c r="E15154" t="s">
        <v>187</v>
      </c>
      <c r="F15154">
        <v>2020</v>
      </c>
      <c r="G15154">
        <v>0.32657000000000003</v>
      </c>
    </row>
    <row r="15155" spans="1:7">
      <c r="A15155" t="s">
        <v>1297</v>
      </c>
      <c r="B15155" t="s">
        <v>1298</v>
      </c>
      <c r="C15155" t="s">
        <v>667</v>
      </c>
      <c r="D15155" t="s">
        <v>1456</v>
      </c>
      <c r="E15155" t="s">
        <v>187</v>
      </c>
      <c r="F15155">
        <v>2005</v>
      </c>
      <c r="G15155">
        <v>9.8040000000000002E-3</v>
      </c>
    </row>
    <row r="15156" spans="1:7">
      <c r="A15156" t="s">
        <v>1297</v>
      </c>
      <c r="B15156" t="s">
        <v>1298</v>
      </c>
      <c r="C15156" t="s">
        <v>667</v>
      </c>
      <c r="D15156" t="s">
        <v>1456</v>
      </c>
      <c r="E15156" t="s">
        <v>187</v>
      </c>
      <c r="F15156">
        <v>2010</v>
      </c>
      <c r="G15156">
        <v>3.8134000000000001E-2</v>
      </c>
    </row>
    <row r="15157" spans="1:7">
      <c r="A15157" t="s">
        <v>1297</v>
      </c>
      <c r="B15157" t="s">
        <v>1298</v>
      </c>
      <c r="C15157" t="s">
        <v>667</v>
      </c>
      <c r="D15157" t="s">
        <v>1456</v>
      </c>
      <c r="E15157" t="s">
        <v>187</v>
      </c>
      <c r="F15157">
        <v>2012</v>
      </c>
      <c r="G15157">
        <v>5.7124000000000001E-2</v>
      </c>
    </row>
    <row r="15158" spans="1:7">
      <c r="A15158" t="s">
        <v>1297</v>
      </c>
      <c r="B15158" t="s">
        <v>1298</v>
      </c>
      <c r="C15158" t="s">
        <v>667</v>
      </c>
      <c r="D15158" t="s">
        <v>1456</v>
      </c>
      <c r="E15158" t="s">
        <v>187</v>
      </c>
      <c r="F15158">
        <v>2016</v>
      </c>
      <c r="G15158">
        <v>8.6196999999999996E-2</v>
      </c>
    </row>
    <row r="15159" spans="1:7">
      <c r="A15159" t="s">
        <v>1297</v>
      </c>
      <c r="B15159" t="s">
        <v>1298</v>
      </c>
      <c r="C15159" t="s">
        <v>667</v>
      </c>
      <c r="D15159" t="s">
        <v>1456</v>
      </c>
      <c r="E15159" t="s">
        <v>187</v>
      </c>
      <c r="F15159">
        <v>2020</v>
      </c>
      <c r="G15159">
        <v>0.102212</v>
      </c>
    </row>
    <row r="15160" spans="1:7">
      <c r="A15160" t="s">
        <v>1297</v>
      </c>
      <c r="B15160" t="s">
        <v>1298</v>
      </c>
      <c r="C15160" t="s">
        <v>677</v>
      </c>
      <c r="D15160" t="s">
        <v>1456</v>
      </c>
      <c r="E15160" t="s">
        <v>187</v>
      </c>
      <c r="F15160">
        <v>2010</v>
      </c>
      <c r="G15160">
        <v>1.591</v>
      </c>
    </row>
    <row r="15161" spans="1:7">
      <c r="A15161" t="s">
        <v>1297</v>
      </c>
      <c r="B15161" t="s">
        <v>1298</v>
      </c>
      <c r="C15161" t="s">
        <v>677</v>
      </c>
      <c r="D15161" t="s">
        <v>1456</v>
      </c>
      <c r="E15161" t="s">
        <v>187</v>
      </c>
      <c r="F15161">
        <v>2012</v>
      </c>
      <c r="G15161">
        <v>1.921</v>
      </c>
    </row>
    <row r="15162" spans="1:7">
      <c r="A15162" t="s">
        <v>1297</v>
      </c>
      <c r="B15162" t="s">
        <v>1298</v>
      </c>
      <c r="C15162" t="s">
        <v>677</v>
      </c>
      <c r="D15162" t="s">
        <v>1456</v>
      </c>
      <c r="E15162" t="s">
        <v>187</v>
      </c>
      <c r="F15162">
        <v>2016</v>
      </c>
      <c r="G15162">
        <v>1.478</v>
      </c>
    </row>
    <row r="15163" spans="1:7">
      <c r="A15163" t="s">
        <v>1297</v>
      </c>
      <c r="B15163" t="s">
        <v>1298</v>
      </c>
      <c r="C15163" t="s">
        <v>677</v>
      </c>
      <c r="D15163" t="s">
        <v>1456</v>
      </c>
      <c r="E15163" t="s">
        <v>187</v>
      </c>
      <c r="F15163">
        <v>2020</v>
      </c>
      <c r="G15163">
        <v>1.5129999999999999</v>
      </c>
    </row>
    <row r="15164" spans="1:7">
      <c r="A15164" t="s">
        <v>1297</v>
      </c>
      <c r="B15164" t="s">
        <v>1298</v>
      </c>
      <c r="C15164" t="s">
        <v>665</v>
      </c>
      <c r="D15164" t="s">
        <v>1456</v>
      </c>
      <c r="E15164" t="s">
        <v>187</v>
      </c>
      <c r="F15164">
        <v>2005</v>
      </c>
      <c r="G15164">
        <v>0.89100000000000001</v>
      </c>
    </row>
    <row r="15165" spans="1:7">
      <c r="A15165" t="s">
        <v>1297</v>
      </c>
      <c r="B15165" t="s">
        <v>1298</v>
      </c>
      <c r="C15165" t="s">
        <v>665</v>
      </c>
      <c r="D15165" t="s">
        <v>1456</v>
      </c>
      <c r="E15165" t="s">
        <v>187</v>
      </c>
      <c r="F15165">
        <v>2010</v>
      </c>
      <c r="G15165">
        <v>4.1559999999999997</v>
      </c>
    </row>
    <row r="15166" spans="1:7">
      <c r="A15166" t="s">
        <v>1297</v>
      </c>
      <c r="B15166" t="s">
        <v>1298</v>
      </c>
      <c r="C15166" t="s">
        <v>665</v>
      </c>
      <c r="D15166" t="s">
        <v>1456</v>
      </c>
      <c r="E15166" t="s">
        <v>187</v>
      </c>
      <c r="F15166">
        <v>2012</v>
      </c>
      <c r="G15166">
        <v>4.8120000000000003</v>
      </c>
    </row>
    <row r="15167" spans="1:7">
      <c r="A15167" t="s">
        <v>1297</v>
      </c>
      <c r="B15167" t="s">
        <v>1298</v>
      </c>
      <c r="C15167" t="s">
        <v>665</v>
      </c>
      <c r="D15167" t="s">
        <v>1456</v>
      </c>
      <c r="E15167" t="s">
        <v>187</v>
      </c>
      <c r="F15167">
        <v>2016</v>
      </c>
      <c r="G15167">
        <v>6.1989999999999998</v>
      </c>
    </row>
    <row r="15168" spans="1:7">
      <c r="A15168" t="s">
        <v>1297</v>
      </c>
      <c r="B15168" t="s">
        <v>1298</v>
      </c>
      <c r="C15168" t="s">
        <v>665</v>
      </c>
      <c r="D15168" t="s">
        <v>1456</v>
      </c>
      <c r="E15168" t="s">
        <v>187</v>
      </c>
      <c r="F15168">
        <v>2020</v>
      </c>
      <c r="G15168">
        <v>7.0623110000000002</v>
      </c>
    </row>
    <row r="15169" spans="1:7">
      <c r="A15169" t="s">
        <v>1297</v>
      </c>
      <c r="B15169" t="s">
        <v>1298</v>
      </c>
      <c r="C15169" t="s">
        <v>1301</v>
      </c>
      <c r="D15169" t="s">
        <v>1456</v>
      </c>
      <c r="E15169" t="s">
        <v>187</v>
      </c>
      <c r="F15169">
        <v>2005</v>
      </c>
      <c r="G15169">
        <v>11.045999999999999</v>
      </c>
    </row>
    <row r="15170" spans="1:7">
      <c r="A15170" t="s">
        <v>1297</v>
      </c>
      <c r="B15170" t="s">
        <v>1298</v>
      </c>
      <c r="C15170" t="s">
        <v>1301</v>
      </c>
      <c r="D15170" t="s">
        <v>1456</v>
      </c>
      <c r="E15170" t="s">
        <v>187</v>
      </c>
      <c r="F15170">
        <v>2010</v>
      </c>
      <c r="G15170">
        <v>12.661</v>
      </c>
    </row>
    <row r="15171" spans="1:7">
      <c r="A15171" t="s">
        <v>1297</v>
      </c>
      <c r="B15171" t="s">
        <v>1298</v>
      </c>
      <c r="C15171" t="s">
        <v>1301</v>
      </c>
      <c r="D15171" t="s">
        <v>1456</v>
      </c>
      <c r="E15171" t="s">
        <v>187</v>
      </c>
      <c r="F15171">
        <v>2012</v>
      </c>
      <c r="G15171">
        <v>20.934000000000001</v>
      </c>
    </row>
    <row r="15172" spans="1:7">
      <c r="A15172" t="s">
        <v>1297</v>
      </c>
      <c r="B15172" t="s">
        <v>1298</v>
      </c>
      <c r="C15172" t="s">
        <v>1301</v>
      </c>
      <c r="D15172" t="s">
        <v>1456</v>
      </c>
      <c r="E15172" t="s">
        <v>187</v>
      </c>
      <c r="F15172">
        <v>2016</v>
      </c>
      <c r="G15172">
        <v>22.567</v>
      </c>
    </row>
    <row r="15173" spans="1:7">
      <c r="A15173" t="s">
        <v>1297</v>
      </c>
      <c r="B15173" t="s">
        <v>1298</v>
      </c>
      <c r="C15173" t="s">
        <v>289</v>
      </c>
      <c r="D15173" t="s">
        <v>1456</v>
      </c>
      <c r="E15173" t="s">
        <v>187</v>
      </c>
      <c r="F15173">
        <v>2005</v>
      </c>
      <c r="G15173">
        <v>6.7000000000000004E-2</v>
      </c>
    </row>
    <row r="15174" spans="1:7">
      <c r="A15174" t="s">
        <v>1297</v>
      </c>
      <c r="B15174" t="s">
        <v>1298</v>
      </c>
      <c r="C15174" t="s">
        <v>289</v>
      </c>
      <c r="D15174" t="s">
        <v>1456</v>
      </c>
      <c r="E15174" t="s">
        <v>187</v>
      </c>
      <c r="F15174">
        <v>2010</v>
      </c>
      <c r="G15174">
        <v>0.153</v>
      </c>
    </row>
    <row r="15175" spans="1:7">
      <c r="A15175" t="s">
        <v>1297</v>
      </c>
      <c r="B15175" t="s">
        <v>1298</v>
      </c>
      <c r="C15175" t="s">
        <v>289</v>
      </c>
      <c r="D15175" t="s">
        <v>1456</v>
      </c>
      <c r="E15175" t="s">
        <v>187</v>
      </c>
      <c r="F15175">
        <v>2012</v>
      </c>
      <c r="G15175">
        <v>0.20899999999999999</v>
      </c>
    </row>
    <row r="15176" spans="1:7">
      <c r="A15176" t="s">
        <v>1297</v>
      </c>
      <c r="B15176" t="s">
        <v>1298</v>
      </c>
      <c r="C15176" t="s">
        <v>289</v>
      </c>
      <c r="D15176" t="s">
        <v>1456</v>
      </c>
      <c r="E15176" t="s">
        <v>187</v>
      </c>
      <c r="F15176">
        <v>2016</v>
      </c>
      <c r="G15176">
        <v>0.33900000000000002</v>
      </c>
    </row>
    <row r="15177" spans="1:7">
      <c r="A15177" t="s">
        <v>1297</v>
      </c>
      <c r="B15177" t="s">
        <v>1298</v>
      </c>
      <c r="C15177" t="s">
        <v>289</v>
      </c>
      <c r="D15177" t="s">
        <v>1456</v>
      </c>
      <c r="E15177" t="s">
        <v>187</v>
      </c>
      <c r="F15177">
        <v>2020</v>
      </c>
      <c r="G15177">
        <v>0.45279999999999998</v>
      </c>
    </row>
    <row r="15178" spans="1:7">
      <c r="A15178" t="s">
        <v>1297</v>
      </c>
      <c r="B15178" t="s">
        <v>1298</v>
      </c>
      <c r="C15178" t="s">
        <v>671</v>
      </c>
      <c r="D15178" t="s">
        <v>1456</v>
      </c>
      <c r="E15178" t="s">
        <v>187</v>
      </c>
      <c r="F15178">
        <v>2016</v>
      </c>
      <c r="G15178">
        <v>1.9430000000000001</v>
      </c>
    </row>
    <row r="15179" spans="1:7">
      <c r="A15179" t="s">
        <v>1297</v>
      </c>
      <c r="B15179" t="s">
        <v>1298</v>
      </c>
      <c r="C15179" t="s">
        <v>671</v>
      </c>
      <c r="D15179" t="s">
        <v>1456</v>
      </c>
      <c r="E15179" t="s">
        <v>187</v>
      </c>
      <c r="F15179">
        <v>2020</v>
      </c>
      <c r="G15179">
        <v>2.7636919999999998</v>
      </c>
    </row>
    <row r="15180" spans="1:7">
      <c r="A15180" t="s">
        <v>1297</v>
      </c>
      <c r="B15180" t="s">
        <v>1298</v>
      </c>
      <c r="C15180" t="s">
        <v>652</v>
      </c>
      <c r="D15180" t="s">
        <v>1456</v>
      </c>
      <c r="E15180" t="s">
        <v>187</v>
      </c>
      <c r="F15180">
        <v>2005</v>
      </c>
      <c r="G15180">
        <v>0.1</v>
      </c>
    </row>
    <row r="15181" spans="1:7">
      <c r="A15181" t="s">
        <v>1297</v>
      </c>
      <c r="B15181" t="s">
        <v>1298</v>
      </c>
      <c r="C15181" t="s">
        <v>652</v>
      </c>
      <c r="D15181" t="s">
        <v>1456</v>
      </c>
      <c r="E15181" t="s">
        <v>187</v>
      </c>
      <c r="F15181">
        <v>2010</v>
      </c>
      <c r="G15181">
        <v>0.47399999999999998</v>
      </c>
    </row>
    <row r="15182" spans="1:7">
      <c r="A15182" t="s">
        <v>1297</v>
      </c>
      <c r="B15182" t="s">
        <v>1298</v>
      </c>
      <c r="C15182" t="s">
        <v>652</v>
      </c>
      <c r="D15182" t="s">
        <v>1456</v>
      </c>
      <c r="E15182" t="s">
        <v>187</v>
      </c>
      <c r="F15182">
        <v>2012</v>
      </c>
      <c r="G15182">
        <v>0.58099999999999996</v>
      </c>
    </row>
    <row r="15183" spans="1:7">
      <c r="A15183" t="s">
        <v>1297</v>
      </c>
      <c r="B15183" t="s">
        <v>1298</v>
      </c>
      <c r="C15183" t="s">
        <v>652</v>
      </c>
      <c r="D15183" t="s">
        <v>1456</v>
      </c>
      <c r="E15183" t="s">
        <v>187</v>
      </c>
      <c r="F15183">
        <v>2016</v>
      </c>
      <c r="G15183">
        <v>0.97899999999999998</v>
      </c>
    </row>
    <row r="15184" spans="1:7">
      <c r="A15184" t="s">
        <v>1297</v>
      </c>
      <c r="B15184" t="s">
        <v>1298</v>
      </c>
      <c r="C15184" t="s">
        <v>652</v>
      </c>
      <c r="D15184" t="s">
        <v>1456</v>
      </c>
      <c r="E15184" t="s">
        <v>187</v>
      </c>
      <c r="F15184">
        <v>2020</v>
      </c>
      <c r="G15184">
        <v>1.0944</v>
      </c>
    </row>
    <row r="15185" spans="1:7">
      <c r="A15185" t="s">
        <v>1297</v>
      </c>
      <c r="B15185" t="s">
        <v>1298</v>
      </c>
      <c r="C15185" t="s">
        <v>663</v>
      </c>
      <c r="D15185" t="s">
        <v>1456</v>
      </c>
      <c r="E15185" t="s">
        <v>187</v>
      </c>
      <c r="F15185">
        <v>2005</v>
      </c>
      <c r="G15185">
        <v>7.9000000000000001E-2</v>
      </c>
    </row>
    <row r="15186" spans="1:7">
      <c r="A15186" t="s">
        <v>1297</v>
      </c>
      <c r="B15186" t="s">
        <v>1298</v>
      </c>
      <c r="C15186" t="s">
        <v>663</v>
      </c>
      <c r="D15186" t="s">
        <v>1456</v>
      </c>
      <c r="E15186" t="s">
        <v>187</v>
      </c>
      <c r="F15186">
        <v>2010</v>
      </c>
      <c r="G15186">
        <v>0.21299999999999999</v>
      </c>
    </row>
    <row r="15187" spans="1:7">
      <c r="A15187" t="s">
        <v>1297</v>
      </c>
      <c r="B15187" t="s">
        <v>1298</v>
      </c>
      <c r="C15187" t="s">
        <v>663</v>
      </c>
      <c r="D15187" t="s">
        <v>1456</v>
      </c>
      <c r="E15187" t="s">
        <v>187</v>
      </c>
      <c r="F15187">
        <v>2012</v>
      </c>
      <c r="G15187">
        <v>0.34399999999999997</v>
      </c>
    </row>
    <row r="15188" spans="1:7">
      <c r="A15188" t="s">
        <v>1297</v>
      </c>
      <c r="B15188" t="s">
        <v>1298</v>
      </c>
      <c r="C15188" t="s">
        <v>663</v>
      </c>
      <c r="D15188" t="s">
        <v>1456</v>
      </c>
      <c r="E15188" t="s">
        <v>187</v>
      </c>
      <c r="F15188">
        <v>2016</v>
      </c>
      <c r="G15188">
        <v>0.45900000000000002</v>
      </c>
    </row>
    <row r="15189" spans="1:7">
      <c r="A15189" t="s">
        <v>1297</v>
      </c>
      <c r="B15189" t="s">
        <v>1298</v>
      </c>
      <c r="C15189" t="s">
        <v>663</v>
      </c>
      <c r="D15189" t="s">
        <v>1456</v>
      </c>
      <c r="E15189" t="s">
        <v>187</v>
      </c>
      <c r="F15189">
        <v>2020</v>
      </c>
      <c r="G15189">
        <v>0.54900000000000004</v>
      </c>
    </row>
    <row r="15190" spans="1:7">
      <c r="A15190" t="s">
        <v>1297</v>
      </c>
      <c r="B15190" t="s">
        <v>1298</v>
      </c>
      <c r="C15190" t="s">
        <v>670</v>
      </c>
      <c r="D15190" t="s">
        <v>1456</v>
      </c>
      <c r="E15190" t="s">
        <v>187</v>
      </c>
      <c r="F15190">
        <v>2005</v>
      </c>
      <c r="G15190">
        <v>0.57499999999999996</v>
      </c>
    </row>
    <row r="15191" spans="1:7">
      <c r="A15191" t="s">
        <v>1297</v>
      </c>
      <c r="B15191" t="s">
        <v>1298</v>
      </c>
      <c r="C15191" t="s">
        <v>670</v>
      </c>
      <c r="D15191" t="s">
        <v>1456</v>
      </c>
      <c r="E15191" t="s">
        <v>187</v>
      </c>
      <c r="F15191">
        <v>2010</v>
      </c>
      <c r="G15191">
        <v>0.79500000000000004</v>
      </c>
    </row>
    <row r="15192" spans="1:7">
      <c r="A15192" t="s">
        <v>1297</v>
      </c>
      <c r="B15192" t="s">
        <v>1298</v>
      </c>
      <c r="C15192" t="s">
        <v>670</v>
      </c>
      <c r="D15192" t="s">
        <v>1456</v>
      </c>
      <c r="E15192" t="s">
        <v>187</v>
      </c>
      <c r="F15192">
        <v>2012</v>
      </c>
      <c r="G15192">
        <v>0.85599999999999998</v>
      </c>
    </row>
    <row r="15193" spans="1:7">
      <c r="A15193" t="s">
        <v>1297</v>
      </c>
      <c r="B15193" t="s">
        <v>1298</v>
      </c>
      <c r="C15193" t="s">
        <v>670</v>
      </c>
      <c r="D15193" t="s">
        <v>1456</v>
      </c>
      <c r="E15193" t="s">
        <v>187</v>
      </c>
      <c r="F15193">
        <v>2016</v>
      </c>
      <c r="G15193">
        <v>0.91800000000000004</v>
      </c>
    </row>
    <row r="15194" spans="1:7">
      <c r="A15194" t="s">
        <v>1297</v>
      </c>
      <c r="B15194" t="s">
        <v>1298</v>
      </c>
      <c r="C15194" t="s">
        <v>670</v>
      </c>
      <c r="D15194" t="s">
        <v>1456</v>
      </c>
      <c r="E15194" t="s">
        <v>187</v>
      </c>
      <c r="F15194">
        <v>2020</v>
      </c>
      <c r="G15194">
        <v>0.96599999999999997</v>
      </c>
    </row>
    <row r="15195" spans="1:7">
      <c r="A15195" t="s">
        <v>1297</v>
      </c>
      <c r="B15195" t="s">
        <v>1298</v>
      </c>
      <c r="C15195" t="s">
        <v>651</v>
      </c>
      <c r="D15195" t="s">
        <v>1456</v>
      </c>
      <c r="E15195" t="s">
        <v>187</v>
      </c>
      <c r="F15195">
        <v>2005</v>
      </c>
      <c r="G15195">
        <v>2.30463</v>
      </c>
    </row>
    <row r="15196" spans="1:7">
      <c r="A15196" t="s">
        <v>1297</v>
      </c>
      <c r="B15196" t="s">
        <v>1298</v>
      </c>
      <c r="C15196" t="s">
        <v>651</v>
      </c>
      <c r="D15196" t="s">
        <v>1456</v>
      </c>
      <c r="E15196" t="s">
        <v>187</v>
      </c>
      <c r="F15196">
        <v>2010</v>
      </c>
      <c r="G15196">
        <v>4.591342</v>
      </c>
    </row>
    <row r="15197" spans="1:7">
      <c r="A15197" t="s">
        <v>1297</v>
      </c>
      <c r="B15197" t="s">
        <v>1298</v>
      </c>
      <c r="C15197" t="s">
        <v>651</v>
      </c>
      <c r="D15197" t="s">
        <v>1456</v>
      </c>
      <c r="E15197" t="s">
        <v>187</v>
      </c>
      <c r="F15197">
        <v>2012</v>
      </c>
      <c r="G15197">
        <v>4.517398</v>
      </c>
    </row>
    <row r="15198" spans="1:7">
      <c r="A15198" t="s">
        <v>1297</v>
      </c>
      <c r="B15198" t="s">
        <v>1298</v>
      </c>
      <c r="C15198" t="s">
        <v>651</v>
      </c>
      <c r="D15198" t="s">
        <v>1456</v>
      </c>
      <c r="E15198" t="s">
        <v>187</v>
      </c>
      <c r="F15198">
        <v>2016</v>
      </c>
      <c r="G15198">
        <v>5.4897609999999997</v>
      </c>
    </row>
    <row r="15199" spans="1:7">
      <c r="A15199" t="s">
        <v>1297</v>
      </c>
      <c r="B15199" t="s">
        <v>1298</v>
      </c>
      <c r="C15199" t="s">
        <v>651</v>
      </c>
      <c r="D15199" t="s">
        <v>1456</v>
      </c>
      <c r="E15199" t="s">
        <v>187</v>
      </c>
      <c r="F15199">
        <v>2020</v>
      </c>
      <c r="G15199">
        <v>4.727144</v>
      </c>
    </row>
    <row r="15200" spans="1:7">
      <c r="A15200" t="s">
        <v>1297</v>
      </c>
      <c r="B15200" t="s">
        <v>1298</v>
      </c>
      <c r="C15200" t="s">
        <v>660</v>
      </c>
      <c r="D15200" t="s">
        <v>1456</v>
      </c>
      <c r="E15200" t="s">
        <v>187</v>
      </c>
      <c r="F15200">
        <v>2005</v>
      </c>
      <c r="G15200">
        <v>0.02</v>
      </c>
    </row>
    <row r="15201" spans="1:7">
      <c r="A15201" t="s">
        <v>1297</v>
      </c>
      <c r="B15201" t="s">
        <v>1298</v>
      </c>
      <c r="C15201" t="s">
        <v>660</v>
      </c>
      <c r="D15201" t="s">
        <v>1456</v>
      </c>
      <c r="E15201" t="s">
        <v>187</v>
      </c>
      <c r="F15201">
        <v>2010</v>
      </c>
      <c r="G15201">
        <v>3.9E-2</v>
      </c>
    </row>
    <row r="15202" spans="1:7">
      <c r="A15202" t="s">
        <v>1297</v>
      </c>
      <c r="B15202" t="s">
        <v>1298</v>
      </c>
      <c r="C15202" t="s">
        <v>660</v>
      </c>
      <c r="D15202" t="s">
        <v>1456</v>
      </c>
      <c r="E15202" t="s">
        <v>187</v>
      </c>
      <c r="F15202">
        <v>2012</v>
      </c>
      <c r="G15202">
        <v>4.7E-2</v>
      </c>
    </row>
    <row r="15203" spans="1:7">
      <c r="A15203" t="s">
        <v>1297</v>
      </c>
      <c r="B15203" t="s">
        <v>1298</v>
      </c>
      <c r="C15203" t="s">
        <v>660</v>
      </c>
      <c r="D15203" t="s">
        <v>1456</v>
      </c>
      <c r="E15203" t="s">
        <v>187</v>
      </c>
      <c r="F15203">
        <v>2016</v>
      </c>
      <c r="G15203">
        <v>6.9000000000000006E-2</v>
      </c>
    </row>
    <row r="15204" spans="1:7">
      <c r="A15204" t="s">
        <v>1297</v>
      </c>
      <c r="B15204" t="s">
        <v>1298</v>
      </c>
      <c r="C15204" t="s">
        <v>660</v>
      </c>
      <c r="D15204" t="s">
        <v>1456</v>
      </c>
      <c r="E15204" t="s">
        <v>187</v>
      </c>
      <c r="F15204">
        <v>2020</v>
      </c>
      <c r="G15204">
        <v>9.0999999999999998E-2</v>
      </c>
    </row>
    <row r="15205" spans="1:7">
      <c r="A15205" t="s">
        <v>1297</v>
      </c>
      <c r="B15205" t="s">
        <v>1298</v>
      </c>
      <c r="C15205" t="s">
        <v>656</v>
      </c>
      <c r="D15205" t="s">
        <v>1456</v>
      </c>
      <c r="E15205" t="s">
        <v>187</v>
      </c>
      <c r="F15205">
        <v>2005</v>
      </c>
      <c r="G15205">
        <v>10.135</v>
      </c>
    </row>
    <row r="15206" spans="1:7">
      <c r="A15206" t="s">
        <v>1297</v>
      </c>
      <c r="B15206" t="s">
        <v>1298</v>
      </c>
      <c r="C15206" t="s">
        <v>656</v>
      </c>
      <c r="D15206" t="s">
        <v>1456</v>
      </c>
      <c r="E15206" t="s">
        <v>187</v>
      </c>
      <c r="F15206">
        <v>2010</v>
      </c>
      <c r="G15206">
        <v>19.047999999999998</v>
      </c>
    </row>
    <row r="15207" spans="1:7">
      <c r="A15207" t="s">
        <v>1297</v>
      </c>
      <c r="B15207" t="s">
        <v>1298</v>
      </c>
      <c r="C15207" t="s">
        <v>656</v>
      </c>
      <c r="D15207" t="s">
        <v>1456</v>
      </c>
      <c r="E15207" t="s">
        <v>187</v>
      </c>
      <c r="F15207">
        <v>2012</v>
      </c>
      <c r="G15207">
        <v>22.715</v>
      </c>
    </row>
    <row r="15208" spans="1:7">
      <c r="A15208" t="s">
        <v>1297</v>
      </c>
      <c r="B15208" t="s">
        <v>1298</v>
      </c>
      <c r="C15208" t="s">
        <v>656</v>
      </c>
      <c r="D15208" t="s">
        <v>1456</v>
      </c>
      <c r="E15208" t="s">
        <v>187</v>
      </c>
      <c r="F15208">
        <v>2016</v>
      </c>
      <c r="G15208">
        <v>26.459</v>
      </c>
    </row>
    <row r="15209" spans="1:7">
      <c r="A15209" t="s">
        <v>1297</v>
      </c>
      <c r="B15209" t="s">
        <v>1298</v>
      </c>
      <c r="C15209" t="s">
        <v>656</v>
      </c>
      <c r="D15209" t="s">
        <v>1456</v>
      </c>
      <c r="E15209" t="s">
        <v>187</v>
      </c>
      <c r="F15209">
        <v>2020</v>
      </c>
      <c r="G15209">
        <v>29.210999999999999</v>
      </c>
    </row>
    <row r="15210" spans="1:7">
      <c r="A15210" t="s">
        <v>1297</v>
      </c>
      <c r="B15210" t="s">
        <v>1298</v>
      </c>
      <c r="C15210" t="s">
        <v>1303</v>
      </c>
      <c r="D15210" t="s">
        <v>1456</v>
      </c>
      <c r="E15210" t="s">
        <v>187</v>
      </c>
      <c r="F15210">
        <v>2020</v>
      </c>
      <c r="G15210">
        <v>3.7000000000000002E-3</v>
      </c>
    </row>
    <row r="15211" spans="1:7">
      <c r="A15211" t="s">
        <v>1297</v>
      </c>
      <c r="B15211" t="s">
        <v>1298</v>
      </c>
      <c r="C15211" t="s">
        <v>657</v>
      </c>
      <c r="D15211" t="s">
        <v>1456</v>
      </c>
      <c r="E15211" t="s">
        <v>187</v>
      </c>
      <c r="F15211">
        <v>2005</v>
      </c>
      <c r="G15211">
        <v>0.312</v>
      </c>
    </row>
    <row r="15212" spans="1:7">
      <c r="A15212" t="s">
        <v>1297</v>
      </c>
      <c r="B15212" t="s">
        <v>1298</v>
      </c>
      <c r="C15212" t="s">
        <v>657</v>
      </c>
      <c r="D15212" t="s">
        <v>1456</v>
      </c>
      <c r="E15212" t="s">
        <v>187</v>
      </c>
      <c r="F15212">
        <v>2010</v>
      </c>
      <c r="G15212">
        <v>0.41851500000000003</v>
      </c>
    </row>
    <row r="15213" spans="1:7">
      <c r="A15213" t="s">
        <v>1297</v>
      </c>
      <c r="B15213" t="s">
        <v>1298</v>
      </c>
      <c r="C15213" t="s">
        <v>657</v>
      </c>
      <c r="D15213" t="s">
        <v>1456</v>
      </c>
      <c r="E15213" t="s">
        <v>187</v>
      </c>
      <c r="F15213">
        <v>2012</v>
      </c>
      <c r="G15213">
        <v>0.45416000000000001</v>
      </c>
    </row>
    <row r="15214" spans="1:7">
      <c r="A15214" t="s">
        <v>1297</v>
      </c>
      <c r="B15214" t="s">
        <v>1298</v>
      </c>
      <c r="C15214" t="s">
        <v>657</v>
      </c>
      <c r="D15214" t="s">
        <v>1456</v>
      </c>
      <c r="E15214" t="s">
        <v>187</v>
      </c>
      <c r="F15214">
        <v>2016</v>
      </c>
      <c r="G15214">
        <v>0.50051900000000005</v>
      </c>
    </row>
    <row r="15215" spans="1:7">
      <c r="A15215" t="s">
        <v>1297</v>
      </c>
      <c r="B15215" t="s">
        <v>1298</v>
      </c>
      <c r="C15215" t="s">
        <v>677</v>
      </c>
      <c r="D15215" t="s">
        <v>1457</v>
      </c>
      <c r="E15215" t="s">
        <v>187</v>
      </c>
      <c r="F15215">
        <v>2005</v>
      </c>
      <c r="G15215">
        <v>1.2290000000000001</v>
      </c>
    </row>
    <row r="15216" spans="1:7">
      <c r="A15216" t="s">
        <v>1297</v>
      </c>
      <c r="B15216" t="s">
        <v>1298</v>
      </c>
      <c r="C15216" t="s">
        <v>669</v>
      </c>
      <c r="D15216" t="s">
        <v>1457</v>
      </c>
      <c r="E15216" t="s">
        <v>187</v>
      </c>
      <c r="F15216">
        <v>2005</v>
      </c>
      <c r="G15216">
        <v>2.1999999999999999E-2</v>
      </c>
    </row>
    <row r="15217" spans="1:7">
      <c r="A15217" t="s">
        <v>1297</v>
      </c>
      <c r="B15217" t="s">
        <v>1298</v>
      </c>
      <c r="C15217" t="s">
        <v>659</v>
      </c>
      <c r="D15217" t="s">
        <v>1457</v>
      </c>
      <c r="E15217" t="s">
        <v>187</v>
      </c>
      <c r="F15217">
        <v>2005</v>
      </c>
      <c r="G15217">
        <v>1.6522999999999999E-2</v>
      </c>
    </row>
    <row r="15218" spans="1:7">
      <c r="A15218" t="s">
        <v>1297</v>
      </c>
      <c r="B15218" t="s">
        <v>1298</v>
      </c>
      <c r="C15218" t="s">
        <v>659</v>
      </c>
      <c r="D15218" t="s">
        <v>1457</v>
      </c>
      <c r="E15218" t="s">
        <v>187</v>
      </c>
      <c r="F15218">
        <v>2010</v>
      </c>
      <c r="G15218">
        <v>2.1042999999999999E-2</v>
      </c>
    </row>
    <row r="15219" spans="1:7">
      <c r="A15219" t="s">
        <v>1297</v>
      </c>
      <c r="B15219" t="s">
        <v>1298</v>
      </c>
      <c r="C15219" t="s">
        <v>659</v>
      </c>
      <c r="D15219" t="s">
        <v>1457</v>
      </c>
      <c r="E15219" t="s">
        <v>187</v>
      </c>
      <c r="F15219">
        <v>2012</v>
      </c>
      <c r="G15219">
        <v>2.1367000000000001E-2</v>
      </c>
    </row>
    <row r="15220" spans="1:7">
      <c r="A15220" t="s">
        <v>1297</v>
      </c>
      <c r="B15220" t="s">
        <v>1298</v>
      </c>
      <c r="C15220" t="s">
        <v>659</v>
      </c>
      <c r="D15220" t="s">
        <v>1457</v>
      </c>
      <c r="E15220" t="s">
        <v>187</v>
      </c>
      <c r="F15220">
        <v>2016</v>
      </c>
      <c r="G15220">
        <v>0.22470100000000001</v>
      </c>
    </row>
    <row r="15221" spans="1:7">
      <c r="A15221" t="s">
        <v>1297</v>
      </c>
      <c r="B15221" t="s">
        <v>1298</v>
      </c>
      <c r="C15221" t="s">
        <v>659</v>
      </c>
      <c r="D15221" t="s">
        <v>1457</v>
      </c>
      <c r="E15221" t="s">
        <v>187</v>
      </c>
      <c r="F15221">
        <v>2020</v>
      </c>
      <c r="G15221">
        <v>0.26218799999999998</v>
      </c>
    </row>
    <row r="15222" spans="1:7">
      <c r="A15222" t="s">
        <v>1297</v>
      </c>
      <c r="B15222" t="s">
        <v>1298</v>
      </c>
      <c r="C15222" t="s">
        <v>659</v>
      </c>
      <c r="D15222" t="s">
        <v>1458</v>
      </c>
      <c r="E15222" t="s">
        <v>187</v>
      </c>
      <c r="F15222">
        <v>2010</v>
      </c>
      <c r="G15222">
        <v>2.7403200000000001</v>
      </c>
    </row>
    <row r="15223" spans="1:7">
      <c r="A15223" t="s">
        <v>1297</v>
      </c>
      <c r="B15223" t="s">
        <v>1298</v>
      </c>
      <c r="C15223" t="s">
        <v>659</v>
      </c>
      <c r="D15223" t="s">
        <v>1458</v>
      </c>
      <c r="E15223" t="s">
        <v>187</v>
      </c>
      <c r="F15223">
        <v>2012</v>
      </c>
      <c r="G15223">
        <v>13.590154999999999</v>
      </c>
    </row>
    <row r="15224" spans="1:7">
      <c r="A15224" t="s">
        <v>1297</v>
      </c>
      <c r="B15224" t="s">
        <v>1298</v>
      </c>
      <c r="C15224" t="s">
        <v>659</v>
      </c>
      <c r="D15224" t="s">
        <v>1458</v>
      </c>
      <c r="E15224" t="s">
        <v>187</v>
      </c>
      <c r="F15224">
        <v>2016</v>
      </c>
      <c r="G15224">
        <v>20.08512</v>
      </c>
    </row>
    <row r="15225" spans="1:7">
      <c r="A15225" t="s">
        <v>1297</v>
      </c>
      <c r="B15225" t="s">
        <v>1298</v>
      </c>
      <c r="C15225" t="s">
        <v>659</v>
      </c>
      <c r="D15225" t="s">
        <v>1458</v>
      </c>
      <c r="E15225" t="s">
        <v>187</v>
      </c>
      <c r="F15225">
        <v>2020</v>
      </c>
      <c r="G15225">
        <v>20.4588</v>
      </c>
    </row>
    <row r="15226" spans="1:7">
      <c r="A15226" t="s">
        <v>1297</v>
      </c>
      <c r="B15226" t="s">
        <v>1298</v>
      </c>
      <c r="C15226" t="s">
        <v>665</v>
      </c>
      <c r="D15226" t="s">
        <v>1459</v>
      </c>
      <c r="E15226" t="s">
        <v>187</v>
      </c>
      <c r="F15226">
        <v>2012</v>
      </c>
      <c r="G15226">
        <v>1E-3</v>
      </c>
    </row>
    <row r="15227" spans="1:7">
      <c r="A15227" t="s">
        <v>1297</v>
      </c>
      <c r="B15227" t="s">
        <v>1298</v>
      </c>
      <c r="C15227" t="s">
        <v>665</v>
      </c>
      <c r="D15227" t="s">
        <v>1459</v>
      </c>
      <c r="E15227" t="s">
        <v>187</v>
      </c>
      <c r="F15227">
        <v>2016</v>
      </c>
      <c r="G15227">
        <v>3.0000000000000001E-3</v>
      </c>
    </row>
    <row r="15228" spans="1:7">
      <c r="A15228" t="s">
        <v>1297</v>
      </c>
      <c r="B15228" t="s">
        <v>1298</v>
      </c>
      <c r="C15228" t="s">
        <v>665</v>
      </c>
      <c r="D15228" t="s">
        <v>1459</v>
      </c>
      <c r="E15228" t="s">
        <v>187</v>
      </c>
      <c r="F15228">
        <v>2020</v>
      </c>
      <c r="G15228">
        <v>5.9630000000000004E-3</v>
      </c>
    </row>
    <row r="15229" spans="1:7">
      <c r="A15229" t="s">
        <v>1297</v>
      </c>
      <c r="B15229" t="s">
        <v>1298</v>
      </c>
      <c r="C15229" t="s">
        <v>668</v>
      </c>
      <c r="D15229" t="s">
        <v>1459</v>
      </c>
      <c r="E15229" t="s">
        <v>187</v>
      </c>
      <c r="F15229">
        <v>2020</v>
      </c>
      <c r="G15229">
        <v>2.7360000000000002E-3</v>
      </c>
    </row>
    <row r="15230" spans="1:7">
      <c r="A15230" t="s">
        <v>1297</v>
      </c>
      <c r="B15230" t="s">
        <v>1298</v>
      </c>
      <c r="C15230" t="s">
        <v>657</v>
      </c>
      <c r="D15230" t="s">
        <v>1459</v>
      </c>
      <c r="E15230" t="s">
        <v>187</v>
      </c>
      <c r="F15230">
        <v>2005</v>
      </c>
      <c r="G15230">
        <v>5.2999999999999999E-2</v>
      </c>
    </row>
    <row r="15231" spans="1:7">
      <c r="A15231" t="s">
        <v>1297</v>
      </c>
      <c r="B15231" t="s">
        <v>1298</v>
      </c>
      <c r="C15231" t="s">
        <v>657</v>
      </c>
      <c r="D15231" t="s">
        <v>1459</v>
      </c>
      <c r="E15231" t="s">
        <v>187</v>
      </c>
      <c r="F15231">
        <v>2010</v>
      </c>
      <c r="G15231">
        <v>0.14299999999999999</v>
      </c>
    </row>
    <row r="15232" spans="1:7">
      <c r="A15232" t="s">
        <v>1297</v>
      </c>
      <c r="B15232" t="s">
        <v>1298</v>
      </c>
      <c r="C15232" t="s">
        <v>657</v>
      </c>
      <c r="D15232" t="s">
        <v>1459</v>
      </c>
      <c r="E15232" t="s">
        <v>187</v>
      </c>
      <c r="F15232">
        <v>2012</v>
      </c>
      <c r="G15232">
        <v>0.34499999999999997</v>
      </c>
    </row>
    <row r="15233" spans="1:7">
      <c r="A15233" t="s">
        <v>1297</v>
      </c>
      <c r="B15233" t="s">
        <v>1298</v>
      </c>
      <c r="C15233" t="s">
        <v>657</v>
      </c>
      <c r="D15233" t="s">
        <v>1459</v>
      </c>
      <c r="E15233" t="s">
        <v>187</v>
      </c>
      <c r="F15233">
        <v>2016</v>
      </c>
      <c r="G15233">
        <v>1.3919999999999999</v>
      </c>
    </row>
    <row r="15234" spans="1:7">
      <c r="A15234" t="s">
        <v>1297</v>
      </c>
      <c r="B15234" t="s">
        <v>1298</v>
      </c>
      <c r="C15234" t="s">
        <v>657</v>
      </c>
      <c r="D15234" t="s">
        <v>1459</v>
      </c>
      <c r="E15234" t="s">
        <v>187</v>
      </c>
      <c r="F15234">
        <v>2020</v>
      </c>
      <c r="G15234">
        <v>2.27</v>
      </c>
    </row>
    <row r="15235" spans="1:7">
      <c r="A15235" t="s">
        <v>1297</v>
      </c>
      <c r="B15235" t="s">
        <v>1298</v>
      </c>
      <c r="C15235" t="s">
        <v>667</v>
      </c>
      <c r="D15235" t="s">
        <v>1459</v>
      </c>
      <c r="E15235" t="s">
        <v>187</v>
      </c>
      <c r="F15235">
        <v>2016</v>
      </c>
      <c r="G15235" s="14">
        <v>5.1E-5</v>
      </c>
    </row>
    <row r="15236" spans="1:7">
      <c r="A15236" t="s">
        <v>1297</v>
      </c>
      <c r="B15236" t="s">
        <v>1298</v>
      </c>
      <c r="C15236" t="s">
        <v>667</v>
      </c>
      <c r="D15236" t="s">
        <v>1459</v>
      </c>
      <c r="E15236" t="s">
        <v>187</v>
      </c>
      <c r="F15236">
        <v>2020</v>
      </c>
      <c r="G15236" s="14">
        <v>6.4999999999999994E-5</v>
      </c>
    </row>
    <row r="15237" spans="1:7">
      <c r="A15237" t="s">
        <v>1297</v>
      </c>
      <c r="B15237" t="s">
        <v>1298</v>
      </c>
      <c r="C15237" t="s">
        <v>656</v>
      </c>
      <c r="D15237" t="s">
        <v>1459</v>
      </c>
      <c r="E15237" t="s">
        <v>187</v>
      </c>
      <c r="F15237">
        <v>2012</v>
      </c>
      <c r="G15237">
        <v>1.0999999999999999E-2</v>
      </c>
    </row>
    <row r="15238" spans="1:7">
      <c r="A15238" t="s">
        <v>1297</v>
      </c>
      <c r="B15238" t="s">
        <v>1298</v>
      </c>
      <c r="C15238" t="s">
        <v>656</v>
      </c>
      <c r="D15238" t="s">
        <v>1459</v>
      </c>
      <c r="E15238" t="s">
        <v>187</v>
      </c>
      <c r="F15238">
        <v>2016</v>
      </c>
      <c r="G15238">
        <v>6.0000000000000001E-3</v>
      </c>
    </row>
    <row r="15239" spans="1:7">
      <c r="A15239" t="s">
        <v>1297</v>
      </c>
      <c r="B15239" t="s">
        <v>1298</v>
      </c>
      <c r="C15239" t="s">
        <v>656</v>
      </c>
      <c r="D15239" t="s">
        <v>1459</v>
      </c>
      <c r="E15239" t="s">
        <v>187</v>
      </c>
      <c r="F15239">
        <v>2020</v>
      </c>
      <c r="G15239">
        <v>1.2999999999999999E-2</v>
      </c>
    </row>
    <row r="15240" spans="1:7">
      <c r="A15240" t="s">
        <v>1297</v>
      </c>
      <c r="B15240" t="s">
        <v>1298</v>
      </c>
      <c r="C15240" t="s">
        <v>676</v>
      </c>
      <c r="D15240" t="s">
        <v>1459</v>
      </c>
      <c r="E15240" t="s">
        <v>187</v>
      </c>
      <c r="F15240">
        <v>2005</v>
      </c>
      <c r="G15240">
        <v>1E-3</v>
      </c>
    </row>
    <row r="15241" spans="1:7">
      <c r="A15241" t="s">
        <v>1297</v>
      </c>
      <c r="B15241" t="s">
        <v>1298</v>
      </c>
      <c r="C15241" t="s">
        <v>676</v>
      </c>
      <c r="D15241" t="s">
        <v>1459</v>
      </c>
      <c r="E15241" t="s">
        <v>187</v>
      </c>
      <c r="F15241">
        <v>2010</v>
      </c>
      <c r="G15241">
        <v>1E-3</v>
      </c>
    </row>
    <row r="15242" spans="1:7">
      <c r="A15242" t="s">
        <v>1297</v>
      </c>
      <c r="B15242" t="s">
        <v>1298</v>
      </c>
      <c r="C15242" t="s">
        <v>676</v>
      </c>
      <c r="D15242" t="s">
        <v>1459</v>
      </c>
      <c r="E15242" t="s">
        <v>187</v>
      </c>
      <c r="F15242">
        <v>2012</v>
      </c>
      <c r="G15242">
        <v>2E-3</v>
      </c>
    </row>
    <row r="15243" spans="1:7">
      <c r="A15243" t="s">
        <v>1297</v>
      </c>
      <c r="B15243" t="s">
        <v>1298</v>
      </c>
      <c r="C15243" t="s">
        <v>676</v>
      </c>
      <c r="D15243" t="s">
        <v>1459</v>
      </c>
      <c r="E15243" t="s">
        <v>187</v>
      </c>
      <c r="F15243">
        <v>2016</v>
      </c>
      <c r="G15243">
        <v>2E-3</v>
      </c>
    </row>
    <row r="15244" spans="1:7">
      <c r="A15244" t="s">
        <v>1297</v>
      </c>
      <c r="B15244" t="s">
        <v>1298</v>
      </c>
      <c r="C15244" t="s">
        <v>676</v>
      </c>
      <c r="D15244" t="s">
        <v>1459</v>
      </c>
      <c r="E15244" t="s">
        <v>187</v>
      </c>
      <c r="F15244">
        <v>2020</v>
      </c>
      <c r="G15244">
        <v>2E-3</v>
      </c>
    </row>
    <row r="15245" spans="1:7">
      <c r="A15245" t="s">
        <v>1297</v>
      </c>
      <c r="B15245" t="s">
        <v>1298</v>
      </c>
      <c r="C15245" t="s">
        <v>663</v>
      </c>
      <c r="D15245" t="s">
        <v>1459</v>
      </c>
      <c r="E15245" t="s">
        <v>187</v>
      </c>
      <c r="F15245">
        <v>2005</v>
      </c>
      <c r="G15245">
        <v>1E-3</v>
      </c>
    </row>
    <row r="15246" spans="1:7">
      <c r="A15246" t="s">
        <v>1297</v>
      </c>
      <c r="B15246" t="s">
        <v>1298</v>
      </c>
      <c r="C15246" t="s">
        <v>663</v>
      </c>
      <c r="D15246" t="s">
        <v>1459</v>
      </c>
      <c r="E15246" t="s">
        <v>187</v>
      </c>
      <c r="F15246">
        <v>2010</v>
      </c>
      <c r="G15246">
        <v>5.0000000000000001E-3</v>
      </c>
    </row>
    <row r="15247" spans="1:7">
      <c r="A15247" t="s">
        <v>1297</v>
      </c>
      <c r="B15247" t="s">
        <v>1298</v>
      </c>
      <c r="C15247" t="s">
        <v>663</v>
      </c>
      <c r="D15247" t="s">
        <v>1459</v>
      </c>
      <c r="E15247" t="s">
        <v>187</v>
      </c>
      <c r="F15247">
        <v>2012</v>
      </c>
      <c r="G15247">
        <v>5.0000000000000001E-3</v>
      </c>
    </row>
    <row r="15248" spans="1:7">
      <c r="A15248" t="s">
        <v>1297</v>
      </c>
      <c r="B15248" t="s">
        <v>1298</v>
      </c>
      <c r="C15248" t="s">
        <v>651</v>
      </c>
      <c r="D15248" t="s">
        <v>1459</v>
      </c>
      <c r="E15248" t="s">
        <v>187</v>
      </c>
      <c r="F15248">
        <v>2010</v>
      </c>
      <c r="G15248">
        <v>5.7299000000000003E-2</v>
      </c>
    </row>
    <row r="15249" spans="1:7">
      <c r="A15249" t="s">
        <v>1297</v>
      </c>
      <c r="B15249" t="s">
        <v>1298</v>
      </c>
      <c r="C15249" t="s">
        <v>651</v>
      </c>
      <c r="D15249" t="s">
        <v>1459</v>
      </c>
      <c r="E15249" t="s">
        <v>187</v>
      </c>
      <c r="F15249">
        <v>2012</v>
      </c>
      <c r="G15249">
        <v>9.0587000000000001E-2</v>
      </c>
    </row>
    <row r="15250" spans="1:7">
      <c r="A15250" t="s">
        <v>1297</v>
      </c>
      <c r="B15250" t="s">
        <v>1298</v>
      </c>
      <c r="C15250" t="s">
        <v>651</v>
      </c>
      <c r="D15250" t="s">
        <v>1459</v>
      </c>
      <c r="E15250" t="s">
        <v>187</v>
      </c>
      <c r="F15250">
        <v>2016</v>
      </c>
      <c r="G15250">
        <v>9.0246000000000007E-2</v>
      </c>
    </row>
    <row r="15251" spans="1:7">
      <c r="A15251" t="s">
        <v>1297</v>
      </c>
      <c r="B15251" t="s">
        <v>1298</v>
      </c>
      <c r="C15251" t="s">
        <v>651</v>
      </c>
      <c r="D15251" t="s">
        <v>1459</v>
      </c>
      <c r="E15251" t="s">
        <v>187</v>
      </c>
      <c r="F15251">
        <v>2020</v>
      </c>
      <c r="G15251">
        <v>9.1124999999999998E-2</v>
      </c>
    </row>
    <row r="15252" spans="1:7">
      <c r="A15252" t="s">
        <v>1297</v>
      </c>
      <c r="B15252" t="s">
        <v>1298</v>
      </c>
      <c r="C15252" t="s">
        <v>676</v>
      </c>
      <c r="D15252" t="s">
        <v>1460</v>
      </c>
      <c r="E15252" t="s">
        <v>187</v>
      </c>
      <c r="F15252">
        <v>2020</v>
      </c>
      <c r="G15252">
        <v>3.0000000000000001E-3</v>
      </c>
    </row>
    <row r="15253" spans="1:7">
      <c r="A15253" t="s">
        <v>1297</v>
      </c>
      <c r="B15253" t="s">
        <v>1298</v>
      </c>
      <c r="C15253" t="s">
        <v>668</v>
      </c>
      <c r="D15253" t="s">
        <v>1460</v>
      </c>
      <c r="E15253" t="s">
        <v>187</v>
      </c>
      <c r="F15253">
        <v>2020</v>
      </c>
      <c r="G15253">
        <v>4.8200000000000001E-4</v>
      </c>
    </row>
    <row r="15254" spans="1:7">
      <c r="A15254" t="s">
        <v>1297</v>
      </c>
      <c r="B15254" t="s">
        <v>1298</v>
      </c>
      <c r="C15254" t="s">
        <v>659</v>
      </c>
      <c r="D15254" t="s">
        <v>1460</v>
      </c>
      <c r="E15254" t="s">
        <v>187</v>
      </c>
      <c r="F15254">
        <v>2005</v>
      </c>
      <c r="G15254">
        <v>1.9610000000000001E-3</v>
      </c>
    </row>
    <row r="15255" spans="1:7">
      <c r="A15255" t="s">
        <v>1297</v>
      </c>
      <c r="B15255" t="s">
        <v>1298</v>
      </c>
      <c r="C15255" t="s">
        <v>659</v>
      </c>
      <c r="D15255" t="s">
        <v>1460</v>
      </c>
      <c r="E15255" t="s">
        <v>187</v>
      </c>
      <c r="F15255">
        <v>2010</v>
      </c>
      <c r="G15255">
        <v>4.4660000000000004E-3</v>
      </c>
    </row>
    <row r="15256" spans="1:7">
      <c r="A15256" t="s">
        <v>1297</v>
      </c>
      <c r="B15256" t="s">
        <v>1298</v>
      </c>
      <c r="C15256" t="s">
        <v>659</v>
      </c>
      <c r="D15256" t="s">
        <v>1460</v>
      </c>
      <c r="E15256" t="s">
        <v>187</v>
      </c>
      <c r="F15256">
        <v>2012</v>
      </c>
      <c r="G15256">
        <v>4.6129999999999999E-3</v>
      </c>
    </row>
    <row r="15257" spans="1:7">
      <c r="A15257" t="s">
        <v>1297</v>
      </c>
      <c r="B15257" t="s">
        <v>1298</v>
      </c>
      <c r="C15257" t="s">
        <v>659</v>
      </c>
      <c r="D15257" t="s">
        <v>1460</v>
      </c>
      <c r="E15257" t="s">
        <v>187</v>
      </c>
      <c r="F15257">
        <v>2016</v>
      </c>
      <c r="G15257">
        <v>4.6629999999999996E-3</v>
      </c>
    </row>
    <row r="15258" spans="1:7">
      <c r="A15258" t="s">
        <v>1297</v>
      </c>
      <c r="B15258" t="s">
        <v>1298</v>
      </c>
      <c r="C15258" t="s">
        <v>659</v>
      </c>
      <c r="D15258" t="s">
        <v>1460</v>
      </c>
      <c r="E15258" t="s">
        <v>187</v>
      </c>
      <c r="F15258">
        <v>2020</v>
      </c>
      <c r="G15258">
        <v>4.6810000000000003E-3</v>
      </c>
    </row>
    <row r="15259" spans="1:7">
      <c r="A15259" t="s">
        <v>1297</v>
      </c>
      <c r="B15259" t="s">
        <v>1298</v>
      </c>
      <c r="C15259" t="s">
        <v>671</v>
      </c>
      <c r="D15259" t="s">
        <v>1461</v>
      </c>
      <c r="E15259" t="s">
        <v>187</v>
      </c>
      <c r="F15259">
        <v>2016</v>
      </c>
      <c r="G15259">
        <v>2.1890000000000001</v>
      </c>
    </row>
    <row r="15260" spans="1:7">
      <c r="A15260" t="s">
        <v>1297</v>
      </c>
      <c r="B15260" t="s">
        <v>1298</v>
      </c>
      <c r="C15260" t="s">
        <v>671</v>
      </c>
      <c r="D15260" t="s">
        <v>1461</v>
      </c>
      <c r="E15260" t="s">
        <v>187</v>
      </c>
      <c r="F15260">
        <v>2020</v>
      </c>
      <c r="G15260">
        <v>3.0087359999999999</v>
      </c>
    </row>
    <row r="15261" spans="1:7">
      <c r="A15261" t="s">
        <v>1297</v>
      </c>
      <c r="B15261" t="s">
        <v>1298</v>
      </c>
      <c r="C15261" t="s">
        <v>664</v>
      </c>
      <c r="D15261" t="s">
        <v>1461</v>
      </c>
      <c r="E15261" t="s">
        <v>187</v>
      </c>
      <c r="F15261">
        <v>2005</v>
      </c>
      <c r="G15261">
        <v>1.9297999999999999E-2</v>
      </c>
    </row>
    <row r="15262" spans="1:7">
      <c r="A15262" t="s">
        <v>1297</v>
      </c>
      <c r="B15262" t="s">
        <v>1298</v>
      </c>
      <c r="C15262" t="s">
        <v>664</v>
      </c>
      <c r="D15262" t="s">
        <v>1461</v>
      </c>
      <c r="E15262" t="s">
        <v>187</v>
      </c>
      <c r="F15262">
        <v>2010</v>
      </c>
      <c r="G15262">
        <v>0.31400299999999998</v>
      </c>
    </row>
    <row r="15263" spans="1:7">
      <c r="A15263" t="s">
        <v>1297</v>
      </c>
      <c r="B15263" t="s">
        <v>1298</v>
      </c>
      <c r="C15263" t="s">
        <v>664</v>
      </c>
      <c r="D15263" t="s">
        <v>1461</v>
      </c>
      <c r="E15263" t="s">
        <v>187</v>
      </c>
      <c r="F15263">
        <v>2012</v>
      </c>
      <c r="G15263">
        <v>0.39231199999999999</v>
      </c>
    </row>
    <row r="15264" spans="1:7">
      <c r="A15264" t="s">
        <v>1297</v>
      </c>
      <c r="B15264" t="s">
        <v>1298</v>
      </c>
      <c r="C15264" t="s">
        <v>664</v>
      </c>
      <c r="D15264" t="s">
        <v>1461</v>
      </c>
      <c r="E15264" t="s">
        <v>187</v>
      </c>
      <c r="F15264">
        <v>2016</v>
      </c>
      <c r="G15264">
        <v>0.50628099999999998</v>
      </c>
    </row>
    <row r="15265" spans="1:7">
      <c r="A15265" t="s">
        <v>1297</v>
      </c>
      <c r="B15265" t="s">
        <v>1298</v>
      </c>
      <c r="C15265" t="s">
        <v>664</v>
      </c>
      <c r="D15265" t="s">
        <v>1461</v>
      </c>
      <c r="E15265" t="s">
        <v>187</v>
      </c>
      <c r="F15265">
        <v>2020</v>
      </c>
      <c r="G15265">
        <v>0.57330700000000001</v>
      </c>
    </row>
    <row r="15266" spans="1:7">
      <c r="A15266" t="s">
        <v>1297</v>
      </c>
      <c r="B15266" t="s">
        <v>1298</v>
      </c>
      <c r="C15266" t="s">
        <v>657</v>
      </c>
      <c r="D15266" t="s">
        <v>1461</v>
      </c>
      <c r="E15266" t="s">
        <v>187</v>
      </c>
      <c r="F15266">
        <v>2005</v>
      </c>
      <c r="G15266">
        <v>0.41899999999999998</v>
      </c>
    </row>
    <row r="15267" spans="1:7">
      <c r="A15267" t="s">
        <v>1297</v>
      </c>
      <c r="B15267" t="s">
        <v>1298</v>
      </c>
      <c r="C15267" t="s">
        <v>657</v>
      </c>
      <c r="D15267" t="s">
        <v>1461</v>
      </c>
      <c r="E15267" t="s">
        <v>187</v>
      </c>
      <c r="F15267">
        <v>2010</v>
      </c>
      <c r="G15267">
        <v>0.63530200000000003</v>
      </c>
    </row>
    <row r="15268" spans="1:7">
      <c r="A15268" t="s">
        <v>1297</v>
      </c>
      <c r="B15268" t="s">
        <v>1298</v>
      </c>
      <c r="C15268" t="s">
        <v>657</v>
      </c>
      <c r="D15268" t="s">
        <v>1461</v>
      </c>
      <c r="E15268" t="s">
        <v>187</v>
      </c>
      <c r="F15268">
        <v>2012</v>
      </c>
      <c r="G15268">
        <v>0.88009999999999999</v>
      </c>
    </row>
    <row r="15269" spans="1:7">
      <c r="A15269" t="s">
        <v>1297</v>
      </c>
      <c r="B15269" t="s">
        <v>1298</v>
      </c>
      <c r="C15269" t="s">
        <v>657</v>
      </c>
      <c r="D15269" t="s">
        <v>1461</v>
      </c>
      <c r="E15269" t="s">
        <v>187</v>
      </c>
      <c r="F15269">
        <v>2016</v>
      </c>
      <c r="G15269">
        <v>1.9803919999999999</v>
      </c>
    </row>
    <row r="15270" spans="1:7">
      <c r="A15270" t="s">
        <v>1297</v>
      </c>
      <c r="B15270" t="s">
        <v>1298</v>
      </c>
      <c r="C15270" t="s">
        <v>657</v>
      </c>
      <c r="D15270" t="s">
        <v>1461</v>
      </c>
      <c r="E15270" t="s">
        <v>187</v>
      </c>
      <c r="F15270">
        <v>2020</v>
      </c>
      <c r="G15270">
        <v>2.8812319999999998</v>
      </c>
    </row>
    <row r="15271" spans="1:7">
      <c r="A15271" t="s">
        <v>1297</v>
      </c>
      <c r="B15271" t="s">
        <v>1298</v>
      </c>
      <c r="C15271" t="s">
        <v>661</v>
      </c>
      <c r="D15271" t="s">
        <v>1461</v>
      </c>
      <c r="E15271" t="s">
        <v>187</v>
      </c>
      <c r="F15271">
        <v>2005</v>
      </c>
      <c r="G15271">
        <v>1.034</v>
      </c>
    </row>
    <row r="15272" spans="1:7">
      <c r="A15272" t="s">
        <v>1297</v>
      </c>
      <c r="B15272" t="s">
        <v>1298</v>
      </c>
      <c r="C15272" t="s">
        <v>661</v>
      </c>
      <c r="D15272" t="s">
        <v>1461</v>
      </c>
      <c r="E15272" t="s">
        <v>187</v>
      </c>
      <c r="F15272">
        <v>2010</v>
      </c>
      <c r="G15272">
        <v>2.694</v>
      </c>
    </row>
    <row r="15273" spans="1:7">
      <c r="A15273" t="s">
        <v>1297</v>
      </c>
      <c r="B15273" t="s">
        <v>1298</v>
      </c>
      <c r="C15273" t="s">
        <v>661</v>
      </c>
      <c r="D15273" t="s">
        <v>1461</v>
      </c>
      <c r="E15273" t="s">
        <v>187</v>
      </c>
      <c r="F15273">
        <v>2012</v>
      </c>
      <c r="G15273">
        <v>5.6467790000000004</v>
      </c>
    </row>
    <row r="15274" spans="1:7">
      <c r="A15274" t="s">
        <v>1297</v>
      </c>
      <c r="B15274" t="s">
        <v>1298</v>
      </c>
      <c r="C15274" t="s">
        <v>661</v>
      </c>
      <c r="D15274" t="s">
        <v>1461</v>
      </c>
      <c r="E15274" t="s">
        <v>187</v>
      </c>
      <c r="F15274">
        <v>2016</v>
      </c>
      <c r="G15274">
        <v>6.9485479999999997</v>
      </c>
    </row>
    <row r="15275" spans="1:7">
      <c r="A15275" t="s">
        <v>1297</v>
      </c>
      <c r="B15275" t="s">
        <v>1298</v>
      </c>
      <c r="C15275" t="s">
        <v>661</v>
      </c>
      <c r="D15275" t="s">
        <v>1461</v>
      </c>
      <c r="E15275" t="s">
        <v>187</v>
      </c>
      <c r="F15275">
        <v>2020</v>
      </c>
      <c r="G15275">
        <v>7.8431369999999996</v>
      </c>
    </row>
    <row r="15276" spans="1:7">
      <c r="A15276" t="s">
        <v>1297</v>
      </c>
      <c r="B15276" t="s">
        <v>1298</v>
      </c>
      <c r="C15276" t="s">
        <v>667</v>
      </c>
      <c r="D15276" t="s">
        <v>1461</v>
      </c>
      <c r="E15276" t="s">
        <v>187</v>
      </c>
      <c r="F15276">
        <v>2005</v>
      </c>
      <c r="G15276">
        <v>9.8040000000000002E-3</v>
      </c>
    </row>
    <row r="15277" spans="1:7">
      <c r="A15277" t="s">
        <v>1297</v>
      </c>
      <c r="B15277" t="s">
        <v>1298</v>
      </c>
      <c r="C15277" t="s">
        <v>667</v>
      </c>
      <c r="D15277" t="s">
        <v>1461</v>
      </c>
      <c r="E15277" t="s">
        <v>187</v>
      </c>
      <c r="F15277">
        <v>2010</v>
      </c>
      <c r="G15277">
        <v>3.8134000000000001E-2</v>
      </c>
    </row>
    <row r="15278" spans="1:7">
      <c r="A15278" t="s">
        <v>1297</v>
      </c>
      <c r="B15278" t="s">
        <v>1298</v>
      </c>
      <c r="C15278" t="s">
        <v>667</v>
      </c>
      <c r="D15278" t="s">
        <v>1461</v>
      </c>
      <c r="E15278" t="s">
        <v>187</v>
      </c>
      <c r="F15278">
        <v>2012</v>
      </c>
      <c r="G15278">
        <v>5.7124000000000001E-2</v>
      </c>
    </row>
    <row r="15279" spans="1:7">
      <c r="A15279" t="s">
        <v>1297</v>
      </c>
      <c r="B15279" t="s">
        <v>1298</v>
      </c>
      <c r="C15279" t="s">
        <v>667</v>
      </c>
      <c r="D15279" t="s">
        <v>1461</v>
      </c>
      <c r="E15279" t="s">
        <v>187</v>
      </c>
      <c r="F15279">
        <v>2016</v>
      </c>
      <c r="G15279">
        <v>8.6248000000000005E-2</v>
      </c>
    </row>
    <row r="15280" spans="1:7">
      <c r="A15280" t="s">
        <v>1297</v>
      </c>
      <c r="B15280" t="s">
        <v>1298</v>
      </c>
      <c r="C15280" t="s">
        <v>667</v>
      </c>
      <c r="D15280" t="s">
        <v>1461</v>
      </c>
      <c r="E15280" t="s">
        <v>187</v>
      </c>
      <c r="F15280">
        <v>2020</v>
      </c>
      <c r="G15280">
        <v>0.10227700000000001</v>
      </c>
    </row>
    <row r="15281" spans="1:7">
      <c r="A15281" t="s">
        <v>1297</v>
      </c>
      <c r="B15281" t="s">
        <v>1298</v>
      </c>
      <c r="C15281" t="s">
        <v>681</v>
      </c>
      <c r="D15281" t="s">
        <v>1461</v>
      </c>
      <c r="E15281" t="s">
        <v>187</v>
      </c>
      <c r="F15281">
        <v>2005</v>
      </c>
      <c r="G15281">
        <v>9.6000000000000002E-2</v>
      </c>
    </row>
    <row r="15282" spans="1:7">
      <c r="A15282" t="s">
        <v>1297</v>
      </c>
      <c r="B15282" t="s">
        <v>1298</v>
      </c>
      <c r="C15282" t="s">
        <v>681</v>
      </c>
      <c r="D15282" t="s">
        <v>1461</v>
      </c>
      <c r="E15282" t="s">
        <v>187</v>
      </c>
      <c r="F15282">
        <v>2010</v>
      </c>
      <c r="G15282">
        <v>0.28100000000000003</v>
      </c>
    </row>
    <row r="15283" spans="1:7">
      <c r="A15283" t="s">
        <v>1297</v>
      </c>
      <c r="B15283" t="s">
        <v>1298</v>
      </c>
      <c r="C15283" t="s">
        <v>681</v>
      </c>
      <c r="D15283" t="s">
        <v>1461</v>
      </c>
      <c r="E15283" t="s">
        <v>187</v>
      </c>
      <c r="F15283">
        <v>2012</v>
      </c>
      <c r="G15283">
        <v>0.49399999999999999</v>
      </c>
    </row>
    <row r="15284" spans="1:7">
      <c r="A15284" t="s">
        <v>1297</v>
      </c>
      <c r="B15284" t="s">
        <v>1298</v>
      </c>
      <c r="C15284" t="s">
        <v>681</v>
      </c>
      <c r="D15284" t="s">
        <v>1461</v>
      </c>
      <c r="E15284" t="s">
        <v>187</v>
      </c>
      <c r="F15284">
        <v>2016</v>
      </c>
      <c r="G15284">
        <v>0.53381699999999999</v>
      </c>
    </row>
    <row r="15285" spans="1:7">
      <c r="A15285" t="s">
        <v>1297</v>
      </c>
      <c r="B15285" t="s">
        <v>1298</v>
      </c>
      <c r="C15285" t="s">
        <v>681</v>
      </c>
      <c r="D15285" t="s">
        <v>1461</v>
      </c>
      <c r="E15285" t="s">
        <v>187</v>
      </c>
      <c r="F15285">
        <v>2020</v>
      </c>
      <c r="G15285">
        <v>0.59033999999999998</v>
      </c>
    </row>
    <row r="15286" spans="1:7">
      <c r="A15286" t="s">
        <v>1297</v>
      </c>
      <c r="B15286" t="s">
        <v>1298</v>
      </c>
      <c r="C15286" t="s">
        <v>654</v>
      </c>
      <c r="D15286" t="s">
        <v>1461</v>
      </c>
      <c r="E15286" t="s">
        <v>187</v>
      </c>
      <c r="F15286">
        <v>2005</v>
      </c>
      <c r="G15286">
        <v>1.7290000000000001</v>
      </c>
    </row>
    <row r="15287" spans="1:7">
      <c r="A15287" t="s">
        <v>1297</v>
      </c>
      <c r="B15287" t="s">
        <v>1298</v>
      </c>
      <c r="C15287" t="s">
        <v>654</v>
      </c>
      <c r="D15287" t="s">
        <v>1461</v>
      </c>
      <c r="E15287" t="s">
        <v>187</v>
      </c>
      <c r="F15287">
        <v>2010</v>
      </c>
      <c r="G15287">
        <v>2.5449999999999999</v>
      </c>
    </row>
    <row r="15288" spans="1:7">
      <c r="A15288" t="s">
        <v>1297</v>
      </c>
      <c r="B15288" t="s">
        <v>1298</v>
      </c>
      <c r="C15288" t="s">
        <v>654</v>
      </c>
      <c r="D15288" t="s">
        <v>1461</v>
      </c>
      <c r="E15288" t="s">
        <v>187</v>
      </c>
      <c r="F15288">
        <v>2012</v>
      </c>
      <c r="G15288">
        <v>2.7</v>
      </c>
    </row>
    <row r="15289" spans="1:7">
      <c r="A15289" t="s">
        <v>1297</v>
      </c>
      <c r="B15289" t="s">
        <v>1298</v>
      </c>
      <c r="C15289" t="s">
        <v>654</v>
      </c>
      <c r="D15289" t="s">
        <v>1461</v>
      </c>
      <c r="E15289" t="s">
        <v>187</v>
      </c>
      <c r="F15289">
        <v>2016</v>
      </c>
      <c r="G15289">
        <v>2.887</v>
      </c>
    </row>
    <row r="15290" spans="1:7">
      <c r="A15290" t="s">
        <v>1297</v>
      </c>
      <c r="B15290" t="s">
        <v>1298</v>
      </c>
      <c r="C15290" t="s">
        <v>654</v>
      </c>
      <c r="D15290" t="s">
        <v>1461</v>
      </c>
      <c r="E15290" t="s">
        <v>187</v>
      </c>
      <c r="F15290">
        <v>2020</v>
      </c>
      <c r="G15290">
        <v>3.0622880000000001</v>
      </c>
    </row>
    <row r="15291" spans="1:7">
      <c r="A15291" t="s">
        <v>1297</v>
      </c>
      <c r="B15291" t="s">
        <v>1298</v>
      </c>
      <c r="C15291" t="s">
        <v>1303</v>
      </c>
      <c r="D15291" t="s">
        <v>1461</v>
      </c>
      <c r="E15291" t="s">
        <v>187</v>
      </c>
      <c r="F15291">
        <v>2016</v>
      </c>
      <c r="G15291">
        <v>0.128</v>
      </c>
    </row>
    <row r="15292" spans="1:7">
      <c r="A15292" t="s">
        <v>1297</v>
      </c>
      <c r="B15292" t="s">
        <v>1298</v>
      </c>
      <c r="C15292" t="s">
        <v>1303</v>
      </c>
      <c r="D15292" t="s">
        <v>1461</v>
      </c>
      <c r="E15292" t="s">
        <v>187</v>
      </c>
      <c r="F15292">
        <v>2020</v>
      </c>
      <c r="G15292">
        <v>0.1298</v>
      </c>
    </row>
    <row r="15293" spans="1:7">
      <c r="A15293" t="s">
        <v>1297</v>
      </c>
      <c r="B15293" t="s">
        <v>1298</v>
      </c>
      <c r="C15293" t="s">
        <v>670</v>
      </c>
      <c r="D15293" t="s">
        <v>1461</v>
      </c>
      <c r="E15293" t="s">
        <v>187</v>
      </c>
      <c r="F15293">
        <v>2005</v>
      </c>
      <c r="G15293">
        <v>0.71899999999999997</v>
      </c>
    </row>
    <row r="15294" spans="1:7">
      <c r="A15294" t="s">
        <v>1297</v>
      </c>
      <c r="B15294" t="s">
        <v>1298</v>
      </c>
      <c r="C15294" t="s">
        <v>670</v>
      </c>
      <c r="D15294" t="s">
        <v>1461</v>
      </c>
      <c r="E15294" t="s">
        <v>187</v>
      </c>
      <c r="F15294">
        <v>2010</v>
      </c>
      <c r="G15294">
        <v>0.99399999999999999</v>
      </c>
    </row>
    <row r="15295" spans="1:7">
      <c r="A15295" t="s">
        <v>1297</v>
      </c>
      <c r="B15295" t="s">
        <v>1298</v>
      </c>
      <c r="C15295" t="s">
        <v>670</v>
      </c>
      <c r="D15295" t="s">
        <v>1461</v>
      </c>
      <c r="E15295" t="s">
        <v>187</v>
      </c>
      <c r="F15295">
        <v>2012</v>
      </c>
      <c r="G15295">
        <v>1.07</v>
      </c>
    </row>
    <row r="15296" spans="1:7">
      <c r="A15296" t="s">
        <v>1297</v>
      </c>
      <c r="B15296" t="s">
        <v>1298</v>
      </c>
      <c r="C15296" t="s">
        <v>670</v>
      </c>
      <c r="D15296" t="s">
        <v>1461</v>
      </c>
      <c r="E15296" t="s">
        <v>187</v>
      </c>
      <c r="F15296">
        <v>2016</v>
      </c>
      <c r="G15296">
        <v>1.147</v>
      </c>
    </row>
    <row r="15297" spans="1:7">
      <c r="A15297" t="s">
        <v>1297</v>
      </c>
      <c r="B15297" t="s">
        <v>1298</v>
      </c>
      <c r="C15297" t="s">
        <v>670</v>
      </c>
      <c r="D15297" t="s">
        <v>1461</v>
      </c>
      <c r="E15297" t="s">
        <v>187</v>
      </c>
      <c r="F15297">
        <v>2020</v>
      </c>
      <c r="G15297">
        <v>1.2070000000000001</v>
      </c>
    </row>
    <row r="15298" spans="1:7">
      <c r="A15298" t="s">
        <v>1297</v>
      </c>
      <c r="B15298" t="s">
        <v>1298</v>
      </c>
      <c r="C15298" t="s">
        <v>673</v>
      </c>
      <c r="D15298" t="s">
        <v>1461</v>
      </c>
      <c r="E15298" t="s">
        <v>187</v>
      </c>
      <c r="F15298">
        <v>2010</v>
      </c>
      <c r="G15298">
        <v>4.0000000000000001E-3</v>
      </c>
    </row>
    <row r="15299" spans="1:7">
      <c r="A15299" t="s">
        <v>1297</v>
      </c>
      <c r="B15299" t="s">
        <v>1298</v>
      </c>
      <c r="C15299" t="s">
        <v>673</v>
      </c>
      <c r="D15299" t="s">
        <v>1461</v>
      </c>
      <c r="E15299" t="s">
        <v>187</v>
      </c>
      <c r="F15299">
        <v>2012</v>
      </c>
      <c r="G15299">
        <v>4.0000000000000001E-3</v>
      </c>
    </row>
    <row r="15300" spans="1:7">
      <c r="A15300" t="s">
        <v>1297</v>
      </c>
      <c r="B15300" t="s">
        <v>1298</v>
      </c>
      <c r="C15300" t="s">
        <v>673</v>
      </c>
      <c r="D15300" t="s">
        <v>1461</v>
      </c>
      <c r="E15300" t="s">
        <v>187</v>
      </c>
      <c r="F15300">
        <v>2016</v>
      </c>
      <c r="G15300">
        <v>2.1999999999999999E-2</v>
      </c>
    </row>
    <row r="15301" spans="1:7">
      <c r="A15301" t="s">
        <v>1297</v>
      </c>
      <c r="B15301" t="s">
        <v>1298</v>
      </c>
      <c r="C15301" t="s">
        <v>673</v>
      </c>
      <c r="D15301" t="s">
        <v>1461</v>
      </c>
      <c r="E15301" t="s">
        <v>187</v>
      </c>
      <c r="F15301">
        <v>2020</v>
      </c>
      <c r="G15301">
        <v>3.0296E-2</v>
      </c>
    </row>
    <row r="15302" spans="1:7">
      <c r="A15302" t="s">
        <v>1297</v>
      </c>
      <c r="B15302" t="s">
        <v>1298</v>
      </c>
      <c r="C15302" t="s">
        <v>669</v>
      </c>
      <c r="D15302" t="s">
        <v>1461</v>
      </c>
      <c r="E15302" t="s">
        <v>187</v>
      </c>
      <c r="F15302">
        <v>2010</v>
      </c>
      <c r="G15302">
        <v>0.14976999999999999</v>
      </c>
    </row>
    <row r="15303" spans="1:7">
      <c r="A15303" t="s">
        <v>1297</v>
      </c>
      <c r="B15303" t="s">
        <v>1298</v>
      </c>
      <c r="C15303" t="s">
        <v>669</v>
      </c>
      <c r="D15303" t="s">
        <v>1461</v>
      </c>
      <c r="E15303" t="s">
        <v>187</v>
      </c>
      <c r="F15303">
        <v>2012</v>
      </c>
      <c r="G15303">
        <v>0.17355999999999999</v>
      </c>
    </row>
    <row r="15304" spans="1:7">
      <c r="A15304" t="s">
        <v>1297</v>
      </c>
      <c r="B15304" t="s">
        <v>1298</v>
      </c>
      <c r="C15304" t="s">
        <v>669</v>
      </c>
      <c r="D15304" t="s">
        <v>1461</v>
      </c>
      <c r="E15304" t="s">
        <v>187</v>
      </c>
      <c r="F15304">
        <v>2016</v>
      </c>
      <c r="G15304">
        <v>0.20699999999999999</v>
      </c>
    </row>
    <row r="15305" spans="1:7">
      <c r="A15305" t="s">
        <v>1297</v>
      </c>
      <c r="B15305" t="s">
        <v>1298</v>
      </c>
      <c r="C15305" t="s">
        <v>669</v>
      </c>
      <c r="D15305" t="s">
        <v>1461</v>
      </c>
      <c r="E15305" t="s">
        <v>187</v>
      </c>
      <c r="F15305">
        <v>2020</v>
      </c>
      <c r="G15305">
        <v>0.21249899999999999</v>
      </c>
    </row>
    <row r="15306" spans="1:7">
      <c r="A15306" t="s">
        <v>1297</v>
      </c>
      <c r="B15306" t="s">
        <v>1298</v>
      </c>
      <c r="C15306" t="s">
        <v>289</v>
      </c>
      <c r="D15306" t="s">
        <v>1461</v>
      </c>
      <c r="E15306" t="s">
        <v>187</v>
      </c>
      <c r="F15306">
        <v>2005</v>
      </c>
      <c r="G15306">
        <v>9.6000000000000002E-2</v>
      </c>
    </row>
    <row r="15307" spans="1:7">
      <c r="A15307" t="s">
        <v>1297</v>
      </c>
      <c r="B15307" t="s">
        <v>1298</v>
      </c>
      <c r="C15307" t="s">
        <v>289</v>
      </c>
      <c r="D15307" t="s">
        <v>1461</v>
      </c>
      <c r="E15307" t="s">
        <v>187</v>
      </c>
      <c r="F15307">
        <v>2010</v>
      </c>
      <c r="G15307">
        <v>0.218</v>
      </c>
    </row>
    <row r="15308" spans="1:7">
      <c r="A15308" t="s">
        <v>1297</v>
      </c>
      <c r="B15308" t="s">
        <v>1298</v>
      </c>
      <c r="C15308" t="s">
        <v>289</v>
      </c>
      <c r="D15308" t="s">
        <v>1461</v>
      </c>
      <c r="E15308" t="s">
        <v>187</v>
      </c>
      <c r="F15308">
        <v>2012</v>
      </c>
      <c r="G15308">
        <v>0.29899999999999999</v>
      </c>
    </row>
    <row r="15309" spans="1:7">
      <c r="A15309" t="s">
        <v>1297</v>
      </c>
      <c r="B15309" t="s">
        <v>1298</v>
      </c>
      <c r="C15309" t="s">
        <v>289</v>
      </c>
      <c r="D15309" t="s">
        <v>1461</v>
      </c>
      <c r="E15309" t="s">
        <v>187</v>
      </c>
      <c r="F15309">
        <v>2016</v>
      </c>
      <c r="G15309">
        <v>0.48399999999999999</v>
      </c>
    </row>
    <row r="15310" spans="1:7">
      <c r="A15310" t="s">
        <v>1297</v>
      </c>
      <c r="B15310" t="s">
        <v>1298</v>
      </c>
      <c r="C15310" t="s">
        <v>289</v>
      </c>
      <c r="D15310" t="s">
        <v>1461</v>
      </c>
      <c r="E15310" t="s">
        <v>187</v>
      </c>
      <c r="F15310">
        <v>2020</v>
      </c>
      <c r="G15310">
        <v>0.64680000000000004</v>
      </c>
    </row>
    <row r="15311" spans="1:7">
      <c r="A15311" t="s">
        <v>1297</v>
      </c>
      <c r="B15311" t="s">
        <v>1298</v>
      </c>
      <c r="C15311" t="s">
        <v>660</v>
      </c>
      <c r="D15311" t="s">
        <v>1461</v>
      </c>
      <c r="E15311" t="s">
        <v>187</v>
      </c>
      <c r="F15311">
        <v>2005</v>
      </c>
      <c r="G15311">
        <v>0.02</v>
      </c>
    </row>
    <row r="15312" spans="1:7">
      <c r="A15312" t="s">
        <v>1297</v>
      </c>
      <c r="B15312" t="s">
        <v>1298</v>
      </c>
      <c r="C15312" t="s">
        <v>660</v>
      </c>
      <c r="D15312" t="s">
        <v>1461</v>
      </c>
      <c r="E15312" t="s">
        <v>187</v>
      </c>
      <c r="F15312">
        <v>2010</v>
      </c>
      <c r="G15312">
        <v>3.9E-2</v>
      </c>
    </row>
    <row r="15313" spans="1:7">
      <c r="A15313" t="s">
        <v>1297</v>
      </c>
      <c r="B15313" t="s">
        <v>1298</v>
      </c>
      <c r="C15313" t="s">
        <v>660</v>
      </c>
      <c r="D15313" t="s">
        <v>1461</v>
      </c>
      <c r="E15313" t="s">
        <v>187</v>
      </c>
      <c r="F15313">
        <v>2012</v>
      </c>
      <c r="G15313">
        <v>4.7E-2</v>
      </c>
    </row>
    <row r="15314" spans="1:7">
      <c r="A15314" t="s">
        <v>1297</v>
      </c>
      <c r="B15314" t="s">
        <v>1298</v>
      </c>
      <c r="C15314" t="s">
        <v>660</v>
      </c>
      <c r="D15314" t="s">
        <v>1461</v>
      </c>
      <c r="E15314" t="s">
        <v>187</v>
      </c>
      <c r="F15314">
        <v>2016</v>
      </c>
      <c r="G15314">
        <v>6.9000000000000006E-2</v>
      </c>
    </row>
    <row r="15315" spans="1:7">
      <c r="A15315" t="s">
        <v>1297</v>
      </c>
      <c r="B15315" t="s">
        <v>1298</v>
      </c>
      <c r="C15315" t="s">
        <v>660</v>
      </c>
      <c r="D15315" t="s">
        <v>1461</v>
      </c>
      <c r="E15315" t="s">
        <v>187</v>
      </c>
      <c r="F15315">
        <v>2020</v>
      </c>
      <c r="G15315">
        <v>9.0999999999999998E-2</v>
      </c>
    </row>
    <row r="15316" spans="1:7">
      <c r="A15316" t="s">
        <v>1297</v>
      </c>
      <c r="B15316" t="s">
        <v>1298</v>
      </c>
      <c r="C15316" t="s">
        <v>671</v>
      </c>
      <c r="D15316" t="s">
        <v>1461</v>
      </c>
      <c r="E15316" t="s">
        <v>187</v>
      </c>
      <c r="F15316">
        <v>2005</v>
      </c>
      <c r="G15316">
        <v>6.0000000000000001E-3</v>
      </c>
    </row>
    <row r="15317" spans="1:7">
      <c r="A15317" t="s">
        <v>1297</v>
      </c>
      <c r="B15317" t="s">
        <v>1298</v>
      </c>
      <c r="C15317" t="s">
        <v>671</v>
      </c>
      <c r="D15317" t="s">
        <v>1461</v>
      </c>
      <c r="E15317" t="s">
        <v>187</v>
      </c>
      <c r="F15317">
        <v>2010</v>
      </c>
      <c r="G15317">
        <v>0.42</v>
      </c>
    </row>
    <row r="15318" spans="1:7">
      <c r="A15318" t="s">
        <v>1297</v>
      </c>
      <c r="B15318" t="s">
        <v>1298</v>
      </c>
      <c r="C15318" t="s">
        <v>671</v>
      </c>
      <c r="D15318" t="s">
        <v>1461</v>
      </c>
      <c r="E15318" t="s">
        <v>187</v>
      </c>
      <c r="F15318">
        <v>2012</v>
      </c>
      <c r="G15318">
        <v>0.62</v>
      </c>
    </row>
    <row r="15319" spans="1:7">
      <c r="A15319" t="s">
        <v>1297</v>
      </c>
      <c r="B15319" t="s">
        <v>1298</v>
      </c>
      <c r="C15319" t="s">
        <v>655</v>
      </c>
      <c r="D15319" t="s">
        <v>1461</v>
      </c>
      <c r="E15319" t="s">
        <v>187</v>
      </c>
      <c r="F15319">
        <v>2012</v>
      </c>
      <c r="G15319">
        <v>0.52602099999999996</v>
      </c>
    </row>
    <row r="15320" spans="1:7">
      <c r="A15320" t="s">
        <v>1297</v>
      </c>
      <c r="B15320" t="s">
        <v>1298</v>
      </c>
      <c r="C15320" t="s">
        <v>655</v>
      </c>
      <c r="D15320" t="s">
        <v>1461</v>
      </c>
      <c r="E15320" t="s">
        <v>187</v>
      </c>
      <c r="F15320">
        <v>2016</v>
      </c>
      <c r="G15320">
        <v>0.69876300000000002</v>
      </c>
    </row>
    <row r="15321" spans="1:7">
      <c r="A15321" t="s">
        <v>1297</v>
      </c>
      <c r="B15321" t="s">
        <v>1298</v>
      </c>
      <c r="C15321" t="s">
        <v>655</v>
      </c>
      <c r="D15321" t="s">
        <v>1461</v>
      </c>
      <c r="E15321" t="s">
        <v>187</v>
      </c>
      <c r="F15321">
        <v>2020</v>
      </c>
      <c r="G15321">
        <v>0.76730600000000004</v>
      </c>
    </row>
    <row r="15322" spans="1:7">
      <c r="A15322" t="s">
        <v>1297</v>
      </c>
      <c r="B15322" t="s">
        <v>1298</v>
      </c>
      <c r="C15322" t="s">
        <v>674</v>
      </c>
      <c r="D15322" t="s">
        <v>1461</v>
      </c>
      <c r="E15322" t="s">
        <v>187</v>
      </c>
      <c r="F15322">
        <v>2005</v>
      </c>
      <c r="G15322">
        <v>0.247</v>
      </c>
    </row>
    <row r="15323" spans="1:7">
      <c r="A15323" t="s">
        <v>1297</v>
      </c>
      <c r="B15323" t="s">
        <v>1298</v>
      </c>
      <c r="C15323" t="s">
        <v>674</v>
      </c>
      <c r="D15323" t="s">
        <v>1461</v>
      </c>
      <c r="E15323" t="s">
        <v>187</v>
      </c>
      <c r="F15323">
        <v>2010</v>
      </c>
      <c r="G15323">
        <v>0.432</v>
      </c>
    </row>
    <row r="15324" spans="1:7">
      <c r="A15324" t="s">
        <v>1297</v>
      </c>
      <c r="B15324" t="s">
        <v>1298</v>
      </c>
      <c r="C15324" t="s">
        <v>674</v>
      </c>
      <c r="D15324" t="s">
        <v>1461</v>
      </c>
      <c r="E15324" t="s">
        <v>187</v>
      </c>
      <c r="F15324">
        <v>2012</v>
      </c>
      <c r="G15324">
        <v>0.46400000000000002</v>
      </c>
    </row>
    <row r="15325" spans="1:7">
      <c r="A15325" t="s">
        <v>1297</v>
      </c>
      <c r="B15325" t="s">
        <v>1298</v>
      </c>
      <c r="C15325" t="s">
        <v>674</v>
      </c>
      <c r="D15325" t="s">
        <v>1461</v>
      </c>
      <c r="E15325" t="s">
        <v>187</v>
      </c>
      <c r="F15325">
        <v>2016</v>
      </c>
      <c r="G15325">
        <v>0.46800000000000003</v>
      </c>
    </row>
    <row r="15326" spans="1:7">
      <c r="A15326" t="s">
        <v>1297</v>
      </c>
      <c r="B15326" t="s">
        <v>1298</v>
      </c>
      <c r="C15326" t="s">
        <v>674</v>
      </c>
      <c r="D15326" t="s">
        <v>1461</v>
      </c>
      <c r="E15326" t="s">
        <v>187</v>
      </c>
      <c r="F15326">
        <v>2020</v>
      </c>
      <c r="G15326">
        <v>0.44600000000000001</v>
      </c>
    </row>
    <row r="15327" spans="1:7">
      <c r="A15327" t="s">
        <v>1297</v>
      </c>
      <c r="B15327" t="s">
        <v>1298</v>
      </c>
      <c r="C15327" t="s">
        <v>1302</v>
      </c>
      <c r="D15327" t="s">
        <v>1461</v>
      </c>
      <c r="E15327" t="s">
        <v>187</v>
      </c>
      <c r="F15327">
        <v>2005</v>
      </c>
      <c r="G15327">
        <v>7.0000000000000001E-3</v>
      </c>
    </row>
    <row r="15328" spans="1:7">
      <c r="A15328" t="s">
        <v>1297</v>
      </c>
      <c r="B15328" t="s">
        <v>1298</v>
      </c>
      <c r="C15328" t="s">
        <v>1302</v>
      </c>
      <c r="D15328" t="s">
        <v>1461</v>
      </c>
      <c r="E15328" t="s">
        <v>187</v>
      </c>
      <c r="F15328">
        <v>2010</v>
      </c>
      <c r="G15328">
        <v>0.01</v>
      </c>
    </row>
    <row r="15329" spans="1:7">
      <c r="A15329" t="s">
        <v>1297</v>
      </c>
      <c r="B15329" t="s">
        <v>1298</v>
      </c>
      <c r="C15329" t="s">
        <v>1302</v>
      </c>
      <c r="D15329" t="s">
        <v>1461</v>
      </c>
      <c r="E15329" t="s">
        <v>187</v>
      </c>
      <c r="F15329">
        <v>2012</v>
      </c>
      <c r="G15329">
        <v>1.0999999999999999E-2</v>
      </c>
    </row>
    <row r="15330" spans="1:7">
      <c r="A15330" t="s">
        <v>1297</v>
      </c>
      <c r="B15330" t="s">
        <v>1298</v>
      </c>
      <c r="C15330" t="s">
        <v>1302</v>
      </c>
      <c r="D15330" t="s">
        <v>1461</v>
      </c>
      <c r="E15330" t="s">
        <v>187</v>
      </c>
      <c r="F15330">
        <v>2016</v>
      </c>
      <c r="G15330">
        <v>1.4E-2</v>
      </c>
    </row>
    <row r="15331" spans="1:7">
      <c r="A15331" t="s">
        <v>1297</v>
      </c>
      <c r="B15331" t="s">
        <v>1298</v>
      </c>
      <c r="C15331" t="s">
        <v>1302</v>
      </c>
      <c r="D15331" t="s">
        <v>1461</v>
      </c>
      <c r="E15331" t="s">
        <v>187</v>
      </c>
      <c r="F15331">
        <v>2020</v>
      </c>
      <c r="G15331">
        <v>1.5587E-2</v>
      </c>
    </row>
    <row r="15332" spans="1:7">
      <c r="A15332" t="s">
        <v>1297</v>
      </c>
      <c r="B15332" t="s">
        <v>1298</v>
      </c>
      <c r="C15332" t="s">
        <v>651</v>
      </c>
      <c r="D15332" t="s">
        <v>1461</v>
      </c>
      <c r="E15332" t="s">
        <v>187</v>
      </c>
      <c r="F15332">
        <v>2005</v>
      </c>
      <c r="G15332">
        <v>3.6867359999999998</v>
      </c>
    </row>
    <row r="15333" spans="1:7">
      <c r="A15333" t="s">
        <v>1297</v>
      </c>
      <c r="B15333" t="s">
        <v>1298</v>
      </c>
      <c r="C15333" t="s">
        <v>651</v>
      </c>
      <c r="D15333" t="s">
        <v>1461</v>
      </c>
      <c r="E15333" t="s">
        <v>187</v>
      </c>
      <c r="F15333">
        <v>2010</v>
      </c>
      <c r="G15333">
        <v>6.8582689999999999</v>
      </c>
    </row>
    <row r="15334" spans="1:7">
      <c r="A15334" t="s">
        <v>1297</v>
      </c>
      <c r="B15334" t="s">
        <v>1298</v>
      </c>
      <c r="C15334" t="s">
        <v>651</v>
      </c>
      <c r="D15334" t="s">
        <v>1461</v>
      </c>
      <c r="E15334" t="s">
        <v>187</v>
      </c>
      <c r="F15334">
        <v>2012</v>
      </c>
      <c r="G15334">
        <v>7.2492070000000002</v>
      </c>
    </row>
    <row r="15335" spans="1:7">
      <c r="A15335" t="s">
        <v>1297</v>
      </c>
      <c r="B15335" t="s">
        <v>1298</v>
      </c>
      <c r="C15335" t="s">
        <v>651</v>
      </c>
      <c r="D15335" t="s">
        <v>1461</v>
      </c>
      <c r="E15335" t="s">
        <v>187</v>
      </c>
      <c r="F15335">
        <v>2016</v>
      </c>
      <c r="G15335">
        <v>7.6718650000000004</v>
      </c>
    </row>
    <row r="15336" spans="1:7">
      <c r="A15336" t="s">
        <v>1297</v>
      </c>
      <c r="B15336" t="s">
        <v>1298</v>
      </c>
      <c r="C15336" t="s">
        <v>651</v>
      </c>
      <c r="D15336" t="s">
        <v>1461</v>
      </c>
      <c r="E15336" t="s">
        <v>187</v>
      </c>
      <c r="F15336">
        <v>2020</v>
      </c>
      <c r="G15336">
        <v>7.494243</v>
      </c>
    </row>
    <row r="15337" spans="1:7">
      <c r="A15337" t="s">
        <v>1297</v>
      </c>
      <c r="B15337" t="s">
        <v>1298</v>
      </c>
      <c r="C15337" t="s">
        <v>672</v>
      </c>
      <c r="D15337" t="s">
        <v>1461</v>
      </c>
      <c r="E15337" t="s">
        <v>187</v>
      </c>
      <c r="F15337">
        <v>2005</v>
      </c>
      <c r="G15337">
        <v>0.93899999999999995</v>
      </c>
    </row>
    <row r="15338" spans="1:7">
      <c r="A15338" t="s">
        <v>1297</v>
      </c>
      <c r="B15338" t="s">
        <v>1298</v>
      </c>
      <c r="C15338" t="s">
        <v>672</v>
      </c>
      <c r="D15338" t="s">
        <v>1461</v>
      </c>
      <c r="E15338" t="s">
        <v>187</v>
      </c>
      <c r="F15338">
        <v>2010</v>
      </c>
      <c r="G15338">
        <v>2.0129999999999999</v>
      </c>
    </row>
    <row r="15339" spans="1:7">
      <c r="A15339" t="s">
        <v>1297</v>
      </c>
      <c r="B15339" t="s">
        <v>1298</v>
      </c>
      <c r="C15339" t="s">
        <v>672</v>
      </c>
      <c r="D15339" t="s">
        <v>1461</v>
      </c>
      <c r="E15339" t="s">
        <v>187</v>
      </c>
      <c r="F15339">
        <v>2012</v>
      </c>
      <c r="G15339">
        <v>2.82</v>
      </c>
    </row>
    <row r="15340" spans="1:7">
      <c r="A15340" t="s">
        <v>1297</v>
      </c>
      <c r="B15340" t="s">
        <v>1298</v>
      </c>
      <c r="C15340" t="s">
        <v>672</v>
      </c>
      <c r="D15340" t="s">
        <v>1461</v>
      </c>
      <c r="E15340" t="s">
        <v>187</v>
      </c>
      <c r="F15340">
        <v>2016</v>
      </c>
      <c r="G15340">
        <v>3.5150000000000001</v>
      </c>
    </row>
    <row r="15341" spans="1:7">
      <c r="A15341" t="s">
        <v>1297</v>
      </c>
      <c r="B15341" t="s">
        <v>1298</v>
      </c>
      <c r="C15341" t="s">
        <v>672</v>
      </c>
      <c r="D15341" t="s">
        <v>1461</v>
      </c>
      <c r="E15341" t="s">
        <v>187</v>
      </c>
      <c r="F15341">
        <v>2020</v>
      </c>
      <c r="G15341">
        <v>4.0331720000000004</v>
      </c>
    </row>
    <row r="15342" spans="1:7">
      <c r="A15342" t="s">
        <v>1297</v>
      </c>
      <c r="B15342" t="s">
        <v>1298</v>
      </c>
      <c r="C15342" t="s">
        <v>662</v>
      </c>
      <c r="D15342" t="s">
        <v>1461</v>
      </c>
      <c r="E15342" t="s">
        <v>187</v>
      </c>
      <c r="F15342">
        <v>2005</v>
      </c>
      <c r="G15342">
        <v>6.782</v>
      </c>
    </row>
    <row r="15343" spans="1:7">
      <c r="A15343" t="s">
        <v>1297</v>
      </c>
      <c r="B15343" t="s">
        <v>1298</v>
      </c>
      <c r="C15343" t="s">
        <v>662</v>
      </c>
      <c r="D15343" t="s">
        <v>1461</v>
      </c>
      <c r="E15343" t="s">
        <v>187</v>
      </c>
      <c r="F15343">
        <v>2010</v>
      </c>
      <c r="G15343">
        <v>10.108000000000001</v>
      </c>
    </row>
    <row r="15344" spans="1:7">
      <c r="A15344" t="s">
        <v>1297</v>
      </c>
      <c r="B15344" t="s">
        <v>1298</v>
      </c>
      <c r="C15344" t="s">
        <v>662</v>
      </c>
      <c r="D15344" t="s">
        <v>1461</v>
      </c>
      <c r="E15344" t="s">
        <v>187</v>
      </c>
      <c r="F15344">
        <v>2012</v>
      </c>
      <c r="G15344">
        <v>10.194000000000001</v>
      </c>
    </row>
    <row r="15345" spans="1:7">
      <c r="A15345" t="s">
        <v>1297</v>
      </c>
      <c r="B15345" t="s">
        <v>1298</v>
      </c>
      <c r="C15345" t="s">
        <v>662</v>
      </c>
      <c r="D15345" t="s">
        <v>1461</v>
      </c>
      <c r="E15345" t="s">
        <v>187</v>
      </c>
      <c r="F15345">
        <v>2016</v>
      </c>
      <c r="G15345">
        <v>11.071</v>
      </c>
    </row>
    <row r="15346" spans="1:7">
      <c r="A15346" t="s">
        <v>1297</v>
      </c>
      <c r="B15346" t="s">
        <v>1298</v>
      </c>
      <c r="C15346" t="s">
        <v>662</v>
      </c>
      <c r="D15346" t="s">
        <v>1461</v>
      </c>
      <c r="E15346" t="s">
        <v>187</v>
      </c>
      <c r="F15346">
        <v>2020</v>
      </c>
      <c r="G15346">
        <v>11.968</v>
      </c>
    </row>
    <row r="15347" spans="1:7">
      <c r="A15347" t="s">
        <v>1297</v>
      </c>
      <c r="B15347" t="s">
        <v>1298</v>
      </c>
      <c r="C15347" t="s">
        <v>675</v>
      </c>
      <c r="D15347" t="s">
        <v>1461</v>
      </c>
      <c r="E15347" t="s">
        <v>187</v>
      </c>
      <c r="F15347">
        <v>2005</v>
      </c>
      <c r="G15347">
        <v>0.20599999999999999</v>
      </c>
    </row>
    <row r="15348" spans="1:7">
      <c r="A15348" t="s">
        <v>1297</v>
      </c>
      <c r="B15348" t="s">
        <v>1298</v>
      </c>
      <c r="C15348" t="s">
        <v>675</v>
      </c>
      <c r="D15348" t="s">
        <v>1461</v>
      </c>
      <c r="E15348" t="s">
        <v>187</v>
      </c>
      <c r="F15348">
        <v>2010</v>
      </c>
      <c r="G15348">
        <v>0.34399999999999997</v>
      </c>
    </row>
    <row r="15349" spans="1:7">
      <c r="A15349" t="s">
        <v>1297</v>
      </c>
      <c r="B15349" t="s">
        <v>1298</v>
      </c>
      <c r="C15349" t="s">
        <v>675</v>
      </c>
      <c r="D15349" t="s">
        <v>1461</v>
      </c>
      <c r="E15349" t="s">
        <v>187</v>
      </c>
      <c r="F15349">
        <v>2012</v>
      </c>
      <c r="G15349">
        <v>0.41</v>
      </c>
    </row>
    <row r="15350" spans="1:7">
      <c r="A15350" t="s">
        <v>1297</v>
      </c>
      <c r="B15350" t="s">
        <v>1298</v>
      </c>
      <c r="C15350" t="s">
        <v>675</v>
      </c>
      <c r="D15350" t="s">
        <v>1461</v>
      </c>
      <c r="E15350" t="s">
        <v>187</v>
      </c>
      <c r="F15350">
        <v>2016</v>
      </c>
      <c r="G15350">
        <v>0.44</v>
      </c>
    </row>
    <row r="15351" spans="1:7">
      <c r="A15351" t="s">
        <v>1297</v>
      </c>
      <c r="B15351" t="s">
        <v>1298</v>
      </c>
      <c r="C15351" t="s">
        <v>675</v>
      </c>
      <c r="D15351" t="s">
        <v>1461</v>
      </c>
      <c r="E15351" t="s">
        <v>187</v>
      </c>
      <c r="F15351">
        <v>2020</v>
      </c>
      <c r="G15351">
        <v>0.44329800000000003</v>
      </c>
    </row>
    <row r="15352" spans="1:7">
      <c r="A15352" t="s">
        <v>1297</v>
      </c>
      <c r="B15352" t="s">
        <v>1298</v>
      </c>
      <c r="C15352" t="s">
        <v>1301</v>
      </c>
      <c r="D15352" t="s">
        <v>1461</v>
      </c>
      <c r="E15352" t="s">
        <v>187</v>
      </c>
      <c r="F15352">
        <v>2005</v>
      </c>
      <c r="G15352">
        <v>16.111000000000001</v>
      </c>
    </row>
    <row r="15353" spans="1:7">
      <c r="A15353" t="s">
        <v>1297</v>
      </c>
      <c r="B15353" t="s">
        <v>1298</v>
      </c>
      <c r="C15353" t="s">
        <v>1301</v>
      </c>
      <c r="D15353" t="s">
        <v>1461</v>
      </c>
      <c r="E15353" t="s">
        <v>187</v>
      </c>
      <c r="F15353">
        <v>2010</v>
      </c>
      <c r="G15353">
        <v>18.087</v>
      </c>
    </row>
    <row r="15354" spans="1:7">
      <c r="A15354" t="s">
        <v>1297</v>
      </c>
      <c r="B15354" t="s">
        <v>1298</v>
      </c>
      <c r="C15354" t="s">
        <v>1301</v>
      </c>
      <c r="D15354" t="s">
        <v>1461</v>
      </c>
      <c r="E15354" t="s">
        <v>187</v>
      </c>
      <c r="F15354">
        <v>2012</v>
      </c>
      <c r="G15354">
        <v>32.155000000000001</v>
      </c>
    </row>
    <row r="15355" spans="1:7">
      <c r="A15355" t="s">
        <v>1297</v>
      </c>
      <c r="B15355" t="s">
        <v>1298</v>
      </c>
      <c r="C15355" t="s">
        <v>1301</v>
      </c>
      <c r="D15355" t="s">
        <v>1461</v>
      </c>
      <c r="E15355" t="s">
        <v>187</v>
      </c>
      <c r="F15355">
        <v>2016</v>
      </c>
      <c r="G15355">
        <v>34.625</v>
      </c>
    </row>
    <row r="15356" spans="1:7">
      <c r="A15356" t="s">
        <v>1297</v>
      </c>
      <c r="B15356" t="s">
        <v>1298</v>
      </c>
      <c r="C15356" t="s">
        <v>663</v>
      </c>
      <c r="D15356" t="s">
        <v>1461</v>
      </c>
      <c r="E15356" t="s">
        <v>187</v>
      </c>
      <c r="F15356">
        <v>2005</v>
      </c>
      <c r="G15356">
        <v>8.1000000000000003E-2</v>
      </c>
    </row>
    <row r="15357" spans="1:7">
      <c r="A15357" t="s">
        <v>1297</v>
      </c>
      <c r="B15357" t="s">
        <v>1298</v>
      </c>
      <c r="C15357" t="s">
        <v>663</v>
      </c>
      <c r="D15357" t="s">
        <v>1461</v>
      </c>
      <c r="E15357" t="s">
        <v>187</v>
      </c>
      <c r="F15357">
        <v>2010</v>
      </c>
      <c r="G15357">
        <v>0.22500000000000001</v>
      </c>
    </row>
    <row r="15358" spans="1:7">
      <c r="A15358" t="s">
        <v>1297</v>
      </c>
      <c r="B15358" t="s">
        <v>1298</v>
      </c>
      <c r="C15358" t="s">
        <v>663</v>
      </c>
      <c r="D15358" t="s">
        <v>1461</v>
      </c>
      <c r="E15358" t="s">
        <v>187</v>
      </c>
      <c r="F15358">
        <v>2012</v>
      </c>
      <c r="G15358">
        <v>0.35699999999999998</v>
      </c>
    </row>
    <row r="15359" spans="1:7">
      <c r="A15359" t="s">
        <v>1297</v>
      </c>
      <c r="B15359" t="s">
        <v>1298</v>
      </c>
      <c r="C15359" t="s">
        <v>663</v>
      </c>
      <c r="D15359" t="s">
        <v>1461</v>
      </c>
      <c r="E15359" t="s">
        <v>187</v>
      </c>
      <c r="F15359">
        <v>2016</v>
      </c>
      <c r="G15359">
        <v>0.46800000000000003</v>
      </c>
    </row>
    <row r="15360" spans="1:7">
      <c r="A15360" t="s">
        <v>1297</v>
      </c>
      <c r="B15360" t="s">
        <v>1298</v>
      </c>
      <c r="C15360" t="s">
        <v>663</v>
      </c>
      <c r="D15360" t="s">
        <v>1461</v>
      </c>
      <c r="E15360" t="s">
        <v>187</v>
      </c>
      <c r="F15360">
        <v>2020</v>
      </c>
      <c r="G15360">
        <v>0.56000000000000005</v>
      </c>
    </row>
    <row r="15361" spans="1:7">
      <c r="A15361" t="s">
        <v>1297</v>
      </c>
      <c r="B15361" t="s">
        <v>1298</v>
      </c>
      <c r="C15361" t="s">
        <v>656</v>
      </c>
      <c r="D15361" t="s">
        <v>1461</v>
      </c>
      <c r="E15361" t="s">
        <v>187</v>
      </c>
      <c r="F15361">
        <v>2005</v>
      </c>
      <c r="G15361">
        <v>10.9</v>
      </c>
    </row>
    <row r="15362" spans="1:7">
      <c r="A15362" t="s">
        <v>1297</v>
      </c>
      <c r="B15362" t="s">
        <v>1298</v>
      </c>
      <c r="C15362" t="s">
        <v>656</v>
      </c>
      <c r="D15362" t="s">
        <v>1461</v>
      </c>
      <c r="E15362" t="s">
        <v>187</v>
      </c>
      <c r="F15362">
        <v>2010</v>
      </c>
      <c r="G15362">
        <v>20.132000000000001</v>
      </c>
    </row>
    <row r="15363" spans="1:7">
      <c r="A15363" t="s">
        <v>1297</v>
      </c>
      <c r="B15363" t="s">
        <v>1298</v>
      </c>
      <c r="C15363" t="s">
        <v>656</v>
      </c>
      <c r="D15363" t="s">
        <v>1461</v>
      </c>
      <c r="E15363" t="s">
        <v>187</v>
      </c>
      <c r="F15363">
        <v>2012</v>
      </c>
      <c r="G15363">
        <v>23.902000000000001</v>
      </c>
    </row>
    <row r="15364" spans="1:7">
      <c r="A15364" t="s">
        <v>1297</v>
      </c>
      <c r="B15364" t="s">
        <v>1298</v>
      </c>
      <c r="C15364" t="s">
        <v>656</v>
      </c>
      <c r="D15364" t="s">
        <v>1461</v>
      </c>
      <c r="E15364" t="s">
        <v>187</v>
      </c>
      <c r="F15364">
        <v>2016</v>
      </c>
      <c r="G15364">
        <v>27.695</v>
      </c>
    </row>
    <row r="15365" spans="1:7">
      <c r="A15365" t="s">
        <v>1297</v>
      </c>
      <c r="B15365" t="s">
        <v>1298</v>
      </c>
      <c r="C15365" t="s">
        <v>656</v>
      </c>
      <c r="D15365" t="s">
        <v>1461</v>
      </c>
      <c r="E15365" t="s">
        <v>187</v>
      </c>
      <c r="F15365">
        <v>2020</v>
      </c>
      <c r="G15365">
        <v>30.538</v>
      </c>
    </row>
    <row r="15366" spans="1:7">
      <c r="A15366" t="s">
        <v>1297</v>
      </c>
      <c r="B15366" t="s">
        <v>1298</v>
      </c>
      <c r="C15366" t="s">
        <v>676</v>
      </c>
      <c r="D15366" t="s">
        <v>1461</v>
      </c>
      <c r="E15366" t="s">
        <v>187</v>
      </c>
      <c r="F15366">
        <v>2005</v>
      </c>
      <c r="G15366">
        <v>2E-3</v>
      </c>
    </row>
    <row r="15367" spans="1:7">
      <c r="A15367" t="s">
        <v>1297</v>
      </c>
      <c r="B15367" t="s">
        <v>1298</v>
      </c>
      <c r="C15367" t="s">
        <v>676</v>
      </c>
      <c r="D15367" t="s">
        <v>1461</v>
      </c>
      <c r="E15367" t="s">
        <v>187</v>
      </c>
      <c r="F15367">
        <v>2010</v>
      </c>
      <c r="G15367">
        <v>0.17899999999999999</v>
      </c>
    </row>
    <row r="15368" spans="1:7">
      <c r="A15368" t="s">
        <v>1297</v>
      </c>
      <c r="B15368" t="s">
        <v>1298</v>
      </c>
      <c r="C15368" t="s">
        <v>676</v>
      </c>
      <c r="D15368" t="s">
        <v>1461</v>
      </c>
      <c r="E15368" t="s">
        <v>187</v>
      </c>
      <c r="F15368">
        <v>2012</v>
      </c>
      <c r="G15368">
        <v>0.224</v>
      </c>
    </row>
    <row r="15369" spans="1:7">
      <c r="A15369" t="s">
        <v>1297</v>
      </c>
      <c r="B15369" t="s">
        <v>1298</v>
      </c>
      <c r="C15369" t="s">
        <v>676</v>
      </c>
      <c r="D15369" t="s">
        <v>1461</v>
      </c>
      <c r="E15369" t="s">
        <v>187</v>
      </c>
      <c r="F15369">
        <v>2016</v>
      </c>
      <c r="G15369">
        <v>0.23400000000000001</v>
      </c>
    </row>
    <row r="15370" spans="1:7">
      <c r="A15370" t="s">
        <v>1297</v>
      </c>
      <c r="B15370" t="s">
        <v>1298</v>
      </c>
      <c r="C15370" t="s">
        <v>676</v>
      </c>
      <c r="D15370" t="s">
        <v>1461</v>
      </c>
      <c r="E15370" t="s">
        <v>187</v>
      </c>
      <c r="F15370">
        <v>2020</v>
      </c>
      <c r="G15370">
        <v>0.32100000000000001</v>
      </c>
    </row>
    <row r="15371" spans="1:7">
      <c r="A15371" t="s">
        <v>1297</v>
      </c>
      <c r="B15371" t="s">
        <v>1298</v>
      </c>
      <c r="C15371" t="s">
        <v>668</v>
      </c>
      <c r="D15371" t="s">
        <v>1461</v>
      </c>
      <c r="E15371" t="s">
        <v>187</v>
      </c>
      <c r="F15371">
        <v>2020</v>
      </c>
      <c r="G15371">
        <v>5.4720000000000003E-3</v>
      </c>
    </row>
    <row r="15372" spans="1:7">
      <c r="A15372" t="s">
        <v>1297</v>
      </c>
      <c r="B15372" t="s">
        <v>1298</v>
      </c>
      <c r="C15372" t="s">
        <v>669</v>
      </c>
      <c r="D15372" t="s">
        <v>1461</v>
      </c>
      <c r="E15372" t="s">
        <v>187</v>
      </c>
      <c r="F15372">
        <v>2005</v>
      </c>
      <c r="G15372">
        <v>2.1999999999999999E-2</v>
      </c>
    </row>
    <row r="15373" spans="1:7">
      <c r="A15373" t="s">
        <v>1297</v>
      </c>
      <c r="B15373" t="s">
        <v>1298</v>
      </c>
      <c r="C15373" t="s">
        <v>653</v>
      </c>
      <c r="D15373" t="s">
        <v>1461</v>
      </c>
      <c r="E15373" t="s">
        <v>187</v>
      </c>
      <c r="F15373">
        <v>2010</v>
      </c>
      <c r="G15373">
        <v>0.42799999999999999</v>
      </c>
    </row>
    <row r="15374" spans="1:7">
      <c r="A15374" t="s">
        <v>1297</v>
      </c>
      <c r="B15374" t="s">
        <v>1298</v>
      </c>
      <c r="C15374" t="s">
        <v>653</v>
      </c>
      <c r="D15374" t="s">
        <v>1461</v>
      </c>
      <c r="E15374" t="s">
        <v>187</v>
      </c>
      <c r="F15374">
        <v>2012</v>
      </c>
      <c r="G15374">
        <v>0.64500000000000002</v>
      </c>
    </row>
    <row r="15375" spans="1:7">
      <c r="A15375" t="s">
        <v>1297</v>
      </c>
      <c r="B15375" t="s">
        <v>1298</v>
      </c>
      <c r="C15375" t="s">
        <v>653</v>
      </c>
      <c r="D15375" t="s">
        <v>1461</v>
      </c>
      <c r="E15375" t="s">
        <v>187</v>
      </c>
      <c r="F15375">
        <v>2016</v>
      </c>
      <c r="G15375">
        <v>0.93700000000000006</v>
      </c>
    </row>
    <row r="15376" spans="1:7">
      <c r="A15376" t="s">
        <v>1297</v>
      </c>
      <c r="B15376" t="s">
        <v>1298</v>
      </c>
      <c r="C15376" t="s">
        <v>653</v>
      </c>
      <c r="D15376" t="s">
        <v>1461</v>
      </c>
      <c r="E15376" t="s">
        <v>187</v>
      </c>
      <c r="F15376">
        <v>2020</v>
      </c>
      <c r="G15376">
        <v>1.0918680000000001</v>
      </c>
    </row>
    <row r="15377" spans="1:7">
      <c r="A15377" t="s">
        <v>1297</v>
      </c>
      <c r="B15377" t="s">
        <v>1298</v>
      </c>
      <c r="C15377" t="s">
        <v>659</v>
      </c>
      <c r="D15377" t="s">
        <v>1461</v>
      </c>
      <c r="E15377" t="s">
        <v>187</v>
      </c>
      <c r="F15377">
        <v>2005</v>
      </c>
      <c r="G15377">
        <v>2.5707369999999998</v>
      </c>
    </row>
    <row r="15378" spans="1:7">
      <c r="A15378" t="s">
        <v>1297</v>
      </c>
      <c r="B15378" t="s">
        <v>1298</v>
      </c>
      <c r="C15378" t="s">
        <v>659</v>
      </c>
      <c r="D15378" t="s">
        <v>1461</v>
      </c>
      <c r="E15378" t="s">
        <v>187</v>
      </c>
      <c r="F15378">
        <v>2010</v>
      </c>
      <c r="G15378">
        <v>20.195687</v>
      </c>
    </row>
    <row r="15379" spans="1:7">
      <c r="A15379" t="s">
        <v>1297</v>
      </c>
      <c r="B15379" t="s">
        <v>1298</v>
      </c>
      <c r="C15379" t="s">
        <v>659</v>
      </c>
      <c r="D15379" t="s">
        <v>1461</v>
      </c>
      <c r="E15379" t="s">
        <v>187</v>
      </c>
      <c r="F15379">
        <v>2012</v>
      </c>
      <c r="G15379">
        <v>71.327147999999994</v>
      </c>
    </row>
    <row r="15380" spans="1:7">
      <c r="A15380" t="s">
        <v>1297</v>
      </c>
      <c r="B15380" t="s">
        <v>1298</v>
      </c>
      <c r="C15380" t="s">
        <v>659</v>
      </c>
      <c r="D15380" t="s">
        <v>1461</v>
      </c>
      <c r="E15380" t="s">
        <v>187</v>
      </c>
      <c r="F15380">
        <v>2016</v>
      </c>
      <c r="G15380">
        <v>104.013015</v>
      </c>
    </row>
    <row r="15381" spans="1:7">
      <c r="A15381" t="s">
        <v>1297</v>
      </c>
      <c r="B15381" t="s">
        <v>1298</v>
      </c>
      <c r="C15381" t="s">
        <v>659</v>
      </c>
      <c r="D15381" t="s">
        <v>1461</v>
      </c>
      <c r="E15381" t="s">
        <v>187</v>
      </c>
      <c r="F15381">
        <v>2020</v>
      </c>
      <c r="G15381">
        <v>107.70558699999999</v>
      </c>
    </row>
    <row r="15382" spans="1:7">
      <c r="A15382" t="s">
        <v>1297</v>
      </c>
      <c r="B15382" t="s">
        <v>1298</v>
      </c>
      <c r="C15382" t="s">
        <v>684</v>
      </c>
      <c r="D15382" t="s">
        <v>1461</v>
      </c>
      <c r="E15382" t="s">
        <v>187</v>
      </c>
      <c r="F15382">
        <v>2016</v>
      </c>
      <c r="G15382">
        <v>8.0000000000000002E-3</v>
      </c>
    </row>
    <row r="15383" spans="1:7">
      <c r="A15383" t="s">
        <v>1297</v>
      </c>
      <c r="B15383" t="s">
        <v>1298</v>
      </c>
      <c r="C15383" t="s">
        <v>684</v>
      </c>
      <c r="D15383" t="s">
        <v>1461</v>
      </c>
      <c r="E15383" t="s">
        <v>187</v>
      </c>
      <c r="F15383">
        <v>2020</v>
      </c>
      <c r="G15383">
        <v>8.0000000000000002E-3</v>
      </c>
    </row>
    <row r="15384" spans="1:7">
      <c r="A15384" t="s">
        <v>1297</v>
      </c>
      <c r="B15384" t="s">
        <v>1298</v>
      </c>
      <c r="C15384" t="s">
        <v>652</v>
      </c>
      <c r="D15384" t="s">
        <v>1461</v>
      </c>
      <c r="E15384" t="s">
        <v>187</v>
      </c>
      <c r="F15384">
        <v>2005</v>
      </c>
      <c r="G15384">
        <v>0.113</v>
      </c>
    </row>
    <row r="15385" spans="1:7">
      <c r="A15385" t="s">
        <v>1297</v>
      </c>
      <c r="B15385" t="s">
        <v>1298</v>
      </c>
      <c r="C15385" t="s">
        <v>652</v>
      </c>
      <c r="D15385" t="s">
        <v>1461</v>
      </c>
      <c r="E15385" t="s">
        <v>187</v>
      </c>
      <c r="F15385">
        <v>2010</v>
      </c>
      <c r="G15385">
        <v>0.50700000000000001</v>
      </c>
    </row>
    <row r="15386" spans="1:7">
      <c r="A15386" t="s">
        <v>1297</v>
      </c>
      <c r="B15386" t="s">
        <v>1298</v>
      </c>
      <c r="C15386" t="s">
        <v>652</v>
      </c>
      <c r="D15386" t="s">
        <v>1461</v>
      </c>
      <c r="E15386" t="s">
        <v>187</v>
      </c>
      <c r="F15386">
        <v>2012</v>
      </c>
      <c r="G15386">
        <v>0.61699999999999999</v>
      </c>
    </row>
    <row r="15387" spans="1:7">
      <c r="A15387" t="s">
        <v>1297</v>
      </c>
      <c r="B15387" t="s">
        <v>1298</v>
      </c>
      <c r="C15387" t="s">
        <v>652</v>
      </c>
      <c r="D15387" t="s">
        <v>1461</v>
      </c>
      <c r="E15387" t="s">
        <v>187</v>
      </c>
      <c r="F15387">
        <v>2016</v>
      </c>
      <c r="G15387">
        <v>1.0266</v>
      </c>
    </row>
    <row r="15388" spans="1:7">
      <c r="A15388" t="s">
        <v>1297</v>
      </c>
      <c r="B15388" t="s">
        <v>1298</v>
      </c>
      <c r="C15388" t="s">
        <v>652</v>
      </c>
      <c r="D15388" t="s">
        <v>1461</v>
      </c>
      <c r="E15388" t="s">
        <v>187</v>
      </c>
      <c r="F15388">
        <v>2020</v>
      </c>
      <c r="G15388">
        <v>1.1480999999999999</v>
      </c>
    </row>
    <row r="15389" spans="1:7">
      <c r="A15389" t="s">
        <v>1297</v>
      </c>
      <c r="B15389" t="s">
        <v>1298</v>
      </c>
      <c r="C15389" t="s">
        <v>677</v>
      </c>
      <c r="D15389" t="s">
        <v>1461</v>
      </c>
      <c r="E15389" t="s">
        <v>187</v>
      </c>
      <c r="F15389">
        <v>2005</v>
      </c>
      <c r="G15389">
        <v>1.2290000000000001</v>
      </c>
    </row>
    <row r="15390" spans="1:7">
      <c r="A15390" t="s">
        <v>1297</v>
      </c>
      <c r="B15390" t="s">
        <v>1298</v>
      </c>
      <c r="C15390" t="s">
        <v>677</v>
      </c>
      <c r="D15390" t="s">
        <v>1461</v>
      </c>
      <c r="E15390" t="s">
        <v>187</v>
      </c>
      <c r="F15390">
        <v>2010</v>
      </c>
      <c r="G15390">
        <v>1.591</v>
      </c>
    </row>
    <row r="15391" spans="1:7">
      <c r="A15391" t="s">
        <v>1297</v>
      </c>
      <c r="B15391" t="s">
        <v>1298</v>
      </c>
      <c r="C15391" t="s">
        <v>677</v>
      </c>
      <c r="D15391" t="s">
        <v>1461</v>
      </c>
      <c r="E15391" t="s">
        <v>187</v>
      </c>
      <c r="F15391">
        <v>2012</v>
      </c>
      <c r="G15391">
        <v>1.921</v>
      </c>
    </row>
    <row r="15392" spans="1:7">
      <c r="A15392" t="s">
        <v>1297</v>
      </c>
      <c r="B15392" t="s">
        <v>1298</v>
      </c>
      <c r="C15392" t="s">
        <v>677</v>
      </c>
      <c r="D15392" t="s">
        <v>1461</v>
      </c>
      <c r="E15392" t="s">
        <v>187</v>
      </c>
      <c r="F15392">
        <v>2016</v>
      </c>
      <c r="G15392">
        <v>2.145</v>
      </c>
    </row>
    <row r="15393" spans="1:7">
      <c r="A15393" t="s">
        <v>1297</v>
      </c>
      <c r="B15393" t="s">
        <v>1298</v>
      </c>
      <c r="C15393" t="s">
        <v>677</v>
      </c>
      <c r="D15393" t="s">
        <v>1461</v>
      </c>
      <c r="E15393" t="s">
        <v>187</v>
      </c>
      <c r="F15393">
        <v>2020</v>
      </c>
      <c r="G15393">
        <v>2.2320000000000002</v>
      </c>
    </row>
    <row r="15394" spans="1:7">
      <c r="A15394" t="s">
        <v>1297</v>
      </c>
      <c r="B15394" t="s">
        <v>1298</v>
      </c>
      <c r="C15394" t="s">
        <v>665</v>
      </c>
      <c r="D15394" t="s">
        <v>1461</v>
      </c>
      <c r="E15394" t="s">
        <v>187</v>
      </c>
      <c r="F15394">
        <v>2005</v>
      </c>
      <c r="G15394">
        <v>1.1439999999999999</v>
      </c>
    </row>
    <row r="15395" spans="1:7">
      <c r="A15395" t="s">
        <v>1297</v>
      </c>
      <c r="B15395" t="s">
        <v>1298</v>
      </c>
      <c r="C15395" t="s">
        <v>665</v>
      </c>
      <c r="D15395" t="s">
        <v>1461</v>
      </c>
      <c r="E15395" t="s">
        <v>187</v>
      </c>
      <c r="F15395">
        <v>2010</v>
      </c>
      <c r="G15395">
        <v>5.6159999999999997</v>
      </c>
    </row>
    <row r="15396" spans="1:7">
      <c r="A15396" t="s">
        <v>1297</v>
      </c>
      <c r="B15396" t="s">
        <v>1298</v>
      </c>
      <c r="C15396" t="s">
        <v>665</v>
      </c>
      <c r="D15396" t="s">
        <v>1461</v>
      </c>
      <c r="E15396" t="s">
        <v>187</v>
      </c>
      <c r="F15396">
        <v>2012</v>
      </c>
      <c r="G15396">
        <v>6.5039999999999996</v>
      </c>
    </row>
    <row r="15397" spans="1:7">
      <c r="A15397" t="s">
        <v>1297</v>
      </c>
      <c r="B15397" t="s">
        <v>1298</v>
      </c>
      <c r="C15397" t="s">
        <v>665</v>
      </c>
      <c r="D15397" t="s">
        <v>1461</v>
      </c>
      <c r="E15397" t="s">
        <v>187</v>
      </c>
      <c r="F15397">
        <v>2016</v>
      </c>
      <c r="G15397">
        <v>8.3819999999999997</v>
      </c>
    </row>
    <row r="15398" spans="1:7">
      <c r="A15398" t="s">
        <v>1297</v>
      </c>
      <c r="B15398" t="s">
        <v>1298</v>
      </c>
      <c r="C15398" t="s">
        <v>665</v>
      </c>
      <c r="D15398" t="s">
        <v>1461</v>
      </c>
      <c r="E15398" t="s">
        <v>187</v>
      </c>
      <c r="F15398">
        <v>2020</v>
      </c>
      <c r="G15398">
        <v>9.5504289999999994</v>
      </c>
    </row>
    <row r="15399" spans="1:7">
      <c r="A15399" t="s">
        <v>1297</v>
      </c>
      <c r="B15399" t="s">
        <v>1298</v>
      </c>
      <c r="C15399" t="s">
        <v>655</v>
      </c>
      <c r="D15399" t="s">
        <v>1461</v>
      </c>
      <c r="E15399" t="s">
        <v>187</v>
      </c>
      <c r="F15399">
        <v>2005</v>
      </c>
      <c r="G15399">
        <v>0.10299999999999999</v>
      </c>
    </row>
    <row r="15400" spans="1:7">
      <c r="A15400" t="s">
        <v>1297</v>
      </c>
      <c r="B15400" t="s">
        <v>1298</v>
      </c>
      <c r="C15400" t="s">
        <v>655</v>
      </c>
      <c r="D15400" t="s">
        <v>1461</v>
      </c>
      <c r="E15400" t="s">
        <v>187</v>
      </c>
      <c r="F15400">
        <v>2010</v>
      </c>
      <c r="G15400">
        <v>0.36409599999999998</v>
      </c>
    </row>
    <row r="15401" spans="1:7">
      <c r="A15401" t="s">
        <v>1297</v>
      </c>
      <c r="B15401" t="s">
        <v>1298</v>
      </c>
      <c r="C15401" t="s">
        <v>651</v>
      </c>
      <c r="D15401" t="s">
        <v>1462</v>
      </c>
      <c r="E15401" t="s">
        <v>187</v>
      </c>
      <c r="F15401">
        <v>2010</v>
      </c>
      <c r="G15401">
        <v>6.3666E-2</v>
      </c>
    </row>
    <row r="15402" spans="1:7">
      <c r="A15402" t="s">
        <v>1297</v>
      </c>
      <c r="B15402" t="s">
        <v>1298</v>
      </c>
      <c r="C15402" t="s">
        <v>651</v>
      </c>
      <c r="D15402" t="s">
        <v>1462</v>
      </c>
      <c r="E15402" t="s">
        <v>187</v>
      </c>
      <c r="F15402">
        <v>2012</v>
      </c>
      <c r="G15402">
        <v>0.10065200000000001</v>
      </c>
    </row>
    <row r="15403" spans="1:7">
      <c r="A15403" t="s">
        <v>1297</v>
      </c>
      <c r="B15403" t="s">
        <v>1298</v>
      </c>
      <c r="C15403" t="s">
        <v>651</v>
      </c>
      <c r="D15403" t="s">
        <v>1462</v>
      </c>
      <c r="E15403" t="s">
        <v>187</v>
      </c>
      <c r="F15403">
        <v>2016</v>
      </c>
      <c r="G15403">
        <v>0.100274</v>
      </c>
    </row>
    <row r="15404" spans="1:7">
      <c r="A15404" t="s">
        <v>1297</v>
      </c>
      <c r="B15404" t="s">
        <v>1298</v>
      </c>
      <c r="C15404" t="s">
        <v>651</v>
      </c>
      <c r="D15404" t="s">
        <v>1462</v>
      </c>
      <c r="E15404" t="s">
        <v>187</v>
      </c>
      <c r="F15404">
        <v>2020</v>
      </c>
      <c r="G15404">
        <v>0.10125000000000001</v>
      </c>
    </row>
    <row r="15405" spans="1:7">
      <c r="A15405" t="s">
        <v>1297</v>
      </c>
      <c r="B15405" t="s">
        <v>1298</v>
      </c>
      <c r="C15405" t="s">
        <v>656</v>
      </c>
      <c r="D15405" t="s">
        <v>1462</v>
      </c>
      <c r="E15405" t="s">
        <v>187</v>
      </c>
      <c r="F15405">
        <v>2012</v>
      </c>
      <c r="G15405">
        <v>1.0999999999999999E-2</v>
      </c>
    </row>
    <row r="15406" spans="1:7">
      <c r="A15406" t="s">
        <v>1297</v>
      </c>
      <c r="B15406" t="s">
        <v>1298</v>
      </c>
      <c r="C15406" t="s">
        <v>656</v>
      </c>
      <c r="D15406" t="s">
        <v>1462</v>
      </c>
      <c r="E15406" t="s">
        <v>187</v>
      </c>
      <c r="F15406">
        <v>2016</v>
      </c>
      <c r="G15406">
        <v>6.0000000000000001E-3</v>
      </c>
    </row>
    <row r="15407" spans="1:7">
      <c r="A15407" t="s">
        <v>1297</v>
      </c>
      <c r="B15407" t="s">
        <v>1298</v>
      </c>
      <c r="C15407" t="s">
        <v>656</v>
      </c>
      <c r="D15407" t="s">
        <v>1462</v>
      </c>
      <c r="E15407" t="s">
        <v>187</v>
      </c>
      <c r="F15407">
        <v>2020</v>
      </c>
      <c r="G15407">
        <v>1.2999999999999999E-2</v>
      </c>
    </row>
    <row r="15408" spans="1:7">
      <c r="A15408" t="s">
        <v>1297</v>
      </c>
      <c r="B15408" t="s">
        <v>1298</v>
      </c>
      <c r="C15408" t="s">
        <v>676</v>
      </c>
      <c r="D15408" t="s">
        <v>1462</v>
      </c>
      <c r="E15408" t="s">
        <v>187</v>
      </c>
      <c r="F15408">
        <v>2005</v>
      </c>
      <c r="G15408">
        <v>1E-3</v>
      </c>
    </row>
    <row r="15409" spans="1:7">
      <c r="A15409" t="s">
        <v>1297</v>
      </c>
      <c r="B15409" t="s">
        <v>1298</v>
      </c>
      <c r="C15409" t="s">
        <v>676</v>
      </c>
      <c r="D15409" t="s">
        <v>1462</v>
      </c>
      <c r="E15409" t="s">
        <v>187</v>
      </c>
      <c r="F15409">
        <v>2010</v>
      </c>
      <c r="G15409">
        <v>1E-3</v>
      </c>
    </row>
    <row r="15410" spans="1:7">
      <c r="A15410" t="s">
        <v>1297</v>
      </c>
      <c r="B15410" t="s">
        <v>1298</v>
      </c>
      <c r="C15410" t="s">
        <v>676</v>
      </c>
      <c r="D15410" t="s">
        <v>1462</v>
      </c>
      <c r="E15410" t="s">
        <v>187</v>
      </c>
      <c r="F15410">
        <v>2012</v>
      </c>
      <c r="G15410">
        <v>2E-3</v>
      </c>
    </row>
    <row r="15411" spans="1:7">
      <c r="A15411" t="s">
        <v>1297</v>
      </c>
      <c r="B15411" t="s">
        <v>1298</v>
      </c>
      <c r="C15411" t="s">
        <v>676</v>
      </c>
      <c r="D15411" t="s">
        <v>1462</v>
      </c>
      <c r="E15411" t="s">
        <v>187</v>
      </c>
      <c r="F15411">
        <v>2016</v>
      </c>
      <c r="G15411">
        <v>2E-3</v>
      </c>
    </row>
    <row r="15412" spans="1:7">
      <c r="A15412" t="s">
        <v>1297</v>
      </c>
      <c r="B15412" t="s">
        <v>1298</v>
      </c>
      <c r="C15412" t="s">
        <v>676</v>
      </c>
      <c r="D15412" t="s">
        <v>1462</v>
      </c>
      <c r="E15412" t="s">
        <v>187</v>
      </c>
      <c r="F15412">
        <v>2020</v>
      </c>
      <c r="G15412">
        <v>2E-3</v>
      </c>
    </row>
    <row r="15413" spans="1:7">
      <c r="A15413" t="s">
        <v>1297</v>
      </c>
      <c r="B15413" t="s">
        <v>1298</v>
      </c>
      <c r="C15413" t="s">
        <v>667</v>
      </c>
      <c r="D15413" t="s">
        <v>1462</v>
      </c>
      <c r="E15413" t="s">
        <v>187</v>
      </c>
      <c r="F15413">
        <v>2016</v>
      </c>
      <c r="G15413" s="14">
        <v>5.1E-5</v>
      </c>
    </row>
    <row r="15414" spans="1:7">
      <c r="A15414" t="s">
        <v>1297</v>
      </c>
      <c r="B15414" t="s">
        <v>1298</v>
      </c>
      <c r="C15414" t="s">
        <v>667</v>
      </c>
      <c r="D15414" t="s">
        <v>1462</v>
      </c>
      <c r="E15414" t="s">
        <v>187</v>
      </c>
      <c r="F15414">
        <v>2020</v>
      </c>
      <c r="G15414" s="14">
        <v>6.4999999999999994E-5</v>
      </c>
    </row>
    <row r="15415" spans="1:7">
      <c r="A15415" t="s">
        <v>1297</v>
      </c>
      <c r="B15415" t="s">
        <v>1298</v>
      </c>
      <c r="C15415" t="s">
        <v>659</v>
      </c>
      <c r="D15415" t="s">
        <v>1462</v>
      </c>
      <c r="E15415" t="s">
        <v>187</v>
      </c>
      <c r="F15415">
        <v>2010</v>
      </c>
      <c r="G15415">
        <v>12.515000000000001</v>
      </c>
    </row>
    <row r="15416" spans="1:7">
      <c r="A15416" t="s">
        <v>1297</v>
      </c>
      <c r="B15416" t="s">
        <v>1298</v>
      </c>
      <c r="C15416" t="s">
        <v>659</v>
      </c>
      <c r="D15416" t="s">
        <v>1462</v>
      </c>
      <c r="E15416" t="s">
        <v>187</v>
      </c>
      <c r="F15416">
        <v>2012</v>
      </c>
      <c r="G15416">
        <v>62.067</v>
      </c>
    </row>
    <row r="15417" spans="1:7">
      <c r="A15417" t="s">
        <v>1297</v>
      </c>
      <c r="B15417" t="s">
        <v>1298</v>
      </c>
      <c r="C15417" t="s">
        <v>659</v>
      </c>
      <c r="D15417" t="s">
        <v>1462</v>
      </c>
      <c r="E15417" t="s">
        <v>187</v>
      </c>
      <c r="F15417">
        <v>2016</v>
      </c>
      <c r="G15417">
        <v>91.728999999999999</v>
      </c>
    </row>
    <row r="15418" spans="1:7">
      <c r="A15418" t="s">
        <v>1297</v>
      </c>
      <c r="B15418" t="s">
        <v>1298</v>
      </c>
      <c r="C15418" t="s">
        <v>659</v>
      </c>
      <c r="D15418" t="s">
        <v>1462</v>
      </c>
      <c r="E15418" t="s">
        <v>187</v>
      </c>
      <c r="F15418">
        <v>2020</v>
      </c>
      <c r="G15418">
        <v>93.436000000000007</v>
      </c>
    </row>
    <row r="15419" spans="1:7">
      <c r="A15419" t="s">
        <v>1297</v>
      </c>
      <c r="B15419" t="s">
        <v>1298</v>
      </c>
      <c r="C15419" t="s">
        <v>657</v>
      </c>
      <c r="D15419" t="s">
        <v>1462</v>
      </c>
      <c r="E15419" t="s">
        <v>187</v>
      </c>
      <c r="F15419">
        <v>2005</v>
      </c>
      <c r="G15419">
        <v>5.2999999999999999E-2</v>
      </c>
    </row>
    <row r="15420" spans="1:7">
      <c r="A15420" t="s">
        <v>1297</v>
      </c>
      <c r="B15420" t="s">
        <v>1298</v>
      </c>
      <c r="C15420" t="s">
        <v>657</v>
      </c>
      <c r="D15420" t="s">
        <v>1462</v>
      </c>
      <c r="E15420" t="s">
        <v>187</v>
      </c>
      <c r="F15420">
        <v>2010</v>
      </c>
      <c r="G15420">
        <v>0.14327100000000001</v>
      </c>
    </row>
    <row r="15421" spans="1:7">
      <c r="A15421" t="s">
        <v>1297</v>
      </c>
      <c r="B15421" t="s">
        <v>1298</v>
      </c>
      <c r="C15421" t="s">
        <v>657</v>
      </c>
      <c r="D15421" t="s">
        <v>1462</v>
      </c>
      <c r="E15421" t="s">
        <v>187</v>
      </c>
      <c r="F15421">
        <v>2012</v>
      </c>
      <c r="G15421">
        <v>0.34546700000000002</v>
      </c>
    </row>
    <row r="15422" spans="1:7">
      <c r="A15422" t="s">
        <v>1297</v>
      </c>
      <c r="B15422" t="s">
        <v>1298</v>
      </c>
      <c r="C15422" t="s">
        <v>657</v>
      </c>
      <c r="D15422" t="s">
        <v>1462</v>
      </c>
      <c r="E15422" t="s">
        <v>187</v>
      </c>
      <c r="F15422">
        <v>2016</v>
      </c>
      <c r="G15422">
        <v>1.3919870000000001</v>
      </c>
    </row>
    <row r="15423" spans="1:7">
      <c r="A15423" t="s">
        <v>1297</v>
      </c>
      <c r="B15423" t="s">
        <v>1298</v>
      </c>
      <c r="C15423" t="s">
        <v>657</v>
      </c>
      <c r="D15423" t="s">
        <v>1462</v>
      </c>
      <c r="E15423" t="s">
        <v>187</v>
      </c>
      <c r="F15423">
        <v>2020</v>
      </c>
      <c r="G15423">
        <v>2.2704260000000001</v>
      </c>
    </row>
    <row r="15424" spans="1:7">
      <c r="A15424" t="s">
        <v>1297</v>
      </c>
      <c r="B15424" t="s">
        <v>1298</v>
      </c>
      <c r="C15424" t="s">
        <v>663</v>
      </c>
      <c r="D15424" t="s">
        <v>1462</v>
      </c>
      <c r="E15424" t="s">
        <v>187</v>
      </c>
      <c r="F15424">
        <v>2005</v>
      </c>
      <c r="G15424">
        <v>1E-3</v>
      </c>
    </row>
    <row r="15425" spans="1:7">
      <c r="A15425" t="s">
        <v>1297</v>
      </c>
      <c r="B15425" t="s">
        <v>1298</v>
      </c>
      <c r="C15425" t="s">
        <v>663</v>
      </c>
      <c r="D15425" t="s">
        <v>1462</v>
      </c>
      <c r="E15425" t="s">
        <v>187</v>
      </c>
      <c r="F15425">
        <v>2010</v>
      </c>
      <c r="G15425">
        <v>5.0000000000000001E-3</v>
      </c>
    </row>
    <row r="15426" spans="1:7">
      <c r="A15426" t="s">
        <v>1297</v>
      </c>
      <c r="B15426" t="s">
        <v>1298</v>
      </c>
      <c r="C15426" t="s">
        <v>663</v>
      </c>
      <c r="D15426" t="s">
        <v>1462</v>
      </c>
      <c r="E15426" t="s">
        <v>187</v>
      </c>
      <c r="F15426">
        <v>2012</v>
      </c>
      <c r="G15426">
        <v>5.0000000000000001E-3</v>
      </c>
    </row>
    <row r="15427" spans="1:7">
      <c r="A15427" t="s">
        <v>1297</v>
      </c>
      <c r="B15427" t="s">
        <v>1298</v>
      </c>
      <c r="C15427" t="s">
        <v>665</v>
      </c>
      <c r="D15427" t="s">
        <v>1462</v>
      </c>
      <c r="E15427" t="s">
        <v>187</v>
      </c>
      <c r="F15427">
        <v>2012</v>
      </c>
      <c r="G15427">
        <v>1E-3</v>
      </c>
    </row>
    <row r="15428" spans="1:7">
      <c r="A15428" t="s">
        <v>1297</v>
      </c>
      <c r="B15428" t="s">
        <v>1298</v>
      </c>
      <c r="C15428" t="s">
        <v>665</v>
      </c>
      <c r="D15428" t="s">
        <v>1462</v>
      </c>
      <c r="E15428" t="s">
        <v>187</v>
      </c>
      <c r="F15428">
        <v>2016</v>
      </c>
      <c r="G15428">
        <v>4.0000000000000001E-3</v>
      </c>
    </row>
    <row r="15429" spans="1:7">
      <c r="A15429" t="s">
        <v>1297</v>
      </c>
      <c r="B15429" t="s">
        <v>1298</v>
      </c>
      <c r="C15429" t="s">
        <v>665</v>
      </c>
      <c r="D15429" t="s">
        <v>1462</v>
      </c>
      <c r="E15429" t="s">
        <v>187</v>
      </c>
      <c r="F15429">
        <v>2020</v>
      </c>
      <c r="G15429">
        <v>6.7650000000000002E-3</v>
      </c>
    </row>
    <row r="15430" spans="1:7">
      <c r="A15430" t="s">
        <v>1297</v>
      </c>
      <c r="B15430" t="s">
        <v>1298</v>
      </c>
      <c r="C15430" t="s">
        <v>668</v>
      </c>
      <c r="D15430" t="s">
        <v>1462</v>
      </c>
      <c r="E15430" t="s">
        <v>187</v>
      </c>
      <c r="F15430">
        <v>2020</v>
      </c>
      <c r="G15430">
        <v>2.7360000000000002E-3</v>
      </c>
    </row>
    <row r="15431" spans="1:7">
      <c r="A15431" t="s">
        <v>1297</v>
      </c>
      <c r="B15431" t="s">
        <v>1298</v>
      </c>
      <c r="C15431" t="s">
        <v>656</v>
      </c>
      <c r="D15431" t="s">
        <v>1463</v>
      </c>
      <c r="E15431" t="s">
        <v>187</v>
      </c>
      <c r="F15431">
        <v>2005</v>
      </c>
      <c r="G15431">
        <v>4.6151999999999997</v>
      </c>
    </row>
    <row r="15432" spans="1:7">
      <c r="A15432" t="s">
        <v>1297</v>
      </c>
      <c r="B15432" t="s">
        <v>1298</v>
      </c>
      <c r="C15432" t="s">
        <v>656</v>
      </c>
      <c r="D15432" t="s">
        <v>1463</v>
      </c>
      <c r="E15432" t="s">
        <v>187</v>
      </c>
      <c r="F15432">
        <v>2010</v>
      </c>
      <c r="G15432">
        <v>42.224400000000003</v>
      </c>
    </row>
    <row r="15433" spans="1:7">
      <c r="A15433" t="s">
        <v>1297</v>
      </c>
      <c r="B15433" t="s">
        <v>1298</v>
      </c>
      <c r="C15433" t="s">
        <v>656</v>
      </c>
      <c r="D15433" t="s">
        <v>1463</v>
      </c>
      <c r="E15433" t="s">
        <v>187</v>
      </c>
      <c r="F15433">
        <v>2012</v>
      </c>
      <c r="G15433">
        <v>94.968000000000004</v>
      </c>
    </row>
    <row r="15434" spans="1:7">
      <c r="A15434" t="s">
        <v>1297</v>
      </c>
      <c r="B15434" t="s">
        <v>1298</v>
      </c>
      <c r="C15434" t="s">
        <v>656</v>
      </c>
      <c r="D15434" t="s">
        <v>1463</v>
      </c>
      <c r="E15434" t="s">
        <v>187</v>
      </c>
      <c r="F15434">
        <v>2016</v>
      </c>
      <c r="G15434">
        <v>137.15280000000001</v>
      </c>
    </row>
    <row r="15435" spans="1:7">
      <c r="A15435" t="s">
        <v>1297</v>
      </c>
      <c r="B15435" t="s">
        <v>1298</v>
      </c>
      <c r="C15435" t="s">
        <v>656</v>
      </c>
      <c r="D15435" t="s">
        <v>1463</v>
      </c>
      <c r="E15435" t="s">
        <v>187</v>
      </c>
      <c r="F15435">
        <v>2020</v>
      </c>
      <c r="G15435">
        <v>167.0112</v>
      </c>
    </row>
    <row r="15436" spans="1:7">
      <c r="A15436" t="s">
        <v>1297</v>
      </c>
      <c r="B15436" t="s">
        <v>1298</v>
      </c>
      <c r="C15436" t="s">
        <v>672</v>
      </c>
      <c r="D15436" t="s">
        <v>1463</v>
      </c>
      <c r="E15436" t="s">
        <v>187</v>
      </c>
      <c r="F15436">
        <v>2005</v>
      </c>
      <c r="G15436">
        <v>1.0800000000000001E-2</v>
      </c>
    </row>
    <row r="15437" spans="1:7">
      <c r="A15437" t="s">
        <v>1297</v>
      </c>
      <c r="B15437" t="s">
        <v>1298</v>
      </c>
      <c r="C15437" t="s">
        <v>672</v>
      </c>
      <c r="D15437" t="s">
        <v>1463</v>
      </c>
      <c r="E15437" t="s">
        <v>187</v>
      </c>
      <c r="F15437">
        <v>2010</v>
      </c>
      <c r="G15437">
        <v>0.76078800000000002</v>
      </c>
    </row>
    <row r="15438" spans="1:7">
      <c r="A15438" t="s">
        <v>1297</v>
      </c>
      <c r="B15438" t="s">
        <v>1298</v>
      </c>
      <c r="C15438" t="s">
        <v>672</v>
      </c>
      <c r="D15438" t="s">
        <v>1463</v>
      </c>
      <c r="E15438" t="s">
        <v>187</v>
      </c>
      <c r="F15438">
        <v>2012</v>
      </c>
      <c r="G15438">
        <v>1.4135219999999999</v>
      </c>
    </row>
    <row r="15439" spans="1:7">
      <c r="A15439" t="s">
        <v>1297</v>
      </c>
      <c r="B15439" t="s">
        <v>1298</v>
      </c>
      <c r="C15439" t="s">
        <v>672</v>
      </c>
      <c r="D15439" t="s">
        <v>1463</v>
      </c>
      <c r="E15439" t="s">
        <v>187</v>
      </c>
      <c r="F15439">
        <v>2016</v>
      </c>
      <c r="G15439">
        <v>3.1341709999999998</v>
      </c>
    </row>
    <row r="15440" spans="1:7">
      <c r="A15440" t="s">
        <v>1297</v>
      </c>
      <c r="B15440" t="s">
        <v>1298</v>
      </c>
      <c r="C15440" t="s">
        <v>672</v>
      </c>
      <c r="D15440" t="s">
        <v>1463</v>
      </c>
      <c r="E15440" t="s">
        <v>187</v>
      </c>
      <c r="F15440">
        <v>2020</v>
      </c>
      <c r="G15440">
        <v>4.8321069999999997</v>
      </c>
    </row>
    <row r="15441" spans="1:7">
      <c r="A15441" t="s">
        <v>1297</v>
      </c>
      <c r="B15441" t="s">
        <v>1298</v>
      </c>
      <c r="C15441" t="s">
        <v>686</v>
      </c>
      <c r="D15441" t="s">
        <v>1463</v>
      </c>
      <c r="E15441" t="s">
        <v>187</v>
      </c>
      <c r="F15441">
        <v>2016</v>
      </c>
      <c r="G15441">
        <v>4.3200000000000002E-2</v>
      </c>
    </row>
    <row r="15442" spans="1:7">
      <c r="A15442" t="s">
        <v>1297</v>
      </c>
      <c r="B15442" t="s">
        <v>1298</v>
      </c>
      <c r="C15442" t="s">
        <v>686</v>
      </c>
      <c r="D15442" t="s">
        <v>1463</v>
      </c>
      <c r="E15442" t="s">
        <v>187</v>
      </c>
      <c r="F15442">
        <v>2020</v>
      </c>
      <c r="G15442">
        <v>4.8765999999999997E-2</v>
      </c>
    </row>
    <row r="15443" spans="1:7">
      <c r="A15443" t="s">
        <v>1297</v>
      </c>
      <c r="B15443" t="s">
        <v>1298</v>
      </c>
      <c r="C15443" t="s">
        <v>670</v>
      </c>
      <c r="D15443" t="s">
        <v>1463</v>
      </c>
      <c r="E15443" t="s">
        <v>187</v>
      </c>
      <c r="F15443">
        <v>2005</v>
      </c>
      <c r="G15443">
        <v>0.12753400000000001</v>
      </c>
    </row>
    <row r="15444" spans="1:7">
      <c r="A15444" t="s">
        <v>1297</v>
      </c>
      <c r="B15444" t="s">
        <v>1298</v>
      </c>
      <c r="C15444" t="s">
        <v>670</v>
      </c>
      <c r="D15444" t="s">
        <v>1463</v>
      </c>
      <c r="E15444" t="s">
        <v>187</v>
      </c>
      <c r="F15444">
        <v>2010</v>
      </c>
      <c r="G15444">
        <v>0.20113900000000001</v>
      </c>
    </row>
    <row r="15445" spans="1:7">
      <c r="A15445" t="s">
        <v>1297</v>
      </c>
      <c r="B15445" t="s">
        <v>1298</v>
      </c>
      <c r="C15445" t="s">
        <v>670</v>
      </c>
      <c r="D15445" t="s">
        <v>1463</v>
      </c>
      <c r="E15445" t="s">
        <v>187</v>
      </c>
      <c r="F15445">
        <v>2012</v>
      </c>
      <c r="G15445">
        <v>0.68631799999999998</v>
      </c>
    </row>
    <row r="15446" spans="1:7">
      <c r="A15446" t="s">
        <v>1297</v>
      </c>
      <c r="B15446" t="s">
        <v>1298</v>
      </c>
      <c r="C15446" t="s">
        <v>670</v>
      </c>
      <c r="D15446" t="s">
        <v>1463</v>
      </c>
      <c r="E15446" t="s">
        <v>187</v>
      </c>
      <c r="F15446">
        <v>2016</v>
      </c>
      <c r="G15446">
        <v>5.7665199999999999</v>
      </c>
    </row>
    <row r="15447" spans="1:7">
      <c r="A15447" t="s">
        <v>1297</v>
      </c>
      <c r="B15447" t="s">
        <v>1298</v>
      </c>
      <c r="C15447" t="s">
        <v>670</v>
      </c>
      <c r="D15447" t="s">
        <v>1463</v>
      </c>
      <c r="E15447" t="s">
        <v>187</v>
      </c>
      <c r="F15447">
        <v>2020</v>
      </c>
      <c r="G15447">
        <v>19.207637999999999</v>
      </c>
    </row>
    <row r="15448" spans="1:7">
      <c r="A15448" t="s">
        <v>1297</v>
      </c>
      <c r="B15448" t="s">
        <v>1298</v>
      </c>
      <c r="C15448" t="s">
        <v>679</v>
      </c>
      <c r="D15448" t="s">
        <v>1463</v>
      </c>
      <c r="E15448" t="s">
        <v>187</v>
      </c>
      <c r="F15448">
        <v>2020</v>
      </c>
      <c r="G15448">
        <v>4.6231000000000001E-2</v>
      </c>
    </row>
    <row r="15449" spans="1:7">
      <c r="A15449" t="s">
        <v>1297</v>
      </c>
      <c r="B15449" t="s">
        <v>1298</v>
      </c>
      <c r="C15449" t="s">
        <v>1299</v>
      </c>
      <c r="D15449" t="s">
        <v>1463</v>
      </c>
      <c r="E15449" t="s">
        <v>187</v>
      </c>
      <c r="F15449">
        <v>2012</v>
      </c>
      <c r="G15449">
        <v>1.1998800000000001</v>
      </c>
    </row>
    <row r="15450" spans="1:7">
      <c r="A15450" t="s">
        <v>1297</v>
      </c>
      <c r="B15450" t="s">
        <v>1298</v>
      </c>
      <c r="C15450" t="s">
        <v>1299</v>
      </c>
      <c r="D15450" t="s">
        <v>1463</v>
      </c>
      <c r="E15450" t="s">
        <v>187</v>
      </c>
      <c r="F15450">
        <v>2016</v>
      </c>
      <c r="G15450">
        <v>1.76688</v>
      </c>
    </row>
    <row r="15451" spans="1:7">
      <c r="A15451" t="s">
        <v>1297</v>
      </c>
      <c r="B15451" t="s">
        <v>1298</v>
      </c>
      <c r="C15451" t="s">
        <v>1299</v>
      </c>
      <c r="D15451" t="s">
        <v>1463</v>
      </c>
      <c r="E15451" t="s">
        <v>187</v>
      </c>
      <c r="F15451">
        <v>2020</v>
      </c>
      <c r="G15451">
        <v>10.55808</v>
      </c>
    </row>
    <row r="15452" spans="1:7">
      <c r="A15452" t="s">
        <v>1297</v>
      </c>
      <c r="B15452" t="s">
        <v>1298</v>
      </c>
      <c r="C15452" t="s">
        <v>669</v>
      </c>
      <c r="D15452" t="s">
        <v>1463</v>
      </c>
      <c r="E15452" t="s">
        <v>187</v>
      </c>
      <c r="F15452">
        <v>2010</v>
      </c>
      <c r="G15452">
        <v>2.4480000000000001E-3</v>
      </c>
    </row>
    <row r="15453" spans="1:7">
      <c r="A15453" t="s">
        <v>1297</v>
      </c>
      <c r="B15453" t="s">
        <v>1298</v>
      </c>
      <c r="C15453" t="s">
        <v>665</v>
      </c>
      <c r="D15453" t="s">
        <v>1463</v>
      </c>
      <c r="E15453" t="s">
        <v>187</v>
      </c>
      <c r="F15453">
        <v>2005</v>
      </c>
      <c r="G15453">
        <v>0.1116</v>
      </c>
    </row>
    <row r="15454" spans="1:7">
      <c r="A15454" t="s">
        <v>1297</v>
      </c>
      <c r="B15454" t="s">
        <v>1298</v>
      </c>
      <c r="C15454" t="s">
        <v>665</v>
      </c>
      <c r="D15454" t="s">
        <v>1463</v>
      </c>
      <c r="E15454" t="s">
        <v>187</v>
      </c>
      <c r="F15454">
        <v>2010</v>
      </c>
      <c r="G15454">
        <v>6.8603800000000001</v>
      </c>
    </row>
    <row r="15455" spans="1:7">
      <c r="A15455" t="s">
        <v>1297</v>
      </c>
      <c r="B15455" t="s">
        <v>1298</v>
      </c>
      <c r="C15455" t="s">
        <v>665</v>
      </c>
      <c r="D15455" t="s">
        <v>1463</v>
      </c>
      <c r="E15455" t="s">
        <v>187</v>
      </c>
      <c r="F15455">
        <v>2012</v>
      </c>
      <c r="G15455">
        <v>67.902235000000005</v>
      </c>
    </row>
    <row r="15456" spans="1:7">
      <c r="A15456" t="s">
        <v>1297</v>
      </c>
      <c r="B15456" t="s">
        <v>1298</v>
      </c>
      <c r="C15456" t="s">
        <v>665</v>
      </c>
      <c r="D15456" t="s">
        <v>1463</v>
      </c>
      <c r="E15456" t="s">
        <v>187</v>
      </c>
      <c r="F15456">
        <v>2016</v>
      </c>
      <c r="G15456">
        <v>79.575332000000003</v>
      </c>
    </row>
    <row r="15457" spans="1:7">
      <c r="A15457" t="s">
        <v>1297</v>
      </c>
      <c r="B15457" t="s">
        <v>1298</v>
      </c>
      <c r="C15457" t="s">
        <v>665</v>
      </c>
      <c r="D15457" t="s">
        <v>1463</v>
      </c>
      <c r="E15457" t="s">
        <v>187</v>
      </c>
      <c r="F15457">
        <v>2020</v>
      </c>
      <c r="G15457">
        <v>85.28004</v>
      </c>
    </row>
    <row r="15458" spans="1:7">
      <c r="A15458" t="s">
        <v>1297</v>
      </c>
      <c r="B15458" t="s">
        <v>1298</v>
      </c>
      <c r="C15458" t="s">
        <v>659</v>
      </c>
      <c r="D15458" t="s">
        <v>1463</v>
      </c>
      <c r="E15458" t="s">
        <v>187</v>
      </c>
      <c r="F15458">
        <v>2005</v>
      </c>
      <c r="G15458">
        <v>0.17272399999999999</v>
      </c>
    </row>
    <row r="15459" spans="1:7">
      <c r="A15459" t="s">
        <v>1297</v>
      </c>
      <c r="B15459" t="s">
        <v>1298</v>
      </c>
      <c r="C15459" t="s">
        <v>659</v>
      </c>
      <c r="D15459" t="s">
        <v>1463</v>
      </c>
      <c r="E15459" t="s">
        <v>187</v>
      </c>
      <c r="F15459">
        <v>2010</v>
      </c>
      <c r="G15459">
        <v>23.13</v>
      </c>
    </row>
    <row r="15460" spans="1:7">
      <c r="A15460" t="s">
        <v>1297</v>
      </c>
      <c r="B15460" t="s">
        <v>1298</v>
      </c>
      <c r="C15460" t="s">
        <v>659</v>
      </c>
      <c r="D15460" t="s">
        <v>1463</v>
      </c>
      <c r="E15460" t="s">
        <v>187</v>
      </c>
      <c r="F15460">
        <v>2012</v>
      </c>
      <c r="G15460">
        <v>29.493292</v>
      </c>
    </row>
    <row r="15461" spans="1:7">
      <c r="A15461" t="s">
        <v>1297</v>
      </c>
      <c r="B15461" t="s">
        <v>1298</v>
      </c>
      <c r="C15461" t="s">
        <v>659</v>
      </c>
      <c r="D15461" t="s">
        <v>1463</v>
      </c>
      <c r="E15461" t="s">
        <v>187</v>
      </c>
      <c r="F15461">
        <v>2016</v>
      </c>
      <c r="G15461">
        <v>29.028708000000002</v>
      </c>
    </row>
    <row r="15462" spans="1:7">
      <c r="A15462" t="s">
        <v>1297</v>
      </c>
      <c r="B15462" t="s">
        <v>1298</v>
      </c>
      <c r="C15462" t="s">
        <v>659</v>
      </c>
      <c r="D15462" t="s">
        <v>1463</v>
      </c>
      <c r="E15462" t="s">
        <v>187</v>
      </c>
      <c r="F15462">
        <v>2020</v>
      </c>
      <c r="G15462">
        <v>33.911999999999999</v>
      </c>
    </row>
    <row r="15463" spans="1:7">
      <c r="A15463" t="s">
        <v>1297</v>
      </c>
      <c r="B15463" t="s">
        <v>1298</v>
      </c>
      <c r="C15463" t="s">
        <v>1300</v>
      </c>
      <c r="D15463" t="s">
        <v>1463</v>
      </c>
      <c r="E15463" t="s">
        <v>187</v>
      </c>
      <c r="F15463">
        <v>2016</v>
      </c>
      <c r="G15463">
        <v>6.8799999999999998E-3</v>
      </c>
    </row>
    <row r="15464" spans="1:7">
      <c r="A15464" t="s">
        <v>1297</v>
      </c>
      <c r="B15464" t="s">
        <v>1298</v>
      </c>
      <c r="C15464" t="s">
        <v>1300</v>
      </c>
      <c r="D15464" t="s">
        <v>1463</v>
      </c>
      <c r="E15464" t="s">
        <v>187</v>
      </c>
      <c r="F15464">
        <v>2020</v>
      </c>
      <c r="G15464">
        <v>1.0800000000000001E-2</v>
      </c>
    </row>
    <row r="15465" spans="1:7">
      <c r="A15465" t="s">
        <v>1297</v>
      </c>
      <c r="B15465" t="s">
        <v>1298</v>
      </c>
      <c r="C15465" t="s">
        <v>668</v>
      </c>
      <c r="D15465" t="s">
        <v>1463</v>
      </c>
      <c r="E15465" t="s">
        <v>187</v>
      </c>
      <c r="F15465">
        <v>2012</v>
      </c>
      <c r="G15465" s="14">
        <v>3.6000000000000001E-5</v>
      </c>
    </row>
    <row r="15466" spans="1:7">
      <c r="A15466" t="s">
        <v>1297</v>
      </c>
      <c r="B15466" t="s">
        <v>1298</v>
      </c>
      <c r="C15466" t="s">
        <v>668</v>
      </c>
      <c r="D15466" t="s">
        <v>1463</v>
      </c>
      <c r="E15466" t="s">
        <v>187</v>
      </c>
      <c r="F15466">
        <v>2016</v>
      </c>
      <c r="G15466">
        <v>1.3749999999999999E-3</v>
      </c>
    </row>
    <row r="15467" spans="1:7">
      <c r="A15467" t="s">
        <v>1297</v>
      </c>
      <c r="B15467" t="s">
        <v>1298</v>
      </c>
      <c r="C15467" t="s">
        <v>668</v>
      </c>
      <c r="D15467" t="s">
        <v>1463</v>
      </c>
      <c r="E15467" t="s">
        <v>187</v>
      </c>
      <c r="F15467">
        <v>2020</v>
      </c>
      <c r="G15467">
        <v>1.1292999999999999E-2</v>
      </c>
    </row>
    <row r="15468" spans="1:7">
      <c r="A15468" t="s">
        <v>1297</v>
      </c>
      <c r="B15468" t="s">
        <v>1298</v>
      </c>
      <c r="C15468" t="s">
        <v>674</v>
      </c>
      <c r="D15468" t="s">
        <v>1463</v>
      </c>
      <c r="E15468" t="s">
        <v>187</v>
      </c>
      <c r="F15468">
        <v>2005</v>
      </c>
      <c r="G15468">
        <v>7.6569999999999997E-3</v>
      </c>
    </row>
    <row r="15469" spans="1:7">
      <c r="A15469" t="s">
        <v>1297</v>
      </c>
      <c r="B15469" t="s">
        <v>1298</v>
      </c>
      <c r="C15469" t="s">
        <v>674</v>
      </c>
      <c r="D15469" t="s">
        <v>1463</v>
      </c>
      <c r="E15469" t="s">
        <v>187</v>
      </c>
      <c r="F15469">
        <v>2010</v>
      </c>
      <c r="G15469">
        <v>3.0960000000000001E-2</v>
      </c>
    </row>
    <row r="15470" spans="1:7">
      <c r="A15470" t="s">
        <v>1297</v>
      </c>
      <c r="B15470" t="s">
        <v>1298</v>
      </c>
      <c r="C15470" t="s">
        <v>674</v>
      </c>
      <c r="D15470" t="s">
        <v>1463</v>
      </c>
      <c r="E15470" t="s">
        <v>187</v>
      </c>
      <c r="F15470">
        <v>2012</v>
      </c>
      <c r="G15470">
        <v>6.8400000000000002E-2</v>
      </c>
    </row>
    <row r="15471" spans="1:7">
      <c r="A15471" t="s">
        <v>1297</v>
      </c>
      <c r="B15471" t="s">
        <v>1298</v>
      </c>
      <c r="C15471" t="s">
        <v>674</v>
      </c>
      <c r="D15471" t="s">
        <v>1463</v>
      </c>
      <c r="E15471" t="s">
        <v>187</v>
      </c>
      <c r="F15471">
        <v>2016</v>
      </c>
      <c r="G15471">
        <v>0.51480000000000004</v>
      </c>
    </row>
    <row r="15472" spans="1:7">
      <c r="A15472" t="s">
        <v>1297</v>
      </c>
      <c r="B15472" t="s">
        <v>1298</v>
      </c>
      <c r="C15472" t="s">
        <v>674</v>
      </c>
      <c r="D15472" t="s">
        <v>1463</v>
      </c>
      <c r="E15472" t="s">
        <v>187</v>
      </c>
      <c r="F15472">
        <v>2020</v>
      </c>
      <c r="G15472">
        <v>2.4443999999999999</v>
      </c>
    </row>
    <row r="15473" spans="1:7">
      <c r="A15473" t="s">
        <v>1297</v>
      </c>
      <c r="B15473" t="s">
        <v>1298</v>
      </c>
      <c r="C15473" t="s">
        <v>289</v>
      </c>
      <c r="D15473" t="s">
        <v>1463</v>
      </c>
      <c r="E15473" t="s">
        <v>187</v>
      </c>
      <c r="F15473">
        <v>2010</v>
      </c>
      <c r="G15473">
        <v>4.3199999999999998E-4</v>
      </c>
    </row>
    <row r="15474" spans="1:7">
      <c r="A15474" t="s">
        <v>1297</v>
      </c>
      <c r="B15474" t="s">
        <v>1298</v>
      </c>
      <c r="C15474" t="s">
        <v>289</v>
      </c>
      <c r="D15474" t="s">
        <v>1463</v>
      </c>
      <c r="E15474" t="s">
        <v>187</v>
      </c>
      <c r="F15474">
        <v>2012</v>
      </c>
      <c r="G15474">
        <v>8.6540000000000002E-3</v>
      </c>
    </row>
    <row r="15475" spans="1:7">
      <c r="A15475" t="s">
        <v>1297</v>
      </c>
      <c r="B15475" t="s">
        <v>1298</v>
      </c>
      <c r="C15475" t="s">
        <v>289</v>
      </c>
      <c r="D15475" t="s">
        <v>1463</v>
      </c>
      <c r="E15475" t="s">
        <v>187</v>
      </c>
      <c r="F15475">
        <v>2016</v>
      </c>
      <c r="G15475">
        <v>0.23594799999999999</v>
      </c>
    </row>
    <row r="15476" spans="1:7">
      <c r="A15476" t="s">
        <v>1297</v>
      </c>
      <c r="B15476" t="s">
        <v>1298</v>
      </c>
      <c r="C15476" t="s">
        <v>289</v>
      </c>
      <c r="D15476" t="s">
        <v>1463</v>
      </c>
      <c r="E15476" t="s">
        <v>187</v>
      </c>
      <c r="F15476">
        <v>2020</v>
      </c>
      <c r="G15476">
        <v>0.29915999999999998</v>
      </c>
    </row>
    <row r="15477" spans="1:7">
      <c r="A15477" t="s">
        <v>1297</v>
      </c>
      <c r="B15477" t="s">
        <v>1298</v>
      </c>
      <c r="C15477" t="s">
        <v>661</v>
      </c>
      <c r="D15477" t="s">
        <v>1463</v>
      </c>
      <c r="E15477" t="s">
        <v>187</v>
      </c>
      <c r="F15477">
        <v>2005</v>
      </c>
      <c r="G15477">
        <v>3.7803999999999997E-2</v>
      </c>
    </row>
    <row r="15478" spans="1:7">
      <c r="A15478" t="s">
        <v>1297</v>
      </c>
      <c r="B15478" t="s">
        <v>1298</v>
      </c>
      <c r="C15478" t="s">
        <v>661</v>
      </c>
      <c r="D15478" t="s">
        <v>1463</v>
      </c>
      <c r="E15478" t="s">
        <v>187</v>
      </c>
      <c r="F15478">
        <v>2010</v>
      </c>
      <c r="G15478">
        <v>2.2320000000000002</v>
      </c>
    </row>
    <row r="15479" spans="1:7">
      <c r="A15479" t="s">
        <v>1297</v>
      </c>
      <c r="B15479" t="s">
        <v>1298</v>
      </c>
      <c r="C15479" t="s">
        <v>661</v>
      </c>
      <c r="D15479" t="s">
        <v>1463</v>
      </c>
      <c r="E15479" t="s">
        <v>187</v>
      </c>
      <c r="F15479">
        <v>2012</v>
      </c>
      <c r="G15479">
        <v>15.940569999999999</v>
      </c>
    </row>
    <row r="15480" spans="1:7">
      <c r="A15480" t="s">
        <v>1297</v>
      </c>
      <c r="B15480" t="s">
        <v>1298</v>
      </c>
      <c r="C15480" t="s">
        <v>653</v>
      </c>
      <c r="D15480" t="s">
        <v>1463</v>
      </c>
      <c r="E15480" t="s">
        <v>187</v>
      </c>
      <c r="F15480">
        <v>2012</v>
      </c>
      <c r="G15480">
        <v>2.9299210000000002</v>
      </c>
    </row>
    <row r="15481" spans="1:7">
      <c r="A15481" t="s">
        <v>1297</v>
      </c>
      <c r="B15481" t="s">
        <v>1298</v>
      </c>
      <c r="C15481" t="s">
        <v>661</v>
      </c>
      <c r="D15481" t="s">
        <v>1463</v>
      </c>
      <c r="E15481" t="s">
        <v>187</v>
      </c>
      <c r="F15481">
        <v>2016</v>
      </c>
      <c r="G15481">
        <v>31.175153999999999</v>
      </c>
    </row>
    <row r="15482" spans="1:7">
      <c r="A15482" t="s">
        <v>1297</v>
      </c>
      <c r="B15482" t="s">
        <v>1298</v>
      </c>
      <c r="C15482" t="s">
        <v>661</v>
      </c>
      <c r="D15482" t="s">
        <v>1463</v>
      </c>
      <c r="E15482" t="s">
        <v>187</v>
      </c>
      <c r="F15482">
        <v>2020</v>
      </c>
      <c r="G15482">
        <v>44.010662000000004</v>
      </c>
    </row>
    <row r="15483" spans="1:7">
      <c r="A15483" t="s">
        <v>1297</v>
      </c>
      <c r="B15483" t="s">
        <v>1298</v>
      </c>
      <c r="C15483" t="s">
        <v>660</v>
      </c>
      <c r="D15483" t="s">
        <v>1463</v>
      </c>
      <c r="E15483" t="s">
        <v>187</v>
      </c>
      <c r="F15483">
        <v>2005</v>
      </c>
      <c r="G15483">
        <v>9.4719999999999995E-3</v>
      </c>
    </row>
    <row r="15484" spans="1:7">
      <c r="A15484" t="s">
        <v>1297</v>
      </c>
      <c r="B15484" t="s">
        <v>1298</v>
      </c>
      <c r="C15484" t="s">
        <v>660</v>
      </c>
      <c r="D15484" t="s">
        <v>1463</v>
      </c>
      <c r="E15484" t="s">
        <v>187</v>
      </c>
      <c r="F15484">
        <v>2010</v>
      </c>
      <c r="G15484">
        <v>1.7059999999999999E-2</v>
      </c>
    </row>
    <row r="15485" spans="1:7">
      <c r="A15485" t="s">
        <v>1297</v>
      </c>
      <c r="B15485" t="s">
        <v>1298</v>
      </c>
      <c r="C15485" t="s">
        <v>660</v>
      </c>
      <c r="D15485" t="s">
        <v>1463</v>
      </c>
      <c r="E15485" t="s">
        <v>187</v>
      </c>
      <c r="F15485">
        <v>2012</v>
      </c>
      <c r="G15485">
        <v>2.0695999999999999E-2</v>
      </c>
    </row>
    <row r="15486" spans="1:7">
      <c r="A15486" t="s">
        <v>1297</v>
      </c>
      <c r="B15486" t="s">
        <v>1298</v>
      </c>
      <c r="C15486" t="s">
        <v>660</v>
      </c>
      <c r="D15486" t="s">
        <v>1463</v>
      </c>
      <c r="E15486" t="s">
        <v>187</v>
      </c>
      <c r="F15486">
        <v>2016</v>
      </c>
      <c r="G15486">
        <v>7.9437999999999995E-2</v>
      </c>
    </row>
    <row r="15487" spans="1:7">
      <c r="A15487" t="s">
        <v>1297</v>
      </c>
      <c r="B15487" t="s">
        <v>1298</v>
      </c>
      <c r="C15487" t="s">
        <v>660</v>
      </c>
      <c r="D15487" t="s">
        <v>1463</v>
      </c>
      <c r="E15487" t="s">
        <v>187</v>
      </c>
      <c r="F15487">
        <v>2020</v>
      </c>
      <c r="G15487">
        <v>0.53010000000000002</v>
      </c>
    </row>
    <row r="15488" spans="1:7">
      <c r="A15488" t="s">
        <v>1297</v>
      </c>
      <c r="B15488" t="s">
        <v>1298</v>
      </c>
      <c r="C15488" t="s">
        <v>664</v>
      </c>
      <c r="D15488" t="s">
        <v>1463</v>
      </c>
      <c r="E15488" t="s">
        <v>187</v>
      </c>
      <c r="F15488">
        <v>2010</v>
      </c>
      <c r="G15488">
        <v>1.714E-3</v>
      </c>
    </row>
    <row r="15489" spans="1:8">
      <c r="A15489" t="s">
        <v>1297</v>
      </c>
      <c r="B15489" t="s">
        <v>1298</v>
      </c>
      <c r="C15489" t="s">
        <v>664</v>
      </c>
      <c r="D15489" t="s">
        <v>1463</v>
      </c>
      <c r="E15489" t="s">
        <v>187</v>
      </c>
      <c r="F15489">
        <v>2012</v>
      </c>
      <c r="G15489">
        <v>2.3259999999999999E-3</v>
      </c>
    </row>
    <row r="15490" spans="1:8">
      <c r="A15490" t="s">
        <v>1297</v>
      </c>
      <c r="B15490" t="s">
        <v>1298</v>
      </c>
      <c r="C15490" t="s">
        <v>664</v>
      </c>
      <c r="D15490" t="s">
        <v>1463</v>
      </c>
      <c r="E15490" t="s">
        <v>187</v>
      </c>
      <c r="F15490">
        <v>2016</v>
      </c>
      <c r="G15490">
        <v>2.2176000000000001E-2</v>
      </c>
    </row>
    <row r="15491" spans="1:8">
      <c r="A15491" t="s">
        <v>1297</v>
      </c>
      <c r="B15491" t="s">
        <v>1298</v>
      </c>
      <c r="C15491" t="s">
        <v>664</v>
      </c>
      <c r="D15491" t="s">
        <v>1463</v>
      </c>
      <c r="E15491" t="s">
        <v>187</v>
      </c>
      <c r="F15491">
        <v>2020</v>
      </c>
      <c r="G15491">
        <v>7.6859999999999998E-2</v>
      </c>
    </row>
    <row r="15492" spans="1:8">
      <c r="A15492" t="s">
        <v>1297</v>
      </c>
      <c r="B15492" t="s">
        <v>1298</v>
      </c>
      <c r="C15492" t="s">
        <v>654</v>
      </c>
      <c r="D15492" t="s">
        <v>1463</v>
      </c>
      <c r="E15492" t="s">
        <v>187</v>
      </c>
      <c r="F15492">
        <v>2005</v>
      </c>
      <c r="G15492">
        <v>2.0379999999999999E-3</v>
      </c>
    </row>
    <row r="15493" spans="1:8">
      <c r="A15493" t="s">
        <v>1297</v>
      </c>
      <c r="B15493" t="s">
        <v>1298</v>
      </c>
      <c r="C15493" t="s">
        <v>654</v>
      </c>
      <c r="D15493" t="s">
        <v>1463</v>
      </c>
      <c r="E15493" t="s">
        <v>187</v>
      </c>
      <c r="F15493">
        <v>2010</v>
      </c>
      <c r="G15493">
        <v>2.3015000000000001E-2</v>
      </c>
    </row>
    <row r="15494" spans="1:8">
      <c r="A15494" t="s">
        <v>1297</v>
      </c>
      <c r="B15494" t="s">
        <v>1298</v>
      </c>
      <c r="C15494" t="s">
        <v>654</v>
      </c>
      <c r="D15494" t="s">
        <v>1463</v>
      </c>
      <c r="E15494" t="s">
        <v>187</v>
      </c>
      <c r="F15494">
        <v>2012</v>
      </c>
      <c r="G15494">
        <v>7.7562000000000006E-2</v>
      </c>
    </row>
    <row r="15495" spans="1:8">
      <c r="A15495" t="s">
        <v>1297</v>
      </c>
      <c r="B15495" t="s">
        <v>1298</v>
      </c>
      <c r="C15495" t="s">
        <v>654</v>
      </c>
      <c r="D15495" t="s">
        <v>1463</v>
      </c>
      <c r="E15495" t="s">
        <v>187</v>
      </c>
      <c r="F15495">
        <v>2016</v>
      </c>
      <c r="G15495">
        <v>0.52537299999999998</v>
      </c>
    </row>
    <row r="15496" spans="1:8">
      <c r="A15496" t="s">
        <v>1297</v>
      </c>
      <c r="B15496" t="s">
        <v>1298</v>
      </c>
      <c r="C15496" t="s">
        <v>654</v>
      </c>
      <c r="D15496" t="s">
        <v>1463</v>
      </c>
      <c r="E15496" t="s">
        <v>187</v>
      </c>
      <c r="F15496">
        <v>2020</v>
      </c>
      <c r="G15496">
        <v>0.78576100000000004</v>
      </c>
    </row>
    <row r="15497" spans="1:8">
      <c r="A15497" t="s">
        <v>1297</v>
      </c>
      <c r="B15497" t="s">
        <v>1298</v>
      </c>
      <c r="C15497" t="s">
        <v>652</v>
      </c>
      <c r="D15497" t="s">
        <v>1463</v>
      </c>
      <c r="E15497" t="s">
        <v>187</v>
      </c>
      <c r="F15497">
        <v>2005</v>
      </c>
      <c r="G15497" s="14">
        <v>4.8240000000000002E-3</v>
      </c>
      <c r="H15497" s="14"/>
    </row>
    <row r="15498" spans="1:8">
      <c r="A15498" t="s">
        <v>1297</v>
      </c>
      <c r="B15498" t="s">
        <v>1298</v>
      </c>
      <c r="C15498" t="s">
        <v>652</v>
      </c>
      <c r="D15498" t="s">
        <v>1463</v>
      </c>
      <c r="E15498" t="s">
        <v>187</v>
      </c>
      <c r="F15498">
        <v>2010</v>
      </c>
      <c r="G15498">
        <v>2.016</v>
      </c>
    </row>
    <row r="15499" spans="1:8">
      <c r="A15499" t="s">
        <v>1297</v>
      </c>
      <c r="B15499" t="s">
        <v>1298</v>
      </c>
      <c r="C15499" t="s">
        <v>652</v>
      </c>
      <c r="D15499" t="s">
        <v>1463</v>
      </c>
      <c r="E15499" t="s">
        <v>187</v>
      </c>
      <c r="F15499">
        <v>2012</v>
      </c>
      <c r="G15499">
        <v>7.7328000000000001</v>
      </c>
    </row>
    <row r="15500" spans="1:8">
      <c r="A15500" t="s">
        <v>1297</v>
      </c>
      <c r="B15500" t="s">
        <v>1298</v>
      </c>
      <c r="C15500" t="s">
        <v>652</v>
      </c>
      <c r="D15500" t="s">
        <v>1463</v>
      </c>
      <c r="E15500" t="s">
        <v>187</v>
      </c>
      <c r="F15500">
        <v>2016</v>
      </c>
      <c r="G15500">
        <v>11.142720000000001</v>
      </c>
    </row>
    <row r="15501" spans="1:8">
      <c r="A15501" t="s">
        <v>1297</v>
      </c>
      <c r="B15501" t="s">
        <v>1298</v>
      </c>
      <c r="C15501" t="s">
        <v>652</v>
      </c>
      <c r="D15501" t="s">
        <v>1463</v>
      </c>
      <c r="E15501" t="s">
        <v>187</v>
      </c>
      <c r="F15501">
        <v>2020</v>
      </c>
      <c r="G15501">
        <v>15.289199999999999</v>
      </c>
    </row>
    <row r="15502" spans="1:8">
      <c r="A15502" t="s">
        <v>1297</v>
      </c>
      <c r="B15502" t="s">
        <v>1298</v>
      </c>
      <c r="C15502" t="s">
        <v>1302</v>
      </c>
      <c r="D15502" t="s">
        <v>1463</v>
      </c>
      <c r="E15502" t="s">
        <v>187</v>
      </c>
      <c r="F15502">
        <v>2016</v>
      </c>
      <c r="G15502">
        <v>4.57E-4</v>
      </c>
    </row>
    <row r="15503" spans="1:8">
      <c r="A15503" t="s">
        <v>1297</v>
      </c>
      <c r="B15503" t="s">
        <v>1298</v>
      </c>
      <c r="C15503" t="s">
        <v>1302</v>
      </c>
      <c r="D15503" t="s">
        <v>1463</v>
      </c>
      <c r="E15503" t="s">
        <v>187</v>
      </c>
      <c r="F15503">
        <v>2020</v>
      </c>
      <c r="G15503">
        <v>3.798E-2</v>
      </c>
    </row>
    <row r="15504" spans="1:8">
      <c r="A15504" t="s">
        <v>1297</v>
      </c>
      <c r="B15504" t="s">
        <v>1298</v>
      </c>
      <c r="C15504" t="s">
        <v>657</v>
      </c>
      <c r="D15504" t="s">
        <v>1463</v>
      </c>
      <c r="E15504" t="s">
        <v>187</v>
      </c>
      <c r="F15504">
        <v>2005</v>
      </c>
      <c r="G15504">
        <v>7.1999999999999998E-3</v>
      </c>
    </row>
    <row r="15505" spans="1:7">
      <c r="A15505" t="s">
        <v>1297</v>
      </c>
      <c r="B15505" t="s">
        <v>1298</v>
      </c>
      <c r="C15505" t="s">
        <v>657</v>
      </c>
      <c r="D15505" t="s">
        <v>1463</v>
      </c>
      <c r="E15505" t="s">
        <v>187</v>
      </c>
      <c r="F15505">
        <v>2010</v>
      </c>
      <c r="G15505">
        <v>2.1697000000000001E-2</v>
      </c>
    </row>
    <row r="15506" spans="1:7">
      <c r="A15506" t="s">
        <v>1297</v>
      </c>
      <c r="B15506" t="s">
        <v>1298</v>
      </c>
      <c r="C15506" t="s">
        <v>657</v>
      </c>
      <c r="D15506" t="s">
        <v>1463</v>
      </c>
      <c r="E15506" t="s">
        <v>187</v>
      </c>
      <c r="F15506">
        <v>2012</v>
      </c>
      <c r="G15506">
        <v>0.37390000000000001</v>
      </c>
    </row>
    <row r="15507" spans="1:7">
      <c r="A15507" t="s">
        <v>1297</v>
      </c>
      <c r="B15507" t="s">
        <v>1298</v>
      </c>
      <c r="C15507" t="s">
        <v>657</v>
      </c>
      <c r="D15507" t="s">
        <v>1463</v>
      </c>
      <c r="E15507" t="s">
        <v>187</v>
      </c>
      <c r="F15507">
        <v>2016</v>
      </c>
      <c r="G15507">
        <v>2.6776080000000002</v>
      </c>
    </row>
    <row r="15508" spans="1:7">
      <c r="A15508" t="s">
        <v>1297</v>
      </c>
      <c r="B15508" t="s">
        <v>1298</v>
      </c>
      <c r="C15508" t="s">
        <v>657</v>
      </c>
      <c r="D15508" t="s">
        <v>1463</v>
      </c>
      <c r="E15508" t="s">
        <v>187</v>
      </c>
      <c r="F15508">
        <v>2020</v>
      </c>
      <c r="G15508">
        <v>3.467768</v>
      </c>
    </row>
    <row r="15509" spans="1:7">
      <c r="A15509" t="s">
        <v>1297</v>
      </c>
      <c r="B15509" t="s">
        <v>1298</v>
      </c>
      <c r="C15509" t="s">
        <v>653</v>
      </c>
      <c r="D15509" t="s">
        <v>1463</v>
      </c>
      <c r="E15509" t="s">
        <v>187</v>
      </c>
      <c r="F15509">
        <v>2010</v>
      </c>
      <c r="G15509">
        <v>5.3513999999999999E-2</v>
      </c>
    </row>
    <row r="15510" spans="1:7">
      <c r="A15510" t="s">
        <v>1297</v>
      </c>
      <c r="B15510" t="s">
        <v>1298</v>
      </c>
      <c r="C15510" t="s">
        <v>653</v>
      </c>
      <c r="D15510" t="s">
        <v>1463</v>
      </c>
      <c r="E15510" t="s">
        <v>187</v>
      </c>
      <c r="F15510">
        <v>2016</v>
      </c>
      <c r="G15510">
        <v>4.9906620000000004</v>
      </c>
    </row>
    <row r="15511" spans="1:7">
      <c r="A15511" t="s">
        <v>1297</v>
      </c>
      <c r="B15511" t="s">
        <v>1298</v>
      </c>
      <c r="C15511" t="s">
        <v>653</v>
      </c>
      <c r="D15511" t="s">
        <v>1463</v>
      </c>
      <c r="E15511" t="s">
        <v>187</v>
      </c>
      <c r="F15511">
        <v>2020</v>
      </c>
      <c r="G15511">
        <v>5.1928850000000004</v>
      </c>
    </row>
    <row r="15512" spans="1:7">
      <c r="A15512" t="s">
        <v>1297</v>
      </c>
      <c r="B15512" t="s">
        <v>1298</v>
      </c>
      <c r="C15512" t="s">
        <v>682</v>
      </c>
      <c r="D15512" t="s">
        <v>1463</v>
      </c>
      <c r="E15512" t="s">
        <v>187</v>
      </c>
      <c r="F15512">
        <v>2016</v>
      </c>
      <c r="G15512">
        <v>8.4985000000000005E-2</v>
      </c>
    </row>
    <row r="15513" spans="1:7">
      <c r="A15513" t="s">
        <v>1297</v>
      </c>
      <c r="B15513" t="s">
        <v>1298</v>
      </c>
      <c r="C15513" t="s">
        <v>682</v>
      </c>
      <c r="D15513" t="s">
        <v>1463</v>
      </c>
      <c r="E15513" t="s">
        <v>187</v>
      </c>
      <c r="F15513">
        <v>2020</v>
      </c>
      <c r="G15513">
        <v>0.108</v>
      </c>
    </row>
    <row r="15514" spans="1:7">
      <c r="A15514" t="s">
        <v>1297</v>
      </c>
      <c r="B15514" t="s">
        <v>1298</v>
      </c>
      <c r="C15514" t="s">
        <v>1301</v>
      </c>
      <c r="D15514" t="s">
        <v>1463</v>
      </c>
      <c r="E15514" t="s">
        <v>187</v>
      </c>
      <c r="F15514">
        <v>2016</v>
      </c>
      <c r="G15514">
        <v>3.7552970000000001</v>
      </c>
    </row>
    <row r="15515" spans="1:7">
      <c r="A15515" t="s">
        <v>1297</v>
      </c>
      <c r="B15515" t="s">
        <v>1298</v>
      </c>
      <c r="C15515" t="s">
        <v>675</v>
      </c>
      <c r="D15515" t="s">
        <v>1463</v>
      </c>
      <c r="E15515" t="s">
        <v>187</v>
      </c>
      <c r="F15515">
        <v>2005</v>
      </c>
      <c r="G15515">
        <v>1.26E-4</v>
      </c>
    </row>
    <row r="15516" spans="1:7">
      <c r="A15516" t="s">
        <v>1297</v>
      </c>
      <c r="B15516" t="s">
        <v>1298</v>
      </c>
      <c r="C15516" t="s">
        <v>675</v>
      </c>
      <c r="D15516" t="s">
        <v>1463</v>
      </c>
      <c r="E15516" t="s">
        <v>187</v>
      </c>
      <c r="F15516">
        <v>2010</v>
      </c>
      <c r="G15516">
        <v>4.6300000000000001E-2</v>
      </c>
    </row>
    <row r="15517" spans="1:7">
      <c r="A15517" t="s">
        <v>1297</v>
      </c>
      <c r="B15517" t="s">
        <v>1298</v>
      </c>
      <c r="C15517" t="s">
        <v>675</v>
      </c>
      <c r="D15517" t="s">
        <v>1463</v>
      </c>
      <c r="E15517" t="s">
        <v>187</v>
      </c>
      <c r="F15517">
        <v>2012</v>
      </c>
      <c r="G15517">
        <v>0.58610200000000001</v>
      </c>
    </row>
    <row r="15518" spans="1:7">
      <c r="A15518" t="s">
        <v>1297</v>
      </c>
      <c r="B15518" t="s">
        <v>1298</v>
      </c>
      <c r="C15518" t="s">
        <v>675</v>
      </c>
      <c r="D15518" t="s">
        <v>1463</v>
      </c>
      <c r="E15518" t="s">
        <v>187</v>
      </c>
      <c r="F15518">
        <v>2016</v>
      </c>
      <c r="G15518">
        <v>0.96289899999999995</v>
      </c>
    </row>
    <row r="15519" spans="1:7">
      <c r="A15519" t="s">
        <v>1297</v>
      </c>
      <c r="B15519" t="s">
        <v>1298</v>
      </c>
      <c r="C15519" t="s">
        <v>675</v>
      </c>
      <c r="D15519" t="s">
        <v>1463</v>
      </c>
      <c r="E15519" t="s">
        <v>187</v>
      </c>
      <c r="F15519">
        <v>2020</v>
      </c>
      <c r="G15519">
        <v>1.09094</v>
      </c>
    </row>
    <row r="15520" spans="1:7">
      <c r="A15520" t="s">
        <v>1297</v>
      </c>
      <c r="B15520" t="s">
        <v>1298</v>
      </c>
      <c r="C15520" t="s">
        <v>651</v>
      </c>
      <c r="D15520" t="s">
        <v>1463</v>
      </c>
      <c r="E15520" t="s">
        <v>187</v>
      </c>
      <c r="F15520">
        <v>2005</v>
      </c>
      <c r="G15520">
        <v>7.5664999999999996E-2</v>
      </c>
    </row>
    <row r="15521" spans="1:7">
      <c r="A15521" t="s">
        <v>1297</v>
      </c>
      <c r="B15521" t="s">
        <v>1298</v>
      </c>
      <c r="C15521" t="s">
        <v>651</v>
      </c>
      <c r="D15521" t="s">
        <v>1463</v>
      </c>
      <c r="E15521" t="s">
        <v>187</v>
      </c>
      <c r="F15521">
        <v>2010</v>
      </c>
      <c r="G15521">
        <v>0.31972699999999998</v>
      </c>
    </row>
    <row r="15522" spans="1:7">
      <c r="A15522" t="s">
        <v>1297</v>
      </c>
      <c r="B15522" t="s">
        <v>1298</v>
      </c>
      <c r="C15522" t="s">
        <v>651</v>
      </c>
      <c r="D15522" t="s">
        <v>1463</v>
      </c>
      <c r="E15522" t="s">
        <v>187</v>
      </c>
      <c r="F15522">
        <v>2012</v>
      </c>
      <c r="G15522">
        <v>1.214939</v>
      </c>
    </row>
    <row r="15523" spans="1:7">
      <c r="A15523" t="s">
        <v>1297</v>
      </c>
      <c r="B15523" t="s">
        <v>1298</v>
      </c>
      <c r="C15523" t="s">
        <v>651</v>
      </c>
      <c r="D15523" t="s">
        <v>1463</v>
      </c>
      <c r="E15523" t="s">
        <v>187</v>
      </c>
      <c r="F15523">
        <v>2016</v>
      </c>
      <c r="G15523">
        <v>3.9456579999999999</v>
      </c>
    </row>
    <row r="15524" spans="1:7">
      <c r="A15524" t="s">
        <v>1297</v>
      </c>
      <c r="B15524" t="s">
        <v>1298</v>
      </c>
      <c r="C15524" t="s">
        <v>651</v>
      </c>
      <c r="D15524" t="s">
        <v>1463</v>
      </c>
      <c r="E15524" t="s">
        <v>187</v>
      </c>
      <c r="F15524">
        <v>2020</v>
      </c>
      <c r="G15524">
        <v>6.127535</v>
      </c>
    </row>
    <row r="15525" spans="1:7">
      <c r="A15525" t="s">
        <v>1297</v>
      </c>
      <c r="B15525" t="s">
        <v>1298</v>
      </c>
      <c r="C15525" t="s">
        <v>676</v>
      </c>
      <c r="D15525" t="s">
        <v>1463</v>
      </c>
      <c r="E15525" t="s">
        <v>187</v>
      </c>
      <c r="F15525">
        <v>2010</v>
      </c>
      <c r="G15525">
        <v>6.0990999999999997E-2</v>
      </c>
    </row>
    <row r="15526" spans="1:7">
      <c r="A15526" t="s">
        <v>1297</v>
      </c>
      <c r="B15526" t="s">
        <v>1298</v>
      </c>
      <c r="C15526" t="s">
        <v>676</v>
      </c>
      <c r="D15526" t="s">
        <v>1463</v>
      </c>
      <c r="E15526" t="s">
        <v>187</v>
      </c>
      <c r="F15526">
        <v>2012</v>
      </c>
      <c r="G15526">
        <v>1.5264</v>
      </c>
    </row>
    <row r="15527" spans="1:7">
      <c r="A15527" t="s">
        <v>1297</v>
      </c>
      <c r="B15527" t="s">
        <v>1298</v>
      </c>
      <c r="C15527" t="s">
        <v>676</v>
      </c>
      <c r="D15527" t="s">
        <v>1463</v>
      </c>
      <c r="E15527" t="s">
        <v>187</v>
      </c>
      <c r="F15527">
        <v>2016</v>
      </c>
      <c r="G15527">
        <v>1.9188000000000001</v>
      </c>
    </row>
    <row r="15528" spans="1:7">
      <c r="A15528" t="s">
        <v>1297</v>
      </c>
      <c r="B15528" t="s">
        <v>1298</v>
      </c>
      <c r="C15528" t="s">
        <v>676</v>
      </c>
      <c r="D15528" t="s">
        <v>1463</v>
      </c>
      <c r="E15528" t="s">
        <v>187</v>
      </c>
      <c r="F15528">
        <v>2020</v>
      </c>
      <c r="G15528">
        <v>2.1204000000000001</v>
      </c>
    </row>
    <row r="15529" spans="1:7">
      <c r="A15529" t="s">
        <v>1297</v>
      </c>
      <c r="B15529" t="s">
        <v>1298</v>
      </c>
      <c r="C15529" t="s">
        <v>663</v>
      </c>
      <c r="D15529" t="s">
        <v>1463</v>
      </c>
      <c r="E15529" t="s">
        <v>187</v>
      </c>
      <c r="F15529">
        <v>2010</v>
      </c>
      <c r="G15529">
        <v>3.0599999999999998E-3</v>
      </c>
    </row>
    <row r="15530" spans="1:7">
      <c r="A15530" t="s">
        <v>1297</v>
      </c>
      <c r="B15530" t="s">
        <v>1298</v>
      </c>
      <c r="C15530" t="s">
        <v>663</v>
      </c>
      <c r="D15530" t="s">
        <v>1463</v>
      </c>
      <c r="E15530" t="s">
        <v>187</v>
      </c>
      <c r="F15530">
        <v>2012</v>
      </c>
      <c r="G15530">
        <v>2.8469000000000001E-2</v>
      </c>
    </row>
    <row r="15531" spans="1:7">
      <c r="A15531" t="s">
        <v>1297</v>
      </c>
      <c r="B15531" t="s">
        <v>1298</v>
      </c>
      <c r="C15531" t="s">
        <v>663</v>
      </c>
      <c r="D15531" t="s">
        <v>1463</v>
      </c>
      <c r="E15531" t="s">
        <v>187</v>
      </c>
      <c r="F15531">
        <v>2016</v>
      </c>
      <c r="G15531">
        <v>0.87839999999999996</v>
      </c>
    </row>
    <row r="15532" spans="1:7">
      <c r="A15532" t="s">
        <v>1297</v>
      </c>
      <c r="B15532" t="s">
        <v>1298</v>
      </c>
      <c r="C15532" t="s">
        <v>663</v>
      </c>
      <c r="D15532" t="s">
        <v>1463</v>
      </c>
      <c r="E15532" t="s">
        <v>187</v>
      </c>
      <c r="F15532">
        <v>2020</v>
      </c>
      <c r="G15532">
        <v>5.3891999999999998</v>
      </c>
    </row>
    <row r="15533" spans="1:7">
      <c r="A15533" t="s">
        <v>1297</v>
      </c>
      <c r="B15533" t="s">
        <v>1298</v>
      </c>
      <c r="C15533" t="s">
        <v>671</v>
      </c>
      <c r="D15533" t="s">
        <v>1463</v>
      </c>
      <c r="E15533" t="s">
        <v>187</v>
      </c>
      <c r="F15533">
        <v>2012</v>
      </c>
      <c r="G15533">
        <v>4.1079999999999997E-3</v>
      </c>
    </row>
    <row r="15534" spans="1:7">
      <c r="A15534" t="s">
        <v>1297</v>
      </c>
      <c r="B15534" t="s">
        <v>1298</v>
      </c>
      <c r="C15534" t="s">
        <v>671</v>
      </c>
      <c r="D15534" t="s">
        <v>1463</v>
      </c>
      <c r="E15534" t="s">
        <v>187</v>
      </c>
      <c r="F15534">
        <v>2016</v>
      </c>
      <c r="G15534">
        <v>0.44595000000000001</v>
      </c>
    </row>
    <row r="15535" spans="1:7">
      <c r="A15535" t="s">
        <v>1297</v>
      </c>
      <c r="B15535" t="s">
        <v>1298</v>
      </c>
      <c r="C15535" t="s">
        <v>671</v>
      </c>
      <c r="D15535" t="s">
        <v>1463</v>
      </c>
      <c r="E15535" t="s">
        <v>187</v>
      </c>
      <c r="F15535">
        <v>2020</v>
      </c>
      <c r="G15535">
        <v>2.5584229999999999</v>
      </c>
    </row>
    <row r="15536" spans="1:7">
      <c r="A15536" t="s">
        <v>1297</v>
      </c>
      <c r="B15536" t="s">
        <v>1298</v>
      </c>
      <c r="C15536" t="s">
        <v>666</v>
      </c>
      <c r="D15536" t="s">
        <v>1463</v>
      </c>
      <c r="E15536" t="s">
        <v>187</v>
      </c>
      <c r="F15536">
        <v>2012</v>
      </c>
      <c r="G15536">
        <v>7.1999999999999998E-3</v>
      </c>
    </row>
    <row r="15537" spans="1:7">
      <c r="A15537" t="s">
        <v>1297</v>
      </c>
      <c r="B15537" t="s">
        <v>1298</v>
      </c>
      <c r="C15537" t="s">
        <v>666</v>
      </c>
      <c r="D15537" t="s">
        <v>1463</v>
      </c>
      <c r="E15537" t="s">
        <v>187</v>
      </c>
      <c r="F15537">
        <v>2016</v>
      </c>
      <c r="G15537">
        <v>0.23760000000000001</v>
      </c>
    </row>
    <row r="15538" spans="1:7">
      <c r="A15538" t="s">
        <v>1297</v>
      </c>
      <c r="B15538" t="s">
        <v>1298</v>
      </c>
      <c r="C15538" t="s">
        <v>666</v>
      </c>
      <c r="D15538" t="s">
        <v>1463</v>
      </c>
      <c r="E15538" t="s">
        <v>187</v>
      </c>
      <c r="F15538">
        <v>2020</v>
      </c>
      <c r="G15538">
        <v>0.32795999999999997</v>
      </c>
    </row>
    <row r="15539" spans="1:7">
      <c r="A15539" t="s">
        <v>1297</v>
      </c>
      <c r="B15539" t="s">
        <v>1298</v>
      </c>
      <c r="C15539" t="s">
        <v>662</v>
      </c>
      <c r="D15539" t="s">
        <v>1463</v>
      </c>
      <c r="E15539" t="s">
        <v>187</v>
      </c>
      <c r="F15539">
        <v>2005</v>
      </c>
      <c r="G15539">
        <v>3.431E-3</v>
      </c>
    </row>
    <row r="15540" spans="1:7">
      <c r="A15540" t="s">
        <v>1297</v>
      </c>
      <c r="B15540" t="s">
        <v>1298</v>
      </c>
      <c r="C15540" t="s">
        <v>662</v>
      </c>
      <c r="D15540" t="s">
        <v>1463</v>
      </c>
      <c r="E15540" t="s">
        <v>187</v>
      </c>
      <c r="F15540">
        <v>2010</v>
      </c>
      <c r="G15540">
        <v>0.56789299999999998</v>
      </c>
    </row>
    <row r="15541" spans="1:7">
      <c r="A15541" t="s">
        <v>1297</v>
      </c>
      <c r="B15541" t="s">
        <v>1298</v>
      </c>
      <c r="C15541" t="s">
        <v>662</v>
      </c>
      <c r="D15541" t="s">
        <v>1463</v>
      </c>
      <c r="E15541" t="s">
        <v>187</v>
      </c>
      <c r="F15541">
        <v>2012</v>
      </c>
      <c r="G15541">
        <v>6.0983499999999999</v>
      </c>
    </row>
    <row r="15542" spans="1:7">
      <c r="A15542" t="s">
        <v>1297</v>
      </c>
      <c r="B15542" t="s">
        <v>1298</v>
      </c>
      <c r="C15542" t="s">
        <v>662</v>
      </c>
      <c r="D15542" t="s">
        <v>1463</v>
      </c>
      <c r="E15542" t="s">
        <v>187</v>
      </c>
      <c r="F15542">
        <v>2016</v>
      </c>
      <c r="G15542">
        <v>14.146978000000001</v>
      </c>
    </row>
    <row r="15543" spans="1:7">
      <c r="A15543" t="s">
        <v>1297</v>
      </c>
      <c r="B15543" t="s">
        <v>1298</v>
      </c>
      <c r="C15543" t="s">
        <v>662</v>
      </c>
      <c r="D15543" t="s">
        <v>1463</v>
      </c>
      <c r="E15543" t="s">
        <v>187</v>
      </c>
      <c r="F15543">
        <v>2020</v>
      </c>
      <c r="G15543">
        <v>15.942636</v>
      </c>
    </row>
    <row r="15544" spans="1:7">
      <c r="A15544" t="s">
        <v>1297</v>
      </c>
      <c r="B15544" t="s">
        <v>1298</v>
      </c>
      <c r="C15544" t="s">
        <v>667</v>
      </c>
      <c r="D15544" t="s">
        <v>1463</v>
      </c>
      <c r="E15544" t="s">
        <v>187</v>
      </c>
      <c r="F15544">
        <v>2005</v>
      </c>
      <c r="G15544">
        <v>6.3713000000000006E-2</v>
      </c>
    </row>
    <row r="15545" spans="1:7">
      <c r="A15545" t="s">
        <v>1297</v>
      </c>
      <c r="B15545" t="s">
        <v>1298</v>
      </c>
      <c r="C15545" t="s">
        <v>667</v>
      </c>
      <c r="D15545" t="s">
        <v>1463</v>
      </c>
      <c r="E15545" t="s">
        <v>187</v>
      </c>
      <c r="F15545">
        <v>2010</v>
      </c>
      <c r="G15545">
        <v>7.6133000000000006E-2</v>
      </c>
    </row>
    <row r="15546" spans="1:7">
      <c r="A15546" t="s">
        <v>1297</v>
      </c>
      <c r="B15546" t="s">
        <v>1298</v>
      </c>
      <c r="C15546" t="s">
        <v>667</v>
      </c>
      <c r="D15546" t="s">
        <v>1463</v>
      </c>
      <c r="E15546" t="s">
        <v>187</v>
      </c>
      <c r="F15546">
        <v>2012</v>
      </c>
      <c r="G15546">
        <v>0.137797</v>
      </c>
    </row>
    <row r="15547" spans="1:7">
      <c r="A15547" t="s">
        <v>1297</v>
      </c>
      <c r="B15547" t="s">
        <v>1298</v>
      </c>
      <c r="C15547" t="s">
        <v>667</v>
      </c>
      <c r="D15547" t="s">
        <v>1463</v>
      </c>
      <c r="E15547" t="s">
        <v>187</v>
      </c>
      <c r="F15547">
        <v>2016</v>
      </c>
      <c r="G15547">
        <v>0.361037</v>
      </c>
    </row>
    <row r="15548" spans="1:7">
      <c r="A15548" t="s">
        <v>1297</v>
      </c>
      <c r="B15548" t="s">
        <v>1298</v>
      </c>
      <c r="C15548" t="s">
        <v>667</v>
      </c>
      <c r="D15548" t="s">
        <v>1463</v>
      </c>
      <c r="E15548" t="s">
        <v>187</v>
      </c>
      <c r="F15548">
        <v>2020</v>
      </c>
      <c r="G15548">
        <v>0.46938600000000003</v>
      </c>
    </row>
    <row r="15549" spans="1:7">
      <c r="A15549" t="s">
        <v>1297</v>
      </c>
      <c r="B15549" t="s">
        <v>1298</v>
      </c>
      <c r="C15549" t="s">
        <v>669</v>
      </c>
      <c r="D15549" t="s">
        <v>1463</v>
      </c>
      <c r="E15549" t="s">
        <v>187</v>
      </c>
      <c r="F15549">
        <v>2012</v>
      </c>
      <c r="G15549">
        <v>6.0083999999999999E-2</v>
      </c>
    </row>
    <row r="15550" spans="1:7">
      <c r="A15550" t="s">
        <v>1297</v>
      </c>
      <c r="B15550" t="s">
        <v>1298</v>
      </c>
      <c r="C15550" t="s">
        <v>669</v>
      </c>
      <c r="D15550" t="s">
        <v>1463</v>
      </c>
      <c r="E15550" t="s">
        <v>187</v>
      </c>
      <c r="F15550">
        <v>2016</v>
      </c>
      <c r="G15550">
        <v>0.46038600000000002</v>
      </c>
    </row>
    <row r="15551" spans="1:7">
      <c r="A15551" t="s">
        <v>1297</v>
      </c>
      <c r="B15551" t="s">
        <v>1298</v>
      </c>
      <c r="C15551" t="s">
        <v>669</v>
      </c>
      <c r="D15551" t="s">
        <v>1463</v>
      </c>
      <c r="E15551" t="s">
        <v>187</v>
      </c>
      <c r="F15551">
        <v>2020</v>
      </c>
      <c r="G15551">
        <v>0.76175999999999999</v>
      </c>
    </row>
    <row r="15552" spans="1:7">
      <c r="A15552" t="s">
        <v>1297</v>
      </c>
      <c r="B15552" t="s">
        <v>1298</v>
      </c>
      <c r="C15552" t="s">
        <v>655</v>
      </c>
      <c r="D15552" t="s">
        <v>1463</v>
      </c>
      <c r="E15552" t="s">
        <v>187</v>
      </c>
      <c r="F15552">
        <v>2005</v>
      </c>
      <c r="G15552">
        <v>1.49E-3</v>
      </c>
    </row>
    <row r="15553" spans="1:7">
      <c r="A15553" t="s">
        <v>1297</v>
      </c>
      <c r="B15553" t="s">
        <v>1298</v>
      </c>
      <c r="C15553" t="s">
        <v>655</v>
      </c>
      <c r="D15553" t="s">
        <v>1463</v>
      </c>
      <c r="E15553" t="s">
        <v>187</v>
      </c>
      <c r="F15553">
        <v>2010</v>
      </c>
      <c r="G15553">
        <v>2.2165270000000001</v>
      </c>
    </row>
    <row r="15554" spans="1:7">
      <c r="A15554" t="s">
        <v>1297</v>
      </c>
      <c r="B15554" t="s">
        <v>1298</v>
      </c>
      <c r="C15554" t="s">
        <v>655</v>
      </c>
      <c r="D15554" t="s">
        <v>1463</v>
      </c>
      <c r="E15554" t="s">
        <v>187</v>
      </c>
      <c r="F15554">
        <v>2012</v>
      </c>
      <c r="G15554">
        <v>7.7350459999999996</v>
      </c>
    </row>
    <row r="15555" spans="1:7">
      <c r="A15555" t="s">
        <v>1297</v>
      </c>
      <c r="B15555" t="s">
        <v>1298</v>
      </c>
      <c r="C15555" t="s">
        <v>655</v>
      </c>
      <c r="D15555" t="s">
        <v>1463</v>
      </c>
      <c r="E15555" t="s">
        <v>187</v>
      </c>
      <c r="F15555">
        <v>2016</v>
      </c>
      <c r="G15555">
        <v>7.6732379999999996</v>
      </c>
    </row>
    <row r="15556" spans="1:7">
      <c r="A15556" t="s">
        <v>1297</v>
      </c>
      <c r="B15556" t="s">
        <v>1298</v>
      </c>
      <c r="C15556" t="s">
        <v>655</v>
      </c>
      <c r="D15556" t="s">
        <v>1463</v>
      </c>
      <c r="E15556" t="s">
        <v>187</v>
      </c>
      <c r="F15556">
        <v>2020</v>
      </c>
      <c r="G15556">
        <v>8.3216660000000005</v>
      </c>
    </row>
    <row r="15557" spans="1:7">
      <c r="A15557" t="s">
        <v>1297</v>
      </c>
      <c r="B15557" t="s">
        <v>1298</v>
      </c>
      <c r="C15557" t="s">
        <v>673</v>
      </c>
      <c r="D15557" t="s">
        <v>1463</v>
      </c>
      <c r="E15557" t="s">
        <v>187</v>
      </c>
      <c r="F15557">
        <v>2010</v>
      </c>
      <c r="G15557">
        <v>1.2999999999999999E-4</v>
      </c>
    </row>
    <row r="15558" spans="1:7">
      <c r="A15558" t="s">
        <v>1297</v>
      </c>
      <c r="B15558" t="s">
        <v>1298</v>
      </c>
      <c r="C15558" t="s">
        <v>673</v>
      </c>
      <c r="D15558" t="s">
        <v>1463</v>
      </c>
      <c r="E15558" t="s">
        <v>187</v>
      </c>
      <c r="F15558">
        <v>2012</v>
      </c>
      <c r="G15558">
        <v>2.8792999999999999E-2</v>
      </c>
    </row>
    <row r="15559" spans="1:7">
      <c r="A15559" t="s">
        <v>1297</v>
      </c>
      <c r="B15559" t="s">
        <v>1298</v>
      </c>
      <c r="C15559" t="s">
        <v>673</v>
      </c>
      <c r="D15559" t="s">
        <v>1463</v>
      </c>
      <c r="E15559" t="s">
        <v>187</v>
      </c>
      <c r="F15559">
        <v>2016</v>
      </c>
      <c r="G15559">
        <v>6.5510710000000003</v>
      </c>
    </row>
    <row r="15560" spans="1:7">
      <c r="A15560" t="s">
        <v>1297</v>
      </c>
      <c r="B15560" t="s">
        <v>1298</v>
      </c>
      <c r="C15560" t="s">
        <v>673</v>
      </c>
      <c r="D15560" t="s">
        <v>1463</v>
      </c>
      <c r="E15560" t="s">
        <v>187</v>
      </c>
      <c r="F15560">
        <v>2020</v>
      </c>
      <c r="G15560">
        <v>6.3994140000000002</v>
      </c>
    </row>
    <row r="15561" spans="1:7">
      <c r="A15561" t="s">
        <v>1297</v>
      </c>
      <c r="B15561" t="s">
        <v>1298</v>
      </c>
      <c r="C15561" t="s">
        <v>677</v>
      </c>
      <c r="D15561" t="s">
        <v>1463</v>
      </c>
      <c r="E15561" t="s">
        <v>187</v>
      </c>
      <c r="F15561">
        <v>2005</v>
      </c>
      <c r="G15561">
        <v>2.9430000000000001E-2</v>
      </c>
    </row>
    <row r="15562" spans="1:7">
      <c r="A15562" t="s">
        <v>1297</v>
      </c>
      <c r="B15562" t="s">
        <v>1298</v>
      </c>
      <c r="C15562" t="s">
        <v>677</v>
      </c>
      <c r="D15562" t="s">
        <v>1463</v>
      </c>
      <c r="E15562" t="s">
        <v>187</v>
      </c>
      <c r="F15562">
        <v>2010</v>
      </c>
      <c r="G15562">
        <v>0.14499699999999999</v>
      </c>
    </row>
    <row r="15563" spans="1:7">
      <c r="A15563" t="s">
        <v>1297</v>
      </c>
      <c r="B15563" t="s">
        <v>1298</v>
      </c>
      <c r="C15563" t="s">
        <v>677</v>
      </c>
      <c r="D15563" t="s">
        <v>1463</v>
      </c>
      <c r="E15563" t="s">
        <v>187</v>
      </c>
      <c r="F15563">
        <v>2012</v>
      </c>
      <c r="G15563">
        <v>4.8734999999999999</v>
      </c>
    </row>
    <row r="15564" spans="1:7">
      <c r="A15564" t="s">
        <v>1297</v>
      </c>
      <c r="B15564" t="s">
        <v>1298</v>
      </c>
      <c r="C15564" t="s">
        <v>677</v>
      </c>
      <c r="D15564" t="s">
        <v>1463</v>
      </c>
      <c r="E15564" t="s">
        <v>187</v>
      </c>
      <c r="F15564">
        <v>2016</v>
      </c>
      <c r="G15564">
        <v>37.422378000000002</v>
      </c>
    </row>
    <row r="15565" spans="1:7">
      <c r="A15565" t="s">
        <v>1297</v>
      </c>
      <c r="B15565" t="s">
        <v>1298</v>
      </c>
      <c r="C15565" t="s">
        <v>677</v>
      </c>
      <c r="D15565" t="s">
        <v>1463</v>
      </c>
      <c r="E15565" t="s">
        <v>187</v>
      </c>
      <c r="F15565">
        <v>2020</v>
      </c>
      <c r="G15565">
        <v>46.505051999999999</v>
      </c>
    </row>
    <row r="15566" spans="1:7">
      <c r="A15566" t="s">
        <v>1297</v>
      </c>
      <c r="B15566" t="s">
        <v>1298</v>
      </c>
      <c r="C15566" t="s">
        <v>681</v>
      </c>
      <c r="D15566" t="s">
        <v>1463</v>
      </c>
      <c r="E15566" t="s">
        <v>187</v>
      </c>
      <c r="F15566">
        <v>2020</v>
      </c>
      <c r="G15566">
        <v>7.9906000000000005E-2</v>
      </c>
    </row>
    <row r="15567" spans="1:7">
      <c r="A15567" t="s">
        <v>1297</v>
      </c>
      <c r="B15567" t="s">
        <v>1298</v>
      </c>
      <c r="C15567" t="s">
        <v>685</v>
      </c>
      <c r="D15567" t="s">
        <v>1463</v>
      </c>
      <c r="E15567" t="s">
        <v>187</v>
      </c>
      <c r="F15567">
        <v>2010</v>
      </c>
      <c r="G15567" s="14">
        <v>9.3999999999999994E-5</v>
      </c>
    </row>
    <row r="15568" spans="1:7">
      <c r="A15568" t="s">
        <v>1297</v>
      </c>
      <c r="B15568" t="s">
        <v>1298</v>
      </c>
      <c r="C15568" t="s">
        <v>685</v>
      </c>
      <c r="D15568" t="s">
        <v>1463</v>
      </c>
      <c r="E15568" t="s">
        <v>187</v>
      </c>
      <c r="F15568">
        <v>2012</v>
      </c>
      <c r="G15568">
        <v>1.021E-2</v>
      </c>
    </row>
    <row r="15569" spans="1:7">
      <c r="A15569" t="s">
        <v>1297</v>
      </c>
      <c r="B15569" t="s">
        <v>1298</v>
      </c>
      <c r="C15569" t="s">
        <v>685</v>
      </c>
      <c r="D15569" t="s">
        <v>1463</v>
      </c>
      <c r="E15569" t="s">
        <v>187</v>
      </c>
      <c r="F15569">
        <v>2016</v>
      </c>
      <c r="G15569">
        <v>8.5316000000000003E-2</v>
      </c>
    </row>
    <row r="15570" spans="1:7">
      <c r="A15570" t="s">
        <v>1297</v>
      </c>
      <c r="B15570" t="s">
        <v>1298</v>
      </c>
      <c r="C15570" t="s">
        <v>685</v>
      </c>
      <c r="D15570" t="s">
        <v>1463</v>
      </c>
      <c r="E15570" t="s">
        <v>187</v>
      </c>
      <c r="F15570">
        <v>2020</v>
      </c>
      <c r="G15570">
        <v>8.3610000000000004E-2</v>
      </c>
    </row>
    <row r="15571" spans="1:7">
      <c r="A15571" t="s">
        <v>1297</v>
      </c>
      <c r="B15571" t="s">
        <v>1298</v>
      </c>
      <c r="C15571" t="s">
        <v>658</v>
      </c>
      <c r="D15571" t="s">
        <v>1463</v>
      </c>
      <c r="E15571" t="s">
        <v>187</v>
      </c>
      <c r="F15571">
        <v>2016</v>
      </c>
      <c r="G15571">
        <v>3.4837E-2</v>
      </c>
    </row>
    <row r="15572" spans="1:7">
      <c r="A15572" t="s">
        <v>1297</v>
      </c>
      <c r="B15572" t="s">
        <v>1298</v>
      </c>
      <c r="C15572" t="s">
        <v>658</v>
      </c>
      <c r="D15572" t="s">
        <v>1463</v>
      </c>
      <c r="E15572" t="s">
        <v>187</v>
      </c>
      <c r="F15572">
        <v>2020</v>
      </c>
      <c r="G15572">
        <v>0.2646</v>
      </c>
    </row>
    <row r="15573" spans="1:7">
      <c r="A15573" t="s">
        <v>1297</v>
      </c>
      <c r="B15573" t="s">
        <v>1298</v>
      </c>
      <c r="C15573" t="s">
        <v>672</v>
      </c>
      <c r="D15573" t="s">
        <v>1464</v>
      </c>
      <c r="E15573" t="s">
        <v>187</v>
      </c>
      <c r="F15573">
        <v>2005</v>
      </c>
      <c r="G15573">
        <v>1.0800000000000001E-2</v>
      </c>
    </row>
    <row r="15574" spans="1:7">
      <c r="A15574" t="s">
        <v>1297</v>
      </c>
      <c r="B15574" t="s">
        <v>1298</v>
      </c>
      <c r="C15574" t="s">
        <v>672</v>
      </c>
      <c r="D15574" t="s">
        <v>1464</v>
      </c>
      <c r="E15574" t="s">
        <v>187</v>
      </c>
      <c r="F15574">
        <v>2010</v>
      </c>
      <c r="G15574">
        <v>0.76078800000000002</v>
      </c>
    </row>
    <row r="15575" spans="1:7">
      <c r="A15575" t="s">
        <v>1297</v>
      </c>
      <c r="B15575" t="s">
        <v>1298</v>
      </c>
      <c r="C15575" t="s">
        <v>672</v>
      </c>
      <c r="D15575" t="s">
        <v>1464</v>
      </c>
      <c r="E15575" t="s">
        <v>187</v>
      </c>
      <c r="F15575">
        <v>2012</v>
      </c>
      <c r="G15575">
        <v>1.4135219999999999</v>
      </c>
    </row>
    <row r="15576" spans="1:7">
      <c r="A15576" t="s">
        <v>1297</v>
      </c>
      <c r="B15576" t="s">
        <v>1298</v>
      </c>
      <c r="C15576" t="s">
        <v>672</v>
      </c>
      <c r="D15576" t="s">
        <v>1464</v>
      </c>
      <c r="E15576" t="s">
        <v>187</v>
      </c>
      <c r="F15576">
        <v>2016</v>
      </c>
      <c r="G15576">
        <v>3.1341709999999998</v>
      </c>
    </row>
    <row r="15577" spans="1:7">
      <c r="A15577" t="s">
        <v>1297</v>
      </c>
      <c r="B15577" t="s">
        <v>1298</v>
      </c>
      <c r="C15577" t="s">
        <v>672</v>
      </c>
      <c r="D15577" t="s">
        <v>1464</v>
      </c>
      <c r="E15577" t="s">
        <v>187</v>
      </c>
      <c r="F15577">
        <v>2020</v>
      </c>
      <c r="G15577">
        <v>4.8321069999999997</v>
      </c>
    </row>
    <row r="15578" spans="1:7">
      <c r="A15578" t="s">
        <v>1297</v>
      </c>
      <c r="B15578" t="s">
        <v>1298</v>
      </c>
      <c r="C15578" t="s">
        <v>686</v>
      </c>
      <c r="D15578" t="s">
        <v>1464</v>
      </c>
      <c r="E15578" t="s">
        <v>187</v>
      </c>
      <c r="F15578">
        <v>2016</v>
      </c>
      <c r="G15578">
        <v>4.3200000000000002E-2</v>
      </c>
    </row>
    <row r="15579" spans="1:7">
      <c r="A15579" t="s">
        <v>1297</v>
      </c>
      <c r="B15579" t="s">
        <v>1298</v>
      </c>
      <c r="C15579" t="s">
        <v>686</v>
      </c>
      <c r="D15579" t="s">
        <v>1464</v>
      </c>
      <c r="E15579" t="s">
        <v>187</v>
      </c>
      <c r="F15579">
        <v>2020</v>
      </c>
      <c r="G15579">
        <v>4.8765999999999997E-2</v>
      </c>
    </row>
    <row r="15580" spans="1:7">
      <c r="A15580" t="s">
        <v>1297</v>
      </c>
      <c r="B15580" t="s">
        <v>1298</v>
      </c>
      <c r="C15580" t="s">
        <v>670</v>
      </c>
      <c r="D15580" t="s">
        <v>1464</v>
      </c>
      <c r="E15580" t="s">
        <v>187</v>
      </c>
      <c r="F15580">
        <v>2005</v>
      </c>
      <c r="G15580">
        <v>0.12753400000000001</v>
      </c>
    </row>
    <row r="15581" spans="1:7">
      <c r="A15581" t="s">
        <v>1297</v>
      </c>
      <c r="B15581" t="s">
        <v>1298</v>
      </c>
      <c r="C15581" t="s">
        <v>670</v>
      </c>
      <c r="D15581" t="s">
        <v>1464</v>
      </c>
      <c r="E15581" t="s">
        <v>187</v>
      </c>
      <c r="F15581">
        <v>2010</v>
      </c>
      <c r="G15581">
        <v>0.20113900000000001</v>
      </c>
    </row>
    <row r="15582" spans="1:7">
      <c r="A15582" t="s">
        <v>1297</v>
      </c>
      <c r="B15582" t="s">
        <v>1298</v>
      </c>
      <c r="C15582" t="s">
        <v>670</v>
      </c>
      <c r="D15582" t="s">
        <v>1464</v>
      </c>
      <c r="E15582" t="s">
        <v>187</v>
      </c>
      <c r="F15582">
        <v>2012</v>
      </c>
      <c r="G15582">
        <v>0.68631799999999998</v>
      </c>
    </row>
    <row r="15583" spans="1:7">
      <c r="A15583" t="s">
        <v>1297</v>
      </c>
      <c r="B15583" t="s">
        <v>1298</v>
      </c>
      <c r="C15583" t="s">
        <v>670</v>
      </c>
      <c r="D15583" t="s">
        <v>1464</v>
      </c>
      <c r="E15583" t="s">
        <v>187</v>
      </c>
      <c r="F15583">
        <v>2016</v>
      </c>
      <c r="G15583">
        <v>5.7665199999999999</v>
      </c>
    </row>
    <row r="15584" spans="1:7">
      <c r="A15584" t="s">
        <v>1297</v>
      </c>
      <c r="B15584" t="s">
        <v>1298</v>
      </c>
      <c r="C15584" t="s">
        <v>670</v>
      </c>
      <c r="D15584" t="s">
        <v>1464</v>
      </c>
      <c r="E15584" t="s">
        <v>187</v>
      </c>
      <c r="F15584">
        <v>2020</v>
      </c>
      <c r="G15584">
        <v>19.207637999999999</v>
      </c>
    </row>
    <row r="15585" spans="1:7">
      <c r="A15585" t="s">
        <v>1297</v>
      </c>
      <c r="B15585" t="s">
        <v>1298</v>
      </c>
      <c r="C15585" t="s">
        <v>1299</v>
      </c>
      <c r="D15585" t="s">
        <v>1464</v>
      </c>
      <c r="E15585" t="s">
        <v>187</v>
      </c>
      <c r="F15585">
        <v>2012</v>
      </c>
      <c r="G15585">
        <v>1.1998800000000001</v>
      </c>
    </row>
    <row r="15586" spans="1:7">
      <c r="A15586" t="s">
        <v>1297</v>
      </c>
      <c r="B15586" t="s">
        <v>1298</v>
      </c>
      <c r="C15586" t="s">
        <v>1299</v>
      </c>
      <c r="D15586" t="s">
        <v>1464</v>
      </c>
      <c r="E15586" t="s">
        <v>187</v>
      </c>
      <c r="F15586">
        <v>2016</v>
      </c>
      <c r="G15586">
        <v>1.76688</v>
      </c>
    </row>
    <row r="15587" spans="1:7">
      <c r="A15587" t="s">
        <v>1297</v>
      </c>
      <c r="B15587" t="s">
        <v>1298</v>
      </c>
      <c r="C15587" t="s">
        <v>1299</v>
      </c>
      <c r="D15587" t="s">
        <v>1464</v>
      </c>
      <c r="E15587" t="s">
        <v>187</v>
      </c>
      <c r="F15587">
        <v>2020</v>
      </c>
      <c r="G15587">
        <v>10.55808</v>
      </c>
    </row>
    <row r="15588" spans="1:7">
      <c r="A15588" t="s">
        <v>1297</v>
      </c>
      <c r="B15588" t="s">
        <v>1298</v>
      </c>
      <c r="C15588" t="s">
        <v>669</v>
      </c>
      <c r="D15588" t="s">
        <v>1464</v>
      </c>
      <c r="E15588" t="s">
        <v>187</v>
      </c>
      <c r="F15588">
        <v>2010</v>
      </c>
      <c r="G15588">
        <v>2.4480000000000001E-3</v>
      </c>
    </row>
    <row r="15589" spans="1:7">
      <c r="A15589" t="s">
        <v>1297</v>
      </c>
      <c r="B15589" t="s">
        <v>1298</v>
      </c>
      <c r="C15589" t="s">
        <v>669</v>
      </c>
      <c r="D15589" t="s">
        <v>1464</v>
      </c>
      <c r="E15589" t="s">
        <v>187</v>
      </c>
      <c r="F15589">
        <v>2012</v>
      </c>
      <c r="G15589">
        <v>6.0083999999999999E-2</v>
      </c>
    </row>
    <row r="15590" spans="1:7">
      <c r="A15590" t="s">
        <v>1297</v>
      </c>
      <c r="B15590" t="s">
        <v>1298</v>
      </c>
      <c r="C15590" t="s">
        <v>669</v>
      </c>
      <c r="D15590" t="s">
        <v>1464</v>
      </c>
      <c r="E15590" t="s">
        <v>187</v>
      </c>
      <c r="F15590">
        <v>2016</v>
      </c>
      <c r="G15590">
        <v>0.46038600000000002</v>
      </c>
    </row>
    <row r="15591" spans="1:7">
      <c r="A15591" t="s">
        <v>1297</v>
      </c>
      <c r="B15591" t="s">
        <v>1298</v>
      </c>
      <c r="C15591" t="s">
        <v>669</v>
      </c>
      <c r="D15591" t="s">
        <v>1464</v>
      </c>
      <c r="E15591" t="s">
        <v>187</v>
      </c>
      <c r="F15591">
        <v>2020</v>
      </c>
      <c r="G15591">
        <v>0.76175999999999999</v>
      </c>
    </row>
    <row r="15592" spans="1:7">
      <c r="A15592" t="s">
        <v>1297</v>
      </c>
      <c r="B15592" t="s">
        <v>1298</v>
      </c>
      <c r="C15592" t="s">
        <v>665</v>
      </c>
      <c r="D15592" t="s">
        <v>1464</v>
      </c>
      <c r="E15592" t="s">
        <v>187</v>
      </c>
      <c r="F15592">
        <v>2005</v>
      </c>
      <c r="G15592">
        <v>0.1116</v>
      </c>
    </row>
    <row r="15593" spans="1:7">
      <c r="A15593" t="s">
        <v>1297</v>
      </c>
      <c r="B15593" t="s">
        <v>1298</v>
      </c>
      <c r="C15593" t="s">
        <v>665</v>
      </c>
      <c r="D15593" t="s">
        <v>1464</v>
      </c>
      <c r="E15593" t="s">
        <v>187</v>
      </c>
      <c r="F15593">
        <v>2010</v>
      </c>
      <c r="G15593">
        <v>6.8603800000000001</v>
      </c>
    </row>
    <row r="15594" spans="1:7">
      <c r="A15594" t="s">
        <v>1297</v>
      </c>
      <c r="B15594" t="s">
        <v>1298</v>
      </c>
      <c r="C15594" t="s">
        <v>665</v>
      </c>
      <c r="D15594" t="s">
        <v>1464</v>
      </c>
      <c r="E15594" t="s">
        <v>187</v>
      </c>
      <c r="F15594">
        <v>2012</v>
      </c>
      <c r="G15594">
        <v>67.902235000000005</v>
      </c>
    </row>
    <row r="15595" spans="1:7">
      <c r="A15595" t="s">
        <v>1297</v>
      </c>
      <c r="B15595" t="s">
        <v>1298</v>
      </c>
      <c r="C15595" t="s">
        <v>665</v>
      </c>
      <c r="D15595" t="s">
        <v>1464</v>
      </c>
      <c r="E15595" t="s">
        <v>187</v>
      </c>
      <c r="F15595">
        <v>2016</v>
      </c>
      <c r="G15595">
        <v>79.575332000000003</v>
      </c>
    </row>
    <row r="15596" spans="1:7">
      <c r="A15596" t="s">
        <v>1297</v>
      </c>
      <c r="B15596" t="s">
        <v>1298</v>
      </c>
      <c r="C15596" t="s">
        <v>665</v>
      </c>
      <c r="D15596" t="s">
        <v>1464</v>
      </c>
      <c r="E15596" t="s">
        <v>187</v>
      </c>
      <c r="F15596">
        <v>2020</v>
      </c>
      <c r="G15596">
        <v>85.28004</v>
      </c>
    </row>
    <row r="15597" spans="1:7">
      <c r="A15597" t="s">
        <v>1297</v>
      </c>
      <c r="B15597" t="s">
        <v>1298</v>
      </c>
      <c r="C15597" t="s">
        <v>659</v>
      </c>
      <c r="D15597" t="s">
        <v>1464</v>
      </c>
      <c r="E15597" t="s">
        <v>187</v>
      </c>
      <c r="F15597">
        <v>2005</v>
      </c>
      <c r="G15597">
        <v>0.17272399999999999</v>
      </c>
    </row>
    <row r="15598" spans="1:7">
      <c r="A15598" t="s">
        <v>1297</v>
      </c>
      <c r="B15598" t="s">
        <v>1298</v>
      </c>
      <c r="C15598" t="s">
        <v>659</v>
      </c>
      <c r="D15598" t="s">
        <v>1464</v>
      </c>
      <c r="E15598" t="s">
        <v>187</v>
      </c>
      <c r="F15598">
        <v>2010</v>
      </c>
      <c r="G15598">
        <v>23.13</v>
      </c>
    </row>
    <row r="15599" spans="1:7">
      <c r="A15599" t="s">
        <v>1297</v>
      </c>
      <c r="B15599" t="s">
        <v>1298</v>
      </c>
      <c r="C15599" t="s">
        <v>659</v>
      </c>
      <c r="D15599" t="s">
        <v>1464</v>
      </c>
      <c r="E15599" t="s">
        <v>187</v>
      </c>
      <c r="F15599">
        <v>2012</v>
      </c>
      <c r="G15599">
        <v>29.493292</v>
      </c>
    </row>
    <row r="15600" spans="1:7">
      <c r="A15600" t="s">
        <v>1297</v>
      </c>
      <c r="B15600" t="s">
        <v>1298</v>
      </c>
      <c r="C15600" t="s">
        <v>659</v>
      </c>
      <c r="D15600" t="s">
        <v>1464</v>
      </c>
      <c r="E15600" t="s">
        <v>187</v>
      </c>
      <c r="F15600">
        <v>2016</v>
      </c>
      <c r="G15600">
        <v>29.028708000000002</v>
      </c>
    </row>
    <row r="15601" spans="1:7">
      <c r="A15601" t="s">
        <v>1297</v>
      </c>
      <c r="B15601" t="s">
        <v>1298</v>
      </c>
      <c r="C15601" t="s">
        <v>659</v>
      </c>
      <c r="D15601" t="s">
        <v>1464</v>
      </c>
      <c r="E15601" t="s">
        <v>187</v>
      </c>
      <c r="F15601">
        <v>2020</v>
      </c>
      <c r="G15601">
        <v>33.911999999999999</v>
      </c>
    </row>
    <row r="15602" spans="1:7">
      <c r="A15602" t="s">
        <v>1297</v>
      </c>
      <c r="B15602" t="s">
        <v>1298</v>
      </c>
      <c r="C15602" t="s">
        <v>668</v>
      </c>
      <c r="D15602" t="s">
        <v>1464</v>
      </c>
      <c r="E15602" t="s">
        <v>187</v>
      </c>
      <c r="F15602">
        <v>2012</v>
      </c>
      <c r="G15602" s="14">
        <v>3.6000000000000001E-5</v>
      </c>
    </row>
    <row r="15603" spans="1:7">
      <c r="A15603" t="s">
        <v>1297</v>
      </c>
      <c r="B15603" t="s">
        <v>1298</v>
      </c>
      <c r="C15603" t="s">
        <v>668</v>
      </c>
      <c r="D15603" t="s">
        <v>1464</v>
      </c>
      <c r="E15603" t="s">
        <v>187</v>
      </c>
      <c r="F15603">
        <v>2016</v>
      </c>
      <c r="G15603">
        <v>1.3749999999999999E-3</v>
      </c>
    </row>
    <row r="15604" spans="1:7">
      <c r="A15604" t="s">
        <v>1297</v>
      </c>
      <c r="B15604" t="s">
        <v>1298</v>
      </c>
      <c r="C15604" t="s">
        <v>668</v>
      </c>
      <c r="D15604" t="s">
        <v>1464</v>
      </c>
      <c r="E15604" t="s">
        <v>187</v>
      </c>
      <c r="F15604">
        <v>2020</v>
      </c>
      <c r="G15604">
        <v>1.1292999999999999E-2</v>
      </c>
    </row>
    <row r="15605" spans="1:7">
      <c r="A15605" t="s">
        <v>1297</v>
      </c>
      <c r="B15605" t="s">
        <v>1298</v>
      </c>
      <c r="C15605" t="s">
        <v>1300</v>
      </c>
      <c r="D15605" t="s">
        <v>1464</v>
      </c>
      <c r="E15605" t="s">
        <v>187</v>
      </c>
      <c r="F15605">
        <v>2016</v>
      </c>
      <c r="G15605">
        <v>6.8799999999999998E-3</v>
      </c>
    </row>
    <row r="15606" spans="1:7">
      <c r="A15606" t="s">
        <v>1297</v>
      </c>
      <c r="B15606" t="s">
        <v>1298</v>
      </c>
      <c r="C15606" t="s">
        <v>1300</v>
      </c>
      <c r="D15606" t="s">
        <v>1464</v>
      </c>
      <c r="E15606" t="s">
        <v>187</v>
      </c>
      <c r="F15606">
        <v>2020</v>
      </c>
      <c r="G15606">
        <v>1.0800000000000001E-2</v>
      </c>
    </row>
    <row r="15607" spans="1:7">
      <c r="A15607" t="s">
        <v>1297</v>
      </c>
      <c r="B15607" t="s">
        <v>1298</v>
      </c>
      <c r="C15607" t="s">
        <v>674</v>
      </c>
      <c r="D15607" t="s">
        <v>1464</v>
      </c>
      <c r="E15607" t="s">
        <v>187</v>
      </c>
      <c r="F15607">
        <v>2005</v>
      </c>
      <c r="G15607">
        <v>7.6569999999999997E-3</v>
      </c>
    </row>
    <row r="15608" spans="1:7">
      <c r="A15608" t="s">
        <v>1297</v>
      </c>
      <c r="B15608" t="s">
        <v>1298</v>
      </c>
      <c r="C15608" t="s">
        <v>674</v>
      </c>
      <c r="D15608" t="s">
        <v>1464</v>
      </c>
      <c r="E15608" t="s">
        <v>187</v>
      </c>
      <c r="F15608">
        <v>2010</v>
      </c>
      <c r="G15608">
        <v>3.0960000000000001E-2</v>
      </c>
    </row>
    <row r="15609" spans="1:7">
      <c r="A15609" t="s">
        <v>1297</v>
      </c>
      <c r="B15609" t="s">
        <v>1298</v>
      </c>
      <c r="C15609" t="s">
        <v>674</v>
      </c>
      <c r="D15609" t="s">
        <v>1464</v>
      </c>
      <c r="E15609" t="s">
        <v>187</v>
      </c>
      <c r="F15609">
        <v>2012</v>
      </c>
      <c r="G15609">
        <v>6.8400000000000002E-2</v>
      </c>
    </row>
    <row r="15610" spans="1:7">
      <c r="A15610" t="s">
        <v>1297</v>
      </c>
      <c r="B15610" t="s">
        <v>1298</v>
      </c>
      <c r="C15610" t="s">
        <v>674</v>
      </c>
      <c r="D15610" t="s">
        <v>1464</v>
      </c>
      <c r="E15610" t="s">
        <v>187</v>
      </c>
      <c r="F15610">
        <v>2016</v>
      </c>
      <c r="G15610">
        <v>0.51480000000000004</v>
      </c>
    </row>
    <row r="15611" spans="1:7">
      <c r="A15611" t="s">
        <v>1297</v>
      </c>
      <c r="B15611" t="s">
        <v>1298</v>
      </c>
      <c r="C15611" t="s">
        <v>674</v>
      </c>
      <c r="D15611" t="s">
        <v>1464</v>
      </c>
      <c r="E15611" t="s">
        <v>187</v>
      </c>
      <c r="F15611">
        <v>2020</v>
      </c>
      <c r="G15611">
        <v>2.4443999999999999</v>
      </c>
    </row>
    <row r="15612" spans="1:7">
      <c r="A15612" t="s">
        <v>1297</v>
      </c>
      <c r="B15612" t="s">
        <v>1298</v>
      </c>
      <c r="C15612" t="s">
        <v>289</v>
      </c>
      <c r="D15612" t="s">
        <v>1464</v>
      </c>
      <c r="E15612" t="s">
        <v>187</v>
      </c>
      <c r="F15612">
        <v>2010</v>
      </c>
      <c r="G15612">
        <v>4.3199999999999998E-4</v>
      </c>
    </row>
    <row r="15613" spans="1:7">
      <c r="A15613" t="s">
        <v>1297</v>
      </c>
      <c r="B15613" t="s">
        <v>1298</v>
      </c>
      <c r="C15613" t="s">
        <v>289</v>
      </c>
      <c r="D15613" t="s">
        <v>1464</v>
      </c>
      <c r="E15613" t="s">
        <v>187</v>
      </c>
      <c r="F15613">
        <v>2012</v>
      </c>
      <c r="G15613">
        <v>8.6540000000000002E-3</v>
      </c>
    </row>
    <row r="15614" spans="1:7">
      <c r="A15614" t="s">
        <v>1297</v>
      </c>
      <c r="B15614" t="s">
        <v>1298</v>
      </c>
      <c r="C15614" t="s">
        <v>289</v>
      </c>
      <c r="D15614" t="s">
        <v>1464</v>
      </c>
      <c r="E15614" t="s">
        <v>187</v>
      </c>
      <c r="F15614">
        <v>2016</v>
      </c>
      <c r="G15614">
        <v>0.23594799999999999</v>
      </c>
    </row>
    <row r="15615" spans="1:7">
      <c r="A15615" t="s">
        <v>1297</v>
      </c>
      <c r="B15615" t="s">
        <v>1298</v>
      </c>
      <c r="C15615" t="s">
        <v>289</v>
      </c>
      <c r="D15615" t="s">
        <v>1464</v>
      </c>
      <c r="E15615" t="s">
        <v>187</v>
      </c>
      <c r="F15615">
        <v>2020</v>
      </c>
      <c r="G15615">
        <v>0.29915999999999998</v>
      </c>
    </row>
    <row r="15616" spans="1:7">
      <c r="A15616" t="s">
        <v>1297</v>
      </c>
      <c r="B15616" t="s">
        <v>1298</v>
      </c>
      <c r="C15616" t="s">
        <v>661</v>
      </c>
      <c r="D15616" t="s">
        <v>1464</v>
      </c>
      <c r="E15616" t="s">
        <v>187</v>
      </c>
      <c r="F15616">
        <v>2010</v>
      </c>
      <c r="G15616">
        <v>2.2320000000000002</v>
      </c>
    </row>
    <row r="15617" spans="1:7">
      <c r="A15617" t="s">
        <v>1297</v>
      </c>
      <c r="B15617" t="s">
        <v>1298</v>
      </c>
      <c r="C15617" t="s">
        <v>661</v>
      </c>
      <c r="D15617" t="s">
        <v>1464</v>
      </c>
      <c r="E15617" t="s">
        <v>187</v>
      </c>
      <c r="F15617">
        <v>2012</v>
      </c>
      <c r="G15617">
        <v>15.940569999999999</v>
      </c>
    </row>
    <row r="15618" spans="1:7">
      <c r="A15618" t="s">
        <v>1297</v>
      </c>
      <c r="B15618" t="s">
        <v>1298</v>
      </c>
      <c r="C15618" t="s">
        <v>661</v>
      </c>
      <c r="D15618" t="s">
        <v>1464</v>
      </c>
      <c r="E15618" t="s">
        <v>187</v>
      </c>
      <c r="F15618">
        <v>2016</v>
      </c>
      <c r="G15618">
        <v>31.175153999999999</v>
      </c>
    </row>
    <row r="15619" spans="1:7">
      <c r="A15619" t="s">
        <v>1297</v>
      </c>
      <c r="B15619" t="s">
        <v>1298</v>
      </c>
      <c r="C15619" t="s">
        <v>661</v>
      </c>
      <c r="D15619" t="s">
        <v>1464</v>
      </c>
      <c r="E15619" t="s">
        <v>187</v>
      </c>
      <c r="F15619">
        <v>2020</v>
      </c>
      <c r="G15619">
        <v>44.010662000000004</v>
      </c>
    </row>
    <row r="15620" spans="1:7">
      <c r="A15620" t="s">
        <v>1297</v>
      </c>
      <c r="B15620" t="s">
        <v>1298</v>
      </c>
      <c r="C15620" t="s">
        <v>660</v>
      </c>
      <c r="D15620" t="s">
        <v>1464</v>
      </c>
      <c r="E15620" t="s">
        <v>187</v>
      </c>
      <c r="F15620">
        <v>2005</v>
      </c>
      <c r="G15620">
        <v>9.4719999999999995E-3</v>
      </c>
    </row>
    <row r="15621" spans="1:7">
      <c r="A15621" t="s">
        <v>1297</v>
      </c>
      <c r="B15621" t="s">
        <v>1298</v>
      </c>
      <c r="C15621" t="s">
        <v>660</v>
      </c>
      <c r="D15621" t="s">
        <v>1464</v>
      </c>
      <c r="E15621" t="s">
        <v>187</v>
      </c>
      <c r="F15621">
        <v>2010</v>
      </c>
      <c r="G15621">
        <v>1.7059999999999999E-2</v>
      </c>
    </row>
    <row r="15622" spans="1:7">
      <c r="A15622" t="s">
        <v>1297</v>
      </c>
      <c r="B15622" t="s">
        <v>1298</v>
      </c>
      <c r="C15622" t="s">
        <v>660</v>
      </c>
      <c r="D15622" t="s">
        <v>1464</v>
      </c>
      <c r="E15622" t="s">
        <v>187</v>
      </c>
      <c r="F15622">
        <v>2012</v>
      </c>
      <c r="G15622">
        <v>2.0695999999999999E-2</v>
      </c>
    </row>
    <row r="15623" spans="1:7">
      <c r="A15623" t="s">
        <v>1297</v>
      </c>
      <c r="B15623" t="s">
        <v>1298</v>
      </c>
      <c r="C15623" t="s">
        <v>660</v>
      </c>
      <c r="D15623" t="s">
        <v>1464</v>
      </c>
      <c r="E15623" t="s">
        <v>187</v>
      </c>
      <c r="F15623">
        <v>2016</v>
      </c>
      <c r="G15623">
        <v>7.9437999999999995E-2</v>
      </c>
    </row>
    <row r="15624" spans="1:7">
      <c r="A15624" t="s">
        <v>1297</v>
      </c>
      <c r="B15624" t="s">
        <v>1298</v>
      </c>
      <c r="C15624" t="s">
        <v>660</v>
      </c>
      <c r="D15624" t="s">
        <v>1464</v>
      </c>
      <c r="E15624" t="s">
        <v>187</v>
      </c>
      <c r="F15624">
        <v>2020</v>
      </c>
      <c r="G15624">
        <v>0.53010000000000002</v>
      </c>
    </row>
    <row r="15625" spans="1:7">
      <c r="A15625" t="s">
        <v>1297</v>
      </c>
      <c r="B15625" t="s">
        <v>1298</v>
      </c>
      <c r="C15625" t="s">
        <v>657</v>
      </c>
      <c r="D15625" t="s">
        <v>1464</v>
      </c>
      <c r="E15625" t="s">
        <v>187</v>
      </c>
      <c r="F15625">
        <v>2005</v>
      </c>
      <c r="G15625">
        <v>7.1999999999999998E-3</v>
      </c>
    </row>
    <row r="15626" spans="1:7">
      <c r="A15626" t="s">
        <v>1297</v>
      </c>
      <c r="B15626" t="s">
        <v>1298</v>
      </c>
      <c r="C15626" t="s">
        <v>657</v>
      </c>
      <c r="D15626" t="s">
        <v>1464</v>
      </c>
      <c r="E15626" t="s">
        <v>187</v>
      </c>
      <c r="F15626">
        <v>2010</v>
      </c>
      <c r="G15626">
        <v>2.1697000000000001E-2</v>
      </c>
    </row>
    <row r="15627" spans="1:7">
      <c r="A15627" t="s">
        <v>1297</v>
      </c>
      <c r="B15627" t="s">
        <v>1298</v>
      </c>
      <c r="C15627" t="s">
        <v>657</v>
      </c>
      <c r="D15627" t="s">
        <v>1464</v>
      </c>
      <c r="E15627" t="s">
        <v>187</v>
      </c>
      <c r="F15627">
        <v>2012</v>
      </c>
      <c r="G15627">
        <v>0.37390000000000001</v>
      </c>
    </row>
    <row r="15628" spans="1:7">
      <c r="A15628" t="s">
        <v>1297</v>
      </c>
      <c r="B15628" t="s">
        <v>1298</v>
      </c>
      <c r="C15628" t="s">
        <v>657</v>
      </c>
      <c r="D15628" t="s">
        <v>1464</v>
      </c>
      <c r="E15628" t="s">
        <v>187</v>
      </c>
      <c r="F15628">
        <v>2016</v>
      </c>
      <c r="G15628">
        <v>2.6776080000000002</v>
      </c>
    </row>
    <row r="15629" spans="1:7">
      <c r="A15629" t="s">
        <v>1297</v>
      </c>
      <c r="B15629" t="s">
        <v>1298</v>
      </c>
      <c r="C15629" t="s">
        <v>657</v>
      </c>
      <c r="D15629" t="s">
        <v>1464</v>
      </c>
      <c r="E15629" t="s">
        <v>187</v>
      </c>
      <c r="F15629">
        <v>2020</v>
      </c>
      <c r="G15629">
        <v>3.467768</v>
      </c>
    </row>
    <row r="15630" spans="1:7">
      <c r="A15630" t="s">
        <v>1297</v>
      </c>
      <c r="B15630" t="s">
        <v>1298</v>
      </c>
      <c r="C15630" t="s">
        <v>653</v>
      </c>
      <c r="D15630" t="s">
        <v>1464</v>
      </c>
      <c r="E15630" t="s">
        <v>187</v>
      </c>
      <c r="F15630">
        <v>2010</v>
      </c>
      <c r="G15630">
        <v>5.3513999999999999E-2</v>
      </c>
    </row>
    <row r="15631" spans="1:7">
      <c r="A15631" t="s">
        <v>1297</v>
      </c>
      <c r="B15631" t="s">
        <v>1298</v>
      </c>
      <c r="C15631" t="s">
        <v>653</v>
      </c>
      <c r="D15631" t="s">
        <v>1464</v>
      </c>
      <c r="E15631" t="s">
        <v>187</v>
      </c>
      <c r="F15631">
        <v>2012</v>
      </c>
      <c r="G15631">
        <v>2.9299210000000002</v>
      </c>
    </row>
    <row r="15632" spans="1:7">
      <c r="A15632" t="s">
        <v>1297</v>
      </c>
      <c r="B15632" t="s">
        <v>1298</v>
      </c>
      <c r="C15632" t="s">
        <v>653</v>
      </c>
      <c r="D15632" t="s">
        <v>1464</v>
      </c>
      <c r="E15632" t="s">
        <v>187</v>
      </c>
      <c r="F15632">
        <v>2016</v>
      </c>
      <c r="G15632">
        <v>4.9906620000000004</v>
      </c>
    </row>
    <row r="15633" spans="1:7">
      <c r="A15633" t="s">
        <v>1297</v>
      </c>
      <c r="B15633" t="s">
        <v>1298</v>
      </c>
      <c r="C15633" t="s">
        <v>653</v>
      </c>
      <c r="D15633" t="s">
        <v>1464</v>
      </c>
      <c r="E15633" t="s">
        <v>187</v>
      </c>
      <c r="F15633">
        <v>2020</v>
      </c>
      <c r="G15633">
        <v>5.1928850000000004</v>
      </c>
    </row>
    <row r="15634" spans="1:7">
      <c r="A15634" t="s">
        <v>1297</v>
      </c>
      <c r="B15634" t="s">
        <v>1298</v>
      </c>
      <c r="C15634" t="s">
        <v>663</v>
      </c>
      <c r="D15634" t="s">
        <v>1464</v>
      </c>
      <c r="E15634" t="s">
        <v>187</v>
      </c>
      <c r="F15634">
        <v>2010</v>
      </c>
      <c r="G15634">
        <v>3.0599999999999998E-3</v>
      </c>
    </row>
    <row r="15635" spans="1:7">
      <c r="A15635" t="s">
        <v>1297</v>
      </c>
      <c r="B15635" t="s">
        <v>1298</v>
      </c>
      <c r="C15635" t="s">
        <v>663</v>
      </c>
      <c r="D15635" t="s">
        <v>1464</v>
      </c>
      <c r="E15635" t="s">
        <v>187</v>
      </c>
      <c r="F15635">
        <v>2012</v>
      </c>
      <c r="G15635">
        <v>2.8469000000000001E-2</v>
      </c>
    </row>
    <row r="15636" spans="1:7">
      <c r="A15636" t="s">
        <v>1297</v>
      </c>
      <c r="B15636" t="s">
        <v>1298</v>
      </c>
      <c r="C15636" t="s">
        <v>663</v>
      </c>
      <c r="D15636" t="s">
        <v>1464</v>
      </c>
      <c r="E15636" t="s">
        <v>187</v>
      </c>
      <c r="F15636">
        <v>2016</v>
      </c>
      <c r="G15636">
        <v>0.87839999999999996</v>
      </c>
    </row>
    <row r="15637" spans="1:7">
      <c r="A15637" t="s">
        <v>1297</v>
      </c>
      <c r="B15637" t="s">
        <v>1298</v>
      </c>
      <c r="C15637" t="s">
        <v>663</v>
      </c>
      <c r="D15637" t="s">
        <v>1464</v>
      </c>
      <c r="E15637" t="s">
        <v>187</v>
      </c>
      <c r="F15637">
        <v>2020</v>
      </c>
      <c r="G15637">
        <v>5.3891999999999998</v>
      </c>
    </row>
    <row r="15638" spans="1:7">
      <c r="A15638" t="s">
        <v>1297</v>
      </c>
      <c r="B15638" t="s">
        <v>1298</v>
      </c>
      <c r="C15638" t="s">
        <v>682</v>
      </c>
      <c r="D15638" t="s">
        <v>1464</v>
      </c>
      <c r="E15638" t="s">
        <v>187</v>
      </c>
      <c r="F15638">
        <v>2016</v>
      </c>
      <c r="G15638">
        <v>8.4985000000000005E-2</v>
      </c>
    </row>
    <row r="15639" spans="1:7">
      <c r="A15639" t="s">
        <v>1297</v>
      </c>
      <c r="B15639" t="s">
        <v>1298</v>
      </c>
      <c r="C15639" t="s">
        <v>682</v>
      </c>
      <c r="D15639" t="s">
        <v>1464</v>
      </c>
      <c r="E15639" t="s">
        <v>187</v>
      </c>
      <c r="F15639">
        <v>2020</v>
      </c>
      <c r="G15639">
        <v>0.108</v>
      </c>
    </row>
    <row r="15640" spans="1:7">
      <c r="A15640" t="s">
        <v>1297</v>
      </c>
      <c r="B15640" t="s">
        <v>1298</v>
      </c>
      <c r="C15640" t="s">
        <v>679</v>
      </c>
      <c r="D15640" t="s">
        <v>1464</v>
      </c>
      <c r="E15640" t="s">
        <v>187</v>
      </c>
      <c r="F15640">
        <v>2020</v>
      </c>
      <c r="G15640">
        <v>4.6231000000000001E-2</v>
      </c>
    </row>
    <row r="15641" spans="1:7">
      <c r="A15641" t="s">
        <v>1297</v>
      </c>
      <c r="B15641" t="s">
        <v>1298</v>
      </c>
      <c r="C15641" t="s">
        <v>673</v>
      </c>
      <c r="D15641" t="s">
        <v>1464</v>
      </c>
      <c r="E15641" t="s">
        <v>187</v>
      </c>
      <c r="F15641">
        <v>2010</v>
      </c>
      <c r="G15641">
        <v>1.2999999999999999E-4</v>
      </c>
    </row>
    <row r="15642" spans="1:7">
      <c r="A15642" t="s">
        <v>1297</v>
      </c>
      <c r="B15642" t="s">
        <v>1298</v>
      </c>
      <c r="C15642" t="s">
        <v>673</v>
      </c>
      <c r="D15642" t="s">
        <v>1464</v>
      </c>
      <c r="E15642" t="s">
        <v>187</v>
      </c>
      <c r="F15642">
        <v>2012</v>
      </c>
      <c r="G15642">
        <v>2.8792999999999999E-2</v>
      </c>
    </row>
    <row r="15643" spans="1:7">
      <c r="A15643" t="s">
        <v>1297</v>
      </c>
      <c r="B15643" t="s">
        <v>1298</v>
      </c>
      <c r="C15643" t="s">
        <v>673</v>
      </c>
      <c r="D15643" t="s">
        <v>1464</v>
      </c>
      <c r="E15643" t="s">
        <v>187</v>
      </c>
      <c r="F15643">
        <v>2016</v>
      </c>
      <c r="G15643">
        <v>6.5510710000000003</v>
      </c>
    </row>
    <row r="15644" spans="1:7">
      <c r="A15644" t="s">
        <v>1297</v>
      </c>
      <c r="B15644" t="s">
        <v>1298</v>
      </c>
      <c r="C15644" t="s">
        <v>673</v>
      </c>
      <c r="D15644" t="s">
        <v>1464</v>
      </c>
      <c r="E15644" t="s">
        <v>187</v>
      </c>
      <c r="F15644">
        <v>2020</v>
      </c>
      <c r="G15644">
        <v>6.3994140000000002</v>
      </c>
    </row>
    <row r="15645" spans="1:7">
      <c r="A15645" t="s">
        <v>1297</v>
      </c>
      <c r="B15645" t="s">
        <v>1298</v>
      </c>
      <c r="C15645" t="s">
        <v>661</v>
      </c>
      <c r="D15645" t="s">
        <v>1464</v>
      </c>
      <c r="E15645" t="s">
        <v>187</v>
      </c>
      <c r="F15645">
        <v>2005</v>
      </c>
      <c r="G15645">
        <v>3.7803999999999997E-2</v>
      </c>
    </row>
    <row r="15646" spans="1:7">
      <c r="A15646" t="s">
        <v>1297</v>
      </c>
      <c r="B15646" t="s">
        <v>1298</v>
      </c>
      <c r="C15646" t="s">
        <v>675</v>
      </c>
      <c r="D15646" t="s">
        <v>1464</v>
      </c>
      <c r="E15646" t="s">
        <v>187</v>
      </c>
      <c r="F15646">
        <v>2005</v>
      </c>
      <c r="G15646">
        <v>1.26E-4</v>
      </c>
    </row>
    <row r="15647" spans="1:7">
      <c r="A15647" t="s">
        <v>1297</v>
      </c>
      <c r="B15647" t="s">
        <v>1298</v>
      </c>
      <c r="C15647" t="s">
        <v>675</v>
      </c>
      <c r="D15647" t="s">
        <v>1464</v>
      </c>
      <c r="E15647" t="s">
        <v>187</v>
      </c>
      <c r="F15647">
        <v>2010</v>
      </c>
      <c r="G15647">
        <v>4.6300000000000001E-2</v>
      </c>
    </row>
    <row r="15648" spans="1:7">
      <c r="A15648" t="s">
        <v>1297</v>
      </c>
      <c r="B15648" t="s">
        <v>1298</v>
      </c>
      <c r="C15648" t="s">
        <v>675</v>
      </c>
      <c r="D15648" t="s">
        <v>1464</v>
      </c>
      <c r="E15648" t="s">
        <v>187</v>
      </c>
      <c r="F15648">
        <v>2012</v>
      </c>
      <c r="G15648">
        <v>0.58610200000000001</v>
      </c>
    </row>
    <row r="15649" spans="1:7">
      <c r="A15649" t="s">
        <v>1297</v>
      </c>
      <c r="B15649" t="s">
        <v>1298</v>
      </c>
      <c r="C15649" t="s">
        <v>675</v>
      </c>
      <c r="D15649" t="s">
        <v>1464</v>
      </c>
      <c r="E15649" t="s">
        <v>187</v>
      </c>
      <c r="F15649">
        <v>2016</v>
      </c>
      <c r="G15649">
        <v>0.96289899999999995</v>
      </c>
    </row>
    <row r="15650" spans="1:7">
      <c r="A15650" t="s">
        <v>1297</v>
      </c>
      <c r="B15650" t="s">
        <v>1298</v>
      </c>
      <c r="C15650" t="s">
        <v>675</v>
      </c>
      <c r="D15650" t="s">
        <v>1464</v>
      </c>
      <c r="E15650" t="s">
        <v>187</v>
      </c>
      <c r="F15650">
        <v>2020</v>
      </c>
      <c r="G15650">
        <v>1.09094</v>
      </c>
    </row>
    <row r="15651" spans="1:7">
      <c r="A15651" t="s">
        <v>1297</v>
      </c>
      <c r="B15651" t="s">
        <v>1298</v>
      </c>
      <c r="C15651" t="s">
        <v>651</v>
      </c>
      <c r="D15651" t="s">
        <v>1464</v>
      </c>
      <c r="E15651" t="s">
        <v>187</v>
      </c>
      <c r="F15651">
        <v>2005</v>
      </c>
      <c r="G15651">
        <v>7.5664999999999996E-2</v>
      </c>
    </row>
    <row r="15652" spans="1:7">
      <c r="A15652" t="s">
        <v>1297</v>
      </c>
      <c r="B15652" t="s">
        <v>1298</v>
      </c>
      <c r="C15652" t="s">
        <v>651</v>
      </c>
      <c r="D15652" t="s">
        <v>1464</v>
      </c>
      <c r="E15652" t="s">
        <v>187</v>
      </c>
      <c r="F15652">
        <v>2010</v>
      </c>
      <c r="G15652">
        <v>0.31972699999999998</v>
      </c>
    </row>
    <row r="15653" spans="1:7">
      <c r="A15653" t="s">
        <v>1297</v>
      </c>
      <c r="B15653" t="s">
        <v>1298</v>
      </c>
      <c r="C15653" t="s">
        <v>651</v>
      </c>
      <c r="D15653" t="s">
        <v>1464</v>
      </c>
      <c r="E15653" t="s">
        <v>187</v>
      </c>
      <c r="F15653">
        <v>2012</v>
      </c>
      <c r="G15653">
        <v>1.214939</v>
      </c>
    </row>
    <row r="15654" spans="1:7">
      <c r="A15654" t="s">
        <v>1297</v>
      </c>
      <c r="B15654" t="s">
        <v>1298</v>
      </c>
      <c r="C15654" t="s">
        <v>651</v>
      </c>
      <c r="D15654" t="s">
        <v>1464</v>
      </c>
      <c r="E15654" t="s">
        <v>187</v>
      </c>
      <c r="F15654">
        <v>2016</v>
      </c>
      <c r="G15654">
        <v>3.9456579999999999</v>
      </c>
    </row>
    <row r="15655" spans="1:7">
      <c r="A15655" t="s">
        <v>1297</v>
      </c>
      <c r="B15655" t="s">
        <v>1298</v>
      </c>
      <c r="C15655" t="s">
        <v>651</v>
      </c>
      <c r="D15655" t="s">
        <v>1464</v>
      </c>
      <c r="E15655" t="s">
        <v>187</v>
      </c>
      <c r="F15655">
        <v>2020</v>
      </c>
      <c r="G15655">
        <v>6.127535</v>
      </c>
    </row>
    <row r="15656" spans="1:7">
      <c r="A15656" t="s">
        <v>1297</v>
      </c>
      <c r="B15656" t="s">
        <v>1298</v>
      </c>
      <c r="C15656" t="s">
        <v>676</v>
      </c>
      <c r="D15656" t="s">
        <v>1464</v>
      </c>
      <c r="E15656" t="s">
        <v>187</v>
      </c>
      <c r="F15656">
        <v>2010</v>
      </c>
      <c r="G15656">
        <v>6.0990999999999997E-2</v>
      </c>
    </row>
    <row r="15657" spans="1:7">
      <c r="A15657" t="s">
        <v>1297</v>
      </c>
      <c r="B15657" t="s">
        <v>1298</v>
      </c>
      <c r="C15657" t="s">
        <v>676</v>
      </c>
      <c r="D15657" t="s">
        <v>1464</v>
      </c>
      <c r="E15657" t="s">
        <v>187</v>
      </c>
      <c r="F15657">
        <v>2012</v>
      </c>
      <c r="G15657">
        <v>1.5264</v>
      </c>
    </row>
    <row r="15658" spans="1:7">
      <c r="A15658" t="s">
        <v>1297</v>
      </c>
      <c r="B15658" t="s">
        <v>1298</v>
      </c>
      <c r="C15658" t="s">
        <v>676</v>
      </c>
      <c r="D15658" t="s">
        <v>1464</v>
      </c>
      <c r="E15658" t="s">
        <v>187</v>
      </c>
      <c r="F15658">
        <v>2016</v>
      </c>
      <c r="G15658">
        <v>1.9188000000000001</v>
      </c>
    </row>
    <row r="15659" spans="1:7">
      <c r="A15659" t="s">
        <v>1297</v>
      </c>
      <c r="B15659" t="s">
        <v>1298</v>
      </c>
      <c r="C15659" t="s">
        <v>676</v>
      </c>
      <c r="D15659" t="s">
        <v>1464</v>
      </c>
      <c r="E15659" t="s">
        <v>187</v>
      </c>
      <c r="F15659">
        <v>2020</v>
      </c>
      <c r="G15659">
        <v>2.1204000000000001</v>
      </c>
    </row>
    <row r="15660" spans="1:7">
      <c r="A15660" t="s">
        <v>1297</v>
      </c>
      <c r="B15660" t="s">
        <v>1298</v>
      </c>
      <c r="C15660" t="s">
        <v>667</v>
      </c>
      <c r="D15660" t="s">
        <v>1464</v>
      </c>
      <c r="E15660" t="s">
        <v>187</v>
      </c>
      <c r="F15660">
        <v>2005</v>
      </c>
      <c r="G15660">
        <v>6.3713000000000006E-2</v>
      </c>
    </row>
    <row r="15661" spans="1:7">
      <c r="A15661" t="s">
        <v>1297</v>
      </c>
      <c r="B15661" t="s">
        <v>1298</v>
      </c>
      <c r="C15661" t="s">
        <v>667</v>
      </c>
      <c r="D15661" t="s">
        <v>1464</v>
      </c>
      <c r="E15661" t="s">
        <v>187</v>
      </c>
      <c r="F15661">
        <v>2010</v>
      </c>
      <c r="G15661">
        <v>7.6133000000000006E-2</v>
      </c>
    </row>
    <row r="15662" spans="1:7">
      <c r="A15662" t="s">
        <v>1297</v>
      </c>
      <c r="B15662" t="s">
        <v>1298</v>
      </c>
      <c r="C15662" t="s">
        <v>667</v>
      </c>
      <c r="D15662" t="s">
        <v>1464</v>
      </c>
      <c r="E15662" t="s">
        <v>187</v>
      </c>
      <c r="F15662">
        <v>2012</v>
      </c>
      <c r="G15662">
        <v>0.137797</v>
      </c>
    </row>
    <row r="15663" spans="1:7">
      <c r="A15663" t="s">
        <v>1297</v>
      </c>
      <c r="B15663" t="s">
        <v>1298</v>
      </c>
      <c r="C15663" t="s">
        <v>667</v>
      </c>
      <c r="D15663" t="s">
        <v>1464</v>
      </c>
      <c r="E15663" t="s">
        <v>187</v>
      </c>
      <c r="F15663">
        <v>2016</v>
      </c>
      <c r="G15663">
        <v>0.361037</v>
      </c>
    </row>
    <row r="15664" spans="1:7">
      <c r="A15664" t="s">
        <v>1297</v>
      </c>
      <c r="B15664" t="s">
        <v>1298</v>
      </c>
      <c r="C15664" t="s">
        <v>667</v>
      </c>
      <c r="D15664" t="s">
        <v>1464</v>
      </c>
      <c r="E15664" t="s">
        <v>187</v>
      </c>
      <c r="F15664">
        <v>2020</v>
      </c>
      <c r="G15664">
        <v>0.46938600000000003</v>
      </c>
    </row>
    <row r="15665" spans="1:7">
      <c r="A15665" t="s">
        <v>1297</v>
      </c>
      <c r="B15665" t="s">
        <v>1298</v>
      </c>
      <c r="C15665" t="s">
        <v>671</v>
      </c>
      <c r="D15665" t="s">
        <v>1464</v>
      </c>
      <c r="E15665" t="s">
        <v>187</v>
      </c>
      <c r="F15665">
        <v>2012</v>
      </c>
      <c r="G15665">
        <v>4.1079999999999997E-3</v>
      </c>
    </row>
    <row r="15666" spans="1:7">
      <c r="A15666" t="s">
        <v>1297</v>
      </c>
      <c r="B15666" t="s">
        <v>1298</v>
      </c>
      <c r="C15666" t="s">
        <v>671</v>
      </c>
      <c r="D15666" t="s">
        <v>1464</v>
      </c>
      <c r="E15666" t="s">
        <v>187</v>
      </c>
      <c r="F15666">
        <v>2016</v>
      </c>
      <c r="G15666">
        <v>0.44595000000000001</v>
      </c>
    </row>
    <row r="15667" spans="1:7">
      <c r="A15667" t="s">
        <v>1297</v>
      </c>
      <c r="B15667" t="s">
        <v>1298</v>
      </c>
      <c r="C15667" t="s">
        <v>671</v>
      </c>
      <c r="D15667" t="s">
        <v>1464</v>
      </c>
      <c r="E15667" t="s">
        <v>187</v>
      </c>
      <c r="F15667">
        <v>2020</v>
      </c>
      <c r="G15667">
        <v>2.5584229999999999</v>
      </c>
    </row>
    <row r="15668" spans="1:7">
      <c r="A15668" t="s">
        <v>1297</v>
      </c>
      <c r="B15668" t="s">
        <v>1298</v>
      </c>
      <c r="C15668" t="s">
        <v>655</v>
      </c>
      <c r="D15668" t="s">
        <v>1464</v>
      </c>
      <c r="E15668" t="s">
        <v>187</v>
      </c>
      <c r="F15668">
        <v>2005</v>
      </c>
      <c r="G15668">
        <v>1.49E-3</v>
      </c>
    </row>
    <row r="15669" spans="1:7">
      <c r="A15669" t="s">
        <v>1297</v>
      </c>
      <c r="B15669" t="s">
        <v>1298</v>
      </c>
      <c r="C15669" t="s">
        <v>655</v>
      </c>
      <c r="D15669" t="s">
        <v>1464</v>
      </c>
      <c r="E15669" t="s">
        <v>187</v>
      </c>
      <c r="F15669">
        <v>2010</v>
      </c>
      <c r="G15669">
        <v>2.2165270000000001</v>
      </c>
    </row>
    <row r="15670" spans="1:7">
      <c r="A15670" t="s">
        <v>1297</v>
      </c>
      <c r="B15670" t="s">
        <v>1298</v>
      </c>
      <c r="C15670" t="s">
        <v>655</v>
      </c>
      <c r="D15670" t="s">
        <v>1464</v>
      </c>
      <c r="E15670" t="s">
        <v>187</v>
      </c>
      <c r="F15670">
        <v>2012</v>
      </c>
      <c r="G15670">
        <v>7.7350459999999996</v>
      </c>
    </row>
    <row r="15671" spans="1:7">
      <c r="A15671" t="s">
        <v>1297</v>
      </c>
      <c r="B15671" t="s">
        <v>1298</v>
      </c>
      <c r="C15671" t="s">
        <v>655</v>
      </c>
      <c r="D15671" t="s">
        <v>1464</v>
      </c>
      <c r="E15671" t="s">
        <v>187</v>
      </c>
      <c r="F15671">
        <v>2016</v>
      </c>
      <c r="G15671">
        <v>7.6732379999999996</v>
      </c>
    </row>
    <row r="15672" spans="1:7">
      <c r="A15672" t="s">
        <v>1297</v>
      </c>
      <c r="B15672" t="s">
        <v>1298</v>
      </c>
      <c r="C15672" t="s">
        <v>655</v>
      </c>
      <c r="D15672" t="s">
        <v>1464</v>
      </c>
      <c r="E15672" t="s">
        <v>187</v>
      </c>
      <c r="F15672">
        <v>2020</v>
      </c>
      <c r="G15672">
        <v>8.3216660000000005</v>
      </c>
    </row>
    <row r="15673" spans="1:7">
      <c r="A15673" t="s">
        <v>1297</v>
      </c>
      <c r="B15673" t="s">
        <v>1298</v>
      </c>
      <c r="C15673" t="s">
        <v>1301</v>
      </c>
      <c r="D15673" t="s">
        <v>1464</v>
      </c>
      <c r="E15673" t="s">
        <v>187</v>
      </c>
      <c r="F15673">
        <v>2016</v>
      </c>
      <c r="G15673">
        <v>3.7552970000000001</v>
      </c>
    </row>
    <row r="15674" spans="1:7">
      <c r="A15674" t="s">
        <v>1297</v>
      </c>
      <c r="B15674" t="s">
        <v>1298</v>
      </c>
      <c r="C15674" t="s">
        <v>677</v>
      </c>
      <c r="D15674" t="s">
        <v>1464</v>
      </c>
      <c r="E15674" t="s">
        <v>187</v>
      </c>
      <c r="F15674">
        <v>2005</v>
      </c>
      <c r="G15674">
        <v>2.9430000000000001E-2</v>
      </c>
    </row>
    <row r="15675" spans="1:7">
      <c r="A15675" t="s">
        <v>1297</v>
      </c>
      <c r="B15675" t="s">
        <v>1298</v>
      </c>
      <c r="C15675" t="s">
        <v>677</v>
      </c>
      <c r="D15675" t="s">
        <v>1464</v>
      </c>
      <c r="E15675" t="s">
        <v>187</v>
      </c>
      <c r="F15675">
        <v>2010</v>
      </c>
      <c r="G15675">
        <v>0.14499699999999999</v>
      </c>
    </row>
    <row r="15676" spans="1:7">
      <c r="A15676" t="s">
        <v>1297</v>
      </c>
      <c r="B15676" t="s">
        <v>1298</v>
      </c>
      <c r="C15676" t="s">
        <v>677</v>
      </c>
      <c r="D15676" t="s">
        <v>1464</v>
      </c>
      <c r="E15676" t="s">
        <v>187</v>
      </c>
      <c r="F15676">
        <v>2012</v>
      </c>
      <c r="G15676">
        <v>4.8734999999999999</v>
      </c>
    </row>
    <row r="15677" spans="1:7">
      <c r="A15677" t="s">
        <v>1297</v>
      </c>
      <c r="B15677" t="s">
        <v>1298</v>
      </c>
      <c r="C15677" t="s">
        <v>677</v>
      </c>
      <c r="D15677" t="s">
        <v>1464</v>
      </c>
      <c r="E15677" t="s">
        <v>187</v>
      </c>
      <c r="F15677">
        <v>2016</v>
      </c>
      <c r="G15677">
        <v>37.422378000000002</v>
      </c>
    </row>
    <row r="15678" spans="1:7">
      <c r="A15678" t="s">
        <v>1297</v>
      </c>
      <c r="B15678" t="s">
        <v>1298</v>
      </c>
      <c r="C15678" t="s">
        <v>677</v>
      </c>
      <c r="D15678" t="s">
        <v>1464</v>
      </c>
      <c r="E15678" t="s">
        <v>187</v>
      </c>
      <c r="F15678">
        <v>2020</v>
      </c>
      <c r="G15678">
        <v>46.505051999999999</v>
      </c>
    </row>
    <row r="15679" spans="1:7">
      <c r="A15679" t="s">
        <v>1297</v>
      </c>
      <c r="B15679" t="s">
        <v>1298</v>
      </c>
      <c r="C15679" t="s">
        <v>681</v>
      </c>
      <c r="D15679" t="s">
        <v>1464</v>
      </c>
      <c r="E15679" t="s">
        <v>187</v>
      </c>
      <c r="F15679">
        <v>2020</v>
      </c>
      <c r="G15679">
        <v>7.9906000000000005E-2</v>
      </c>
    </row>
    <row r="15680" spans="1:7">
      <c r="A15680" t="s">
        <v>1297</v>
      </c>
      <c r="B15680" t="s">
        <v>1298</v>
      </c>
      <c r="C15680" t="s">
        <v>666</v>
      </c>
      <c r="D15680" t="s">
        <v>1464</v>
      </c>
      <c r="E15680" t="s">
        <v>187</v>
      </c>
      <c r="F15680">
        <v>2012</v>
      </c>
      <c r="G15680">
        <v>7.1999999999999998E-3</v>
      </c>
    </row>
    <row r="15681" spans="1:7">
      <c r="A15681" t="s">
        <v>1297</v>
      </c>
      <c r="B15681" t="s">
        <v>1298</v>
      </c>
      <c r="C15681" t="s">
        <v>666</v>
      </c>
      <c r="D15681" t="s">
        <v>1464</v>
      </c>
      <c r="E15681" t="s">
        <v>187</v>
      </c>
      <c r="F15681">
        <v>2016</v>
      </c>
      <c r="G15681">
        <v>0.23760000000000001</v>
      </c>
    </row>
    <row r="15682" spans="1:7">
      <c r="A15682" t="s">
        <v>1297</v>
      </c>
      <c r="B15682" t="s">
        <v>1298</v>
      </c>
      <c r="C15682" t="s">
        <v>666</v>
      </c>
      <c r="D15682" t="s">
        <v>1464</v>
      </c>
      <c r="E15682" t="s">
        <v>187</v>
      </c>
      <c r="F15682">
        <v>2020</v>
      </c>
      <c r="G15682">
        <v>0.32795999999999997</v>
      </c>
    </row>
    <row r="15683" spans="1:7">
      <c r="A15683" t="s">
        <v>1297</v>
      </c>
      <c r="B15683" t="s">
        <v>1298</v>
      </c>
      <c r="C15683" t="s">
        <v>685</v>
      </c>
      <c r="D15683" t="s">
        <v>1464</v>
      </c>
      <c r="E15683" t="s">
        <v>187</v>
      </c>
      <c r="F15683">
        <v>2010</v>
      </c>
      <c r="G15683" s="14">
        <v>9.3999999999999994E-5</v>
      </c>
    </row>
    <row r="15684" spans="1:7">
      <c r="A15684" t="s">
        <v>1297</v>
      </c>
      <c r="B15684" t="s">
        <v>1298</v>
      </c>
      <c r="C15684" t="s">
        <v>685</v>
      </c>
      <c r="D15684" t="s">
        <v>1464</v>
      </c>
      <c r="E15684" t="s">
        <v>187</v>
      </c>
      <c r="F15684">
        <v>2012</v>
      </c>
      <c r="G15684">
        <v>1.021E-2</v>
      </c>
    </row>
    <row r="15685" spans="1:7">
      <c r="A15685" t="s">
        <v>1297</v>
      </c>
      <c r="B15685" t="s">
        <v>1298</v>
      </c>
      <c r="C15685" t="s">
        <v>685</v>
      </c>
      <c r="D15685" t="s">
        <v>1464</v>
      </c>
      <c r="E15685" t="s">
        <v>187</v>
      </c>
      <c r="F15685">
        <v>2016</v>
      </c>
      <c r="G15685">
        <v>8.5316000000000003E-2</v>
      </c>
    </row>
    <row r="15686" spans="1:7">
      <c r="A15686" t="s">
        <v>1297</v>
      </c>
      <c r="B15686" t="s">
        <v>1298</v>
      </c>
      <c r="C15686" t="s">
        <v>685</v>
      </c>
      <c r="D15686" t="s">
        <v>1464</v>
      </c>
      <c r="E15686" t="s">
        <v>187</v>
      </c>
      <c r="F15686">
        <v>2020</v>
      </c>
      <c r="G15686">
        <v>8.3610000000000004E-2</v>
      </c>
    </row>
    <row r="15687" spans="1:7">
      <c r="A15687" t="s">
        <v>1297</v>
      </c>
      <c r="B15687" t="s">
        <v>1298</v>
      </c>
      <c r="C15687" t="s">
        <v>658</v>
      </c>
      <c r="D15687" t="s">
        <v>1464</v>
      </c>
      <c r="E15687" t="s">
        <v>187</v>
      </c>
      <c r="F15687">
        <v>2016</v>
      </c>
      <c r="G15687">
        <v>3.4837E-2</v>
      </c>
    </row>
    <row r="15688" spans="1:7">
      <c r="A15688" t="s">
        <v>1297</v>
      </c>
      <c r="B15688" t="s">
        <v>1298</v>
      </c>
      <c r="C15688" t="s">
        <v>658</v>
      </c>
      <c r="D15688" t="s">
        <v>1464</v>
      </c>
      <c r="E15688" t="s">
        <v>187</v>
      </c>
      <c r="F15688">
        <v>2020</v>
      </c>
      <c r="G15688">
        <v>0.2646</v>
      </c>
    </row>
    <row r="15689" spans="1:7">
      <c r="A15689" t="s">
        <v>1297</v>
      </c>
      <c r="B15689" t="s">
        <v>1298</v>
      </c>
      <c r="C15689" t="s">
        <v>664</v>
      </c>
      <c r="D15689" t="s">
        <v>1464</v>
      </c>
      <c r="E15689" t="s">
        <v>187</v>
      </c>
      <c r="F15689">
        <v>2010</v>
      </c>
      <c r="G15689">
        <v>1.714E-3</v>
      </c>
    </row>
    <row r="15690" spans="1:7">
      <c r="A15690" t="s">
        <v>1297</v>
      </c>
      <c r="B15690" t="s">
        <v>1298</v>
      </c>
      <c r="C15690" t="s">
        <v>664</v>
      </c>
      <c r="D15690" t="s">
        <v>1464</v>
      </c>
      <c r="E15690" t="s">
        <v>187</v>
      </c>
      <c r="F15690">
        <v>2012</v>
      </c>
      <c r="G15690">
        <v>2.3259999999999999E-3</v>
      </c>
    </row>
    <row r="15691" spans="1:7">
      <c r="A15691" t="s">
        <v>1297</v>
      </c>
      <c r="B15691" t="s">
        <v>1298</v>
      </c>
      <c r="C15691" t="s">
        <v>664</v>
      </c>
      <c r="D15691" t="s">
        <v>1464</v>
      </c>
      <c r="E15691" t="s">
        <v>187</v>
      </c>
      <c r="F15691">
        <v>2016</v>
      </c>
      <c r="G15691">
        <v>2.2176000000000001E-2</v>
      </c>
    </row>
    <row r="15692" spans="1:7">
      <c r="A15692" t="s">
        <v>1297</v>
      </c>
      <c r="B15692" t="s">
        <v>1298</v>
      </c>
      <c r="C15692" t="s">
        <v>664</v>
      </c>
      <c r="D15692" t="s">
        <v>1464</v>
      </c>
      <c r="E15692" t="s">
        <v>187</v>
      </c>
      <c r="F15692">
        <v>2020</v>
      </c>
      <c r="G15692">
        <v>7.6859999999999998E-2</v>
      </c>
    </row>
    <row r="15693" spans="1:7">
      <c r="A15693" t="s">
        <v>1297</v>
      </c>
      <c r="B15693" t="s">
        <v>1298</v>
      </c>
      <c r="C15693" t="s">
        <v>656</v>
      </c>
      <c r="D15693" t="s">
        <v>1464</v>
      </c>
      <c r="E15693" t="s">
        <v>187</v>
      </c>
      <c r="F15693">
        <v>2005</v>
      </c>
      <c r="G15693">
        <v>4.6151999999999997</v>
      </c>
    </row>
    <row r="15694" spans="1:7">
      <c r="A15694" t="s">
        <v>1297</v>
      </c>
      <c r="B15694" t="s">
        <v>1298</v>
      </c>
      <c r="C15694" t="s">
        <v>656</v>
      </c>
      <c r="D15694" t="s">
        <v>1464</v>
      </c>
      <c r="E15694" t="s">
        <v>187</v>
      </c>
      <c r="F15694">
        <v>2010</v>
      </c>
      <c r="G15694">
        <v>42.224400000000003</v>
      </c>
    </row>
    <row r="15695" spans="1:7">
      <c r="A15695" t="s">
        <v>1297</v>
      </c>
      <c r="B15695" t="s">
        <v>1298</v>
      </c>
      <c r="C15695" t="s">
        <v>656</v>
      </c>
      <c r="D15695" t="s">
        <v>1464</v>
      </c>
      <c r="E15695" t="s">
        <v>187</v>
      </c>
      <c r="F15695">
        <v>2012</v>
      </c>
      <c r="G15695">
        <v>94.968000000000004</v>
      </c>
    </row>
    <row r="15696" spans="1:7">
      <c r="A15696" t="s">
        <v>1297</v>
      </c>
      <c r="B15696" t="s">
        <v>1298</v>
      </c>
      <c r="C15696" t="s">
        <v>656</v>
      </c>
      <c r="D15696" t="s">
        <v>1464</v>
      </c>
      <c r="E15696" t="s">
        <v>187</v>
      </c>
      <c r="F15696">
        <v>2016</v>
      </c>
      <c r="G15696">
        <v>137.15280000000001</v>
      </c>
    </row>
    <row r="15697" spans="1:7">
      <c r="A15697" t="s">
        <v>1297</v>
      </c>
      <c r="B15697" t="s">
        <v>1298</v>
      </c>
      <c r="C15697" t="s">
        <v>656</v>
      </c>
      <c r="D15697" t="s">
        <v>1464</v>
      </c>
      <c r="E15697" t="s">
        <v>187</v>
      </c>
      <c r="F15697">
        <v>2020</v>
      </c>
      <c r="G15697">
        <v>167.0112</v>
      </c>
    </row>
    <row r="15698" spans="1:7">
      <c r="A15698" t="s">
        <v>1297</v>
      </c>
      <c r="B15698" t="s">
        <v>1298</v>
      </c>
      <c r="C15698" t="s">
        <v>662</v>
      </c>
      <c r="D15698" t="s">
        <v>1464</v>
      </c>
      <c r="E15698" t="s">
        <v>187</v>
      </c>
      <c r="F15698">
        <v>2005</v>
      </c>
      <c r="G15698">
        <v>3.431E-3</v>
      </c>
    </row>
    <row r="15699" spans="1:7">
      <c r="A15699" t="s">
        <v>1297</v>
      </c>
      <c r="B15699" t="s">
        <v>1298</v>
      </c>
      <c r="C15699" t="s">
        <v>662</v>
      </c>
      <c r="D15699" t="s">
        <v>1464</v>
      </c>
      <c r="E15699" t="s">
        <v>187</v>
      </c>
      <c r="F15699">
        <v>2010</v>
      </c>
      <c r="G15699">
        <v>0.56789299999999998</v>
      </c>
    </row>
    <row r="15700" spans="1:7">
      <c r="A15700" t="s">
        <v>1297</v>
      </c>
      <c r="B15700" t="s">
        <v>1298</v>
      </c>
      <c r="C15700" t="s">
        <v>662</v>
      </c>
      <c r="D15700" t="s">
        <v>1464</v>
      </c>
      <c r="E15700" t="s">
        <v>187</v>
      </c>
      <c r="F15700">
        <v>2012</v>
      </c>
      <c r="G15700">
        <v>6.0983499999999999</v>
      </c>
    </row>
    <row r="15701" spans="1:7">
      <c r="A15701" t="s">
        <v>1297</v>
      </c>
      <c r="B15701" t="s">
        <v>1298</v>
      </c>
      <c r="C15701" t="s">
        <v>662</v>
      </c>
      <c r="D15701" t="s">
        <v>1464</v>
      </c>
      <c r="E15701" t="s">
        <v>187</v>
      </c>
      <c r="F15701">
        <v>2016</v>
      </c>
      <c r="G15701">
        <v>14.146978000000001</v>
      </c>
    </row>
    <row r="15702" spans="1:7">
      <c r="A15702" t="s">
        <v>1297</v>
      </c>
      <c r="B15702" t="s">
        <v>1298</v>
      </c>
      <c r="C15702" t="s">
        <v>662</v>
      </c>
      <c r="D15702" t="s">
        <v>1464</v>
      </c>
      <c r="E15702" t="s">
        <v>187</v>
      </c>
      <c r="F15702">
        <v>2020</v>
      </c>
      <c r="G15702">
        <v>15.942636</v>
      </c>
    </row>
    <row r="15703" spans="1:7">
      <c r="A15703" t="s">
        <v>1297</v>
      </c>
      <c r="B15703" t="s">
        <v>1298</v>
      </c>
      <c r="C15703" t="s">
        <v>654</v>
      </c>
      <c r="D15703" t="s">
        <v>1464</v>
      </c>
      <c r="E15703" t="s">
        <v>187</v>
      </c>
      <c r="F15703">
        <v>2005</v>
      </c>
      <c r="G15703">
        <v>2.0379999999999999E-3</v>
      </c>
    </row>
    <row r="15704" spans="1:7">
      <c r="A15704" t="s">
        <v>1297</v>
      </c>
      <c r="B15704" t="s">
        <v>1298</v>
      </c>
      <c r="C15704" t="s">
        <v>654</v>
      </c>
      <c r="D15704" t="s">
        <v>1464</v>
      </c>
      <c r="E15704" t="s">
        <v>187</v>
      </c>
      <c r="F15704">
        <v>2010</v>
      </c>
      <c r="G15704">
        <v>2.3015000000000001E-2</v>
      </c>
    </row>
    <row r="15705" spans="1:7">
      <c r="A15705" t="s">
        <v>1297</v>
      </c>
      <c r="B15705" t="s">
        <v>1298</v>
      </c>
      <c r="C15705" t="s">
        <v>654</v>
      </c>
      <c r="D15705" t="s">
        <v>1464</v>
      </c>
      <c r="E15705" t="s">
        <v>187</v>
      </c>
      <c r="F15705">
        <v>2012</v>
      </c>
      <c r="G15705">
        <v>7.7562000000000006E-2</v>
      </c>
    </row>
    <row r="15706" spans="1:7">
      <c r="A15706" t="s">
        <v>1297</v>
      </c>
      <c r="B15706" t="s">
        <v>1298</v>
      </c>
      <c r="C15706" t="s">
        <v>654</v>
      </c>
      <c r="D15706" t="s">
        <v>1464</v>
      </c>
      <c r="E15706" t="s">
        <v>187</v>
      </c>
      <c r="F15706">
        <v>2016</v>
      </c>
      <c r="G15706">
        <v>0.52537299999999998</v>
      </c>
    </row>
    <row r="15707" spans="1:7">
      <c r="A15707" t="s">
        <v>1297</v>
      </c>
      <c r="B15707" t="s">
        <v>1298</v>
      </c>
      <c r="C15707" t="s">
        <v>654</v>
      </c>
      <c r="D15707" t="s">
        <v>1464</v>
      </c>
      <c r="E15707" t="s">
        <v>187</v>
      </c>
      <c r="F15707">
        <v>2020</v>
      </c>
      <c r="G15707">
        <v>0.78576100000000004</v>
      </c>
    </row>
    <row r="15708" spans="1:7">
      <c r="A15708" t="s">
        <v>1297</v>
      </c>
      <c r="B15708" t="s">
        <v>1298</v>
      </c>
      <c r="C15708" t="s">
        <v>652</v>
      </c>
      <c r="D15708" t="s">
        <v>1464</v>
      </c>
      <c r="E15708" t="s">
        <v>187</v>
      </c>
      <c r="F15708">
        <v>2005</v>
      </c>
      <c r="G15708">
        <v>4.8240000000000002E-3</v>
      </c>
    </row>
    <row r="15709" spans="1:7">
      <c r="A15709" t="s">
        <v>1297</v>
      </c>
      <c r="B15709" t="s">
        <v>1298</v>
      </c>
      <c r="C15709" t="s">
        <v>652</v>
      </c>
      <c r="D15709" t="s">
        <v>1464</v>
      </c>
      <c r="E15709" t="s">
        <v>187</v>
      </c>
      <c r="F15709">
        <v>2010</v>
      </c>
      <c r="G15709">
        <v>2.016</v>
      </c>
    </row>
    <row r="15710" spans="1:7">
      <c r="A15710" t="s">
        <v>1297</v>
      </c>
      <c r="B15710" t="s">
        <v>1298</v>
      </c>
      <c r="C15710" t="s">
        <v>652</v>
      </c>
      <c r="D15710" t="s">
        <v>1464</v>
      </c>
      <c r="E15710" t="s">
        <v>187</v>
      </c>
      <c r="F15710">
        <v>2012</v>
      </c>
      <c r="G15710">
        <v>7.7328000000000001</v>
      </c>
    </row>
    <row r="15711" spans="1:7">
      <c r="A15711" t="s">
        <v>1297</v>
      </c>
      <c r="B15711" t="s">
        <v>1298</v>
      </c>
      <c r="C15711" t="s">
        <v>652</v>
      </c>
      <c r="D15711" t="s">
        <v>1464</v>
      </c>
      <c r="E15711" t="s">
        <v>187</v>
      </c>
      <c r="F15711">
        <v>2016</v>
      </c>
      <c r="G15711">
        <v>11.142720000000001</v>
      </c>
    </row>
    <row r="15712" spans="1:7">
      <c r="A15712" t="s">
        <v>1297</v>
      </c>
      <c r="B15712" t="s">
        <v>1298</v>
      </c>
      <c r="C15712" t="s">
        <v>652</v>
      </c>
      <c r="D15712" t="s">
        <v>1464</v>
      </c>
      <c r="E15712" t="s">
        <v>187</v>
      </c>
      <c r="F15712">
        <v>2020</v>
      </c>
      <c r="G15712">
        <v>15.289199999999999</v>
      </c>
    </row>
    <row r="15713" spans="1:7">
      <c r="A15713" t="s">
        <v>1297</v>
      </c>
      <c r="B15713" t="s">
        <v>1298</v>
      </c>
      <c r="C15713" t="s">
        <v>1302</v>
      </c>
      <c r="D15713" t="s">
        <v>1464</v>
      </c>
      <c r="E15713" t="s">
        <v>187</v>
      </c>
      <c r="F15713">
        <v>2016</v>
      </c>
      <c r="G15713">
        <v>4.57E-4</v>
      </c>
    </row>
    <row r="15714" spans="1:7">
      <c r="A15714" t="s">
        <v>1297</v>
      </c>
      <c r="B15714" t="s">
        <v>1298</v>
      </c>
      <c r="C15714" t="s">
        <v>1302</v>
      </c>
      <c r="D15714" t="s">
        <v>1464</v>
      </c>
      <c r="E15714" t="s">
        <v>187</v>
      </c>
      <c r="F15714">
        <v>2020</v>
      </c>
      <c r="G15714">
        <v>3.798E-2</v>
      </c>
    </row>
    <row r="15715" spans="1:7">
      <c r="A15715" t="s">
        <v>1297</v>
      </c>
      <c r="B15715" t="s">
        <v>1298</v>
      </c>
      <c r="C15715" t="s">
        <v>656</v>
      </c>
      <c r="D15715" t="s">
        <v>1465</v>
      </c>
      <c r="E15715" t="s">
        <v>187</v>
      </c>
      <c r="F15715">
        <v>2005</v>
      </c>
      <c r="G15715">
        <v>4.6151999999999997</v>
      </c>
    </row>
    <row r="15716" spans="1:7">
      <c r="A15716" t="s">
        <v>1297</v>
      </c>
      <c r="B15716" t="s">
        <v>1298</v>
      </c>
      <c r="C15716" t="s">
        <v>656</v>
      </c>
      <c r="D15716" t="s">
        <v>1465</v>
      </c>
      <c r="E15716" t="s">
        <v>187</v>
      </c>
      <c r="F15716">
        <v>2010</v>
      </c>
      <c r="G15716">
        <v>42.224400000000003</v>
      </c>
    </row>
    <row r="15717" spans="1:7">
      <c r="A15717" t="s">
        <v>1297</v>
      </c>
      <c r="B15717" t="s">
        <v>1298</v>
      </c>
      <c r="C15717" t="s">
        <v>656</v>
      </c>
      <c r="D15717" t="s">
        <v>1465</v>
      </c>
      <c r="E15717" t="s">
        <v>187</v>
      </c>
      <c r="F15717">
        <v>2012</v>
      </c>
      <c r="G15717">
        <v>94.968000000000004</v>
      </c>
    </row>
    <row r="15718" spans="1:7">
      <c r="A15718" t="s">
        <v>1297</v>
      </c>
      <c r="B15718" t="s">
        <v>1298</v>
      </c>
      <c r="C15718" t="s">
        <v>656</v>
      </c>
      <c r="D15718" t="s">
        <v>1465</v>
      </c>
      <c r="E15718" t="s">
        <v>187</v>
      </c>
      <c r="F15718">
        <v>2016</v>
      </c>
      <c r="G15718">
        <v>137.15280000000001</v>
      </c>
    </row>
    <row r="15719" spans="1:7">
      <c r="A15719" t="s">
        <v>1297</v>
      </c>
      <c r="B15719" t="s">
        <v>1298</v>
      </c>
      <c r="C15719" t="s">
        <v>656</v>
      </c>
      <c r="D15719" t="s">
        <v>1465</v>
      </c>
      <c r="E15719" t="s">
        <v>187</v>
      </c>
      <c r="F15719">
        <v>2020</v>
      </c>
      <c r="G15719">
        <v>167.0112</v>
      </c>
    </row>
    <row r="15720" spans="1:7">
      <c r="A15720" t="s">
        <v>1297</v>
      </c>
      <c r="B15720" t="s">
        <v>1298</v>
      </c>
      <c r="C15720" t="s">
        <v>672</v>
      </c>
      <c r="D15720" t="s">
        <v>1465</v>
      </c>
      <c r="E15720" t="s">
        <v>187</v>
      </c>
      <c r="F15720">
        <v>2005</v>
      </c>
      <c r="G15720">
        <v>1.0800000000000001E-2</v>
      </c>
    </row>
    <row r="15721" spans="1:7">
      <c r="A15721" t="s">
        <v>1297</v>
      </c>
      <c r="B15721" t="s">
        <v>1298</v>
      </c>
      <c r="C15721" t="s">
        <v>672</v>
      </c>
      <c r="D15721" t="s">
        <v>1465</v>
      </c>
      <c r="E15721" t="s">
        <v>187</v>
      </c>
      <c r="F15721">
        <v>2010</v>
      </c>
      <c r="G15721">
        <v>0.76078800000000002</v>
      </c>
    </row>
    <row r="15722" spans="1:7">
      <c r="A15722" t="s">
        <v>1297</v>
      </c>
      <c r="B15722" t="s">
        <v>1298</v>
      </c>
      <c r="C15722" t="s">
        <v>672</v>
      </c>
      <c r="D15722" t="s">
        <v>1465</v>
      </c>
      <c r="E15722" t="s">
        <v>187</v>
      </c>
      <c r="F15722">
        <v>2012</v>
      </c>
      <c r="G15722">
        <v>1.4135219999999999</v>
      </c>
    </row>
    <row r="15723" spans="1:7">
      <c r="A15723" t="s">
        <v>1297</v>
      </c>
      <c r="B15723" t="s">
        <v>1298</v>
      </c>
      <c r="C15723" t="s">
        <v>672</v>
      </c>
      <c r="D15723" t="s">
        <v>1465</v>
      </c>
      <c r="E15723" t="s">
        <v>187</v>
      </c>
      <c r="F15723">
        <v>2016</v>
      </c>
      <c r="G15723">
        <v>3.1341709999999998</v>
      </c>
    </row>
    <row r="15724" spans="1:7">
      <c r="A15724" t="s">
        <v>1297</v>
      </c>
      <c r="B15724" t="s">
        <v>1298</v>
      </c>
      <c r="C15724" t="s">
        <v>672</v>
      </c>
      <c r="D15724" t="s">
        <v>1465</v>
      </c>
      <c r="E15724" t="s">
        <v>187</v>
      </c>
      <c r="F15724">
        <v>2020</v>
      </c>
      <c r="G15724">
        <v>4.8321069999999997</v>
      </c>
    </row>
    <row r="15725" spans="1:7">
      <c r="A15725" t="s">
        <v>1297</v>
      </c>
      <c r="B15725" t="s">
        <v>1298</v>
      </c>
      <c r="C15725" t="s">
        <v>686</v>
      </c>
      <c r="D15725" t="s">
        <v>1465</v>
      </c>
      <c r="E15725" t="s">
        <v>187</v>
      </c>
      <c r="F15725">
        <v>2016</v>
      </c>
      <c r="G15725">
        <v>4.3200000000000002E-2</v>
      </c>
    </row>
    <row r="15726" spans="1:7">
      <c r="A15726" t="s">
        <v>1297</v>
      </c>
      <c r="B15726" t="s">
        <v>1298</v>
      </c>
      <c r="C15726" t="s">
        <v>686</v>
      </c>
      <c r="D15726" t="s">
        <v>1465</v>
      </c>
      <c r="E15726" t="s">
        <v>187</v>
      </c>
      <c r="F15726">
        <v>2020</v>
      </c>
      <c r="G15726">
        <v>4.8765999999999997E-2</v>
      </c>
    </row>
    <row r="15727" spans="1:7">
      <c r="A15727" t="s">
        <v>1297</v>
      </c>
      <c r="B15727" t="s">
        <v>1298</v>
      </c>
      <c r="C15727" t="s">
        <v>670</v>
      </c>
      <c r="D15727" t="s">
        <v>1465</v>
      </c>
      <c r="E15727" t="s">
        <v>187</v>
      </c>
      <c r="F15727">
        <v>2005</v>
      </c>
      <c r="G15727">
        <v>0.12753400000000001</v>
      </c>
    </row>
    <row r="15728" spans="1:7">
      <c r="A15728" t="s">
        <v>1297</v>
      </c>
      <c r="B15728" t="s">
        <v>1298</v>
      </c>
      <c r="C15728" t="s">
        <v>670</v>
      </c>
      <c r="D15728" t="s">
        <v>1465</v>
      </c>
      <c r="E15728" t="s">
        <v>187</v>
      </c>
      <c r="F15728">
        <v>2010</v>
      </c>
      <c r="G15728">
        <v>0.20113900000000001</v>
      </c>
    </row>
    <row r="15729" spans="1:7">
      <c r="A15729" t="s">
        <v>1297</v>
      </c>
      <c r="B15729" t="s">
        <v>1298</v>
      </c>
      <c r="C15729" t="s">
        <v>670</v>
      </c>
      <c r="D15729" t="s">
        <v>1465</v>
      </c>
      <c r="E15729" t="s">
        <v>187</v>
      </c>
      <c r="F15729">
        <v>2012</v>
      </c>
      <c r="G15729">
        <v>0.68631799999999998</v>
      </c>
    </row>
    <row r="15730" spans="1:7">
      <c r="A15730" t="s">
        <v>1297</v>
      </c>
      <c r="B15730" t="s">
        <v>1298</v>
      </c>
      <c r="C15730" t="s">
        <v>670</v>
      </c>
      <c r="D15730" t="s">
        <v>1465</v>
      </c>
      <c r="E15730" t="s">
        <v>187</v>
      </c>
      <c r="F15730">
        <v>2016</v>
      </c>
      <c r="G15730">
        <v>5.7665199999999999</v>
      </c>
    </row>
    <row r="15731" spans="1:7">
      <c r="A15731" t="s">
        <v>1297</v>
      </c>
      <c r="B15731" t="s">
        <v>1298</v>
      </c>
      <c r="C15731" t="s">
        <v>670</v>
      </c>
      <c r="D15731" t="s">
        <v>1465</v>
      </c>
      <c r="E15731" t="s">
        <v>187</v>
      </c>
      <c r="F15731">
        <v>2020</v>
      </c>
      <c r="G15731">
        <v>19.207637999999999</v>
      </c>
    </row>
    <row r="15732" spans="1:7">
      <c r="A15732" t="s">
        <v>1297</v>
      </c>
      <c r="B15732" t="s">
        <v>1298</v>
      </c>
      <c r="C15732" t="s">
        <v>1299</v>
      </c>
      <c r="D15732" t="s">
        <v>1465</v>
      </c>
      <c r="E15732" t="s">
        <v>187</v>
      </c>
      <c r="F15732">
        <v>2012</v>
      </c>
      <c r="G15732">
        <v>1.1998800000000001</v>
      </c>
    </row>
    <row r="15733" spans="1:7">
      <c r="A15733" t="s">
        <v>1297</v>
      </c>
      <c r="B15733" t="s">
        <v>1298</v>
      </c>
      <c r="C15733" t="s">
        <v>1299</v>
      </c>
      <c r="D15733" t="s">
        <v>1465</v>
      </c>
      <c r="E15733" t="s">
        <v>187</v>
      </c>
      <c r="F15733">
        <v>2016</v>
      </c>
      <c r="G15733">
        <v>1.76688</v>
      </c>
    </row>
    <row r="15734" spans="1:7">
      <c r="A15734" t="s">
        <v>1297</v>
      </c>
      <c r="B15734" t="s">
        <v>1298</v>
      </c>
      <c r="C15734" t="s">
        <v>1299</v>
      </c>
      <c r="D15734" t="s">
        <v>1465</v>
      </c>
      <c r="E15734" t="s">
        <v>187</v>
      </c>
      <c r="F15734">
        <v>2020</v>
      </c>
      <c r="G15734">
        <v>10.55808</v>
      </c>
    </row>
    <row r="15735" spans="1:7">
      <c r="A15735" t="s">
        <v>1297</v>
      </c>
      <c r="B15735" t="s">
        <v>1298</v>
      </c>
      <c r="C15735" t="s">
        <v>669</v>
      </c>
      <c r="D15735" t="s">
        <v>1465</v>
      </c>
      <c r="E15735" t="s">
        <v>187</v>
      </c>
      <c r="F15735">
        <v>2010</v>
      </c>
      <c r="G15735">
        <v>2.4480000000000001E-3</v>
      </c>
    </row>
    <row r="15736" spans="1:7">
      <c r="A15736" t="s">
        <v>1297</v>
      </c>
      <c r="B15736" t="s">
        <v>1298</v>
      </c>
      <c r="C15736" t="s">
        <v>669</v>
      </c>
      <c r="D15736" t="s">
        <v>1465</v>
      </c>
      <c r="E15736" t="s">
        <v>187</v>
      </c>
      <c r="F15736">
        <v>2012</v>
      </c>
      <c r="G15736">
        <v>6.0083999999999999E-2</v>
      </c>
    </row>
    <row r="15737" spans="1:7">
      <c r="A15737" t="s">
        <v>1297</v>
      </c>
      <c r="B15737" t="s">
        <v>1298</v>
      </c>
      <c r="C15737" t="s">
        <v>669</v>
      </c>
      <c r="D15737" t="s">
        <v>1465</v>
      </c>
      <c r="E15737" t="s">
        <v>187</v>
      </c>
      <c r="F15737">
        <v>2016</v>
      </c>
      <c r="G15737">
        <v>0.46038600000000002</v>
      </c>
    </row>
    <row r="15738" spans="1:7">
      <c r="A15738" t="s">
        <v>1297</v>
      </c>
      <c r="B15738" t="s">
        <v>1298</v>
      </c>
      <c r="C15738" t="s">
        <v>669</v>
      </c>
      <c r="D15738" t="s">
        <v>1465</v>
      </c>
      <c r="E15738" t="s">
        <v>187</v>
      </c>
      <c r="F15738">
        <v>2020</v>
      </c>
      <c r="G15738">
        <v>0.76175999999999999</v>
      </c>
    </row>
    <row r="15739" spans="1:7">
      <c r="A15739" t="s">
        <v>1297</v>
      </c>
      <c r="B15739" t="s">
        <v>1298</v>
      </c>
      <c r="C15739" t="s">
        <v>659</v>
      </c>
      <c r="D15739" t="s">
        <v>1465</v>
      </c>
      <c r="E15739" t="s">
        <v>187</v>
      </c>
      <c r="F15739">
        <v>2005</v>
      </c>
      <c r="G15739">
        <v>0.17272399999999999</v>
      </c>
    </row>
    <row r="15740" spans="1:7">
      <c r="A15740" t="s">
        <v>1297</v>
      </c>
      <c r="B15740" t="s">
        <v>1298</v>
      </c>
      <c r="C15740" t="s">
        <v>659</v>
      </c>
      <c r="D15740" t="s">
        <v>1465</v>
      </c>
      <c r="E15740" t="s">
        <v>187</v>
      </c>
      <c r="F15740">
        <v>2010</v>
      </c>
      <c r="G15740">
        <v>23.13</v>
      </c>
    </row>
    <row r="15741" spans="1:7">
      <c r="A15741" t="s">
        <v>1297</v>
      </c>
      <c r="B15741" t="s">
        <v>1298</v>
      </c>
      <c r="C15741" t="s">
        <v>659</v>
      </c>
      <c r="D15741" t="s">
        <v>1465</v>
      </c>
      <c r="E15741" t="s">
        <v>187</v>
      </c>
      <c r="F15741">
        <v>2012</v>
      </c>
      <c r="G15741">
        <v>29.493292</v>
      </c>
    </row>
    <row r="15742" spans="1:7">
      <c r="A15742" t="s">
        <v>1297</v>
      </c>
      <c r="B15742" t="s">
        <v>1298</v>
      </c>
      <c r="C15742" t="s">
        <v>659</v>
      </c>
      <c r="D15742" t="s">
        <v>1465</v>
      </c>
      <c r="E15742" t="s">
        <v>187</v>
      </c>
      <c r="F15742">
        <v>2016</v>
      </c>
      <c r="G15742">
        <v>29.028708000000002</v>
      </c>
    </row>
    <row r="15743" spans="1:7">
      <c r="A15743" t="s">
        <v>1297</v>
      </c>
      <c r="B15743" t="s">
        <v>1298</v>
      </c>
      <c r="C15743" t="s">
        <v>659</v>
      </c>
      <c r="D15743" t="s">
        <v>1465</v>
      </c>
      <c r="E15743" t="s">
        <v>187</v>
      </c>
      <c r="F15743">
        <v>2020</v>
      </c>
      <c r="G15743">
        <v>33.911999999999999</v>
      </c>
    </row>
    <row r="15744" spans="1:7">
      <c r="A15744" t="s">
        <v>1297</v>
      </c>
      <c r="B15744" t="s">
        <v>1298</v>
      </c>
      <c r="C15744" t="s">
        <v>1301</v>
      </c>
      <c r="D15744" t="s">
        <v>1465</v>
      </c>
      <c r="E15744" t="s">
        <v>187</v>
      </c>
      <c r="F15744">
        <v>2016</v>
      </c>
      <c r="G15744">
        <v>3.7552970000000001</v>
      </c>
    </row>
    <row r="15745" spans="1:7">
      <c r="A15745" t="s">
        <v>1297</v>
      </c>
      <c r="B15745" t="s">
        <v>1298</v>
      </c>
      <c r="C15745" t="s">
        <v>668</v>
      </c>
      <c r="D15745" t="s">
        <v>1465</v>
      </c>
      <c r="E15745" t="s">
        <v>187</v>
      </c>
      <c r="F15745">
        <v>2012</v>
      </c>
      <c r="G15745" s="14">
        <v>3.6000000000000001E-5</v>
      </c>
    </row>
    <row r="15746" spans="1:7">
      <c r="A15746" t="s">
        <v>1297</v>
      </c>
      <c r="B15746" t="s">
        <v>1298</v>
      </c>
      <c r="C15746" t="s">
        <v>668</v>
      </c>
      <c r="D15746" t="s">
        <v>1465</v>
      </c>
      <c r="E15746" t="s">
        <v>187</v>
      </c>
      <c r="F15746">
        <v>2016</v>
      </c>
      <c r="G15746">
        <v>1.3749999999999999E-3</v>
      </c>
    </row>
    <row r="15747" spans="1:7">
      <c r="A15747" t="s">
        <v>1297</v>
      </c>
      <c r="B15747" t="s">
        <v>1298</v>
      </c>
      <c r="C15747" t="s">
        <v>668</v>
      </c>
      <c r="D15747" t="s">
        <v>1465</v>
      </c>
      <c r="E15747" t="s">
        <v>187</v>
      </c>
      <c r="F15747">
        <v>2020</v>
      </c>
      <c r="G15747">
        <v>1.1292999999999999E-2</v>
      </c>
    </row>
    <row r="15748" spans="1:7">
      <c r="A15748" t="s">
        <v>1297</v>
      </c>
      <c r="B15748" t="s">
        <v>1298</v>
      </c>
      <c r="C15748" t="s">
        <v>1300</v>
      </c>
      <c r="D15748" t="s">
        <v>1465</v>
      </c>
      <c r="E15748" t="s">
        <v>187</v>
      </c>
      <c r="F15748">
        <v>2016</v>
      </c>
      <c r="G15748">
        <v>6.8799999999999998E-3</v>
      </c>
    </row>
    <row r="15749" spans="1:7">
      <c r="A15749" t="s">
        <v>1297</v>
      </c>
      <c r="B15749" t="s">
        <v>1298</v>
      </c>
      <c r="C15749" t="s">
        <v>1300</v>
      </c>
      <c r="D15749" t="s">
        <v>1465</v>
      </c>
      <c r="E15749" t="s">
        <v>187</v>
      </c>
      <c r="F15749">
        <v>2020</v>
      </c>
      <c r="G15749">
        <v>1.0800000000000001E-2</v>
      </c>
    </row>
    <row r="15750" spans="1:7">
      <c r="A15750" t="s">
        <v>1297</v>
      </c>
      <c r="B15750" t="s">
        <v>1298</v>
      </c>
      <c r="C15750" t="s">
        <v>675</v>
      </c>
      <c r="D15750" t="s">
        <v>1465</v>
      </c>
      <c r="E15750" t="s">
        <v>187</v>
      </c>
      <c r="F15750">
        <v>2005</v>
      </c>
      <c r="G15750">
        <v>1.26E-4</v>
      </c>
    </row>
    <row r="15751" spans="1:7">
      <c r="A15751" t="s">
        <v>1297</v>
      </c>
      <c r="B15751" t="s">
        <v>1298</v>
      </c>
      <c r="C15751" t="s">
        <v>674</v>
      </c>
      <c r="D15751" t="s">
        <v>1465</v>
      </c>
      <c r="E15751" t="s">
        <v>187</v>
      </c>
      <c r="F15751">
        <v>2005</v>
      </c>
      <c r="G15751">
        <v>7.6569999999999997E-3</v>
      </c>
    </row>
    <row r="15752" spans="1:7">
      <c r="A15752" t="s">
        <v>1297</v>
      </c>
      <c r="B15752" t="s">
        <v>1298</v>
      </c>
      <c r="C15752" t="s">
        <v>674</v>
      </c>
      <c r="D15752" t="s">
        <v>1465</v>
      </c>
      <c r="E15752" t="s">
        <v>187</v>
      </c>
      <c r="F15752">
        <v>2010</v>
      </c>
      <c r="G15752">
        <v>3.0960000000000001E-2</v>
      </c>
    </row>
    <row r="15753" spans="1:7">
      <c r="A15753" t="s">
        <v>1297</v>
      </c>
      <c r="B15753" t="s">
        <v>1298</v>
      </c>
      <c r="C15753" t="s">
        <v>674</v>
      </c>
      <c r="D15753" t="s">
        <v>1465</v>
      </c>
      <c r="E15753" t="s">
        <v>187</v>
      </c>
      <c r="F15753">
        <v>2012</v>
      </c>
      <c r="G15753">
        <v>6.8400000000000002E-2</v>
      </c>
    </row>
    <row r="15754" spans="1:7">
      <c r="A15754" t="s">
        <v>1297</v>
      </c>
      <c r="B15754" t="s">
        <v>1298</v>
      </c>
      <c r="C15754" t="s">
        <v>674</v>
      </c>
      <c r="D15754" t="s">
        <v>1465</v>
      </c>
      <c r="E15754" t="s">
        <v>187</v>
      </c>
      <c r="F15754">
        <v>2016</v>
      </c>
      <c r="G15754">
        <v>0.51480000000000004</v>
      </c>
    </row>
    <row r="15755" spans="1:7">
      <c r="A15755" t="s">
        <v>1297</v>
      </c>
      <c r="B15755" t="s">
        <v>1298</v>
      </c>
      <c r="C15755" t="s">
        <v>674</v>
      </c>
      <c r="D15755" t="s">
        <v>1465</v>
      </c>
      <c r="E15755" t="s">
        <v>187</v>
      </c>
      <c r="F15755">
        <v>2020</v>
      </c>
      <c r="G15755">
        <v>2.4443999999999999</v>
      </c>
    </row>
    <row r="15756" spans="1:7">
      <c r="A15756" t="s">
        <v>1297</v>
      </c>
      <c r="B15756" t="s">
        <v>1298</v>
      </c>
      <c r="C15756" t="s">
        <v>289</v>
      </c>
      <c r="D15756" t="s">
        <v>1465</v>
      </c>
      <c r="E15756" t="s">
        <v>187</v>
      </c>
      <c r="F15756">
        <v>2010</v>
      </c>
      <c r="G15756">
        <v>4.3199999999999998E-4</v>
      </c>
    </row>
    <row r="15757" spans="1:7">
      <c r="A15757" t="s">
        <v>1297</v>
      </c>
      <c r="B15757" t="s">
        <v>1298</v>
      </c>
      <c r="C15757" t="s">
        <v>289</v>
      </c>
      <c r="D15757" t="s">
        <v>1465</v>
      </c>
      <c r="E15757" t="s">
        <v>187</v>
      </c>
      <c r="F15757">
        <v>2012</v>
      </c>
      <c r="G15757">
        <v>8.6540000000000002E-3</v>
      </c>
    </row>
    <row r="15758" spans="1:7">
      <c r="A15758" t="s">
        <v>1297</v>
      </c>
      <c r="B15758" t="s">
        <v>1298</v>
      </c>
      <c r="C15758" t="s">
        <v>289</v>
      </c>
      <c r="D15758" t="s">
        <v>1465</v>
      </c>
      <c r="E15758" t="s">
        <v>187</v>
      </c>
      <c r="F15758">
        <v>2016</v>
      </c>
      <c r="G15758">
        <v>0.23594799999999999</v>
      </c>
    </row>
    <row r="15759" spans="1:7">
      <c r="A15759" t="s">
        <v>1297</v>
      </c>
      <c r="B15759" t="s">
        <v>1298</v>
      </c>
      <c r="C15759" t="s">
        <v>289</v>
      </c>
      <c r="D15759" t="s">
        <v>1465</v>
      </c>
      <c r="E15759" t="s">
        <v>187</v>
      </c>
      <c r="F15759">
        <v>2020</v>
      </c>
      <c r="G15759">
        <v>0.29915999999999998</v>
      </c>
    </row>
    <row r="15760" spans="1:7">
      <c r="A15760" t="s">
        <v>1297</v>
      </c>
      <c r="B15760" t="s">
        <v>1298</v>
      </c>
      <c r="C15760" t="s">
        <v>660</v>
      </c>
      <c r="D15760" t="s">
        <v>1465</v>
      </c>
      <c r="E15760" t="s">
        <v>187</v>
      </c>
      <c r="F15760">
        <v>2005</v>
      </c>
      <c r="G15760">
        <v>9.4719999999999995E-3</v>
      </c>
    </row>
    <row r="15761" spans="1:7">
      <c r="A15761" t="s">
        <v>1297</v>
      </c>
      <c r="B15761" t="s">
        <v>1298</v>
      </c>
      <c r="C15761" t="s">
        <v>660</v>
      </c>
      <c r="D15761" t="s">
        <v>1465</v>
      </c>
      <c r="E15761" t="s">
        <v>187</v>
      </c>
      <c r="F15761">
        <v>2010</v>
      </c>
      <c r="G15761">
        <v>1.7059999999999999E-2</v>
      </c>
    </row>
    <row r="15762" spans="1:7">
      <c r="A15762" t="s">
        <v>1297</v>
      </c>
      <c r="B15762" t="s">
        <v>1298</v>
      </c>
      <c r="C15762" t="s">
        <v>660</v>
      </c>
      <c r="D15762" t="s">
        <v>1465</v>
      </c>
      <c r="E15762" t="s">
        <v>187</v>
      </c>
      <c r="F15762">
        <v>2012</v>
      </c>
      <c r="G15762">
        <v>2.0695999999999999E-2</v>
      </c>
    </row>
    <row r="15763" spans="1:7">
      <c r="A15763" t="s">
        <v>1297</v>
      </c>
      <c r="B15763" t="s">
        <v>1298</v>
      </c>
      <c r="C15763" t="s">
        <v>660</v>
      </c>
      <c r="D15763" t="s">
        <v>1465</v>
      </c>
      <c r="E15763" t="s">
        <v>187</v>
      </c>
      <c r="F15763">
        <v>2016</v>
      </c>
      <c r="G15763">
        <v>7.9437999999999995E-2</v>
      </c>
    </row>
    <row r="15764" spans="1:7">
      <c r="A15764" t="s">
        <v>1297</v>
      </c>
      <c r="B15764" t="s">
        <v>1298</v>
      </c>
      <c r="C15764" t="s">
        <v>660</v>
      </c>
      <c r="D15764" t="s">
        <v>1465</v>
      </c>
      <c r="E15764" t="s">
        <v>187</v>
      </c>
      <c r="F15764">
        <v>2020</v>
      </c>
      <c r="G15764">
        <v>0.53010000000000002</v>
      </c>
    </row>
    <row r="15765" spans="1:7">
      <c r="A15765" t="s">
        <v>1297</v>
      </c>
      <c r="B15765" t="s">
        <v>1298</v>
      </c>
      <c r="C15765" t="s">
        <v>654</v>
      </c>
      <c r="D15765" t="s">
        <v>1465</v>
      </c>
      <c r="E15765" t="s">
        <v>187</v>
      </c>
      <c r="F15765">
        <v>2005</v>
      </c>
      <c r="G15765">
        <v>2.0379999999999999E-3</v>
      </c>
    </row>
    <row r="15766" spans="1:7">
      <c r="A15766" t="s">
        <v>1297</v>
      </c>
      <c r="B15766" t="s">
        <v>1298</v>
      </c>
      <c r="C15766" t="s">
        <v>654</v>
      </c>
      <c r="D15766" t="s">
        <v>1465</v>
      </c>
      <c r="E15766" t="s">
        <v>187</v>
      </c>
      <c r="F15766">
        <v>2010</v>
      </c>
      <c r="G15766">
        <v>2.3015000000000001E-2</v>
      </c>
    </row>
    <row r="15767" spans="1:7">
      <c r="A15767" t="s">
        <v>1297</v>
      </c>
      <c r="B15767" t="s">
        <v>1298</v>
      </c>
      <c r="C15767" t="s">
        <v>654</v>
      </c>
      <c r="D15767" t="s">
        <v>1465</v>
      </c>
      <c r="E15767" t="s">
        <v>187</v>
      </c>
      <c r="F15767">
        <v>2012</v>
      </c>
      <c r="G15767">
        <v>7.7562000000000006E-2</v>
      </c>
    </row>
    <row r="15768" spans="1:7">
      <c r="A15768" t="s">
        <v>1297</v>
      </c>
      <c r="B15768" t="s">
        <v>1298</v>
      </c>
      <c r="C15768" t="s">
        <v>654</v>
      </c>
      <c r="D15768" t="s">
        <v>1465</v>
      </c>
      <c r="E15768" t="s">
        <v>187</v>
      </c>
      <c r="F15768">
        <v>2016</v>
      </c>
      <c r="G15768">
        <v>0.52537299999999998</v>
      </c>
    </row>
    <row r="15769" spans="1:7">
      <c r="A15769" t="s">
        <v>1297</v>
      </c>
      <c r="B15769" t="s">
        <v>1298</v>
      </c>
      <c r="C15769" t="s">
        <v>654</v>
      </c>
      <c r="D15769" t="s">
        <v>1465</v>
      </c>
      <c r="E15769" t="s">
        <v>187</v>
      </c>
      <c r="F15769">
        <v>2020</v>
      </c>
      <c r="G15769">
        <v>0.78576100000000004</v>
      </c>
    </row>
    <row r="15770" spans="1:7">
      <c r="A15770" t="s">
        <v>1297</v>
      </c>
      <c r="B15770" t="s">
        <v>1298</v>
      </c>
      <c r="C15770" t="s">
        <v>652</v>
      </c>
      <c r="D15770" t="s">
        <v>1465</v>
      </c>
      <c r="E15770" t="s">
        <v>187</v>
      </c>
      <c r="F15770">
        <v>2005</v>
      </c>
      <c r="G15770">
        <v>4.8240000000000002E-3</v>
      </c>
    </row>
    <row r="15771" spans="1:7">
      <c r="A15771" t="s">
        <v>1297</v>
      </c>
      <c r="B15771" t="s">
        <v>1298</v>
      </c>
      <c r="C15771" t="s">
        <v>652</v>
      </c>
      <c r="D15771" t="s">
        <v>1465</v>
      </c>
      <c r="E15771" t="s">
        <v>187</v>
      </c>
      <c r="F15771">
        <v>2010</v>
      </c>
      <c r="G15771">
        <v>2.016</v>
      </c>
    </row>
    <row r="15772" spans="1:7">
      <c r="A15772" t="s">
        <v>1297</v>
      </c>
      <c r="B15772" t="s">
        <v>1298</v>
      </c>
      <c r="C15772" t="s">
        <v>652</v>
      </c>
      <c r="D15772" t="s">
        <v>1465</v>
      </c>
      <c r="E15772" t="s">
        <v>187</v>
      </c>
      <c r="F15772">
        <v>2012</v>
      </c>
      <c r="G15772">
        <v>7.7328000000000001</v>
      </c>
    </row>
    <row r="15773" spans="1:7">
      <c r="A15773" t="s">
        <v>1297</v>
      </c>
      <c r="B15773" t="s">
        <v>1298</v>
      </c>
      <c r="C15773" t="s">
        <v>652</v>
      </c>
      <c r="D15773" t="s">
        <v>1465</v>
      </c>
      <c r="E15773" t="s">
        <v>187</v>
      </c>
      <c r="F15773">
        <v>2016</v>
      </c>
      <c r="G15773">
        <v>11.142720000000001</v>
      </c>
    </row>
    <row r="15774" spans="1:7">
      <c r="A15774" t="s">
        <v>1297</v>
      </c>
      <c r="B15774" t="s">
        <v>1298</v>
      </c>
      <c r="C15774" t="s">
        <v>652</v>
      </c>
      <c r="D15774" t="s">
        <v>1465</v>
      </c>
      <c r="E15774" t="s">
        <v>187</v>
      </c>
      <c r="F15774">
        <v>2020</v>
      </c>
      <c r="G15774">
        <v>15.289199999999999</v>
      </c>
    </row>
    <row r="15775" spans="1:7">
      <c r="A15775" t="s">
        <v>1297</v>
      </c>
      <c r="B15775" t="s">
        <v>1298</v>
      </c>
      <c r="C15775" t="s">
        <v>1302</v>
      </c>
      <c r="D15775" t="s">
        <v>1465</v>
      </c>
      <c r="E15775" t="s">
        <v>187</v>
      </c>
      <c r="F15775">
        <v>2016</v>
      </c>
      <c r="G15775">
        <v>4.57E-4</v>
      </c>
    </row>
    <row r="15776" spans="1:7">
      <c r="A15776" t="s">
        <v>1297</v>
      </c>
      <c r="B15776" t="s">
        <v>1298</v>
      </c>
      <c r="C15776" t="s">
        <v>1302</v>
      </c>
      <c r="D15776" t="s">
        <v>1465</v>
      </c>
      <c r="E15776" t="s">
        <v>187</v>
      </c>
      <c r="F15776">
        <v>2020</v>
      </c>
      <c r="G15776">
        <v>3.798E-2</v>
      </c>
    </row>
    <row r="15777" spans="1:7">
      <c r="A15777" t="s">
        <v>1297</v>
      </c>
      <c r="B15777" t="s">
        <v>1298</v>
      </c>
      <c r="C15777" t="s">
        <v>657</v>
      </c>
      <c r="D15777" t="s">
        <v>1465</v>
      </c>
      <c r="E15777" t="s">
        <v>187</v>
      </c>
      <c r="F15777">
        <v>2005</v>
      </c>
      <c r="G15777">
        <v>7.1999999999999998E-3</v>
      </c>
    </row>
    <row r="15778" spans="1:7">
      <c r="A15778" t="s">
        <v>1297</v>
      </c>
      <c r="B15778" t="s">
        <v>1298</v>
      </c>
      <c r="C15778" t="s">
        <v>657</v>
      </c>
      <c r="D15778" t="s">
        <v>1465</v>
      </c>
      <c r="E15778" t="s">
        <v>187</v>
      </c>
      <c r="F15778">
        <v>2010</v>
      </c>
      <c r="G15778">
        <v>2.1697000000000001E-2</v>
      </c>
    </row>
    <row r="15779" spans="1:7">
      <c r="A15779" t="s">
        <v>1297</v>
      </c>
      <c r="B15779" t="s">
        <v>1298</v>
      </c>
      <c r="C15779" t="s">
        <v>657</v>
      </c>
      <c r="D15779" t="s">
        <v>1465</v>
      </c>
      <c r="E15779" t="s">
        <v>187</v>
      </c>
      <c r="F15779">
        <v>2012</v>
      </c>
      <c r="G15779">
        <v>0.37390000000000001</v>
      </c>
    </row>
    <row r="15780" spans="1:7">
      <c r="A15780" t="s">
        <v>1297</v>
      </c>
      <c r="B15780" t="s">
        <v>1298</v>
      </c>
      <c r="C15780" t="s">
        <v>657</v>
      </c>
      <c r="D15780" t="s">
        <v>1465</v>
      </c>
      <c r="E15780" t="s">
        <v>187</v>
      </c>
      <c r="F15780">
        <v>2016</v>
      </c>
      <c r="G15780">
        <v>2.6776080000000002</v>
      </c>
    </row>
    <row r="15781" spans="1:7">
      <c r="A15781" t="s">
        <v>1297</v>
      </c>
      <c r="B15781" t="s">
        <v>1298</v>
      </c>
      <c r="C15781" t="s">
        <v>657</v>
      </c>
      <c r="D15781" t="s">
        <v>1465</v>
      </c>
      <c r="E15781" t="s">
        <v>187</v>
      </c>
      <c r="F15781">
        <v>2020</v>
      </c>
      <c r="G15781">
        <v>3.467768</v>
      </c>
    </row>
    <row r="15782" spans="1:7">
      <c r="A15782" t="s">
        <v>1297</v>
      </c>
      <c r="B15782" t="s">
        <v>1298</v>
      </c>
      <c r="C15782" t="s">
        <v>665</v>
      </c>
      <c r="D15782" t="s">
        <v>1465</v>
      </c>
      <c r="E15782" t="s">
        <v>187</v>
      </c>
      <c r="F15782">
        <v>2005</v>
      </c>
      <c r="G15782">
        <v>0.1116</v>
      </c>
    </row>
    <row r="15783" spans="1:7">
      <c r="A15783" t="s">
        <v>1297</v>
      </c>
      <c r="B15783" t="s">
        <v>1298</v>
      </c>
      <c r="C15783" t="s">
        <v>665</v>
      </c>
      <c r="D15783" t="s">
        <v>1465</v>
      </c>
      <c r="E15783" t="s">
        <v>187</v>
      </c>
      <c r="F15783">
        <v>2010</v>
      </c>
      <c r="G15783">
        <v>6.8603800000000001</v>
      </c>
    </row>
    <row r="15784" spans="1:7">
      <c r="A15784" t="s">
        <v>1297</v>
      </c>
      <c r="B15784" t="s">
        <v>1298</v>
      </c>
      <c r="C15784" t="s">
        <v>665</v>
      </c>
      <c r="D15784" t="s">
        <v>1465</v>
      </c>
      <c r="E15784" t="s">
        <v>187</v>
      </c>
      <c r="F15784">
        <v>2012</v>
      </c>
      <c r="G15784">
        <v>67.902235000000005</v>
      </c>
    </row>
    <row r="15785" spans="1:7">
      <c r="A15785" t="s">
        <v>1297</v>
      </c>
      <c r="B15785" t="s">
        <v>1298</v>
      </c>
      <c r="C15785" t="s">
        <v>665</v>
      </c>
      <c r="D15785" t="s">
        <v>1465</v>
      </c>
      <c r="E15785" t="s">
        <v>187</v>
      </c>
      <c r="F15785">
        <v>2016</v>
      </c>
      <c r="G15785">
        <v>79.575332000000003</v>
      </c>
    </row>
    <row r="15786" spans="1:7">
      <c r="A15786" t="s">
        <v>1297</v>
      </c>
      <c r="B15786" t="s">
        <v>1298</v>
      </c>
      <c r="C15786" t="s">
        <v>665</v>
      </c>
      <c r="D15786" t="s">
        <v>1465</v>
      </c>
      <c r="E15786" t="s">
        <v>187</v>
      </c>
      <c r="F15786">
        <v>2020</v>
      </c>
      <c r="G15786">
        <v>85.28004</v>
      </c>
    </row>
    <row r="15787" spans="1:7">
      <c r="A15787" t="s">
        <v>1297</v>
      </c>
      <c r="B15787" t="s">
        <v>1298</v>
      </c>
      <c r="C15787" t="s">
        <v>653</v>
      </c>
      <c r="D15787" t="s">
        <v>1465</v>
      </c>
      <c r="E15787" t="s">
        <v>187</v>
      </c>
      <c r="F15787">
        <v>2010</v>
      </c>
      <c r="G15787">
        <v>5.3513999999999999E-2</v>
      </c>
    </row>
    <row r="15788" spans="1:7">
      <c r="A15788" t="s">
        <v>1297</v>
      </c>
      <c r="B15788" t="s">
        <v>1298</v>
      </c>
      <c r="C15788" t="s">
        <v>653</v>
      </c>
      <c r="D15788" t="s">
        <v>1465</v>
      </c>
      <c r="E15788" t="s">
        <v>187</v>
      </c>
      <c r="F15788">
        <v>2012</v>
      </c>
      <c r="G15788">
        <v>2.9299210000000002</v>
      </c>
    </row>
    <row r="15789" spans="1:7">
      <c r="A15789" t="s">
        <v>1297</v>
      </c>
      <c r="B15789" t="s">
        <v>1298</v>
      </c>
      <c r="C15789" t="s">
        <v>653</v>
      </c>
      <c r="D15789" t="s">
        <v>1465</v>
      </c>
      <c r="E15789" t="s">
        <v>187</v>
      </c>
      <c r="F15789">
        <v>2016</v>
      </c>
      <c r="G15789">
        <v>4.9906620000000004</v>
      </c>
    </row>
    <row r="15790" spans="1:7">
      <c r="A15790" t="s">
        <v>1297</v>
      </c>
      <c r="B15790" t="s">
        <v>1298</v>
      </c>
      <c r="C15790" t="s">
        <v>653</v>
      </c>
      <c r="D15790" t="s">
        <v>1465</v>
      </c>
      <c r="E15790" t="s">
        <v>187</v>
      </c>
      <c r="F15790">
        <v>2020</v>
      </c>
      <c r="G15790">
        <v>5.1928850000000004</v>
      </c>
    </row>
    <row r="15791" spans="1:7">
      <c r="A15791" t="s">
        <v>1297</v>
      </c>
      <c r="B15791" t="s">
        <v>1298</v>
      </c>
      <c r="C15791" t="s">
        <v>663</v>
      </c>
      <c r="D15791" t="s">
        <v>1465</v>
      </c>
      <c r="E15791" t="s">
        <v>187</v>
      </c>
      <c r="F15791">
        <v>2010</v>
      </c>
      <c r="G15791">
        <v>3.0599999999999998E-3</v>
      </c>
    </row>
    <row r="15792" spans="1:7">
      <c r="A15792" t="s">
        <v>1297</v>
      </c>
      <c r="B15792" t="s">
        <v>1298</v>
      </c>
      <c r="C15792" t="s">
        <v>663</v>
      </c>
      <c r="D15792" t="s">
        <v>1465</v>
      </c>
      <c r="E15792" t="s">
        <v>187</v>
      </c>
      <c r="F15792">
        <v>2012</v>
      </c>
      <c r="G15792">
        <v>2.8469000000000001E-2</v>
      </c>
    </row>
    <row r="15793" spans="1:7">
      <c r="A15793" t="s">
        <v>1297</v>
      </c>
      <c r="B15793" t="s">
        <v>1298</v>
      </c>
      <c r="C15793" t="s">
        <v>663</v>
      </c>
      <c r="D15793" t="s">
        <v>1465</v>
      </c>
      <c r="E15793" t="s">
        <v>187</v>
      </c>
      <c r="F15793">
        <v>2016</v>
      </c>
      <c r="G15793">
        <v>0.87839999999999996</v>
      </c>
    </row>
    <row r="15794" spans="1:7">
      <c r="A15794" t="s">
        <v>1297</v>
      </c>
      <c r="B15794" t="s">
        <v>1298</v>
      </c>
      <c r="C15794" t="s">
        <v>663</v>
      </c>
      <c r="D15794" t="s">
        <v>1465</v>
      </c>
      <c r="E15794" t="s">
        <v>187</v>
      </c>
      <c r="F15794">
        <v>2020</v>
      </c>
      <c r="G15794">
        <v>5.3891999999999998</v>
      </c>
    </row>
    <row r="15795" spans="1:7">
      <c r="A15795" t="s">
        <v>1297</v>
      </c>
      <c r="B15795" t="s">
        <v>1298</v>
      </c>
      <c r="C15795" t="s">
        <v>682</v>
      </c>
      <c r="D15795" t="s">
        <v>1465</v>
      </c>
      <c r="E15795" t="s">
        <v>187</v>
      </c>
      <c r="F15795">
        <v>2016</v>
      </c>
      <c r="G15795">
        <v>8.4985000000000005E-2</v>
      </c>
    </row>
    <row r="15796" spans="1:7">
      <c r="A15796" t="s">
        <v>1297</v>
      </c>
      <c r="B15796" t="s">
        <v>1298</v>
      </c>
      <c r="C15796" t="s">
        <v>682</v>
      </c>
      <c r="D15796" t="s">
        <v>1465</v>
      </c>
      <c r="E15796" t="s">
        <v>187</v>
      </c>
      <c r="F15796">
        <v>2020</v>
      </c>
      <c r="G15796">
        <v>0.108</v>
      </c>
    </row>
    <row r="15797" spans="1:7">
      <c r="A15797" t="s">
        <v>1297</v>
      </c>
      <c r="B15797" t="s">
        <v>1298</v>
      </c>
      <c r="C15797" t="s">
        <v>673</v>
      </c>
      <c r="D15797" t="s">
        <v>1465</v>
      </c>
      <c r="E15797" t="s">
        <v>187</v>
      </c>
      <c r="F15797">
        <v>2010</v>
      </c>
      <c r="G15797">
        <v>1.2999999999999999E-4</v>
      </c>
    </row>
    <row r="15798" spans="1:7">
      <c r="A15798" t="s">
        <v>1297</v>
      </c>
      <c r="B15798" t="s">
        <v>1298</v>
      </c>
      <c r="C15798" t="s">
        <v>673</v>
      </c>
      <c r="D15798" t="s">
        <v>1465</v>
      </c>
      <c r="E15798" t="s">
        <v>187</v>
      </c>
      <c r="F15798">
        <v>2012</v>
      </c>
      <c r="G15798">
        <v>2.8792999999999999E-2</v>
      </c>
    </row>
    <row r="15799" spans="1:7">
      <c r="A15799" t="s">
        <v>1297</v>
      </c>
      <c r="B15799" t="s">
        <v>1298</v>
      </c>
      <c r="C15799" t="s">
        <v>673</v>
      </c>
      <c r="D15799" t="s">
        <v>1465</v>
      </c>
      <c r="E15799" t="s">
        <v>187</v>
      </c>
      <c r="F15799">
        <v>2016</v>
      </c>
      <c r="G15799">
        <v>6.5510710000000003</v>
      </c>
    </row>
    <row r="15800" spans="1:7">
      <c r="A15800" t="s">
        <v>1297</v>
      </c>
      <c r="B15800" t="s">
        <v>1298</v>
      </c>
      <c r="C15800" t="s">
        <v>673</v>
      </c>
      <c r="D15800" t="s">
        <v>1465</v>
      </c>
      <c r="E15800" t="s">
        <v>187</v>
      </c>
      <c r="F15800">
        <v>2020</v>
      </c>
      <c r="G15800">
        <v>6.3994140000000002</v>
      </c>
    </row>
    <row r="15801" spans="1:7">
      <c r="A15801" t="s">
        <v>1297</v>
      </c>
      <c r="B15801" t="s">
        <v>1298</v>
      </c>
      <c r="C15801" t="s">
        <v>661</v>
      </c>
      <c r="D15801" t="s">
        <v>1465</v>
      </c>
      <c r="E15801" t="s">
        <v>187</v>
      </c>
      <c r="F15801">
        <v>2005</v>
      </c>
      <c r="G15801">
        <v>3.7803999999999997E-2</v>
      </c>
    </row>
    <row r="15802" spans="1:7">
      <c r="A15802" t="s">
        <v>1297</v>
      </c>
      <c r="B15802" t="s">
        <v>1298</v>
      </c>
      <c r="C15802" t="s">
        <v>661</v>
      </c>
      <c r="D15802" t="s">
        <v>1465</v>
      </c>
      <c r="E15802" t="s">
        <v>187</v>
      </c>
      <c r="F15802">
        <v>2010</v>
      </c>
      <c r="G15802">
        <v>2.2320000000000002</v>
      </c>
    </row>
    <row r="15803" spans="1:7">
      <c r="A15803" t="s">
        <v>1297</v>
      </c>
      <c r="B15803" t="s">
        <v>1298</v>
      </c>
      <c r="C15803" t="s">
        <v>661</v>
      </c>
      <c r="D15803" t="s">
        <v>1465</v>
      </c>
      <c r="E15803" t="s">
        <v>187</v>
      </c>
      <c r="F15803">
        <v>2012</v>
      </c>
      <c r="G15803">
        <v>15.940569999999999</v>
      </c>
    </row>
    <row r="15804" spans="1:7">
      <c r="A15804" t="s">
        <v>1297</v>
      </c>
      <c r="B15804" t="s">
        <v>1298</v>
      </c>
      <c r="C15804" t="s">
        <v>661</v>
      </c>
      <c r="D15804" t="s">
        <v>1465</v>
      </c>
      <c r="E15804" t="s">
        <v>187</v>
      </c>
      <c r="F15804">
        <v>2016</v>
      </c>
      <c r="G15804">
        <v>31.175153999999999</v>
      </c>
    </row>
    <row r="15805" spans="1:7">
      <c r="A15805" t="s">
        <v>1297</v>
      </c>
      <c r="B15805" t="s">
        <v>1298</v>
      </c>
      <c r="C15805" t="s">
        <v>661</v>
      </c>
      <c r="D15805" t="s">
        <v>1465</v>
      </c>
      <c r="E15805" t="s">
        <v>187</v>
      </c>
      <c r="F15805">
        <v>2020</v>
      </c>
      <c r="G15805">
        <v>44.010662000000004</v>
      </c>
    </row>
    <row r="15806" spans="1:7">
      <c r="A15806" t="s">
        <v>1297</v>
      </c>
      <c r="B15806" t="s">
        <v>1298</v>
      </c>
      <c r="C15806" t="s">
        <v>679</v>
      </c>
      <c r="D15806" t="s">
        <v>1465</v>
      </c>
      <c r="E15806" t="s">
        <v>187</v>
      </c>
      <c r="F15806">
        <v>2020</v>
      </c>
      <c r="G15806">
        <v>4.6231000000000001E-2</v>
      </c>
    </row>
    <row r="15807" spans="1:7">
      <c r="A15807" t="s">
        <v>1297</v>
      </c>
      <c r="B15807" t="s">
        <v>1298</v>
      </c>
      <c r="C15807" t="s">
        <v>675</v>
      </c>
      <c r="D15807" t="s">
        <v>1465</v>
      </c>
      <c r="E15807" t="s">
        <v>187</v>
      </c>
      <c r="F15807">
        <v>2010</v>
      </c>
      <c r="G15807">
        <v>4.6300000000000001E-2</v>
      </c>
    </row>
    <row r="15808" spans="1:7">
      <c r="A15808" t="s">
        <v>1297</v>
      </c>
      <c r="B15808" t="s">
        <v>1298</v>
      </c>
      <c r="C15808" t="s">
        <v>675</v>
      </c>
      <c r="D15808" t="s">
        <v>1465</v>
      </c>
      <c r="E15808" t="s">
        <v>187</v>
      </c>
      <c r="F15808">
        <v>2012</v>
      </c>
      <c r="G15808">
        <v>0.58610200000000001</v>
      </c>
    </row>
    <row r="15809" spans="1:8">
      <c r="A15809" t="s">
        <v>1297</v>
      </c>
      <c r="B15809" t="s">
        <v>1298</v>
      </c>
      <c r="C15809" t="s">
        <v>675</v>
      </c>
      <c r="D15809" t="s">
        <v>1465</v>
      </c>
      <c r="E15809" t="s">
        <v>187</v>
      </c>
      <c r="F15809">
        <v>2016</v>
      </c>
      <c r="G15809">
        <v>0.96289899999999995</v>
      </c>
    </row>
    <row r="15810" spans="1:8">
      <c r="A15810" t="s">
        <v>1297</v>
      </c>
      <c r="B15810" t="s">
        <v>1298</v>
      </c>
      <c r="C15810" t="s">
        <v>675</v>
      </c>
      <c r="D15810" t="s">
        <v>1465</v>
      </c>
      <c r="E15810" t="s">
        <v>187</v>
      </c>
      <c r="F15810">
        <v>2020</v>
      </c>
      <c r="G15810">
        <v>1.09094</v>
      </c>
    </row>
    <row r="15811" spans="1:8">
      <c r="A15811" t="s">
        <v>1297</v>
      </c>
      <c r="B15811" t="s">
        <v>1298</v>
      </c>
      <c r="C15811" t="s">
        <v>651</v>
      </c>
      <c r="D15811" t="s">
        <v>1465</v>
      </c>
      <c r="E15811" t="s">
        <v>187</v>
      </c>
      <c r="F15811">
        <v>2005</v>
      </c>
      <c r="G15811">
        <v>7.5664999999999996E-2</v>
      </c>
    </row>
    <row r="15812" spans="1:8">
      <c r="A15812" t="s">
        <v>1297</v>
      </c>
      <c r="B15812" t="s">
        <v>1298</v>
      </c>
      <c r="C15812" t="s">
        <v>651</v>
      </c>
      <c r="D15812" t="s">
        <v>1465</v>
      </c>
      <c r="E15812" t="s">
        <v>187</v>
      </c>
      <c r="F15812">
        <v>2010</v>
      </c>
      <c r="G15812">
        <v>0.31972699999999998</v>
      </c>
    </row>
    <row r="15813" spans="1:8">
      <c r="A15813" t="s">
        <v>1297</v>
      </c>
      <c r="B15813" t="s">
        <v>1298</v>
      </c>
      <c r="C15813" t="s">
        <v>651</v>
      </c>
      <c r="D15813" t="s">
        <v>1465</v>
      </c>
      <c r="E15813" t="s">
        <v>187</v>
      </c>
      <c r="F15813">
        <v>2012</v>
      </c>
      <c r="G15813" s="14">
        <v>1.214939</v>
      </c>
      <c r="H15813" s="14"/>
    </row>
    <row r="15814" spans="1:8">
      <c r="A15814" t="s">
        <v>1297</v>
      </c>
      <c r="B15814" t="s">
        <v>1298</v>
      </c>
      <c r="C15814" t="s">
        <v>651</v>
      </c>
      <c r="D15814" t="s">
        <v>1465</v>
      </c>
      <c r="E15814" t="s">
        <v>187</v>
      </c>
      <c r="F15814">
        <v>2016</v>
      </c>
      <c r="G15814">
        <v>3.9456579999999999</v>
      </c>
    </row>
    <row r="15815" spans="1:8">
      <c r="A15815" t="s">
        <v>1297</v>
      </c>
      <c r="B15815" t="s">
        <v>1298</v>
      </c>
      <c r="C15815" t="s">
        <v>651</v>
      </c>
      <c r="D15815" t="s">
        <v>1465</v>
      </c>
      <c r="E15815" t="s">
        <v>187</v>
      </c>
      <c r="F15815">
        <v>2020</v>
      </c>
      <c r="G15815">
        <v>6.127535</v>
      </c>
    </row>
    <row r="15816" spans="1:8">
      <c r="A15816" t="s">
        <v>1297</v>
      </c>
      <c r="B15816" t="s">
        <v>1298</v>
      </c>
      <c r="C15816" t="s">
        <v>676</v>
      </c>
      <c r="D15816" t="s">
        <v>1465</v>
      </c>
      <c r="E15816" t="s">
        <v>187</v>
      </c>
      <c r="F15816">
        <v>2010</v>
      </c>
      <c r="G15816">
        <v>6.0990999999999997E-2</v>
      </c>
    </row>
    <row r="15817" spans="1:8">
      <c r="A15817" t="s">
        <v>1297</v>
      </c>
      <c r="B15817" t="s">
        <v>1298</v>
      </c>
      <c r="C15817" t="s">
        <v>676</v>
      </c>
      <c r="D15817" t="s">
        <v>1465</v>
      </c>
      <c r="E15817" t="s">
        <v>187</v>
      </c>
      <c r="F15817">
        <v>2012</v>
      </c>
      <c r="G15817">
        <v>1.5264</v>
      </c>
    </row>
    <row r="15818" spans="1:8">
      <c r="A15818" t="s">
        <v>1297</v>
      </c>
      <c r="B15818" t="s">
        <v>1298</v>
      </c>
      <c r="C15818" t="s">
        <v>676</v>
      </c>
      <c r="D15818" t="s">
        <v>1465</v>
      </c>
      <c r="E15818" t="s">
        <v>187</v>
      </c>
      <c r="F15818">
        <v>2016</v>
      </c>
      <c r="G15818">
        <v>1.9188000000000001</v>
      </c>
    </row>
    <row r="15819" spans="1:8">
      <c r="A15819" t="s">
        <v>1297</v>
      </c>
      <c r="B15819" t="s">
        <v>1298</v>
      </c>
      <c r="C15819" t="s">
        <v>676</v>
      </c>
      <c r="D15819" t="s">
        <v>1465</v>
      </c>
      <c r="E15819" t="s">
        <v>187</v>
      </c>
      <c r="F15819">
        <v>2020</v>
      </c>
      <c r="G15819">
        <v>2.1204000000000001</v>
      </c>
    </row>
    <row r="15820" spans="1:8">
      <c r="A15820" t="s">
        <v>1297</v>
      </c>
      <c r="B15820" t="s">
        <v>1298</v>
      </c>
      <c r="C15820" t="s">
        <v>664</v>
      </c>
      <c r="D15820" t="s">
        <v>1465</v>
      </c>
      <c r="E15820" t="s">
        <v>187</v>
      </c>
      <c r="F15820">
        <v>2010</v>
      </c>
      <c r="G15820">
        <v>1.714E-3</v>
      </c>
    </row>
    <row r="15821" spans="1:8">
      <c r="A15821" t="s">
        <v>1297</v>
      </c>
      <c r="B15821" t="s">
        <v>1298</v>
      </c>
      <c r="C15821" t="s">
        <v>664</v>
      </c>
      <c r="D15821" t="s">
        <v>1465</v>
      </c>
      <c r="E15821" t="s">
        <v>187</v>
      </c>
      <c r="F15821">
        <v>2012</v>
      </c>
      <c r="G15821">
        <v>2.3259999999999999E-3</v>
      </c>
    </row>
    <row r="15822" spans="1:8">
      <c r="A15822" t="s">
        <v>1297</v>
      </c>
      <c r="B15822" t="s">
        <v>1298</v>
      </c>
      <c r="C15822" t="s">
        <v>664</v>
      </c>
      <c r="D15822" t="s">
        <v>1465</v>
      </c>
      <c r="E15822" t="s">
        <v>187</v>
      </c>
      <c r="F15822">
        <v>2016</v>
      </c>
      <c r="G15822">
        <v>2.2176000000000001E-2</v>
      </c>
    </row>
    <row r="15823" spans="1:8">
      <c r="A15823" t="s">
        <v>1297</v>
      </c>
      <c r="B15823" t="s">
        <v>1298</v>
      </c>
      <c r="C15823" t="s">
        <v>664</v>
      </c>
      <c r="D15823" t="s">
        <v>1465</v>
      </c>
      <c r="E15823" t="s">
        <v>187</v>
      </c>
      <c r="F15823">
        <v>2020</v>
      </c>
      <c r="G15823">
        <v>7.6859999999999998E-2</v>
      </c>
    </row>
    <row r="15824" spans="1:8">
      <c r="A15824" t="s">
        <v>1297</v>
      </c>
      <c r="B15824" t="s">
        <v>1298</v>
      </c>
      <c r="C15824" t="s">
        <v>671</v>
      </c>
      <c r="D15824" t="s">
        <v>1465</v>
      </c>
      <c r="E15824" t="s">
        <v>187</v>
      </c>
      <c r="F15824">
        <v>2012</v>
      </c>
      <c r="G15824">
        <v>4.1079999999999997E-3</v>
      </c>
    </row>
    <row r="15825" spans="1:7">
      <c r="A15825" t="s">
        <v>1297</v>
      </c>
      <c r="B15825" t="s">
        <v>1298</v>
      </c>
      <c r="C15825" t="s">
        <v>671</v>
      </c>
      <c r="D15825" t="s">
        <v>1465</v>
      </c>
      <c r="E15825" t="s">
        <v>187</v>
      </c>
      <c r="F15825">
        <v>2016</v>
      </c>
      <c r="G15825">
        <v>0.44595000000000001</v>
      </c>
    </row>
    <row r="15826" spans="1:7">
      <c r="A15826" t="s">
        <v>1297</v>
      </c>
      <c r="B15826" t="s">
        <v>1298</v>
      </c>
      <c r="C15826" t="s">
        <v>671</v>
      </c>
      <c r="D15826" t="s">
        <v>1465</v>
      </c>
      <c r="E15826" t="s">
        <v>187</v>
      </c>
      <c r="F15826">
        <v>2020</v>
      </c>
      <c r="G15826">
        <v>2.5584229999999999</v>
      </c>
    </row>
    <row r="15827" spans="1:7">
      <c r="A15827" t="s">
        <v>1297</v>
      </c>
      <c r="B15827" t="s">
        <v>1298</v>
      </c>
      <c r="C15827" t="s">
        <v>666</v>
      </c>
      <c r="D15827" t="s">
        <v>1465</v>
      </c>
      <c r="E15827" t="s">
        <v>187</v>
      </c>
      <c r="F15827">
        <v>2012</v>
      </c>
      <c r="G15827">
        <v>7.1999999999999998E-3</v>
      </c>
    </row>
    <row r="15828" spans="1:7">
      <c r="A15828" t="s">
        <v>1297</v>
      </c>
      <c r="B15828" t="s">
        <v>1298</v>
      </c>
      <c r="C15828" t="s">
        <v>666</v>
      </c>
      <c r="D15828" t="s">
        <v>1465</v>
      </c>
      <c r="E15828" t="s">
        <v>187</v>
      </c>
      <c r="F15828">
        <v>2016</v>
      </c>
      <c r="G15828">
        <v>0.23760000000000001</v>
      </c>
    </row>
    <row r="15829" spans="1:7">
      <c r="A15829" t="s">
        <v>1297</v>
      </c>
      <c r="B15829" t="s">
        <v>1298</v>
      </c>
      <c r="C15829" t="s">
        <v>666</v>
      </c>
      <c r="D15829" t="s">
        <v>1465</v>
      </c>
      <c r="E15829" t="s">
        <v>187</v>
      </c>
      <c r="F15829">
        <v>2020</v>
      </c>
      <c r="G15829">
        <v>0.32795999999999997</v>
      </c>
    </row>
    <row r="15830" spans="1:7">
      <c r="A15830" t="s">
        <v>1297</v>
      </c>
      <c r="B15830" t="s">
        <v>1298</v>
      </c>
      <c r="C15830" t="s">
        <v>662</v>
      </c>
      <c r="D15830" t="s">
        <v>1465</v>
      </c>
      <c r="E15830" t="s">
        <v>187</v>
      </c>
      <c r="F15830">
        <v>2005</v>
      </c>
      <c r="G15830">
        <v>3.431E-3</v>
      </c>
    </row>
    <row r="15831" spans="1:7">
      <c r="A15831" t="s">
        <v>1297</v>
      </c>
      <c r="B15831" t="s">
        <v>1298</v>
      </c>
      <c r="C15831" t="s">
        <v>662</v>
      </c>
      <c r="D15831" t="s">
        <v>1465</v>
      </c>
      <c r="E15831" t="s">
        <v>187</v>
      </c>
      <c r="F15831">
        <v>2010</v>
      </c>
      <c r="G15831">
        <v>0.56789299999999998</v>
      </c>
    </row>
    <row r="15832" spans="1:7">
      <c r="A15832" t="s">
        <v>1297</v>
      </c>
      <c r="B15832" t="s">
        <v>1298</v>
      </c>
      <c r="C15832" t="s">
        <v>662</v>
      </c>
      <c r="D15832" t="s">
        <v>1465</v>
      </c>
      <c r="E15832" t="s">
        <v>187</v>
      </c>
      <c r="F15832">
        <v>2012</v>
      </c>
      <c r="G15832">
        <v>6.0983499999999999</v>
      </c>
    </row>
    <row r="15833" spans="1:7">
      <c r="A15833" t="s">
        <v>1297</v>
      </c>
      <c r="B15833" t="s">
        <v>1298</v>
      </c>
      <c r="C15833" t="s">
        <v>662</v>
      </c>
      <c r="D15833" t="s">
        <v>1465</v>
      </c>
      <c r="E15833" t="s">
        <v>187</v>
      </c>
      <c r="F15833">
        <v>2016</v>
      </c>
      <c r="G15833">
        <v>14.146978000000001</v>
      </c>
    </row>
    <row r="15834" spans="1:7">
      <c r="A15834" t="s">
        <v>1297</v>
      </c>
      <c r="B15834" t="s">
        <v>1298</v>
      </c>
      <c r="C15834" t="s">
        <v>662</v>
      </c>
      <c r="D15834" t="s">
        <v>1465</v>
      </c>
      <c r="E15834" t="s">
        <v>187</v>
      </c>
      <c r="F15834">
        <v>2020</v>
      </c>
      <c r="G15834">
        <v>15.942636</v>
      </c>
    </row>
    <row r="15835" spans="1:7">
      <c r="A15835" t="s">
        <v>1297</v>
      </c>
      <c r="B15835" t="s">
        <v>1298</v>
      </c>
      <c r="C15835" t="s">
        <v>667</v>
      </c>
      <c r="D15835" t="s">
        <v>1465</v>
      </c>
      <c r="E15835" t="s">
        <v>187</v>
      </c>
      <c r="F15835">
        <v>2005</v>
      </c>
      <c r="G15835">
        <v>6.3713000000000006E-2</v>
      </c>
    </row>
    <row r="15836" spans="1:7">
      <c r="A15836" t="s">
        <v>1297</v>
      </c>
      <c r="B15836" t="s">
        <v>1298</v>
      </c>
      <c r="C15836" t="s">
        <v>667</v>
      </c>
      <c r="D15836" t="s">
        <v>1465</v>
      </c>
      <c r="E15836" t="s">
        <v>187</v>
      </c>
      <c r="F15836">
        <v>2010</v>
      </c>
      <c r="G15836">
        <v>7.6133000000000006E-2</v>
      </c>
    </row>
    <row r="15837" spans="1:7">
      <c r="A15837" t="s">
        <v>1297</v>
      </c>
      <c r="B15837" t="s">
        <v>1298</v>
      </c>
      <c r="C15837" t="s">
        <v>667</v>
      </c>
      <c r="D15837" t="s">
        <v>1465</v>
      </c>
      <c r="E15837" t="s">
        <v>187</v>
      </c>
      <c r="F15837">
        <v>2012</v>
      </c>
      <c r="G15837">
        <v>0.137797</v>
      </c>
    </row>
    <row r="15838" spans="1:7">
      <c r="A15838" t="s">
        <v>1297</v>
      </c>
      <c r="B15838" t="s">
        <v>1298</v>
      </c>
      <c r="C15838" t="s">
        <v>667</v>
      </c>
      <c r="D15838" t="s">
        <v>1465</v>
      </c>
      <c r="E15838" t="s">
        <v>187</v>
      </c>
      <c r="F15838">
        <v>2016</v>
      </c>
      <c r="G15838">
        <v>0.361037</v>
      </c>
    </row>
    <row r="15839" spans="1:7">
      <c r="A15839" t="s">
        <v>1297</v>
      </c>
      <c r="B15839" t="s">
        <v>1298</v>
      </c>
      <c r="C15839" t="s">
        <v>667</v>
      </c>
      <c r="D15839" t="s">
        <v>1465</v>
      </c>
      <c r="E15839" t="s">
        <v>187</v>
      </c>
      <c r="F15839">
        <v>2020</v>
      </c>
      <c r="G15839">
        <v>0.46938600000000003</v>
      </c>
    </row>
    <row r="15840" spans="1:7">
      <c r="A15840" t="s">
        <v>1297</v>
      </c>
      <c r="B15840" t="s">
        <v>1298</v>
      </c>
      <c r="C15840" t="s">
        <v>655</v>
      </c>
      <c r="D15840" t="s">
        <v>1465</v>
      </c>
      <c r="E15840" t="s">
        <v>187</v>
      </c>
      <c r="F15840">
        <v>2005</v>
      </c>
      <c r="G15840">
        <v>1.49E-3</v>
      </c>
    </row>
    <row r="15841" spans="1:7">
      <c r="A15841" t="s">
        <v>1297</v>
      </c>
      <c r="B15841" t="s">
        <v>1298</v>
      </c>
      <c r="C15841" t="s">
        <v>655</v>
      </c>
      <c r="D15841" t="s">
        <v>1465</v>
      </c>
      <c r="E15841" t="s">
        <v>187</v>
      </c>
      <c r="F15841">
        <v>2010</v>
      </c>
      <c r="G15841">
        <v>2.2165270000000001</v>
      </c>
    </row>
    <row r="15842" spans="1:7">
      <c r="A15842" t="s">
        <v>1297</v>
      </c>
      <c r="B15842" t="s">
        <v>1298</v>
      </c>
      <c r="C15842" t="s">
        <v>655</v>
      </c>
      <c r="D15842" t="s">
        <v>1465</v>
      </c>
      <c r="E15842" t="s">
        <v>187</v>
      </c>
      <c r="F15842">
        <v>2012</v>
      </c>
      <c r="G15842">
        <v>7.7350459999999996</v>
      </c>
    </row>
    <row r="15843" spans="1:7">
      <c r="A15843" t="s">
        <v>1297</v>
      </c>
      <c r="B15843" t="s">
        <v>1298</v>
      </c>
      <c r="C15843" t="s">
        <v>655</v>
      </c>
      <c r="D15843" t="s">
        <v>1465</v>
      </c>
      <c r="E15843" t="s">
        <v>187</v>
      </c>
      <c r="F15843">
        <v>2016</v>
      </c>
      <c r="G15843">
        <v>7.6732379999999996</v>
      </c>
    </row>
    <row r="15844" spans="1:7">
      <c r="A15844" t="s">
        <v>1297</v>
      </c>
      <c r="B15844" t="s">
        <v>1298</v>
      </c>
      <c r="C15844" t="s">
        <v>655</v>
      </c>
      <c r="D15844" t="s">
        <v>1465</v>
      </c>
      <c r="E15844" t="s">
        <v>187</v>
      </c>
      <c r="F15844">
        <v>2020</v>
      </c>
      <c r="G15844">
        <v>8.3216660000000005</v>
      </c>
    </row>
    <row r="15845" spans="1:7">
      <c r="A15845" t="s">
        <v>1297</v>
      </c>
      <c r="B15845" t="s">
        <v>1298</v>
      </c>
      <c r="C15845" t="s">
        <v>677</v>
      </c>
      <c r="D15845" t="s">
        <v>1465</v>
      </c>
      <c r="E15845" t="s">
        <v>187</v>
      </c>
      <c r="F15845">
        <v>2005</v>
      </c>
      <c r="G15845">
        <v>2.9430000000000001E-2</v>
      </c>
    </row>
    <row r="15846" spans="1:7">
      <c r="A15846" t="s">
        <v>1297</v>
      </c>
      <c r="B15846" t="s">
        <v>1298</v>
      </c>
      <c r="C15846" t="s">
        <v>677</v>
      </c>
      <c r="D15846" t="s">
        <v>1465</v>
      </c>
      <c r="E15846" t="s">
        <v>187</v>
      </c>
      <c r="F15846">
        <v>2010</v>
      </c>
      <c r="G15846">
        <v>0.14499699999999999</v>
      </c>
    </row>
    <row r="15847" spans="1:7">
      <c r="A15847" t="s">
        <v>1297</v>
      </c>
      <c r="B15847" t="s">
        <v>1298</v>
      </c>
      <c r="C15847" t="s">
        <v>677</v>
      </c>
      <c r="D15847" t="s">
        <v>1465</v>
      </c>
      <c r="E15847" t="s">
        <v>187</v>
      </c>
      <c r="F15847">
        <v>2012</v>
      </c>
      <c r="G15847">
        <v>4.8734999999999999</v>
      </c>
    </row>
    <row r="15848" spans="1:7">
      <c r="A15848" t="s">
        <v>1297</v>
      </c>
      <c r="B15848" t="s">
        <v>1298</v>
      </c>
      <c r="C15848" t="s">
        <v>677</v>
      </c>
      <c r="D15848" t="s">
        <v>1465</v>
      </c>
      <c r="E15848" t="s">
        <v>187</v>
      </c>
      <c r="F15848">
        <v>2016</v>
      </c>
      <c r="G15848">
        <v>37.422378000000002</v>
      </c>
    </row>
    <row r="15849" spans="1:7">
      <c r="A15849" t="s">
        <v>1297</v>
      </c>
      <c r="B15849" t="s">
        <v>1298</v>
      </c>
      <c r="C15849" t="s">
        <v>677</v>
      </c>
      <c r="D15849" t="s">
        <v>1465</v>
      </c>
      <c r="E15849" t="s">
        <v>187</v>
      </c>
      <c r="F15849">
        <v>2020</v>
      </c>
      <c r="G15849">
        <v>46.505051999999999</v>
      </c>
    </row>
    <row r="15850" spans="1:7">
      <c r="A15850" t="s">
        <v>1297</v>
      </c>
      <c r="B15850" t="s">
        <v>1298</v>
      </c>
      <c r="C15850" t="s">
        <v>681</v>
      </c>
      <c r="D15850" t="s">
        <v>1465</v>
      </c>
      <c r="E15850" t="s">
        <v>187</v>
      </c>
      <c r="F15850">
        <v>2020</v>
      </c>
      <c r="G15850">
        <v>7.9906000000000005E-2</v>
      </c>
    </row>
    <row r="15851" spans="1:7">
      <c r="A15851" t="s">
        <v>1297</v>
      </c>
      <c r="B15851" t="s">
        <v>1298</v>
      </c>
      <c r="C15851" t="s">
        <v>685</v>
      </c>
      <c r="D15851" t="s">
        <v>1465</v>
      </c>
      <c r="E15851" t="s">
        <v>187</v>
      </c>
      <c r="F15851">
        <v>2010</v>
      </c>
      <c r="G15851" s="14">
        <v>9.3999999999999994E-5</v>
      </c>
    </row>
    <row r="15852" spans="1:7">
      <c r="A15852" t="s">
        <v>1297</v>
      </c>
      <c r="B15852" t="s">
        <v>1298</v>
      </c>
      <c r="C15852" t="s">
        <v>685</v>
      </c>
      <c r="D15852" t="s">
        <v>1465</v>
      </c>
      <c r="E15852" t="s">
        <v>187</v>
      </c>
      <c r="F15852">
        <v>2012</v>
      </c>
      <c r="G15852">
        <v>1.021E-2</v>
      </c>
    </row>
    <row r="15853" spans="1:7">
      <c r="A15853" t="s">
        <v>1297</v>
      </c>
      <c r="B15853" t="s">
        <v>1298</v>
      </c>
      <c r="C15853" t="s">
        <v>685</v>
      </c>
      <c r="D15853" t="s">
        <v>1465</v>
      </c>
      <c r="E15853" t="s">
        <v>187</v>
      </c>
      <c r="F15853">
        <v>2016</v>
      </c>
      <c r="G15853">
        <v>8.5316000000000003E-2</v>
      </c>
    </row>
    <row r="15854" spans="1:7">
      <c r="A15854" t="s">
        <v>1297</v>
      </c>
      <c r="B15854" t="s">
        <v>1298</v>
      </c>
      <c r="C15854" t="s">
        <v>685</v>
      </c>
      <c r="D15854" t="s">
        <v>1465</v>
      </c>
      <c r="E15854" t="s">
        <v>187</v>
      </c>
      <c r="F15854">
        <v>2020</v>
      </c>
      <c r="G15854">
        <v>8.3610000000000004E-2</v>
      </c>
    </row>
    <row r="15855" spans="1:7">
      <c r="A15855" t="s">
        <v>1297</v>
      </c>
      <c r="B15855" t="s">
        <v>1298</v>
      </c>
      <c r="C15855" t="s">
        <v>658</v>
      </c>
      <c r="D15855" t="s">
        <v>1465</v>
      </c>
      <c r="E15855" t="s">
        <v>187</v>
      </c>
      <c r="F15855">
        <v>2016</v>
      </c>
      <c r="G15855">
        <v>3.4837E-2</v>
      </c>
    </row>
    <row r="15856" spans="1:7">
      <c r="A15856" t="s">
        <v>1297</v>
      </c>
      <c r="B15856" t="s">
        <v>1298</v>
      </c>
      <c r="C15856" t="s">
        <v>658</v>
      </c>
      <c r="D15856" t="s">
        <v>1465</v>
      </c>
      <c r="E15856" t="s">
        <v>187</v>
      </c>
      <c r="F15856">
        <v>2020</v>
      </c>
      <c r="G15856">
        <v>0.2646</v>
      </c>
    </row>
    <row r="15857" spans="1:7">
      <c r="A15857" t="s">
        <v>1297</v>
      </c>
      <c r="B15857" t="s">
        <v>1298</v>
      </c>
      <c r="C15857" t="s">
        <v>657</v>
      </c>
      <c r="D15857" t="s">
        <v>1466</v>
      </c>
      <c r="E15857" t="s">
        <v>187</v>
      </c>
      <c r="F15857">
        <v>2005</v>
      </c>
      <c r="G15857">
        <v>1.024</v>
      </c>
    </row>
    <row r="15858" spans="1:7">
      <c r="A15858" t="s">
        <v>1297</v>
      </c>
      <c r="B15858" t="s">
        <v>1298</v>
      </c>
      <c r="C15858" t="s">
        <v>657</v>
      </c>
      <c r="D15858" t="s">
        <v>1466</v>
      </c>
      <c r="E15858" t="s">
        <v>187</v>
      </c>
      <c r="F15858">
        <v>2010</v>
      </c>
      <c r="G15858">
        <v>1.452974</v>
      </c>
    </row>
    <row r="15859" spans="1:7">
      <c r="A15859" t="s">
        <v>1297</v>
      </c>
      <c r="B15859" t="s">
        <v>1298</v>
      </c>
      <c r="C15859" t="s">
        <v>657</v>
      </c>
      <c r="D15859" t="s">
        <v>1466</v>
      </c>
      <c r="E15859" t="s">
        <v>187</v>
      </c>
      <c r="F15859">
        <v>2012</v>
      </c>
      <c r="G15859">
        <v>1.612617</v>
      </c>
    </row>
    <row r="15860" spans="1:7">
      <c r="A15860" t="s">
        <v>1297</v>
      </c>
      <c r="B15860" t="s">
        <v>1298</v>
      </c>
      <c r="C15860" t="s">
        <v>657</v>
      </c>
      <c r="D15860" t="s">
        <v>1466</v>
      </c>
      <c r="E15860" t="s">
        <v>187</v>
      </c>
      <c r="F15860">
        <v>2016</v>
      </c>
      <c r="G15860">
        <v>1.947338</v>
      </c>
    </row>
    <row r="15861" spans="1:7">
      <c r="A15861" t="s">
        <v>1297</v>
      </c>
      <c r="B15861" t="s">
        <v>1298</v>
      </c>
      <c r="C15861" t="s">
        <v>657</v>
      </c>
      <c r="D15861" t="s">
        <v>1466</v>
      </c>
      <c r="E15861" t="s">
        <v>187</v>
      </c>
      <c r="F15861">
        <v>2020</v>
      </c>
      <c r="G15861">
        <v>2.3013110000000001</v>
      </c>
    </row>
    <row r="15862" spans="1:7">
      <c r="A15862" t="s">
        <v>1297</v>
      </c>
      <c r="B15862" t="s">
        <v>1298</v>
      </c>
      <c r="C15862" t="s">
        <v>652</v>
      </c>
      <c r="D15862" t="s">
        <v>1466</v>
      </c>
      <c r="E15862" t="s">
        <v>187</v>
      </c>
      <c r="F15862">
        <v>2010</v>
      </c>
      <c r="G15862">
        <v>6.2E-2</v>
      </c>
    </row>
    <row r="15863" spans="1:7">
      <c r="A15863" t="s">
        <v>1297</v>
      </c>
      <c r="B15863" t="s">
        <v>1298</v>
      </c>
      <c r="C15863" t="s">
        <v>652</v>
      </c>
      <c r="D15863" t="s">
        <v>1466</v>
      </c>
      <c r="E15863" t="s">
        <v>187</v>
      </c>
      <c r="F15863">
        <v>2012</v>
      </c>
      <c r="G15863">
        <v>9.2999999999999999E-2</v>
      </c>
    </row>
    <row r="15864" spans="1:7">
      <c r="A15864" t="s">
        <v>1297</v>
      </c>
      <c r="B15864" t="s">
        <v>1298</v>
      </c>
      <c r="C15864" t="s">
        <v>652</v>
      </c>
      <c r="D15864" t="s">
        <v>1466</v>
      </c>
      <c r="E15864" t="s">
        <v>187</v>
      </c>
      <c r="F15864">
        <v>2016</v>
      </c>
      <c r="G15864">
        <v>0.3362</v>
      </c>
    </row>
    <row r="15865" spans="1:7">
      <c r="A15865" t="s">
        <v>1297</v>
      </c>
      <c r="B15865" t="s">
        <v>1298</v>
      </c>
      <c r="C15865" t="s">
        <v>652</v>
      </c>
      <c r="D15865" t="s">
        <v>1466</v>
      </c>
      <c r="E15865" t="s">
        <v>187</v>
      </c>
      <c r="F15865">
        <v>2020</v>
      </c>
      <c r="G15865">
        <v>0.35859999999999997</v>
      </c>
    </row>
    <row r="15866" spans="1:7">
      <c r="A15866" t="s">
        <v>1297</v>
      </c>
      <c r="B15866" t="s">
        <v>1298</v>
      </c>
      <c r="C15866" t="s">
        <v>651</v>
      </c>
      <c r="D15866" t="s">
        <v>1466</v>
      </c>
      <c r="E15866" t="s">
        <v>187</v>
      </c>
      <c r="F15866">
        <v>2005</v>
      </c>
      <c r="G15866">
        <v>0.11214399999999999</v>
      </c>
    </row>
    <row r="15867" spans="1:7">
      <c r="A15867" t="s">
        <v>1297</v>
      </c>
      <c r="B15867" t="s">
        <v>1298</v>
      </c>
      <c r="C15867" t="s">
        <v>651</v>
      </c>
      <c r="D15867" t="s">
        <v>1466</v>
      </c>
      <c r="E15867" t="s">
        <v>187</v>
      </c>
      <c r="F15867">
        <v>2010</v>
      </c>
      <c r="G15867">
        <v>8.9989E-2</v>
      </c>
    </row>
    <row r="15868" spans="1:7">
      <c r="A15868" t="s">
        <v>1297</v>
      </c>
      <c r="B15868" t="s">
        <v>1298</v>
      </c>
      <c r="C15868" t="s">
        <v>651</v>
      </c>
      <c r="D15868" t="s">
        <v>1466</v>
      </c>
      <c r="E15868" t="s">
        <v>187</v>
      </c>
      <c r="F15868">
        <v>2012</v>
      </c>
      <c r="G15868">
        <v>0.14908299999999999</v>
      </c>
    </row>
    <row r="15869" spans="1:7">
      <c r="A15869" t="s">
        <v>1297</v>
      </c>
      <c r="B15869" t="s">
        <v>1298</v>
      </c>
      <c r="C15869" t="s">
        <v>651</v>
      </c>
      <c r="D15869" t="s">
        <v>1466</v>
      </c>
      <c r="E15869" t="s">
        <v>187</v>
      </c>
      <c r="F15869">
        <v>2016</v>
      </c>
      <c r="G15869">
        <v>0.19692699999999999</v>
      </c>
    </row>
    <row r="15870" spans="1:7">
      <c r="A15870" t="s">
        <v>1297</v>
      </c>
      <c r="B15870" t="s">
        <v>1298</v>
      </c>
      <c r="C15870" t="s">
        <v>651</v>
      </c>
      <c r="D15870" t="s">
        <v>1466</v>
      </c>
      <c r="E15870" t="s">
        <v>187</v>
      </c>
      <c r="F15870">
        <v>2020</v>
      </c>
      <c r="G15870">
        <v>0.28492200000000001</v>
      </c>
    </row>
    <row r="15871" spans="1:7">
      <c r="A15871" t="s">
        <v>1297</v>
      </c>
      <c r="B15871" t="s">
        <v>1298</v>
      </c>
      <c r="C15871" t="s">
        <v>679</v>
      </c>
      <c r="D15871" t="s">
        <v>1466</v>
      </c>
      <c r="E15871" t="s">
        <v>187</v>
      </c>
      <c r="F15871">
        <v>2005</v>
      </c>
      <c r="G15871">
        <v>0.59339600000000003</v>
      </c>
    </row>
    <row r="15872" spans="1:7">
      <c r="A15872" t="s">
        <v>1297</v>
      </c>
      <c r="B15872" t="s">
        <v>1298</v>
      </c>
      <c r="C15872" t="s">
        <v>679</v>
      </c>
      <c r="D15872" t="s">
        <v>1466</v>
      </c>
      <c r="E15872" t="s">
        <v>187</v>
      </c>
      <c r="F15872">
        <v>2010</v>
      </c>
      <c r="G15872">
        <v>1.0665830000000001</v>
      </c>
    </row>
    <row r="15873" spans="1:7">
      <c r="A15873" t="s">
        <v>1297</v>
      </c>
      <c r="B15873" t="s">
        <v>1298</v>
      </c>
      <c r="C15873" t="s">
        <v>679</v>
      </c>
      <c r="D15873" t="s">
        <v>1466</v>
      </c>
      <c r="E15873" t="s">
        <v>187</v>
      </c>
      <c r="F15873">
        <v>2012</v>
      </c>
      <c r="G15873">
        <v>1.4925200000000001</v>
      </c>
    </row>
    <row r="15874" spans="1:7">
      <c r="A15874" t="s">
        <v>1297</v>
      </c>
      <c r="B15874" t="s">
        <v>1298</v>
      </c>
      <c r="C15874" t="s">
        <v>679</v>
      </c>
      <c r="D15874" t="s">
        <v>1466</v>
      </c>
      <c r="E15874" t="s">
        <v>187</v>
      </c>
      <c r="F15874">
        <v>2016</v>
      </c>
      <c r="G15874">
        <v>1.8034859999999999</v>
      </c>
    </row>
    <row r="15875" spans="1:7">
      <c r="A15875" t="s">
        <v>1297</v>
      </c>
      <c r="B15875" t="s">
        <v>1298</v>
      </c>
      <c r="C15875" t="s">
        <v>679</v>
      </c>
      <c r="D15875" t="s">
        <v>1466</v>
      </c>
      <c r="E15875" t="s">
        <v>187</v>
      </c>
      <c r="F15875">
        <v>2020</v>
      </c>
      <c r="G15875">
        <v>2.015714</v>
      </c>
    </row>
    <row r="15876" spans="1:7">
      <c r="A15876" t="s">
        <v>1297</v>
      </c>
      <c r="B15876" t="s">
        <v>1298</v>
      </c>
      <c r="C15876" t="s">
        <v>659</v>
      </c>
      <c r="D15876" t="s">
        <v>1466</v>
      </c>
      <c r="E15876" t="s">
        <v>187</v>
      </c>
      <c r="F15876">
        <v>2016</v>
      </c>
      <c r="G15876">
        <v>6.649</v>
      </c>
    </row>
    <row r="15877" spans="1:7">
      <c r="A15877" t="s">
        <v>1297</v>
      </c>
      <c r="B15877" t="s">
        <v>1298</v>
      </c>
      <c r="C15877" t="s">
        <v>659</v>
      </c>
      <c r="D15877" t="s">
        <v>1466</v>
      </c>
      <c r="E15877" t="s">
        <v>187</v>
      </c>
      <c r="F15877">
        <v>2020</v>
      </c>
      <c r="G15877">
        <v>9.2379999999999995</v>
      </c>
    </row>
    <row r="15878" spans="1:7">
      <c r="A15878" t="s">
        <v>1297</v>
      </c>
      <c r="B15878" t="s">
        <v>1298</v>
      </c>
      <c r="C15878" t="s">
        <v>677</v>
      </c>
      <c r="D15878" t="s">
        <v>1466</v>
      </c>
      <c r="E15878" t="s">
        <v>187</v>
      </c>
      <c r="F15878">
        <v>2010</v>
      </c>
      <c r="G15878">
        <v>0.260604</v>
      </c>
    </row>
    <row r="15879" spans="1:7">
      <c r="A15879" t="s">
        <v>1297</v>
      </c>
      <c r="B15879" t="s">
        <v>1298</v>
      </c>
      <c r="C15879" t="s">
        <v>677</v>
      </c>
      <c r="D15879" t="s">
        <v>1466</v>
      </c>
      <c r="E15879" t="s">
        <v>187</v>
      </c>
      <c r="F15879">
        <v>2012</v>
      </c>
      <c r="G15879">
        <v>0.58061200000000002</v>
      </c>
    </row>
    <row r="15880" spans="1:7">
      <c r="A15880" t="s">
        <v>1297</v>
      </c>
      <c r="B15880" t="s">
        <v>1298</v>
      </c>
      <c r="C15880" t="s">
        <v>677</v>
      </c>
      <c r="D15880" t="s">
        <v>1466</v>
      </c>
      <c r="E15880" t="s">
        <v>187</v>
      </c>
      <c r="F15880">
        <v>2016</v>
      </c>
      <c r="G15880">
        <v>3.339</v>
      </c>
    </row>
    <row r="15881" spans="1:7">
      <c r="A15881" t="s">
        <v>1297</v>
      </c>
      <c r="B15881" t="s">
        <v>1298</v>
      </c>
      <c r="C15881" t="s">
        <v>677</v>
      </c>
      <c r="D15881" t="s">
        <v>1466</v>
      </c>
      <c r="E15881" t="s">
        <v>187</v>
      </c>
      <c r="F15881">
        <v>2020</v>
      </c>
      <c r="G15881">
        <v>2.3239999999999998</v>
      </c>
    </row>
    <row r="15882" spans="1:7">
      <c r="A15882" t="s">
        <v>1297</v>
      </c>
      <c r="B15882" t="s">
        <v>1298</v>
      </c>
      <c r="C15882" t="s">
        <v>663</v>
      </c>
      <c r="D15882" t="s">
        <v>1466</v>
      </c>
      <c r="E15882" t="s">
        <v>187</v>
      </c>
      <c r="F15882">
        <v>2020</v>
      </c>
      <c r="G15882">
        <v>4.3999999999999997E-2</v>
      </c>
    </row>
    <row r="15883" spans="1:7">
      <c r="A15883" t="s">
        <v>1297</v>
      </c>
      <c r="B15883" t="s">
        <v>1298</v>
      </c>
      <c r="C15883" t="s">
        <v>676</v>
      </c>
      <c r="D15883" t="s">
        <v>1466</v>
      </c>
      <c r="E15883" t="s">
        <v>187</v>
      </c>
      <c r="F15883">
        <v>2020</v>
      </c>
      <c r="G15883">
        <v>4.2250000000000003E-2</v>
      </c>
    </row>
    <row r="15884" spans="1:7">
      <c r="A15884" t="s">
        <v>1297</v>
      </c>
      <c r="B15884" t="s">
        <v>1298</v>
      </c>
      <c r="C15884" t="s">
        <v>668</v>
      </c>
      <c r="D15884" t="s">
        <v>1466</v>
      </c>
      <c r="E15884" t="s">
        <v>187</v>
      </c>
      <c r="F15884">
        <v>2020</v>
      </c>
      <c r="G15884">
        <v>6.1789999999999996E-3</v>
      </c>
    </row>
    <row r="15885" spans="1:7">
      <c r="A15885" t="s">
        <v>1297</v>
      </c>
      <c r="B15885" t="s">
        <v>1298</v>
      </c>
      <c r="C15885" t="s">
        <v>666</v>
      </c>
      <c r="D15885" t="s">
        <v>1466</v>
      </c>
      <c r="E15885" t="s">
        <v>187</v>
      </c>
      <c r="F15885">
        <v>2020</v>
      </c>
      <c r="G15885">
        <v>3.7999999999999999E-2</v>
      </c>
    </row>
    <row r="15886" spans="1:7">
      <c r="A15886" t="s">
        <v>1297</v>
      </c>
      <c r="B15886" t="s">
        <v>1298</v>
      </c>
      <c r="C15886" t="s">
        <v>656</v>
      </c>
      <c r="D15886" t="s">
        <v>1466</v>
      </c>
      <c r="E15886" t="s">
        <v>187</v>
      </c>
      <c r="F15886">
        <v>2020</v>
      </c>
      <c r="G15886">
        <v>0.46</v>
      </c>
    </row>
    <row r="15887" spans="1:7">
      <c r="A15887" t="s">
        <v>1297</v>
      </c>
      <c r="B15887" t="s">
        <v>1298</v>
      </c>
      <c r="C15887" t="s">
        <v>655</v>
      </c>
      <c r="D15887" t="s">
        <v>1466</v>
      </c>
      <c r="E15887" t="s">
        <v>187</v>
      </c>
      <c r="F15887">
        <v>2005</v>
      </c>
      <c r="G15887">
        <v>5.5844999999999999E-2</v>
      </c>
    </row>
    <row r="15888" spans="1:7">
      <c r="A15888" t="s">
        <v>1297</v>
      </c>
      <c r="B15888" t="s">
        <v>1298</v>
      </c>
      <c r="C15888" t="s">
        <v>655</v>
      </c>
      <c r="D15888" t="s">
        <v>1466</v>
      </c>
      <c r="E15888" t="s">
        <v>187</v>
      </c>
      <c r="F15888">
        <v>2010</v>
      </c>
      <c r="G15888">
        <v>0.10626099999999999</v>
      </c>
    </row>
    <row r="15889" spans="1:7">
      <c r="A15889" t="s">
        <v>1297</v>
      </c>
      <c r="B15889" t="s">
        <v>1298</v>
      </c>
      <c r="C15889" t="s">
        <v>655</v>
      </c>
      <c r="D15889" t="s">
        <v>1466</v>
      </c>
      <c r="E15889" t="s">
        <v>187</v>
      </c>
      <c r="F15889">
        <v>2012</v>
      </c>
      <c r="G15889">
        <v>0.21359</v>
      </c>
    </row>
    <row r="15890" spans="1:7">
      <c r="A15890" t="s">
        <v>1297</v>
      </c>
      <c r="B15890" t="s">
        <v>1298</v>
      </c>
      <c r="C15890" t="s">
        <v>655</v>
      </c>
      <c r="D15890" t="s">
        <v>1466</v>
      </c>
      <c r="E15890" t="s">
        <v>187</v>
      </c>
      <c r="F15890">
        <v>2016</v>
      </c>
      <c r="G15890">
        <v>0.46564699999999998</v>
      </c>
    </row>
    <row r="15891" spans="1:7">
      <c r="A15891" t="s">
        <v>1297</v>
      </c>
      <c r="B15891" t="s">
        <v>1298</v>
      </c>
      <c r="C15891" t="s">
        <v>655</v>
      </c>
      <c r="D15891" t="s">
        <v>1466</v>
      </c>
      <c r="E15891" t="s">
        <v>187</v>
      </c>
      <c r="F15891">
        <v>2020</v>
      </c>
      <c r="G15891">
        <v>0.739653</v>
      </c>
    </row>
    <row r="15892" spans="1:7">
      <c r="A15892" t="s">
        <v>1297</v>
      </c>
      <c r="B15892" t="s">
        <v>1298</v>
      </c>
      <c r="C15892" t="s">
        <v>677</v>
      </c>
      <c r="D15892" t="s">
        <v>1467</v>
      </c>
      <c r="E15892" t="s">
        <v>187</v>
      </c>
      <c r="F15892">
        <v>2012</v>
      </c>
      <c r="G15892">
        <v>1.095837</v>
      </c>
    </row>
    <row r="15893" spans="1:7">
      <c r="A15893" t="s">
        <v>1297</v>
      </c>
      <c r="B15893" t="s">
        <v>1298</v>
      </c>
      <c r="C15893" t="s">
        <v>655</v>
      </c>
      <c r="D15893" t="s">
        <v>1467</v>
      </c>
      <c r="E15893" t="s">
        <v>187</v>
      </c>
      <c r="F15893">
        <v>2020</v>
      </c>
      <c r="G15893">
        <v>0.84893300000000005</v>
      </c>
    </row>
    <row r="15894" spans="1:7">
      <c r="A15894" t="s">
        <v>1297</v>
      </c>
      <c r="B15894" t="s">
        <v>1298</v>
      </c>
      <c r="C15894" t="s">
        <v>651</v>
      </c>
      <c r="D15894" t="s">
        <v>1467</v>
      </c>
      <c r="E15894" t="s">
        <v>187</v>
      </c>
      <c r="F15894">
        <v>2005</v>
      </c>
      <c r="G15894">
        <v>1.402908</v>
      </c>
    </row>
    <row r="15895" spans="1:7">
      <c r="A15895" t="s">
        <v>1297</v>
      </c>
      <c r="B15895" t="s">
        <v>1298</v>
      </c>
      <c r="C15895" t="s">
        <v>651</v>
      </c>
      <c r="D15895" t="s">
        <v>1467</v>
      </c>
      <c r="E15895" t="s">
        <v>187</v>
      </c>
      <c r="F15895">
        <v>2010</v>
      </c>
      <c r="G15895">
        <v>2.8484980000000002</v>
      </c>
    </row>
    <row r="15896" spans="1:7">
      <c r="A15896" t="s">
        <v>1297</v>
      </c>
      <c r="B15896" t="s">
        <v>1298</v>
      </c>
      <c r="C15896" t="s">
        <v>651</v>
      </c>
      <c r="D15896" t="s">
        <v>1467</v>
      </c>
      <c r="E15896" t="s">
        <v>187</v>
      </c>
      <c r="F15896">
        <v>2012</v>
      </c>
      <c r="G15896">
        <v>3.890069</v>
      </c>
    </row>
    <row r="15897" spans="1:7">
      <c r="A15897" t="s">
        <v>1297</v>
      </c>
      <c r="B15897" t="s">
        <v>1298</v>
      </c>
      <c r="C15897" t="s">
        <v>651</v>
      </c>
      <c r="D15897" t="s">
        <v>1467</v>
      </c>
      <c r="E15897" t="s">
        <v>187</v>
      </c>
      <c r="F15897">
        <v>2016</v>
      </c>
      <c r="G15897">
        <v>5.2107970000000003</v>
      </c>
    </row>
    <row r="15898" spans="1:7">
      <c r="A15898" t="s">
        <v>1297</v>
      </c>
      <c r="B15898" t="s">
        <v>1298</v>
      </c>
      <c r="C15898" t="s">
        <v>651</v>
      </c>
      <c r="D15898" t="s">
        <v>1467</v>
      </c>
      <c r="E15898" t="s">
        <v>187</v>
      </c>
      <c r="F15898">
        <v>2020</v>
      </c>
      <c r="G15898">
        <v>7.6625699999999997</v>
      </c>
    </row>
    <row r="15899" spans="1:7">
      <c r="A15899" t="s">
        <v>1297</v>
      </c>
      <c r="B15899" t="s">
        <v>1298</v>
      </c>
      <c r="C15899" t="s">
        <v>669</v>
      </c>
      <c r="D15899" t="s">
        <v>1467</v>
      </c>
      <c r="E15899" t="s">
        <v>187</v>
      </c>
      <c r="F15899">
        <v>2020</v>
      </c>
      <c r="G15899">
        <v>0.24670800000000001</v>
      </c>
    </row>
    <row r="15900" spans="1:7">
      <c r="A15900" t="s">
        <v>1297</v>
      </c>
      <c r="B15900" t="s">
        <v>1298</v>
      </c>
      <c r="C15900" t="s">
        <v>677</v>
      </c>
      <c r="D15900" t="s">
        <v>1467</v>
      </c>
      <c r="E15900" t="s">
        <v>187</v>
      </c>
      <c r="F15900">
        <v>2010</v>
      </c>
      <c r="G15900">
        <v>0.32235399999999997</v>
      </c>
    </row>
    <row r="15901" spans="1:7">
      <c r="A15901" t="s">
        <v>1297</v>
      </c>
      <c r="B15901" t="s">
        <v>1298</v>
      </c>
      <c r="C15901" t="s">
        <v>670</v>
      </c>
      <c r="D15901" t="s">
        <v>1467</v>
      </c>
      <c r="E15901" t="s">
        <v>187</v>
      </c>
      <c r="F15901">
        <v>2012</v>
      </c>
      <c r="G15901">
        <v>2.524648</v>
      </c>
    </row>
    <row r="15902" spans="1:7">
      <c r="A15902" t="s">
        <v>1297</v>
      </c>
      <c r="B15902" t="s">
        <v>1298</v>
      </c>
      <c r="C15902" t="s">
        <v>663</v>
      </c>
      <c r="D15902" t="s">
        <v>1467</v>
      </c>
      <c r="E15902" t="s">
        <v>187</v>
      </c>
      <c r="F15902">
        <v>2020</v>
      </c>
      <c r="G15902">
        <v>9.6000000000000002E-2</v>
      </c>
    </row>
    <row r="15903" spans="1:7">
      <c r="A15903" t="s">
        <v>1297</v>
      </c>
      <c r="B15903" t="s">
        <v>1298</v>
      </c>
      <c r="C15903" t="s">
        <v>670</v>
      </c>
      <c r="D15903" t="s">
        <v>1467</v>
      </c>
      <c r="E15903" t="s">
        <v>187</v>
      </c>
      <c r="F15903">
        <v>2016</v>
      </c>
      <c r="G15903">
        <v>4.1156860000000002</v>
      </c>
    </row>
    <row r="15904" spans="1:7">
      <c r="A15904" t="s">
        <v>1297</v>
      </c>
      <c r="B15904" t="s">
        <v>1298</v>
      </c>
      <c r="C15904" t="s">
        <v>670</v>
      </c>
      <c r="D15904" t="s">
        <v>1467</v>
      </c>
      <c r="E15904" t="s">
        <v>187</v>
      </c>
      <c r="F15904">
        <v>2020</v>
      </c>
      <c r="G15904">
        <v>6.0468760000000001</v>
      </c>
    </row>
    <row r="15905" spans="1:7">
      <c r="A15905" t="s">
        <v>1297</v>
      </c>
      <c r="B15905" t="s">
        <v>1298</v>
      </c>
      <c r="C15905" t="s">
        <v>660</v>
      </c>
      <c r="D15905" t="s">
        <v>1467</v>
      </c>
      <c r="E15905" t="s">
        <v>187</v>
      </c>
      <c r="F15905">
        <v>2020</v>
      </c>
      <c r="G15905">
        <v>2.0150000000000001</v>
      </c>
    </row>
    <row r="15906" spans="1:7">
      <c r="A15906" t="s">
        <v>1297</v>
      </c>
      <c r="B15906" t="s">
        <v>1298</v>
      </c>
      <c r="C15906" t="s">
        <v>664</v>
      </c>
      <c r="D15906" t="s">
        <v>1467</v>
      </c>
      <c r="E15906" t="s">
        <v>187</v>
      </c>
      <c r="F15906">
        <v>2005</v>
      </c>
      <c r="G15906">
        <v>3.5024E-2</v>
      </c>
    </row>
    <row r="15907" spans="1:7">
      <c r="A15907" t="s">
        <v>1297</v>
      </c>
      <c r="B15907" t="s">
        <v>1298</v>
      </c>
      <c r="C15907" t="s">
        <v>664</v>
      </c>
      <c r="D15907" t="s">
        <v>1467</v>
      </c>
      <c r="E15907" t="s">
        <v>187</v>
      </c>
      <c r="F15907">
        <v>2010</v>
      </c>
      <c r="G15907">
        <v>0.223327</v>
      </c>
    </row>
    <row r="15908" spans="1:7">
      <c r="A15908" t="s">
        <v>1297</v>
      </c>
      <c r="B15908" t="s">
        <v>1298</v>
      </c>
      <c r="C15908" t="s">
        <v>664</v>
      </c>
      <c r="D15908" t="s">
        <v>1467</v>
      </c>
      <c r="E15908" t="s">
        <v>187</v>
      </c>
      <c r="F15908">
        <v>2012</v>
      </c>
      <c r="G15908">
        <v>0.28439199999999998</v>
      </c>
    </row>
    <row r="15909" spans="1:7">
      <c r="A15909" t="s">
        <v>1297</v>
      </c>
      <c r="B15909" t="s">
        <v>1298</v>
      </c>
      <c r="C15909" t="s">
        <v>664</v>
      </c>
      <c r="D15909" t="s">
        <v>1467</v>
      </c>
      <c r="E15909" t="s">
        <v>187</v>
      </c>
      <c r="F15909">
        <v>2016</v>
      </c>
      <c r="G15909">
        <v>0.51285199999999997</v>
      </c>
    </row>
    <row r="15910" spans="1:7">
      <c r="A15910" t="s">
        <v>1297</v>
      </c>
      <c r="B15910" t="s">
        <v>1298</v>
      </c>
      <c r="C15910" t="s">
        <v>664</v>
      </c>
      <c r="D15910" t="s">
        <v>1467</v>
      </c>
      <c r="E15910" t="s">
        <v>187</v>
      </c>
      <c r="F15910">
        <v>2020</v>
      </c>
      <c r="G15910">
        <v>0.68206</v>
      </c>
    </row>
    <row r="15911" spans="1:7">
      <c r="A15911" t="s">
        <v>1297</v>
      </c>
      <c r="B15911" t="s">
        <v>1298</v>
      </c>
      <c r="C15911" t="s">
        <v>654</v>
      </c>
      <c r="D15911" t="s">
        <v>1467</v>
      </c>
      <c r="E15911" t="s">
        <v>187</v>
      </c>
      <c r="F15911">
        <v>2020</v>
      </c>
      <c r="G15911">
        <v>1.5912120000000001</v>
      </c>
    </row>
    <row r="15912" spans="1:7">
      <c r="A15912" t="s">
        <v>1297</v>
      </c>
      <c r="B15912" t="s">
        <v>1298</v>
      </c>
      <c r="C15912" t="s">
        <v>666</v>
      </c>
      <c r="D15912" t="s">
        <v>1467</v>
      </c>
      <c r="E15912" t="s">
        <v>187</v>
      </c>
      <c r="F15912">
        <v>2020</v>
      </c>
      <c r="G15912">
        <v>5.8999999999999997E-2</v>
      </c>
    </row>
    <row r="15913" spans="1:7">
      <c r="A15913" t="s">
        <v>1297</v>
      </c>
      <c r="B15913" t="s">
        <v>1298</v>
      </c>
      <c r="C15913" t="s">
        <v>659</v>
      </c>
      <c r="D15913" t="s">
        <v>1467</v>
      </c>
      <c r="E15913" t="s">
        <v>187</v>
      </c>
      <c r="F15913">
        <v>2016</v>
      </c>
      <c r="G15913">
        <v>10.725</v>
      </c>
    </row>
    <row r="15914" spans="1:7">
      <c r="A15914" t="s">
        <v>1297</v>
      </c>
      <c r="B15914" t="s">
        <v>1298</v>
      </c>
      <c r="C15914" t="s">
        <v>659</v>
      </c>
      <c r="D15914" t="s">
        <v>1467</v>
      </c>
      <c r="E15914" t="s">
        <v>187</v>
      </c>
      <c r="F15914">
        <v>2020</v>
      </c>
      <c r="G15914">
        <v>20.254999999999999</v>
      </c>
    </row>
    <row r="15915" spans="1:7">
      <c r="A15915" t="s">
        <v>1297</v>
      </c>
      <c r="B15915" t="s">
        <v>1298</v>
      </c>
      <c r="C15915" t="s">
        <v>665</v>
      </c>
      <c r="D15915" t="s">
        <v>1467</v>
      </c>
      <c r="E15915" t="s">
        <v>187</v>
      </c>
      <c r="F15915">
        <v>2020</v>
      </c>
      <c r="G15915">
        <v>100.580895</v>
      </c>
    </row>
    <row r="15916" spans="1:7">
      <c r="A15916" t="s">
        <v>1297</v>
      </c>
      <c r="B15916" t="s">
        <v>1298</v>
      </c>
      <c r="C15916" t="s">
        <v>671</v>
      </c>
      <c r="D15916" t="s">
        <v>1467</v>
      </c>
      <c r="E15916" t="s">
        <v>187</v>
      </c>
      <c r="F15916">
        <v>2010</v>
      </c>
      <c r="G15916">
        <v>0.24811800000000001</v>
      </c>
    </row>
    <row r="15917" spans="1:7">
      <c r="A15917" t="s">
        <v>1297</v>
      </c>
      <c r="B15917" t="s">
        <v>1298</v>
      </c>
      <c r="C15917" t="s">
        <v>671</v>
      </c>
      <c r="D15917" t="s">
        <v>1467</v>
      </c>
      <c r="E15917" t="s">
        <v>187</v>
      </c>
      <c r="F15917">
        <v>2012</v>
      </c>
      <c r="G15917">
        <v>0.30800100000000002</v>
      </c>
    </row>
    <row r="15918" spans="1:7">
      <c r="A15918" t="s">
        <v>1297</v>
      </c>
      <c r="B15918" t="s">
        <v>1298</v>
      </c>
      <c r="C15918" t="s">
        <v>671</v>
      </c>
      <c r="D15918" t="s">
        <v>1467</v>
      </c>
      <c r="E15918" t="s">
        <v>187</v>
      </c>
      <c r="F15918">
        <v>2016</v>
      </c>
      <c r="G15918">
        <v>0.62541599999999997</v>
      </c>
    </row>
    <row r="15919" spans="1:7">
      <c r="A15919" t="s">
        <v>1297</v>
      </c>
      <c r="B15919" t="s">
        <v>1298</v>
      </c>
      <c r="C15919" t="s">
        <v>671</v>
      </c>
      <c r="D15919" t="s">
        <v>1467</v>
      </c>
      <c r="E15919" t="s">
        <v>187</v>
      </c>
      <c r="F15919">
        <v>2020</v>
      </c>
      <c r="G15919">
        <v>0.771872</v>
      </c>
    </row>
    <row r="15920" spans="1:7">
      <c r="A15920" t="s">
        <v>1297</v>
      </c>
      <c r="B15920" t="s">
        <v>1298</v>
      </c>
      <c r="C15920" t="s">
        <v>662</v>
      </c>
      <c r="D15920" t="s">
        <v>1467</v>
      </c>
      <c r="E15920" t="s">
        <v>187</v>
      </c>
      <c r="F15920">
        <v>2020</v>
      </c>
      <c r="G15920">
        <v>11.368</v>
      </c>
    </row>
    <row r="15921" spans="1:7">
      <c r="A15921" t="s">
        <v>1297</v>
      </c>
      <c r="B15921" t="s">
        <v>1298</v>
      </c>
      <c r="C15921" t="s">
        <v>656</v>
      </c>
      <c r="D15921" t="s">
        <v>1467</v>
      </c>
      <c r="E15921" t="s">
        <v>187</v>
      </c>
      <c r="F15921">
        <v>2005</v>
      </c>
      <c r="G15921">
        <v>0.50800000000000001</v>
      </c>
    </row>
    <row r="15922" spans="1:7">
      <c r="A15922" t="s">
        <v>1297</v>
      </c>
      <c r="B15922" t="s">
        <v>1298</v>
      </c>
      <c r="C15922" t="s">
        <v>656</v>
      </c>
      <c r="D15922" t="s">
        <v>1467</v>
      </c>
      <c r="E15922" t="s">
        <v>187</v>
      </c>
      <c r="F15922">
        <v>2010</v>
      </c>
      <c r="G15922">
        <v>1.4219999999999999</v>
      </c>
    </row>
    <row r="15923" spans="1:7">
      <c r="A15923" t="s">
        <v>1297</v>
      </c>
      <c r="B15923" t="s">
        <v>1298</v>
      </c>
      <c r="C15923" t="s">
        <v>656</v>
      </c>
      <c r="D15923" t="s">
        <v>1467</v>
      </c>
      <c r="E15923" t="s">
        <v>187</v>
      </c>
      <c r="F15923">
        <v>2012</v>
      </c>
      <c r="G15923">
        <v>1.806</v>
      </c>
    </row>
    <row r="15924" spans="1:7">
      <c r="A15924" t="s">
        <v>1297</v>
      </c>
      <c r="B15924" t="s">
        <v>1298</v>
      </c>
      <c r="C15924" t="s">
        <v>656</v>
      </c>
      <c r="D15924" t="s">
        <v>1467</v>
      </c>
      <c r="E15924" t="s">
        <v>187</v>
      </c>
      <c r="F15924">
        <v>2016</v>
      </c>
      <c r="G15924">
        <v>2.8090000000000002</v>
      </c>
    </row>
    <row r="15925" spans="1:7">
      <c r="A15925" t="s">
        <v>1297</v>
      </c>
      <c r="B15925" t="s">
        <v>1298</v>
      </c>
      <c r="C15925" t="s">
        <v>656</v>
      </c>
      <c r="D15925" t="s">
        <v>1467</v>
      </c>
      <c r="E15925" t="s">
        <v>187</v>
      </c>
      <c r="F15925">
        <v>2020</v>
      </c>
      <c r="G15925">
        <v>4.1319999999999997</v>
      </c>
    </row>
    <row r="15926" spans="1:7">
      <c r="A15926" t="s">
        <v>1297</v>
      </c>
      <c r="B15926" t="s">
        <v>1298</v>
      </c>
      <c r="C15926" t="s">
        <v>677</v>
      </c>
      <c r="D15926" t="s">
        <v>1467</v>
      </c>
      <c r="E15926" t="s">
        <v>187</v>
      </c>
      <c r="F15926">
        <v>2016</v>
      </c>
      <c r="G15926">
        <v>39.631999999999998</v>
      </c>
    </row>
    <row r="15927" spans="1:7">
      <c r="A15927" t="s">
        <v>1297</v>
      </c>
      <c r="B15927" t="s">
        <v>1298</v>
      </c>
      <c r="C15927" t="s">
        <v>677</v>
      </c>
      <c r="D15927" t="s">
        <v>1467</v>
      </c>
      <c r="E15927" t="s">
        <v>187</v>
      </c>
      <c r="F15927">
        <v>2020</v>
      </c>
      <c r="G15927">
        <v>40.012</v>
      </c>
    </row>
    <row r="15928" spans="1:7">
      <c r="A15928" t="s">
        <v>1297</v>
      </c>
      <c r="B15928" t="s">
        <v>1298</v>
      </c>
      <c r="C15928" t="s">
        <v>655</v>
      </c>
      <c r="D15928" t="s">
        <v>1467</v>
      </c>
      <c r="E15928" t="s">
        <v>187</v>
      </c>
      <c r="F15928">
        <v>2005</v>
      </c>
      <c r="G15928">
        <v>5.5844999999999999E-2</v>
      </c>
    </row>
    <row r="15929" spans="1:7">
      <c r="A15929" t="s">
        <v>1297</v>
      </c>
      <c r="B15929" t="s">
        <v>1298</v>
      </c>
      <c r="C15929" t="s">
        <v>655</v>
      </c>
      <c r="D15929" t="s">
        <v>1467</v>
      </c>
      <c r="E15929" t="s">
        <v>187</v>
      </c>
      <c r="F15929">
        <v>2010</v>
      </c>
      <c r="G15929">
        <v>0.20026099999999999</v>
      </c>
    </row>
    <row r="15930" spans="1:7">
      <c r="A15930" t="s">
        <v>1297</v>
      </c>
      <c r="B15930" t="s">
        <v>1298</v>
      </c>
      <c r="C15930" t="s">
        <v>655</v>
      </c>
      <c r="D15930" t="s">
        <v>1467</v>
      </c>
      <c r="E15930" t="s">
        <v>187</v>
      </c>
      <c r="F15930">
        <v>2012</v>
      </c>
      <c r="G15930">
        <v>0.29359000000000002</v>
      </c>
    </row>
    <row r="15931" spans="1:7">
      <c r="A15931" t="s">
        <v>1297</v>
      </c>
      <c r="B15931" t="s">
        <v>1298</v>
      </c>
      <c r="C15931" t="s">
        <v>655</v>
      </c>
      <c r="D15931" t="s">
        <v>1467</v>
      </c>
      <c r="E15931" t="s">
        <v>187</v>
      </c>
      <c r="F15931">
        <v>2016</v>
      </c>
      <c r="G15931">
        <v>0.52564699999999998</v>
      </c>
    </row>
    <row r="15932" spans="1:7">
      <c r="A15932" t="s">
        <v>1297</v>
      </c>
      <c r="B15932" t="s">
        <v>1298</v>
      </c>
      <c r="C15932" t="s">
        <v>652</v>
      </c>
      <c r="D15932" t="s">
        <v>1467</v>
      </c>
      <c r="E15932" t="s">
        <v>187</v>
      </c>
      <c r="F15932">
        <v>2010</v>
      </c>
      <c r="G15932">
        <v>9.9000000000000005E-2</v>
      </c>
    </row>
    <row r="15933" spans="1:7">
      <c r="A15933" t="s">
        <v>1297</v>
      </c>
      <c r="B15933" t="s">
        <v>1298</v>
      </c>
      <c r="C15933" t="s">
        <v>652</v>
      </c>
      <c r="D15933" t="s">
        <v>1467</v>
      </c>
      <c r="E15933" t="s">
        <v>187</v>
      </c>
      <c r="F15933">
        <v>2012</v>
      </c>
      <c r="G15933">
        <v>0.128</v>
      </c>
    </row>
    <row r="15934" spans="1:7">
      <c r="A15934" t="s">
        <v>1297</v>
      </c>
      <c r="B15934" t="s">
        <v>1298</v>
      </c>
      <c r="C15934" t="s">
        <v>652</v>
      </c>
      <c r="D15934" t="s">
        <v>1467</v>
      </c>
      <c r="E15934" t="s">
        <v>187</v>
      </c>
      <c r="F15934">
        <v>2016</v>
      </c>
      <c r="G15934">
        <v>0.15010000000000001</v>
      </c>
    </row>
    <row r="15935" spans="1:7">
      <c r="A15935" t="s">
        <v>1297</v>
      </c>
      <c r="B15935" t="s">
        <v>1298</v>
      </c>
      <c r="C15935" t="s">
        <v>652</v>
      </c>
      <c r="D15935" t="s">
        <v>1467</v>
      </c>
      <c r="E15935" t="s">
        <v>187</v>
      </c>
      <c r="F15935">
        <v>2020</v>
      </c>
      <c r="G15935">
        <v>0.59440000000000004</v>
      </c>
    </row>
    <row r="15936" spans="1:7">
      <c r="A15936" t="s">
        <v>1297</v>
      </c>
      <c r="B15936" t="s">
        <v>1298</v>
      </c>
      <c r="C15936" t="s">
        <v>661</v>
      </c>
      <c r="D15936" t="s">
        <v>1467</v>
      </c>
      <c r="E15936" t="s">
        <v>187</v>
      </c>
      <c r="F15936">
        <v>2005</v>
      </c>
      <c r="G15936">
        <v>2.9683609999999998</v>
      </c>
    </row>
    <row r="15937" spans="1:7">
      <c r="A15937" t="s">
        <v>1297</v>
      </c>
      <c r="B15937" t="s">
        <v>1298</v>
      </c>
      <c r="C15937" t="s">
        <v>661</v>
      </c>
      <c r="D15937" t="s">
        <v>1467</v>
      </c>
      <c r="E15937" t="s">
        <v>187</v>
      </c>
      <c r="F15937">
        <v>2010</v>
      </c>
      <c r="G15937">
        <v>6.6082429999999999</v>
      </c>
    </row>
    <row r="15938" spans="1:7">
      <c r="A15938" t="s">
        <v>1297</v>
      </c>
      <c r="B15938" t="s">
        <v>1298</v>
      </c>
      <c r="C15938" t="s">
        <v>661</v>
      </c>
      <c r="D15938" t="s">
        <v>1467</v>
      </c>
      <c r="E15938" t="s">
        <v>187</v>
      </c>
      <c r="F15938">
        <v>2012</v>
      </c>
      <c r="G15938">
        <v>6.7660150000000003</v>
      </c>
    </row>
    <row r="15939" spans="1:7">
      <c r="A15939" t="s">
        <v>1297</v>
      </c>
      <c r="B15939" t="s">
        <v>1298</v>
      </c>
      <c r="C15939" t="s">
        <v>661</v>
      </c>
      <c r="D15939" t="s">
        <v>1467</v>
      </c>
      <c r="E15939" t="s">
        <v>187</v>
      </c>
      <c r="F15939">
        <v>2016</v>
      </c>
      <c r="G15939">
        <v>8.7713009999999993</v>
      </c>
    </row>
    <row r="15940" spans="1:7">
      <c r="A15940" t="s">
        <v>1297</v>
      </c>
      <c r="B15940" t="s">
        <v>1298</v>
      </c>
      <c r="C15940" t="s">
        <v>661</v>
      </c>
      <c r="D15940" t="s">
        <v>1467</v>
      </c>
      <c r="E15940" t="s">
        <v>187</v>
      </c>
      <c r="F15940">
        <v>2020</v>
      </c>
      <c r="G15940">
        <v>9.7579329999999995</v>
      </c>
    </row>
    <row r="15941" spans="1:7">
      <c r="A15941" t="s">
        <v>1297</v>
      </c>
      <c r="B15941" t="s">
        <v>1298</v>
      </c>
      <c r="C15941" t="s">
        <v>672</v>
      </c>
      <c r="D15941" t="s">
        <v>1467</v>
      </c>
      <c r="E15941" t="s">
        <v>187</v>
      </c>
      <c r="F15941">
        <v>2016</v>
      </c>
      <c r="G15941">
        <v>16.321888999999999</v>
      </c>
    </row>
    <row r="15942" spans="1:7">
      <c r="A15942" t="s">
        <v>1297</v>
      </c>
      <c r="B15942" t="s">
        <v>1298</v>
      </c>
      <c r="C15942" t="s">
        <v>672</v>
      </c>
      <c r="D15942" t="s">
        <v>1467</v>
      </c>
      <c r="E15942" t="s">
        <v>187</v>
      </c>
      <c r="F15942">
        <v>2020</v>
      </c>
      <c r="G15942">
        <v>18.395202999999999</v>
      </c>
    </row>
    <row r="15943" spans="1:7">
      <c r="A15943" t="s">
        <v>1297</v>
      </c>
      <c r="B15943" t="s">
        <v>1298</v>
      </c>
      <c r="C15943" t="s">
        <v>653</v>
      </c>
      <c r="D15943" t="s">
        <v>1467</v>
      </c>
      <c r="E15943" t="s">
        <v>187</v>
      </c>
      <c r="F15943">
        <v>2005</v>
      </c>
      <c r="G15943">
        <v>0.70128000000000001</v>
      </c>
    </row>
    <row r="15944" spans="1:7">
      <c r="A15944" t="s">
        <v>1297</v>
      </c>
      <c r="B15944" t="s">
        <v>1298</v>
      </c>
      <c r="C15944" t="s">
        <v>653</v>
      </c>
      <c r="D15944" t="s">
        <v>1467</v>
      </c>
      <c r="E15944" t="s">
        <v>187</v>
      </c>
      <c r="F15944">
        <v>2010</v>
      </c>
      <c r="G15944">
        <v>1.5822000000000001</v>
      </c>
    </row>
    <row r="15945" spans="1:7">
      <c r="A15945" t="s">
        <v>1297</v>
      </c>
      <c r="B15945" t="s">
        <v>1298</v>
      </c>
      <c r="C15945" t="s">
        <v>653</v>
      </c>
      <c r="D15945" t="s">
        <v>1467</v>
      </c>
      <c r="E15945" t="s">
        <v>187</v>
      </c>
      <c r="F15945">
        <v>2012</v>
      </c>
      <c r="G15945">
        <v>1.9663200000000001</v>
      </c>
    </row>
    <row r="15946" spans="1:7">
      <c r="A15946" t="s">
        <v>1297</v>
      </c>
      <c r="B15946" t="s">
        <v>1298</v>
      </c>
      <c r="C15946" t="s">
        <v>653</v>
      </c>
      <c r="D15946" t="s">
        <v>1467</v>
      </c>
      <c r="E15946" t="s">
        <v>187</v>
      </c>
      <c r="F15946">
        <v>2016</v>
      </c>
      <c r="G15946">
        <v>3.3990480000000001</v>
      </c>
    </row>
    <row r="15947" spans="1:7">
      <c r="A15947" t="s">
        <v>1297</v>
      </c>
      <c r="B15947" t="s">
        <v>1298</v>
      </c>
      <c r="C15947" t="s">
        <v>653</v>
      </c>
      <c r="D15947" t="s">
        <v>1467</v>
      </c>
      <c r="E15947" t="s">
        <v>187</v>
      </c>
      <c r="F15947">
        <v>2020</v>
      </c>
      <c r="G15947">
        <v>4.4186420000000002</v>
      </c>
    </row>
    <row r="15948" spans="1:7">
      <c r="A15948" t="s">
        <v>1297</v>
      </c>
      <c r="B15948" t="s">
        <v>1298</v>
      </c>
      <c r="C15948" t="s">
        <v>676</v>
      </c>
      <c r="D15948" t="s">
        <v>1467</v>
      </c>
      <c r="E15948" t="s">
        <v>187</v>
      </c>
      <c r="F15948">
        <v>2020</v>
      </c>
      <c r="G15948">
        <v>0.42843999999999999</v>
      </c>
    </row>
    <row r="15949" spans="1:7">
      <c r="A15949" t="s">
        <v>1297</v>
      </c>
      <c r="B15949" t="s">
        <v>1298</v>
      </c>
      <c r="C15949" t="s">
        <v>679</v>
      </c>
      <c r="D15949" t="s">
        <v>1467</v>
      </c>
      <c r="E15949" t="s">
        <v>187</v>
      </c>
      <c r="F15949">
        <v>2005</v>
      </c>
      <c r="G15949">
        <v>2.157378</v>
      </c>
    </row>
    <row r="15950" spans="1:7">
      <c r="A15950" t="s">
        <v>1297</v>
      </c>
      <c r="B15950" t="s">
        <v>1298</v>
      </c>
      <c r="C15950" t="s">
        <v>679</v>
      </c>
      <c r="D15950" t="s">
        <v>1467</v>
      </c>
      <c r="E15950" t="s">
        <v>187</v>
      </c>
      <c r="F15950">
        <v>2010</v>
      </c>
      <c r="G15950">
        <v>5.4728649999999996</v>
      </c>
    </row>
    <row r="15951" spans="1:7">
      <c r="A15951" t="s">
        <v>1297</v>
      </c>
      <c r="B15951" t="s">
        <v>1298</v>
      </c>
      <c r="C15951" t="s">
        <v>679</v>
      </c>
      <c r="D15951" t="s">
        <v>1467</v>
      </c>
      <c r="E15951" t="s">
        <v>187</v>
      </c>
      <c r="F15951">
        <v>2012</v>
      </c>
      <c r="G15951">
        <v>6.8393249999999997</v>
      </c>
    </row>
    <row r="15952" spans="1:7">
      <c r="A15952" t="s">
        <v>1297</v>
      </c>
      <c r="B15952" t="s">
        <v>1298</v>
      </c>
      <c r="C15952" t="s">
        <v>679</v>
      </c>
      <c r="D15952" t="s">
        <v>1467</v>
      </c>
      <c r="E15952" t="s">
        <v>187</v>
      </c>
      <c r="F15952">
        <v>2016</v>
      </c>
      <c r="G15952">
        <v>8.7905879999999996</v>
      </c>
    </row>
    <row r="15953" spans="1:7">
      <c r="A15953" t="s">
        <v>1297</v>
      </c>
      <c r="B15953" t="s">
        <v>1298</v>
      </c>
      <c r="C15953" t="s">
        <v>679</v>
      </c>
      <c r="D15953" t="s">
        <v>1467</v>
      </c>
      <c r="E15953" t="s">
        <v>187</v>
      </c>
      <c r="F15953">
        <v>2020</v>
      </c>
      <c r="G15953">
        <v>10.387238999999999</v>
      </c>
    </row>
    <row r="15954" spans="1:7">
      <c r="A15954" t="s">
        <v>1297</v>
      </c>
      <c r="B15954" t="s">
        <v>1298</v>
      </c>
      <c r="C15954" t="s">
        <v>668</v>
      </c>
      <c r="D15954" t="s">
        <v>1467</v>
      </c>
      <c r="E15954" t="s">
        <v>187</v>
      </c>
      <c r="F15954">
        <v>2020</v>
      </c>
      <c r="G15954">
        <v>3.5721000000000003E-2</v>
      </c>
    </row>
    <row r="15955" spans="1:7">
      <c r="A15955" t="s">
        <v>1297</v>
      </c>
      <c r="B15955" t="s">
        <v>1298</v>
      </c>
      <c r="C15955" t="s">
        <v>670</v>
      </c>
      <c r="D15955" t="s">
        <v>1467</v>
      </c>
      <c r="E15955" t="s">
        <v>187</v>
      </c>
      <c r="F15955">
        <v>2005</v>
      </c>
      <c r="G15955">
        <v>0.45363700000000001</v>
      </c>
    </row>
    <row r="15956" spans="1:7">
      <c r="A15956" t="s">
        <v>1297</v>
      </c>
      <c r="B15956" t="s">
        <v>1298</v>
      </c>
      <c r="C15956" t="s">
        <v>670</v>
      </c>
      <c r="D15956" t="s">
        <v>1467</v>
      </c>
      <c r="E15956" t="s">
        <v>187</v>
      </c>
      <c r="F15956">
        <v>2010</v>
      </c>
      <c r="G15956">
        <v>1.789647</v>
      </c>
    </row>
    <row r="15957" spans="1:7">
      <c r="A15957" t="s">
        <v>1297</v>
      </c>
      <c r="B15957" t="s">
        <v>1298</v>
      </c>
      <c r="C15957" t="s">
        <v>655</v>
      </c>
      <c r="D15957" t="s">
        <v>1468</v>
      </c>
      <c r="E15957" t="s">
        <v>187</v>
      </c>
      <c r="F15957">
        <v>2016</v>
      </c>
      <c r="G15957">
        <v>4.2051749999999997</v>
      </c>
    </row>
    <row r="15958" spans="1:7">
      <c r="A15958" t="s">
        <v>1297</v>
      </c>
      <c r="B15958" t="s">
        <v>1298</v>
      </c>
      <c r="C15958" t="s">
        <v>655</v>
      </c>
      <c r="D15958" t="s">
        <v>1468</v>
      </c>
      <c r="E15958" t="s">
        <v>187</v>
      </c>
      <c r="F15958">
        <v>2020</v>
      </c>
      <c r="G15958">
        <v>6.7914649999999996</v>
      </c>
    </row>
    <row r="15959" spans="1:7">
      <c r="A15959" t="s">
        <v>1297</v>
      </c>
      <c r="B15959" t="s">
        <v>1298</v>
      </c>
      <c r="C15959" t="s">
        <v>667</v>
      </c>
      <c r="D15959" t="s">
        <v>1468</v>
      </c>
      <c r="E15959" t="s">
        <v>187</v>
      </c>
      <c r="F15959">
        <v>2005</v>
      </c>
      <c r="G15959">
        <v>5.535E-3</v>
      </c>
    </row>
    <row r="15960" spans="1:7">
      <c r="A15960" t="s">
        <v>1297</v>
      </c>
      <c r="B15960" t="s">
        <v>1298</v>
      </c>
      <c r="C15960" t="s">
        <v>667</v>
      </c>
      <c r="D15960" t="s">
        <v>1468</v>
      </c>
      <c r="E15960" t="s">
        <v>187</v>
      </c>
      <c r="F15960">
        <v>2010</v>
      </c>
      <c r="G15960">
        <v>3.61E-2</v>
      </c>
    </row>
    <row r="15961" spans="1:7">
      <c r="A15961" t="s">
        <v>1297</v>
      </c>
      <c r="B15961" t="s">
        <v>1298</v>
      </c>
      <c r="C15961" t="s">
        <v>667</v>
      </c>
      <c r="D15961" t="s">
        <v>1468</v>
      </c>
      <c r="E15961" t="s">
        <v>187</v>
      </c>
      <c r="F15961">
        <v>2012</v>
      </c>
      <c r="G15961">
        <v>6.5422999999999995E-2</v>
      </c>
    </row>
    <row r="15962" spans="1:7">
      <c r="A15962" t="s">
        <v>1297</v>
      </c>
      <c r="B15962" t="s">
        <v>1298</v>
      </c>
      <c r="C15962" t="s">
        <v>667</v>
      </c>
      <c r="D15962" t="s">
        <v>1468</v>
      </c>
      <c r="E15962" t="s">
        <v>187</v>
      </c>
      <c r="F15962">
        <v>2016</v>
      </c>
      <c r="G15962">
        <v>0.17216600000000001</v>
      </c>
    </row>
    <row r="15963" spans="1:7">
      <c r="A15963" t="s">
        <v>1297</v>
      </c>
      <c r="B15963" t="s">
        <v>1298</v>
      </c>
      <c r="C15963" t="s">
        <v>667</v>
      </c>
      <c r="D15963" t="s">
        <v>1468</v>
      </c>
      <c r="E15963" t="s">
        <v>187</v>
      </c>
      <c r="F15963">
        <v>2020</v>
      </c>
      <c r="G15963">
        <v>5.8587E-2</v>
      </c>
    </row>
    <row r="15964" spans="1:7">
      <c r="A15964" t="s">
        <v>1297</v>
      </c>
      <c r="B15964" t="s">
        <v>1298</v>
      </c>
      <c r="C15964" t="s">
        <v>661</v>
      </c>
      <c r="D15964" t="s">
        <v>1468</v>
      </c>
      <c r="E15964" t="s">
        <v>187</v>
      </c>
      <c r="F15964">
        <v>2005</v>
      </c>
      <c r="G15964">
        <v>5.7860069999999997</v>
      </c>
    </row>
    <row r="15965" spans="1:7">
      <c r="A15965" t="s">
        <v>1297</v>
      </c>
      <c r="B15965" t="s">
        <v>1298</v>
      </c>
      <c r="C15965" t="s">
        <v>661</v>
      </c>
      <c r="D15965" t="s">
        <v>1468</v>
      </c>
      <c r="E15965" t="s">
        <v>187</v>
      </c>
      <c r="F15965">
        <v>2010</v>
      </c>
      <c r="G15965">
        <v>48.652853999999998</v>
      </c>
    </row>
    <row r="15966" spans="1:7">
      <c r="A15966" t="s">
        <v>1297</v>
      </c>
      <c r="B15966" t="s">
        <v>1298</v>
      </c>
      <c r="C15966" t="s">
        <v>661</v>
      </c>
      <c r="D15966" t="s">
        <v>1468</v>
      </c>
      <c r="E15966" t="s">
        <v>187</v>
      </c>
      <c r="F15966">
        <v>2012</v>
      </c>
      <c r="G15966">
        <v>55.911991999999998</v>
      </c>
    </row>
    <row r="15967" spans="1:7">
      <c r="A15967" t="s">
        <v>1297</v>
      </c>
      <c r="B15967" t="s">
        <v>1298</v>
      </c>
      <c r="C15967" t="s">
        <v>661</v>
      </c>
      <c r="D15967" t="s">
        <v>1468</v>
      </c>
      <c r="E15967" t="s">
        <v>187</v>
      </c>
      <c r="F15967">
        <v>2016</v>
      </c>
      <c r="G15967">
        <v>82.214387000000002</v>
      </c>
    </row>
    <row r="15968" spans="1:7">
      <c r="A15968" t="s">
        <v>1297</v>
      </c>
      <c r="B15968" t="s">
        <v>1298</v>
      </c>
      <c r="C15968" t="s">
        <v>661</v>
      </c>
      <c r="D15968" t="s">
        <v>1468</v>
      </c>
      <c r="E15968" t="s">
        <v>187</v>
      </c>
      <c r="F15968">
        <v>2020</v>
      </c>
      <c r="G15968">
        <v>103.707758</v>
      </c>
    </row>
    <row r="15969" spans="1:7">
      <c r="A15969" t="s">
        <v>1297</v>
      </c>
      <c r="B15969" t="s">
        <v>1298</v>
      </c>
      <c r="C15969" t="s">
        <v>662</v>
      </c>
      <c r="D15969" t="s">
        <v>1468</v>
      </c>
      <c r="E15969" t="s">
        <v>187</v>
      </c>
      <c r="F15969">
        <v>2020</v>
      </c>
      <c r="G15969">
        <v>3.0289999999999999</v>
      </c>
    </row>
    <row r="15970" spans="1:7">
      <c r="A15970" t="s">
        <v>1297</v>
      </c>
      <c r="B15970" t="s">
        <v>1298</v>
      </c>
      <c r="C15970" t="s">
        <v>663</v>
      </c>
      <c r="D15970" t="s">
        <v>1468</v>
      </c>
      <c r="E15970" t="s">
        <v>187</v>
      </c>
      <c r="F15970">
        <v>2020</v>
      </c>
      <c r="G15970">
        <v>0.38900000000000001</v>
      </c>
    </row>
    <row r="15971" spans="1:7">
      <c r="A15971" t="s">
        <v>1297</v>
      </c>
      <c r="B15971" t="s">
        <v>1298</v>
      </c>
      <c r="C15971" t="s">
        <v>666</v>
      </c>
      <c r="D15971" t="s">
        <v>1468</v>
      </c>
      <c r="E15971" t="s">
        <v>187</v>
      </c>
      <c r="F15971">
        <v>2020</v>
      </c>
      <c r="G15971">
        <v>0.97699999999999998</v>
      </c>
    </row>
    <row r="15972" spans="1:7">
      <c r="A15972" t="s">
        <v>1297</v>
      </c>
      <c r="B15972" t="s">
        <v>1298</v>
      </c>
      <c r="C15972" t="s">
        <v>679</v>
      </c>
      <c r="D15972" t="s">
        <v>1468</v>
      </c>
      <c r="E15972" t="s">
        <v>187</v>
      </c>
      <c r="F15972">
        <v>2005</v>
      </c>
      <c r="G15972">
        <v>3.4745819999999998</v>
      </c>
    </row>
    <row r="15973" spans="1:7">
      <c r="A15973" t="s">
        <v>1297</v>
      </c>
      <c r="B15973" t="s">
        <v>1298</v>
      </c>
      <c r="C15973" t="s">
        <v>679</v>
      </c>
      <c r="D15973" t="s">
        <v>1468</v>
      </c>
      <c r="E15973" t="s">
        <v>187</v>
      </c>
      <c r="F15973">
        <v>2010</v>
      </c>
      <c r="G15973">
        <v>11.512733000000001</v>
      </c>
    </row>
    <row r="15974" spans="1:7">
      <c r="A15974" t="s">
        <v>1297</v>
      </c>
      <c r="B15974" t="s">
        <v>1298</v>
      </c>
      <c r="C15974" t="s">
        <v>679</v>
      </c>
      <c r="D15974" t="s">
        <v>1468</v>
      </c>
      <c r="E15974" t="s">
        <v>187</v>
      </c>
      <c r="F15974">
        <v>2012</v>
      </c>
      <c r="G15974">
        <v>14.325566999999999</v>
      </c>
    </row>
    <row r="15975" spans="1:7">
      <c r="A15975" t="s">
        <v>1297</v>
      </c>
      <c r="B15975" t="s">
        <v>1298</v>
      </c>
      <c r="C15975" t="s">
        <v>679</v>
      </c>
      <c r="D15975" t="s">
        <v>1468</v>
      </c>
      <c r="E15975" t="s">
        <v>187</v>
      </c>
      <c r="F15975">
        <v>2016</v>
      </c>
      <c r="G15975">
        <v>17.861467000000001</v>
      </c>
    </row>
    <row r="15976" spans="1:7">
      <c r="A15976" t="s">
        <v>1297</v>
      </c>
      <c r="B15976" t="s">
        <v>1298</v>
      </c>
      <c r="C15976" t="s">
        <v>679</v>
      </c>
      <c r="D15976" t="s">
        <v>1468</v>
      </c>
      <c r="E15976" t="s">
        <v>187</v>
      </c>
      <c r="F15976">
        <v>2020</v>
      </c>
      <c r="G15976">
        <v>20.993216</v>
      </c>
    </row>
    <row r="15977" spans="1:7">
      <c r="A15977" t="s">
        <v>1297</v>
      </c>
      <c r="B15977" t="s">
        <v>1298</v>
      </c>
      <c r="C15977" t="s">
        <v>675</v>
      </c>
      <c r="D15977" t="s">
        <v>1468</v>
      </c>
      <c r="E15977" t="s">
        <v>187</v>
      </c>
      <c r="F15977">
        <v>2005</v>
      </c>
      <c r="G15977">
        <v>9.9717E-2</v>
      </c>
    </row>
    <row r="15978" spans="1:7">
      <c r="A15978" t="s">
        <v>1297</v>
      </c>
      <c r="B15978" t="s">
        <v>1298</v>
      </c>
      <c r="C15978" t="s">
        <v>675</v>
      </c>
      <c r="D15978" t="s">
        <v>1468</v>
      </c>
      <c r="E15978" t="s">
        <v>187</v>
      </c>
      <c r="F15978">
        <v>2010</v>
      </c>
      <c r="G15978">
        <v>0.36469000000000001</v>
      </c>
    </row>
    <row r="15979" spans="1:7">
      <c r="A15979" t="s">
        <v>1297</v>
      </c>
      <c r="B15979" t="s">
        <v>1298</v>
      </c>
      <c r="C15979" t="s">
        <v>675</v>
      </c>
      <c r="D15979" t="s">
        <v>1468</v>
      </c>
      <c r="E15979" t="s">
        <v>187</v>
      </c>
      <c r="F15979">
        <v>2012</v>
      </c>
      <c r="G15979">
        <v>0.67120800000000003</v>
      </c>
    </row>
    <row r="15980" spans="1:7">
      <c r="A15980" t="s">
        <v>1297</v>
      </c>
      <c r="B15980" t="s">
        <v>1298</v>
      </c>
      <c r="C15980" t="s">
        <v>675</v>
      </c>
      <c r="D15980" t="s">
        <v>1468</v>
      </c>
      <c r="E15980" t="s">
        <v>187</v>
      </c>
      <c r="F15980">
        <v>2016</v>
      </c>
      <c r="G15980">
        <v>1.4251020000000001</v>
      </c>
    </row>
    <row r="15981" spans="1:7">
      <c r="A15981" t="s">
        <v>1297</v>
      </c>
      <c r="B15981" t="s">
        <v>1298</v>
      </c>
      <c r="C15981" t="s">
        <v>675</v>
      </c>
      <c r="D15981" t="s">
        <v>1468</v>
      </c>
      <c r="E15981" t="s">
        <v>187</v>
      </c>
      <c r="F15981">
        <v>2020</v>
      </c>
      <c r="G15981">
        <v>1.6590780000000001</v>
      </c>
    </row>
    <row r="15982" spans="1:7">
      <c r="A15982" t="s">
        <v>1297</v>
      </c>
      <c r="B15982" t="s">
        <v>1298</v>
      </c>
      <c r="C15982" t="s">
        <v>664</v>
      </c>
      <c r="D15982" t="s">
        <v>1468</v>
      </c>
      <c r="E15982" t="s">
        <v>187</v>
      </c>
      <c r="F15982">
        <v>2005</v>
      </c>
      <c r="G15982">
        <v>0.140348</v>
      </c>
    </row>
    <row r="15983" spans="1:7">
      <c r="A15983" t="s">
        <v>1297</v>
      </c>
      <c r="B15983" t="s">
        <v>1298</v>
      </c>
      <c r="C15983" t="s">
        <v>664</v>
      </c>
      <c r="D15983" t="s">
        <v>1468</v>
      </c>
      <c r="E15983" t="s">
        <v>187</v>
      </c>
      <c r="F15983">
        <v>2010</v>
      </c>
      <c r="G15983">
        <v>0.43206899999999998</v>
      </c>
    </row>
    <row r="15984" spans="1:7">
      <c r="A15984" t="s">
        <v>1297</v>
      </c>
      <c r="B15984" t="s">
        <v>1298</v>
      </c>
      <c r="C15984" t="s">
        <v>664</v>
      </c>
      <c r="D15984" t="s">
        <v>1468</v>
      </c>
      <c r="E15984" t="s">
        <v>187</v>
      </c>
      <c r="F15984">
        <v>2012</v>
      </c>
      <c r="G15984">
        <v>0.49878800000000001</v>
      </c>
    </row>
    <row r="15985" spans="1:7">
      <c r="A15985" t="s">
        <v>1297</v>
      </c>
      <c r="B15985" t="s">
        <v>1298</v>
      </c>
      <c r="C15985" t="s">
        <v>664</v>
      </c>
      <c r="D15985" t="s">
        <v>1468</v>
      </c>
      <c r="E15985" t="s">
        <v>187</v>
      </c>
      <c r="F15985">
        <v>2016</v>
      </c>
      <c r="G15985">
        <v>0.837723</v>
      </c>
    </row>
    <row r="15986" spans="1:7">
      <c r="A15986" t="s">
        <v>1297</v>
      </c>
      <c r="B15986" t="s">
        <v>1298</v>
      </c>
      <c r="C15986" t="s">
        <v>664</v>
      </c>
      <c r="D15986" t="s">
        <v>1468</v>
      </c>
      <c r="E15986" t="s">
        <v>187</v>
      </c>
      <c r="F15986">
        <v>2020</v>
      </c>
      <c r="G15986">
        <v>1.4223380000000001</v>
      </c>
    </row>
    <row r="15987" spans="1:7">
      <c r="A15987" t="s">
        <v>1297</v>
      </c>
      <c r="B15987" t="s">
        <v>1298</v>
      </c>
      <c r="C15987" t="s">
        <v>652</v>
      </c>
      <c r="D15987" t="s">
        <v>1468</v>
      </c>
      <c r="E15987" t="s">
        <v>187</v>
      </c>
      <c r="F15987">
        <v>2010</v>
      </c>
      <c r="G15987">
        <v>0.72899999999999998</v>
      </c>
    </row>
    <row r="15988" spans="1:7">
      <c r="A15988" t="s">
        <v>1297</v>
      </c>
      <c r="B15988" t="s">
        <v>1298</v>
      </c>
      <c r="C15988" t="s">
        <v>652</v>
      </c>
      <c r="D15988" t="s">
        <v>1468</v>
      </c>
      <c r="E15988" t="s">
        <v>187</v>
      </c>
      <c r="F15988">
        <v>2012</v>
      </c>
      <c r="G15988">
        <v>0.97599999999999998</v>
      </c>
    </row>
    <row r="15989" spans="1:7">
      <c r="A15989" t="s">
        <v>1297</v>
      </c>
      <c r="B15989" t="s">
        <v>1298</v>
      </c>
      <c r="C15989" t="s">
        <v>652</v>
      </c>
      <c r="D15989" t="s">
        <v>1468</v>
      </c>
      <c r="E15989" t="s">
        <v>187</v>
      </c>
      <c r="F15989">
        <v>2016</v>
      </c>
      <c r="G15989">
        <v>2.1318999999999999</v>
      </c>
    </row>
    <row r="15990" spans="1:7">
      <c r="A15990" t="s">
        <v>1297</v>
      </c>
      <c r="B15990" t="s">
        <v>1298</v>
      </c>
      <c r="C15990" t="s">
        <v>652</v>
      </c>
      <c r="D15990" t="s">
        <v>1468</v>
      </c>
      <c r="E15990" t="s">
        <v>187</v>
      </c>
      <c r="F15990">
        <v>2020</v>
      </c>
      <c r="G15990">
        <v>3.5817000000000001</v>
      </c>
    </row>
    <row r="15991" spans="1:7">
      <c r="A15991" t="s">
        <v>1297</v>
      </c>
      <c r="B15991" t="s">
        <v>1298</v>
      </c>
      <c r="C15991" t="s">
        <v>654</v>
      </c>
      <c r="D15991" t="s">
        <v>1468</v>
      </c>
      <c r="E15991" t="s">
        <v>187</v>
      </c>
      <c r="F15991">
        <v>2020</v>
      </c>
      <c r="G15991">
        <v>0.47223999999999999</v>
      </c>
    </row>
    <row r="15992" spans="1:7">
      <c r="A15992" t="s">
        <v>1297</v>
      </c>
      <c r="B15992" t="s">
        <v>1298</v>
      </c>
      <c r="C15992" t="s">
        <v>665</v>
      </c>
      <c r="D15992" t="s">
        <v>1468</v>
      </c>
      <c r="E15992" t="s">
        <v>187</v>
      </c>
      <c r="F15992">
        <v>2020</v>
      </c>
      <c r="G15992">
        <v>4.0246490000000001</v>
      </c>
    </row>
    <row r="15993" spans="1:7">
      <c r="A15993" t="s">
        <v>1297</v>
      </c>
      <c r="B15993" t="s">
        <v>1298</v>
      </c>
      <c r="C15993" t="s">
        <v>651</v>
      </c>
      <c r="D15993" t="s">
        <v>1468</v>
      </c>
      <c r="E15993" t="s">
        <v>187</v>
      </c>
      <c r="F15993">
        <v>2005</v>
      </c>
      <c r="G15993">
        <v>1.726542</v>
      </c>
    </row>
    <row r="15994" spans="1:7">
      <c r="A15994" t="s">
        <v>1297</v>
      </c>
      <c r="B15994" t="s">
        <v>1298</v>
      </c>
      <c r="C15994" t="s">
        <v>651</v>
      </c>
      <c r="D15994" t="s">
        <v>1468</v>
      </c>
      <c r="E15994" t="s">
        <v>187</v>
      </c>
      <c r="F15994">
        <v>2010</v>
      </c>
      <c r="G15994">
        <v>3.5627759999999999</v>
      </c>
    </row>
    <row r="15995" spans="1:7">
      <c r="A15995" t="s">
        <v>1297</v>
      </c>
      <c r="B15995" t="s">
        <v>1298</v>
      </c>
      <c r="C15995" t="s">
        <v>651</v>
      </c>
      <c r="D15995" t="s">
        <v>1468</v>
      </c>
      <c r="E15995" t="s">
        <v>187</v>
      </c>
      <c r="F15995">
        <v>2012</v>
      </c>
      <c r="G15995">
        <v>3.9338890000000002</v>
      </c>
    </row>
    <row r="15996" spans="1:7">
      <c r="A15996" t="s">
        <v>1297</v>
      </c>
      <c r="B15996" t="s">
        <v>1298</v>
      </c>
      <c r="C15996" t="s">
        <v>651</v>
      </c>
      <c r="D15996" t="s">
        <v>1468</v>
      </c>
      <c r="E15996" t="s">
        <v>187</v>
      </c>
      <c r="F15996">
        <v>2016</v>
      </c>
      <c r="G15996">
        <v>6.0623670000000001</v>
      </c>
    </row>
    <row r="15997" spans="1:7">
      <c r="A15997" t="s">
        <v>1297</v>
      </c>
      <c r="B15997" t="s">
        <v>1298</v>
      </c>
      <c r="C15997" t="s">
        <v>651</v>
      </c>
      <c r="D15997" t="s">
        <v>1468</v>
      </c>
      <c r="E15997" t="s">
        <v>187</v>
      </c>
      <c r="F15997">
        <v>2020</v>
      </c>
      <c r="G15997">
        <v>7.2320039999999999</v>
      </c>
    </row>
    <row r="15998" spans="1:7">
      <c r="A15998" t="s">
        <v>1297</v>
      </c>
      <c r="B15998" t="s">
        <v>1298</v>
      </c>
      <c r="C15998" t="s">
        <v>656</v>
      </c>
      <c r="D15998" t="s">
        <v>1468</v>
      </c>
      <c r="E15998" t="s">
        <v>187</v>
      </c>
      <c r="F15998">
        <v>2005</v>
      </c>
      <c r="G15998">
        <v>7.7089999999999996</v>
      </c>
    </row>
    <row r="15999" spans="1:7">
      <c r="A15999" t="s">
        <v>1297</v>
      </c>
      <c r="B15999" t="s">
        <v>1298</v>
      </c>
      <c r="C15999" t="s">
        <v>656</v>
      </c>
      <c r="D15999" t="s">
        <v>1468</v>
      </c>
      <c r="E15999" t="s">
        <v>187</v>
      </c>
      <c r="F15999">
        <v>2010</v>
      </c>
      <c r="G15999">
        <v>19.952999999999999</v>
      </c>
    </row>
    <row r="16000" spans="1:7">
      <c r="A16000" t="s">
        <v>1297</v>
      </c>
      <c r="B16000" t="s">
        <v>1298</v>
      </c>
      <c r="C16000" t="s">
        <v>656</v>
      </c>
      <c r="D16000" t="s">
        <v>1468</v>
      </c>
      <c r="E16000" t="s">
        <v>187</v>
      </c>
      <c r="F16000">
        <v>2012</v>
      </c>
      <c r="G16000">
        <v>26.146000000000001</v>
      </c>
    </row>
    <row r="16001" spans="1:8">
      <c r="A16001" t="s">
        <v>1297</v>
      </c>
      <c r="B16001" t="s">
        <v>1298</v>
      </c>
      <c r="C16001" t="s">
        <v>656</v>
      </c>
      <c r="D16001" t="s">
        <v>1468</v>
      </c>
      <c r="E16001" t="s">
        <v>187</v>
      </c>
      <c r="F16001">
        <v>2016</v>
      </c>
      <c r="G16001">
        <v>38.231999999999999</v>
      </c>
    </row>
    <row r="16002" spans="1:8">
      <c r="A16002" t="s">
        <v>1297</v>
      </c>
      <c r="B16002" t="s">
        <v>1298</v>
      </c>
      <c r="C16002" t="s">
        <v>656</v>
      </c>
      <c r="D16002" t="s">
        <v>1468</v>
      </c>
      <c r="E16002" t="s">
        <v>187</v>
      </c>
      <c r="F16002">
        <v>2020</v>
      </c>
      <c r="G16002">
        <v>48.115000000000002</v>
      </c>
    </row>
    <row r="16003" spans="1:8">
      <c r="A16003" t="s">
        <v>1297</v>
      </c>
      <c r="B16003" t="s">
        <v>1298</v>
      </c>
      <c r="C16003" t="s">
        <v>677</v>
      </c>
      <c r="D16003" t="s">
        <v>1468</v>
      </c>
      <c r="E16003" t="s">
        <v>187</v>
      </c>
      <c r="F16003">
        <v>2010</v>
      </c>
      <c r="G16003">
        <v>0.715171</v>
      </c>
    </row>
    <row r="16004" spans="1:8">
      <c r="A16004" t="s">
        <v>1297</v>
      </c>
      <c r="B16004" t="s">
        <v>1298</v>
      </c>
      <c r="C16004" t="s">
        <v>677</v>
      </c>
      <c r="D16004" t="s">
        <v>1468</v>
      </c>
      <c r="E16004" t="s">
        <v>187</v>
      </c>
      <c r="F16004">
        <v>2012</v>
      </c>
      <c r="G16004">
        <v>1.7931170000000001</v>
      </c>
    </row>
    <row r="16005" spans="1:8">
      <c r="A16005" t="s">
        <v>1297</v>
      </c>
      <c r="B16005" t="s">
        <v>1298</v>
      </c>
      <c r="C16005" t="s">
        <v>677</v>
      </c>
      <c r="D16005" t="s">
        <v>1468</v>
      </c>
      <c r="E16005" t="s">
        <v>187</v>
      </c>
      <c r="F16005">
        <v>2016</v>
      </c>
      <c r="G16005">
        <v>3.536</v>
      </c>
    </row>
    <row r="16006" spans="1:8">
      <c r="A16006" t="s">
        <v>1297</v>
      </c>
      <c r="B16006" t="s">
        <v>1298</v>
      </c>
      <c r="C16006" t="s">
        <v>677</v>
      </c>
      <c r="D16006" t="s">
        <v>1468</v>
      </c>
      <c r="E16006" t="s">
        <v>187</v>
      </c>
      <c r="F16006">
        <v>2020</v>
      </c>
      <c r="G16006">
        <v>4.1900000000000004</v>
      </c>
    </row>
    <row r="16007" spans="1:8">
      <c r="A16007" t="s">
        <v>1297</v>
      </c>
      <c r="B16007" t="s">
        <v>1298</v>
      </c>
      <c r="C16007" t="s">
        <v>657</v>
      </c>
      <c r="D16007" t="s">
        <v>1468</v>
      </c>
      <c r="E16007" t="s">
        <v>187</v>
      </c>
      <c r="F16007">
        <v>2005</v>
      </c>
      <c r="G16007">
        <v>2.6349999999999998</v>
      </c>
    </row>
    <row r="16008" spans="1:8">
      <c r="A16008" t="s">
        <v>1297</v>
      </c>
      <c r="B16008" t="s">
        <v>1298</v>
      </c>
      <c r="C16008" t="s">
        <v>657</v>
      </c>
      <c r="D16008" t="s">
        <v>1468</v>
      </c>
      <c r="E16008" t="s">
        <v>187</v>
      </c>
      <c r="F16008">
        <v>2010</v>
      </c>
      <c r="G16008">
        <v>3.7578860000000001</v>
      </c>
    </row>
    <row r="16009" spans="1:8">
      <c r="A16009" t="s">
        <v>1297</v>
      </c>
      <c r="B16009" t="s">
        <v>1298</v>
      </c>
      <c r="C16009" t="s">
        <v>657</v>
      </c>
      <c r="D16009" t="s">
        <v>1468</v>
      </c>
      <c r="E16009" t="s">
        <v>187</v>
      </c>
      <c r="F16009">
        <v>2012</v>
      </c>
      <c r="G16009" s="14">
        <v>4.3680680000000001</v>
      </c>
      <c r="H16009" s="14"/>
    </row>
    <row r="16010" spans="1:8">
      <c r="A16010" t="s">
        <v>1297</v>
      </c>
      <c r="B16010" t="s">
        <v>1298</v>
      </c>
      <c r="C16010" t="s">
        <v>657</v>
      </c>
      <c r="D16010" t="s">
        <v>1468</v>
      </c>
      <c r="E16010" t="s">
        <v>187</v>
      </c>
      <c r="F16010">
        <v>2016</v>
      </c>
      <c r="G16010">
        <v>6.2005489999999996</v>
      </c>
    </row>
    <row r="16011" spans="1:8">
      <c r="A16011" t="s">
        <v>1297</v>
      </c>
      <c r="B16011" t="s">
        <v>1298</v>
      </c>
      <c r="C16011" t="s">
        <v>657</v>
      </c>
      <c r="D16011" t="s">
        <v>1468</v>
      </c>
      <c r="E16011" t="s">
        <v>187</v>
      </c>
      <c r="F16011">
        <v>2020</v>
      </c>
      <c r="G16011">
        <v>8.2598319999999994</v>
      </c>
    </row>
    <row r="16012" spans="1:8">
      <c r="A16012" t="s">
        <v>1297</v>
      </c>
      <c r="B16012" t="s">
        <v>1298</v>
      </c>
      <c r="C16012" t="s">
        <v>676</v>
      </c>
      <c r="D16012" t="s">
        <v>1468</v>
      </c>
      <c r="E16012" t="s">
        <v>187</v>
      </c>
      <c r="F16012">
        <v>2020</v>
      </c>
      <c r="G16012">
        <v>1.1747000000000001</v>
      </c>
    </row>
    <row r="16013" spans="1:8">
      <c r="A16013" t="s">
        <v>1297</v>
      </c>
      <c r="B16013" t="s">
        <v>1298</v>
      </c>
      <c r="C16013" t="s">
        <v>672</v>
      </c>
      <c r="D16013" t="s">
        <v>1468</v>
      </c>
      <c r="E16013" t="s">
        <v>187</v>
      </c>
      <c r="F16013">
        <v>2016</v>
      </c>
      <c r="G16013">
        <v>8.9843790000000006</v>
      </c>
    </row>
    <row r="16014" spans="1:8">
      <c r="A16014" t="s">
        <v>1297</v>
      </c>
      <c r="B16014" t="s">
        <v>1298</v>
      </c>
      <c r="C16014" t="s">
        <v>672</v>
      </c>
      <c r="D16014" t="s">
        <v>1468</v>
      </c>
      <c r="E16014" t="s">
        <v>187</v>
      </c>
      <c r="F16014">
        <v>2020</v>
      </c>
      <c r="G16014">
        <v>10.125634</v>
      </c>
    </row>
    <row r="16015" spans="1:8">
      <c r="A16015" t="s">
        <v>1297</v>
      </c>
      <c r="B16015" t="s">
        <v>1298</v>
      </c>
      <c r="C16015" t="s">
        <v>670</v>
      </c>
      <c r="D16015" t="s">
        <v>1468</v>
      </c>
      <c r="E16015" t="s">
        <v>187</v>
      </c>
      <c r="F16015">
        <v>2005</v>
      </c>
      <c r="G16015">
        <v>0.22226000000000001</v>
      </c>
    </row>
    <row r="16016" spans="1:8">
      <c r="A16016" t="s">
        <v>1297</v>
      </c>
      <c r="B16016" t="s">
        <v>1298</v>
      </c>
      <c r="C16016" t="s">
        <v>670</v>
      </c>
      <c r="D16016" t="s">
        <v>1468</v>
      </c>
      <c r="E16016" t="s">
        <v>187</v>
      </c>
      <c r="F16016">
        <v>2010</v>
      </c>
      <c r="G16016">
        <v>0.89224499999999995</v>
      </c>
    </row>
    <row r="16017" spans="1:7">
      <c r="A16017" t="s">
        <v>1297</v>
      </c>
      <c r="B16017" t="s">
        <v>1298</v>
      </c>
      <c r="C16017" t="s">
        <v>670</v>
      </c>
      <c r="D16017" t="s">
        <v>1468</v>
      </c>
      <c r="E16017" t="s">
        <v>187</v>
      </c>
      <c r="F16017">
        <v>2012</v>
      </c>
      <c r="G16017">
        <v>1.2406269999999999</v>
      </c>
    </row>
    <row r="16018" spans="1:7">
      <c r="A16018" t="s">
        <v>1297</v>
      </c>
      <c r="B16018" t="s">
        <v>1298</v>
      </c>
      <c r="C16018" t="s">
        <v>670</v>
      </c>
      <c r="D16018" t="s">
        <v>1468</v>
      </c>
      <c r="E16018" t="s">
        <v>187</v>
      </c>
      <c r="F16018">
        <v>2016</v>
      </c>
      <c r="G16018">
        <v>2.0325540000000002</v>
      </c>
    </row>
    <row r="16019" spans="1:7">
      <c r="A16019" t="s">
        <v>1297</v>
      </c>
      <c r="B16019" t="s">
        <v>1298</v>
      </c>
      <c r="C16019" t="s">
        <v>670</v>
      </c>
      <c r="D16019" t="s">
        <v>1468</v>
      </c>
      <c r="E16019" t="s">
        <v>187</v>
      </c>
      <c r="F16019">
        <v>2020</v>
      </c>
      <c r="G16019">
        <v>4.5202960000000001</v>
      </c>
    </row>
    <row r="16020" spans="1:7">
      <c r="A16020" t="s">
        <v>1297</v>
      </c>
      <c r="B16020" t="s">
        <v>1298</v>
      </c>
      <c r="C16020" t="s">
        <v>655</v>
      </c>
      <c r="D16020" t="s">
        <v>1468</v>
      </c>
      <c r="E16020" t="s">
        <v>187</v>
      </c>
      <c r="F16020">
        <v>2010</v>
      </c>
      <c r="G16020">
        <v>1.602087</v>
      </c>
    </row>
    <row r="16021" spans="1:7">
      <c r="A16021" t="s">
        <v>1297</v>
      </c>
      <c r="B16021" t="s">
        <v>1298</v>
      </c>
      <c r="C16021" t="s">
        <v>655</v>
      </c>
      <c r="D16021" t="s">
        <v>1468</v>
      </c>
      <c r="E16021" t="s">
        <v>187</v>
      </c>
      <c r="F16021">
        <v>2012</v>
      </c>
      <c r="G16021">
        <v>2.348722</v>
      </c>
    </row>
    <row r="16022" spans="1:7">
      <c r="A16022" t="s">
        <v>1297</v>
      </c>
      <c r="B16022" t="s">
        <v>1298</v>
      </c>
      <c r="C16022" t="s">
        <v>660</v>
      </c>
      <c r="D16022" t="s">
        <v>1468</v>
      </c>
      <c r="E16022" t="s">
        <v>187</v>
      </c>
      <c r="F16022">
        <v>2020</v>
      </c>
      <c r="G16022">
        <v>22.428999999999998</v>
      </c>
    </row>
    <row r="16023" spans="1:7">
      <c r="A16023" t="s">
        <v>1297</v>
      </c>
      <c r="B16023" t="s">
        <v>1298</v>
      </c>
      <c r="C16023" t="s">
        <v>669</v>
      </c>
      <c r="D16023" t="s">
        <v>1468</v>
      </c>
      <c r="E16023" t="s">
        <v>187</v>
      </c>
      <c r="F16023">
        <v>2020</v>
      </c>
      <c r="G16023">
        <v>0.30295499999999997</v>
      </c>
    </row>
    <row r="16024" spans="1:7">
      <c r="A16024" t="s">
        <v>1297</v>
      </c>
      <c r="B16024" t="s">
        <v>1298</v>
      </c>
      <c r="C16024" t="s">
        <v>659</v>
      </c>
      <c r="D16024" t="s">
        <v>1468</v>
      </c>
      <c r="E16024" t="s">
        <v>187</v>
      </c>
      <c r="F16024">
        <v>2016</v>
      </c>
      <c r="G16024">
        <v>4.3380000000000001</v>
      </c>
    </row>
    <row r="16025" spans="1:7">
      <c r="A16025" t="s">
        <v>1297</v>
      </c>
      <c r="B16025" t="s">
        <v>1298</v>
      </c>
      <c r="C16025" t="s">
        <v>659</v>
      </c>
      <c r="D16025" t="s">
        <v>1468</v>
      </c>
      <c r="E16025" t="s">
        <v>187</v>
      </c>
      <c r="F16025">
        <v>2020</v>
      </c>
      <c r="G16025">
        <v>6.6219999999999999</v>
      </c>
    </row>
    <row r="16026" spans="1:7">
      <c r="A16026" t="s">
        <v>1297</v>
      </c>
      <c r="B16026" t="s">
        <v>1298</v>
      </c>
      <c r="C16026" t="s">
        <v>289</v>
      </c>
      <c r="D16026" t="s">
        <v>1468</v>
      </c>
      <c r="E16026" t="s">
        <v>187</v>
      </c>
      <c r="F16026">
        <v>2005</v>
      </c>
      <c r="G16026">
        <v>0.2198</v>
      </c>
    </row>
    <row r="16027" spans="1:7">
      <c r="A16027" t="s">
        <v>1297</v>
      </c>
      <c r="B16027" t="s">
        <v>1298</v>
      </c>
      <c r="C16027" t="s">
        <v>289</v>
      </c>
      <c r="D16027" t="s">
        <v>1468</v>
      </c>
      <c r="E16027" t="s">
        <v>187</v>
      </c>
      <c r="F16027">
        <v>2010</v>
      </c>
      <c r="G16027">
        <v>0.62980000000000003</v>
      </c>
    </row>
    <row r="16028" spans="1:7">
      <c r="A16028" t="s">
        <v>1297</v>
      </c>
      <c r="B16028" t="s">
        <v>1298</v>
      </c>
      <c r="C16028" t="s">
        <v>289</v>
      </c>
      <c r="D16028" t="s">
        <v>1468</v>
      </c>
      <c r="E16028" t="s">
        <v>187</v>
      </c>
      <c r="F16028">
        <v>2012</v>
      </c>
      <c r="G16028">
        <v>0.61219999999999997</v>
      </c>
    </row>
    <row r="16029" spans="1:7">
      <c r="A16029" t="s">
        <v>1297</v>
      </c>
      <c r="B16029" t="s">
        <v>1298</v>
      </c>
      <c r="C16029" t="s">
        <v>289</v>
      </c>
      <c r="D16029" t="s">
        <v>1468</v>
      </c>
      <c r="E16029" t="s">
        <v>187</v>
      </c>
      <c r="F16029">
        <v>2016</v>
      </c>
      <c r="G16029">
        <v>0.66020000000000001</v>
      </c>
    </row>
    <row r="16030" spans="1:7">
      <c r="A16030" t="s">
        <v>1297</v>
      </c>
      <c r="B16030" t="s">
        <v>1298</v>
      </c>
      <c r="C16030" t="s">
        <v>289</v>
      </c>
      <c r="D16030" t="s">
        <v>1468</v>
      </c>
      <c r="E16030" t="s">
        <v>187</v>
      </c>
      <c r="F16030">
        <v>2020</v>
      </c>
      <c r="G16030">
        <v>0.60580000000000001</v>
      </c>
    </row>
    <row r="16031" spans="1:7">
      <c r="A16031" t="s">
        <v>1297</v>
      </c>
      <c r="B16031" t="s">
        <v>1298</v>
      </c>
      <c r="C16031" t="s">
        <v>671</v>
      </c>
      <c r="D16031" t="s">
        <v>1468</v>
      </c>
      <c r="E16031" t="s">
        <v>187</v>
      </c>
      <c r="F16031">
        <v>2010</v>
      </c>
      <c r="G16031">
        <v>1.6421129999999999</v>
      </c>
    </row>
    <row r="16032" spans="1:7">
      <c r="A16032" t="s">
        <v>1297</v>
      </c>
      <c r="B16032" t="s">
        <v>1298</v>
      </c>
      <c r="C16032" t="s">
        <v>671</v>
      </c>
      <c r="D16032" t="s">
        <v>1468</v>
      </c>
      <c r="E16032" t="s">
        <v>187</v>
      </c>
      <c r="F16032">
        <v>2012</v>
      </c>
      <c r="G16032">
        <v>2.5464859999999998</v>
      </c>
    </row>
    <row r="16033" spans="1:7">
      <c r="A16033" t="s">
        <v>1297</v>
      </c>
      <c r="B16033" t="s">
        <v>1298</v>
      </c>
      <c r="C16033" t="s">
        <v>671</v>
      </c>
      <c r="D16033" t="s">
        <v>1468</v>
      </c>
      <c r="E16033" t="s">
        <v>187</v>
      </c>
      <c r="F16033">
        <v>2016</v>
      </c>
      <c r="G16033">
        <v>5.9398470000000003</v>
      </c>
    </row>
    <row r="16034" spans="1:7">
      <c r="A16034" t="s">
        <v>1297</v>
      </c>
      <c r="B16034" t="s">
        <v>1298</v>
      </c>
      <c r="C16034" t="s">
        <v>671</v>
      </c>
      <c r="D16034" t="s">
        <v>1468</v>
      </c>
      <c r="E16034" t="s">
        <v>187</v>
      </c>
      <c r="F16034">
        <v>2020</v>
      </c>
      <c r="G16034">
        <v>9.9060159999999993</v>
      </c>
    </row>
    <row r="16035" spans="1:7">
      <c r="A16035" t="s">
        <v>1297</v>
      </c>
      <c r="B16035" t="s">
        <v>1298</v>
      </c>
      <c r="C16035" t="s">
        <v>655</v>
      </c>
      <c r="D16035" t="s">
        <v>1468</v>
      </c>
      <c r="E16035" t="s">
        <v>187</v>
      </c>
      <c r="F16035">
        <v>2005</v>
      </c>
      <c r="G16035">
        <v>0.44675999999999999</v>
      </c>
    </row>
    <row r="16036" spans="1:7">
      <c r="A16036" t="s">
        <v>1297</v>
      </c>
      <c r="B16036" t="s">
        <v>1298</v>
      </c>
      <c r="C16036" t="s">
        <v>656</v>
      </c>
      <c r="D16036" t="s">
        <v>1469</v>
      </c>
      <c r="E16036" t="s">
        <v>187</v>
      </c>
      <c r="F16036">
        <v>2016</v>
      </c>
      <c r="G16036">
        <v>2.9000000000000001E-2</v>
      </c>
    </row>
    <row r="16037" spans="1:7">
      <c r="A16037" t="s">
        <v>1297</v>
      </c>
      <c r="B16037" t="s">
        <v>1298</v>
      </c>
      <c r="C16037" t="s">
        <v>656</v>
      </c>
      <c r="D16037" t="s">
        <v>1469</v>
      </c>
      <c r="E16037" t="s">
        <v>187</v>
      </c>
      <c r="F16037">
        <v>2020</v>
      </c>
      <c r="G16037">
        <v>5.1999999999999998E-2</v>
      </c>
    </row>
    <row r="16038" spans="1:7">
      <c r="A16038" t="s">
        <v>1297</v>
      </c>
      <c r="B16038" t="s">
        <v>1298</v>
      </c>
      <c r="C16038" t="s">
        <v>660</v>
      </c>
      <c r="D16038" t="s">
        <v>1469</v>
      </c>
      <c r="E16038" t="s">
        <v>187</v>
      </c>
      <c r="F16038">
        <v>2020</v>
      </c>
      <c r="G16038">
        <v>0.64400000000000002</v>
      </c>
    </row>
    <row r="16039" spans="1:7">
      <c r="A16039" t="s">
        <v>1297</v>
      </c>
      <c r="B16039" t="s">
        <v>1298</v>
      </c>
      <c r="C16039" t="s">
        <v>674</v>
      </c>
      <c r="D16039" t="s">
        <v>1469</v>
      </c>
      <c r="E16039" t="s">
        <v>187</v>
      </c>
      <c r="F16039">
        <v>2012</v>
      </c>
      <c r="G16039">
        <v>45.270952999999999</v>
      </c>
    </row>
    <row r="16040" spans="1:7">
      <c r="A16040" t="s">
        <v>1297</v>
      </c>
      <c r="B16040" t="s">
        <v>1298</v>
      </c>
      <c r="C16040" t="s">
        <v>674</v>
      </c>
      <c r="D16040" t="s">
        <v>1469</v>
      </c>
      <c r="E16040" t="s">
        <v>187</v>
      </c>
      <c r="F16040">
        <v>2016</v>
      </c>
      <c r="G16040">
        <v>53.819526000000003</v>
      </c>
    </row>
    <row r="16041" spans="1:7">
      <c r="A16041" t="s">
        <v>1297</v>
      </c>
      <c r="B16041" t="s">
        <v>1298</v>
      </c>
      <c r="C16041" t="s">
        <v>674</v>
      </c>
      <c r="D16041" t="s">
        <v>1469</v>
      </c>
      <c r="E16041" t="s">
        <v>187</v>
      </c>
      <c r="F16041">
        <v>2020</v>
      </c>
      <c r="G16041">
        <v>56.587000000000003</v>
      </c>
    </row>
    <row r="16042" spans="1:7">
      <c r="A16042" t="s">
        <v>1297</v>
      </c>
      <c r="B16042" t="s">
        <v>1298</v>
      </c>
      <c r="C16042" t="s">
        <v>668</v>
      </c>
      <c r="D16042" t="s">
        <v>1469</v>
      </c>
      <c r="E16042" t="s">
        <v>187</v>
      </c>
      <c r="F16042">
        <v>2020</v>
      </c>
      <c r="G16042">
        <v>5.9999999999999995E-4</v>
      </c>
    </row>
    <row r="16043" spans="1:7">
      <c r="A16043" t="s">
        <v>1297</v>
      </c>
      <c r="B16043" t="s">
        <v>1298</v>
      </c>
      <c r="C16043" t="s">
        <v>656</v>
      </c>
      <c r="D16043" t="s">
        <v>1469</v>
      </c>
      <c r="E16043" t="s">
        <v>187</v>
      </c>
      <c r="F16043">
        <v>2005</v>
      </c>
      <c r="G16043">
        <v>2E-3</v>
      </c>
    </row>
    <row r="16044" spans="1:7">
      <c r="A16044" t="s">
        <v>1297</v>
      </c>
      <c r="B16044" t="s">
        <v>1298</v>
      </c>
      <c r="C16044" t="s">
        <v>656</v>
      </c>
      <c r="D16044" t="s">
        <v>1469</v>
      </c>
      <c r="E16044" t="s">
        <v>187</v>
      </c>
      <c r="F16044">
        <v>2010</v>
      </c>
      <c r="G16044">
        <v>2E-3</v>
      </c>
    </row>
    <row r="16045" spans="1:7">
      <c r="A16045" t="s">
        <v>1297</v>
      </c>
      <c r="B16045" t="s">
        <v>1298</v>
      </c>
      <c r="C16045" t="s">
        <v>656</v>
      </c>
      <c r="D16045" t="s">
        <v>1469</v>
      </c>
      <c r="E16045" t="s">
        <v>187</v>
      </c>
      <c r="F16045">
        <v>2012</v>
      </c>
      <c r="G16045">
        <v>6.0000000000000001E-3</v>
      </c>
    </row>
    <row r="16046" spans="1:7">
      <c r="A16046" t="s">
        <v>1297</v>
      </c>
      <c r="B16046" t="s">
        <v>1298</v>
      </c>
      <c r="C16046" t="s">
        <v>651</v>
      </c>
      <c r="D16046" t="s">
        <v>1469</v>
      </c>
      <c r="E16046" t="s">
        <v>187</v>
      </c>
      <c r="F16046">
        <v>2005</v>
      </c>
      <c r="G16046">
        <v>1.0418E-2</v>
      </c>
    </row>
    <row r="16047" spans="1:7">
      <c r="A16047" t="s">
        <v>1297</v>
      </c>
      <c r="B16047" t="s">
        <v>1298</v>
      </c>
      <c r="C16047" t="s">
        <v>651</v>
      </c>
      <c r="D16047" t="s">
        <v>1469</v>
      </c>
      <c r="E16047" t="s">
        <v>187</v>
      </c>
      <c r="F16047">
        <v>2010</v>
      </c>
      <c r="G16047">
        <v>2.1073999999999999E-2</v>
      </c>
    </row>
    <row r="16048" spans="1:7">
      <c r="A16048" t="s">
        <v>1297</v>
      </c>
      <c r="B16048" t="s">
        <v>1298</v>
      </c>
      <c r="C16048" t="s">
        <v>651</v>
      </c>
      <c r="D16048" t="s">
        <v>1469</v>
      </c>
      <c r="E16048" t="s">
        <v>187</v>
      </c>
      <c r="F16048">
        <v>2012</v>
      </c>
      <c r="G16048">
        <v>6.0380000000000003E-2</v>
      </c>
    </row>
    <row r="16049" spans="1:7">
      <c r="A16049" t="s">
        <v>1297</v>
      </c>
      <c r="B16049" t="s">
        <v>1298</v>
      </c>
      <c r="C16049" t="s">
        <v>651</v>
      </c>
      <c r="D16049" t="s">
        <v>1469</v>
      </c>
      <c r="E16049" t="s">
        <v>187</v>
      </c>
      <c r="F16049">
        <v>2016</v>
      </c>
      <c r="G16049">
        <v>9.4571000000000002E-2</v>
      </c>
    </row>
    <row r="16050" spans="1:7">
      <c r="A16050" t="s">
        <v>1297</v>
      </c>
      <c r="B16050" t="s">
        <v>1298</v>
      </c>
      <c r="C16050" t="s">
        <v>651</v>
      </c>
      <c r="D16050" t="s">
        <v>1469</v>
      </c>
      <c r="E16050" t="s">
        <v>187</v>
      </c>
      <c r="F16050">
        <v>2020</v>
      </c>
      <c r="G16050">
        <v>0.105161</v>
      </c>
    </row>
    <row r="16051" spans="1:7">
      <c r="A16051" t="s">
        <v>1297</v>
      </c>
      <c r="B16051" t="s">
        <v>1298</v>
      </c>
      <c r="C16051" t="s">
        <v>670</v>
      </c>
      <c r="D16051" t="s">
        <v>1469</v>
      </c>
      <c r="E16051" t="s">
        <v>187</v>
      </c>
      <c r="F16051">
        <v>2005</v>
      </c>
      <c r="G16051">
        <v>3.2421999999999999E-2</v>
      </c>
    </row>
    <row r="16052" spans="1:7">
      <c r="A16052" t="s">
        <v>1297</v>
      </c>
      <c r="B16052" t="s">
        <v>1298</v>
      </c>
      <c r="C16052" t="s">
        <v>670</v>
      </c>
      <c r="D16052" t="s">
        <v>1469</v>
      </c>
      <c r="E16052" t="s">
        <v>187</v>
      </c>
      <c r="F16052">
        <v>2010</v>
      </c>
      <c r="G16052">
        <v>3.6879000000000002E-2</v>
      </c>
    </row>
    <row r="16053" spans="1:7">
      <c r="A16053" t="s">
        <v>1297</v>
      </c>
      <c r="B16053" t="s">
        <v>1298</v>
      </c>
      <c r="C16053" t="s">
        <v>670</v>
      </c>
      <c r="D16053" t="s">
        <v>1469</v>
      </c>
      <c r="E16053" t="s">
        <v>187</v>
      </c>
      <c r="F16053">
        <v>2012</v>
      </c>
      <c r="G16053">
        <v>4.7400999999999999E-2</v>
      </c>
    </row>
    <row r="16054" spans="1:7">
      <c r="A16054" t="s">
        <v>1297</v>
      </c>
      <c r="B16054" t="s">
        <v>1298</v>
      </c>
      <c r="C16054" t="s">
        <v>670</v>
      </c>
      <c r="D16054" t="s">
        <v>1469</v>
      </c>
      <c r="E16054" t="s">
        <v>187</v>
      </c>
      <c r="F16054">
        <v>2016</v>
      </c>
      <c r="G16054">
        <v>0.34261799999999998</v>
      </c>
    </row>
    <row r="16055" spans="1:7">
      <c r="A16055" t="s">
        <v>1297</v>
      </c>
      <c r="B16055" t="s">
        <v>1298</v>
      </c>
      <c r="C16055" t="s">
        <v>670</v>
      </c>
      <c r="D16055" t="s">
        <v>1469</v>
      </c>
      <c r="E16055" t="s">
        <v>187</v>
      </c>
      <c r="F16055">
        <v>2020</v>
      </c>
      <c r="G16055">
        <v>0.31573299999999999</v>
      </c>
    </row>
    <row r="16056" spans="1:7">
      <c r="A16056" t="s">
        <v>1297</v>
      </c>
      <c r="B16056" t="s">
        <v>1298</v>
      </c>
      <c r="C16056" t="s">
        <v>657</v>
      </c>
      <c r="D16056" t="s">
        <v>1469</v>
      </c>
      <c r="E16056" t="s">
        <v>187</v>
      </c>
      <c r="F16056">
        <v>2005</v>
      </c>
      <c r="G16056">
        <v>7.0999999999999994E-2</v>
      </c>
    </row>
    <row r="16057" spans="1:7">
      <c r="A16057" t="s">
        <v>1297</v>
      </c>
      <c r="B16057" t="s">
        <v>1298</v>
      </c>
      <c r="C16057" t="s">
        <v>657</v>
      </c>
      <c r="D16057" t="s">
        <v>1469</v>
      </c>
      <c r="E16057" t="s">
        <v>187</v>
      </c>
      <c r="F16057">
        <v>2010</v>
      </c>
      <c r="G16057">
        <v>0.43254399999999998</v>
      </c>
    </row>
    <row r="16058" spans="1:7">
      <c r="A16058" t="s">
        <v>1297</v>
      </c>
      <c r="B16058" t="s">
        <v>1298</v>
      </c>
      <c r="C16058" t="s">
        <v>657</v>
      </c>
      <c r="D16058" t="s">
        <v>1469</v>
      </c>
      <c r="E16058" t="s">
        <v>187</v>
      </c>
      <c r="F16058">
        <v>2012</v>
      </c>
      <c r="G16058">
        <v>0.50067799999999996</v>
      </c>
    </row>
    <row r="16059" spans="1:7">
      <c r="A16059" t="s">
        <v>1297</v>
      </c>
      <c r="B16059" t="s">
        <v>1298</v>
      </c>
      <c r="C16059" t="s">
        <v>657</v>
      </c>
      <c r="D16059" t="s">
        <v>1469</v>
      </c>
      <c r="E16059" t="s">
        <v>187</v>
      </c>
      <c r="F16059">
        <v>2016</v>
      </c>
      <c r="G16059">
        <v>0.71330000000000005</v>
      </c>
    </row>
    <row r="16060" spans="1:7">
      <c r="A16060" t="s">
        <v>1297</v>
      </c>
      <c r="B16060" t="s">
        <v>1298</v>
      </c>
      <c r="C16060" t="s">
        <v>657</v>
      </c>
      <c r="D16060" t="s">
        <v>1469</v>
      </c>
      <c r="E16060" t="s">
        <v>187</v>
      </c>
      <c r="F16060">
        <v>2020</v>
      </c>
      <c r="G16060">
        <v>0.95482199999999995</v>
      </c>
    </row>
    <row r="16061" spans="1:7">
      <c r="A16061" t="s">
        <v>1297</v>
      </c>
      <c r="B16061" t="s">
        <v>1298</v>
      </c>
      <c r="C16061" t="s">
        <v>666</v>
      </c>
      <c r="D16061" t="s">
        <v>1469</v>
      </c>
      <c r="E16061" t="s">
        <v>187</v>
      </c>
      <c r="F16061">
        <v>2020</v>
      </c>
      <c r="G16061">
        <v>2E-3</v>
      </c>
    </row>
    <row r="16062" spans="1:7">
      <c r="A16062" t="s">
        <v>1297</v>
      </c>
      <c r="B16062" t="s">
        <v>1298</v>
      </c>
      <c r="C16062" t="s">
        <v>652</v>
      </c>
      <c r="D16062" t="s">
        <v>1469</v>
      </c>
      <c r="E16062" t="s">
        <v>187</v>
      </c>
      <c r="F16062">
        <v>2016</v>
      </c>
      <c r="G16062">
        <v>5.9999999999999995E-4</v>
      </c>
    </row>
    <row r="16063" spans="1:7">
      <c r="A16063" t="s">
        <v>1297</v>
      </c>
      <c r="B16063" t="s">
        <v>1298</v>
      </c>
      <c r="C16063" t="s">
        <v>652</v>
      </c>
      <c r="D16063" t="s">
        <v>1469</v>
      </c>
      <c r="E16063" t="s">
        <v>187</v>
      </c>
      <c r="F16063">
        <v>2020</v>
      </c>
      <c r="G16063">
        <v>8.9999999999999998E-4</v>
      </c>
    </row>
    <row r="16064" spans="1:7">
      <c r="A16064" t="s">
        <v>1297</v>
      </c>
      <c r="B16064" t="s">
        <v>1298</v>
      </c>
      <c r="C16064" t="s">
        <v>661</v>
      </c>
      <c r="D16064" t="s">
        <v>1470</v>
      </c>
      <c r="E16064" t="s">
        <v>187</v>
      </c>
      <c r="F16064">
        <v>2012</v>
      </c>
      <c r="G16064">
        <v>3.4838000000000001E-2</v>
      </c>
    </row>
    <row r="16065" spans="1:7">
      <c r="A16065" t="s">
        <v>1297</v>
      </c>
      <c r="B16065" t="s">
        <v>1298</v>
      </c>
      <c r="C16065" t="s">
        <v>661</v>
      </c>
      <c r="D16065" t="s">
        <v>1470</v>
      </c>
      <c r="E16065" t="s">
        <v>187</v>
      </c>
      <c r="F16065">
        <v>2016</v>
      </c>
      <c r="G16065">
        <v>0.41058600000000001</v>
      </c>
    </row>
    <row r="16066" spans="1:7">
      <c r="A16066" t="s">
        <v>1297</v>
      </c>
      <c r="B16066" t="s">
        <v>1298</v>
      </c>
      <c r="C16066" t="s">
        <v>661</v>
      </c>
      <c r="D16066" t="s">
        <v>1470</v>
      </c>
      <c r="E16066" t="s">
        <v>187</v>
      </c>
      <c r="F16066">
        <v>2020</v>
      </c>
      <c r="G16066">
        <v>0.93331600000000003</v>
      </c>
    </row>
    <row r="16067" spans="1:7">
      <c r="A16067" t="s">
        <v>1297</v>
      </c>
      <c r="B16067" t="s">
        <v>1298</v>
      </c>
      <c r="C16067" t="s">
        <v>655</v>
      </c>
      <c r="D16067" t="s">
        <v>1470</v>
      </c>
      <c r="E16067" t="s">
        <v>187</v>
      </c>
      <c r="F16067">
        <v>2010</v>
      </c>
      <c r="G16067">
        <v>9.4E-2</v>
      </c>
    </row>
    <row r="16068" spans="1:7">
      <c r="A16068" t="s">
        <v>1297</v>
      </c>
      <c r="B16068" t="s">
        <v>1298</v>
      </c>
      <c r="C16068" t="s">
        <v>655</v>
      </c>
      <c r="D16068" t="s">
        <v>1470</v>
      </c>
      <c r="E16068" t="s">
        <v>187</v>
      </c>
      <c r="F16068">
        <v>2012</v>
      </c>
      <c r="G16068">
        <v>0.08</v>
      </c>
    </row>
    <row r="16069" spans="1:7">
      <c r="A16069" t="s">
        <v>1297</v>
      </c>
      <c r="B16069" t="s">
        <v>1298</v>
      </c>
      <c r="C16069" t="s">
        <v>655</v>
      </c>
      <c r="D16069" t="s">
        <v>1470</v>
      </c>
      <c r="E16069" t="s">
        <v>187</v>
      </c>
      <c r="F16069">
        <v>2016</v>
      </c>
      <c r="G16069">
        <v>0.06</v>
      </c>
    </row>
    <row r="16070" spans="1:7">
      <c r="A16070" t="s">
        <v>1297</v>
      </c>
      <c r="B16070" t="s">
        <v>1298</v>
      </c>
      <c r="C16070" t="s">
        <v>655</v>
      </c>
      <c r="D16070" t="s">
        <v>1470</v>
      </c>
      <c r="E16070" t="s">
        <v>187</v>
      </c>
      <c r="F16070">
        <v>2020</v>
      </c>
      <c r="G16070">
        <v>0.109281</v>
      </c>
    </row>
    <row r="16071" spans="1:7">
      <c r="A16071" t="s">
        <v>1297</v>
      </c>
      <c r="B16071" t="s">
        <v>1298</v>
      </c>
      <c r="C16071" t="s">
        <v>679</v>
      </c>
      <c r="D16071" t="s">
        <v>1470</v>
      </c>
      <c r="E16071" t="s">
        <v>187</v>
      </c>
      <c r="F16071">
        <v>2005</v>
      </c>
      <c r="G16071">
        <v>0.31</v>
      </c>
    </row>
    <row r="16072" spans="1:7">
      <c r="A16072" t="s">
        <v>1297</v>
      </c>
      <c r="B16072" t="s">
        <v>1298</v>
      </c>
      <c r="C16072" t="s">
        <v>679</v>
      </c>
      <c r="D16072" t="s">
        <v>1470</v>
      </c>
      <c r="E16072" t="s">
        <v>187</v>
      </c>
      <c r="F16072">
        <v>2010</v>
      </c>
      <c r="G16072">
        <v>0.81100000000000005</v>
      </c>
    </row>
    <row r="16073" spans="1:7">
      <c r="A16073" t="s">
        <v>1297</v>
      </c>
      <c r="B16073" t="s">
        <v>1298</v>
      </c>
      <c r="C16073" t="s">
        <v>679</v>
      </c>
      <c r="D16073" t="s">
        <v>1470</v>
      </c>
      <c r="E16073" t="s">
        <v>187</v>
      </c>
      <c r="F16073">
        <v>2012</v>
      </c>
      <c r="G16073">
        <v>0.85399999999999998</v>
      </c>
    </row>
    <row r="16074" spans="1:7">
      <c r="A16074" t="s">
        <v>1297</v>
      </c>
      <c r="B16074" t="s">
        <v>1298</v>
      </c>
      <c r="C16074" t="s">
        <v>679</v>
      </c>
      <c r="D16074" t="s">
        <v>1470</v>
      </c>
      <c r="E16074" t="s">
        <v>187</v>
      </c>
      <c r="F16074">
        <v>2016</v>
      </c>
      <c r="G16074">
        <v>1.2250000000000001</v>
      </c>
    </row>
    <row r="16075" spans="1:7">
      <c r="A16075" t="s">
        <v>1297</v>
      </c>
      <c r="B16075" t="s">
        <v>1298</v>
      </c>
      <c r="C16075" t="s">
        <v>679</v>
      </c>
      <c r="D16075" t="s">
        <v>1470</v>
      </c>
      <c r="E16075" t="s">
        <v>187</v>
      </c>
      <c r="F16075">
        <v>2020</v>
      </c>
      <c r="G16075">
        <v>1.565183</v>
      </c>
    </row>
    <row r="16076" spans="1:7">
      <c r="A16076" t="s">
        <v>1297</v>
      </c>
      <c r="B16076" t="s">
        <v>1298</v>
      </c>
      <c r="C16076" t="s">
        <v>674</v>
      </c>
      <c r="D16076" t="s">
        <v>1470</v>
      </c>
      <c r="E16076" t="s">
        <v>187</v>
      </c>
      <c r="F16076">
        <v>2012</v>
      </c>
      <c r="G16076">
        <v>15.221</v>
      </c>
    </row>
    <row r="16077" spans="1:7">
      <c r="A16077" t="s">
        <v>1297</v>
      </c>
      <c r="B16077" t="s">
        <v>1298</v>
      </c>
      <c r="C16077" t="s">
        <v>674</v>
      </c>
      <c r="D16077" t="s">
        <v>1470</v>
      </c>
      <c r="E16077" t="s">
        <v>187</v>
      </c>
      <c r="F16077">
        <v>2016</v>
      </c>
      <c r="G16077">
        <v>12.048999999999999</v>
      </c>
    </row>
    <row r="16078" spans="1:7">
      <c r="A16078" t="s">
        <v>1297</v>
      </c>
      <c r="B16078" t="s">
        <v>1298</v>
      </c>
      <c r="C16078" t="s">
        <v>674</v>
      </c>
      <c r="D16078" t="s">
        <v>1470</v>
      </c>
      <c r="E16078" t="s">
        <v>187</v>
      </c>
      <c r="F16078">
        <v>2020</v>
      </c>
      <c r="G16078">
        <v>11.74</v>
      </c>
    </row>
    <row r="16079" spans="1:7">
      <c r="A16079" t="s">
        <v>1297</v>
      </c>
      <c r="B16079" t="s">
        <v>1298</v>
      </c>
      <c r="C16079" t="s">
        <v>1299</v>
      </c>
      <c r="D16079" t="s">
        <v>1470</v>
      </c>
      <c r="E16079" t="s">
        <v>187</v>
      </c>
      <c r="F16079">
        <v>2020</v>
      </c>
      <c r="G16079">
        <v>5.16E-2</v>
      </c>
    </row>
    <row r="16080" spans="1:7">
      <c r="A16080" t="s">
        <v>1297</v>
      </c>
      <c r="B16080" t="s">
        <v>1298</v>
      </c>
      <c r="C16080" t="s">
        <v>657</v>
      </c>
      <c r="D16080" t="s">
        <v>1470</v>
      </c>
      <c r="E16080" t="s">
        <v>187</v>
      </c>
      <c r="F16080">
        <v>2005</v>
      </c>
      <c r="G16080">
        <v>6.0000000000000001E-3</v>
      </c>
    </row>
    <row r="16081" spans="1:7">
      <c r="A16081" t="s">
        <v>1297</v>
      </c>
      <c r="B16081" t="s">
        <v>1298</v>
      </c>
      <c r="C16081" t="s">
        <v>657</v>
      </c>
      <c r="D16081" t="s">
        <v>1470</v>
      </c>
      <c r="E16081" t="s">
        <v>187</v>
      </c>
      <c r="F16081">
        <v>2010</v>
      </c>
      <c r="G16081">
        <v>2.8299999999999999E-4</v>
      </c>
    </row>
    <row r="16082" spans="1:7">
      <c r="A16082" t="s">
        <v>1297</v>
      </c>
      <c r="B16082" t="s">
        <v>1298</v>
      </c>
      <c r="C16082" t="s">
        <v>657</v>
      </c>
      <c r="D16082" t="s">
        <v>1470</v>
      </c>
      <c r="E16082" t="s">
        <v>187</v>
      </c>
      <c r="F16082">
        <v>2012</v>
      </c>
      <c r="G16082">
        <v>1.6763E-2</v>
      </c>
    </row>
    <row r="16083" spans="1:7">
      <c r="A16083" t="s">
        <v>1297</v>
      </c>
      <c r="B16083" t="s">
        <v>1298</v>
      </c>
      <c r="C16083" t="s">
        <v>657</v>
      </c>
      <c r="D16083" t="s">
        <v>1470</v>
      </c>
      <c r="E16083" t="s">
        <v>187</v>
      </c>
      <c r="F16083">
        <v>2016</v>
      </c>
      <c r="G16083">
        <v>9.8246E-2</v>
      </c>
    </row>
    <row r="16084" spans="1:7">
      <c r="A16084" t="s">
        <v>1297</v>
      </c>
      <c r="B16084" t="s">
        <v>1298</v>
      </c>
      <c r="C16084" t="s">
        <v>657</v>
      </c>
      <c r="D16084" t="s">
        <v>1470</v>
      </c>
      <c r="E16084" t="s">
        <v>187</v>
      </c>
      <c r="F16084">
        <v>2020</v>
      </c>
      <c r="G16084">
        <v>0.41103499999999998</v>
      </c>
    </row>
    <row r="16085" spans="1:7">
      <c r="A16085" t="s">
        <v>1297</v>
      </c>
      <c r="B16085" t="s">
        <v>1298</v>
      </c>
      <c r="C16085" t="s">
        <v>671</v>
      </c>
      <c r="D16085" t="s">
        <v>1470</v>
      </c>
      <c r="E16085" t="s">
        <v>187</v>
      </c>
      <c r="F16085">
        <v>2016</v>
      </c>
      <c r="G16085">
        <v>4.2269999999999999E-3</v>
      </c>
    </row>
    <row r="16086" spans="1:7">
      <c r="A16086" t="s">
        <v>1297</v>
      </c>
      <c r="B16086" t="s">
        <v>1298</v>
      </c>
      <c r="C16086" t="s">
        <v>671</v>
      </c>
      <c r="D16086" t="s">
        <v>1470</v>
      </c>
      <c r="E16086" t="s">
        <v>187</v>
      </c>
      <c r="F16086">
        <v>2020</v>
      </c>
      <c r="G16086">
        <v>3.1489999999999999E-3</v>
      </c>
    </row>
    <row r="16087" spans="1:7">
      <c r="A16087" t="s">
        <v>1297</v>
      </c>
      <c r="B16087" t="s">
        <v>1298</v>
      </c>
      <c r="C16087" t="s">
        <v>676</v>
      </c>
      <c r="D16087" t="s">
        <v>1470</v>
      </c>
      <c r="E16087" t="s">
        <v>187</v>
      </c>
      <c r="F16087">
        <v>2020</v>
      </c>
      <c r="G16087">
        <v>5.8000000000000003E-2</v>
      </c>
    </row>
    <row r="16088" spans="1:7">
      <c r="A16088" t="s">
        <v>1297</v>
      </c>
      <c r="B16088" t="s">
        <v>1298</v>
      </c>
      <c r="C16088" t="s">
        <v>672</v>
      </c>
      <c r="D16088" t="s">
        <v>1471</v>
      </c>
      <c r="E16088" t="s">
        <v>187</v>
      </c>
      <c r="F16088">
        <v>2016</v>
      </c>
      <c r="G16088">
        <v>25.306267999999999</v>
      </c>
    </row>
    <row r="16089" spans="1:7">
      <c r="A16089" t="s">
        <v>1297</v>
      </c>
      <c r="B16089" t="s">
        <v>1298</v>
      </c>
      <c r="C16089" t="s">
        <v>672</v>
      </c>
      <c r="D16089" t="s">
        <v>1471</v>
      </c>
      <c r="E16089" t="s">
        <v>187</v>
      </c>
      <c r="F16089">
        <v>2020</v>
      </c>
      <c r="G16089">
        <v>28.520837</v>
      </c>
    </row>
    <row r="16090" spans="1:7">
      <c r="A16090" t="s">
        <v>1297</v>
      </c>
      <c r="B16090" t="s">
        <v>1298</v>
      </c>
      <c r="C16090" t="s">
        <v>675</v>
      </c>
      <c r="D16090" t="s">
        <v>1471</v>
      </c>
      <c r="E16090" t="s">
        <v>187</v>
      </c>
      <c r="F16090">
        <v>2005</v>
      </c>
      <c r="G16090">
        <v>9.9717E-2</v>
      </c>
    </row>
    <row r="16091" spans="1:7">
      <c r="A16091" t="s">
        <v>1297</v>
      </c>
      <c r="B16091" t="s">
        <v>1298</v>
      </c>
      <c r="C16091" t="s">
        <v>675</v>
      </c>
      <c r="D16091" t="s">
        <v>1471</v>
      </c>
      <c r="E16091" t="s">
        <v>187</v>
      </c>
      <c r="F16091">
        <v>2010</v>
      </c>
      <c r="G16091">
        <v>0.36469000000000001</v>
      </c>
    </row>
    <row r="16092" spans="1:7">
      <c r="A16092" t="s">
        <v>1297</v>
      </c>
      <c r="B16092" t="s">
        <v>1298</v>
      </c>
      <c r="C16092" t="s">
        <v>675</v>
      </c>
      <c r="D16092" t="s">
        <v>1471</v>
      </c>
      <c r="E16092" t="s">
        <v>187</v>
      </c>
      <c r="F16092">
        <v>2012</v>
      </c>
      <c r="G16092">
        <v>0.67120800000000003</v>
      </c>
    </row>
    <row r="16093" spans="1:7">
      <c r="A16093" t="s">
        <v>1297</v>
      </c>
      <c r="B16093" t="s">
        <v>1298</v>
      </c>
      <c r="C16093" t="s">
        <v>675</v>
      </c>
      <c r="D16093" t="s">
        <v>1471</v>
      </c>
      <c r="E16093" t="s">
        <v>187</v>
      </c>
      <c r="F16093">
        <v>2016</v>
      </c>
      <c r="G16093">
        <v>1.4251020000000001</v>
      </c>
    </row>
    <row r="16094" spans="1:7">
      <c r="A16094" t="s">
        <v>1297</v>
      </c>
      <c r="B16094" t="s">
        <v>1298</v>
      </c>
      <c r="C16094" t="s">
        <v>675</v>
      </c>
      <c r="D16094" t="s">
        <v>1471</v>
      </c>
      <c r="E16094" t="s">
        <v>187</v>
      </c>
      <c r="F16094">
        <v>2020</v>
      </c>
      <c r="G16094">
        <v>1.6590780000000001</v>
      </c>
    </row>
    <row r="16095" spans="1:7">
      <c r="A16095" t="s">
        <v>1297</v>
      </c>
      <c r="B16095" t="s">
        <v>1298</v>
      </c>
      <c r="C16095" t="s">
        <v>677</v>
      </c>
      <c r="D16095" t="s">
        <v>1471</v>
      </c>
      <c r="E16095" t="s">
        <v>187</v>
      </c>
      <c r="F16095">
        <v>2010</v>
      </c>
      <c r="G16095">
        <v>1.2981290000000001</v>
      </c>
    </row>
    <row r="16096" spans="1:7">
      <c r="A16096" t="s">
        <v>1297</v>
      </c>
      <c r="B16096" t="s">
        <v>1298</v>
      </c>
      <c r="C16096" t="s">
        <v>677</v>
      </c>
      <c r="D16096" t="s">
        <v>1471</v>
      </c>
      <c r="E16096" t="s">
        <v>187</v>
      </c>
      <c r="F16096">
        <v>2012</v>
      </c>
      <c r="G16096">
        <v>3.4695659999999999</v>
      </c>
    </row>
    <row r="16097" spans="1:7">
      <c r="A16097" t="s">
        <v>1297</v>
      </c>
      <c r="B16097" t="s">
        <v>1298</v>
      </c>
      <c r="C16097" t="s">
        <v>677</v>
      </c>
      <c r="D16097" t="s">
        <v>1471</v>
      </c>
      <c r="E16097" t="s">
        <v>187</v>
      </c>
      <c r="F16097">
        <v>2016</v>
      </c>
      <c r="G16097">
        <v>46.506999999999998</v>
      </c>
    </row>
    <row r="16098" spans="1:7">
      <c r="A16098" t="s">
        <v>1297</v>
      </c>
      <c r="B16098" t="s">
        <v>1298</v>
      </c>
      <c r="C16098" t="s">
        <v>677</v>
      </c>
      <c r="D16098" t="s">
        <v>1471</v>
      </c>
      <c r="E16098" t="s">
        <v>187</v>
      </c>
      <c r="F16098">
        <v>2020</v>
      </c>
      <c r="G16098">
        <v>46.526000000000003</v>
      </c>
    </row>
    <row r="16099" spans="1:7">
      <c r="A16099" t="s">
        <v>1297</v>
      </c>
      <c r="B16099" t="s">
        <v>1298</v>
      </c>
      <c r="C16099" t="s">
        <v>653</v>
      </c>
      <c r="D16099" t="s">
        <v>1471</v>
      </c>
      <c r="E16099" t="s">
        <v>187</v>
      </c>
      <c r="F16099">
        <v>2005</v>
      </c>
      <c r="G16099">
        <v>0.70128000000000001</v>
      </c>
    </row>
    <row r="16100" spans="1:7">
      <c r="A16100" t="s">
        <v>1297</v>
      </c>
      <c r="B16100" t="s">
        <v>1298</v>
      </c>
      <c r="C16100" t="s">
        <v>653</v>
      </c>
      <c r="D16100" t="s">
        <v>1471</v>
      </c>
      <c r="E16100" t="s">
        <v>187</v>
      </c>
      <c r="F16100">
        <v>2010</v>
      </c>
      <c r="G16100">
        <v>1.5822000000000001</v>
      </c>
    </row>
    <row r="16101" spans="1:7">
      <c r="A16101" t="s">
        <v>1297</v>
      </c>
      <c r="B16101" t="s">
        <v>1298</v>
      </c>
      <c r="C16101" t="s">
        <v>653</v>
      </c>
      <c r="D16101" t="s">
        <v>1471</v>
      </c>
      <c r="E16101" t="s">
        <v>187</v>
      </c>
      <c r="F16101">
        <v>2012</v>
      </c>
      <c r="G16101">
        <v>1.9663200000000001</v>
      </c>
    </row>
    <row r="16102" spans="1:7">
      <c r="A16102" t="s">
        <v>1297</v>
      </c>
      <c r="B16102" t="s">
        <v>1298</v>
      </c>
      <c r="C16102" t="s">
        <v>653</v>
      </c>
      <c r="D16102" t="s">
        <v>1471</v>
      </c>
      <c r="E16102" t="s">
        <v>187</v>
      </c>
      <c r="F16102">
        <v>2016</v>
      </c>
      <c r="G16102">
        <v>3.3990480000000001</v>
      </c>
    </row>
    <row r="16103" spans="1:7">
      <c r="A16103" t="s">
        <v>1297</v>
      </c>
      <c r="B16103" t="s">
        <v>1298</v>
      </c>
      <c r="C16103" t="s">
        <v>653</v>
      </c>
      <c r="D16103" t="s">
        <v>1471</v>
      </c>
      <c r="E16103" t="s">
        <v>187</v>
      </c>
      <c r="F16103">
        <v>2020</v>
      </c>
      <c r="G16103">
        <v>4.4186420000000002</v>
      </c>
    </row>
    <row r="16104" spans="1:7">
      <c r="A16104" t="s">
        <v>1297</v>
      </c>
      <c r="B16104" t="s">
        <v>1298</v>
      </c>
      <c r="C16104" t="s">
        <v>666</v>
      </c>
      <c r="D16104" t="s">
        <v>1471</v>
      </c>
      <c r="E16104" t="s">
        <v>187</v>
      </c>
      <c r="F16104">
        <v>2020</v>
      </c>
      <c r="G16104">
        <v>1.0760000000000001</v>
      </c>
    </row>
    <row r="16105" spans="1:7">
      <c r="A16105" t="s">
        <v>1297</v>
      </c>
      <c r="B16105" t="s">
        <v>1298</v>
      </c>
      <c r="C16105" t="s">
        <v>655</v>
      </c>
      <c r="D16105" t="s">
        <v>1471</v>
      </c>
      <c r="E16105" t="s">
        <v>187</v>
      </c>
      <c r="F16105">
        <v>2005</v>
      </c>
      <c r="G16105">
        <v>0.55845</v>
      </c>
    </row>
    <row r="16106" spans="1:7">
      <c r="A16106" t="s">
        <v>1297</v>
      </c>
      <c r="B16106" t="s">
        <v>1298</v>
      </c>
      <c r="C16106" t="s">
        <v>655</v>
      </c>
      <c r="D16106" t="s">
        <v>1471</v>
      </c>
      <c r="E16106" t="s">
        <v>187</v>
      </c>
      <c r="F16106">
        <v>2010</v>
      </c>
      <c r="G16106">
        <v>2.0026090000000001</v>
      </c>
    </row>
    <row r="16107" spans="1:7">
      <c r="A16107" t="s">
        <v>1297</v>
      </c>
      <c r="B16107" t="s">
        <v>1298</v>
      </c>
      <c r="C16107" t="s">
        <v>655</v>
      </c>
      <c r="D16107" t="s">
        <v>1471</v>
      </c>
      <c r="E16107" t="s">
        <v>187</v>
      </c>
      <c r="F16107">
        <v>2012</v>
      </c>
      <c r="G16107">
        <v>2.935902</v>
      </c>
    </row>
    <row r="16108" spans="1:7">
      <c r="A16108" t="s">
        <v>1297</v>
      </c>
      <c r="B16108" t="s">
        <v>1298</v>
      </c>
      <c r="C16108" t="s">
        <v>655</v>
      </c>
      <c r="D16108" t="s">
        <v>1471</v>
      </c>
      <c r="E16108" t="s">
        <v>187</v>
      </c>
      <c r="F16108">
        <v>2016</v>
      </c>
      <c r="G16108">
        <v>5.2564690000000001</v>
      </c>
    </row>
    <row r="16109" spans="1:7">
      <c r="A16109" t="s">
        <v>1297</v>
      </c>
      <c r="B16109" t="s">
        <v>1298</v>
      </c>
      <c r="C16109" t="s">
        <v>655</v>
      </c>
      <c r="D16109" t="s">
        <v>1471</v>
      </c>
      <c r="E16109" t="s">
        <v>187</v>
      </c>
      <c r="F16109">
        <v>2020</v>
      </c>
      <c r="G16109">
        <v>8.4893319999999992</v>
      </c>
    </row>
    <row r="16110" spans="1:7">
      <c r="A16110" t="s">
        <v>1297</v>
      </c>
      <c r="B16110" t="s">
        <v>1298</v>
      </c>
      <c r="C16110" t="s">
        <v>671</v>
      </c>
      <c r="D16110" t="s">
        <v>1471</v>
      </c>
      <c r="E16110" t="s">
        <v>187</v>
      </c>
      <c r="F16110">
        <v>2010</v>
      </c>
      <c r="G16110">
        <v>1.890231</v>
      </c>
    </row>
    <row r="16111" spans="1:7">
      <c r="A16111" t="s">
        <v>1297</v>
      </c>
      <c r="B16111" t="s">
        <v>1298</v>
      </c>
      <c r="C16111" t="s">
        <v>671</v>
      </c>
      <c r="D16111" t="s">
        <v>1471</v>
      </c>
      <c r="E16111" t="s">
        <v>187</v>
      </c>
      <c r="F16111">
        <v>2012</v>
      </c>
      <c r="G16111">
        <v>2.8544870000000002</v>
      </c>
    </row>
    <row r="16112" spans="1:7">
      <c r="A16112" t="s">
        <v>1297</v>
      </c>
      <c r="B16112" t="s">
        <v>1298</v>
      </c>
      <c r="C16112" t="s">
        <v>671</v>
      </c>
      <c r="D16112" t="s">
        <v>1471</v>
      </c>
      <c r="E16112" t="s">
        <v>187</v>
      </c>
      <c r="F16112">
        <v>2016</v>
      </c>
      <c r="G16112">
        <v>6.5694900000000001</v>
      </c>
    </row>
    <row r="16113" spans="1:7">
      <c r="A16113" t="s">
        <v>1297</v>
      </c>
      <c r="B16113" t="s">
        <v>1298</v>
      </c>
      <c r="C16113" t="s">
        <v>671</v>
      </c>
      <c r="D16113" t="s">
        <v>1471</v>
      </c>
      <c r="E16113" t="s">
        <v>187</v>
      </c>
      <c r="F16113">
        <v>2020</v>
      </c>
      <c r="G16113">
        <v>10.681037</v>
      </c>
    </row>
    <row r="16114" spans="1:7">
      <c r="A16114" t="s">
        <v>1297</v>
      </c>
      <c r="B16114" t="s">
        <v>1298</v>
      </c>
      <c r="C16114" t="s">
        <v>668</v>
      </c>
      <c r="D16114" t="s">
        <v>1471</v>
      </c>
      <c r="E16114" t="s">
        <v>187</v>
      </c>
      <c r="F16114">
        <v>2020</v>
      </c>
      <c r="G16114">
        <v>4.2500000000000003E-2</v>
      </c>
    </row>
    <row r="16115" spans="1:7">
      <c r="A16115" t="s">
        <v>1297</v>
      </c>
      <c r="B16115" t="s">
        <v>1298</v>
      </c>
      <c r="C16115" t="s">
        <v>659</v>
      </c>
      <c r="D16115" t="s">
        <v>1471</v>
      </c>
      <c r="E16115" t="s">
        <v>187</v>
      </c>
      <c r="F16115">
        <v>2016</v>
      </c>
      <c r="G16115">
        <v>21.712</v>
      </c>
    </row>
    <row r="16116" spans="1:7">
      <c r="A16116" t="s">
        <v>1297</v>
      </c>
      <c r="B16116" t="s">
        <v>1298</v>
      </c>
      <c r="C16116" t="s">
        <v>659</v>
      </c>
      <c r="D16116" t="s">
        <v>1471</v>
      </c>
      <c r="E16116" t="s">
        <v>187</v>
      </c>
      <c r="F16116">
        <v>2020</v>
      </c>
      <c r="G16116">
        <v>36.115000000000002</v>
      </c>
    </row>
    <row r="16117" spans="1:7">
      <c r="A16117" t="s">
        <v>1297</v>
      </c>
      <c r="B16117" t="s">
        <v>1298</v>
      </c>
      <c r="C16117" t="s">
        <v>662</v>
      </c>
      <c r="D16117" t="s">
        <v>1471</v>
      </c>
      <c r="E16117" t="s">
        <v>187</v>
      </c>
      <c r="F16117">
        <v>2020</v>
      </c>
      <c r="G16117">
        <v>14.397</v>
      </c>
    </row>
    <row r="16118" spans="1:7">
      <c r="A16118" t="s">
        <v>1297</v>
      </c>
      <c r="B16118" t="s">
        <v>1298</v>
      </c>
      <c r="C16118" t="s">
        <v>669</v>
      </c>
      <c r="D16118" t="s">
        <v>1471</v>
      </c>
      <c r="E16118" t="s">
        <v>187</v>
      </c>
      <c r="F16118">
        <v>2020</v>
      </c>
      <c r="G16118">
        <v>0.54966300000000001</v>
      </c>
    </row>
    <row r="16119" spans="1:7">
      <c r="A16119" t="s">
        <v>1297</v>
      </c>
      <c r="B16119" t="s">
        <v>1298</v>
      </c>
      <c r="C16119" t="s">
        <v>676</v>
      </c>
      <c r="D16119" t="s">
        <v>1471</v>
      </c>
      <c r="E16119" t="s">
        <v>187</v>
      </c>
      <c r="F16119">
        <v>2020</v>
      </c>
      <c r="G16119">
        <v>1.65039</v>
      </c>
    </row>
    <row r="16120" spans="1:7">
      <c r="A16120" t="s">
        <v>1297</v>
      </c>
      <c r="B16120" t="s">
        <v>1298</v>
      </c>
      <c r="C16120" t="s">
        <v>664</v>
      </c>
      <c r="D16120" t="s">
        <v>1471</v>
      </c>
      <c r="E16120" t="s">
        <v>187</v>
      </c>
      <c r="F16120">
        <v>2005</v>
      </c>
      <c r="G16120">
        <v>0.175372</v>
      </c>
    </row>
    <row r="16121" spans="1:7">
      <c r="A16121" t="s">
        <v>1297</v>
      </c>
      <c r="B16121" t="s">
        <v>1298</v>
      </c>
      <c r="C16121" t="s">
        <v>664</v>
      </c>
      <c r="D16121" t="s">
        <v>1471</v>
      </c>
      <c r="E16121" t="s">
        <v>187</v>
      </c>
      <c r="F16121">
        <v>2010</v>
      </c>
      <c r="G16121">
        <v>0.65539599999999998</v>
      </c>
    </row>
    <row r="16122" spans="1:7">
      <c r="A16122" t="s">
        <v>1297</v>
      </c>
      <c r="B16122" t="s">
        <v>1298</v>
      </c>
      <c r="C16122" t="s">
        <v>664</v>
      </c>
      <c r="D16122" t="s">
        <v>1471</v>
      </c>
      <c r="E16122" t="s">
        <v>187</v>
      </c>
      <c r="F16122">
        <v>2012</v>
      </c>
      <c r="G16122">
        <v>0.78317999999999999</v>
      </c>
    </row>
    <row r="16123" spans="1:7">
      <c r="A16123" t="s">
        <v>1297</v>
      </c>
      <c r="B16123" t="s">
        <v>1298</v>
      </c>
      <c r="C16123" t="s">
        <v>664</v>
      </c>
      <c r="D16123" t="s">
        <v>1471</v>
      </c>
      <c r="E16123" t="s">
        <v>187</v>
      </c>
      <c r="F16123">
        <v>2016</v>
      </c>
      <c r="G16123">
        <v>1.3505750000000001</v>
      </c>
    </row>
    <row r="16124" spans="1:7">
      <c r="A16124" t="s">
        <v>1297</v>
      </c>
      <c r="B16124" t="s">
        <v>1298</v>
      </c>
      <c r="C16124" t="s">
        <v>664</v>
      </c>
      <c r="D16124" t="s">
        <v>1471</v>
      </c>
      <c r="E16124" t="s">
        <v>187</v>
      </c>
      <c r="F16124">
        <v>2020</v>
      </c>
      <c r="G16124">
        <v>2.1043980000000002</v>
      </c>
    </row>
    <row r="16125" spans="1:7">
      <c r="A16125" t="s">
        <v>1297</v>
      </c>
      <c r="B16125" t="s">
        <v>1298</v>
      </c>
      <c r="C16125" t="s">
        <v>289</v>
      </c>
      <c r="D16125" t="s">
        <v>1471</v>
      </c>
      <c r="E16125" t="s">
        <v>187</v>
      </c>
      <c r="F16125">
        <v>2010</v>
      </c>
      <c r="G16125">
        <v>0.62980000000000003</v>
      </c>
    </row>
    <row r="16126" spans="1:7">
      <c r="A16126" t="s">
        <v>1297</v>
      </c>
      <c r="B16126" t="s">
        <v>1298</v>
      </c>
      <c r="C16126" t="s">
        <v>289</v>
      </c>
      <c r="D16126" t="s">
        <v>1471</v>
      </c>
      <c r="E16126" t="s">
        <v>187</v>
      </c>
      <c r="F16126">
        <v>2012</v>
      </c>
      <c r="G16126">
        <v>0.61219999999999997</v>
      </c>
    </row>
    <row r="16127" spans="1:7">
      <c r="A16127" t="s">
        <v>1297</v>
      </c>
      <c r="B16127" t="s">
        <v>1298</v>
      </c>
      <c r="C16127" t="s">
        <v>289</v>
      </c>
      <c r="D16127" t="s">
        <v>1471</v>
      </c>
      <c r="E16127" t="s">
        <v>187</v>
      </c>
      <c r="F16127">
        <v>2016</v>
      </c>
      <c r="G16127">
        <v>0.66020000000000001</v>
      </c>
    </row>
    <row r="16128" spans="1:7">
      <c r="A16128" t="s">
        <v>1297</v>
      </c>
      <c r="B16128" t="s">
        <v>1298</v>
      </c>
      <c r="C16128" t="s">
        <v>289</v>
      </c>
      <c r="D16128" t="s">
        <v>1471</v>
      </c>
      <c r="E16128" t="s">
        <v>187</v>
      </c>
      <c r="F16128">
        <v>2020</v>
      </c>
      <c r="G16128">
        <v>0.60580000000000001</v>
      </c>
    </row>
    <row r="16129" spans="1:7">
      <c r="A16129" t="s">
        <v>1297</v>
      </c>
      <c r="B16129" t="s">
        <v>1298</v>
      </c>
      <c r="C16129" t="s">
        <v>1299</v>
      </c>
      <c r="D16129" t="s">
        <v>1471</v>
      </c>
      <c r="E16129" t="s">
        <v>187</v>
      </c>
      <c r="F16129">
        <v>2020</v>
      </c>
      <c r="G16129">
        <v>5.16E-2</v>
      </c>
    </row>
    <row r="16130" spans="1:7">
      <c r="A16130" t="s">
        <v>1297</v>
      </c>
      <c r="B16130" t="s">
        <v>1298</v>
      </c>
      <c r="C16130" t="s">
        <v>661</v>
      </c>
      <c r="D16130" t="s">
        <v>1471</v>
      </c>
      <c r="E16130" t="s">
        <v>187</v>
      </c>
      <c r="F16130">
        <v>2005</v>
      </c>
      <c r="G16130">
        <v>8.7543679999999995</v>
      </c>
    </row>
    <row r="16131" spans="1:7">
      <c r="A16131" t="s">
        <v>1297</v>
      </c>
      <c r="B16131" t="s">
        <v>1298</v>
      </c>
      <c r="C16131" t="s">
        <v>661</v>
      </c>
      <c r="D16131" t="s">
        <v>1471</v>
      </c>
      <c r="E16131" t="s">
        <v>187</v>
      </c>
      <c r="F16131">
        <v>2010</v>
      </c>
      <c r="G16131">
        <v>55.261096999999999</v>
      </c>
    </row>
    <row r="16132" spans="1:7">
      <c r="A16132" t="s">
        <v>1297</v>
      </c>
      <c r="B16132" t="s">
        <v>1298</v>
      </c>
      <c r="C16132" t="s">
        <v>661</v>
      </c>
      <c r="D16132" t="s">
        <v>1471</v>
      </c>
      <c r="E16132" t="s">
        <v>187</v>
      </c>
      <c r="F16132">
        <v>2012</v>
      </c>
      <c r="G16132">
        <v>62.712845000000002</v>
      </c>
    </row>
    <row r="16133" spans="1:7">
      <c r="A16133" t="s">
        <v>1297</v>
      </c>
      <c r="B16133" t="s">
        <v>1298</v>
      </c>
      <c r="C16133" t="s">
        <v>661</v>
      </c>
      <c r="D16133" t="s">
        <v>1471</v>
      </c>
      <c r="E16133" t="s">
        <v>187</v>
      </c>
      <c r="F16133">
        <v>2016</v>
      </c>
      <c r="G16133">
        <v>91.396274000000005</v>
      </c>
    </row>
    <row r="16134" spans="1:7">
      <c r="A16134" t="s">
        <v>1297</v>
      </c>
      <c r="B16134" t="s">
        <v>1298</v>
      </c>
      <c r="C16134" t="s">
        <v>661</v>
      </c>
      <c r="D16134" t="s">
        <v>1471</v>
      </c>
      <c r="E16134" t="s">
        <v>187</v>
      </c>
      <c r="F16134">
        <v>2020</v>
      </c>
      <c r="G16134">
        <v>114.399007</v>
      </c>
    </row>
    <row r="16135" spans="1:7">
      <c r="A16135" t="s">
        <v>1297</v>
      </c>
      <c r="B16135" t="s">
        <v>1298</v>
      </c>
      <c r="C16135" t="s">
        <v>656</v>
      </c>
      <c r="D16135" t="s">
        <v>1471</v>
      </c>
      <c r="E16135" t="s">
        <v>187</v>
      </c>
      <c r="F16135">
        <v>2005</v>
      </c>
      <c r="G16135">
        <v>8.2189999999999994</v>
      </c>
    </row>
    <row r="16136" spans="1:7">
      <c r="A16136" t="s">
        <v>1297</v>
      </c>
      <c r="B16136" t="s">
        <v>1298</v>
      </c>
      <c r="C16136" t="s">
        <v>656</v>
      </c>
      <c r="D16136" t="s">
        <v>1471</v>
      </c>
      <c r="E16136" t="s">
        <v>187</v>
      </c>
      <c r="F16136">
        <v>2010</v>
      </c>
      <c r="G16136">
        <v>21.376999999999999</v>
      </c>
    </row>
    <row r="16137" spans="1:7">
      <c r="A16137" t="s">
        <v>1297</v>
      </c>
      <c r="B16137" t="s">
        <v>1298</v>
      </c>
      <c r="C16137" t="s">
        <v>656</v>
      </c>
      <c r="D16137" t="s">
        <v>1471</v>
      </c>
      <c r="E16137" t="s">
        <v>187</v>
      </c>
      <c r="F16137">
        <v>2012</v>
      </c>
      <c r="G16137">
        <v>27.957999999999998</v>
      </c>
    </row>
    <row r="16138" spans="1:7">
      <c r="A16138" t="s">
        <v>1297</v>
      </c>
      <c r="B16138" t="s">
        <v>1298</v>
      </c>
      <c r="C16138" t="s">
        <v>656</v>
      </c>
      <c r="D16138" t="s">
        <v>1471</v>
      </c>
      <c r="E16138" t="s">
        <v>187</v>
      </c>
      <c r="F16138">
        <v>2016</v>
      </c>
      <c r="G16138">
        <v>41.07</v>
      </c>
    </row>
    <row r="16139" spans="1:7">
      <c r="A16139" t="s">
        <v>1297</v>
      </c>
      <c r="B16139" t="s">
        <v>1298</v>
      </c>
      <c r="C16139" t="s">
        <v>656</v>
      </c>
      <c r="D16139" t="s">
        <v>1471</v>
      </c>
      <c r="E16139" t="s">
        <v>187</v>
      </c>
      <c r="F16139">
        <v>2020</v>
      </c>
      <c r="G16139">
        <v>52.759</v>
      </c>
    </row>
    <row r="16140" spans="1:7">
      <c r="A16140" t="s">
        <v>1297</v>
      </c>
      <c r="B16140" t="s">
        <v>1298</v>
      </c>
      <c r="C16140" t="s">
        <v>657</v>
      </c>
      <c r="D16140" t="s">
        <v>1471</v>
      </c>
      <c r="E16140" t="s">
        <v>187</v>
      </c>
      <c r="F16140">
        <v>2005</v>
      </c>
      <c r="G16140">
        <v>3.7360000000000002</v>
      </c>
    </row>
    <row r="16141" spans="1:7">
      <c r="A16141" t="s">
        <v>1297</v>
      </c>
      <c r="B16141" t="s">
        <v>1298</v>
      </c>
      <c r="C16141" t="s">
        <v>657</v>
      </c>
      <c r="D16141" t="s">
        <v>1471</v>
      </c>
      <c r="E16141" t="s">
        <v>187</v>
      </c>
      <c r="F16141">
        <v>2010</v>
      </c>
      <c r="G16141">
        <v>5.6436869999999999</v>
      </c>
    </row>
    <row r="16142" spans="1:7">
      <c r="A16142" t="s">
        <v>1297</v>
      </c>
      <c r="B16142" t="s">
        <v>1298</v>
      </c>
      <c r="C16142" t="s">
        <v>657</v>
      </c>
      <c r="D16142" t="s">
        <v>1471</v>
      </c>
      <c r="E16142" t="s">
        <v>187</v>
      </c>
      <c r="F16142">
        <v>2012</v>
      </c>
      <c r="G16142">
        <v>6.4981260000000001</v>
      </c>
    </row>
    <row r="16143" spans="1:7">
      <c r="A16143" t="s">
        <v>1297</v>
      </c>
      <c r="B16143" t="s">
        <v>1298</v>
      </c>
      <c r="C16143" t="s">
        <v>657</v>
      </c>
      <c r="D16143" t="s">
        <v>1471</v>
      </c>
      <c r="E16143" t="s">
        <v>187</v>
      </c>
      <c r="F16143">
        <v>2016</v>
      </c>
      <c r="G16143">
        <v>8.9594330000000006</v>
      </c>
    </row>
    <row r="16144" spans="1:7">
      <c r="A16144" t="s">
        <v>1297</v>
      </c>
      <c r="B16144" t="s">
        <v>1298</v>
      </c>
      <c r="C16144" t="s">
        <v>657</v>
      </c>
      <c r="D16144" t="s">
        <v>1471</v>
      </c>
      <c r="E16144" t="s">
        <v>187</v>
      </c>
      <c r="F16144">
        <v>2020</v>
      </c>
      <c r="G16144">
        <v>11.927</v>
      </c>
    </row>
    <row r="16145" spans="1:7">
      <c r="A16145" t="s">
        <v>1297</v>
      </c>
      <c r="B16145" t="s">
        <v>1298</v>
      </c>
      <c r="C16145" t="s">
        <v>654</v>
      </c>
      <c r="D16145" t="s">
        <v>1471</v>
      </c>
      <c r="E16145" t="s">
        <v>187</v>
      </c>
      <c r="F16145">
        <v>2020</v>
      </c>
      <c r="G16145">
        <v>2.0634519999999998</v>
      </c>
    </row>
    <row r="16146" spans="1:7">
      <c r="A16146" t="s">
        <v>1297</v>
      </c>
      <c r="B16146" t="s">
        <v>1298</v>
      </c>
      <c r="C16146" t="s">
        <v>670</v>
      </c>
      <c r="D16146" t="s">
        <v>1471</v>
      </c>
      <c r="E16146" t="s">
        <v>187</v>
      </c>
      <c r="F16146">
        <v>2005</v>
      </c>
      <c r="G16146">
        <v>0.70831900000000003</v>
      </c>
    </row>
    <row r="16147" spans="1:7">
      <c r="A16147" t="s">
        <v>1297</v>
      </c>
      <c r="B16147" t="s">
        <v>1298</v>
      </c>
      <c r="C16147" t="s">
        <v>670</v>
      </c>
      <c r="D16147" t="s">
        <v>1471</v>
      </c>
      <c r="E16147" t="s">
        <v>187</v>
      </c>
      <c r="F16147">
        <v>2010</v>
      </c>
      <c r="G16147">
        <v>2.7187709999999998</v>
      </c>
    </row>
    <row r="16148" spans="1:7">
      <c r="A16148" t="s">
        <v>1297</v>
      </c>
      <c r="B16148" t="s">
        <v>1298</v>
      </c>
      <c r="C16148" t="s">
        <v>670</v>
      </c>
      <c r="D16148" t="s">
        <v>1471</v>
      </c>
      <c r="E16148" t="s">
        <v>187</v>
      </c>
      <c r="F16148">
        <v>2012</v>
      </c>
      <c r="G16148">
        <v>3.8126760000000002</v>
      </c>
    </row>
    <row r="16149" spans="1:7">
      <c r="A16149" t="s">
        <v>1297</v>
      </c>
      <c r="B16149" t="s">
        <v>1298</v>
      </c>
      <c r="C16149" t="s">
        <v>670</v>
      </c>
      <c r="D16149" t="s">
        <v>1471</v>
      </c>
      <c r="E16149" t="s">
        <v>187</v>
      </c>
      <c r="F16149">
        <v>2016</v>
      </c>
      <c r="G16149">
        <v>6.4908580000000002</v>
      </c>
    </row>
    <row r="16150" spans="1:7">
      <c r="A16150" t="s">
        <v>1297</v>
      </c>
      <c r="B16150" t="s">
        <v>1298</v>
      </c>
      <c r="C16150" t="s">
        <v>670</v>
      </c>
      <c r="D16150" t="s">
        <v>1471</v>
      </c>
      <c r="E16150" t="s">
        <v>187</v>
      </c>
      <c r="F16150">
        <v>2020</v>
      </c>
      <c r="G16150">
        <v>10.882904999999999</v>
      </c>
    </row>
    <row r="16151" spans="1:7">
      <c r="A16151" t="s">
        <v>1297</v>
      </c>
      <c r="B16151" t="s">
        <v>1298</v>
      </c>
      <c r="C16151" t="s">
        <v>660</v>
      </c>
      <c r="D16151" t="s">
        <v>1471</v>
      </c>
      <c r="E16151" t="s">
        <v>187</v>
      </c>
      <c r="F16151">
        <v>2020</v>
      </c>
      <c r="G16151">
        <v>25.088000000000001</v>
      </c>
    </row>
    <row r="16152" spans="1:7">
      <c r="A16152" t="s">
        <v>1297</v>
      </c>
      <c r="B16152" t="s">
        <v>1298</v>
      </c>
      <c r="C16152" t="s">
        <v>663</v>
      </c>
      <c r="D16152" t="s">
        <v>1471</v>
      </c>
      <c r="E16152" t="s">
        <v>187</v>
      </c>
      <c r="F16152">
        <v>2020</v>
      </c>
      <c r="G16152">
        <v>0.52900000000000003</v>
      </c>
    </row>
    <row r="16153" spans="1:7">
      <c r="A16153" t="s">
        <v>1297</v>
      </c>
      <c r="B16153" t="s">
        <v>1298</v>
      </c>
      <c r="C16153" t="s">
        <v>289</v>
      </c>
      <c r="D16153" t="s">
        <v>1471</v>
      </c>
      <c r="E16153" t="s">
        <v>187</v>
      </c>
      <c r="F16153">
        <v>2005</v>
      </c>
      <c r="G16153">
        <v>0.2198</v>
      </c>
    </row>
    <row r="16154" spans="1:7">
      <c r="A16154" t="s">
        <v>1297</v>
      </c>
      <c r="B16154" t="s">
        <v>1298</v>
      </c>
      <c r="C16154" t="s">
        <v>652</v>
      </c>
      <c r="D16154" t="s">
        <v>1471</v>
      </c>
      <c r="E16154" t="s">
        <v>187</v>
      </c>
      <c r="F16154">
        <v>2010</v>
      </c>
      <c r="G16154">
        <v>0.89</v>
      </c>
    </row>
    <row r="16155" spans="1:7">
      <c r="A16155" t="s">
        <v>1297</v>
      </c>
      <c r="B16155" t="s">
        <v>1298</v>
      </c>
      <c r="C16155" t="s">
        <v>652</v>
      </c>
      <c r="D16155" t="s">
        <v>1471</v>
      </c>
      <c r="E16155" t="s">
        <v>187</v>
      </c>
      <c r="F16155">
        <v>2012</v>
      </c>
      <c r="G16155">
        <v>1.1970000000000001</v>
      </c>
    </row>
    <row r="16156" spans="1:7">
      <c r="A16156" t="s">
        <v>1297</v>
      </c>
      <c r="B16156" t="s">
        <v>1298</v>
      </c>
      <c r="C16156" t="s">
        <v>652</v>
      </c>
      <c r="D16156" t="s">
        <v>1471</v>
      </c>
      <c r="E16156" t="s">
        <v>187</v>
      </c>
      <c r="F16156">
        <v>2016</v>
      </c>
      <c r="G16156">
        <v>2.6187999999999998</v>
      </c>
    </row>
    <row r="16157" spans="1:7">
      <c r="A16157" t="s">
        <v>1297</v>
      </c>
      <c r="B16157" t="s">
        <v>1298</v>
      </c>
      <c r="C16157" t="s">
        <v>652</v>
      </c>
      <c r="D16157" t="s">
        <v>1471</v>
      </c>
      <c r="E16157" t="s">
        <v>187</v>
      </c>
      <c r="F16157">
        <v>2020</v>
      </c>
      <c r="G16157">
        <v>4.5355999999999996</v>
      </c>
    </row>
    <row r="16158" spans="1:7">
      <c r="A16158" t="s">
        <v>1297</v>
      </c>
      <c r="B16158" t="s">
        <v>1298</v>
      </c>
      <c r="C16158" t="s">
        <v>665</v>
      </c>
      <c r="D16158" t="s">
        <v>1471</v>
      </c>
      <c r="E16158" t="s">
        <v>187</v>
      </c>
      <c r="F16158">
        <v>2020</v>
      </c>
      <c r="G16158">
        <v>104.60554399999999</v>
      </c>
    </row>
    <row r="16159" spans="1:7">
      <c r="A16159" t="s">
        <v>1297</v>
      </c>
      <c r="B16159" t="s">
        <v>1298</v>
      </c>
      <c r="C16159" t="s">
        <v>651</v>
      </c>
      <c r="D16159" t="s">
        <v>1471</v>
      </c>
      <c r="E16159" t="s">
        <v>187</v>
      </c>
      <c r="F16159">
        <v>2005</v>
      </c>
      <c r="G16159">
        <v>3.2520120000000001</v>
      </c>
    </row>
    <row r="16160" spans="1:7">
      <c r="A16160" t="s">
        <v>1297</v>
      </c>
      <c r="B16160" t="s">
        <v>1298</v>
      </c>
      <c r="C16160" t="s">
        <v>651</v>
      </c>
      <c r="D16160" t="s">
        <v>1471</v>
      </c>
      <c r="E16160" t="s">
        <v>187</v>
      </c>
      <c r="F16160">
        <v>2010</v>
      </c>
      <c r="G16160">
        <v>6.5223370000000003</v>
      </c>
    </row>
    <row r="16161" spans="1:7">
      <c r="A16161" t="s">
        <v>1297</v>
      </c>
      <c r="B16161" t="s">
        <v>1298</v>
      </c>
      <c r="C16161" t="s">
        <v>651</v>
      </c>
      <c r="D16161" t="s">
        <v>1471</v>
      </c>
      <c r="E16161" t="s">
        <v>187</v>
      </c>
      <c r="F16161">
        <v>2012</v>
      </c>
      <c r="G16161">
        <v>8.0334210000000006</v>
      </c>
    </row>
    <row r="16162" spans="1:7">
      <c r="A16162" t="s">
        <v>1297</v>
      </c>
      <c r="B16162" t="s">
        <v>1298</v>
      </c>
      <c r="C16162" t="s">
        <v>651</v>
      </c>
      <c r="D16162" t="s">
        <v>1471</v>
      </c>
      <c r="E16162" t="s">
        <v>187</v>
      </c>
      <c r="F16162">
        <v>2016</v>
      </c>
      <c r="G16162">
        <v>11.564662</v>
      </c>
    </row>
    <row r="16163" spans="1:7">
      <c r="A16163" t="s">
        <v>1297</v>
      </c>
      <c r="B16163" t="s">
        <v>1298</v>
      </c>
      <c r="C16163" t="s">
        <v>651</v>
      </c>
      <c r="D16163" t="s">
        <v>1471</v>
      </c>
      <c r="E16163" t="s">
        <v>187</v>
      </c>
      <c r="F16163">
        <v>2020</v>
      </c>
      <c r="G16163">
        <v>15.284656999999999</v>
      </c>
    </row>
    <row r="16164" spans="1:7">
      <c r="A16164" t="s">
        <v>1297</v>
      </c>
      <c r="B16164" t="s">
        <v>1298</v>
      </c>
      <c r="C16164" t="s">
        <v>667</v>
      </c>
      <c r="D16164" t="s">
        <v>1471</v>
      </c>
      <c r="E16164" t="s">
        <v>187</v>
      </c>
      <c r="F16164">
        <v>2005</v>
      </c>
      <c r="G16164">
        <v>5.535E-3</v>
      </c>
    </row>
    <row r="16165" spans="1:7">
      <c r="A16165" t="s">
        <v>1297</v>
      </c>
      <c r="B16165" t="s">
        <v>1298</v>
      </c>
      <c r="C16165" t="s">
        <v>667</v>
      </c>
      <c r="D16165" t="s">
        <v>1471</v>
      </c>
      <c r="E16165" t="s">
        <v>187</v>
      </c>
      <c r="F16165">
        <v>2010</v>
      </c>
      <c r="G16165">
        <v>3.61E-2</v>
      </c>
    </row>
    <row r="16166" spans="1:7">
      <c r="A16166" t="s">
        <v>1297</v>
      </c>
      <c r="B16166" t="s">
        <v>1298</v>
      </c>
      <c r="C16166" t="s">
        <v>667</v>
      </c>
      <c r="D16166" t="s">
        <v>1471</v>
      </c>
      <c r="E16166" t="s">
        <v>187</v>
      </c>
      <c r="F16166">
        <v>2012</v>
      </c>
      <c r="G16166">
        <v>6.5422999999999995E-2</v>
      </c>
    </row>
    <row r="16167" spans="1:7">
      <c r="A16167" t="s">
        <v>1297</v>
      </c>
      <c r="B16167" t="s">
        <v>1298</v>
      </c>
      <c r="C16167" t="s">
        <v>667</v>
      </c>
      <c r="D16167" t="s">
        <v>1471</v>
      </c>
      <c r="E16167" t="s">
        <v>187</v>
      </c>
      <c r="F16167">
        <v>2016</v>
      </c>
      <c r="G16167">
        <v>0.17216600000000001</v>
      </c>
    </row>
    <row r="16168" spans="1:7">
      <c r="A16168" t="s">
        <v>1297</v>
      </c>
      <c r="B16168" t="s">
        <v>1298</v>
      </c>
      <c r="C16168" t="s">
        <v>667</v>
      </c>
      <c r="D16168" t="s">
        <v>1471</v>
      </c>
      <c r="E16168" t="s">
        <v>187</v>
      </c>
      <c r="F16168">
        <v>2020</v>
      </c>
      <c r="G16168">
        <v>5.8587E-2</v>
      </c>
    </row>
    <row r="16169" spans="1:7">
      <c r="A16169" t="s">
        <v>1297</v>
      </c>
      <c r="B16169" t="s">
        <v>1298</v>
      </c>
      <c r="C16169" t="s">
        <v>679</v>
      </c>
      <c r="D16169" t="s">
        <v>1471</v>
      </c>
      <c r="E16169" t="s">
        <v>187</v>
      </c>
      <c r="F16169">
        <v>2005</v>
      </c>
      <c r="G16169">
        <v>6.5349560000000002</v>
      </c>
    </row>
    <row r="16170" spans="1:7">
      <c r="A16170" t="s">
        <v>1297</v>
      </c>
      <c r="B16170" t="s">
        <v>1298</v>
      </c>
      <c r="C16170" t="s">
        <v>679</v>
      </c>
      <c r="D16170" t="s">
        <v>1471</v>
      </c>
      <c r="E16170" t="s">
        <v>187</v>
      </c>
      <c r="F16170">
        <v>2010</v>
      </c>
      <c r="G16170">
        <v>18.862901000000001</v>
      </c>
    </row>
    <row r="16171" spans="1:7">
      <c r="A16171" t="s">
        <v>1297</v>
      </c>
      <c r="B16171" t="s">
        <v>1298</v>
      </c>
      <c r="C16171" t="s">
        <v>679</v>
      </c>
      <c r="D16171" t="s">
        <v>1471</v>
      </c>
      <c r="E16171" t="s">
        <v>187</v>
      </c>
      <c r="F16171">
        <v>2012</v>
      </c>
      <c r="G16171">
        <v>23.510971999999999</v>
      </c>
    </row>
    <row r="16172" spans="1:7">
      <c r="A16172" t="s">
        <v>1297</v>
      </c>
      <c r="B16172" t="s">
        <v>1298</v>
      </c>
      <c r="C16172" t="s">
        <v>679</v>
      </c>
      <c r="D16172" t="s">
        <v>1471</v>
      </c>
      <c r="E16172" t="s">
        <v>187</v>
      </c>
      <c r="F16172">
        <v>2016</v>
      </c>
      <c r="G16172">
        <v>29.680261000000002</v>
      </c>
    </row>
    <row r="16173" spans="1:7">
      <c r="A16173" t="s">
        <v>1297</v>
      </c>
      <c r="B16173" t="s">
        <v>1298</v>
      </c>
      <c r="C16173" t="s">
        <v>679</v>
      </c>
      <c r="D16173" t="s">
        <v>1471</v>
      </c>
      <c r="E16173" t="s">
        <v>187</v>
      </c>
      <c r="F16173">
        <v>2020</v>
      </c>
      <c r="G16173">
        <v>34.961351999999998</v>
      </c>
    </row>
    <row r="16174" spans="1:7">
      <c r="A16174" t="s">
        <v>1297</v>
      </c>
      <c r="B16174" t="s">
        <v>1298</v>
      </c>
      <c r="C16174" t="s">
        <v>674</v>
      </c>
      <c r="D16174" t="s">
        <v>1471</v>
      </c>
      <c r="E16174" t="s">
        <v>187</v>
      </c>
      <c r="F16174">
        <v>2012</v>
      </c>
      <c r="G16174">
        <v>60.491953000000002</v>
      </c>
    </row>
    <row r="16175" spans="1:7">
      <c r="A16175" t="s">
        <v>1297</v>
      </c>
      <c r="B16175" t="s">
        <v>1298</v>
      </c>
      <c r="C16175" t="s">
        <v>674</v>
      </c>
      <c r="D16175" t="s">
        <v>1471</v>
      </c>
      <c r="E16175" t="s">
        <v>187</v>
      </c>
      <c r="F16175">
        <v>2016</v>
      </c>
      <c r="G16175">
        <v>65.868526000000003</v>
      </c>
    </row>
    <row r="16176" spans="1:7">
      <c r="A16176" t="s">
        <v>1297</v>
      </c>
      <c r="B16176" t="s">
        <v>1298</v>
      </c>
      <c r="C16176" t="s">
        <v>674</v>
      </c>
      <c r="D16176" t="s">
        <v>1471</v>
      </c>
      <c r="E16176" t="s">
        <v>187</v>
      </c>
      <c r="F16176">
        <v>2020</v>
      </c>
      <c r="G16176">
        <v>68.326999999999998</v>
      </c>
    </row>
    <row r="16177" spans="1:7">
      <c r="A16177" t="s">
        <v>1297</v>
      </c>
      <c r="B16177" t="s">
        <v>1298</v>
      </c>
      <c r="C16177" t="s">
        <v>1299</v>
      </c>
      <c r="D16177" t="s">
        <v>1472</v>
      </c>
      <c r="E16177" t="s">
        <v>187</v>
      </c>
      <c r="F16177">
        <v>2020</v>
      </c>
      <c r="G16177">
        <v>5.16E-2</v>
      </c>
    </row>
    <row r="16178" spans="1:7">
      <c r="A16178" t="s">
        <v>1297</v>
      </c>
      <c r="B16178" t="s">
        <v>1298</v>
      </c>
      <c r="C16178" t="s">
        <v>671</v>
      </c>
      <c r="D16178" t="s">
        <v>1472</v>
      </c>
      <c r="E16178" t="s">
        <v>187</v>
      </c>
      <c r="F16178">
        <v>2016</v>
      </c>
      <c r="G16178">
        <v>4.2269999999999999E-3</v>
      </c>
    </row>
    <row r="16179" spans="1:7">
      <c r="A16179" t="s">
        <v>1297</v>
      </c>
      <c r="B16179" t="s">
        <v>1298</v>
      </c>
      <c r="C16179" t="s">
        <v>671</v>
      </c>
      <c r="D16179" t="s">
        <v>1472</v>
      </c>
      <c r="E16179" t="s">
        <v>187</v>
      </c>
      <c r="F16179">
        <v>2020</v>
      </c>
      <c r="G16179">
        <v>3.1489999999999999E-3</v>
      </c>
    </row>
    <row r="16180" spans="1:7">
      <c r="A16180" t="s">
        <v>1297</v>
      </c>
      <c r="B16180" t="s">
        <v>1298</v>
      </c>
      <c r="C16180" t="s">
        <v>661</v>
      </c>
      <c r="D16180" t="s">
        <v>1472</v>
      </c>
      <c r="E16180" t="s">
        <v>187</v>
      </c>
      <c r="F16180">
        <v>2012</v>
      </c>
      <c r="G16180">
        <v>3.4838000000000001E-2</v>
      </c>
    </row>
    <row r="16181" spans="1:7">
      <c r="A16181" t="s">
        <v>1297</v>
      </c>
      <c r="B16181" t="s">
        <v>1298</v>
      </c>
      <c r="C16181" t="s">
        <v>661</v>
      </c>
      <c r="D16181" t="s">
        <v>1472</v>
      </c>
      <c r="E16181" t="s">
        <v>187</v>
      </c>
      <c r="F16181">
        <v>2016</v>
      </c>
      <c r="G16181">
        <v>0.41058600000000001</v>
      </c>
    </row>
    <row r="16182" spans="1:7">
      <c r="A16182" t="s">
        <v>1297</v>
      </c>
      <c r="B16182" t="s">
        <v>1298</v>
      </c>
      <c r="C16182" t="s">
        <v>661</v>
      </c>
      <c r="D16182" t="s">
        <v>1472</v>
      </c>
      <c r="E16182" t="s">
        <v>187</v>
      </c>
      <c r="F16182">
        <v>2020</v>
      </c>
      <c r="G16182">
        <v>0.93331600000000003</v>
      </c>
    </row>
    <row r="16183" spans="1:7">
      <c r="A16183" t="s">
        <v>1297</v>
      </c>
      <c r="B16183" t="s">
        <v>1298</v>
      </c>
      <c r="C16183" t="s">
        <v>655</v>
      </c>
      <c r="D16183" t="s">
        <v>1472</v>
      </c>
      <c r="E16183" t="s">
        <v>187</v>
      </c>
      <c r="F16183">
        <v>2010</v>
      </c>
      <c r="G16183">
        <v>9.4E-2</v>
      </c>
    </row>
    <row r="16184" spans="1:7">
      <c r="A16184" t="s">
        <v>1297</v>
      </c>
      <c r="B16184" t="s">
        <v>1298</v>
      </c>
      <c r="C16184" t="s">
        <v>655</v>
      </c>
      <c r="D16184" t="s">
        <v>1472</v>
      </c>
      <c r="E16184" t="s">
        <v>187</v>
      </c>
      <c r="F16184">
        <v>2012</v>
      </c>
      <c r="G16184">
        <v>0.08</v>
      </c>
    </row>
    <row r="16185" spans="1:7">
      <c r="A16185" t="s">
        <v>1297</v>
      </c>
      <c r="B16185" t="s">
        <v>1298</v>
      </c>
      <c r="C16185" t="s">
        <v>655</v>
      </c>
      <c r="D16185" t="s">
        <v>1472</v>
      </c>
      <c r="E16185" t="s">
        <v>187</v>
      </c>
      <c r="F16185">
        <v>2016</v>
      </c>
      <c r="G16185">
        <v>0.06</v>
      </c>
    </row>
    <row r="16186" spans="1:7">
      <c r="A16186" t="s">
        <v>1297</v>
      </c>
      <c r="B16186" t="s">
        <v>1298</v>
      </c>
      <c r="C16186" t="s">
        <v>655</v>
      </c>
      <c r="D16186" t="s">
        <v>1472</v>
      </c>
      <c r="E16186" t="s">
        <v>187</v>
      </c>
      <c r="F16186">
        <v>2020</v>
      </c>
      <c r="G16186">
        <v>0.109281</v>
      </c>
    </row>
    <row r="16187" spans="1:7">
      <c r="A16187" t="s">
        <v>1297</v>
      </c>
      <c r="B16187" t="s">
        <v>1298</v>
      </c>
      <c r="C16187" t="s">
        <v>657</v>
      </c>
      <c r="D16187" t="s">
        <v>1472</v>
      </c>
      <c r="E16187" t="s">
        <v>187</v>
      </c>
      <c r="F16187">
        <v>2005</v>
      </c>
      <c r="G16187">
        <v>6.0000000000000001E-3</v>
      </c>
    </row>
    <row r="16188" spans="1:7">
      <c r="A16188" t="s">
        <v>1297</v>
      </c>
      <c r="B16188" t="s">
        <v>1298</v>
      </c>
      <c r="C16188" t="s">
        <v>657</v>
      </c>
      <c r="D16188" t="s">
        <v>1472</v>
      </c>
      <c r="E16188" t="s">
        <v>187</v>
      </c>
      <c r="F16188">
        <v>2010</v>
      </c>
      <c r="G16188">
        <v>2.8299999999999999E-4</v>
      </c>
    </row>
    <row r="16189" spans="1:7">
      <c r="A16189" t="s">
        <v>1297</v>
      </c>
      <c r="B16189" t="s">
        <v>1298</v>
      </c>
      <c r="C16189" t="s">
        <v>657</v>
      </c>
      <c r="D16189" t="s">
        <v>1472</v>
      </c>
      <c r="E16189" t="s">
        <v>187</v>
      </c>
      <c r="F16189">
        <v>2012</v>
      </c>
      <c r="G16189">
        <v>1.6763E-2</v>
      </c>
    </row>
    <row r="16190" spans="1:7">
      <c r="A16190" t="s">
        <v>1297</v>
      </c>
      <c r="B16190" t="s">
        <v>1298</v>
      </c>
      <c r="C16190" t="s">
        <v>657</v>
      </c>
      <c r="D16190" t="s">
        <v>1472</v>
      </c>
      <c r="E16190" t="s">
        <v>187</v>
      </c>
      <c r="F16190">
        <v>2016</v>
      </c>
      <c r="G16190">
        <v>9.8246E-2</v>
      </c>
    </row>
    <row r="16191" spans="1:7">
      <c r="A16191" t="s">
        <v>1297</v>
      </c>
      <c r="B16191" t="s">
        <v>1298</v>
      </c>
      <c r="C16191" t="s">
        <v>657</v>
      </c>
      <c r="D16191" t="s">
        <v>1472</v>
      </c>
      <c r="E16191" t="s">
        <v>187</v>
      </c>
      <c r="F16191">
        <v>2020</v>
      </c>
      <c r="G16191">
        <v>0.41103499999999998</v>
      </c>
    </row>
    <row r="16192" spans="1:7">
      <c r="A16192" t="s">
        <v>1297</v>
      </c>
      <c r="B16192" t="s">
        <v>1298</v>
      </c>
      <c r="C16192" t="s">
        <v>674</v>
      </c>
      <c r="D16192" t="s">
        <v>1472</v>
      </c>
      <c r="E16192" t="s">
        <v>187</v>
      </c>
      <c r="F16192">
        <v>2012</v>
      </c>
      <c r="G16192">
        <v>15.221</v>
      </c>
    </row>
    <row r="16193" spans="1:7">
      <c r="A16193" t="s">
        <v>1297</v>
      </c>
      <c r="B16193" t="s">
        <v>1298</v>
      </c>
      <c r="C16193" t="s">
        <v>674</v>
      </c>
      <c r="D16193" t="s">
        <v>1472</v>
      </c>
      <c r="E16193" t="s">
        <v>187</v>
      </c>
      <c r="F16193">
        <v>2016</v>
      </c>
      <c r="G16193">
        <v>12.048999999999999</v>
      </c>
    </row>
    <row r="16194" spans="1:7">
      <c r="A16194" t="s">
        <v>1297</v>
      </c>
      <c r="B16194" t="s">
        <v>1298</v>
      </c>
      <c r="C16194" t="s">
        <v>674</v>
      </c>
      <c r="D16194" t="s">
        <v>1472</v>
      </c>
      <c r="E16194" t="s">
        <v>187</v>
      </c>
      <c r="F16194">
        <v>2020</v>
      </c>
      <c r="G16194">
        <v>11.74</v>
      </c>
    </row>
    <row r="16195" spans="1:7">
      <c r="A16195" t="s">
        <v>1297</v>
      </c>
      <c r="B16195" t="s">
        <v>1298</v>
      </c>
      <c r="C16195" t="s">
        <v>679</v>
      </c>
      <c r="D16195" t="s">
        <v>1472</v>
      </c>
      <c r="E16195" t="s">
        <v>187</v>
      </c>
      <c r="F16195">
        <v>2005</v>
      </c>
      <c r="G16195">
        <v>0.30959999999999999</v>
      </c>
    </row>
    <row r="16196" spans="1:7">
      <c r="A16196" t="s">
        <v>1297</v>
      </c>
      <c r="B16196" t="s">
        <v>1298</v>
      </c>
      <c r="C16196" t="s">
        <v>679</v>
      </c>
      <c r="D16196" t="s">
        <v>1472</v>
      </c>
      <c r="E16196" t="s">
        <v>187</v>
      </c>
      <c r="F16196">
        <v>2010</v>
      </c>
      <c r="G16196">
        <v>0.81072</v>
      </c>
    </row>
    <row r="16197" spans="1:7">
      <c r="A16197" t="s">
        <v>1297</v>
      </c>
      <c r="B16197" t="s">
        <v>1298</v>
      </c>
      <c r="C16197" t="s">
        <v>679</v>
      </c>
      <c r="D16197" t="s">
        <v>1472</v>
      </c>
      <c r="E16197" t="s">
        <v>187</v>
      </c>
      <c r="F16197">
        <v>2012</v>
      </c>
      <c r="G16197">
        <v>0.85355999999999999</v>
      </c>
    </row>
    <row r="16198" spans="1:7">
      <c r="A16198" t="s">
        <v>1297</v>
      </c>
      <c r="B16198" t="s">
        <v>1298</v>
      </c>
      <c r="C16198" t="s">
        <v>679</v>
      </c>
      <c r="D16198" t="s">
        <v>1472</v>
      </c>
      <c r="E16198" t="s">
        <v>187</v>
      </c>
      <c r="F16198">
        <v>2016</v>
      </c>
      <c r="G16198">
        <v>1.22472</v>
      </c>
    </row>
    <row r="16199" spans="1:7">
      <c r="A16199" t="s">
        <v>1297</v>
      </c>
      <c r="B16199" t="s">
        <v>1298</v>
      </c>
      <c r="C16199" t="s">
        <v>679</v>
      </c>
      <c r="D16199" t="s">
        <v>1472</v>
      </c>
      <c r="E16199" t="s">
        <v>187</v>
      </c>
      <c r="F16199">
        <v>2020</v>
      </c>
      <c r="G16199">
        <v>1.565183</v>
      </c>
    </row>
    <row r="16200" spans="1:7">
      <c r="A16200" t="s">
        <v>1297</v>
      </c>
      <c r="B16200" t="s">
        <v>1298</v>
      </c>
      <c r="C16200" t="s">
        <v>676</v>
      </c>
      <c r="D16200" t="s">
        <v>1472</v>
      </c>
      <c r="E16200" t="s">
        <v>187</v>
      </c>
      <c r="F16200">
        <v>2020</v>
      </c>
      <c r="G16200">
        <v>5.0000000000000001E-3</v>
      </c>
    </row>
    <row r="16201" spans="1:7">
      <c r="A16201" t="s">
        <v>1297</v>
      </c>
      <c r="B16201" t="s">
        <v>1298</v>
      </c>
      <c r="C16201" t="s">
        <v>673</v>
      </c>
      <c r="D16201" t="s">
        <v>1473</v>
      </c>
      <c r="E16201" t="s">
        <v>187</v>
      </c>
      <c r="F16201">
        <v>2005</v>
      </c>
      <c r="G16201">
        <v>1E-3</v>
      </c>
    </row>
    <row r="16202" spans="1:7">
      <c r="A16202" t="s">
        <v>1297</v>
      </c>
      <c r="B16202" t="s">
        <v>1298</v>
      </c>
      <c r="C16202" t="s">
        <v>666</v>
      </c>
      <c r="D16202" t="s">
        <v>1473</v>
      </c>
      <c r="E16202" t="s">
        <v>187</v>
      </c>
      <c r="F16202">
        <v>2020</v>
      </c>
      <c r="G16202">
        <v>7.0000000000000001E-3</v>
      </c>
    </row>
    <row r="16203" spans="1:7">
      <c r="A16203" t="s">
        <v>1297</v>
      </c>
      <c r="B16203" t="s">
        <v>1298</v>
      </c>
      <c r="C16203" t="s">
        <v>676</v>
      </c>
      <c r="D16203" t="s">
        <v>1473</v>
      </c>
      <c r="E16203" t="s">
        <v>187</v>
      </c>
      <c r="F16203">
        <v>2010</v>
      </c>
      <c r="G16203">
        <v>5.7000000000000002E-2</v>
      </c>
    </row>
    <row r="16204" spans="1:7">
      <c r="A16204" t="s">
        <v>1297</v>
      </c>
      <c r="B16204" t="s">
        <v>1298</v>
      </c>
      <c r="C16204" t="s">
        <v>674</v>
      </c>
      <c r="D16204" t="s">
        <v>1474</v>
      </c>
      <c r="E16204" t="s">
        <v>187</v>
      </c>
      <c r="F16204">
        <v>2010</v>
      </c>
      <c r="G16204">
        <v>1E-3</v>
      </c>
    </row>
    <row r="16205" spans="1:7">
      <c r="A16205" t="s">
        <v>1297</v>
      </c>
      <c r="B16205" t="s">
        <v>1298</v>
      </c>
      <c r="C16205" t="s">
        <v>674</v>
      </c>
      <c r="D16205" t="s">
        <v>1474</v>
      </c>
      <c r="E16205" t="s">
        <v>187</v>
      </c>
      <c r="F16205">
        <v>2012</v>
      </c>
      <c r="G16205">
        <v>8.0000000000000002E-3</v>
      </c>
    </row>
    <row r="16206" spans="1:7">
      <c r="A16206" t="s">
        <v>1297</v>
      </c>
      <c r="B16206" t="s">
        <v>1298</v>
      </c>
      <c r="C16206" t="s">
        <v>674</v>
      </c>
      <c r="D16206" t="s">
        <v>1474</v>
      </c>
      <c r="E16206" t="s">
        <v>187</v>
      </c>
      <c r="F16206">
        <v>2020</v>
      </c>
      <c r="G16206">
        <v>7.0000000000000001E-3</v>
      </c>
    </row>
    <row r="16207" spans="1:7">
      <c r="A16207" t="s">
        <v>1297</v>
      </c>
      <c r="B16207" t="s">
        <v>1298</v>
      </c>
      <c r="C16207" t="s">
        <v>670</v>
      </c>
      <c r="D16207" t="s">
        <v>1474</v>
      </c>
      <c r="E16207" t="s">
        <v>187</v>
      </c>
      <c r="F16207">
        <v>2012</v>
      </c>
      <c r="G16207">
        <v>1.1559999999999999</v>
      </c>
    </row>
    <row r="16208" spans="1:7">
      <c r="A16208" t="s">
        <v>1297</v>
      </c>
      <c r="B16208" t="s">
        <v>1298</v>
      </c>
      <c r="C16208" t="s">
        <v>670</v>
      </c>
      <c r="D16208" t="s">
        <v>1474</v>
      </c>
      <c r="E16208" t="s">
        <v>187</v>
      </c>
      <c r="F16208">
        <v>2016</v>
      </c>
      <c r="G16208">
        <v>1.208</v>
      </c>
    </row>
    <row r="16209" spans="1:7">
      <c r="A16209" t="s">
        <v>1297</v>
      </c>
      <c r="B16209" t="s">
        <v>1298</v>
      </c>
      <c r="C16209" t="s">
        <v>670</v>
      </c>
      <c r="D16209" t="s">
        <v>1474</v>
      </c>
      <c r="E16209" t="s">
        <v>187</v>
      </c>
      <c r="F16209">
        <v>2020</v>
      </c>
      <c r="G16209">
        <v>1.5134000000000001</v>
      </c>
    </row>
    <row r="16210" spans="1:7">
      <c r="A16210" t="s">
        <v>1297</v>
      </c>
      <c r="B16210" t="s">
        <v>1298</v>
      </c>
      <c r="C16210" t="s">
        <v>665</v>
      </c>
      <c r="D16210" t="s">
        <v>1475</v>
      </c>
      <c r="E16210" t="s">
        <v>187</v>
      </c>
      <c r="F16210">
        <v>2005</v>
      </c>
      <c r="G16210">
        <v>2.6</v>
      </c>
    </row>
    <row r="16211" spans="1:7">
      <c r="A16211" t="s">
        <v>1297</v>
      </c>
      <c r="B16211" t="s">
        <v>1298</v>
      </c>
      <c r="C16211" t="s">
        <v>665</v>
      </c>
      <c r="D16211" t="s">
        <v>1475</v>
      </c>
      <c r="E16211" t="s">
        <v>187</v>
      </c>
      <c r="F16211">
        <v>2010</v>
      </c>
      <c r="G16211">
        <v>9.3249999999999993</v>
      </c>
    </row>
    <row r="16212" spans="1:7">
      <c r="A16212" t="s">
        <v>1297</v>
      </c>
      <c r="B16212" t="s">
        <v>1298</v>
      </c>
      <c r="C16212" t="s">
        <v>665</v>
      </c>
      <c r="D16212" t="s">
        <v>1475</v>
      </c>
      <c r="E16212" t="s">
        <v>187</v>
      </c>
      <c r="F16212">
        <v>2012</v>
      </c>
      <c r="G16212">
        <v>11.750999999999999</v>
      </c>
    </row>
    <row r="16213" spans="1:7">
      <c r="A16213" t="s">
        <v>1297</v>
      </c>
      <c r="B16213" t="s">
        <v>1298</v>
      </c>
      <c r="C16213" t="s">
        <v>665</v>
      </c>
      <c r="D16213" t="s">
        <v>1475</v>
      </c>
      <c r="E16213" t="s">
        <v>187</v>
      </c>
      <c r="F16213">
        <v>2016</v>
      </c>
      <c r="G16213">
        <v>11.574999999999999</v>
      </c>
    </row>
    <row r="16214" spans="1:7">
      <c r="A16214" t="s">
        <v>1297</v>
      </c>
      <c r="B16214" t="s">
        <v>1298</v>
      </c>
      <c r="C16214" t="s">
        <v>665</v>
      </c>
      <c r="D16214" t="s">
        <v>1475</v>
      </c>
      <c r="E16214" t="s">
        <v>187</v>
      </c>
      <c r="F16214">
        <v>2020</v>
      </c>
      <c r="G16214">
        <v>11.873585</v>
      </c>
    </row>
    <row r="16215" spans="1:7">
      <c r="A16215" t="s">
        <v>1297</v>
      </c>
      <c r="B16215" t="s">
        <v>1298</v>
      </c>
      <c r="C16215" t="s">
        <v>289</v>
      </c>
      <c r="D16215" t="s">
        <v>1475</v>
      </c>
      <c r="E16215" t="s">
        <v>187</v>
      </c>
      <c r="F16215">
        <v>2005</v>
      </c>
      <c r="G16215">
        <v>0.17599999999999999</v>
      </c>
    </row>
    <row r="16216" spans="1:7">
      <c r="A16216" t="s">
        <v>1297</v>
      </c>
      <c r="B16216" t="s">
        <v>1298</v>
      </c>
      <c r="C16216" t="s">
        <v>289</v>
      </c>
      <c r="D16216" t="s">
        <v>1475</v>
      </c>
      <c r="E16216" t="s">
        <v>187</v>
      </c>
      <c r="F16216">
        <v>2010</v>
      </c>
      <c r="G16216">
        <v>0.31900000000000001</v>
      </c>
    </row>
    <row r="16217" spans="1:7">
      <c r="A16217" t="s">
        <v>1297</v>
      </c>
      <c r="B16217" t="s">
        <v>1298</v>
      </c>
      <c r="C16217" t="s">
        <v>289</v>
      </c>
      <c r="D16217" t="s">
        <v>1475</v>
      </c>
      <c r="E16217" t="s">
        <v>187</v>
      </c>
      <c r="F16217">
        <v>2012</v>
      </c>
      <c r="G16217">
        <v>0.34100000000000003</v>
      </c>
    </row>
    <row r="16218" spans="1:7">
      <c r="A16218" t="s">
        <v>1297</v>
      </c>
      <c r="B16218" t="s">
        <v>1298</v>
      </c>
      <c r="C16218" t="s">
        <v>289</v>
      </c>
      <c r="D16218" t="s">
        <v>1475</v>
      </c>
      <c r="E16218" t="s">
        <v>187</v>
      </c>
      <c r="F16218">
        <v>2016</v>
      </c>
      <c r="G16218">
        <v>0.42499999999999999</v>
      </c>
    </row>
    <row r="16219" spans="1:7">
      <c r="A16219" t="s">
        <v>1297</v>
      </c>
      <c r="B16219" t="s">
        <v>1298</v>
      </c>
      <c r="C16219" t="s">
        <v>289</v>
      </c>
      <c r="D16219" t="s">
        <v>1475</v>
      </c>
      <c r="E16219" t="s">
        <v>187</v>
      </c>
      <c r="F16219">
        <v>2020</v>
      </c>
      <c r="G16219">
        <v>1.1289</v>
      </c>
    </row>
    <row r="16220" spans="1:7">
      <c r="A16220" t="s">
        <v>1297</v>
      </c>
      <c r="B16220" t="s">
        <v>1298</v>
      </c>
      <c r="C16220" t="s">
        <v>671</v>
      </c>
      <c r="D16220" t="s">
        <v>1475</v>
      </c>
      <c r="E16220" t="s">
        <v>187</v>
      </c>
      <c r="F16220">
        <v>2005</v>
      </c>
      <c r="G16220">
        <v>5.6879999999999997</v>
      </c>
    </row>
    <row r="16221" spans="1:7">
      <c r="A16221" t="s">
        <v>1297</v>
      </c>
      <c r="B16221" t="s">
        <v>1298</v>
      </c>
      <c r="C16221" t="s">
        <v>652</v>
      </c>
      <c r="D16221" t="s">
        <v>1475</v>
      </c>
      <c r="E16221" t="s">
        <v>187</v>
      </c>
      <c r="F16221">
        <v>2005</v>
      </c>
      <c r="G16221">
        <v>4.9420000000000002</v>
      </c>
    </row>
    <row r="16222" spans="1:7">
      <c r="A16222" t="s">
        <v>1297</v>
      </c>
      <c r="B16222" t="s">
        <v>1298</v>
      </c>
      <c r="C16222" t="s">
        <v>652</v>
      </c>
      <c r="D16222" t="s">
        <v>1475</v>
      </c>
      <c r="E16222" t="s">
        <v>187</v>
      </c>
      <c r="F16222">
        <v>2010</v>
      </c>
      <c r="G16222">
        <v>7.6982999999999997</v>
      </c>
    </row>
    <row r="16223" spans="1:7">
      <c r="A16223" t="s">
        <v>1297</v>
      </c>
      <c r="B16223" t="s">
        <v>1298</v>
      </c>
      <c r="C16223" t="s">
        <v>652</v>
      </c>
      <c r="D16223" t="s">
        <v>1475</v>
      </c>
      <c r="E16223" t="s">
        <v>187</v>
      </c>
      <c r="F16223">
        <v>2012</v>
      </c>
      <c r="G16223">
        <v>6.7683</v>
      </c>
    </row>
    <row r="16224" spans="1:7">
      <c r="A16224" t="s">
        <v>1297</v>
      </c>
      <c r="B16224" t="s">
        <v>1298</v>
      </c>
      <c r="C16224" t="s">
        <v>652</v>
      </c>
      <c r="D16224" t="s">
        <v>1475</v>
      </c>
      <c r="E16224" t="s">
        <v>187</v>
      </c>
      <c r="F16224">
        <v>2016</v>
      </c>
      <c r="G16224">
        <v>5.9474999999999998</v>
      </c>
    </row>
    <row r="16225" spans="1:7">
      <c r="A16225" t="s">
        <v>1297</v>
      </c>
      <c r="B16225" t="s">
        <v>1298</v>
      </c>
      <c r="C16225" t="s">
        <v>652</v>
      </c>
      <c r="D16225" t="s">
        <v>1475</v>
      </c>
      <c r="E16225" t="s">
        <v>187</v>
      </c>
      <c r="F16225">
        <v>2020</v>
      </c>
      <c r="G16225">
        <v>5.6939000000000002</v>
      </c>
    </row>
    <row r="16226" spans="1:7">
      <c r="A16226" t="s">
        <v>1297</v>
      </c>
      <c r="B16226" t="s">
        <v>1298</v>
      </c>
      <c r="C16226" t="s">
        <v>671</v>
      </c>
      <c r="D16226" t="s">
        <v>1475</v>
      </c>
      <c r="E16226" t="s">
        <v>187</v>
      </c>
      <c r="F16226">
        <v>2010</v>
      </c>
      <c r="G16226">
        <v>15.807</v>
      </c>
    </row>
    <row r="16227" spans="1:7">
      <c r="A16227" t="s">
        <v>1297</v>
      </c>
      <c r="B16227" t="s">
        <v>1298</v>
      </c>
      <c r="C16227" t="s">
        <v>671</v>
      </c>
      <c r="D16227" t="s">
        <v>1475</v>
      </c>
      <c r="E16227" t="s">
        <v>187</v>
      </c>
      <c r="F16227">
        <v>2012</v>
      </c>
      <c r="G16227">
        <v>16.733000000000001</v>
      </c>
    </row>
    <row r="16228" spans="1:7">
      <c r="A16228" t="s">
        <v>1297</v>
      </c>
      <c r="B16228" t="s">
        <v>1298</v>
      </c>
      <c r="C16228" t="s">
        <v>671</v>
      </c>
      <c r="D16228" t="s">
        <v>1475</v>
      </c>
      <c r="E16228" t="s">
        <v>187</v>
      </c>
      <c r="F16228">
        <v>2016</v>
      </c>
      <c r="G16228">
        <v>26.308</v>
      </c>
    </row>
    <row r="16229" spans="1:7">
      <c r="A16229" t="s">
        <v>1297</v>
      </c>
      <c r="B16229" t="s">
        <v>1298</v>
      </c>
      <c r="C16229" t="s">
        <v>671</v>
      </c>
      <c r="D16229" t="s">
        <v>1475</v>
      </c>
      <c r="E16229" t="s">
        <v>187</v>
      </c>
      <c r="F16229">
        <v>2020</v>
      </c>
      <c r="G16229">
        <v>34.140917999999999</v>
      </c>
    </row>
    <row r="16230" spans="1:7">
      <c r="A16230" t="s">
        <v>1297</v>
      </c>
      <c r="B16230" t="s">
        <v>1298</v>
      </c>
      <c r="C16230" t="s">
        <v>663</v>
      </c>
      <c r="D16230" t="s">
        <v>1475</v>
      </c>
      <c r="E16230" t="s">
        <v>187</v>
      </c>
      <c r="F16230">
        <v>2005</v>
      </c>
      <c r="G16230">
        <v>1.0780000000000001</v>
      </c>
    </row>
    <row r="16231" spans="1:7">
      <c r="A16231" t="s">
        <v>1297</v>
      </c>
      <c r="B16231" t="s">
        <v>1298</v>
      </c>
      <c r="C16231" t="s">
        <v>663</v>
      </c>
      <c r="D16231" t="s">
        <v>1475</v>
      </c>
      <c r="E16231" t="s">
        <v>187</v>
      </c>
      <c r="F16231">
        <v>2010</v>
      </c>
      <c r="G16231">
        <v>1.3340000000000001</v>
      </c>
    </row>
    <row r="16232" spans="1:7">
      <c r="A16232" t="s">
        <v>1297</v>
      </c>
      <c r="B16232" t="s">
        <v>1298</v>
      </c>
      <c r="C16232" t="s">
        <v>663</v>
      </c>
      <c r="D16232" t="s">
        <v>1475</v>
      </c>
      <c r="E16232" t="s">
        <v>187</v>
      </c>
      <c r="F16232">
        <v>2012</v>
      </c>
      <c r="G16232">
        <v>1.331</v>
      </c>
    </row>
    <row r="16233" spans="1:7">
      <c r="A16233" t="s">
        <v>1297</v>
      </c>
      <c r="B16233" t="s">
        <v>1298</v>
      </c>
      <c r="C16233" t="s">
        <v>663</v>
      </c>
      <c r="D16233" t="s">
        <v>1475</v>
      </c>
      <c r="E16233" t="s">
        <v>187</v>
      </c>
      <c r="F16233">
        <v>2016</v>
      </c>
      <c r="G16233">
        <v>2.5739999999999998</v>
      </c>
    </row>
    <row r="16234" spans="1:7">
      <c r="A16234" t="s">
        <v>1297</v>
      </c>
      <c r="B16234" t="s">
        <v>1298</v>
      </c>
      <c r="C16234" t="s">
        <v>663</v>
      </c>
      <c r="D16234" t="s">
        <v>1475</v>
      </c>
      <c r="E16234" t="s">
        <v>187</v>
      </c>
      <c r="F16234">
        <v>2020</v>
      </c>
      <c r="G16234">
        <v>4.6779999999999999</v>
      </c>
    </row>
    <row r="16235" spans="1:7">
      <c r="A16235" t="s">
        <v>1297</v>
      </c>
      <c r="B16235" t="s">
        <v>1298</v>
      </c>
      <c r="C16235" t="s">
        <v>661</v>
      </c>
      <c r="D16235" t="s">
        <v>1475</v>
      </c>
      <c r="E16235" t="s">
        <v>187</v>
      </c>
      <c r="F16235">
        <v>2010</v>
      </c>
      <c r="G16235">
        <v>0.11695899999999999</v>
      </c>
    </row>
    <row r="16236" spans="1:7">
      <c r="A16236" t="s">
        <v>1297</v>
      </c>
      <c r="B16236" t="s">
        <v>1298</v>
      </c>
      <c r="C16236" t="s">
        <v>661</v>
      </c>
      <c r="D16236" t="s">
        <v>1475</v>
      </c>
      <c r="E16236" t="s">
        <v>187</v>
      </c>
      <c r="F16236">
        <v>2012</v>
      </c>
      <c r="G16236">
        <v>14.207210999999999</v>
      </c>
    </row>
    <row r="16237" spans="1:7">
      <c r="A16237" t="s">
        <v>1297</v>
      </c>
      <c r="B16237" t="s">
        <v>1298</v>
      </c>
      <c r="C16237" t="s">
        <v>661</v>
      </c>
      <c r="D16237" t="s">
        <v>1475</v>
      </c>
      <c r="E16237" t="s">
        <v>187</v>
      </c>
      <c r="F16237">
        <v>2016</v>
      </c>
      <c r="G16237">
        <v>16.623815</v>
      </c>
    </row>
    <row r="16238" spans="1:7">
      <c r="A16238" t="s">
        <v>1297</v>
      </c>
      <c r="B16238" t="s">
        <v>1298</v>
      </c>
      <c r="C16238" t="s">
        <v>661</v>
      </c>
      <c r="D16238" t="s">
        <v>1475</v>
      </c>
      <c r="E16238" t="s">
        <v>187</v>
      </c>
      <c r="F16238">
        <v>2020</v>
      </c>
      <c r="G16238">
        <v>16.330259000000002</v>
      </c>
    </row>
    <row r="16239" spans="1:7">
      <c r="A16239" t="s">
        <v>1297</v>
      </c>
      <c r="B16239" t="s">
        <v>1298</v>
      </c>
      <c r="C16239" t="s">
        <v>656</v>
      </c>
      <c r="D16239" t="s">
        <v>1475</v>
      </c>
      <c r="E16239" t="s">
        <v>187</v>
      </c>
      <c r="F16239">
        <v>2005</v>
      </c>
      <c r="G16239">
        <v>10.288</v>
      </c>
    </row>
    <row r="16240" spans="1:7">
      <c r="A16240" t="s">
        <v>1297</v>
      </c>
      <c r="B16240" t="s">
        <v>1298</v>
      </c>
      <c r="C16240" t="s">
        <v>656</v>
      </c>
      <c r="D16240" t="s">
        <v>1475</v>
      </c>
      <c r="E16240" t="s">
        <v>187</v>
      </c>
      <c r="F16240">
        <v>2010</v>
      </c>
      <c r="G16240">
        <v>39.04</v>
      </c>
    </row>
    <row r="16241" spans="1:7">
      <c r="A16241" t="s">
        <v>1297</v>
      </c>
      <c r="B16241" t="s">
        <v>1298</v>
      </c>
      <c r="C16241" t="s">
        <v>656</v>
      </c>
      <c r="D16241" t="s">
        <v>1475</v>
      </c>
      <c r="E16241" t="s">
        <v>187</v>
      </c>
      <c r="F16241">
        <v>2012</v>
      </c>
      <c r="G16241">
        <v>37.713000000000001</v>
      </c>
    </row>
    <row r="16242" spans="1:7">
      <c r="A16242" t="s">
        <v>1297</v>
      </c>
      <c r="B16242" t="s">
        <v>1298</v>
      </c>
      <c r="C16242" t="s">
        <v>656</v>
      </c>
      <c r="D16242" t="s">
        <v>1475</v>
      </c>
      <c r="E16242" t="s">
        <v>187</v>
      </c>
      <c r="F16242">
        <v>2016</v>
      </c>
      <c r="G16242">
        <v>47.411999999999999</v>
      </c>
    </row>
    <row r="16243" spans="1:7">
      <c r="A16243" t="s">
        <v>1297</v>
      </c>
      <c r="B16243" t="s">
        <v>1298</v>
      </c>
      <c r="C16243" t="s">
        <v>656</v>
      </c>
      <c r="D16243" t="s">
        <v>1475</v>
      </c>
      <c r="E16243" t="s">
        <v>187</v>
      </c>
      <c r="F16243">
        <v>2020</v>
      </c>
      <c r="G16243">
        <v>53.328000000000003</v>
      </c>
    </row>
    <row r="16244" spans="1:7">
      <c r="A16244" t="s">
        <v>1297</v>
      </c>
      <c r="B16244" t="s">
        <v>1298</v>
      </c>
      <c r="C16244" t="s">
        <v>662</v>
      </c>
      <c r="D16244" t="s">
        <v>1475</v>
      </c>
      <c r="E16244" t="s">
        <v>187</v>
      </c>
      <c r="F16244">
        <v>2016</v>
      </c>
      <c r="G16244">
        <v>1.153</v>
      </c>
    </row>
    <row r="16245" spans="1:7">
      <c r="A16245" t="s">
        <v>1297</v>
      </c>
      <c r="B16245" t="s">
        <v>1298</v>
      </c>
      <c r="C16245" t="s">
        <v>651</v>
      </c>
      <c r="D16245" t="s">
        <v>1475</v>
      </c>
      <c r="E16245" t="s">
        <v>187</v>
      </c>
      <c r="F16245">
        <v>2010</v>
      </c>
      <c r="G16245">
        <v>9.4924549999999996</v>
      </c>
    </row>
    <row r="16246" spans="1:7">
      <c r="A16246" t="s">
        <v>1297</v>
      </c>
      <c r="B16246" t="s">
        <v>1298</v>
      </c>
      <c r="C16246" t="s">
        <v>651</v>
      </c>
      <c r="D16246" t="s">
        <v>1475</v>
      </c>
      <c r="E16246" t="s">
        <v>187</v>
      </c>
      <c r="F16246">
        <v>2012</v>
      </c>
      <c r="G16246">
        <v>9.7110730000000007</v>
      </c>
    </row>
    <row r="16247" spans="1:7">
      <c r="A16247" t="s">
        <v>1297</v>
      </c>
      <c r="B16247" t="s">
        <v>1298</v>
      </c>
      <c r="C16247" t="s">
        <v>651</v>
      </c>
      <c r="D16247" t="s">
        <v>1475</v>
      </c>
      <c r="E16247" t="s">
        <v>187</v>
      </c>
      <c r="F16247">
        <v>2016</v>
      </c>
      <c r="G16247">
        <v>11.194917</v>
      </c>
    </row>
    <row r="16248" spans="1:7">
      <c r="A16248" t="s">
        <v>1297</v>
      </c>
      <c r="B16248" t="s">
        <v>1298</v>
      </c>
      <c r="C16248" t="s">
        <v>651</v>
      </c>
      <c r="D16248" t="s">
        <v>1475</v>
      </c>
      <c r="E16248" t="s">
        <v>187</v>
      </c>
      <c r="F16248">
        <v>2020</v>
      </c>
      <c r="G16248">
        <v>12.170500000000001</v>
      </c>
    </row>
    <row r="16249" spans="1:7">
      <c r="A16249" t="s">
        <v>1297</v>
      </c>
      <c r="B16249" t="s">
        <v>1298</v>
      </c>
      <c r="C16249" t="s">
        <v>673</v>
      </c>
      <c r="D16249" t="s">
        <v>1475</v>
      </c>
      <c r="E16249" t="s">
        <v>187</v>
      </c>
      <c r="F16249">
        <v>2005</v>
      </c>
      <c r="G16249">
        <v>2.4710000000000001</v>
      </c>
    </row>
    <row r="16250" spans="1:7">
      <c r="A16250" t="s">
        <v>1297</v>
      </c>
      <c r="B16250" t="s">
        <v>1298</v>
      </c>
      <c r="C16250" t="s">
        <v>673</v>
      </c>
      <c r="D16250" t="s">
        <v>1475</v>
      </c>
      <c r="E16250" t="s">
        <v>187</v>
      </c>
      <c r="F16250">
        <v>2010</v>
      </c>
      <c r="G16250">
        <v>1.284</v>
      </c>
    </row>
    <row r="16251" spans="1:7">
      <c r="A16251" t="s">
        <v>1297</v>
      </c>
      <c r="B16251" t="s">
        <v>1298</v>
      </c>
      <c r="C16251" t="s">
        <v>673</v>
      </c>
      <c r="D16251" t="s">
        <v>1475</v>
      </c>
      <c r="E16251" t="s">
        <v>187</v>
      </c>
      <c r="F16251">
        <v>2012</v>
      </c>
      <c r="G16251">
        <v>1.1379999999999999</v>
      </c>
    </row>
    <row r="16252" spans="1:7">
      <c r="A16252" t="s">
        <v>1297</v>
      </c>
      <c r="B16252" t="s">
        <v>1298</v>
      </c>
      <c r="C16252" t="s">
        <v>673</v>
      </c>
      <c r="D16252" t="s">
        <v>1475</v>
      </c>
      <c r="E16252" t="s">
        <v>187</v>
      </c>
      <c r="F16252">
        <v>2016</v>
      </c>
      <c r="G16252">
        <v>3.069</v>
      </c>
    </row>
    <row r="16253" spans="1:7">
      <c r="A16253" t="s">
        <v>1297</v>
      </c>
      <c r="B16253" t="s">
        <v>1298</v>
      </c>
      <c r="C16253" t="s">
        <v>673</v>
      </c>
      <c r="D16253" t="s">
        <v>1475</v>
      </c>
      <c r="E16253" t="s">
        <v>187</v>
      </c>
      <c r="F16253">
        <v>2020</v>
      </c>
      <c r="G16253">
        <v>6.2699069999999999</v>
      </c>
    </row>
    <row r="16254" spans="1:7">
      <c r="A16254" t="s">
        <v>1297</v>
      </c>
      <c r="B16254" t="s">
        <v>1298</v>
      </c>
      <c r="C16254" t="s">
        <v>676</v>
      </c>
      <c r="D16254" t="s">
        <v>1475</v>
      </c>
      <c r="E16254" t="s">
        <v>187</v>
      </c>
      <c r="F16254">
        <v>2005</v>
      </c>
      <c r="G16254">
        <v>0.85099999999999998</v>
      </c>
    </row>
    <row r="16255" spans="1:7">
      <c r="A16255" t="s">
        <v>1297</v>
      </c>
      <c r="B16255" t="s">
        <v>1298</v>
      </c>
      <c r="C16255" t="s">
        <v>676</v>
      </c>
      <c r="D16255" t="s">
        <v>1475</v>
      </c>
      <c r="E16255" t="s">
        <v>187</v>
      </c>
      <c r="F16255">
        <v>2010</v>
      </c>
      <c r="G16255">
        <v>0.54600000000000004</v>
      </c>
    </row>
    <row r="16256" spans="1:7">
      <c r="A16256" t="s">
        <v>1297</v>
      </c>
      <c r="B16256" t="s">
        <v>1298</v>
      </c>
      <c r="C16256" t="s">
        <v>676</v>
      </c>
      <c r="D16256" t="s">
        <v>1475</v>
      </c>
      <c r="E16256" t="s">
        <v>187</v>
      </c>
      <c r="F16256">
        <v>2012</v>
      </c>
      <c r="G16256">
        <v>0.86399999999999999</v>
      </c>
    </row>
    <row r="16257" spans="1:7">
      <c r="A16257" t="s">
        <v>1297</v>
      </c>
      <c r="B16257" t="s">
        <v>1298</v>
      </c>
      <c r="C16257" t="s">
        <v>676</v>
      </c>
      <c r="D16257" t="s">
        <v>1475</v>
      </c>
      <c r="E16257" t="s">
        <v>187</v>
      </c>
      <c r="F16257">
        <v>2016</v>
      </c>
      <c r="G16257">
        <v>7.5339999999999998</v>
      </c>
    </row>
    <row r="16258" spans="1:7">
      <c r="A16258" t="s">
        <v>1297</v>
      </c>
      <c r="B16258" t="s">
        <v>1298</v>
      </c>
      <c r="C16258" t="s">
        <v>676</v>
      </c>
      <c r="D16258" t="s">
        <v>1475</v>
      </c>
      <c r="E16258" t="s">
        <v>187</v>
      </c>
      <c r="F16258">
        <v>2020</v>
      </c>
      <c r="G16258">
        <v>7.6559999999999997</v>
      </c>
    </row>
    <row r="16259" spans="1:7">
      <c r="A16259" t="s">
        <v>1297</v>
      </c>
      <c r="B16259" t="s">
        <v>1298</v>
      </c>
      <c r="C16259" t="s">
        <v>655</v>
      </c>
      <c r="D16259" t="s">
        <v>1475</v>
      </c>
      <c r="E16259" t="s">
        <v>187</v>
      </c>
      <c r="F16259">
        <v>2005</v>
      </c>
      <c r="G16259">
        <v>4.859</v>
      </c>
    </row>
    <row r="16260" spans="1:7">
      <c r="A16260" t="s">
        <v>1297</v>
      </c>
      <c r="B16260" t="s">
        <v>1298</v>
      </c>
      <c r="C16260" t="s">
        <v>655</v>
      </c>
      <c r="D16260" t="s">
        <v>1475</v>
      </c>
      <c r="E16260" t="s">
        <v>187</v>
      </c>
      <c r="F16260">
        <v>2010</v>
      </c>
      <c r="G16260">
        <v>5.6609999999999996</v>
      </c>
    </row>
    <row r="16261" spans="1:7">
      <c r="A16261" t="s">
        <v>1297</v>
      </c>
      <c r="B16261" t="s">
        <v>1298</v>
      </c>
      <c r="C16261" t="s">
        <v>655</v>
      </c>
      <c r="D16261" t="s">
        <v>1475</v>
      </c>
      <c r="E16261" t="s">
        <v>187</v>
      </c>
      <c r="F16261">
        <v>2012</v>
      </c>
      <c r="G16261">
        <v>6.0090000000000003</v>
      </c>
    </row>
    <row r="16262" spans="1:7">
      <c r="A16262" t="s">
        <v>1297</v>
      </c>
      <c r="B16262" t="s">
        <v>1298</v>
      </c>
      <c r="C16262" t="s">
        <v>655</v>
      </c>
      <c r="D16262" t="s">
        <v>1475</v>
      </c>
      <c r="E16262" t="s">
        <v>187</v>
      </c>
      <c r="F16262">
        <v>2016</v>
      </c>
      <c r="G16262">
        <v>9.077</v>
      </c>
    </row>
    <row r="16263" spans="1:7">
      <c r="A16263" t="s">
        <v>1297</v>
      </c>
      <c r="B16263" t="s">
        <v>1298</v>
      </c>
      <c r="C16263" t="s">
        <v>655</v>
      </c>
      <c r="D16263" t="s">
        <v>1475</v>
      </c>
      <c r="E16263" t="s">
        <v>187</v>
      </c>
      <c r="F16263">
        <v>2020</v>
      </c>
      <c r="G16263">
        <v>11.034306000000001</v>
      </c>
    </row>
    <row r="16264" spans="1:7">
      <c r="A16264" t="s">
        <v>1297</v>
      </c>
      <c r="B16264" t="s">
        <v>1298</v>
      </c>
      <c r="C16264" t="s">
        <v>658</v>
      </c>
      <c r="D16264" t="s">
        <v>1475</v>
      </c>
      <c r="E16264" t="s">
        <v>187</v>
      </c>
      <c r="F16264">
        <v>2016</v>
      </c>
      <c r="G16264">
        <v>0.69099999999999995</v>
      </c>
    </row>
    <row r="16265" spans="1:7">
      <c r="A16265" t="s">
        <v>1297</v>
      </c>
      <c r="B16265" t="s">
        <v>1298</v>
      </c>
      <c r="C16265" t="s">
        <v>658</v>
      </c>
      <c r="D16265" t="s">
        <v>1475</v>
      </c>
      <c r="E16265" t="s">
        <v>187</v>
      </c>
      <c r="F16265">
        <v>2020</v>
      </c>
      <c r="G16265">
        <v>0.71850999999999998</v>
      </c>
    </row>
    <row r="16266" spans="1:7">
      <c r="A16266" t="s">
        <v>1297</v>
      </c>
      <c r="B16266" t="s">
        <v>1298</v>
      </c>
      <c r="C16266" t="s">
        <v>660</v>
      </c>
      <c r="D16266" t="s">
        <v>1475</v>
      </c>
      <c r="E16266" t="s">
        <v>187</v>
      </c>
      <c r="F16266">
        <v>2005</v>
      </c>
      <c r="G16266">
        <v>1.345</v>
      </c>
    </row>
    <row r="16267" spans="1:7">
      <c r="A16267" t="s">
        <v>1297</v>
      </c>
      <c r="B16267" t="s">
        <v>1298</v>
      </c>
      <c r="C16267" t="s">
        <v>660</v>
      </c>
      <c r="D16267" t="s">
        <v>1475</v>
      </c>
      <c r="E16267" t="s">
        <v>187</v>
      </c>
      <c r="F16267">
        <v>2010</v>
      </c>
      <c r="G16267">
        <v>1.4850000000000001</v>
      </c>
    </row>
    <row r="16268" spans="1:7">
      <c r="A16268" t="s">
        <v>1297</v>
      </c>
      <c r="B16268" t="s">
        <v>1298</v>
      </c>
      <c r="C16268" t="s">
        <v>660</v>
      </c>
      <c r="D16268" t="s">
        <v>1475</v>
      </c>
      <c r="E16268" t="s">
        <v>187</v>
      </c>
      <c r="F16268">
        <v>2012</v>
      </c>
      <c r="G16268">
        <v>1.669</v>
      </c>
    </row>
    <row r="16269" spans="1:7">
      <c r="A16269" t="s">
        <v>1297</v>
      </c>
      <c r="B16269" t="s">
        <v>1298</v>
      </c>
      <c r="C16269" t="s">
        <v>660</v>
      </c>
      <c r="D16269" t="s">
        <v>1475</v>
      </c>
      <c r="E16269" t="s">
        <v>187</v>
      </c>
      <c r="F16269">
        <v>2016</v>
      </c>
      <c r="G16269">
        <v>2.141</v>
      </c>
    </row>
    <row r="16270" spans="1:7">
      <c r="A16270" t="s">
        <v>1297</v>
      </c>
      <c r="B16270" t="s">
        <v>1298</v>
      </c>
      <c r="C16270" t="s">
        <v>660</v>
      </c>
      <c r="D16270" t="s">
        <v>1475</v>
      </c>
      <c r="E16270" t="s">
        <v>187</v>
      </c>
      <c r="F16270">
        <v>2020</v>
      </c>
      <c r="G16270">
        <v>2.0649999999999999</v>
      </c>
    </row>
    <row r="16271" spans="1:7">
      <c r="A16271" t="s">
        <v>1297</v>
      </c>
      <c r="B16271" t="s">
        <v>1298</v>
      </c>
      <c r="C16271" t="s">
        <v>675</v>
      </c>
      <c r="D16271" t="s">
        <v>1475</v>
      </c>
      <c r="E16271" t="s">
        <v>187</v>
      </c>
      <c r="F16271">
        <v>2005</v>
      </c>
      <c r="G16271">
        <v>0.42299999999999999</v>
      </c>
    </row>
    <row r="16272" spans="1:7">
      <c r="A16272" t="s">
        <v>1297</v>
      </c>
      <c r="B16272" t="s">
        <v>1298</v>
      </c>
      <c r="C16272" t="s">
        <v>675</v>
      </c>
      <c r="D16272" t="s">
        <v>1475</v>
      </c>
      <c r="E16272" t="s">
        <v>187</v>
      </c>
      <c r="F16272">
        <v>2010</v>
      </c>
      <c r="G16272">
        <v>0.75800000000000001</v>
      </c>
    </row>
    <row r="16273" spans="1:7">
      <c r="A16273" t="s">
        <v>1297</v>
      </c>
      <c r="B16273" t="s">
        <v>1298</v>
      </c>
      <c r="C16273" t="s">
        <v>675</v>
      </c>
      <c r="D16273" t="s">
        <v>1475</v>
      </c>
      <c r="E16273" t="s">
        <v>187</v>
      </c>
      <c r="F16273">
        <v>2012</v>
      </c>
      <c r="G16273">
        <v>0.66300000000000003</v>
      </c>
    </row>
    <row r="16274" spans="1:7">
      <c r="A16274" t="s">
        <v>1297</v>
      </c>
      <c r="B16274" t="s">
        <v>1298</v>
      </c>
      <c r="C16274" t="s">
        <v>675</v>
      </c>
      <c r="D16274" t="s">
        <v>1475</v>
      </c>
      <c r="E16274" t="s">
        <v>187</v>
      </c>
      <c r="F16274">
        <v>2016</v>
      </c>
      <c r="G16274">
        <v>1.335</v>
      </c>
    </row>
    <row r="16275" spans="1:7">
      <c r="A16275" t="s">
        <v>1297</v>
      </c>
      <c r="B16275" t="s">
        <v>1298</v>
      </c>
      <c r="C16275" t="s">
        <v>675</v>
      </c>
      <c r="D16275" t="s">
        <v>1475</v>
      </c>
      <c r="E16275" t="s">
        <v>187</v>
      </c>
      <c r="F16275">
        <v>2020</v>
      </c>
      <c r="G16275">
        <v>2.2334100000000001</v>
      </c>
    </row>
    <row r="16276" spans="1:7">
      <c r="A16276" t="s">
        <v>1297</v>
      </c>
      <c r="B16276" t="s">
        <v>1298</v>
      </c>
      <c r="C16276" t="s">
        <v>672</v>
      </c>
      <c r="D16276" t="s">
        <v>1475</v>
      </c>
      <c r="E16276" t="s">
        <v>187</v>
      </c>
      <c r="F16276">
        <v>2005</v>
      </c>
      <c r="G16276">
        <v>1.42</v>
      </c>
    </row>
    <row r="16277" spans="1:7">
      <c r="A16277" t="s">
        <v>1297</v>
      </c>
      <c r="B16277" t="s">
        <v>1298</v>
      </c>
      <c r="C16277" t="s">
        <v>672</v>
      </c>
      <c r="D16277" t="s">
        <v>1475</v>
      </c>
      <c r="E16277" t="s">
        <v>187</v>
      </c>
      <c r="F16277">
        <v>2010</v>
      </c>
      <c r="G16277">
        <v>2.286</v>
      </c>
    </row>
    <row r="16278" spans="1:7">
      <c r="A16278" t="s">
        <v>1297</v>
      </c>
      <c r="B16278" t="s">
        <v>1298</v>
      </c>
      <c r="C16278" t="s">
        <v>672</v>
      </c>
      <c r="D16278" t="s">
        <v>1475</v>
      </c>
      <c r="E16278" t="s">
        <v>187</v>
      </c>
      <c r="F16278">
        <v>2012</v>
      </c>
      <c r="G16278">
        <v>2.6269999999999998</v>
      </c>
    </row>
    <row r="16279" spans="1:7">
      <c r="A16279" t="s">
        <v>1297</v>
      </c>
      <c r="B16279" t="s">
        <v>1298</v>
      </c>
      <c r="C16279" t="s">
        <v>672</v>
      </c>
      <c r="D16279" t="s">
        <v>1475</v>
      </c>
      <c r="E16279" t="s">
        <v>187</v>
      </c>
      <c r="F16279">
        <v>2016</v>
      </c>
      <c r="G16279">
        <v>3.7879999999999998</v>
      </c>
    </row>
    <row r="16280" spans="1:7">
      <c r="A16280" t="s">
        <v>1297</v>
      </c>
      <c r="B16280" t="s">
        <v>1298</v>
      </c>
      <c r="C16280" t="s">
        <v>672</v>
      </c>
      <c r="D16280" t="s">
        <v>1475</v>
      </c>
      <c r="E16280" t="s">
        <v>187</v>
      </c>
      <c r="F16280">
        <v>2020</v>
      </c>
      <c r="G16280">
        <v>3.6631130000000001</v>
      </c>
    </row>
    <row r="16281" spans="1:7">
      <c r="A16281" t="s">
        <v>1297</v>
      </c>
      <c r="B16281" t="s">
        <v>1298</v>
      </c>
      <c r="C16281" t="s">
        <v>666</v>
      </c>
      <c r="D16281" t="s">
        <v>1475</v>
      </c>
      <c r="E16281" t="s">
        <v>187</v>
      </c>
      <c r="F16281">
        <v>2020</v>
      </c>
      <c r="G16281">
        <v>4.5999999999999999E-2</v>
      </c>
    </row>
    <row r="16282" spans="1:7">
      <c r="A16282" t="s">
        <v>1297</v>
      </c>
      <c r="B16282" t="s">
        <v>1298</v>
      </c>
      <c r="C16282" t="s">
        <v>653</v>
      </c>
      <c r="D16282" t="s">
        <v>1475</v>
      </c>
      <c r="E16282" t="s">
        <v>187</v>
      </c>
      <c r="F16282">
        <v>2005</v>
      </c>
      <c r="G16282">
        <v>2.2709999999999999</v>
      </c>
    </row>
    <row r="16283" spans="1:7">
      <c r="A16283" t="s">
        <v>1297</v>
      </c>
      <c r="B16283" t="s">
        <v>1298</v>
      </c>
      <c r="C16283" t="s">
        <v>653</v>
      </c>
      <c r="D16283" t="s">
        <v>1475</v>
      </c>
      <c r="E16283" t="s">
        <v>187</v>
      </c>
      <c r="F16283">
        <v>2010</v>
      </c>
      <c r="G16283">
        <v>0.14199999999999999</v>
      </c>
    </row>
    <row r="16284" spans="1:7">
      <c r="A16284" t="s">
        <v>1297</v>
      </c>
      <c r="B16284" t="s">
        <v>1298</v>
      </c>
      <c r="C16284" t="s">
        <v>653</v>
      </c>
      <c r="D16284" t="s">
        <v>1475</v>
      </c>
      <c r="E16284" t="s">
        <v>187</v>
      </c>
      <c r="F16284">
        <v>2012</v>
      </c>
      <c r="G16284">
        <v>0.30599999999999999</v>
      </c>
    </row>
    <row r="16285" spans="1:7">
      <c r="A16285" t="s">
        <v>1297</v>
      </c>
      <c r="B16285" t="s">
        <v>1298</v>
      </c>
      <c r="C16285" t="s">
        <v>653</v>
      </c>
      <c r="D16285" t="s">
        <v>1475</v>
      </c>
      <c r="E16285" t="s">
        <v>187</v>
      </c>
      <c r="F16285">
        <v>2016</v>
      </c>
      <c r="G16285">
        <v>1.319</v>
      </c>
    </row>
    <row r="16286" spans="1:7">
      <c r="A16286" t="s">
        <v>1297</v>
      </c>
      <c r="B16286" t="s">
        <v>1298</v>
      </c>
      <c r="C16286" t="s">
        <v>653</v>
      </c>
      <c r="D16286" t="s">
        <v>1475</v>
      </c>
      <c r="E16286" t="s">
        <v>187</v>
      </c>
      <c r="F16286">
        <v>2020</v>
      </c>
      <c r="G16286">
        <v>2.396617</v>
      </c>
    </row>
    <row r="16287" spans="1:7">
      <c r="A16287" t="s">
        <v>1297</v>
      </c>
      <c r="B16287" t="s">
        <v>1298</v>
      </c>
      <c r="C16287" t="s">
        <v>679</v>
      </c>
      <c r="D16287" t="s">
        <v>1475</v>
      </c>
      <c r="E16287" t="s">
        <v>187</v>
      </c>
      <c r="F16287">
        <v>2005</v>
      </c>
      <c r="G16287">
        <v>0.94699999999999995</v>
      </c>
    </row>
    <row r="16288" spans="1:7">
      <c r="A16288" t="s">
        <v>1297</v>
      </c>
      <c r="B16288" t="s">
        <v>1298</v>
      </c>
      <c r="C16288" t="s">
        <v>679</v>
      </c>
      <c r="D16288" t="s">
        <v>1475</v>
      </c>
      <c r="E16288" t="s">
        <v>187</v>
      </c>
      <c r="F16288">
        <v>2010</v>
      </c>
      <c r="G16288">
        <v>2.6619999999999999</v>
      </c>
    </row>
    <row r="16289" spans="1:7">
      <c r="A16289" t="s">
        <v>1297</v>
      </c>
      <c r="B16289" t="s">
        <v>1298</v>
      </c>
      <c r="C16289" t="s">
        <v>679</v>
      </c>
      <c r="D16289" t="s">
        <v>1475</v>
      </c>
      <c r="E16289" t="s">
        <v>187</v>
      </c>
      <c r="F16289">
        <v>2012</v>
      </c>
      <c r="G16289">
        <v>2.9780000000000002</v>
      </c>
    </row>
    <row r="16290" spans="1:7">
      <c r="A16290" t="s">
        <v>1297</v>
      </c>
      <c r="B16290" t="s">
        <v>1298</v>
      </c>
      <c r="C16290" t="s">
        <v>679</v>
      </c>
      <c r="D16290" t="s">
        <v>1475</v>
      </c>
      <c r="E16290" t="s">
        <v>187</v>
      </c>
      <c r="F16290">
        <v>2016</v>
      </c>
      <c r="G16290">
        <v>3.3570000000000002</v>
      </c>
    </row>
    <row r="16291" spans="1:7">
      <c r="A16291" t="s">
        <v>1297</v>
      </c>
      <c r="B16291" t="s">
        <v>1298</v>
      </c>
      <c r="C16291" t="s">
        <v>679</v>
      </c>
      <c r="D16291" t="s">
        <v>1475</v>
      </c>
      <c r="E16291" t="s">
        <v>187</v>
      </c>
      <c r="F16291">
        <v>2020</v>
      </c>
      <c r="G16291">
        <v>3.5680000000000001</v>
      </c>
    </row>
    <row r="16292" spans="1:7">
      <c r="A16292" t="s">
        <v>1297</v>
      </c>
      <c r="B16292" t="s">
        <v>1298</v>
      </c>
      <c r="C16292" t="s">
        <v>667</v>
      </c>
      <c r="D16292" t="s">
        <v>1475</v>
      </c>
      <c r="E16292" t="s">
        <v>187</v>
      </c>
      <c r="F16292">
        <v>2005</v>
      </c>
      <c r="G16292">
        <v>0.72234600000000004</v>
      </c>
    </row>
    <row r="16293" spans="1:7">
      <c r="A16293" t="s">
        <v>1297</v>
      </c>
      <c r="B16293" t="s">
        <v>1298</v>
      </c>
      <c r="C16293" t="s">
        <v>667</v>
      </c>
      <c r="D16293" t="s">
        <v>1475</v>
      </c>
      <c r="E16293" t="s">
        <v>187</v>
      </c>
      <c r="F16293">
        <v>2010</v>
      </c>
      <c r="G16293">
        <v>0.59686600000000001</v>
      </c>
    </row>
    <row r="16294" spans="1:7">
      <c r="A16294" t="s">
        <v>1297</v>
      </c>
      <c r="B16294" t="s">
        <v>1298</v>
      </c>
      <c r="C16294" t="s">
        <v>667</v>
      </c>
      <c r="D16294" t="s">
        <v>1475</v>
      </c>
      <c r="E16294" t="s">
        <v>187</v>
      </c>
      <c r="F16294">
        <v>2012</v>
      </c>
      <c r="G16294">
        <v>0.60331000000000001</v>
      </c>
    </row>
    <row r="16295" spans="1:7">
      <c r="A16295" t="s">
        <v>1297</v>
      </c>
      <c r="B16295" t="s">
        <v>1298</v>
      </c>
      <c r="C16295" t="s">
        <v>667</v>
      </c>
      <c r="D16295" t="s">
        <v>1475</v>
      </c>
      <c r="E16295" t="s">
        <v>187</v>
      </c>
      <c r="F16295">
        <v>2016</v>
      </c>
      <c r="G16295">
        <v>0.54557699999999998</v>
      </c>
    </row>
    <row r="16296" spans="1:7">
      <c r="A16296" t="s">
        <v>1297</v>
      </c>
      <c r="B16296" t="s">
        <v>1298</v>
      </c>
      <c r="C16296" t="s">
        <v>667</v>
      </c>
      <c r="D16296" t="s">
        <v>1475</v>
      </c>
      <c r="E16296" t="s">
        <v>187</v>
      </c>
      <c r="F16296">
        <v>2020</v>
      </c>
      <c r="G16296">
        <v>0.62028799999999995</v>
      </c>
    </row>
    <row r="16297" spans="1:7">
      <c r="A16297" t="s">
        <v>1297</v>
      </c>
      <c r="B16297" t="s">
        <v>1298</v>
      </c>
      <c r="C16297" t="s">
        <v>677</v>
      </c>
      <c r="D16297" t="s">
        <v>1475</v>
      </c>
      <c r="E16297" t="s">
        <v>187</v>
      </c>
      <c r="F16297">
        <v>2005</v>
      </c>
      <c r="G16297">
        <v>2.528</v>
      </c>
    </row>
    <row r="16298" spans="1:7">
      <c r="A16298" t="s">
        <v>1297</v>
      </c>
      <c r="B16298" t="s">
        <v>1298</v>
      </c>
      <c r="C16298" t="s">
        <v>677</v>
      </c>
      <c r="D16298" t="s">
        <v>1475</v>
      </c>
      <c r="E16298" t="s">
        <v>187</v>
      </c>
      <c r="F16298">
        <v>2010</v>
      </c>
      <c r="G16298">
        <v>1.986</v>
      </c>
    </row>
    <row r="16299" spans="1:7">
      <c r="A16299" t="s">
        <v>1297</v>
      </c>
      <c r="B16299" t="s">
        <v>1298</v>
      </c>
      <c r="C16299" t="s">
        <v>677</v>
      </c>
      <c r="D16299" t="s">
        <v>1475</v>
      </c>
      <c r="E16299" t="s">
        <v>187</v>
      </c>
      <c r="F16299">
        <v>2012</v>
      </c>
      <c r="G16299">
        <v>1.988</v>
      </c>
    </row>
    <row r="16300" spans="1:7">
      <c r="A16300" t="s">
        <v>1297</v>
      </c>
      <c r="B16300" t="s">
        <v>1298</v>
      </c>
      <c r="C16300" t="s">
        <v>677</v>
      </c>
      <c r="D16300" t="s">
        <v>1475</v>
      </c>
      <c r="E16300" t="s">
        <v>187</v>
      </c>
      <c r="F16300">
        <v>2016</v>
      </c>
      <c r="G16300">
        <v>3.198</v>
      </c>
    </row>
    <row r="16301" spans="1:7">
      <c r="A16301" t="s">
        <v>1297</v>
      </c>
      <c r="B16301" t="s">
        <v>1298</v>
      </c>
      <c r="C16301" t="s">
        <v>677</v>
      </c>
      <c r="D16301" t="s">
        <v>1475</v>
      </c>
      <c r="E16301" t="s">
        <v>187</v>
      </c>
      <c r="F16301">
        <v>2020</v>
      </c>
      <c r="G16301">
        <v>3.7360000000000002</v>
      </c>
    </row>
    <row r="16302" spans="1:7">
      <c r="A16302" t="s">
        <v>1297</v>
      </c>
      <c r="B16302" t="s">
        <v>1298</v>
      </c>
      <c r="C16302" t="s">
        <v>668</v>
      </c>
      <c r="D16302" t="s">
        <v>1475</v>
      </c>
      <c r="E16302" t="s">
        <v>187</v>
      </c>
      <c r="F16302">
        <v>2005</v>
      </c>
      <c r="G16302">
        <v>0.183</v>
      </c>
    </row>
    <row r="16303" spans="1:7">
      <c r="A16303" t="s">
        <v>1297</v>
      </c>
      <c r="B16303" t="s">
        <v>1298</v>
      </c>
      <c r="C16303" t="s">
        <v>668</v>
      </c>
      <c r="D16303" t="s">
        <v>1475</v>
      </c>
      <c r="E16303" t="s">
        <v>187</v>
      </c>
      <c r="F16303">
        <v>2010</v>
      </c>
      <c r="G16303">
        <v>1.181</v>
      </c>
    </row>
    <row r="16304" spans="1:7">
      <c r="A16304" t="s">
        <v>1297</v>
      </c>
      <c r="B16304" t="s">
        <v>1298</v>
      </c>
      <c r="C16304" t="s">
        <v>668</v>
      </c>
      <c r="D16304" t="s">
        <v>1475</v>
      </c>
      <c r="E16304" t="s">
        <v>187</v>
      </c>
      <c r="F16304">
        <v>2012</v>
      </c>
      <c r="G16304">
        <v>2.331</v>
      </c>
    </row>
    <row r="16305" spans="1:7">
      <c r="A16305" t="s">
        <v>1297</v>
      </c>
      <c r="B16305" t="s">
        <v>1298</v>
      </c>
      <c r="C16305" t="s">
        <v>668</v>
      </c>
      <c r="D16305" t="s">
        <v>1475</v>
      </c>
      <c r="E16305" t="s">
        <v>187</v>
      </c>
      <c r="F16305">
        <v>2016</v>
      </c>
      <c r="G16305">
        <v>1.536</v>
      </c>
    </row>
    <row r="16306" spans="1:7">
      <c r="A16306" t="s">
        <v>1297</v>
      </c>
      <c r="B16306" t="s">
        <v>1298</v>
      </c>
      <c r="C16306" t="s">
        <v>668</v>
      </c>
      <c r="D16306" t="s">
        <v>1475</v>
      </c>
      <c r="E16306" t="s">
        <v>187</v>
      </c>
      <c r="F16306">
        <v>2020</v>
      </c>
      <c r="G16306">
        <v>1.7852269999999999</v>
      </c>
    </row>
    <row r="16307" spans="1:7">
      <c r="A16307" t="s">
        <v>1297</v>
      </c>
      <c r="B16307" t="s">
        <v>1298</v>
      </c>
      <c r="C16307" t="s">
        <v>651</v>
      </c>
      <c r="D16307" t="s">
        <v>1475</v>
      </c>
      <c r="E16307" t="s">
        <v>187</v>
      </c>
      <c r="F16307">
        <v>2005</v>
      </c>
      <c r="G16307">
        <v>6.7263390000000003</v>
      </c>
    </row>
    <row r="16308" spans="1:7">
      <c r="A16308" t="s">
        <v>1297</v>
      </c>
      <c r="B16308" t="s">
        <v>1298</v>
      </c>
      <c r="C16308" t="s">
        <v>657</v>
      </c>
      <c r="D16308" t="s">
        <v>1475</v>
      </c>
      <c r="E16308" t="s">
        <v>187</v>
      </c>
      <c r="F16308">
        <v>2005</v>
      </c>
      <c r="G16308">
        <v>0.59099999999999997</v>
      </c>
    </row>
    <row r="16309" spans="1:7">
      <c r="A16309" t="s">
        <v>1297</v>
      </c>
      <c r="B16309" t="s">
        <v>1298</v>
      </c>
      <c r="C16309" t="s">
        <v>657</v>
      </c>
      <c r="D16309" t="s">
        <v>1475</v>
      </c>
      <c r="E16309" t="s">
        <v>187</v>
      </c>
      <c r="F16309">
        <v>2010</v>
      </c>
      <c r="G16309">
        <v>0.75900000000000001</v>
      </c>
    </row>
    <row r="16310" spans="1:7">
      <c r="A16310" t="s">
        <v>1297</v>
      </c>
      <c r="B16310" t="s">
        <v>1298</v>
      </c>
      <c r="C16310" t="s">
        <v>657</v>
      </c>
      <c r="D16310" t="s">
        <v>1475</v>
      </c>
      <c r="E16310" t="s">
        <v>187</v>
      </c>
      <c r="F16310">
        <v>2012</v>
      </c>
      <c r="G16310">
        <v>0.65700000000000003</v>
      </c>
    </row>
    <row r="16311" spans="1:7">
      <c r="A16311" t="s">
        <v>1297</v>
      </c>
      <c r="B16311" t="s">
        <v>1298</v>
      </c>
      <c r="C16311" t="s">
        <v>657</v>
      </c>
      <c r="D16311" t="s">
        <v>1475</v>
      </c>
      <c r="E16311" t="s">
        <v>187</v>
      </c>
      <c r="F16311">
        <v>2016</v>
      </c>
      <c r="G16311">
        <v>0.66832499999999995</v>
      </c>
    </row>
    <row r="16312" spans="1:7">
      <c r="A16312" t="s">
        <v>1297</v>
      </c>
      <c r="B16312" t="s">
        <v>1298</v>
      </c>
      <c r="C16312" t="s">
        <v>657</v>
      </c>
      <c r="D16312" t="s">
        <v>1475</v>
      </c>
      <c r="E16312" t="s">
        <v>187</v>
      </c>
      <c r="F16312">
        <v>2020</v>
      </c>
      <c r="G16312">
        <v>0.68933</v>
      </c>
    </row>
    <row r="16313" spans="1:7">
      <c r="A16313" t="s">
        <v>1297</v>
      </c>
      <c r="B16313" t="s">
        <v>1298</v>
      </c>
      <c r="C16313" t="s">
        <v>654</v>
      </c>
      <c r="D16313" t="s">
        <v>1475</v>
      </c>
      <c r="E16313" t="s">
        <v>187</v>
      </c>
      <c r="F16313">
        <v>2005</v>
      </c>
      <c r="G16313">
        <v>0.13800000000000001</v>
      </c>
    </row>
    <row r="16314" spans="1:7">
      <c r="A16314" t="s">
        <v>1297</v>
      </c>
      <c r="B16314" t="s">
        <v>1298</v>
      </c>
      <c r="C16314" t="s">
        <v>654</v>
      </c>
      <c r="D16314" t="s">
        <v>1475</v>
      </c>
      <c r="E16314" t="s">
        <v>187</v>
      </c>
      <c r="F16314">
        <v>2010</v>
      </c>
      <c r="G16314">
        <v>0.29899999999999999</v>
      </c>
    </row>
    <row r="16315" spans="1:7">
      <c r="A16315" t="s">
        <v>1297</v>
      </c>
      <c r="B16315" t="s">
        <v>1298</v>
      </c>
      <c r="C16315" t="s">
        <v>654</v>
      </c>
      <c r="D16315" t="s">
        <v>1475</v>
      </c>
      <c r="E16315" t="s">
        <v>187</v>
      </c>
      <c r="F16315">
        <v>2012</v>
      </c>
      <c r="G16315">
        <v>2.4E-2</v>
      </c>
    </row>
    <row r="16316" spans="1:7">
      <c r="A16316" t="s">
        <v>1297</v>
      </c>
      <c r="B16316" t="s">
        <v>1298</v>
      </c>
      <c r="C16316" t="s">
        <v>654</v>
      </c>
      <c r="D16316" t="s">
        <v>1475</v>
      </c>
      <c r="E16316" t="s">
        <v>187</v>
      </c>
      <c r="F16316">
        <v>2016</v>
      </c>
      <c r="G16316">
        <v>0.66300000000000003</v>
      </c>
    </row>
    <row r="16317" spans="1:7">
      <c r="A16317" t="s">
        <v>1297</v>
      </c>
      <c r="B16317" t="s">
        <v>1298</v>
      </c>
      <c r="C16317" t="s">
        <v>654</v>
      </c>
      <c r="D16317" t="s">
        <v>1475</v>
      </c>
      <c r="E16317" t="s">
        <v>187</v>
      </c>
      <c r="F16317">
        <v>2020</v>
      </c>
      <c r="G16317">
        <v>1.28895</v>
      </c>
    </row>
    <row r="16318" spans="1:7">
      <c r="A16318" t="s">
        <v>1297</v>
      </c>
      <c r="B16318" t="s">
        <v>1298</v>
      </c>
      <c r="C16318" t="s">
        <v>664</v>
      </c>
      <c r="D16318" t="s">
        <v>1475</v>
      </c>
      <c r="E16318" t="s">
        <v>187</v>
      </c>
      <c r="F16318">
        <v>2010</v>
      </c>
      <c r="G16318">
        <v>0.35807299999999997</v>
      </c>
    </row>
    <row r="16319" spans="1:7">
      <c r="A16319" t="s">
        <v>1297</v>
      </c>
      <c r="B16319" t="s">
        <v>1298</v>
      </c>
      <c r="C16319" t="s">
        <v>664</v>
      </c>
      <c r="D16319" t="s">
        <v>1475</v>
      </c>
      <c r="E16319" t="s">
        <v>187</v>
      </c>
      <c r="F16319">
        <v>2012</v>
      </c>
      <c r="G16319">
        <v>1.1456170000000001</v>
      </c>
    </row>
    <row r="16320" spans="1:7">
      <c r="A16320" t="s">
        <v>1297</v>
      </c>
      <c r="B16320" t="s">
        <v>1298</v>
      </c>
      <c r="C16320" t="s">
        <v>664</v>
      </c>
      <c r="D16320" t="s">
        <v>1475</v>
      </c>
      <c r="E16320" t="s">
        <v>187</v>
      </c>
      <c r="F16320">
        <v>2016</v>
      </c>
      <c r="G16320">
        <v>1.746173</v>
      </c>
    </row>
    <row r="16321" spans="1:7">
      <c r="A16321" t="s">
        <v>1297</v>
      </c>
      <c r="B16321" t="s">
        <v>1298</v>
      </c>
      <c r="C16321" t="s">
        <v>664</v>
      </c>
      <c r="D16321" t="s">
        <v>1475</v>
      </c>
      <c r="E16321" t="s">
        <v>187</v>
      </c>
      <c r="F16321">
        <v>2020</v>
      </c>
      <c r="G16321">
        <v>2.3727689999999999</v>
      </c>
    </row>
    <row r="16322" spans="1:7">
      <c r="A16322" t="s">
        <v>1297</v>
      </c>
      <c r="B16322" t="s">
        <v>1298</v>
      </c>
      <c r="C16322" t="s">
        <v>686</v>
      </c>
      <c r="D16322" t="s">
        <v>1475</v>
      </c>
      <c r="E16322" t="s">
        <v>187</v>
      </c>
      <c r="F16322">
        <v>2016</v>
      </c>
      <c r="G16322">
        <v>2.1999999999999999E-2</v>
      </c>
    </row>
    <row r="16323" spans="1:7">
      <c r="A16323" t="s">
        <v>1297</v>
      </c>
      <c r="B16323" t="s">
        <v>1298</v>
      </c>
      <c r="C16323" t="s">
        <v>686</v>
      </c>
      <c r="D16323" t="s">
        <v>1475</v>
      </c>
      <c r="E16323" t="s">
        <v>187</v>
      </c>
      <c r="F16323">
        <v>2020</v>
      </c>
      <c r="G16323">
        <v>2.6814999999999999E-2</v>
      </c>
    </row>
    <row r="16324" spans="1:7">
      <c r="A16324" t="s">
        <v>1297</v>
      </c>
      <c r="B16324" t="s">
        <v>1298</v>
      </c>
      <c r="C16324" t="s">
        <v>673</v>
      </c>
      <c r="D16324" t="s">
        <v>1476</v>
      </c>
      <c r="E16324" t="s">
        <v>187</v>
      </c>
      <c r="F16324">
        <v>2005</v>
      </c>
      <c r="G16324">
        <v>1E-3</v>
      </c>
    </row>
    <row r="16325" spans="1:7">
      <c r="A16325" t="s">
        <v>1297</v>
      </c>
      <c r="B16325" t="s">
        <v>1298</v>
      </c>
      <c r="C16325" t="s">
        <v>676</v>
      </c>
      <c r="D16325" t="s">
        <v>1476</v>
      </c>
      <c r="E16325" t="s">
        <v>187</v>
      </c>
      <c r="F16325">
        <v>2016</v>
      </c>
      <c r="G16325">
        <v>3.5000000000000003E-2</v>
      </c>
    </row>
    <row r="16326" spans="1:7">
      <c r="A16326" t="s">
        <v>1297</v>
      </c>
      <c r="B16326" t="s">
        <v>1298</v>
      </c>
      <c r="C16326" t="s">
        <v>677</v>
      </c>
      <c r="D16326" t="s">
        <v>1477</v>
      </c>
      <c r="E16326" t="s">
        <v>187</v>
      </c>
      <c r="F16326">
        <v>2016</v>
      </c>
      <c r="G16326">
        <v>0.995</v>
      </c>
    </row>
    <row r="16327" spans="1:7">
      <c r="A16327" t="s">
        <v>1297</v>
      </c>
      <c r="B16327" t="s">
        <v>1298</v>
      </c>
      <c r="C16327" t="s">
        <v>677</v>
      </c>
      <c r="D16327" t="s">
        <v>1477</v>
      </c>
      <c r="E16327" t="s">
        <v>187</v>
      </c>
      <c r="F16327">
        <v>2020</v>
      </c>
      <c r="G16327">
        <v>1.7390000000000001</v>
      </c>
    </row>
    <row r="16328" spans="1:7">
      <c r="A16328" t="s">
        <v>1297</v>
      </c>
      <c r="B16328" t="s">
        <v>1298</v>
      </c>
      <c r="C16328" t="s">
        <v>652</v>
      </c>
      <c r="D16328" t="s">
        <v>1477</v>
      </c>
      <c r="E16328" t="s">
        <v>187</v>
      </c>
      <c r="F16328">
        <v>2005</v>
      </c>
      <c r="G16328">
        <v>0.216</v>
      </c>
    </row>
    <row r="16329" spans="1:7">
      <c r="A16329" t="s">
        <v>1297</v>
      </c>
      <c r="B16329" t="s">
        <v>1298</v>
      </c>
      <c r="C16329" t="s">
        <v>652</v>
      </c>
      <c r="D16329" t="s">
        <v>1477</v>
      </c>
      <c r="E16329" t="s">
        <v>187</v>
      </c>
      <c r="F16329">
        <v>2016</v>
      </c>
      <c r="G16329">
        <v>1.2073</v>
      </c>
    </row>
    <row r="16330" spans="1:7">
      <c r="A16330" t="s">
        <v>1297</v>
      </c>
      <c r="B16330" t="s">
        <v>1298</v>
      </c>
      <c r="C16330" t="s">
        <v>652</v>
      </c>
      <c r="D16330" t="s">
        <v>1477</v>
      </c>
      <c r="E16330" t="s">
        <v>187</v>
      </c>
      <c r="F16330">
        <v>2020</v>
      </c>
      <c r="G16330">
        <v>1.2070000000000001</v>
      </c>
    </row>
    <row r="16331" spans="1:7">
      <c r="A16331" t="s">
        <v>1297</v>
      </c>
      <c r="B16331" t="s">
        <v>1298</v>
      </c>
      <c r="C16331" t="s">
        <v>673</v>
      </c>
      <c r="D16331" t="s">
        <v>1477</v>
      </c>
      <c r="E16331" t="s">
        <v>187</v>
      </c>
      <c r="F16331">
        <v>2016</v>
      </c>
      <c r="G16331">
        <v>0.217</v>
      </c>
    </row>
    <row r="16332" spans="1:7">
      <c r="A16332" t="s">
        <v>1297</v>
      </c>
      <c r="B16332" t="s">
        <v>1298</v>
      </c>
      <c r="C16332" t="s">
        <v>673</v>
      </c>
      <c r="D16332" t="s">
        <v>1477</v>
      </c>
      <c r="E16332" t="s">
        <v>187</v>
      </c>
      <c r="F16332">
        <v>2020</v>
      </c>
      <c r="G16332">
        <v>0.12575600000000001</v>
      </c>
    </row>
    <row r="16333" spans="1:7">
      <c r="A16333" t="s">
        <v>1297</v>
      </c>
      <c r="B16333" t="s">
        <v>1298</v>
      </c>
      <c r="C16333" t="s">
        <v>651</v>
      </c>
      <c r="D16333" t="s">
        <v>1477</v>
      </c>
      <c r="E16333" t="s">
        <v>187</v>
      </c>
      <c r="F16333">
        <v>2005</v>
      </c>
      <c r="G16333">
        <v>1.074147</v>
      </c>
    </row>
    <row r="16334" spans="1:7">
      <c r="A16334" t="s">
        <v>1297</v>
      </c>
      <c r="B16334" t="s">
        <v>1298</v>
      </c>
      <c r="C16334" t="s">
        <v>651</v>
      </c>
      <c r="D16334" t="s">
        <v>1477</v>
      </c>
      <c r="E16334" t="s">
        <v>187</v>
      </c>
      <c r="F16334">
        <v>2010</v>
      </c>
      <c r="G16334">
        <v>5.9693999999999997E-2</v>
      </c>
    </row>
    <row r="16335" spans="1:7">
      <c r="A16335" t="s">
        <v>1297</v>
      </c>
      <c r="B16335" t="s">
        <v>1298</v>
      </c>
      <c r="C16335" t="s">
        <v>676</v>
      </c>
      <c r="D16335" t="s">
        <v>1477</v>
      </c>
      <c r="E16335" t="s">
        <v>187</v>
      </c>
      <c r="F16335">
        <v>2010</v>
      </c>
      <c r="G16335">
        <v>0.33400000000000002</v>
      </c>
    </row>
    <row r="16336" spans="1:7">
      <c r="A16336" t="s">
        <v>1297</v>
      </c>
      <c r="B16336" t="s">
        <v>1298</v>
      </c>
      <c r="C16336" t="s">
        <v>676</v>
      </c>
      <c r="D16336" t="s">
        <v>1477</v>
      </c>
      <c r="E16336" t="s">
        <v>187</v>
      </c>
      <c r="F16336">
        <v>2012</v>
      </c>
      <c r="G16336">
        <v>0.313</v>
      </c>
    </row>
    <row r="16337" spans="1:7">
      <c r="A16337" t="s">
        <v>1297</v>
      </c>
      <c r="B16337" t="s">
        <v>1298</v>
      </c>
      <c r="C16337" t="s">
        <v>676</v>
      </c>
      <c r="D16337" t="s">
        <v>1477</v>
      </c>
      <c r="E16337" t="s">
        <v>187</v>
      </c>
      <c r="F16337">
        <v>2016</v>
      </c>
      <c r="G16337">
        <v>7.0999999999999994E-2</v>
      </c>
    </row>
    <row r="16338" spans="1:7">
      <c r="A16338" t="s">
        <v>1297</v>
      </c>
      <c r="B16338" t="s">
        <v>1298</v>
      </c>
      <c r="C16338" t="s">
        <v>676</v>
      </c>
      <c r="D16338" t="s">
        <v>1477</v>
      </c>
      <c r="E16338" t="s">
        <v>187</v>
      </c>
      <c r="F16338">
        <v>2020</v>
      </c>
      <c r="G16338">
        <v>0.44</v>
      </c>
    </row>
    <row r="16339" spans="1:7">
      <c r="A16339" t="s">
        <v>1297</v>
      </c>
      <c r="B16339" t="s">
        <v>1298</v>
      </c>
      <c r="C16339" t="s">
        <v>659</v>
      </c>
      <c r="D16339" t="s">
        <v>1477</v>
      </c>
      <c r="E16339" t="s">
        <v>187</v>
      </c>
      <c r="F16339">
        <v>2016</v>
      </c>
      <c r="G16339">
        <v>0.23599999999999999</v>
      </c>
    </row>
    <row r="16340" spans="1:7">
      <c r="A16340" t="s">
        <v>1297</v>
      </c>
      <c r="B16340" t="s">
        <v>1298</v>
      </c>
      <c r="C16340" t="s">
        <v>659</v>
      </c>
      <c r="D16340" t="s">
        <v>1477</v>
      </c>
      <c r="E16340" t="s">
        <v>187</v>
      </c>
      <c r="F16340">
        <v>2020</v>
      </c>
      <c r="G16340">
        <v>0.20100000000000001</v>
      </c>
    </row>
    <row r="16341" spans="1:7">
      <c r="A16341" t="s">
        <v>1297</v>
      </c>
      <c r="B16341" t="s">
        <v>1298</v>
      </c>
      <c r="C16341" t="s">
        <v>671</v>
      </c>
      <c r="D16341" t="s">
        <v>1477</v>
      </c>
      <c r="E16341" t="s">
        <v>187</v>
      </c>
      <c r="F16341">
        <v>2005</v>
      </c>
      <c r="G16341">
        <v>2.1999999999999999E-2</v>
      </c>
    </row>
    <row r="16342" spans="1:7">
      <c r="A16342" t="s">
        <v>1297</v>
      </c>
      <c r="B16342" t="s">
        <v>1298</v>
      </c>
      <c r="C16342" t="s">
        <v>671</v>
      </c>
      <c r="D16342" t="s">
        <v>1477</v>
      </c>
      <c r="E16342" t="s">
        <v>187</v>
      </c>
      <c r="F16342">
        <v>2010</v>
      </c>
      <c r="G16342">
        <v>2.5999999999999999E-2</v>
      </c>
    </row>
    <row r="16343" spans="1:7">
      <c r="A16343" t="s">
        <v>1297</v>
      </c>
      <c r="B16343" t="s">
        <v>1298</v>
      </c>
      <c r="C16343" t="s">
        <v>671</v>
      </c>
      <c r="D16343" t="s">
        <v>1477</v>
      </c>
      <c r="E16343" t="s">
        <v>187</v>
      </c>
      <c r="F16343">
        <v>2012</v>
      </c>
      <c r="G16343">
        <v>3.6999999999999998E-2</v>
      </c>
    </row>
    <row r="16344" spans="1:7">
      <c r="A16344" t="s">
        <v>1297</v>
      </c>
      <c r="B16344" t="s">
        <v>1298</v>
      </c>
      <c r="C16344" t="s">
        <v>671</v>
      </c>
      <c r="D16344" t="s">
        <v>1477</v>
      </c>
      <c r="E16344" t="s">
        <v>187</v>
      </c>
      <c r="F16344">
        <v>2016</v>
      </c>
      <c r="G16344">
        <v>0.35499999999999998</v>
      </c>
    </row>
    <row r="16345" spans="1:7">
      <c r="A16345" t="s">
        <v>1297</v>
      </c>
      <c r="B16345" t="s">
        <v>1298</v>
      </c>
      <c r="C16345" t="s">
        <v>671</v>
      </c>
      <c r="D16345" t="s">
        <v>1477</v>
      </c>
      <c r="E16345" t="s">
        <v>187</v>
      </c>
      <c r="F16345">
        <v>2020</v>
      </c>
      <c r="G16345">
        <v>0.19513</v>
      </c>
    </row>
    <row r="16346" spans="1:7">
      <c r="A16346" t="s">
        <v>1297</v>
      </c>
      <c r="B16346" t="s">
        <v>1298</v>
      </c>
      <c r="C16346" t="s">
        <v>661</v>
      </c>
      <c r="D16346" t="s">
        <v>1477</v>
      </c>
      <c r="E16346" t="s">
        <v>187</v>
      </c>
      <c r="F16346">
        <v>2005</v>
      </c>
      <c r="G16346">
        <v>2.6560000000000001</v>
      </c>
    </row>
    <row r="16347" spans="1:7">
      <c r="A16347" t="s">
        <v>1297</v>
      </c>
      <c r="B16347" t="s">
        <v>1298</v>
      </c>
      <c r="C16347" t="s">
        <v>661</v>
      </c>
      <c r="D16347" t="s">
        <v>1477</v>
      </c>
      <c r="E16347" t="s">
        <v>187</v>
      </c>
      <c r="F16347">
        <v>2010</v>
      </c>
      <c r="G16347">
        <v>5.6874099999999999</v>
      </c>
    </row>
    <row r="16348" spans="1:7">
      <c r="A16348" t="s">
        <v>1297</v>
      </c>
      <c r="B16348" t="s">
        <v>1298</v>
      </c>
      <c r="C16348" t="s">
        <v>661</v>
      </c>
      <c r="D16348" t="s">
        <v>1477</v>
      </c>
      <c r="E16348" t="s">
        <v>187</v>
      </c>
      <c r="F16348">
        <v>2012</v>
      </c>
      <c r="G16348">
        <v>3.2775500000000002</v>
      </c>
    </row>
    <row r="16349" spans="1:7">
      <c r="A16349" t="s">
        <v>1297</v>
      </c>
      <c r="B16349" t="s">
        <v>1298</v>
      </c>
      <c r="C16349" t="s">
        <v>661</v>
      </c>
      <c r="D16349" t="s">
        <v>1477</v>
      </c>
      <c r="E16349" t="s">
        <v>187</v>
      </c>
      <c r="F16349">
        <v>2016</v>
      </c>
      <c r="G16349">
        <v>2.7536939999999999</v>
      </c>
    </row>
    <row r="16350" spans="1:7">
      <c r="A16350" t="s">
        <v>1297</v>
      </c>
      <c r="B16350" t="s">
        <v>1298</v>
      </c>
      <c r="C16350" t="s">
        <v>661</v>
      </c>
      <c r="D16350" t="s">
        <v>1477</v>
      </c>
      <c r="E16350" t="s">
        <v>187</v>
      </c>
      <c r="F16350">
        <v>2020</v>
      </c>
      <c r="G16350">
        <v>2.5419719999999999</v>
      </c>
    </row>
    <row r="16351" spans="1:7">
      <c r="A16351" t="s">
        <v>1297</v>
      </c>
      <c r="B16351" t="s">
        <v>1298</v>
      </c>
      <c r="C16351" t="s">
        <v>663</v>
      </c>
      <c r="D16351" t="s">
        <v>1477</v>
      </c>
      <c r="E16351" t="s">
        <v>187</v>
      </c>
      <c r="F16351">
        <v>2012</v>
      </c>
      <c r="G16351">
        <v>0.14099999999999999</v>
      </c>
    </row>
    <row r="16352" spans="1:7">
      <c r="A16352" t="s">
        <v>1297</v>
      </c>
      <c r="B16352" t="s">
        <v>1298</v>
      </c>
      <c r="C16352" t="s">
        <v>663</v>
      </c>
      <c r="D16352" t="s">
        <v>1477</v>
      </c>
      <c r="E16352" t="s">
        <v>187</v>
      </c>
      <c r="F16352">
        <v>2016</v>
      </c>
      <c r="G16352">
        <v>0.11</v>
      </c>
    </row>
    <row r="16353" spans="1:7">
      <c r="A16353" t="s">
        <v>1297</v>
      </c>
      <c r="B16353" t="s">
        <v>1298</v>
      </c>
      <c r="C16353" t="s">
        <v>663</v>
      </c>
      <c r="D16353" t="s">
        <v>1477</v>
      </c>
      <c r="E16353" t="s">
        <v>187</v>
      </c>
      <c r="F16353">
        <v>2020</v>
      </c>
      <c r="G16353">
        <v>0.19900000000000001</v>
      </c>
    </row>
    <row r="16354" spans="1:7">
      <c r="A16354" t="s">
        <v>1297</v>
      </c>
      <c r="B16354" t="s">
        <v>1298</v>
      </c>
      <c r="C16354" t="s">
        <v>670</v>
      </c>
      <c r="D16354" t="s">
        <v>1477</v>
      </c>
      <c r="E16354" t="s">
        <v>187</v>
      </c>
      <c r="F16354">
        <v>2005</v>
      </c>
      <c r="G16354">
        <v>1.9410000000000001</v>
      </c>
    </row>
    <row r="16355" spans="1:7">
      <c r="A16355" t="s">
        <v>1297</v>
      </c>
      <c r="B16355" t="s">
        <v>1298</v>
      </c>
      <c r="C16355" t="s">
        <v>670</v>
      </c>
      <c r="D16355" t="s">
        <v>1477</v>
      </c>
      <c r="E16355" t="s">
        <v>187</v>
      </c>
      <c r="F16355">
        <v>2010</v>
      </c>
      <c r="G16355">
        <v>2.4079999999999999</v>
      </c>
    </row>
    <row r="16356" spans="1:7">
      <c r="A16356" t="s">
        <v>1297</v>
      </c>
      <c r="B16356" t="s">
        <v>1298</v>
      </c>
      <c r="C16356" t="s">
        <v>670</v>
      </c>
      <c r="D16356" t="s">
        <v>1477</v>
      </c>
      <c r="E16356" t="s">
        <v>187</v>
      </c>
      <c r="F16356">
        <v>2012</v>
      </c>
      <c r="G16356">
        <v>1.706</v>
      </c>
    </row>
    <row r="16357" spans="1:7">
      <c r="A16357" t="s">
        <v>1297</v>
      </c>
      <c r="B16357" t="s">
        <v>1298</v>
      </c>
      <c r="C16357" t="s">
        <v>670</v>
      </c>
      <c r="D16357" t="s">
        <v>1477</v>
      </c>
      <c r="E16357" t="s">
        <v>187</v>
      </c>
      <c r="F16357">
        <v>2016</v>
      </c>
      <c r="G16357">
        <v>1.431</v>
      </c>
    </row>
    <row r="16358" spans="1:7">
      <c r="A16358" t="s">
        <v>1297</v>
      </c>
      <c r="B16358" t="s">
        <v>1298</v>
      </c>
      <c r="C16358" t="s">
        <v>670</v>
      </c>
      <c r="D16358" t="s">
        <v>1477</v>
      </c>
      <c r="E16358" t="s">
        <v>187</v>
      </c>
      <c r="F16358">
        <v>2020</v>
      </c>
      <c r="G16358">
        <v>1.62896</v>
      </c>
    </row>
    <row r="16359" spans="1:7">
      <c r="A16359" t="s">
        <v>1297</v>
      </c>
      <c r="B16359" t="s">
        <v>1298</v>
      </c>
      <c r="C16359" t="s">
        <v>657</v>
      </c>
      <c r="D16359" t="s">
        <v>1477</v>
      </c>
      <c r="E16359" t="s">
        <v>187</v>
      </c>
      <c r="F16359">
        <v>2005</v>
      </c>
      <c r="G16359">
        <v>0.628</v>
      </c>
    </row>
    <row r="16360" spans="1:7">
      <c r="A16360" t="s">
        <v>1297</v>
      </c>
      <c r="B16360" t="s">
        <v>1298</v>
      </c>
      <c r="C16360" t="s">
        <v>657</v>
      </c>
      <c r="D16360" t="s">
        <v>1477</v>
      </c>
      <c r="E16360" t="s">
        <v>187</v>
      </c>
      <c r="F16360">
        <v>2010</v>
      </c>
      <c r="G16360">
        <v>0.182</v>
      </c>
    </row>
    <row r="16361" spans="1:7">
      <c r="A16361" t="s">
        <v>1297</v>
      </c>
      <c r="B16361" t="s">
        <v>1298</v>
      </c>
      <c r="C16361" t="s">
        <v>657</v>
      </c>
      <c r="D16361" t="s">
        <v>1477</v>
      </c>
      <c r="E16361" t="s">
        <v>187</v>
      </c>
      <c r="F16361">
        <v>2012</v>
      </c>
      <c r="G16361">
        <v>0.24199999999999999</v>
      </c>
    </row>
    <row r="16362" spans="1:7">
      <c r="A16362" t="s">
        <v>1297</v>
      </c>
      <c r="B16362" t="s">
        <v>1298</v>
      </c>
      <c r="C16362" t="s">
        <v>657</v>
      </c>
      <c r="D16362" t="s">
        <v>1477</v>
      </c>
      <c r="E16362" t="s">
        <v>187</v>
      </c>
      <c r="F16362">
        <v>2016</v>
      </c>
      <c r="G16362">
        <v>0.20217499999999999</v>
      </c>
    </row>
    <row r="16363" spans="1:7">
      <c r="A16363" t="s">
        <v>1297</v>
      </c>
      <c r="B16363" t="s">
        <v>1298</v>
      </c>
      <c r="C16363" t="s">
        <v>657</v>
      </c>
      <c r="D16363" t="s">
        <v>1477</v>
      </c>
      <c r="E16363" t="s">
        <v>187</v>
      </c>
      <c r="F16363">
        <v>2020</v>
      </c>
      <c r="G16363">
        <v>0.31162499999999999</v>
      </c>
    </row>
    <row r="16364" spans="1:7">
      <c r="A16364" t="s">
        <v>1297</v>
      </c>
      <c r="B16364" t="s">
        <v>1298</v>
      </c>
      <c r="C16364" t="s">
        <v>655</v>
      </c>
      <c r="D16364" t="s">
        <v>1477</v>
      </c>
      <c r="E16364" t="s">
        <v>187</v>
      </c>
      <c r="F16364">
        <v>2005</v>
      </c>
      <c r="G16364">
        <v>0.65800000000000003</v>
      </c>
    </row>
    <row r="16365" spans="1:7">
      <c r="A16365" t="s">
        <v>1297</v>
      </c>
      <c r="B16365" t="s">
        <v>1298</v>
      </c>
      <c r="C16365" t="s">
        <v>655</v>
      </c>
      <c r="D16365" t="s">
        <v>1477</v>
      </c>
      <c r="E16365" t="s">
        <v>187</v>
      </c>
      <c r="F16365">
        <v>2010</v>
      </c>
      <c r="G16365">
        <v>1.087</v>
      </c>
    </row>
    <row r="16366" spans="1:7">
      <c r="A16366" t="s">
        <v>1297</v>
      </c>
      <c r="B16366" t="s">
        <v>1298</v>
      </c>
      <c r="C16366" t="s">
        <v>655</v>
      </c>
      <c r="D16366" t="s">
        <v>1477</v>
      </c>
      <c r="E16366" t="s">
        <v>187</v>
      </c>
      <c r="F16366">
        <v>2012</v>
      </c>
      <c r="G16366">
        <v>1.0629999999999999</v>
      </c>
    </row>
    <row r="16367" spans="1:7">
      <c r="A16367" t="s">
        <v>1297</v>
      </c>
      <c r="B16367" t="s">
        <v>1298</v>
      </c>
      <c r="C16367" t="s">
        <v>655</v>
      </c>
      <c r="D16367" t="s">
        <v>1477</v>
      </c>
      <c r="E16367" t="s">
        <v>187</v>
      </c>
      <c r="F16367">
        <v>2016</v>
      </c>
      <c r="G16367">
        <v>1.234</v>
      </c>
    </row>
    <row r="16368" spans="1:7">
      <c r="A16368" t="s">
        <v>1297</v>
      </c>
      <c r="B16368" t="s">
        <v>1298</v>
      </c>
      <c r="C16368" t="s">
        <v>655</v>
      </c>
      <c r="D16368" t="s">
        <v>1477</v>
      </c>
      <c r="E16368" t="s">
        <v>187</v>
      </c>
      <c r="F16368">
        <v>2020</v>
      </c>
      <c r="G16368">
        <v>1.3837969999999999</v>
      </c>
    </row>
    <row r="16369" spans="1:7">
      <c r="A16369" t="s">
        <v>1297</v>
      </c>
      <c r="B16369" t="s">
        <v>1298</v>
      </c>
      <c r="C16369" t="s">
        <v>679</v>
      </c>
      <c r="D16369" t="s">
        <v>1477</v>
      </c>
      <c r="E16369" t="s">
        <v>187</v>
      </c>
      <c r="F16369">
        <v>2005</v>
      </c>
      <c r="G16369">
        <v>0.329347</v>
      </c>
    </row>
    <row r="16370" spans="1:7">
      <c r="A16370" t="s">
        <v>1297</v>
      </c>
      <c r="B16370" t="s">
        <v>1298</v>
      </c>
      <c r="C16370" t="s">
        <v>679</v>
      </c>
      <c r="D16370" t="s">
        <v>1477</v>
      </c>
      <c r="E16370" t="s">
        <v>187</v>
      </c>
      <c r="F16370">
        <v>2010</v>
      </c>
      <c r="G16370">
        <v>8.9117000000000002E-2</v>
      </c>
    </row>
    <row r="16371" spans="1:7">
      <c r="A16371" t="s">
        <v>1297</v>
      </c>
      <c r="B16371" t="s">
        <v>1298</v>
      </c>
      <c r="C16371" t="s">
        <v>679</v>
      </c>
      <c r="D16371" t="s">
        <v>1477</v>
      </c>
      <c r="E16371" t="s">
        <v>187</v>
      </c>
      <c r="F16371">
        <v>2012</v>
      </c>
      <c r="G16371">
        <v>0.156635</v>
      </c>
    </row>
    <row r="16372" spans="1:7">
      <c r="A16372" t="s">
        <v>1297</v>
      </c>
      <c r="B16372" t="s">
        <v>1298</v>
      </c>
      <c r="C16372" t="s">
        <v>679</v>
      </c>
      <c r="D16372" t="s">
        <v>1477</v>
      </c>
      <c r="E16372" t="s">
        <v>187</v>
      </c>
      <c r="F16372">
        <v>2016</v>
      </c>
      <c r="G16372">
        <v>0.62592999999999999</v>
      </c>
    </row>
    <row r="16373" spans="1:7">
      <c r="A16373" t="s">
        <v>1297</v>
      </c>
      <c r="B16373" t="s">
        <v>1298</v>
      </c>
      <c r="C16373" t="s">
        <v>679</v>
      </c>
      <c r="D16373" t="s">
        <v>1477</v>
      </c>
      <c r="E16373" t="s">
        <v>187</v>
      </c>
      <c r="F16373">
        <v>2020</v>
      </c>
      <c r="G16373">
        <v>0.72081200000000001</v>
      </c>
    </row>
    <row r="16374" spans="1:7">
      <c r="A16374" t="s">
        <v>1297</v>
      </c>
      <c r="B16374" t="s">
        <v>1298</v>
      </c>
      <c r="C16374" t="s">
        <v>656</v>
      </c>
      <c r="D16374" t="s">
        <v>1477</v>
      </c>
      <c r="E16374" t="s">
        <v>187</v>
      </c>
      <c r="F16374">
        <v>2005</v>
      </c>
      <c r="G16374">
        <v>1.266</v>
      </c>
    </row>
    <row r="16375" spans="1:7">
      <c r="A16375" t="s">
        <v>1297</v>
      </c>
      <c r="B16375" t="s">
        <v>1298</v>
      </c>
      <c r="C16375" t="s">
        <v>656</v>
      </c>
      <c r="D16375" t="s">
        <v>1477</v>
      </c>
      <c r="E16375" t="s">
        <v>187</v>
      </c>
      <c r="F16375">
        <v>2010</v>
      </c>
      <c r="G16375">
        <v>0.872</v>
      </c>
    </row>
    <row r="16376" spans="1:7">
      <c r="A16376" t="s">
        <v>1297</v>
      </c>
      <c r="B16376" t="s">
        <v>1298</v>
      </c>
      <c r="C16376" t="s">
        <v>677</v>
      </c>
      <c r="D16376" t="s">
        <v>1477</v>
      </c>
      <c r="E16376" t="s">
        <v>187</v>
      </c>
      <c r="F16376">
        <v>2005</v>
      </c>
      <c r="G16376">
        <v>2.081</v>
      </c>
    </row>
    <row r="16377" spans="1:7">
      <c r="A16377" t="s">
        <v>1297</v>
      </c>
      <c r="B16377" t="s">
        <v>1298</v>
      </c>
      <c r="C16377" t="s">
        <v>677</v>
      </c>
      <c r="D16377" t="s">
        <v>1477</v>
      </c>
      <c r="E16377" t="s">
        <v>187</v>
      </c>
      <c r="F16377">
        <v>2010</v>
      </c>
      <c r="G16377">
        <v>1.54</v>
      </c>
    </row>
    <row r="16378" spans="1:7">
      <c r="A16378" t="s">
        <v>1297</v>
      </c>
      <c r="B16378" t="s">
        <v>1298</v>
      </c>
      <c r="C16378" t="s">
        <v>677</v>
      </c>
      <c r="D16378" t="s">
        <v>1477</v>
      </c>
      <c r="E16378" t="s">
        <v>187</v>
      </c>
      <c r="F16378">
        <v>2012</v>
      </c>
      <c r="G16378">
        <v>0.75900000000000001</v>
      </c>
    </row>
    <row r="16379" spans="1:7">
      <c r="A16379" t="s">
        <v>1297</v>
      </c>
      <c r="B16379" t="s">
        <v>1298</v>
      </c>
      <c r="C16379" t="s">
        <v>677</v>
      </c>
      <c r="D16379" t="s">
        <v>1478</v>
      </c>
      <c r="E16379" t="s">
        <v>187</v>
      </c>
      <c r="F16379">
        <v>2005</v>
      </c>
      <c r="G16379">
        <v>0.253</v>
      </c>
    </row>
    <row r="16380" spans="1:7">
      <c r="A16380" t="s">
        <v>1297</v>
      </c>
      <c r="B16380" t="s">
        <v>1298</v>
      </c>
      <c r="C16380" t="s">
        <v>677</v>
      </c>
      <c r="D16380" t="s">
        <v>1478</v>
      </c>
      <c r="E16380" t="s">
        <v>187</v>
      </c>
      <c r="F16380">
        <v>2010</v>
      </c>
      <c r="G16380">
        <v>0.22900000000000001</v>
      </c>
    </row>
    <row r="16381" spans="1:7">
      <c r="A16381" t="s">
        <v>1297</v>
      </c>
      <c r="B16381" t="s">
        <v>1298</v>
      </c>
      <c r="C16381" t="s">
        <v>677</v>
      </c>
      <c r="D16381" t="s">
        <v>1478</v>
      </c>
      <c r="E16381" t="s">
        <v>187</v>
      </c>
      <c r="F16381">
        <v>2012</v>
      </c>
      <c r="G16381">
        <v>0.24</v>
      </c>
    </row>
    <row r="16382" spans="1:7">
      <c r="A16382" t="s">
        <v>1297</v>
      </c>
      <c r="B16382" t="s">
        <v>1298</v>
      </c>
      <c r="C16382" t="s">
        <v>673</v>
      </c>
      <c r="D16382" t="s">
        <v>1479</v>
      </c>
      <c r="E16382" t="s">
        <v>187</v>
      </c>
      <c r="F16382">
        <v>2005</v>
      </c>
      <c r="G16382">
        <v>5.0999999999999997E-2</v>
      </c>
    </row>
    <row r="16383" spans="1:7">
      <c r="A16383" t="s">
        <v>1297</v>
      </c>
      <c r="B16383" t="s">
        <v>1298</v>
      </c>
      <c r="C16383" t="s">
        <v>658</v>
      </c>
      <c r="D16383" t="s">
        <v>1479</v>
      </c>
      <c r="E16383" t="s">
        <v>187</v>
      </c>
      <c r="F16383">
        <v>2016</v>
      </c>
      <c r="G16383">
        <v>4.7E-2</v>
      </c>
    </row>
    <row r="16384" spans="1:7">
      <c r="A16384" t="s">
        <v>1297</v>
      </c>
      <c r="B16384" t="s">
        <v>1298</v>
      </c>
      <c r="C16384" t="s">
        <v>658</v>
      </c>
      <c r="D16384" t="s">
        <v>1479</v>
      </c>
      <c r="E16384" t="s">
        <v>187</v>
      </c>
      <c r="F16384">
        <v>2020</v>
      </c>
      <c r="G16384">
        <v>1.1825E-2</v>
      </c>
    </row>
    <row r="16385" spans="1:7">
      <c r="A16385" t="s">
        <v>1297</v>
      </c>
      <c r="B16385" t="s">
        <v>1298</v>
      </c>
      <c r="C16385" t="s">
        <v>656</v>
      </c>
      <c r="D16385" t="s">
        <v>1480</v>
      </c>
      <c r="E16385" t="s">
        <v>187</v>
      </c>
      <c r="F16385">
        <v>2005</v>
      </c>
      <c r="G16385">
        <v>11.7072</v>
      </c>
    </row>
    <row r="16386" spans="1:7">
      <c r="A16386" t="s">
        <v>1297</v>
      </c>
      <c r="B16386" t="s">
        <v>1298</v>
      </c>
      <c r="C16386" t="s">
        <v>656</v>
      </c>
      <c r="D16386" t="s">
        <v>1480</v>
      </c>
      <c r="E16386" t="s">
        <v>187</v>
      </c>
      <c r="F16386">
        <v>2010</v>
      </c>
      <c r="G16386">
        <v>22.8672</v>
      </c>
    </row>
    <row r="16387" spans="1:7">
      <c r="A16387" t="s">
        <v>1297</v>
      </c>
      <c r="B16387" t="s">
        <v>1298</v>
      </c>
      <c r="C16387" t="s">
        <v>656</v>
      </c>
      <c r="D16387" t="s">
        <v>1480</v>
      </c>
      <c r="E16387" t="s">
        <v>187</v>
      </c>
      <c r="F16387">
        <v>2012</v>
      </c>
      <c r="G16387">
        <v>23.5944</v>
      </c>
    </row>
    <row r="16388" spans="1:7">
      <c r="A16388" t="s">
        <v>1297</v>
      </c>
      <c r="B16388" t="s">
        <v>1298</v>
      </c>
      <c r="C16388" t="s">
        <v>656</v>
      </c>
      <c r="D16388" t="s">
        <v>1480</v>
      </c>
      <c r="E16388" t="s">
        <v>187</v>
      </c>
      <c r="F16388">
        <v>2016</v>
      </c>
      <c r="G16388">
        <v>26.3916</v>
      </c>
    </row>
    <row r="16389" spans="1:7">
      <c r="A16389" t="s">
        <v>1297</v>
      </c>
      <c r="B16389" t="s">
        <v>1298</v>
      </c>
      <c r="C16389" t="s">
        <v>656</v>
      </c>
      <c r="D16389" t="s">
        <v>1480</v>
      </c>
      <c r="E16389" t="s">
        <v>187</v>
      </c>
      <c r="F16389">
        <v>2020</v>
      </c>
      <c r="G16389">
        <v>24.303599999999999</v>
      </c>
    </row>
    <row r="16390" spans="1:7">
      <c r="A16390" t="s">
        <v>1297</v>
      </c>
      <c r="B16390" t="s">
        <v>1298</v>
      </c>
      <c r="C16390" t="s">
        <v>652</v>
      </c>
      <c r="D16390" t="s">
        <v>1480</v>
      </c>
      <c r="E16390" t="s">
        <v>187</v>
      </c>
      <c r="F16390">
        <v>2005</v>
      </c>
      <c r="G16390">
        <v>2.3773819999999999</v>
      </c>
    </row>
    <row r="16391" spans="1:7">
      <c r="A16391" t="s">
        <v>1297</v>
      </c>
      <c r="B16391" t="s">
        <v>1298</v>
      </c>
      <c r="C16391" t="s">
        <v>652</v>
      </c>
      <c r="D16391" t="s">
        <v>1480</v>
      </c>
      <c r="E16391" t="s">
        <v>187</v>
      </c>
      <c r="F16391">
        <v>2010</v>
      </c>
      <c r="G16391">
        <v>4.25664</v>
      </c>
    </row>
    <row r="16392" spans="1:7">
      <c r="A16392" t="s">
        <v>1297</v>
      </c>
      <c r="B16392" t="s">
        <v>1298</v>
      </c>
      <c r="C16392" t="s">
        <v>652</v>
      </c>
      <c r="D16392" t="s">
        <v>1480</v>
      </c>
      <c r="E16392" t="s">
        <v>187</v>
      </c>
      <c r="F16392">
        <v>2012</v>
      </c>
      <c r="G16392">
        <v>4.5179999999999998</v>
      </c>
    </row>
    <row r="16393" spans="1:7">
      <c r="A16393" t="s">
        <v>1297</v>
      </c>
      <c r="B16393" t="s">
        <v>1298</v>
      </c>
      <c r="C16393" t="s">
        <v>652</v>
      </c>
      <c r="D16393" t="s">
        <v>1480</v>
      </c>
      <c r="E16393" t="s">
        <v>187</v>
      </c>
      <c r="F16393">
        <v>2016</v>
      </c>
      <c r="G16393">
        <v>4.8348000000000004</v>
      </c>
    </row>
    <row r="16394" spans="1:7">
      <c r="A16394" t="s">
        <v>1297</v>
      </c>
      <c r="B16394" t="s">
        <v>1298</v>
      </c>
      <c r="C16394" t="s">
        <v>652</v>
      </c>
      <c r="D16394" t="s">
        <v>1480</v>
      </c>
      <c r="E16394" t="s">
        <v>187</v>
      </c>
      <c r="F16394">
        <v>2020</v>
      </c>
      <c r="G16394">
        <v>4.6468800000000003</v>
      </c>
    </row>
    <row r="16395" spans="1:7">
      <c r="A16395" t="s">
        <v>1297</v>
      </c>
      <c r="B16395" t="s">
        <v>1298</v>
      </c>
      <c r="C16395" t="s">
        <v>667</v>
      </c>
      <c r="D16395" t="s">
        <v>1480</v>
      </c>
      <c r="E16395" t="s">
        <v>187</v>
      </c>
      <c r="F16395">
        <v>2005</v>
      </c>
      <c r="G16395">
        <v>0.104548</v>
      </c>
    </row>
    <row r="16396" spans="1:7">
      <c r="A16396" t="s">
        <v>1297</v>
      </c>
      <c r="B16396" t="s">
        <v>1298</v>
      </c>
      <c r="C16396" t="s">
        <v>667</v>
      </c>
      <c r="D16396" t="s">
        <v>1480</v>
      </c>
      <c r="E16396" t="s">
        <v>187</v>
      </c>
      <c r="F16396">
        <v>2010</v>
      </c>
      <c r="G16396">
        <v>0.16695399999999999</v>
      </c>
    </row>
    <row r="16397" spans="1:7">
      <c r="A16397" t="s">
        <v>1297</v>
      </c>
      <c r="B16397" t="s">
        <v>1298</v>
      </c>
      <c r="C16397" t="s">
        <v>667</v>
      </c>
      <c r="D16397" t="s">
        <v>1480</v>
      </c>
      <c r="E16397" t="s">
        <v>187</v>
      </c>
      <c r="F16397">
        <v>2012</v>
      </c>
      <c r="G16397">
        <v>0.214528</v>
      </c>
    </row>
    <row r="16398" spans="1:7">
      <c r="A16398" t="s">
        <v>1297</v>
      </c>
      <c r="B16398" t="s">
        <v>1298</v>
      </c>
      <c r="C16398" t="s">
        <v>667</v>
      </c>
      <c r="D16398" t="s">
        <v>1480</v>
      </c>
      <c r="E16398" t="s">
        <v>187</v>
      </c>
      <c r="F16398">
        <v>2016</v>
      </c>
      <c r="G16398">
        <v>0.250052</v>
      </c>
    </row>
    <row r="16399" spans="1:7">
      <c r="A16399" t="s">
        <v>1297</v>
      </c>
      <c r="B16399" t="s">
        <v>1298</v>
      </c>
      <c r="C16399" t="s">
        <v>667</v>
      </c>
      <c r="D16399" t="s">
        <v>1480</v>
      </c>
      <c r="E16399" t="s">
        <v>187</v>
      </c>
      <c r="F16399">
        <v>2020</v>
      </c>
      <c r="G16399">
        <v>0.27977400000000002</v>
      </c>
    </row>
    <row r="16400" spans="1:7">
      <c r="A16400" t="s">
        <v>1297</v>
      </c>
      <c r="B16400" t="s">
        <v>1298</v>
      </c>
      <c r="C16400" t="s">
        <v>657</v>
      </c>
      <c r="D16400" t="s">
        <v>1480</v>
      </c>
      <c r="E16400" t="s">
        <v>187</v>
      </c>
      <c r="F16400">
        <v>2005</v>
      </c>
      <c r="G16400">
        <v>2.9376000000000002</v>
      </c>
    </row>
    <row r="16401" spans="1:7">
      <c r="A16401" t="s">
        <v>1297</v>
      </c>
      <c r="B16401" t="s">
        <v>1298</v>
      </c>
      <c r="C16401" t="s">
        <v>657</v>
      </c>
      <c r="D16401" t="s">
        <v>1480</v>
      </c>
      <c r="E16401" t="s">
        <v>187</v>
      </c>
      <c r="F16401">
        <v>2010</v>
      </c>
      <c r="G16401">
        <v>2.6889050000000001</v>
      </c>
    </row>
    <row r="16402" spans="1:7">
      <c r="A16402" t="s">
        <v>1297</v>
      </c>
      <c r="B16402" t="s">
        <v>1298</v>
      </c>
      <c r="C16402" t="s">
        <v>657</v>
      </c>
      <c r="D16402" t="s">
        <v>1480</v>
      </c>
      <c r="E16402" t="s">
        <v>187</v>
      </c>
      <c r="F16402">
        <v>2012</v>
      </c>
      <c r="G16402">
        <v>2.6276000000000002</v>
      </c>
    </row>
    <row r="16403" spans="1:7">
      <c r="A16403" t="s">
        <v>1297</v>
      </c>
      <c r="B16403" t="s">
        <v>1298</v>
      </c>
      <c r="C16403" t="s">
        <v>657</v>
      </c>
      <c r="D16403" t="s">
        <v>1480</v>
      </c>
      <c r="E16403" t="s">
        <v>187</v>
      </c>
      <c r="F16403">
        <v>2016</v>
      </c>
      <c r="G16403">
        <v>2.5355880000000002</v>
      </c>
    </row>
    <row r="16404" spans="1:7">
      <c r="A16404" t="s">
        <v>1297</v>
      </c>
      <c r="B16404" t="s">
        <v>1298</v>
      </c>
      <c r="C16404" t="s">
        <v>657</v>
      </c>
      <c r="D16404" t="s">
        <v>1480</v>
      </c>
      <c r="E16404" t="s">
        <v>187</v>
      </c>
      <c r="F16404">
        <v>2020</v>
      </c>
      <c r="G16404">
        <v>2.83928</v>
      </c>
    </row>
    <row r="16405" spans="1:7">
      <c r="A16405" t="s">
        <v>1297</v>
      </c>
      <c r="B16405" t="s">
        <v>1298</v>
      </c>
      <c r="C16405" t="s">
        <v>686</v>
      </c>
      <c r="D16405" t="s">
        <v>1480</v>
      </c>
      <c r="E16405" t="s">
        <v>187</v>
      </c>
      <c r="F16405">
        <v>2016</v>
      </c>
      <c r="G16405">
        <v>1.44E-2</v>
      </c>
    </row>
    <row r="16406" spans="1:7">
      <c r="A16406" t="s">
        <v>1297</v>
      </c>
      <c r="B16406" t="s">
        <v>1298</v>
      </c>
      <c r="C16406" t="s">
        <v>686</v>
      </c>
      <c r="D16406" t="s">
        <v>1480</v>
      </c>
      <c r="E16406" t="s">
        <v>187</v>
      </c>
      <c r="F16406">
        <v>2020</v>
      </c>
      <c r="G16406">
        <v>2.0584999999999999E-2</v>
      </c>
    </row>
    <row r="16407" spans="1:7">
      <c r="A16407" t="s">
        <v>1297</v>
      </c>
      <c r="B16407" t="s">
        <v>1298</v>
      </c>
      <c r="C16407" t="s">
        <v>676</v>
      </c>
      <c r="D16407" t="s">
        <v>1480</v>
      </c>
      <c r="E16407" t="s">
        <v>187</v>
      </c>
      <c r="F16407">
        <v>2005</v>
      </c>
      <c r="G16407">
        <v>8.6400000000000005E-2</v>
      </c>
    </row>
    <row r="16408" spans="1:7">
      <c r="A16408" t="s">
        <v>1297</v>
      </c>
      <c r="B16408" t="s">
        <v>1298</v>
      </c>
      <c r="C16408" t="s">
        <v>676</v>
      </c>
      <c r="D16408" t="s">
        <v>1480</v>
      </c>
      <c r="E16408" t="s">
        <v>187</v>
      </c>
      <c r="F16408">
        <v>2010</v>
      </c>
      <c r="G16408">
        <v>8.6400000000000005E-2</v>
      </c>
    </row>
    <row r="16409" spans="1:7">
      <c r="A16409" t="s">
        <v>1297</v>
      </c>
      <c r="B16409" t="s">
        <v>1298</v>
      </c>
      <c r="C16409" t="s">
        <v>676</v>
      </c>
      <c r="D16409" t="s">
        <v>1480</v>
      </c>
      <c r="E16409" t="s">
        <v>187</v>
      </c>
      <c r="F16409">
        <v>2012</v>
      </c>
      <c r="G16409">
        <v>0.09</v>
      </c>
    </row>
    <row r="16410" spans="1:7">
      <c r="A16410" t="s">
        <v>1297</v>
      </c>
      <c r="B16410" t="s">
        <v>1298</v>
      </c>
      <c r="C16410" t="s">
        <v>676</v>
      </c>
      <c r="D16410" t="s">
        <v>1480</v>
      </c>
      <c r="E16410" t="s">
        <v>187</v>
      </c>
      <c r="F16410">
        <v>2016</v>
      </c>
      <c r="G16410">
        <v>7.9200000000000007E-2</v>
      </c>
    </row>
    <row r="16411" spans="1:7">
      <c r="A16411" t="s">
        <v>1297</v>
      </c>
      <c r="B16411" t="s">
        <v>1298</v>
      </c>
      <c r="C16411" t="s">
        <v>676</v>
      </c>
      <c r="D16411" t="s">
        <v>1480</v>
      </c>
      <c r="E16411" t="s">
        <v>187</v>
      </c>
      <c r="F16411">
        <v>2020</v>
      </c>
      <c r="G16411">
        <v>0.1008</v>
      </c>
    </row>
    <row r="16412" spans="1:7">
      <c r="A16412" t="s">
        <v>1297</v>
      </c>
      <c r="B16412" t="s">
        <v>1298</v>
      </c>
      <c r="C16412" t="s">
        <v>672</v>
      </c>
      <c r="D16412" t="s">
        <v>1480</v>
      </c>
      <c r="E16412" t="s">
        <v>187</v>
      </c>
      <c r="F16412">
        <v>2005</v>
      </c>
      <c r="G16412">
        <v>1.0981300000000001</v>
      </c>
    </row>
    <row r="16413" spans="1:7">
      <c r="A16413" t="s">
        <v>1297</v>
      </c>
      <c r="B16413" t="s">
        <v>1298</v>
      </c>
      <c r="C16413" t="s">
        <v>672</v>
      </c>
      <c r="D16413" t="s">
        <v>1480</v>
      </c>
      <c r="E16413" t="s">
        <v>187</v>
      </c>
      <c r="F16413">
        <v>2010</v>
      </c>
      <c r="G16413">
        <v>1.177783</v>
      </c>
    </row>
    <row r="16414" spans="1:7">
      <c r="A16414" t="s">
        <v>1297</v>
      </c>
      <c r="B16414" t="s">
        <v>1298</v>
      </c>
      <c r="C16414" t="s">
        <v>672</v>
      </c>
      <c r="D16414" t="s">
        <v>1480</v>
      </c>
      <c r="E16414" t="s">
        <v>187</v>
      </c>
      <c r="F16414">
        <v>2012</v>
      </c>
      <c r="G16414">
        <v>0.91539000000000004</v>
      </c>
    </row>
    <row r="16415" spans="1:7">
      <c r="A16415" t="s">
        <v>1297</v>
      </c>
      <c r="B16415" t="s">
        <v>1298</v>
      </c>
      <c r="C16415" t="s">
        <v>672</v>
      </c>
      <c r="D16415" t="s">
        <v>1480</v>
      </c>
      <c r="E16415" t="s">
        <v>187</v>
      </c>
      <c r="F16415">
        <v>2016</v>
      </c>
      <c r="G16415">
        <v>1.1522159999999999</v>
      </c>
    </row>
    <row r="16416" spans="1:7">
      <c r="A16416" t="s">
        <v>1297</v>
      </c>
      <c r="B16416" t="s">
        <v>1298</v>
      </c>
      <c r="C16416" t="s">
        <v>672</v>
      </c>
      <c r="D16416" t="s">
        <v>1480</v>
      </c>
      <c r="E16416" t="s">
        <v>187</v>
      </c>
      <c r="F16416">
        <v>2020</v>
      </c>
      <c r="G16416">
        <v>0.98771799999999998</v>
      </c>
    </row>
    <row r="16417" spans="1:7">
      <c r="A16417" t="s">
        <v>1297</v>
      </c>
      <c r="B16417" t="s">
        <v>1298</v>
      </c>
      <c r="C16417" t="s">
        <v>651</v>
      </c>
      <c r="D16417" t="s">
        <v>1480</v>
      </c>
      <c r="E16417" t="s">
        <v>187</v>
      </c>
      <c r="F16417">
        <v>2005</v>
      </c>
      <c r="G16417">
        <v>1.601172</v>
      </c>
    </row>
    <row r="16418" spans="1:7">
      <c r="A16418" t="s">
        <v>1297</v>
      </c>
      <c r="B16418" t="s">
        <v>1298</v>
      </c>
      <c r="C16418" t="s">
        <v>651</v>
      </c>
      <c r="D16418" t="s">
        <v>1480</v>
      </c>
      <c r="E16418" t="s">
        <v>187</v>
      </c>
      <c r="F16418">
        <v>2010</v>
      </c>
      <c r="G16418">
        <v>2.11788</v>
      </c>
    </row>
    <row r="16419" spans="1:7">
      <c r="A16419" t="s">
        <v>1297</v>
      </c>
      <c r="B16419" t="s">
        <v>1298</v>
      </c>
      <c r="C16419" t="s">
        <v>651</v>
      </c>
      <c r="D16419" t="s">
        <v>1480</v>
      </c>
      <c r="E16419" t="s">
        <v>187</v>
      </c>
      <c r="F16419">
        <v>2012</v>
      </c>
      <c r="G16419">
        <v>2.4761989999999998</v>
      </c>
    </row>
    <row r="16420" spans="1:7">
      <c r="A16420" t="s">
        <v>1297</v>
      </c>
      <c r="B16420" t="s">
        <v>1298</v>
      </c>
      <c r="C16420" t="s">
        <v>651</v>
      </c>
      <c r="D16420" t="s">
        <v>1480</v>
      </c>
      <c r="E16420" t="s">
        <v>187</v>
      </c>
      <c r="F16420">
        <v>2016</v>
      </c>
      <c r="G16420">
        <v>2.5772759999999999</v>
      </c>
    </row>
    <row r="16421" spans="1:7">
      <c r="A16421" t="s">
        <v>1297</v>
      </c>
      <c r="B16421" t="s">
        <v>1298</v>
      </c>
      <c r="C16421" t="s">
        <v>651</v>
      </c>
      <c r="D16421" t="s">
        <v>1480</v>
      </c>
      <c r="E16421" t="s">
        <v>187</v>
      </c>
      <c r="F16421">
        <v>2020</v>
      </c>
      <c r="G16421">
        <v>2.8372099999999998</v>
      </c>
    </row>
    <row r="16422" spans="1:7">
      <c r="A16422" t="s">
        <v>1297</v>
      </c>
      <c r="B16422" t="s">
        <v>1298</v>
      </c>
      <c r="C16422" t="s">
        <v>671</v>
      </c>
      <c r="D16422" t="s">
        <v>1480</v>
      </c>
      <c r="E16422" t="s">
        <v>187</v>
      </c>
      <c r="F16422">
        <v>2005</v>
      </c>
      <c r="G16422">
        <v>0.14580000000000001</v>
      </c>
    </row>
    <row r="16423" spans="1:7">
      <c r="A16423" t="s">
        <v>1297</v>
      </c>
      <c r="B16423" t="s">
        <v>1298</v>
      </c>
      <c r="C16423" t="s">
        <v>671</v>
      </c>
      <c r="D16423" t="s">
        <v>1480</v>
      </c>
      <c r="E16423" t="s">
        <v>187</v>
      </c>
      <c r="F16423">
        <v>2010</v>
      </c>
      <c r="G16423">
        <v>0.16286800000000001</v>
      </c>
    </row>
    <row r="16424" spans="1:7">
      <c r="A16424" t="s">
        <v>1297</v>
      </c>
      <c r="B16424" t="s">
        <v>1298</v>
      </c>
      <c r="C16424" t="s">
        <v>671</v>
      </c>
      <c r="D16424" t="s">
        <v>1480</v>
      </c>
      <c r="E16424" t="s">
        <v>187</v>
      </c>
      <c r="F16424">
        <v>2012</v>
      </c>
      <c r="G16424">
        <v>0.10803599999999999</v>
      </c>
    </row>
    <row r="16425" spans="1:7">
      <c r="A16425" t="s">
        <v>1297</v>
      </c>
      <c r="B16425" t="s">
        <v>1298</v>
      </c>
      <c r="C16425" t="s">
        <v>671</v>
      </c>
      <c r="D16425" t="s">
        <v>1480</v>
      </c>
      <c r="E16425" t="s">
        <v>187</v>
      </c>
      <c r="F16425">
        <v>2016</v>
      </c>
      <c r="G16425">
        <v>0.76971199999999995</v>
      </c>
    </row>
    <row r="16426" spans="1:7">
      <c r="A16426" t="s">
        <v>1297</v>
      </c>
      <c r="B16426" t="s">
        <v>1298</v>
      </c>
      <c r="C16426" t="s">
        <v>671</v>
      </c>
      <c r="D16426" t="s">
        <v>1480</v>
      </c>
      <c r="E16426" t="s">
        <v>187</v>
      </c>
      <c r="F16426">
        <v>2020</v>
      </c>
      <c r="G16426">
        <v>2.0443099999999998</v>
      </c>
    </row>
    <row r="16427" spans="1:7">
      <c r="A16427" t="s">
        <v>1297</v>
      </c>
      <c r="B16427" t="s">
        <v>1298</v>
      </c>
      <c r="C16427" t="s">
        <v>662</v>
      </c>
      <c r="D16427" t="s">
        <v>1480</v>
      </c>
      <c r="E16427" t="s">
        <v>187</v>
      </c>
      <c r="F16427">
        <v>2005</v>
      </c>
      <c r="G16427">
        <v>0.35897800000000002</v>
      </c>
    </row>
    <row r="16428" spans="1:7">
      <c r="A16428" t="s">
        <v>1297</v>
      </c>
      <c r="B16428" t="s">
        <v>1298</v>
      </c>
      <c r="C16428" t="s">
        <v>662</v>
      </c>
      <c r="D16428" t="s">
        <v>1480</v>
      </c>
      <c r="E16428" t="s">
        <v>187</v>
      </c>
      <c r="F16428">
        <v>2010</v>
      </c>
      <c r="G16428">
        <v>0.46439999999999998</v>
      </c>
    </row>
    <row r="16429" spans="1:7">
      <c r="A16429" t="s">
        <v>1297</v>
      </c>
      <c r="B16429" t="s">
        <v>1298</v>
      </c>
      <c r="C16429" t="s">
        <v>662</v>
      </c>
      <c r="D16429" t="s">
        <v>1480</v>
      </c>
      <c r="E16429" t="s">
        <v>187</v>
      </c>
      <c r="F16429">
        <v>2012</v>
      </c>
      <c r="G16429">
        <v>0.216</v>
      </c>
    </row>
    <row r="16430" spans="1:7">
      <c r="A16430" t="s">
        <v>1297</v>
      </c>
      <c r="B16430" t="s">
        <v>1298</v>
      </c>
      <c r="C16430" t="s">
        <v>662</v>
      </c>
      <c r="D16430" t="s">
        <v>1480</v>
      </c>
      <c r="E16430" t="s">
        <v>187</v>
      </c>
      <c r="F16430">
        <v>2016</v>
      </c>
      <c r="G16430">
        <v>0.74519999999999997</v>
      </c>
    </row>
    <row r="16431" spans="1:7">
      <c r="A16431" t="s">
        <v>1297</v>
      </c>
      <c r="B16431" t="s">
        <v>1298</v>
      </c>
      <c r="C16431" t="s">
        <v>662</v>
      </c>
      <c r="D16431" t="s">
        <v>1480</v>
      </c>
      <c r="E16431" t="s">
        <v>187</v>
      </c>
      <c r="F16431">
        <v>2020</v>
      </c>
      <c r="G16431">
        <v>1.043064</v>
      </c>
    </row>
    <row r="16432" spans="1:7">
      <c r="A16432" t="s">
        <v>1297</v>
      </c>
      <c r="B16432" t="s">
        <v>1298</v>
      </c>
      <c r="C16432" t="s">
        <v>675</v>
      </c>
      <c r="D16432" t="s">
        <v>1480</v>
      </c>
      <c r="E16432" t="s">
        <v>187</v>
      </c>
      <c r="F16432">
        <v>2005</v>
      </c>
      <c r="G16432">
        <v>2.0239E-2</v>
      </c>
    </row>
    <row r="16433" spans="1:7">
      <c r="A16433" t="s">
        <v>1297</v>
      </c>
      <c r="B16433" t="s">
        <v>1298</v>
      </c>
      <c r="C16433" t="s">
        <v>675</v>
      </c>
      <c r="D16433" t="s">
        <v>1480</v>
      </c>
      <c r="E16433" t="s">
        <v>187</v>
      </c>
      <c r="F16433">
        <v>2010</v>
      </c>
      <c r="G16433">
        <v>1.6404999999999999E-2</v>
      </c>
    </row>
    <row r="16434" spans="1:7">
      <c r="A16434" t="s">
        <v>1297</v>
      </c>
      <c r="B16434" t="s">
        <v>1298</v>
      </c>
      <c r="C16434" t="s">
        <v>675</v>
      </c>
      <c r="D16434" t="s">
        <v>1480</v>
      </c>
      <c r="E16434" t="s">
        <v>187</v>
      </c>
      <c r="F16434">
        <v>2012</v>
      </c>
      <c r="G16434">
        <v>2.1852E-2</v>
      </c>
    </row>
    <row r="16435" spans="1:7">
      <c r="A16435" t="s">
        <v>1297</v>
      </c>
      <c r="B16435" t="s">
        <v>1298</v>
      </c>
      <c r="C16435" t="s">
        <v>675</v>
      </c>
      <c r="D16435" t="s">
        <v>1480</v>
      </c>
      <c r="E16435" t="s">
        <v>187</v>
      </c>
      <c r="F16435">
        <v>2016</v>
      </c>
      <c r="G16435">
        <v>3.0877000000000002E-2</v>
      </c>
    </row>
    <row r="16436" spans="1:7">
      <c r="A16436" t="s">
        <v>1297</v>
      </c>
      <c r="B16436" t="s">
        <v>1298</v>
      </c>
      <c r="C16436" t="s">
        <v>675</v>
      </c>
      <c r="D16436" t="s">
        <v>1480</v>
      </c>
      <c r="E16436" t="s">
        <v>187</v>
      </c>
      <c r="F16436">
        <v>2020</v>
      </c>
      <c r="G16436">
        <v>3.4354999999999997E-2</v>
      </c>
    </row>
    <row r="16437" spans="1:7">
      <c r="A16437" t="s">
        <v>1297</v>
      </c>
      <c r="B16437" t="s">
        <v>1298</v>
      </c>
      <c r="C16437" t="s">
        <v>661</v>
      </c>
      <c r="D16437" t="s">
        <v>1480</v>
      </c>
      <c r="E16437" t="s">
        <v>187</v>
      </c>
      <c r="F16437">
        <v>2005</v>
      </c>
      <c r="G16437">
        <v>5.9652000000000003</v>
      </c>
    </row>
    <row r="16438" spans="1:7">
      <c r="A16438" t="s">
        <v>1297</v>
      </c>
      <c r="B16438" t="s">
        <v>1298</v>
      </c>
      <c r="C16438" t="s">
        <v>661</v>
      </c>
      <c r="D16438" t="s">
        <v>1480</v>
      </c>
      <c r="E16438" t="s">
        <v>187</v>
      </c>
      <c r="F16438">
        <v>2010</v>
      </c>
      <c r="G16438">
        <v>7.3079999999999998</v>
      </c>
    </row>
    <row r="16439" spans="1:7">
      <c r="A16439" t="s">
        <v>1297</v>
      </c>
      <c r="B16439" t="s">
        <v>1298</v>
      </c>
      <c r="C16439" t="s">
        <v>661</v>
      </c>
      <c r="D16439" t="s">
        <v>1480</v>
      </c>
      <c r="E16439" t="s">
        <v>187</v>
      </c>
      <c r="F16439">
        <v>2012</v>
      </c>
      <c r="G16439">
        <v>8.1134640000000005</v>
      </c>
    </row>
    <row r="16440" spans="1:7">
      <c r="A16440" t="s">
        <v>1297</v>
      </c>
      <c r="B16440" t="s">
        <v>1298</v>
      </c>
      <c r="C16440" t="s">
        <v>661</v>
      </c>
      <c r="D16440" t="s">
        <v>1480</v>
      </c>
      <c r="E16440" t="s">
        <v>187</v>
      </c>
      <c r="F16440">
        <v>2016</v>
      </c>
      <c r="G16440">
        <v>8.5597200000000004</v>
      </c>
    </row>
    <row r="16441" spans="1:7">
      <c r="A16441" t="s">
        <v>1297</v>
      </c>
      <c r="B16441" t="s">
        <v>1298</v>
      </c>
      <c r="C16441" t="s">
        <v>661</v>
      </c>
      <c r="D16441" t="s">
        <v>1480</v>
      </c>
      <c r="E16441" t="s">
        <v>187</v>
      </c>
      <c r="F16441">
        <v>2020</v>
      </c>
      <c r="G16441">
        <v>8.6502960000000009</v>
      </c>
    </row>
    <row r="16442" spans="1:7">
      <c r="A16442" t="s">
        <v>1297</v>
      </c>
      <c r="B16442" t="s">
        <v>1298</v>
      </c>
      <c r="C16442" t="s">
        <v>673</v>
      </c>
      <c r="D16442" t="s">
        <v>1480</v>
      </c>
      <c r="E16442" t="s">
        <v>187</v>
      </c>
      <c r="F16442">
        <v>2005</v>
      </c>
      <c r="G16442">
        <v>3.5999999999999999E-3</v>
      </c>
    </row>
    <row r="16443" spans="1:7">
      <c r="A16443" t="s">
        <v>1297</v>
      </c>
      <c r="B16443" t="s">
        <v>1298</v>
      </c>
      <c r="C16443" t="s">
        <v>673</v>
      </c>
      <c r="D16443" t="s">
        <v>1480</v>
      </c>
      <c r="E16443" t="s">
        <v>187</v>
      </c>
      <c r="F16443">
        <v>2016</v>
      </c>
      <c r="G16443">
        <v>1.073E-3</v>
      </c>
    </row>
    <row r="16444" spans="1:7">
      <c r="A16444" t="s">
        <v>1297</v>
      </c>
      <c r="B16444" t="s">
        <v>1298</v>
      </c>
      <c r="C16444" t="s">
        <v>673</v>
      </c>
      <c r="D16444" t="s">
        <v>1480</v>
      </c>
      <c r="E16444" t="s">
        <v>187</v>
      </c>
      <c r="F16444">
        <v>2020</v>
      </c>
      <c r="G16444" s="14">
        <v>1.4E-5</v>
      </c>
    </row>
    <row r="16445" spans="1:7">
      <c r="A16445" t="s">
        <v>1297</v>
      </c>
      <c r="B16445" t="s">
        <v>1298</v>
      </c>
      <c r="C16445" t="s">
        <v>665</v>
      </c>
      <c r="D16445" t="s">
        <v>1480</v>
      </c>
      <c r="E16445" t="s">
        <v>187</v>
      </c>
      <c r="F16445">
        <v>2005</v>
      </c>
      <c r="G16445">
        <v>5.3297350000000003</v>
      </c>
    </row>
    <row r="16446" spans="1:7">
      <c r="A16446" t="s">
        <v>1297</v>
      </c>
      <c r="B16446" t="s">
        <v>1298</v>
      </c>
      <c r="C16446" t="s">
        <v>665</v>
      </c>
      <c r="D16446" t="s">
        <v>1480</v>
      </c>
      <c r="E16446" t="s">
        <v>187</v>
      </c>
      <c r="F16446">
        <v>2010</v>
      </c>
      <c r="G16446">
        <v>7.7206720000000004</v>
      </c>
    </row>
    <row r="16447" spans="1:7">
      <c r="A16447" t="s">
        <v>1297</v>
      </c>
      <c r="B16447" t="s">
        <v>1298</v>
      </c>
      <c r="C16447" t="s">
        <v>665</v>
      </c>
      <c r="D16447" t="s">
        <v>1480</v>
      </c>
      <c r="E16447" t="s">
        <v>187</v>
      </c>
      <c r="F16447">
        <v>2012</v>
      </c>
      <c r="G16447">
        <v>8.1574600000000004</v>
      </c>
    </row>
    <row r="16448" spans="1:7">
      <c r="A16448" t="s">
        <v>1297</v>
      </c>
      <c r="B16448" t="s">
        <v>1298</v>
      </c>
      <c r="C16448" t="s">
        <v>665</v>
      </c>
      <c r="D16448" t="s">
        <v>1480</v>
      </c>
      <c r="E16448" t="s">
        <v>187</v>
      </c>
      <c r="F16448">
        <v>2016</v>
      </c>
      <c r="G16448">
        <v>9.0118910000000003</v>
      </c>
    </row>
    <row r="16449" spans="1:7">
      <c r="A16449" t="s">
        <v>1297</v>
      </c>
      <c r="B16449" t="s">
        <v>1298</v>
      </c>
      <c r="C16449" t="s">
        <v>665</v>
      </c>
      <c r="D16449" t="s">
        <v>1480</v>
      </c>
      <c r="E16449" t="s">
        <v>187</v>
      </c>
      <c r="F16449">
        <v>2020</v>
      </c>
      <c r="G16449">
        <v>8.7427150000000005</v>
      </c>
    </row>
    <row r="16450" spans="1:7">
      <c r="A16450" t="s">
        <v>1297</v>
      </c>
      <c r="B16450" t="s">
        <v>1298</v>
      </c>
      <c r="C16450" t="s">
        <v>664</v>
      </c>
      <c r="D16450" t="s">
        <v>1480</v>
      </c>
      <c r="E16450" t="s">
        <v>187</v>
      </c>
      <c r="F16450">
        <v>2012</v>
      </c>
      <c r="G16450">
        <v>0.179093</v>
      </c>
    </row>
    <row r="16451" spans="1:7">
      <c r="A16451" t="s">
        <v>1297</v>
      </c>
      <c r="B16451" t="s">
        <v>1298</v>
      </c>
      <c r="C16451" t="s">
        <v>664</v>
      </c>
      <c r="D16451" t="s">
        <v>1480</v>
      </c>
      <c r="E16451" t="s">
        <v>187</v>
      </c>
      <c r="F16451">
        <v>2016</v>
      </c>
      <c r="G16451">
        <v>0.26207999999999998</v>
      </c>
    </row>
    <row r="16452" spans="1:7">
      <c r="A16452" t="s">
        <v>1297</v>
      </c>
      <c r="B16452" t="s">
        <v>1298</v>
      </c>
      <c r="C16452" t="s">
        <v>664</v>
      </c>
      <c r="D16452" t="s">
        <v>1480</v>
      </c>
      <c r="E16452" t="s">
        <v>187</v>
      </c>
      <c r="F16452">
        <v>2020</v>
      </c>
      <c r="G16452">
        <v>1.060816</v>
      </c>
    </row>
    <row r="16453" spans="1:7">
      <c r="A16453" t="s">
        <v>1297</v>
      </c>
      <c r="B16453" t="s">
        <v>1298</v>
      </c>
      <c r="C16453" t="s">
        <v>1301</v>
      </c>
      <c r="D16453" t="s">
        <v>1480</v>
      </c>
      <c r="E16453" t="s">
        <v>187</v>
      </c>
      <c r="F16453">
        <v>2005</v>
      </c>
      <c r="G16453">
        <v>3.7443999999999998E-2</v>
      </c>
    </row>
    <row r="16454" spans="1:7">
      <c r="A16454" t="s">
        <v>1297</v>
      </c>
      <c r="B16454" t="s">
        <v>1298</v>
      </c>
      <c r="C16454" t="s">
        <v>1301</v>
      </c>
      <c r="D16454" t="s">
        <v>1480</v>
      </c>
      <c r="E16454" t="s">
        <v>187</v>
      </c>
      <c r="F16454">
        <v>2010</v>
      </c>
      <c r="G16454">
        <v>4.8424000000000002E-2</v>
      </c>
    </row>
    <row r="16455" spans="1:7">
      <c r="A16455" t="s">
        <v>1297</v>
      </c>
      <c r="B16455" t="s">
        <v>1298</v>
      </c>
      <c r="C16455" t="s">
        <v>1301</v>
      </c>
      <c r="D16455" t="s">
        <v>1480</v>
      </c>
      <c r="E16455" t="s">
        <v>187</v>
      </c>
      <c r="F16455">
        <v>2012</v>
      </c>
      <c r="G16455">
        <v>6.0000999999999999E-2</v>
      </c>
    </row>
    <row r="16456" spans="1:7">
      <c r="A16456" t="s">
        <v>1297</v>
      </c>
      <c r="B16456" t="s">
        <v>1298</v>
      </c>
      <c r="C16456" t="s">
        <v>1301</v>
      </c>
      <c r="D16456" t="s">
        <v>1480</v>
      </c>
      <c r="E16456" t="s">
        <v>187</v>
      </c>
      <c r="F16456">
        <v>2016</v>
      </c>
      <c r="G16456">
        <v>8.5676000000000002E-2</v>
      </c>
    </row>
    <row r="16457" spans="1:7">
      <c r="A16457" t="s">
        <v>1297</v>
      </c>
      <c r="B16457" t="s">
        <v>1298</v>
      </c>
      <c r="C16457" t="s">
        <v>653</v>
      </c>
      <c r="D16457" t="s">
        <v>1480</v>
      </c>
      <c r="E16457" t="s">
        <v>187</v>
      </c>
      <c r="F16457">
        <v>2005</v>
      </c>
      <c r="G16457">
        <v>6.1199999999999997E-2</v>
      </c>
    </row>
    <row r="16458" spans="1:7">
      <c r="A16458" t="s">
        <v>1297</v>
      </c>
      <c r="B16458" t="s">
        <v>1298</v>
      </c>
      <c r="C16458" t="s">
        <v>653</v>
      </c>
      <c r="D16458" t="s">
        <v>1480</v>
      </c>
      <c r="E16458" t="s">
        <v>187</v>
      </c>
      <c r="F16458">
        <v>2020</v>
      </c>
      <c r="G16458">
        <v>3.7137999999999997E-2</v>
      </c>
    </row>
    <row r="16459" spans="1:7">
      <c r="A16459" t="s">
        <v>1297</v>
      </c>
      <c r="B16459" t="s">
        <v>1298</v>
      </c>
      <c r="C16459" t="s">
        <v>660</v>
      </c>
      <c r="D16459" t="s">
        <v>1480</v>
      </c>
      <c r="E16459" t="s">
        <v>187</v>
      </c>
      <c r="F16459">
        <v>2005</v>
      </c>
      <c r="G16459">
        <v>0.63643000000000005</v>
      </c>
    </row>
    <row r="16460" spans="1:7">
      <c r="A16460" t="s">
        <v>1297</v>
      </c>
      <c r="B16460" t="s">
        <v>1298</v>
      </c>
      <c r="C16460" t="s">
        <v>660</v>
      </c>
      <c r="D16460" t="s">
        <v>1480</v>
      </c>
      <c r="E16460" t="s">
        <v>187</v>
      </c>
      <c r="F16460">
        <v>2010</v>
      </c>
      <c r="G16460">
        <v>0.76498900000000003</v>
      </c>
    </row>
    <row r="16461" spans="1:7">
      <c r="A16461" t="s">
        <v>1297</v>
      </c>
      <c r="B16461" t="s">
        <v>1298</v>
      </c>
      <c r="C16461" t="s">
        <v>660</v>
      </c>
      <c r="D16461" t="s">
        <v>1480</v>
      </c>
      <c r="E16461" t="s">
        <v>187</v>
      </c>
      <c r="F16461">
        <v>2012</v>
      </c>
      <c r="G16461">
        <v>0.84808799999999995</v>
      </c>
    </row>
    <row r="16462" spans="1:7">
      <c r="A16462" t="s">
        <v>1297</v>
      </c>
      <c r="B16462" t="s">
        <v>1298</v>
      </c>
      <c r="C16462" t="s">
        <v>660</v>
      </c>
      <c r="D16462" t="s">
        <v>1480</v>
      </c>
      <c r="E16462" t="s">
        <v>187</v>
      </c>
      <c r="F16462">
        <v>2016</v>
      </c>
      <c r="G16462">
        <v>1.545188</v>
      </c>
    </row>
    <row r="16463" spans="1:7">
      <c r="A16463" t="s">
        <v>1297</v>
      </c>
      <c r="B16463" t="s">
        <v>1298</v>
      </c>
      <c r="C16463" t="s">
        <v>660</v>
      </c>
      <c r="D16463" t="s">
        <v>1480</v>
      </c>
      <c r="E16463" t="s">
        <v>187</v>
      </c>
      <c r="F16463">
        <v>2020</v>
      </c>
      <c r="G16463">
        <v>1.8338080000000001</v>
      </c>
    </row>
    <row r="16464" spans="1:7">
      <c r="A16464" t="s">
        <v>1297</v>
      </c>
      <c r="B16464" t="s">
        <v>1298</v>
      </c>
      <c r="C16464" t="s">
        <v>659</v>
      </c>
      <c r="D16464" t="s">
        <v>1480</v>
      </c>
      <c r="E16464" t="s">
        <v>187</v>
      </c>
      <c r="F16464">
        <v>2005</v>
      </c>
      <c r="G16464">
        <v>1.6235999999999999</v>
      </c>
    </row>
    <row r="16465" spans="1:7">
      <c r="A16465" t="s">
        <v>1297</v>
      </c>
      <c r="B16465" t="s">
        <v>1298</v>
      </c>
      <c r="C16465" t="s">
        <v>659</v>
      </c>
      <c r="D16465" t="s">
        <v>1480</v>
      </c>
      <c r="E16465" t="s">
        <v>187</v>
      </c>
      <c r="F16465">
        <v>2010</v>
      </c>
      <c r="G16465">
        <v>2.3723999999999998</v>
      </c>
    </row>
    <row r="16466" spans="1:7">
      <c r="A16466" t="s">
        <v>1297</v>
      </c>
      <c r="B16466" t="s">
        <v>1298</v>
      </c>
      <c r="C16466" t="s">
        <v>659</v>
      </c>
      <c r="D16466" t="s">
        <v>1480</v>
      </c>
      <c r="E16466" t="s">
        <v>187</v>
      </c>
      <c r="F16466">
        <v>2012</v>
      </c>
      <c r="G16466">
        <v>2.5739999999999998</v>
      </c>
    </row>
    <row r="16467" spans="1:7">
      <c r="A16467" t="s">
        <v>1297</v>
      </c>
      <c r="B16467" t="s">
        <v>1298</v>
      </c>
      <c r="C16467" t="s">
        <v>659</v>
      </c>
      <c r="D16467" t="s">
        <v>1480</v>
      </c>
      <c r="E16467" t="s">
        <v>187</v>
      </c>
      <c r="F16467">
        <v>2016</v>
      </c>
      <c r="G16467">
        <v>2.6459999999999999</v>
      </c>
    </row>
    <row r="16468" spans="1:7">
      <c r="A16468" t="s">
        <v>1297</v>
      </c>
      <c r="B16468" t="s">
        <v>1298</v>
      </c>
      <c r="C16468" t="s">
        <v>659</v>
      </c>
      <c r="D16468" t="s">
        <v>1480</v>
      </c>
      <c r="E16468" t="s">
        <v>187</v>
      </c>
      <c r="F16468">
        <v>2020</v>
      </c>
      <c r="G16468">
        <v>3.5459999999999998</v>
      </c>
    </row>
    <row r="16469" spans="1:7">
      <c r="A16469" t="s">
        <v>1297</v>
      </c>
      <c r="B16469" t="s">
        <v>1298</v>
      </c>
      <c r="C16469" t="s">
        <v>663</v>
      </c>
      <c r="D16469" t="s">
        <v>1480</v>
      </c>
      <c r="E16469" t="s">
        <v>187</v>
      </c>
      <c r="F16469">
        <v>2005</v>
      </c>
      <c r="G16469">
        <v>0.25800099999999998</v>
      </c>
    </row>
    <row r="16470" spans="1:7">
      <c r="A16470" t="s">
        <v>1297</v>
      </c>
      <c r="B16470" t="s">
        <v>1298</v>
      </c>
      <c r="C16470" t="s">
        <v>663</v>
      </c>
      <c r="D16470" t="s">
        <v>1480</v>
      </c>
      <c r="E16470" t="s">
        <v>187</v>
      </c>
      <c r="F16470">
        <v>2010</v>
      </c>
      <c r="G16470">
        <v>0.54597600000000002</v>
      </c>
    </row>
    <row r="16471" spans="1:7">
      <c r="A16471" t="s">
        <v>1297</v>
      </c>
      <c r="B16471" t="s">
        <v>1298</v>
      </c>
      <c r="C16471" t="s">
        <v>663</v>
      </c>
      <c r="D16471" t="s">
        <v>1480</v>
      </c>
      <c r="E16471" t="s">
        <v>187</v>
      </c>
      <c r="F16471">
        <v>2012</v>
      </c>
      <c r="G16471">
        <v>0.42280200000000001</v>
      </c>
    </row>
    <row r="16472" spans="1:7">
      <c r="A16472" t="s">
        <v>1297</v>
      </c>
      <c r="B16472" t="s">
        <v>1298</v>
      </c>
      <c r="C16472" t="s">
        <v>663</v>
      </c>
      <c r="D16472" t="s">
        <v>1480</v>
      </c>
      <c r="E16472" t="s">
        <v>187</v>
      </c>
      <c r="F16472">
        <v>2016</v>
      </c>
      <c r="G16472">
        <v>0.761015</v>
      </c>
    </row>
    <row r="16473" spans="1:7">
      <c r="A16473" t="s">
        <v>1297</v>
      </c>
      <c r="B16473" t="s">
        <v>1298</v>
      </c>
      <c r="C16473" t="s">
        <v>663</v>
      </c>
      <c r="D16473" t="s">
        <v>1480</v>
      </c>
      <c r="E16473" t="s">
        <v>187</v>
      </c>
      <c r="F16473">
        <v>2020</v>
      </c>
      <c r="G16473">
        <v>0.89280000000000004</v>
      </c>
    </row>
    <row r="16474" spans="1:7">
      <c r="A16474" t="s">
        <v>1297</v>
      </c>
      <c r="B16474" t="s">
        <v>1298</v>
      </c>
      <c r="C16474" t="s">
        <v>670</v>
      </c>
      <c r="D16474" t="s">
        <v>1480</v>
      </c>
      <c r="E16474" t="s">
        <v>187</v>
      </c>
      <c r="F16474">
        <v>2005</v>
      </c>
      <c r="G16474">
        <v>5.1393740000000001</v>
      </c>
    </row>
    <row r="16475" spans="1:7">
      <c r="A16475" t="s">
        <v>1297</v>
      </c>
      <c r="B16475" t="s">
        <v>1298</v>
      </c>
      <c r="C16475" t="s">
        <v>670</v>
      </c>
      <c r="D16475" t="s">
        <v>1480</v>
      </c>
      <c r="E16475" t="s">
        <v>187</v>
      </c>
      <c r="F16475">
        <v>2010</v>
      </c>
      <c r="G16475">
        <v>5.6290139999999997</v>
      </c>
    </row>
    <row r="16476" spans="1:7">
      <c r="A16476" t="s">
        <v>1297</v>
      </c>
      <c r="B16476" t="s">
        <v>1298</v>
      </c>
      <c r="C16476" t="s">
        <v>670</v>
      </c>
      <c r="D16476" t="s">
        <v>1480</v>
      </c>
      <c r="E16476" t="s">
        <v>187</v>
      </c>
      <c r="F16476">
        <v>2012</v>
      </c>
      <c r="G16476">
        <v>6.3213549999999996</v>
      </c>
    </row>
    <row r="16477" spans="1:7">
      <c r="A16477" t="s">
        <v>1297</v>
      </c>
      <c r="B16477" t="s">
        <v>1298</v>
      </c>
      <c r="C16477" t="s">
        <v>670</v>
      </c>
      <c r="D16477" t="s">
        <v>1480</v>
      </c>
      <c r="E16477" t="s">
        <v>187</v>
      </c>
      <c r="F16477">
        <v>2016</v>
      </c>
      <c r="G16477">
        <v>6.1477199999999996</v>
      </c>
    </row>
    <row r="16478" spans="1:7">
      <c r="A16478" t="s">
        <v>1297</v>
      </c>
      <c r="B16478" t="s">
        <v>1298</v>
      </c>
      <c r="C16478" t="s">
        <v>670</v>
      </c>
      <c r="D16478" t="s">
        <v>1480</v>
      </c>
      <c r="E16478" t="s">
        <v>187</v>
      </c>
      <c r="F16478">
        <v>2020</v>
      </c>
      <c r="G16478">
        <v>6.6453480000000003</v>
      </c>
    </row>
    <row r="16479" spans="1:7">
      <c r="A16479" t="s">
        <v>1297</v>
      </c>
      <c r="B16479" t="s">
        <v>1298</v>
      </c>
      <c r="C16479" t="s">
        <v>679</v>
      </c>
      <c r="D16479" t="s">
        <v>1480</v>
      </c>
      <c r="E16479" t="s">
        <v>187</v>
      </c>
      <c r="F16479">
        <v>2005</v>
      </c>
      <c r="G16479">
        <v>0.1764</v>
      </c>
    </row>
    <row r="16480" spans="1:7">
      <c r="A16480" t="s">
        <v>1297</v>
      </c>
      <c r="B16480" t="s">
        <v>1298</v>
      </c>
      <c r="C16480" t="s">
        <v>679</v>
      </c>
      <c r="D16480" t="s">
        <v>1480</v>
      </c>
      <c r="E16480" t="s">
        <v>187</v>
      </c>
      <c r="F16480">
        <v>2010</v>
      </c>
      <c r="G16480">
        <v>0.3528</v>
      </c>
    </row>
    <row r="16481" spans="1:7">
      <c r="A16481" t="s">
        <v>1297</v>
      </c>
      <c r="B16481" t="s">
        <v>1298</v>
      </c>
      <c r="C16481" t="s">
        <v>679</v>
      </c>
      <c r="D16481" t="s">
        <v>1480</v>
      </c>
      <c r="E16481" t="s">
        <v>187</v>
      </c>
      <c r="F16481">
        <v>2012</v>
      </c>
      <c r="G16481">
        <v>0.41039999999999999</v>
      </c>
    </row>
    <row r="16482" spans="1:7">
      <c r="A16482" t="s">
        <v>1297</v>
      </c>
      <c r="B16482" t="s">
        <v>1298</v>
      </c>
      <c r="C16482" t="s">
        <v>679</v>
      </c>
      <c r="D16482" t="s">
        <v>1480</v>
      </c>
      <c r="E16482" t="s">
        <v>187</v>
      </c>
      <c r="F16482">
        <v>2016</v>
      </c>
      <c r="G16482">
        <v>0.69120000000000004</v>
      </c>
    </row>
    <row r="16483" spans="1:7">
      <c r="A16483" t="s">
        <v>1297</v>
      </c>
      <c r="B16483" t="s">
        <v>1298</v>
      </c>
      <c r="C16483" t="s">
        <v>679</v>
      </c>
      <c r="D16483" t="s">
        <v>1480</v>
      </c>
      <c r="E16483" t="s">
        <v>187</v>
      </c>
      <c r="F16483">
        <v>2020</v>
      </c>
      <c r="G16483">
        <v>0.71201199999999998</v>
      </c>
    </row>
    <row r="16484" spans="1:7">
      <c r="A16484" t="s">
        <v>1297</v>
      </c>
      <c r="B16484" t="s">
        <v>1298</v>
      </c>
      <c r="C16484" t="s">
        <v>674</v>
      </c>
      <c r="D16484" t="s">
        <v>1480</v>
      </c>
      <c r="E16484" t="s">
        <v>187</v>
      </c>
      <c r="F16484">
        <v>2005</v>
      </c>
      <c r="G16484">
        <v>3.1187740000000002</v>
      </c>
    </row>
    <row r="16485" spans="1:7">
      <c r="A16485" t="s">
        <v>1297</v>
      </c>
      <c r="B16485" t="s">
        <v>1298</v>
      </c>
      <c r="C16485" t="s">
        <v>674</v>
      </c>
      <c r="D16485" t="s">
        <v>1480</v>
      </c>
      <c r="E16485" t="s">
        <v>187</v>
      </c>
      <c r="F16485">
        <v>2010</v>
      </c>
      <c r="G16485">
        <v>4.3376000000000001</v>
      </c>
    </row>
    <row r="16486" spans="1:7">
      <c r="A16486" t="s">
        <v>1297</v>
      </c>
      <c r="B16486" t="s">
        <v>1298</v>
      </c>
      <c r="C16486" t="s">
        <v>674</v>
      </c>
      <c r="D16486" t="s">
        <v>1480</v>
      </c>
      <c r="E16486" t="s">
        <v>187</v>
      </c>
      <c r="F16486">
        <v>2012</v>
      </c>
      <c r="G16486">
        <v>4.1651999999999996</v>
      </c>
    </row>
    <row r="16487" spans="1:7">
      <c r="A16487" t="s">
        <v>1297</v>
      </c>
      <c r="B16487" t="s">
        <v>1298</v>
      </c>
      <c r="C16487" t="s">
        <v>674</v>
      </c>
      <c r="D16487" t="s">
        <v>1480</v>
      </c>
      <c r="E16487" t="s">
        <v>187</v>
      </c>
      <c r="F16487">
        <v>2016</v>
      </c>
      <c r="G16487">
        <v>5.7275999999999998</v>
      </c>
    </row>
    <row r="16488" spans="1:7">
      <c r="A16488" t="s">
        <v>1297</v>
      </c>
      <c r="B16488" t="s">
        <v>1298</v>
      </c>
      <c r="C16488" t="s">
        <v>674</v>
      </c>
      <c r="D16488" t="s">
        <v>1480</v>
      </c>
      <c r="E16488" t="s">
        <v>187</v>
      </c>
      <c r="F16488">
        <v>2020</v>
      </c>
      <c r="G16488">
        <v>6.0119999999999996</v>
      </c>
    </row>
    <row r="16489" spans="1:7">
      <c r="A16489" t="s">
        <v>1297</v>
      </c>
      <c r="B16489" t="s">
        <v>1298</v>
      </c>
      <c r="C16489" t="s">
        <v>677</v>
      </c>
      <c r="D16489" t="s">
        <v>1480</v>
      </c>
      <c r="E16489" t="s">
        <v>187</v>
      </c>
      <c r="F16489">
        <v>2005</v>
      </c>
      <c r="G16489">
        <v>9.1982020000000002</v>
      </c>
    </row>
    <row r="16490" spans="1:7">
      <c r="A16490" t="s">
        <v>1297</v>
      </c>
      <c r="B16490" t="s">
        <v>1298</v>
      </c>
      <c r="C16490" t="s">
        <v>677</v>
      </c>
      <c r="D16490" t="s">
        <v>1480</v>
      </c>
      <c r="E16490" t="s">
        <v>187</v>
      </c>
      <c r="F16490">
        <v>2010</v>
      </c>
      <c r="G16490">
        <v>5.0725939999999996</v>
      </c>
    </row>
    <row r="16491" spans="1:7">
      <c r="A16491" t="s">
        <v>1297</v>
      </c>
      <c r="B16491" t="s">
        <v>1298</v>
      </c>
      <c r="C16491" t="s">
        <v>677</v>
      </c>
      <c r="D16491" t="s">
        <v>1480</v>
      </c>
      <c r="E16491" t="s">
        <v>187</v>
      </c>
      <c r="F16491">
        <v>2012</v>
      </c>
      <c r="G16491">
        <v>7.592022</v>
      </c>
    </row>
    <row r="16492" spans="1:7">
      <c r="A16492" t="s">
        <v>1297</v>
      </c>
      <c r="B16492" t="s">
        <v>1298</v>
      </c>
      <c r="C16492" t="s">
        <v>677</v>
      </c>
      <c r="D16492" t="s">
        <v>1480</v>
      </c>
      <c r="E16492" t="s">
        <v>187</v>
      </c>
      <c r="F16492">
        <v>2016</v>
      </c>
      <c r="G16492">
        <v>17.526596000000001</v>
      </c>
    </row>
    <row r="16493" spans="1:7">
      <c r="A16493" t="s">
        <v>1297</v>
      </c>
      <c r="B16493" t="s">
        <v>1298</v>
      </c>
      <c r="C16493" t="s">
        <v>677</v>
      </c>
      <c r="D16493" t="s">
        <v>1480</v>
      </c>
      <c r="E16493" t="s">
        <v>187</v>
      </c>
      <c r="F16493">
        <v>2020</v>
      </c>
      <c r="G16493">
        <v>18.962143000000001</v>
      </c>
    </row>
    <row r="16494" spans="1:7">
      <c r="A16494" t="s">
        <v>1297</v>
      </c>
      <c r="B16494" t="s">
        <v>1298</v>
      </c>
      <c r="C16494" t="s">
        <v>655</v>
      </c>
      <c r="D16494" t="s">
        <v>1480</v>
      </c>
      <c r="E16494" t="s">
        <v>187</v>
      </c>
      <c r="F16494">
        <v>2005</v>
      </c>
      <c r="G16494">
        <v>2.5753999999999999E-2</v>
      </c>
    </row>
    <row r="16495" spans="1:7">
      <c r="A16495" t="s">
        <v>1297</v>
      </c>
      <c r="B16495" t="s">
        <v>1298</v>
      </c>
      <c r="C16495" t="s">
        <v>655</v>
      </c>
      <c r="D16495" t="s">
        <v>1480</v>
      </c>
      <c r="E16495" t="s">
        <v>187</v>
      </c>
      <c r="F16495">
        <v>2010</v>
      </c>
      <c r="G16495">
        <v>9.7556000000000004E-2</v>
      </c>
    </row>
    <row r="16496" spans="1:7">
      <c r="A16496" t="s">
        <v>1297</v>
      </c>
      <c r="B16496" t="s">
        <v>1298</v>
      </c>
      <c r="C16496" t="s">
        <v>655</v>
      </c>
      <c r="D16496" t="s">
        <v>1480</v>
      </c>
      <c r="E16496" t="s">
        <v>187</v>
      </c>
      <c r="F16496">
        <v>2012</v>
      </c>
      <c r="G16496">
        <v>0.233489</v>
      </c>
    </row>
    <row r="16497" spans="1:7">
      <c r="A16497" t="s">
        <v>1297</v>
      </c>
      <c r="B16497" t="s">
        <v>1298</v>
      </c>
      <c r="C16497" t="s">
        <v>655</v>
      </c>
      <c r="D16497" t="s">
        <v>1480</v>
      </c>
      <c r="E16497" t="s">
        <v>187</v>
      </c>
      <c r="F16497">
        <v>2016</v>
      </c>
      <c r="G16497">
        <v>0.29267300000000002</v>
      </c>
    </row>
    <row r="16498" spans="1:7">
      <c r="A16498" t="s">
        <v>1297</v>
      </c>
      <c r="B16498" t="s">
        <v>1298</v>
      </c>
      <c r="C16498" t="s">
        <v>655</v>
      </c>
      <c r="D16498" t="s">
        <v>1480</v>
      </c>
      <c r="E16498" t="s">
        <v>187</v>
      </c>
      <c r="F16498">
        <v>2020</v>
      </c>
      <c r="G16498">
        <v>0.30479800000000001</v>
      </c>
    </row>
    <row r="16499" spans="1:7">
      <c r="A16499" t="s">
        <v>1297</v>
      </c>
      <c r="B16499" t="s">
        <v>1298</v>
      </c>
      <c r="C16499" t="s">
        <v>658</v>
      </c>
      <c r="D16499" t="s">
        <v>1480</v>
      </c>
      <c r="E16499" t="s">
        <v>187</v>
      </c>
      <c r="F16499">
        <v>2016</v>
      </c>
      <c r="G16499">
        <v>0.23243800000000001</v>
      </c>
    </row>
    <row r="16500" spans="1:7">
      <c r="A16500" t="s">
        <v>1297</v>
      </c>
      <c r="B16500" t="s">
        <v>1298</v>
      </c>
      <c r="C16500" t="s">
        <v>658</v>
      </c>
      <c r="D16500" t="s">
        <v>1480</v>
      </c>
      <c r="E16500" t="s">
        <v>187</v>
      </c>
      <c r="F16500">
        <v>2020</v>
      </c>
      <c r="G16500">
        <v>0.230652</v>
      </c>
    </row>
    <row r="16501" spans="1:7">
      <c r="A16501" t="s">
        <v>1297</v>
      </c>
      <c r="B16501" t="s">
        <v>1298</v>
      </c>
      <c r="C16501" t="s">
        <v>666</v>
      </c>
      <c r="D16501" t="s">
        <v>1480</v>
      </c>
      <c r="E16501" t="s">
        <v>187</v>
      </c>
      <c r="F16501">
        <v>2016</v>
      </c>
      <c r="G16501">
        <v>0.37440000000000001</v>
      </c>
    </row>
    <row r="16502" spans="1:7">
      <c r="A16502" t="s">
        <v>1297</v>
      </c>
      <c r="B16502" t="s">
        <v>1298</v>
      </c>
      <c r="C16502" t="s">
        <v>666</v>
      </c>
      <c r="D16502" t="s">
        <v>1480</v>
      </c>
      <c r="E16502" t="s">
        <v>187</v>
      </c>
      <c r="F16502">
        <v>2020</v>
      </c>
      <c r="G16502">
        <v>0.30852000000000002</v>
      </c>
    </row>
    <row r="16503" spans="1:7">
      <c r="A16503" t="s">
        <v>1297</v>
      </c>
      <c r="B16503" t="s">
        <v>1298</v>
      </c>
      <c r="C16503" t="s">
        <v>673</v>
      </c>
      <c r="D16503" t="s">
        <v>1481</v>
      </c>
      <c r="E16503" t="s">
        <v>187</v>
      </c>
      <c r="F16503">
        <v>2005</v>
      </c>
      <c r="G16503">
        <v>0.06</v>
      </c>
    </row>
    <row r="16504" spans="1:7">
      <c r="A16504" t="s">
        <v>1297</v>
      </c>
      <c r="B16504" t="s">
        <v>1298</v>
      </c>
      <c r="C16504" t="s">
        <v>673</v>
      </c>
      <c r="D16504" t="s">
        <v>1481</v>
      </c>
      <c r="E16504" t="s">
        <v>187</v>
      </c>
      <c r="F16504">
        <v>2010</v>
      </c>
      <c r="G16504">
        <v>1.0999999999999999E-2</v>
      </c>
    </row>
    <row r="16505" spans="1:7">
      <c r="A16505" t="s">
        <v>1297</v>
      </c>
      <c r="B16505" t="s">
        <v>1298</v>
      </c>
      <c r="C16505" t="s">
        <v>673</v>
      </c>
      <c r="D16505" t="s">
        <v>1481</v>
      </c>
      <c r="E16505" t="s">
        <v>187</v>
      </c>
      <c r="F16505">
        <v>2012</v>
      </c>
      <c r="G16505">
        <v>8.9999999999999993E-3</v>
      </c>
    </row>
    <row r="16506" spans="1:7">
      <c r="A16506" t="s">
        <v>1297</v>
      </c>
      <c r="B16506" t="s">
        <v>1298</v>
      </c>
      <c r="C16506" t="s">
        <v>673</v>
      </c>
      <c r="D16506" t="s">
        <v>1481</v>
      </c>
      <c r="E16506" t="s">
        <v>187</v>
      </c>
      <c r="F16506">
        <v>2016</v>
      </c>
      <c r="G16506">
        <v>3.5999999999999997E-2</v>
      </c>
    </row>
    <row r="16507" spans="1:7">
      <c r="A16507" t="s">
        <v>1297</v>
      </c>
      <c r="B16507" t="s">
        <v>1298</v>
      </c>
      <c r="C16507" t="s">
        <v>673</v>
      </c>
      <c r="D16507" t="s">
        <v>1481</v>
      </c>
      <c r="E16507" t="s">
        <v>187</v>
      </c>
      <c r="F16507">
        <v>2020</v>
      </c>
      <c r="G16507">
        <v>1.7496999999999999E-2</v>
      </c>
    </row>
    <row r="16508" spans="1:7">
      <c r="A16508" t="s">
        <v>1297</v>
      </c>
      <c r="B16508" t="s">
        <v>1298</v>
      </c>
      <c r="C16508" t="s">
        <v>652</v>
      </c>
      <c r="D16508" t="s">
        <v>1481</v>
      </c>
      <c r="E16508" t="s">
        <v>187</v>
      </c>
      <c r="F16508">
        <v>2005</v>
      </c>
      <c r="G16508">
        <v>2.1190000000000002</v>
      </c>
    </row>
    <row r="16509" spans="1:7">
      <c r="A16509" t="s">
        <v>1297</v>
      </c>
      <c r="B16509" t="s">
        <v>1298</v>
      </c>
      <c r="C16509" t="s">
        <v>652</v>
      </c>
      <c r="D16509" t="s">
        <v>1481</v>
      </c>
      <c r="E16509" t="s">
        <v>187</v>
      </c>
      <c r="F16509">
        <v>2010</v>
      </c>
      <c r="G16509">
        <v>1.0222</v>
      </c>
    </row>
    <row r="16510" spans="1:7">
      <c r="A16510" t="s">
        <v>1297</v>
      </c>
      <c r="B16510" t="s">
        <v>1298</v>
      </c>
      <c r="C16510" t="s">
        <v>652</v>
      </c>
      <c r="D16510" t="s">
        <v>1481</v>
      </c>
      <c r="E16510" t="s">
        <v>187</v>
      </c>
      <c r="F16510">
        <v>2012</v>
      </c>
      <c r="G16510">
        <v>1.1548</v>
      </c>
    </row>
    <row r="16511" spans="1:7">
      <c r="A16511" t="s">
        <v>1297</v>
      </c>
      <c r="B16511" t="s">
        <v>1298</v>
      </c>
      <c r="C16511" t="s">
        <v>652</v>
      </c>
      <c r="D16511" t="s">
        <v>1481</v>
      </c>
      <c r="E16511" t="s">
        <v>187</v>
      </c>
      <c r="F16511">
        <v>2016</v>
      </c>
      <c r="G16511">
        <v>1.5810999999999999</v>
      </c>
    </row>
    <row r="16512" spans="1:7">
      <c r="A16512" t="s">
        <v>1297</v>
      </c>
      <c r="B16512" t="s">
        <v>1298</v>
      </c>
      <c r="C16512" t="s">
        <v>652</v>
      </c>
      <c r="D16512" t="s">
        <v>1481</v>
      </c>
      <c r="E16512" t="s">
        <v>187</v>
      </c>
      <c r="F16512">
        <v>2020</v>
      </c>
      <c r="G16512">
        <v>1.8738999999999999</v>
      </c>
    </row>
    <row r="16513" spans="1:7">
      <c r="A16513" t="s">
        <v>1297</v>
      </c>
      <c r="B16513" t="s">
        <v>1298</v>
      </c>
      <c r="C16513" t="s">
        <v>665</v>
      </c>
      <c r="D16513" t="s">
        <v>1481</v>
      </c>
      <c r="E16513" t="s">
        <v>187</v>
      </c>
      <c r="F16513">
        <v>2005</v>
      </c>
      <c r="G16513">
        <v>3.1040000000000001</v>
      </c>
    </row>
    <row r="16514" spans="1:7">
      <c r="A16514" t="s">
        <v>1297</v>
      </c>
      <c r="B16514" t="s">
        <v>1298</v>
      </c>
      <c r="C16514" t="s">
        <v>665</v>
      </c>
      <c r="D16514" t="s">
        <v>1481</v>
      </c>
      <c r="E16514" t="s">
        <v>187</v>
      </c>
      <c r="F16514">
        <v>2010</v>
      </c>
      <c r="G16514">
        <v>2.5830000000000002</v>
      </c>
    </row>
    <row r="16515" spans="1:7">
      <c r="A16515" t="s">
        <v>1297</v>
      </c>
      <c r="B16515" t="s">
        <v>1298</v>
      </c>
      <c r="C16515" t="s">
        <v>665</v>
      </c>
      <c r="D16515" t="s">
        <v>1481</v>
      </c>
      <c r="E16515" t="s">
        <v>187</v>
      </c>
      <c r="F16515">
        <v>2012</v>
      </c>
      <c r="G16515">
        <v>3.0089999999999999</v>
      </c>
    </row>
    <row r="16516" spans="1:7">
      <c r="A16516" t="s">
        <v>1297</v>
      </c>
      <c r="B16516" t="s">
        <v>1298</v>
      </c>
      <c r="C16516" t="s">
        <v>665</v>
      </c>
      <c r="D16516" t="s">
        <v>1481</v>
      </c>
      <c r="E16516" t="s">
        <v>187</v>
      </c>
      <c r="F16516">
        <v>2016</v>
      </c>
      <c r="G16516">
        <v>5.1989999999999998</v>
      </c>
    </row>
    <row r="16517" spans="1:7">
      <c r="A16517" t="s">
        <v>1297</v>
      </c>
      <c r="B16517" t="s">
        <v>1298</v>
      </c>
      <c r="C16517" t="s">
        <v>665</v>
      </c>
      <c r="D16517" t="s">
        <v>1481</v>
      </c>
      <c r="E16517" t="s">
        <v>187</v>
      </c>
      <c r="F16517">
        <v>2020</v>
      </c>
      <c r="G16517">
        <v>5.8797610000000002</v>
      </c>
    </row>
    <row r="16518" spans="1:7">
      <c r="A16518" t="s">
        <v>1297</v>
      </c>
      <c r="B16518" t="s">
        <v>1298</v>
      </c>
      <c r="C16518" t="s">
        <v>686</v>
      </c>
      <c r="D16518" t="s">
        <v>1481</v>
      </c>
      <c r="E16518" t="s">
        <v>187</v>
      </c>
      <c r="F16518">
        <v>2010</v>
      </c>
      <c r="G16518">
        <v>0.29699999999999999</v>
      </c>
    </row>
    <row r="16519" spans="1:7">
      <c r="A16519" t="s">
        <v>1297</v>
      </c>
      <c r="B16519" t="s">
        <v>1298</v>
      </c>
      <c r="C16519" t="s">
        <v>1301</v>
      </c>
      <c r="D16519" t="s">
        <v>1481</v>
      </c>
      <c r="E16519" t="s">
        <v>187</v>
      </c>
      <c r="F16519">
        <v>2016</v>
      </c>
      <c r="G16519">
        <v>1.381</v>
      </c>
    </row>
    <row r="16520" spans="1:7">
      <c r="A16520" t="s">
        <v>1297</v>
      </c>
      <c r="B16520" t="s">
        <v>1298</v>
      </c>
      <c r="C16520" t="s">
        <v>676</v>
      </c>
      <c r="D16520" t="s">
        <v>1481</v>
      </c>
      <c r="E16520" t="s">
        <v>187</v>
      </c>
      <c r="F16520">
        <v>2005</v>
      </c>
      <c r="G16520">
        <v>0.42099999999999999</v>
      </c>
    </row>
    <row r="16521" spans="1:7">
      <c r="A16521" t="s">
        <v>1297</v>
      </c>
      <c r="B16521" t="s">
        <v>1298</v>
      </c>
      <c r="C16521" t="s">
        <v>676</v>
      </c>
      <c r="D16521" t="s">
        <v>1481</v>
      </c>
      <c r="E16521" t="s">
        <v>187</v>
      </c>
      <c r="F16521">
        <v>2010</v>
      </c>
      <c r="G16521">
        <v>0.122</v>
      </c>
    </row>
    <row r="16522" spans="1:7">
      <c r="A16522" t="s">
        <v>1297</v>
      </c>
      <c r="B16522" t="s">
        <v>1298</v>
      </c>
      <c r="C16522" t="s">
        <v>676</v>
      </c>
      <c r="D16522" t="s">
        <v>1481</v>
      </c>
      <c r="E16522" t="s">
        <v>187</v>
      </c>
      <c r="F16522">
        <v>2012</v>
      </c>
      <c r="G16522">
        <v>0.19600000000000001</v>
      </c>
    </row>
    <row r="16523" spans="1:7">
      <c r="A16523" t="s">
        <v>1297</v>
      </c>
      <c r="B16523" t="s">
        <v>1298</v>
      </c>
      <c r="C16523" t="s">
        <v>676</v>
      </c>
      <c r="D16523" t="s">
        <v>1481</v>
      </c>
      <c r="E16523" t="s">
        <v>187</v>
      </c>
      <c r="F16523">
        <v>2016</v>
      </c>
      <c r="G16523">
        <v>5.5E-2</v>
      </c>
    </row>
    <row r="16524" spans="1:7">
      <c r="A16524" t="s">
        <v>1297</v>
      </c>
      <c r="B16524" t="s">
        <v>1298</v>
      </c>
      <c r="C16524" t="s">
        <v>676</v>
      </c>
      <c r="D16524" t="s">
        <v>1481</v>
      </c>
      <c r="E16524" t="s">
        <v>187</v>
      </c>
      <c r="F16524">
        <v>2020</v>
      </c>
      <c r="G16524">
        <v>0.113</v>
      </c>
    </row>
    <row r="16525" spans="1:7">
      <c r="A16525" t="s">
        <v>1297</v>
      </c>
      <c r="B16525" t="s">
        <v>1298</v>
      </c>
      <c r="C16525" t="s">
        <v>677</v>
      </c>
      <c r="D16525" t="s">
        <v>1481</v>
      </c>
      <c r="E16525" t="s">
        <v>187</v>
      </c>
      <c r="F16525">
        <v>2010</v>
      </c>
      <c r="G16525">
        <v>0.80900000000000005</v>
      </c>
    </row>
    <row r="16526" spans="1:7">
      <c r="A16526" t="s">
        <v>1297</v>
      </c>
      <c r="B16526" t="s">
        <v>1298</v>
      </c>
      <c r="C16526" t="s">
        <v>677</v>
      </c>
      <c r="D16526" t="s">
        <v>1481</v>
      </c>
      <c r="E16526" t="s">
        <v>187</v>
      </c>
      <c r="F16526">
        <v>2012</v>
      </c>
      <c r="G16526">
        <v>1.01</v>
      </c>
    </row>
    <row r="16527" spans="1:7">
      <c r="A16527" t="s">
        <v>1297</v>
      </c>
      <c r="B16527" t="s">
        <v>1298</v>
      </c>
      <c r="C16527" t="s">
        <v>677</v>
      </c>
      <c r="D16527" t="s">
        <v>1481</v>
      </c>
      <c r="E16527" t="s">
        <v>187</v>
      </c>
      <c r="F16527">
        <v>2016</v>
      </c>
      <c r="G16527">
        <v>0.36899999999999999</v>
      </c>
    </row>
    <row r="16528" spans="1:7">
      <c r="A16528" t="s">
        <v>1297</v>
      </c>
      <c r="B16528" t="s">
        <v>1298</v>
      </c>
      <c r="C16528" t="s">
        <v>677</v>
      </c>
      <c r="D16528" t="s">
        <v>1481</v>
      </c>
      <c r="E16528" t="s">
        <v>187</v>
      </c>
      <c r="F16528">
        <v>2020</v>
      </c>
      <c r="G16528">
        <v>0.61699999999999999</v>
      </c>
    </row>
    <row r="16529" spans="1:7">
      <c r="A16529" t="s">
        <v>1297</v>
      </c>
      <c r="B16529" t="s">
        <v>1298</v>
      </c>
      <c r="C16529" t="s">
        <v>661</v>
      </c>
      <c r="D16529" t="s">
        <v>1481</v>
      </c>
      <c r="E16529" t="s">
        <v>187</v>
      </c>
      <c r="F16529">
        <v>2005</v>
      </c>
      <c r="G16529">
        <v>10.913</v>
      </c>
    </row>
    <row r="16530" spans="1:7">
      <c r="A16530" t="s">
        <v>1297</v>
      </c>
      <c r="B16530" t="s">
        <v>1298</v>
      </c>
      <c r="C16530" t="s">
        <v>661</v>
      </c>
      <c r="D16530" t="s">
        <v>1481</v>
      </c>
      <c r="E16530" t="s">
        <v>187</v>
      </c>
      <c r="F16530">
        <v>2010</v>
      </c>
      <c r="G16530">
        <v>13.637995999999999</v>
      </c>
    </row>
    <row r="16531" spans="1:7">
      <c r="A16531" t="s">
        <v>1297</v>
      </c>
      <c r="B16531" t="s">
        <v>1298</v>
      </c>
      <c r="C16531" t="s">
        <v>661</v>
      </c>
      <c r="D16531" t="s">
        <v>1481</v>
      </c>
      <c r="E16531" t="s">
        <v>187</v>
      </c>
      <c r="F16531">
        <v>2012</v>
      </c>
      <c r="G16531">
        <v>12.79223</v>
      </c>
    </row>
    <row r="16532" spans="1:7">
      <c r="A16532" t="s">
        <v>1297</v>
      </c>
      <c r="B16532" t="s">
        <v>1298</v>
      </c>
      <c r="C16532" t="s">
        <v>661</v>
      </c>
      <c r="D16532" t="s">
        <v>1481</v>
      </c>
      <c r="E16532" t="s">
        <v>187</v>
      </c>
      <c r="F16532">
        <v>2016</v>
      </c>
      <c r="G16532">
        <v>14.948335999999999</v>
      </c>
    </row>
    <row r="16533" spans="1:7">
      <c r="A16533" t="s">
        <v>1297</v>
      </c>
      <c r="B16533" t="s">
        <v>1298</v>
      </c>
      <c r="C16533" t="s">
        <v>661</v>
      </c>
      <c r="D16533" t="s">
        <v>1481</v>
      </c>
      <c r="E16533" t="s">
        <v>187</v>
      </c>
      <c r="F16533">
        <v>2020</v>
      </c>
      <c r="G16533">
        <v>16.028251000000001</v>
      </c>
    </row>
    <row r="16534" spans="1:7">
      <c r="A16534" t="s">
        <v>1297</v>
      </c>
      <c r="B16534" t="s">
        <v>1298</v>
      </c>
      <c r="C16534" t="s">
        <v>658</v>
      </c>
      <c r="D16534" t="s">
        <v>1481</v>
      </c>
      <c r="E16534" t="s">
        <v>187</v>
      </c>
      <c r="F16534">
        <v>2016</v>
      </c>
      <c r="G16534">
        <v>0.55486400000000002</v>
      </c>
    </row>
    <row r="16535" spans="1:7">
      <c r="A16535" t="s">
        <v>1297</v>
      </c>
      <c r="B16535" t="s">
        <v>1298</v>
      </c>
      <c r="C16535" t="s">
        <v>658</v>
      </c>
      <c r="D16535" t="s">
        <v>1481</v>
      </c>
      <c r="E16535" t="s">
        <v>187</v>
      </c>
      <c r="F16535">
        <v>2020</v>
      </c>
      <c r="G16535">
        <v>0.52723799999999998</v>
      </c>
    </row>
    <row r="16536" spans="1:7">
      <c r="A16536" t="s">
        <v>1297</v>
      </c>
      <c r="B16536" t="s">
        <v>1298</v>
      </c>
      <c r="C16536" t="s">
        <v>653</v>
      </c>
      <c r="D16536" t="s">
        <v>1481</v>
      </c>
      <c r="E16536" t="s">
        <v>187</v>
      </c>
      <c r="F16536">
        <v>2005</v>
      </c>
      <c r="G16536">
        <v>7.4999999999999997E-2</v>
      </c>
    </row>
    <row r="16537" spans="1:7">
      <c r="A16537" t="s">
        <v>1297</v>
      </c>
      <c r="B16537" t="s">
        <v>1298</v>
      </c>
      <c r="C16537" t="s">
        <v>653</v>
      </c>
      <c r="D16537" t="s">
        <v>1481</v>
      </c>
      <c r="E16537" t="s">
        <v>187</v>
      </c>
      <c r="F16537">
        <v>2020</v>
      </c>
      <c r="G16537">
        <v>0.223938</v>
      </c>
    </row>
    <row r="16538" spans="1:7">
      <c r="A16538" t="s">
        <v>1297</v>
      </c>
      <c r="B16538" t="s">
        <v>1298</v>
      </c>
      <c r="C16538" t="s">
        <v>679</v>
      </c>
      <c r="D16538" t="s">
        <v>1481</v>
      </c>
      <c r="E16538" t="s">
        <v>187</v>
      </c>
      <c r="F16538">
        <v>2016</v>
      </c>
      <c r="G16538">
        <v>4.9539999999999997</v>
      </c>
    </row>
    <row r="16539" spans="1:7">
      <c r="A16539" t="s">
        <v>1297</v>
      </c>
      <c r="B16539" t="s">
        <v>1298</v>
      </c>
      <c r="C16539" t="s">
        <v>679</v>
      </c>
      <c r="D16539" t="s">
        <v>1481</v>
      </c>
      <c r="E16539" t="s">
        <v>187</v>
      </c>
      <c r="F16539">
        <v>2020</v>
      </c>
      <c r="G16539">
        <v>5.2234680000000004</v>
      </c>
    </row>
    <row r="16540" spans="1:7">
      <c r="A16540" t="s">
        <v>1297</v>
      </c>
      <c r="B16540" t="s">
        <v>1298</v>
      </c>
      <c r="C16540" t="s">
        <v>656</v>
      </c>
      <c r="D16540" t="s">
        <v>1481</v>
      </c>
      <c r="E16540" t="s">
        <v>187</v>
      </c>
      <c r="F16540">
        <v>2005</v>
      </c>
      <c r="G16540">
        <v>15.763</v>
      </c>
    </row>
    <row r="16541" spans="1:7">
      <c r="A16541" t="s">
        <v>1297</v>
      </c>
      <c r="B16541" t="s">
        <v>1298</v>
      </c>
      <c r="C16541" t="s">
        <v>656</v>
      </c>
      <c r="D16541" t="s">
        <v>1481</v>
      </c>
      <c r="E16541" t="s">
        <v>187</v>
      </c>
      <c r="F16541">
        <v>2010</v>
      </c>
      <c r="G16541">
        <v>32.634999999999998</v>
      </c>
    </row>
    <row r="16542" spans="1:7">
      <c r="A16542" t="s">
        <v>1297</v>
      </c>
      <c r="B16542" t="s">
        <v>1298</v>
      </c>
      <c r="C16542" t="s">
        <v>656</v>
      </c>
      <c r="D16542" t="s">
        <v>1481</v>
      </c>
      <c r="E16542" t="s">
        <v>187</v>
      </c>
      <c r="F16542">
        <v>2012</v>
      </c>
      <c r="G16542">
        <v>36.432000000000002</v>
      </c>
    </row>
    <row r="16543" spans="1:7">
      <c r="A16543" t="s">
        <v>1297</v>
      </c>
      <c r="B16543" t="s">
        <v>1298</v>
      </c>
      <c r="C16543" t="s">
        <v>656</v>
      </c>
      <c r="D16543" t="s">
        <v>1481</v>
      </c>
      <c r="E16543" t="s">
        <v>187</v>
      </c>
      <c r="F16543">
        <v>2016</v>
      </c>
      <c r="G16543">
        <v>37.652999999999999</v>
      </c>
    </row>
    <row r="16544" spans="1:7">
      <c r="A16544" t="s">
        <v>1297</v>
      </c>
      <c r="B16544" t="s">
        <v>1298</v>
      </c>
      <c r="C16544" t="s">
        <v>656</v>
      </c>
      <c r="D16544" t="s">
        <v>1481</v>
      </c>
      <c r="E16544" t="s">
        <v>187</v>
      </c>
      <c r="F16544">
        <v>2020</v>
      </c>
      <c r="G16544">
        <v>43.555999999999997</v>
      </c>
    </row>
    <row r="16545" spans="1:7">
      <c r="A16545" t="s">
        <v>1297</v>
      </c>
      <c r="B16545" t="s">
        <v>1298</v>
      </c>
      <c r="C16545" t="s">
        <v>660</v>
      </c>
      <c r="D16545" t="s">
        <v>1481</v>
      </c>
      <c r="E16545" t="s">
        <v>187</v>
      </c>
      <c r="F16545">
        <v>2005</v>
      </c>
      <c r="G16545">
        <v>1.4379999999999999</v>
      </c>
    </row>
    <row r="16546" spans="1:7">
      <c r="A16546" t="s">
        <v>1297</v>
      </c>
      <c r="B16546" t="s">
        <v>1298</v>
      </c>
      <c r="C16546" t="s">
        <v>660</v>
      </c>
      <c r="D16546" t="s">
        <v>1481</v>
      </c>
      <c r="E16546" t="s">
        <v>187</v>
      </c>
      <c r="F16546">
        <v>2010</v>
      </c>
      <c r="G16546">
        <v>2.4649999999999999</v>
      </c>
    </row>
    <row r="16547" spans="1:7">
      <c r="A16547" t="s">
        <v>1297</v>
      </c>
      <c r="B16547" t="s">
        <v>1298</v>
      </c>
      <c r="C16547" t="s">
        <v>660</v>
      </c>
      <c r="D16547" t="s">
        <v>1481</v>
      </c>
      <c r="E16547" t="s">
        <v>187</v>
      </c>
      <c r="F16547">
        <v>2012</v>
      </c>
      <c r="G16547">
        <v>3.7349999999999999</v>
      </c>
    </row>
    <row r="16548" spans="1:7">
      <c r="A16548" t="s">
        <v>1297</v>
      </c>
      <c r="B16548" t="s">
        <v>1298</v>
      </c>
      <c r="C16548" t="s">
        <v>660</v>
      </c>
      <c r="D16548" t="s">
        <v>1481</v>
      </c>
      <c r="E16548" t="s">
        <v>187</v>
      </c>
      <c r="F16548">
        <v>2016</v>
      </c>
      <c r="G16548">
        <v>5.6559999999999997</v>
      </c>
    </row>
    <row r="16549" spans="1:7">
      <c r="A16549" t="s">
        <v>1297</v>
      </c>
      <c r="B16549" t="s">
        <v>1298</v>
      </c>
      <c r="C16549" t="s">
        <v>660</v>
      </c>
      <c r="D16549" t="s">
        <v>1481</v>
      </c>
      <c r="E16549" t="s">
        <v>187</v>
      </c>
      <c r="F16549">
        <v>2020</v>
      </c>
      <c r="G16549">
        <v>5.7949999999999999</v>
      </c>
    </row>
    <row r="16550" spans="1:7">
      <c r="A16550" t="s">
        <v>1297</v>
      </c>
      <c r="B16550" t="s">
        <v>1298</v>
      </c>
      <c r="C16550" t="s">
        <v>675</v>
      </c>
      <c r="D16550" t="s">
        <v>1481</v>
      </c>
      <c r="E16550" t="s">
        <v>187</v>
      </c>
      <c r="F16550">
        <v>2012</v>
      </c>
      <c r="G16550">
        <v>0.08</v>
      </c>
    </row>
    <row r="16551" spans="1:7">
      <c r="A16551" t="s">
        <v>1297</v>
      </c>
      <c r="B16551" t="s">
        <v>1298</v>
      </c>
      <c r="C16551" t="s">
        <v>675</v>
      </c>
      <c r="D16551" t="s">
        <v>1481</v>
      </c>
      <c r="E16551" t="s">
        <v>187</v>
      </c>
      <c r="F16551">
        <v>2016</v>
      </c>
      <c r="G16551">
        <v>0.129</v>
      </c>
    </row>
    <row r="16552" spans="1:7">
      <c r="A16552" t="s">
        <v>1297</v>
      </c>
      <c r="B16552" t="s">
        <v>1298</v>
      </c>
      <c r="C16552" t="s">
        <v>675</v>
      </c>
      <c r="D16552" t="s">
        <v>1481</v>
      </c>
      <c r="E16552" t="s">
        <v>187</v>
      </c>
      <c r="F16552">
        <v>2020</v>
      </c>
      <c r="G16552">
        <v>0.14673700000000001</v>
      </c>
    </row>
    <row r="16553" spans="1:7">
      <c r="A16553" t="s">
        <v>1297</v>
      </c>
      <c r="B16553" t="s">
        <v>1298</v>
      </c>
      <c r="C16553" t="s">
        <v>657</v>
      </c>
      <c r="D16553" t="s">
        <v>1481</v>
      </c>
      <c r="E16553" t="s">
        <v>187</v>
      </c>
      <c r="F16553">
        <v>2005</v>
      </c>
      <c r="G16553">
        <v>10.712</v>
      </c>
    </row>
    <row r="16554" spans="1:7">
      <c r="A16554" t="s">
        <v>1297</v>
      </c>
      <c r="B16554" t="s">
        <v>1298</v>
      </c>
      <c r="C16554" t="s">
        <v>657</v>
      </c>
      <c r="D16554" t="s">
        <v>1481</v>
      </c>
      <c r="E16554" t="s">
        <v>187</v>
      </c>
      <c r="F16554">
        <v>2010</v>
      </c>
      <c r="G16554">
        <v>10.627000000000001</v>
      </c>
    </row>
    <row r="16555" spans="1:7">
      <c r="A16555" t="s">
        <v>1297</v>
      </c>
      <c r="B16555" t="s">
        <v>1298</v>
      </c>
      <c r="C16555" t="s">
        <v>657</v>
      </c>
      <c r="D16555" t="s">
        <v>1481</v>
      </c>
      <c r="E16555" t="s">
        <v>187</v>
      </c>
      <c r="F16555">
        <v>2012</v>
      </c>
      <c r="G16555">
        <v>10.750329000000001</v>
      </c>
    </row>
    <row r="16556" spans="1:7">
      <c r="A16556" t="s">
        <v>1297</v>
      </c>
      <c r="B16556" t="s">
        <v>1298</v>
      </c>
      <c r="C16556" t="s">
        <v>657</v>
      </c>
      <c r="D16556" t="s">
        <v>1481</v>
      </c>
      <c r="E16556" t="s">
        <v>187</v>
      </c>
      <c r="F16556">
        <v>2016</v>
      </c>
      <c r="G16556">
        <v>12.201577</v>
      </c>
    </row>
    <row r="16557" spans="1:7">
      <c r="A16557" t="s">
        <v>1297</v>
      </c>
      <c r="B16557" t="s">
        <v>1298</v>
      </c>
      <c r="C16557" t="s">
        <v>657</v>
      </c>
      <c r="D16557" t="s">
        <v>1481</v>
      </c>
      <c r="E16557" t="s">
        <v>187</v>
      </c>
      <c r="F16557">
        <v>2020</v>
      </c>
      <c r="G16557">
        <v>13.147376</v>
      </c>
    </row>
    <row r="16558" spans="1:7">
      <c r="A16558" t="s">
        <v>1297</v>
      </c>
      <c r="B16558" t="s">
        <v>1298</v>
      </c>
      <c r="C16558" t="s">
        <v>651</v>
      </c>
      <c r="D16558" t="s">
        <v>1481</v>
      </c>
      <c r="E16558" t="s">
        <v>187</v>
      </c>
      <c r="F16558">
        <v>2005</v>
      </c>
      <c r="G16558">
        <v>3.0615860000000001</v>
      </c>
    </row>
    <row r="16559" spans="1:7">
      <c r="A16559" t="s">
        <v>1297</v>
      </c>
      <c r="B16559" t="s">
        <v>1298</v>
      </c>
      <c r="C16559" t="s">
        <v>651</v>
      </c>
      <c r="D16559" t="s">
        <v>1481</v>
      </c>
      <c r="E16559" t="s">
        <v>187</v>
      </c>
      <c r="F16559">
        <v>2010</v>
      </c>
      <c r="G16559">
        <v>4.101731</v>
      </c>
    </row>
    <row r="16560" spans="1:7">
      <c r="A16560" t="s">
        <v>1297</v>
      </c>
      <c r="B16560" t="s">
        <v>1298</v>
      </c>
      <c r="C16560" t="s">
        <v>651</v>
      </c>
      <c r="D16560" t="s">
        <v>1481</v>
      </c>
      <c r="E16560" t="s">
        <v>187</v>
      </c>
      <c r="F16560">
        <v>2012</v>
      </c>
      <c r="G16560">
        <v>4.2429290000000002</v>
      </c>
    </row>
    <row r="16561" spans="1:7">
      <c r="A16561" t="s">
        <v>1297</v>
      </c>
      <c r="B16561" t="s">
        <v>1298</v>
      </c>
      <c r="C16561" t="s">
        <v>666</v>
      </c>
      <c r="D16561" t="s">
        <v>1481</v>
      </c>
      <c r="E16561" t="s">
        <v>187</v>
      </c>
      <c r="F16561">
        <v>2016</v>
      </c>
      <c r="G16561">
        <v>0.85799999999999998</v>
      </c>
    </row>
    <row r="16562" spans="1:7">
      <c r="A16562" t="s">
        <v>1297</v>
      </c>
      <c r="B16562" t="s">
        <v>1298</v>
      </c>
      <c r="C16562" t="s">
        <v>666</v>
      </c>
      <c r="D16562" t="s">
        <v>1481</v>
      </c>
      <c r="E16562" t="s">
        <v>187</v>
      </c>
      <c r="F16562">
        <v>2020</v>
      </c>
      <c r="G16562">
        <v>0.79800000000000004</v>
      </c>
    </row>
    <row r="16563" spans="1:7">
      <c r="A16563" t="s">
        <v>1297</v>
      </c>
      <c r="B16563" t="s">
        <v>1298</v>
      </c>
      <c r="C16563" t="s">
        <v>674</v>
      </c>
      <c r="D16563" t="s">
        <v>1481</v>
      </c>
      <c r="E16563" t="s">
        <v>187</v>
      </c>
      <c r="F16563">
        <v>2005</v>
      </c>
      <c r="G16563">
        <v>14.01</v>
      </c>
    </row>
    <row r="16564" spans="1:7">
      <c r="A16564" t="s">
        <v>1297</v>
      </c>
      <c r="B16564" t="s">
        <v>1298</v>
      </c>
      <c r="C16564" t="s">
        <v>674</v>
      </c>
      <c r="D16564" t="s">
        <v>1481</v>
      </c>
      <c r="E16564" t="s">
        <v>187</v>
      </c>
      <c r="F16564">
        <v>2010</v>
      </c>
      <c r="G16564">
        <v>13.813000000000001</v>
      </c>
    </row>
    <row r="16565" spans="1:7">
      <c r="A16565" t="s">
        <v>1297</v>
      </c>
      <c r="B16565" t="s">
        <v>1298</v>
      </c>
      <c r="C16565" t="s">
        <v>674</v>
      </c>
      <c r="D16565" t="s">
        <v>1481</v>
      </c>
      <c r="E16565" t="s">
        <v>187</v>
      </c>
      <c r="F16565">
        <v>2012</v>
      </c>
      <c r="G16565">
        <v>14.688000000000001</v>
      </c>
    </row>
    <row r="16566" spans="1:7">
      <c r="A16566" t="s">
        <v>1297</v>
      </c>
      <c r="B16566" t="s">
        <v>1298</v>
      </c>
      <c r="C16566" t="s">
        <v>674</v>
      </c>
      <c r="D16566" t="s">
        <v>1481</v>
      </c>
      <c r="E16566" t="s">
        <v>187</v>
      </c>
      <c r="F16566">
        <v>2016</v>
      </c>
      <c r="G16566">
        <v>22.373000000000001</v>
      </c>
    </row>
    <row r="16567" spans="1:7">
      <c r="A16567" t="s">
        <v>1297</v>
      </c>
      <c r="B16567" t="s">
        <v>1298</v>
      </c>
      <c r="C16567" t="s">
        <v>674</v>
      </c>
      <c r="D16567" t="s">
        <v>1481</v>
      </c>
      <c r="E16567" t="s">
        <v>187</v>
      </c>
      <c r="F16567">
        <v>2020</v>
      </c>
      <c r="G16567">
        <v>22.905000000000001</v>
      </c>
    </row>
    <row r="16568" spans="1:7">
      <c r="A16568" t="s">
        <v>1297</v>
      </c>
      <c r="B16568" t="s">
        <v>1298</v>
      </c>
      <c r="C16568" t="s">
        <v>679</v>
      </c>
      <c r="D16568" t="s">
        <v>1481</v>
      </c>
      <c r="E16568" t="s">
        <v>187</v>
      </c>
      <c r="F16568">
        <v>2005</v>
      </c>
      <c r="G16568">
        <v>2.7280000000000002</v>
      </c>
    </row>
    <row r="16569" spans="1:7">
      <c r="A16569" t="s">
        <v>1297</v>
      </c>
      <c r="B16569" t="s">
        <v>1298</v>
      </c>
      <c r="C16569" t="s">
        <v>679</v>
      </c>
      <c r="D16569" t="s">
        <v>1481</v>
      </c>
      <c r="E16569" t="s">
        <v>187</v>
      </c>
      <c r="F16569">
        <v>2010</v>
      </c>
      <c r="G16569">
        <v>2.8149999999999999</v>
      </c>
    </row>
    <row r="16570" spans="1:7">
      <c r="A16570" t="s">
        <v>1297</v>
      </c>
      <c r="B16570" t="s">
        <v>1298</v>
      </c>
      <c r="C16570" t="s">
        <v>679</v>
      </c>
      <c r="D16570" t="s">
        <v>1481</v>
      </c>
      <c r="E16570" t="s">
        <v>187</v>
      </c>
      <c r="F16570">
        <v>2012</v>
      </c>
      <c r="G16570">
        <v>3.593</v>
      </c>
    </row>
    <row r="16571" spans="1:7">
      <c r="A16571" t="s">
        <v>1297</v>
      </c>
      <c r="B16571" t="s">
        <v>1298</v>
      </c>
      <c r="C16571" t="s">
        <v>651</v>
      </c>
      <c r="D16571" t="s">
        <v>1481</v>
      </c>
      <c r="E16571" t="s">
        <v>187</v>
      </c>
      <c r="F16571">
        <v>2016</v>
      </c>
      <c r="G16571">
        <v>5.9437689999999996</v>
      </c>
    </row>
    <row r="16572" spans="1:7">
      <c r="A16572" t="s">
        <v>1297</v>
      </c>
      <c r="B16572" t="s">
        <v>1298</v>
      </c>
      <c r="C16572" t="s">
        <v>651</v>
      </c>
      <c r="D16572" t="s">
        <v>1481</v>
      </c>
      <c r="E16572" t="s">
        <v>187</v>
      </c>
      <c r="F16572">
        <v>2020</v>
      </c>
      <c r="G16572">
        <v>6.0703120000000004</v>
      </c>
    </row>
    <row r="16573" spans="1:7">
      <c r="A16573" t="s">
        <v>1297</v>
      </c>
      <c r="B16573" t="s">
        <v>1298</v>
      </c>
      <c r="C16573" t="s">
        <v>670</v>
      </c>
      <c r="D16573" t="s">
        <v>1481</v>
      </c>
      <c r="E16573" t="s">
        <v>187</v>
      </c>
      <c r="F16573">
        <v>2005</v>
      </c>
      <c r="G16573">
        <v>3.97</v>
      </c>
    </row>
    <row r="16574" spans="1:7">
      <c r="A16574" t="s">
        <v>1297</v>
      </c>
      <c r="B16574" t="s">
        <v>1298</v>
      </c>
      <c r="C16574" t="s">
        <v>670</v>
      </c>
      <c r="D16574" t="s">
        <v>1481</v>
      </c>
      <c r="E16574" t="s">
        <v>187</v>
      </c>
      <c r="F16574">
        <v>2010</v>
      </c>
      <c r="G16574">
        <v>4.4269999999999996</v>
      </c>
    </row>
    <row r="16575" spans="1:7">
      <c r="A16575" t="s">
        <v>1297</v>
      </c>
      <c r="B16575" t="s">
        <v>1298</v>
      </c>
      <c r="C16575" t="s">
        <v>670</v>
      </c>
      <c r="D16575" t="s">
        <v>1481</v>
      </c>
      <c r="E16575" t="s">
        <v>187</v>
      </c>
      <c r="F16575">
        <v>2012</v>
      </c>
      <c r="G16575">
        <v>6.0030000000000001</v>
      </c>
    </row>
    <row r="16576" spans="1:7">
      <c r="A16576" t="s">
        <v>1297</v>
      </c>
      <c r="B16576" t="s">
        <v>1298</v>
      </c>
      <c r="C16576" t="s">
        <v>670</v>
      </c>
      <c r="D16576" t="s">
        <v>1481</v>
      </c>
      <c r="E16576" t="s">
        <v>187</v>
      </c>
      <c r="F16576">
        <v>2016</v>
      </c>
      <c r="G16576">
        <v>9.4763070000000003</v>
      </c>
    </row>
    <row r="16577" spans="1:7">
      <c r="A16577" t="s">
        <v>1297</v>
      </c>
      <c r="B16577" t="s">
        <v>1298</v>
      </c>
      <c r="C16577" t="s">
        <v>670</v>
      </c>
      <c r="D16577" t="s">
        <v>1481</v>
      </c>
      <c r="E16577" t="s">
        <v>187</v>
      </c>
      <c r="F16577">
        <v>2020</v>
      </c>
      <c r="G16577">
        <v>6.4888250000000003</v>
      </c>
    </row>
    <row r="16578" spans="1:7">
      <c r="A16578" t="s">
        <v>1297</v>
      </c>
      <c r="B16578" t="s">
        <v>1298</v>
      </c>
      <c r="C16578" t="s">
        <v>680</v>
      </c>
      <c r="D16578" t="s">
        <v>1481</v>
      </c>
      <c r="E16578" t="s">
        <v>187</v>
      </c>
      <c r="F16578">
        <v>2005</v>
      </c>
      <c r="G16578">
        <v>2.8000000000000001E-2</v>
      </c>
    </row>
    <row r="16579" spans="1:7">
      <c r="A16579" t="s">
        <v>1297</v>
      </c>
      <c r="B16579" t="s">
        <v>1298</v>
      </c>
      <c r="C16579" t="s">
        <v>680</v>
      </c>
      <c r="D16579" t="s">
        <v>1481</v>
      </c>
      <c r="E16579" t="s">
        <v>187</v>
      </c>
      <c r="F16579">
        <v>2010</v>
      </c>
      <c r="G16579">
        <v>1.4E-2</v>
      </c>
    </row>
    <row r="16580" spans="1:7">
      <c r="A16580" t="s">
        <v>1297</v>
      </c>
      <c r="B16580" t="s">
        <v>1298</v>
      </c>
      <c r="C16580" t="s">
        <v>671</v>
      </c>
      <c r="D16580" t="s">
        <v>1481</v>
      </c>
      <c r="E16580" t="s">
        <v>187</v>
      </c>
      <c r="F16580">
        <v>2005</v>
      </c>
      <c r="G16580">
        <v>0.214</v>
      </c>
    </row>
    <row r="16581" spans="1:7">
      <c r="A16581" t="s">
        <v>1297</v>
      </c>
      <c r="B16581" t="s">
        <v>1298</v>
      </c>
      <c r="C16581" t="s">
        <v>671</v>
      </c>
      <c r="D16581" t="s">
        <v>1481</v>
      </c>
      <c r="E16581" t="s">
        <v>187</v>
      </c>
      <c r="F16581">
        <v>2010</v>
      </c>
      <c r="G16581">
        <v>0.33300000000000002</v>
      </c>
    </row>
    <row r="16582" spans="1:7">
      <c r="A16582" t="s">
        <v>1297</v>
      </c>
      <c r="B16582" t="s">
        <v>1298</v>
      </c>
      <c r="C16582" t="s">
        <v>671</v>
      </c>
      <c r="D16582" t="s">
        <v>1481</v>
      </c>
      <c r="E16582" t="s">
        <v>187</v>
      </c>
      <c r="F16582">
        <v>2012</v>
      </c>
      <c r="G16582">
        <v>0.443</v>
      </c>
    </row>
    <row r="16583" spans="1:7">
      <c r="A16583" t="s">
        <v>1297</v>
      </c>
      <c r="B16583" t="s">
        <v>1298</v>
      </c>
      <c r="C16583" t="s">
        <v>671</v>
      </c>
      <c r="D16583" t="s">
        <v>1481</v>
      </c>
      <c r="E16583" t="s">
        <v>187</v>
      </c>
      <c r="F16583">
        <v>2016</v>
      </c>
      <c r="G16583">
        <v>1.4219999999999999</v>
      </c>
    </row>
    <row r="16584" spans="1:7">
      <c r="A16584" t="s">
        <v>1297</v>
      </c>
      <c r="B16584" t="s">
        <v>1298</v>
      </c>
      <c r="C16584" t="s">
        <v>671</v>
      </c>
      <c r="D16584" t="s">
        <v>1481</v>
      </c>
      <c r="E16584" t="s">
        <v>187</v>
      </c>
      <c r="F16584">
        <v>2020</v>
      </c>
      <c r="G16584">
        <v>3.666118</v>
      </c>
    </row>
    <row r="16585" spans="1:7">
      <c r="A16585" t="s">
        <v>1297</v>
      </c>
      <c r="B16585" t="s">
        <v>1298</v>
      </c>
      <c r="C16585" t="s">
        <v>655</v>
      </c>
      <c r="D16585" t="s">
        <v>1481</v>
      </c>
      <c r="E16585" t="s">
        <v>187</v>
      </c>
      <c r="F16585">
        <v>2005</v>
      </c>
      <c r="G16585">
        <v>1.179</v>
      </c>
    </row>
    <row r="16586" spans="1:7">
      <c r="A16586" t="s">
        <v>1297</v>
      </c>
      <c r="B16586" t="s">
        <v>1298</v>
      </c>
      <c r="C16586" t="s">
        <v>655</v>
      </c>
      <c r="D16586" t="s">
        <v>1481</v>
      </c>
      <c r="E16586" t="s">
        <v>187</v>
      </c>
      <c r="F16586">
        <v>2010</v>
      </c>
      <c r="G16586">
        <v>0.96499999999999997</v>
      </c>
    </row>
    <row r="16587" spans="1:7">
      <c r="A16587" t="s">
        <v>1297</v>
      </c>
      <c r="B16587" t="s">
        <v>1298</v>
      </c>
      <c r="C16587" t="s">
        <v>655</v>
      </c>
      <c r="D16587" t="s">
        <v>1481</v>
      </c>
      <c r="E16587" t="s">
        <v>187</v>
      </c>
      <c r="F16587">
        <v>2012</v>
      </c>
      <c r="G16587">
        <v>1.3140000000000001</v>
      </c>
    </row>
    <row r="16588" spans="1:7">
      <c r="A16588" t="s">
        <v>1297</v>
      </c>
      <c r="B16588" t="s">
        <v>1298</v>
      </c>
      <c r="C16588" t="s">
        <v>655</v>
      </c>
      <c r="D16588" t="s">
        <v>1481</v>
      </c>
      <c r="E16588" t="s">
        <v>187</v>
      </c>
      <c r="F16588">
        <v>2016</v>
      </c>
      <c r="G16588">
        <v>1.405</v>
      </c>
    </row>
    <row r="16589" spans="1:7">
      <c r="A16589" t="s">
        <v>1297</v>
      </c>
      <c r="B16589" t="s">
        <v>1298</v>
      </c>
      <c r="C16589" t="s">
        <v>655</v>
      </c>
      <c r="D16589" t="s">
        <v>1481</v>
      </c>
      <c r="E16589" t="s">
        <v>187</v>
      </c>
      <c r="F16589">
        <v>2020</v>
      </c>
      <c r="G16589">
        <v>1.4487289999999999</v>
      </c>
    </row>
    <row r="16590" spans="1:7">
      <c r="A16590" t="s">
        <v>1297</v>
      </c>
      <c r="B16590" t="s">
        <v>1298</v>
      </c>
      <c r="C16590" t="s">
        <v>663</v>
      </c>
      <c r="D16590" t="s">
        <v>1481</v>
      </c>
      <c r="E16590" t="s">
        <v>187</v>
      </c>
      <c r="F16590">
        <v>2005</v>
      </c>
      <c r="G16590">
        <v>0.38800000000000001</v>
      </c>
    </row>
    <row r="16591" spans="1:7">
      <c r="A16591" t="s">
        <v>1297</v>
      </c>
      <c r="B16591" t="s">
        <v>1298</v>
      </c>
      <c r="C16591" t="s">
        <v>663</v>
      </c>
      <c r="D16591" t="s">
        <v>1481</v>
      </c>
      <c r="E16591" t="s">
        <v>187</v>
      </c>
      <c r="F16591">
        <v>2010</v>
      </c>
      <c r="G16591">
        <v>0.53800000000000003</v>
      </c>
    </row>
    <row r="16592" spans="1:7">
      <c r="A16592" t="s">
        <v>1297</v>
      </c>
      <c r="B16592" t="s">
        <v>1298</v>
      </c>
      <c r="C16592" t="s">
        <v>663</v>
      </c>
      <c r="D16592" t="s">
        <v>1481</v>
      </c>
      <c r="E16592" t="s">
        <v>187</v>
      </c>
      <c r="F16592">
        <v>2012</v>
      </c>
      <c r="G16592">
        <v>0.48699999999999999</v>
      </c>
    </row>
    <row r="16593" spans="1:7">
      <c r="A16593" t="s">
        <v>1297</v>
      </c>
      <c r="B16593" t="s">
        <v>1298</v>
      </c>
      <c r="C16593" t="s">
        <v>663</v>
      </c>
      <c r="D16593" t="s">
        <v>1481</v>
      </c>
      <c r="E16593" t="s">
        <v>187</v>
      </c>
      <c r="F16593">
        <v>2016</v>
      </c>
      <c r="G16593">
        <v>1.1990000000000001</v>
      </c>
    </row>
    <row r="16594" spans="1:7">
      <c r="A16594" t="s">
        <v>1297</v>
      </c>
      <c r="B16594" t="s">
        <v>1298</v>
      </c>
      <c r="C16594" t="s">
        <v>663</v>
      </c>
      <c r="D16594" t="s">
        <v>1481</v>
      </c>
      <c r="E16594" t="s">
        <v>187</v>
      </c>
      <c r="F16594">
        <v>2020</v>
      </c>
      <c r="G16594">
        <v>0.89300000000000002</v>
      </c>
    </row>
    <row r="16595" spans="1:7">
      <c r="A16595" t="s">
        <v>1297</v>
      </c>
      <c r="B16595" t="s">
        <v>1298</v>
      </c>
      <c r="C16595" t="s">
        <v>670</v>
      </c>
      <c r="D16595" t="s">
        <v>1482</v>
      </c>
      <c r="E16595" t="s">
        <v>187</v>
      </c>
      <c r="F16595">
        <v>2020</v>
      </c>
      <c r="G16595">
        <v>7.1241940000000001</v>
      </c>
    </row>
    <row r="16596" spans="1:7">
      <c r="A16596" t="s">
        <v>1297</v>
      </c>
      <c r="B16596" t="s">
        <v>1298</v>
      </c>
      <c r="C16596" t="s">
        <v>652</v>
      </c>
      <c r="D16596" t="s">
        <v>1482</v>
      </c>
      <c r="E16596" t="s">
        <v>187</v>
      </c>
      <c r="F16596">
        <v>2016</v>
      </c>
      <c r="G16596">
        <v>0.1714</v>
      </c>
    </row>
    <row r="16597" spans="1:7">
      <c r="A16597" t="s">
        <v>1297</v>
      </c>
      <c r="B16597" t="s">
        <v>1298</v>
      </c>
      <c r="C16597" t="s">
        <v>652</v>
      </c>
      <c r="D16597" t="s">
        <v>1482</v>
      </c>
      <c r="E16597" t="s">
        <v>187</v>
      </c>
      <c r="F16597">
        <v>2020</v>
      </c>
      <c r="G16597">
        <v>3.44E-2</v>
      </c>
    </row>
    <row r="16598" spans="1:7">
      <c r="A16598" t="s">
        <v>1297</v>
      </c>
      <c r="B16598" t="s">
        <v>1298</v>
      </c>
      <c r="C16598" t="s">
        <v>672</v>
      </c>
      <c r="D16598" t="s">
        <v>1482</v>
      </c>
      <c r="E16598" t="s">
        <v>187</v>
      </c>
      <c r="F16598">
        <v>2012</v>
      </c>
      <c r="G16598">
        <v>0.33</v>
      </c>
    </row>
    <row r="16599" spans="1:7">
      <c r="A16599" t="s">
        <v>1297</v>
      </c>
      <c r="B16599" t="s">
        <v>1298</v>
      </c>
      <c r="C16599" t="s">
        <v>672</v>
      </c>
      <c r="D16599" t="s">
        <v>1482</v>
      </c>
      <c r="E16599" t="s">
        <v>187</v>
      </c>
      <c r="F16599">
        <v>2016</v>
      </c>
      <c r="G16599">
        <v>1.407</v>
      </c>
    </row>
    <row r="16600" spans="1:7">
      <c r="A16600" t="s">
        <v>1297</v>
      </c>
      <c r="B16600" t="s">
        <v>1298</v>
      </c>
      <c r="C16600" t="s">
        <v>672</v>
      </c>
      <c r="D16600" t="s">
        <v>1482</v>
      </c>
      <c r="E16600" t="s">
        <v>187</v>
      </c>
      <c r="F16600">
        <v>2020</v>
      </c>
      <c r="G16600">
        <v>1.103</v>
      </c>
    </row>
    <row r="16601" spans="1:7">
      <c r="A16601" t="s">
        <v>1297</v>
      </c>
      <c r="B16601" t="s">
        <v>1298</v>
      </c>
      <c r="C16601" t="s">
        <v>654</v>
      </c>
      <c r="D16601" t="s">
        <v>1482</v>
      </c>
      <c r="E16601" t="s">
        <v>187</v>
      </c>
      <c r="F16601">
        <v>2012</v>
      </c>
      <c r="G16601">
        <v>2.4E-2</v>
      </c>
    </row>
    <row r="16602" spans="1:7">
      <c r="A16602" t="s">
        <v>1297</v>
      </c>
      <c r="B16602" t="s">
        <v>1298</v>
      </c>
      <c r="C16602" t="s">
        <v>654</v>
      </c>
      <c r="D16602" t="s">
        <v>1482</v>
      </c>
      <c r="E16602" t="s">
        <v>187</v>
      </c>
      <c r="F16602">
        <v>2016</v>
      </c>
      <c r="G16602">
        <v>0.64400000000000002</v>
      </c>
    </row>
    <row r="16603" spans="1:7">
      <c r="A16603" t="s">
        <v>1297</v>
      </c>
      <c r="B16603" t="s">
        <v>1298</v>
      </c>
      <c r="C16603" t="s">
        <v>674</v>
      </c>
      <c r="D16603" t="s">
        <v>1482</v>
      </c>
      <c r="E16603" t="s">
        <v>187</v>
      </c>
      <c r="F16603">
        <v>2005</v>
      </c>
      <c r="G16603">
        <v>0.126</v>
      </c>
    </row>
    <row r="16604" spans="1:7">
      <c r="A16604" t="s">
        <v>1297</v>
      </c>
      <c r="B16604" t="s">
        <v>1298</v>
      </c>
      <c r="C16604" t="s">
        <v>674</v>
      </c>
      <c r="D16604" t="s">
        <v>1482</v>
      </c>
      <c r="E16604" t="s">
        <v>187</v>
      </c>
      <c r="F16604">
        <v>2010</v>
      </c>
      <c r="G16604">
        <v>1.36</v>
      </c>
    </row>
    <row r="16605" spans="1:7">
      <c r="A16605" t="s">
        <v>1297</v>
      </c>
      <c r="B16605" t="s">
        <v>1298</v>
      </c>
      <c r="C16605" t="s">
        <v>674</v>
      </c>
      <c r="D16605" t="s">
        <v>1482</v>
      </c>
      <c r="E16605" t="s">
        <v>187</v>
      </c>
      <c r="F16605">
        <v>2012</v>
      </c>
      <c r="G16605">
        <v>2.3220000000000001</v>
      </c>
    </row>
    <row r="16606" spans="1:7">
      <c r="A16606" t="s">
        <v>1297</v>
      </c>
      <c r="B16606" t="s">
        <v>1298</v>
      </c>
      <c r="C16606" t="s">
        <v>674</v>
      </c>
      <c r="D16606" t="s">
        <v>1482</v>
      </c>
      <c r="E16606" t="s">
        <v>187</v>
      </c>
      <c r="F16606">
        <v>2016</v>
      </c>
      <c r="G16606">
        <v>3.4239999999999999</v>
      </c>
    </row>
    <row r="16607" spans="1:7">
      <c r="A16607" t="s">
        <v>1297</v>
      </c>
      <c r="B16607" t="s">
        <v>1298</v>
      </c>
      <c r="C16607" t="s">
        <v>674</v>
      </c>
      <c r="D16607" t="s">
        <v>1482</v>
      </c>
      <c r="E16607" t="s">
        <v>187</v>
      </c>
      <c r="F16607">
        <v>2020</v>
      </c>
      <c r="G16607">
        <v>3.7210000000000001</v>
      </c>
    </row>
    <row r="16608" spans="1:7">
      <c r="A16608" t="s">
        <v>1297</v>
      </c>
      <c r="B16608" t="s">
        <v>1298</v>
      </c>
      <c r="C16608" t="s">
        <v>654</v>
      </c>
      <c r="D16608" t="s">
        <v>1482</v>
      </c>
      <c r="E16608" t="s">
        <v>187</v>
      </c>
      <c r="F16608">
        <v>2020</v>
      </c>
      <c r="G16608">
        <v>1.125154</v>
      </c>
    </row>
    <row r="16609" spans="1:7">
      <c r="A16609" t="s">
        <v>1297</v>
      </c>
      <c r="B16609" t="s">
        <v>1298</v>
      </c>
      <c r="C16609" t="s">
        <v>657</v>
      </c>
      <c r="D16609" t="s">
        <v>1482</v>
      </c>
      <c r="E16609" t="s">
        <v>187</v>
      </c>
      <c r="F16609">
        <v>2012</v>
      </c>
      <c r="G16609">
        <v>0.77600000000000002</v>
      </c>
    </row>
    <row r="16610" spans="1:7">
      <c r="A16610" t="s">
        <v>1297</v>
      </c>
      <c r="B16610" t="s">
        <v>1298</v>
      </c>
      <c r="C16610" t="s">
        <v>657</v>
      </c>
      <c r="D16610" t="s">
        <v>1482</v>
      </c>
      <c r="E16610" t="s">
        <v>187</v>
      </c>
      <c r="F16610">
        <v>2016</v>
      </c>
      <c r="G16610">
        <v>2.26098</v>
      </c>
    </row>
    <row r="16611" spans="1:7">
      <c r="A16611" t="s">
        <v>1297</v>
      </c>
      <c r="B16611" t="s">
        <v>1298</v>
      </c>
      <c r="C16611" t="s">
        <v>657</v>
      </c>
      <c r="D16611" t="s">
        <v>1482</v>
      </c>
      <c r="E16611" t="s">
        <v>187</v>
      </c>
      <c r="F16611">
        <v>2020</v>
      </c>
      <c r="G16611">
        <v>2.5519500000000002</v>
      </c>
    </row>
    <row r="16612" spans="1:7">
      <c r="A16612" t="s">
        <v>1297</v>
      </c>
      <c r="B16612" t="s">
        <v>1298</v>
      </c>
      <c r="C16612" t="s">
        <v>663</v>
      </c>
      <c r="D16612" t="s">
        <v>1482</v>
      </c>
      <c r="E16612" t="s">
        <v>187</v>
      </c>
      <c r="F16612">
        <v>2012</v>
      </c>
      <c r="G16612">
        <v>3.7999999999999999E-2</v>
      </c>
    </row>
    <row r="16613" spans="1:7">
      <c r="A16613" t="s">
        <v>1297</v>
      </c>
      <c r="B16613" t="s">
        <v>1298</v>
      </c>
      <c r="C16613" t="s">
        <v>663</v>
      </c>
      <c r="D16613" t="s">
        <v>1482</v>
      </c>
      <c r="E16613" t="s">
        <v>187</v>
      </c>
      <c r="F16613">
        <v>2016</v>
      </c>
      <c r="G16613">
        <v>1.367</v>
      </c>
    </row>
    <row r="16614" spans="1:7">
      <c r="A16614" t="s">
        <v>1297</v>
      </c>
      <c r="B16614" t="s">
        <v>1298</v>
      </c>
      <c r="C16614" t="s">
        <v>663</v>
      </c>
      <c r="D16614" t="s">
        <v>1482</v>
      </c>
      <c r="E16614" t="s">
        <v>187</v>
      </c>
      <c r="F16614">
        <v>2020</v>
      </c>
      <c r="G16614">
        <v>3.0630000000000002</v>
      </c>
    </row>
    <row r="16615" spans="1:7">
      <c r="A16615" t="s">
        <v>1297</v>
      </c>
      <c r="B16615" t="s">
        <v>1298</v>
      </c>
      <c r="C16615" t="s">
        <v>676</v>
      </c>
      <c r="D16615" t="s">
        <v>1482</v>
      </c>
      <c r="E16615" t="s">
        <v>187</v>
      </c>
      <c r="F16615">
        <v>2005</v>
      </c>
      <c r="G16615">
        <v>7.0000000000000001E-3</v>
      </c>
    </row>
    <row r="16616" spans="1:7">
      <c r="A16616" t="s">
        <v>1297</v>
      </c>
      <c r="B16616" t="s">
        <v>1298</v>
      </c>
      <c r="C16616" t="s">
        <v>676</v>
      </c>
      <c r="D16616" t="s">
        <v>1482</v>
      </c>
      <c r="E16616" t="s">
        <v>187</v>
      </c>
      <c r="F16616">
        <v>2010</v>
      </c>
      <c r="G16616">
        <v>4.1000000000000002E-2</v>
      </c>
    </row>
    <row r="16617" spans="1:7">
      <c r="A16617" t="s">
        <v>1297</v>
      </c>
      <c r="B16617" t="s">
        <v>1298</v>
      </c>
      <c r="C16617" t="s">
        <v>676</v>
      </c>
      <c r="D16617" t="s">
        <v>1482</v>
      </c>
      <c r="E16617" t="s">
        <v>187</v>
      </c>
      <c r="F16617">
        <v>2016</v>
      </c>
      <c r="G16617">
        <v>0.115</v>
      </c>
    </row>
    <row r="16618" spans="1:7">
      <c r="A16618" t="s">
        <v>1297</v>
      </c>
      <c r="B16618" t="s">
        <v>1298</v>
      </c>
      <c r="C16618" t="s">
        <v>676</v>
      </c>
      <c r="D16618" t="s">
        <v>1482</v>
      </c>
      <c r="E16618" t="s">
        <v>187</v>
      </c>
      <c r="F16618">
        <v>2020</v>
      </c>
      <c r="G16618">
        <v>0.40100000000000002</v>
      </c>
    </row>
    <row r="16619" spans="1:7">
      <c r="A16619" t="s">
        <v>1297</v>
      </c>
      <c r="B16619" t="s">
        <v>1298</v>
      </c>
      <c r="C16619" t="s">
        <v>668</v>
      </c>
      <c r="D16619" t="s">
        <v>1482</v>
      </c>
      <c r="E16619" t="s">
        <v>187</v>
      </c>
      <c r="F16619">
        <v>2010</v>
      </c>
      <c r="G16619">
        <v>0.76100000000000001</v>
      </c>
    </row>
    <row r="16620" spans="1:7">
      <c r="A16620" t="s">
        <v>1297</v>
      </c>
      <c r="B16620" t="s">
        <v>1298</v>
      </c>
      <c r="C16620" t="s">
        <v>668</v>
      </c>
      <c r="D16620" t="s">
        <v>1482</v>
      </c>
      <c r="E16620" t="s">
        <v>187</v>
      </c>
      <c r="F16620">
        <v>2012</v>
      </c>
      <c r="G16620">
        <v>2.3149999999999999</v>
      </c>
    </row>
    <row r="16621" spans="1:7">
      <c r="A16621" t="s">
        <v>1297</v>
      </c>
      <c r="B16621" t="s">
        <v>1298</v>
      </c>
      <c r="C16621" t="s">
        <v>668</v>
      </c>
      <c r="D16621" t="s">
        <v>1482</v>
      </c>
      <c r="E16621" t="s">
        <v>187</v>
      </c>
      <c r="F16621">
        <v>2016</v>
      </c>
      <c r="G16621">
        <v>1.032</v>
      </c>
    </row>
    <row r="16622" spans="1:7">
      <c r="A16622" t="s">
        <v>1297</v>
      </c>
      <c r="B16622" t="s">
        <v>1298</v>
      </c>
      <c r="C16622" t="s">
        <v>668</v>
      </c>
      <c r="D16622" t="s">
        <v>1482</v>
      </c>
      <c r="E16622" t="s">
        <v>187</v>
      </c>
      <c r="F16622">
        <v>2020</v>
      </c>
      <c r="G16622">
        <v>1.2823990000000001</v>
      </c>
    </row>
    <row r="16623" spans="1:7">
      <c r="A16623" t="s">
        <v>1297</v>
      </c>
      <c r="B16623" t="s">
        <v>1298</v>
      </c>
      <c r="C16623" t="s">
        <v>658</v>
      </c>
      <c r="D16623" t="s">
        <v>1482</v>
      </c>
      <c r="E16623" t="s">
        <v>187</v>
      </c>
      <c r="F16623">
        <v>2016</v>
      </c>
      <c r="G16623">
        <v>0.253</v>
      </c>
    </row>
    <row r="16624" spans="1:7">
      <c r="A16624" t="s">
        <v>1297</v>
      </c>
      <c r="B16624" t="s">
        <v>1298</v>
      </c>
      <c r="C16624" t="s">
        <v>658</v>
      </c>
      <c r="D16624" t="s">
        <v>1482</v>
      </c>
      <c r="E16624" t="s">
        <v>187</v>
      </c>
      <c r="F16624">
        <v>2020</v>
      </c>
      <c r="G16624">
        <v>0.25745299999999999</v>
      </c>
    </row>
    <row r="16625" spans="1:7">
      <c r="A16625" t="s">
        <v>1297</v>
      </c>
      <c r="B16625" t="s">
        <v>1298</v>
      </c>
      <c r="C16625" t="s">
        <v>670</v>
      </c>
      <c r="D16625" t="s">
        <v>1482</v>
      </c>
      <c r="E16625" t="s">
        <v>187</v>
      </c>
      <c r="F16625">
        <v>2012</v>
      </c>
      <c r="G16625">
        <v>4.3259999999999996</v>
      </c>
    </row>
    <row r="16626" spans="1:7">
      <c r="A16626" t="s">
        <v>1297</v>
      </c>
      <c r="B16626" t="s">
        <v>1298</v>
      </c>
      <c r="C16626" t="s">
        <v>670</v>
      </c>
      <c r="D16626" t="s">
        <v>1482</v>
      </c>
      <c r="E16626" t="s">
        <v>187</v>
      </c>
      <c r="F16626">
        <v>2016</v>
      </c>
      <c r="G16626">
        <v>8.9239999999999995</v>
      </c>
    </row>
    <row r="16627" spans="1:7">
      <c r="A16627" t="s">
        <v>1297</v>
      </c>
      <c r="B16627" t="s">
        <v>1298</v>
      </c>
      <c r="C16627" t="s">
        <v>651</v>
      </c>
      <c r="D16627" t="s">
        <v>1483</v>
      </c>
      <c r="E16627" t="s">
        <v>187</v>
      </c>
      <c r="F16627">
        <v>2005</v>
      </c>
      <c r="G16627">
        <v>0.44132500000000002</v>
      </c>
    </row>
    <row r="16628" spans="1:7">
      <c r="A16628" t="s">
        <v>1297</v>
      </c>
      <c r="B16628" t="s">
        <v>1298</v>
      </c>
      <c r="C16628" t="s">
        <v>651</v>
      </c>
      <c r="D16628" t="s">
        <v>1483</v>
      </c>
      <c r="E16628" t="s">
        <v>187</v>
      </c>
      <c r="F16628">
        <v>2010</v>
      </c>
      <c r="G16628">
        <v>2.324379</v>
      </c>
    </row>
    <row r="16629" spans="1:7">
      <c r="A16629" t="s">
        <v>1297</v>
      </c>
      <c r="B16629" t="s">
        <v>1298</v>
      </c>
      <c r="C16629" t="s">
        <v>651</v>
      </c>
      <c r="D16629" t="s">
        <v>1483</v>
      </c>
      <c r="E16629" t="s">
        <v>187</v>
      </c>
      <c r="F16629">
        <v>2012</v>
      </c>
      <c r="G16629">
        <v>2.1365219999999998</v>
      </c>
    </row>
    <row r="16630" spans="1:7">
      <c r="A16630" t="s">
        <v>1297</v>
      </c>
      <c r="B16630" t="s">
        <v>1298</v>
      </c>
      <c r="C16630" t="s">
        <v>651</v>
      </c>
      <c r="D16630" t="s">
        <v>1483</v>
      </c>
      <c r="E16630" t="s">
        <v>187</v>
      </c>
      <c r="F16630">
        <v>2016</v>
      </c>
      <c r="G16630">
        <v>1.817941</v>
      </c>
    </row>
    <row r="16631" spans="1:7">
      <c r="A16631" t="s">
        <v>1297</v>
      </c>
      <c r="B16631" t="s">
        <v>1298</v>
      </c>
      <c r="C16631" t="s">
        <v>651</v>
      </c>
      <c r="D16631" t="s">
        <v>1483</v>
      </c>
      <c r="E16631" t="s">
        <v>187</v>
      </c>
      <c r="F16631">
        <v>2020</v>
      </c>
      <c r="G16631">
        <v>1.119205</v>
      </c>
    </row>
    <row r="16632" spans="1:7">
      <c r="A16632" t="s">
        <v>1297</v>
      </c>
      <c r="B16632" t="s">
        <v>1298</v>
      </c>
      <c r="C16632" t="s">
        <v>673</v>
      </c>
      <c r="D16632" t="s">
        <v>1483</v>
      </c>
      <c r="E16632" t="s">
        <v>187</v>
      </c>
      <c r="F16632">
        <v>2005</v>
      </c>
      <c r="G16632">
        <v>0.93600000000000005</v>
      </c>
    </row>
    <row r="16633" spans="1:7">
      <c r="A16633" t="s">
        <v>1297</v>
      </c>
      <c r="B16633" t="s">
        <v>1298</v>
      </c>
      <c r="C16633" t="s">
        <v>671</v>
      </c>
      <c r="D16633" t="s">
        <v>1483</v>
      </c>
      <c r="E16633" t="s">
        <v>187</v>
      </c>
      <c r="F16633">
        <v>2005</v>
      </c>
      <c r="G16633">
        <v>0.28499999999999998</v>
      </c>
    </row>
    <row r="16634" spans="1:7">
      <c r="A16634" t="s">
        <v>1297</v>
      </c>
      <c r="B16634" t="s">
        <v>1298</v>
      </c>
      <c r="C16634" t="s">
        <v>671</v>
      </c>
      <c r="D16634" t="s">
        <v>1483</v>
      </c>
      <c r="E16634" t="s">
        <v>187</v>
      </c>
      <c r="F16634">
        <v>2010</v>
      </c>
      <c r="G16634">
        <v>2E-3</v>
      </c>
    </row>
    <row r="16635" spans="1:7">
      <c r="A16635" t="s">
        <v>1297</v>
      </c>
      <c r="B16635" t="s">
        <v>1298</v>
      </c>
      <c r="C16635" t="s">
        <v>671</v>
      </c>
      <c r="D16635" t="s">
        <v>1483</v>
      </c>
      <c r="E16635" t="s">
        <v>187</v>
      </c>
      <c r="F16635">
        <v>2012</v>
      </c>
      <c r="G16635">
        <v>1E-3</v>
      </c>
    </row>
    <row r="16636" spans="1:7">
      <c r="A16636" t="s">
        <v>1297</v>
      </c>
      <c r="B16636" t="s">
        <v>1298</v>
      </c>
      <c r="C16636" t="s">
        <v>671</v>
      </c>
      <c r="D16636" t="s">
        <v>1483</v>
      </c>
      <c r="E16636" t="s">
        <v>187</v>
      </c>
      <c r="F16636">
        <v>2016</v>
      </c>
      <c r="G16636">
        <v>5.0000000000000001E-3</v>
      </c>
    </row>
    <row r="16637" spans="1:7">
      <c r="A16637" t="s">
        <v>1297</v>
      </c>
      <c r="B16637" t="s">
        <v>1298</v>
      </c>
      <c r="C16637" t="s">
        <v>671</v>
      </c>
      <c r="D16637" t="s">
        <v>1483</v>
      </c>
      <c r="E16637" t="s">
        <v>187</v>
      </c>
      <c r="F16637">
        <v>2020</v>
      </c>
      <c r="G16637">
        <v>9.5799999999999998E-4</v>
      </c>
    </row>
    <row r="16638" spans="1:7">
      <c r="A16638" t="s">
        <v>1297</v>
      </c>
      <c r="B16638" t="s">
        <v>1298</v>
      </c>
      <c r="C16638" t="s">
        <v>661</v>
      </c>
      <c r="D16638" t="s">
        <v>1483</v>
      </c>
      <c r="E16638" t="s">
        <v>187</v>
      </c>
      <c r="F16638">
        <v>2005</v>
      </c>
      <c r="G16638">
        <v>0.28699999999999998</v>
      </c>
    </row>
    <row r="16639" spans="1:7">
      <c r="A16639" t="s">
        <v>1297</v>
      </c>
      <c r="B16639" t="s">
        <v>1298</v>
      </c>
      <c r="C16639" t="s">
        <v>661</v>
      </c>
      <c r="D16639" t="s">
        <v>1483</v>
      </c>
      <c r="E16639" t="s">
        <v>187</v>
      </c>
      <c r="F16639">
        <v>2010</v>
      </c>
      <c r="G16639">
        <v>0.55725199999999997</v>
      </c>
    </row>
    <row r="16640" spans="1:7">
      <c r="A16640" t="s">
        <v>1297</v>
      </c>
      <c r="B16640" t="s">
        <v>1298</v>
      </c>
      <c r="C16640" t="s">
        <v>656</v>
      </c>
      <c r="D16640" t="s">
        <v>1483</v>
      </c>
      <c r="E16640" t="s">
        <v>187</v>
      </c>
      <c r="F16640">
        <v>2012</v>
      </c>
      <c r="G16640">
        <v>0.16600000000000001</v>
      </c>
    </row>
    <row r="16641" spans="1:7">
      <c r="A16641" t="s">
        <v>1297</v>
      </c>
      <c r="B16641" t="s">
        <v>1298</v>
      </c>
      <c r="C16641" t="s">
        <v>656</v>
      </c>
      <c r="D16641" t="s">
        <v>1483</v>
      </c>
      <c r="E16641" t="s">
        <v>187</v>
      </c>
      <c r="F16641">
        <v>2016</v>
      </c>
      <c r="G16641">
        <v>0.52100000000000002</v>
      </c>
    </row>
    <row r="16642" spans="1:7">
      <c r="A16642" t="s">
        <v>1297</v>
      </c>
      <c r="B16642" t="s">
        <v>1298</v>
      </c>
      <c r="C16642" t="s">
        <v>656</v>
      </c>
      <c r="D16642" t="s">
        <v>1483</v>
      </c>
      <c r="E16642" t="s">
        <v>187</v>
      </c>
      <c r="F16642">
        <v>2020</v>
      </c>
      <c r="G16642">
        <v>0.154</v>
      </c>
    </row>
    <row r="16643" spans="1:7">
      <c r="A16643" t="s">
        <v>1297</v>
      </c>
      <c r="B16643" t="s">
        <v>1298</v>
      </c>
      <c r="C16643" t="s">
        <v>660</v>
      </c>
      <c r="D16643" t="s">
        <v>1484</v>
      </c>
      <c r="E16643" t="s">
        <v>187</v>
      </c>
      <c r="F16643">
        <v>2005</v>
      </c>
      <c r="G16643">
        <v>4.4539999999999997</v>
      </c>
    </row>
    <row r="16644" spans="1:7">
      <c r="A16644" t="s">
        <v>1297</v>
      </c>
      <c r="B16644" t="s">
        <v>1298</v>
      </c>
      <c r="C16644" t="s">
        <v>660</v>
      </c>
      <c r="D16644" t="s">
        <v>1484</v>
      </c>
      <c r="E16644" t="s">
        <v>187</v>
      </c>
      <c r="F16644">
        <v>2010</v>
      </c>
      <c r="G16644">
        <v>6.1189999999999998</v>
      </c>
    </row>
    <row r="16645" spans="1:7">
      <c r="A16645" t="s">
        <v>1297</v>
      </c>
      <c r="B16645" t="s">
        <v>1298</v>
      </c>
      <c r="C16645" t="s">
        <v>660</v>
      </c>
      <c r="D16645" t="s">
        <v>1484</v>
      </c>
      <c r="E16645" t="s">
        <v>187</v>
      </c>
      <c r="F16645">
        <v>2012</v>
      </c>
      <c r="G16645">
        <v>7.6980000000000004</v>
      </c>
    </row>
    <row r="16646" spans="1:7">
      <c r="A16646" t="s">
        <v>1297</v>
      </c>
      <c r="B16646" t="s">
        <v>1298</v>
      </c>
      <c r="C16646" t="s">
        <v>660</v>
      </c>
      <c r="D16646" t="s">
        <v>1484</v>
      </c>
      <c r="E16646" t="s">
        <v>187</v>
      </c>
      <c r="F16646">
        <v>2016</v>
      </c>
      <c r="G16646">
        <v>11.023</v>
      </c>
    </row>
    <row r="16647" spans="1:7">
      <c r="A16647" t="s">
        <v>1297</v>
      </c>
      <c r="B16647" t="s">
        <v>1298</v>
      </c>
      <c r="C16647" t="s">
        <v>660</v>
      </c>
      <c r="D16647" t="s">
        <v>1484</v>
      </c>
      <c r="E16647" t="s">
        <v>187</v>
      </c>
      <c r="F16647">
        <v>2020</v>
      </c>
      <c r="G16647">
        <v>12.387</v>
      </c>
    </row>
    <row r="16648" spans="1:7">
      <c r="A16648" t="s">
        <v>1297</v>
      </c>
      <c r="B16648" t="s">
        <v>1298</v>
      </c>
      <c r="C16648" t="s">
        <v>653</v>
      </c>
      <c r="D16648" t="s">
        <v>1484</v>
      </c>
      <c r="E16648" t="s">
        <v>187</v>
      </c>
      <c r="F16648">
        <v>2005</v>
      </c>
      <c r="G16648">
        <v>2.4420000000000002</v>
      </c>
    </row>
    <row r="16649" spans="1:7">
      <c r="A16649" t="s">
        <v>1297</v>
      </c>
      <c r="B16649" t="s">
        <v>1298</v>
      </c>
      <c r="C16649" t="s">
        <v>653</v>
      </c>
      <c r="D16649" t="s">
        <v>1484</v>
      </c>
      <c r="E16649" t="s">
        <v>187</v>
      </c>
      <c r="F16649">
        <v>2010</v>
      </c>
      <c r="G16649">
        <v>0.14199999999999999</v>
      </c>
    </row>
    <row r="16650" spans="1:7">
      <c r="A16650" t="s">
        <v>1297</v>
      </c>
      <c r="B16650" t="s">
        <v>1298</v>
      </c>
      <c r="C16650" t="s">
        <v>653</v>
      </c>
      <c r="D16650" t="s">
        <v>1484</v>
      </c>
      <c r="E16650" t="s">
        <v>187</v>
      </c>
      <c r="F16650">
        <v>2012</v>
      </c>
      <c r="G16650">
        <v>0.30599999999999999</v>
      </c>
    </row>
    <row r="16651" spans="1:7">
      <c r="A16651" t="s">
        <v>1297</v>
      </c>
      <c r="B16651" t="s">
        <v>1298</v>
      </c>
      <c r="C16651" t="s">
        <v>653</v>
      </c>
      <c r="D16651" t="s">
        <v>1484</v>
      </c>
      <c r="E16651" t="s">
        <v>187</v>
      </c>
      <c r="F16651">
        <v>2016</v>
      </c>
      <c r="G16651">
        <v>1.319</v>
      </c>
    </row>
    <row r="16652" spans="1:7">
      <c r="A16652" t="s">
        <v>1297</v>
      </c>
      <c r="B16652" t="s">
        <v>1298</v>
      </c>
      <c r="C16652" t="s">
        <v>653</v>
      </c>
      <c r="D16652" t="s">
        <v>1484</v>
      </c>
      <c r="E16652" t="s">
        <v>187</v>
      </c>
      <c r="F16652">
        <v>2020</v>
      </c>
      <c r="G16652">
        <v>2.7853370000000002</v>
      </c>
    </row>
    <row r="16653" spans="1:7">
      <c r="A16653" t="s">
        <v>1297</v>
      </c>
      <c r="B16653" t="s">
        <v>1298</v>
      </c>
      <c r="C16653" t="s">
        <v>680</v>
      </c>
      <c r="D16653" t="s">
        <v>1484</v>
      </c>
      <c r="E16653" t="s">
        <v>187</v>
      </c>
      <c r="F16653">
        <v>2005</v>
      </c>
      <c r="G16653">
        <v>3.5000000000000003E-2</v>
      </c>
    </row>
    <row r="16654" spans="1:7">
      <c r="A16654" t="s">
        <v>1297</v>
      </c>
      <c r="B16654" t="s">
        <v>1298</v>
      </c>
      <c r="C16654" t="s">
        <v>680</v>
      </c>
      <c r="D16654" t="s">
        <v>1484</v>
      </c>
      <c r="E16654" t="s">
        <v>187</v>
      </c>
      <c r="F16654">
        <v>2010</v>
      </c>
      <c r="G16654">
        <v>1.7999999999999999E-2</v>
      </c>
    </row>
    <row r="16655" spans="1:7">
      <c r="A16655" t="s">
        <v>1297</v>
      </c>
      <c r="B16655" t="s">
        <v>1298</v>
      </c>
      <c r="C16655" t="s">
        <v>667</v>
      </c>
      <c r="D16655" t="s">
        <v>1484</v>
      </c>
      <c r="E16655" t="s">
        <v>187</v>
      </c>
      <c r="F16655">
        <v>2005</v>
      </c>
      <c r="G16655">
        <v>1.469295</v>
      </c>
    </row>
    <row r="16656" spans="1:7">
      <c r="A16656" t="s">
        <v>1297</v>
      </c>
      <c r="B16656" t="s">
        <v>1298</v>
      </c>
      <c r="C16656" t="s">
        <v>667</v>
      </c>
      <c r="D16656" t="s">
        <v>1484</v>
      </c>
      <c r="E16656" t="s">
        <v>187</v>
      </c>
      <c r="F16656">
        <v>2010</v>
      </c>
      <c r="G16656">
        <v>1.2890109999999999</v>
      </c>
    </row>
    <row r="16657" spans="1:7">
      <c r="A16657" t="s">
        <v>1297</v>
      </c>
      <c r="B16657" t="s">
        <v>1298</v>
      </c>
      <c r="C16657" t="s">
        <v>667</v>
      </c>
      <c r="D16657" t="s">
        <v>1484</v>
      </c>
      <c r="E16657" t="s">
        <v>187</v>
      </c>
      <c r="F16657">
        <v>2012</v>
      </c>
      <c r="G16657">
        <v>1.351499</v>
      </c>
    </row>
    <row r="16658" spans="1:7">
      <c r="A16658" t="s">
        <v>1297</v>
      </c>
      <c r="B16658" t="s">
        <v>1298</v>
      </c>
      <c r="C16658" t="s">
        <v>667</v>
      </c>
      <c r="D16658" t="s">
        <v>1484</v>
      </c>
      <c r="E16658" t="s">
        <v>187</v>
      </c>
      <c r="F16658">
        <v>2016</v>
      </c>
      <c r="G16658">
        <v>1.4166540000000001</v>
      </c>
    </row>
    <row r="16659" spans="1:7">
      <c r="A16659" t="s">
        <v>1297</v>
      </c>
      <c r="B16659" t="s">
        <v>1298</v>
      </c>
      <c r="C16659" t="s">
        <v>289</v>
      </c>
      <c r="D16659" t="s">
        <v>1484</v>
      </c>
      <c r="E16659" t="s">
        <v>187</v>
      </c>
      <c r="F16659">
        <v>2005</v>
      </c>
      <c r="G16659">
        <v>0.17599999999999999</v>
      </c>
    </row>
    <row r="16660" spans="1:7">
      <c r="A16660" t="s">
        <v>1297</v>
      </c>
      <c r="B16660" t="s">
        <v>1298</v>
      </c>
      <c r="C16660" t="s">
        <v>289</v>
      </c>
      <c r="D16660" t="s">
        <v>1484</v>
      </c>
      <c r="E16660" t="s">
        <v>187</v>
      </c>
      <c r="F16660">
        <v>2010</v>
      </c>
      <c r="G16660">
        <v>0.31900000000000001</v>
      </c>
    </row>
    <row r="16661" spans="1:7">
      <c r="A16661" t="s">
        <v>1297</v>
      </c>
      <c r="B16661" t="s">
        <v>1298</v>
      </c>
      <c r="C16661" t="s">
        <v>289</v>
      </c>
      <c r="D16661" t="s">
        <v>1484</v>
      </c>
      <c r="E16661" t="s">
        <v>187</v>
      </c>
      <c r="F16661">
        <v>2012</v>
      </c>
      <c r="G16661">
        <v>0.34100000000000003</v>
      </c>
    </row>
    <row r="16662" spans="1:7">
      <c r="A16662" t="s">
        <v>1297</v>
      </c>
      <c r="B16662" t="s">
        <v>1298</v>
      </c>
      <c r="C16662" t="s">
        <v>289</v>
      </c>
      <c r="D16662" t="s">
        <v>1484</v>
      </c>
      <c r="E16662" t="s">
        <v>187</v>
      </c>
      <c r="F16662">
        <v>2016</v>
      </c>
      <c r="G16662">
        <v>0.42499999999999999</v>
      </c>
    </row>
    <row r="16663" spans="1:7">
      <c r="A16663" t="s">
        <v>1297</v>
      </c>
      <c r="B16663" t="s">
        <v>1298</v>
      </c>
      <c r="C16663" t="s">
        <v>289</v>
      </c>
      <c r="D16663" t="s">
        <v>1484</v>
      </c>
      <c r="E16663" t="s">
        <v>187</v>
      </c>
      <c r="F16663">
        <v>2020</v>
      </c>
      <c r="G16663">
        <v>1.1289</v>
      </c>
    </row>
    <row r="16664" spans="1:7">
      <c r="A16664" t="s">
        <v>1297</v>
      </c>
      <c r="B16664" t="s">
        <v>1298</v>
      </c>
      <c r="C16664" t="s">
        <v>664</v>
      </c>
      <c r="D16664" t="s">
        <v>1484</v>
      </c>
      <c r="E16664" t="s">
        <v>187</v>
      </c>
      <c r="F16664">
        <v>2010</v>
      </c>
      <c r="G16664">
        <v>0.35807299999999997</v>
      </c>
    </row>
    <row r="16665" spans="1:7">
      <c r="A16665" t="s">
        <v>1297</v>
      </c>
      <c r="B16665" t="s">
        <v>1298</v>
      </c>
      <c r="C16665" t="s">
        <v>664</v>
      </c>
      <c r="D16665" t="s">
        <v>1484</v>
      </c>
      <c r="E16665" t="s">
        <v>187</v>
      </c>
      <c r="F16665">
        <v>2012</v>
      </c>
      <c r="G16665">
        <v>1.9142779999999999</v>
      </c>
    </row>
    <row r="16666" spans="1:7">
      <c r="A16666" t="s">
        <v>1297</v>
      </c>
      <c r="B16666" t="s">
        <v>1298</v>
      </c>
      <c r="C16666" t="s">
        <v>664</v>
      </c>
      <c r="D16666" t="s">
        <v>1484</v>
      </c>
      <c r="E16666" t="s">
        <v>187</v>
      </c>
      <c r="F16666">
        <v>2016</v>
      </c>
      <c r="G16666">
        <v>2.7907130000000002</v>
      </c>
    </row>
    <row r="16667" spans="1:7">
      <c r="A16667" t="s">
        <v>1297</v>
      </c>
      <c r="B16667" t="s">
        <v>1298</v>
      </c>
      <c r="C16667" t="s">
        <v>664</v>
      </c>
      <c r="D16667" t="s">
        <v>1484</v>
      </c>
      <c r="E16667" t="s">
        <v>187</v>
      </c>
      <c r="F16667">
        <v>2020</v>
      </c>
      <c r="G16667">
        <v>6.084219</v>
      </c>
    </row>
    <row r="16668" spans="1:7">
      <c r="A16668" t="s">
        <v>1297</v>
      </c>
      <c r="B16668" t="s">
        <v>1298</v>
      </c>
      <c r="C16668" t="s">
        <v>665</v>
      </c>
      <c r="D16668" t="s">
        <v>1484</v>
      </c>
      <c r="E16668" t="s">
        <v>187</v>
      </c>
      <c r="F16668">
        <v>2005</v>
      </c>
      <c r="G16668">
        <v>28.167000000000002</v>
      </c>
    </row>
    <row r="16669" spans="1:7">
      <c r="A16669" t="s">
        <v>1297</v>
      </c>
      <c r="B16669" t="s">
        <v>1298</v>
      </c>
      <c r="C16669" t="s">
        <v>665</v>
      </c>
      <c r="D16669" t="s">
        <v>1484</v>
      </c>
      <c r="E16669" t="s">
        <v>187</v>
      </c>
      <c r="F16669">
        <v>2010</v>
      </c>
      <c r="G16669">
        <v>43.587000000000003</v>
      </c>
    </row>
    <row r="16670" spans="1:7">
      <c r="A16670" t="s">
        <v>1297</v>
      </c>
      <c r="B16670" t="s">
        <v>1298</v>
      </c>
      <c r="C16670" t="s">
        <v>665</v>
      </c>
      <c r="D16670" t="s">
        <v>1484</v>
      </c>
      <c r="E16670" t="s">
        <v>187</v>
      </c>
      <c r="F16670">
        <v>2012</v>
      </c>
      <c r="G16670">
        <v>47.405999999999999</v>
      </c>
    </row>
    <row r="16671" spans="1:7">
      <c r="A16671" t="s">
        <v>1297</v>
      </c>
      <c r="B16671" t="s">
        <v>1298</v>
      </c>
      <c r="C16671" t="s">
        <v>665</v>
      </c>
      <c r="D16671" t="s">
        <v>1484</v>
      </c>
      <c r="E16671" t="s">
        <v>187</v>
      </c>
      <c r="F16671">
        <v>2016</v>
      </c>
      <c r="G16671">
        <v>49.534999999999997</v>
      </c>
    </row>
    <row r="16672" spans="1:7">
      <c r="A16672" t="s">
        <v>1297</v>
      </c>
      <c r="B16672" t="s">
        <v>1298</v>
      </c>
      <c r="C16672" t="s">
        <v>665</v>
      </c>
      <c r="D16672" t="s">
        <v>1484</v>
      </c>
      <c r="E16672" t="s">
        <v>187</v>
      </c>
      <c r="F16672">
        <v>2020</v>
      </c>
      <c r="G16672">
        <v>49.501837999999999</v>
      </c>
    </row>
    <row r="16673" spans="1:7">
      <c r="A16673" t="s">
        <v>1297</v>
      </c>
      <c r="B16673" t="s">
        <v>1298</v>
      </c>
      <c r="C16673" t="s">
        <v>654</v>
      </c>
      <c r="D16673" t="s">
        <v>1484</v>
      </c>
      <c r="E16673" t="s">
        <v>187</v>
      </c>
      <c r="F16673">
        <v>2005</v>
      </c>
      <c r="G16673">
        <v>0.13800000000000001</v>
      </c>
    </row>
    <row r="16674" spans="1:7">
      <c r="A16674" t="s">
        <v>1297</v>
      </c>
      <c r="B16674" t="s">
        <v>1298</v>
      </c>
      <c r="C16674" t="s">
        <v>654</v>
      </c>
      <c r="D16674" t="s">
        <v>1484</v>
      </c>
      <c r="E16674" t="s">
        <v>187</v>
      </c>
      <c r="F16674">
        <v>2010</v>
      </c>
      <c r="G16674">
        <v>0.29899999999999999</v>
      </c>
    </row>
    <row r="16675" spans="1:7">
      <c r="A16675" t="s">
        <v>1297</v>
      </c>
      <c r="B16675" t="s">
        <v>1298</v>
      </c>
      <c r="C16675" t="s">
        <v>654</v>
      </c>
      <c r="D16675" t="s">
        <v>1484</v>
      </c>
      <c r="E16675" t="s">
        <v>187</v>
      </c>
      <c r="F16675">
        <v>2016</v>
      </c>
      <c r="G16675">
        <v>0.19900000000000001</v>
      </c>
    </row>
    <row r="16676" spans="1:7">
      <c r="A16676" t="s">
        <v>1297</v>
      </c>
      <c r="B16676" t="s">
        <v>1298</v>
      </c>
      <c r="C16676" t="s">
        <v>671</v>
      </c>
      <c r="D16676" t="s">
        <v>1484</v>
      </c>
      <c r="E16676" t="s">
        <v>187</v>
      </c>
      <c r="F16676">
        <v>2005</v>
      </c>
      <c r="G16676">
        <v>6.5330000000000004</v>
      </c>
    </row>
    <row r="16677" spans="1:7">
      <c r="A16677" t="s">
        <v>1297</v>
      </c>
      <c r="B16677" t="s">
        <v>1298</v>
      </c>
      <c r="C16677" t="s">
        <v>671</v>
      </c>
      <c r="D16677" t="s">
        <v>1484</v>
      </c>
      <c r="E16677" t="s">
        <v>187</v>
      </c>
      <c r="F16677">
        <v>2010</v>
      </c>
      <c r="G16677">
        <v>16.643999999999998</v>
      </c>
    </row>
    <row r="16678" spans="1:7">
      <c r="A16678" t="s">
        <v>1297</v>
      </c>
      <c r="B16678" t="s">
        <v>1298</v>
      </c>
      <c r="C16678" t="s">
        <v>671</v>
      </c>
      <c r="D16678" t="s">
        <v>1484</v>
      </c>
      <c r="E16678" t="s">
        <v>187</v>
      </c>
      <c r="F16678">
        <v>2012</v>
      </c>
      <c r="G16678">
        <v>17.562000000000001</v>
      </c>
    </row>
    <row r="16679" spans="1:7">
      <c r="A16679" t="s">
        <v>1297</v>
      </c>
      <c r="B16679" t="s">
        <v>1298</v>
      </c>
      <c r="C16679" t="s">
        <v>671</v>
      </c>
      <c r="D16679" t="s">
        <v>1484</v>
      </c>
      <c r="E16679" t="s">
        <v>187</v>
      </c>
      <c r="F16679">
        <v>2016</v>
      </c>
      <c r="G16679">
        <v>31.045999999999999</v>
      </c>
    </row>
    <row r="16680" spans="1:7">
      <c r="A16680" t="s">
        <v>1297</v>
      </c>
      <c r="B16680" t="s">
        <v>1298</v>
      </c>
      <c r="C16680" t="s">
        <v>671</v>
      </c>
      <c r="D16680" t="s">
        <v>1484</v>
      </c>
      <c r="E16680" t="s">
        <v>187</v>
      </c>
      <c r="F16680">
        <v>2020</v>
      </c>
      <c r="G16680">
        <v>44.580193000000001</v>
      </c>
    </row>
    <row r="16681" spans="1:7">
      <c r="A16681" t="s">
        <v>1297</v>
      </c>
      <c r="B16681" t="s">
        <v>1298</v>
      </c>
      <c r="C16681" t="s">
        <v>655</v>
      </c>
      <c r="D16681" t="s">
        <v>1484</v>
      </c>
      <c r="E16681" t="s">
        <v>187</v>
      </c>
      <c r="F16681">
        <v>2005</v>
      </c>
      <c r="G16681">
        <v>7.1989999999999998</v>
      </c>
    </row>
    <row r="16682" spans="1:7">
      <c r="A16682" t="s">
        <v>1297</v>
      </c>
      <c r="B16682" t="s">
        <v>1298</v>
      </c>
      <c r="C16682" t="s">
        <v>655</v>
      </c>
      <c r="D16682" t="s">
        <v>1484</v>
      </c>
      <c r="E16682" t="s">
        <v>187</v>
      </c>
      <c r="F16682">
        <v>2010</v>
      </c>
      <c r="G16682">
        <v>8.4079999999999995</v>
      </c>
    </row>
    <row r="16683" spans="1:7">
      <c r="A16683" t="s">
        <v>1297</v>
      </c>
      <c r="B16683" t="s">
        <v>1298</v>
      </c>
      <c r="C16683" t="s">
        <v>655</v>
      </c>
      <c r="D16683" t="s">
        <v>1484</v>
      </c>
      <c r="E16683" t="s">
        <v>187</v>
      </c>
      <c r="F16683">
        <v>2012</v>
      </c>
      <c r="G16683">
        <v>9.4290000000000003</v>
      </c>
    </row>
    <row r="16684" spans="1:7">
      <c r="A16684" t="s">
        <v>1297</v>
      </c>
      <c r="B16684" t="s">
        <v>1298</v>
      </c>
      <c r="C16684" t="s">
        <v>655</v>
      </c>
      <c r="D16684" t="s">
        <v>1484</v>
      </c>
      <c r="E16684" t="s">
        <v>187</v>
      </c>
      <c r="F16684">
        <v>2016</v>
      </c>
      <c r="G16684">
        <v>12.747999999999999</v>
      </c>
    </row>
    <row r="16685" spans="1:7">
      <c r="A16685" t="s">
        <v>1297</v>
      </c>
      <c r="B16685" t="s">
        <v>1298</v>
      </c>
      <c r="C16685" t="s">
        <v>655</v>
      </c>
      <c r="D16685" t="s">
        <v>1484</v>
      </c>
      <c r="E16685" t="s">
        <v>187</v>
      </c>
      <c r="F16685">
        <v>2020</v>
      </c>
      <c r="G16685">
        <v>15.04928</v>
      </c>
    </row>
    <row r="16686" spans="1:7">
      <c r="A16686" t="s">
        <v>1297</v>
      </c>
      <c r="B16686" t="s">
        <v>1298</v>
      </c>
      <c r="C16686" t="s">
        <v>674</v>
      </c>
      <c r="D16686" t="s">
        <v>1484</v>
      </c>
      <c r="E16686" t="s">
        <v>187</v>
      </c>
      <c r="F16686">
        <v>2020</v>
      </c>
      <c r="G16686">
        <v>30.605</v>
      </c>
    </row>
    <row r="16687" spans="1:7">
      <c r="A16687" t="s">
        <v>1297</v>
      </c>
      <c r="B16687" t="s">
        <v>1298</v>
      </c>
      <c r="C16687" t="s">
        <v>656</v>
      </c>
      <c r="D16687" t="s">
        <v>1484</v>
      </c>
      <c r="E16687" t="s">
        <v>187</v>
      </c>
      <c r="F16687">
        <v>2005</v>
      </c>
      <c r="G16687">
        <v>77.239999999999995</v>
      </c>
    </row>
    <row r="16688" spans="1:7">
      <c r="A16688" t="s">
        <v>1297</v>
      </c>
      <c r="B16688" t="s">
        <v>1298</v>
      </c>
      <c r="C16688" t="s">
        <v>656</v>
      </c>
      <c r="D16688" t="s">
        <v>1484</v>
      </c>
      <c r="E16688" t="s">
        <v>187</v>
      </c>
      <c r="F16688">
        <v>2010</v>
      </c>
      <c r="G16688">
        <v>163.54300000000001</v>
      </c>
    </row>
    <row r="16689" spans="1:7">
      <c r="A16689" t="s">
        <v>1297</v>
      </c>
      <c r="B16689" t="s">
        <v>1298</v>
      </c>
      <c r="C16689" t="s">
        <v>656</v>
      </c>
      <c r="D16689" t="s">
        <v>1484</v>
      </c>
      <c r="E16689" t="s">
        <v>187</v>
      </c>
      <c r="F16689">
        <v>2012</v>
      </c>
      <c r="G16689">
        <v>168.16</v>
      </c>
    </row>
    <row r="16690" spans="1:7">
      <c r="A16690" t="s">
        <v>1297</v>
      </c>
      <c r="B16690" t="s">
        <v>1298</v>
      </c>
      <c r="C16690" t="s">
        <v>656</v>
      </c>
      <c r="D16690" t="s">
        <v>1484</v>
      </c>
      <c r="E16690" t="s">
        <v>187</v>
      </c>
      <c r="F16690">
        <v>2016</v>
      </c>
      <c r="G16690">
        <v>188.97</v>
      </c>
    </row>
    <row r="16691" spans="1:7">
      <c r="A16691" t="s">
        <v>1297</v>
      </c>
      <c r="B16691" t="s">
        <v>1298</v>
      </c>
      <c r="C16691" t="s">
        <v>656</v>
      </c>
      <c r="D16691" t="s">
        <v>1484</v>
      </c>
      <c r="E16691" t="s">
        <v>187</v>
      </c>
      <c r="F16691">
        <v>2020</v>
      </c>
      <c r="G16691">
        <v>177.85900000000001</v>
      </c>
    </row>
    <row r="16692" spans="1:7">
      <c r="A16692" t="s">
        <v>1297</v>
      </c>
      <c r="B16692" t="s">
        <v>1298</v>
      </c>
      <c r="C16692" t="s">
        <v>657</v>
      </c>
      <c r="D16692" t="s">
        <v>1484</v>
      </c>
      <c r="E16692" t="s">
        <v>187</v>
      </c>
      <c r="F16692">
        <v>2005</v>
      </c>
      <c r="G16692">
        <v>17.006</v>
      </c>
    </row>
    <row r="16693" spans="1:7">
      <c r="A16693" t="s">
        <v>1297</v>
      </c>
      <c r="B16693" t="s">
        <v>1298</v>
      </c>
      <c r="C16693" t="s">
        <v>657</v>
      </c>
      <c r="D16693" t="s">
        <v>1484</v>
      </c>
      <c r="E16693" t="s">
        <v>187</v>
      </c>
      <c r="F16693">
        <v>2010</v>
      </c>
      <c r="G16693">
        <v>17.147953000000001</v>
      </c>
    </row>
    <row r="16694" spans="1:7">
      <c r="A16694" t="s">
        <v>1297</v>
      </c>
      <c r="B16694" t="s">
        <v>1298</v>
      </c>
      <c r="C16694" t="s">
        <v>657</v>
      </c>
      <c r="D16694" t="s">
        <v>1484</v>
      </c>
      <c r="E16694" t="s">
        <v>187</v>
      </c>
      <c r="F16694">
        <v>2012</v>
      </c>
      <c r="G16694">
        <v>16.028718999999999</v>
      </c>
    </row>
    <row r="16695" spans="1:7">
      <c r="A16695" t="s">
        <v>1297</v>
      </c>
      <c r="B16695" t="s">
        <v>1298</v>
      </c>
      <c r="C16695" t="s">
        <v>657</v>
      </c>
      <c r="D16695" t="s">
        <v>1484</v>
      </c>
      <c r="E16695" t="s">
        <v>187</v>
      </c>
      <c r="F16695">
        <v>2016</v>
      </c>
      <c r="G16695">
        <v>15.515421</v>
      </c>
    </row>
    <row r="16696" spans="1:7">
      <c r="A16696" t="s">
        <v>1297</v>
      </c>
      <c r="B16696" t="s">
        <v>1298</v>
      </c>
      <c r="C16696" t="s">
        <v>657</v>
      </c>
      <c r="D16696" t="s">
        <v>1484</v>
      </c>
      <c r="E16696" t="s">
        <v>187</v>
      </c>
      <c r="F16696">
        <v>2020</v>
      </c>
      <c r="G16696">
        <v>15.260493</v>
      </c>
    </row>
    <row r="16697" spans="1:7">
      <c r="A16697" t="s">
        <v>1297</v>
      </c>
      <c r="B16697" t="s">
        <v>1298</v>
      </c>
      <c r="C16697" t="s">
        <v>1301</v>
      </c>
      <c r="D16697" t="s">
        <v>1484</v>
      </c>
      <c r="E16697" t="s">
        <v>187</v>
      </c>
      <c r="F16697">
        <v>2005</v>
      </c>
      <c r="G16697">
        <v>0.121</v>
      </c>
    </row>
    <row r="16698" spans="1:7">
      <c r="A16698" t="s">
        <v>1297</v>
      </c>
      <c r="B16698" t="s">
        <v>1298</v>
      </c>
      <c r="C16698" t="s">
        <v>1301</v>
      </c>
      <c r="D16698" t="s">
        <v>1484</v>
      </c>
      <c r="E16698" t="s">
        <v>187</v>
      </c>
      <c r="F16698">
        <v>2010</v>
      </c>
      <c r="G16698">
        <v>0.16200000000000001</v>
      </c>
    </row>
    <row r="16699" spans="1:7">
      <c r="A16699" t="s">
        <v>1297</v>
      </c>
      <c r="B16699" t="s">
        <v>1298</v>
      </c>
      <c r="C16699" t="s">
        <v>1301</v>
      </c>
      <c r="D16699" t="s">
        <v>1484</v>
      </c>
      <c r="E16699" t="s">
        <v>187</v>
      </c>
      <c r="F16699">
        <v>2012</v>
      </c>
      <c r="G16699">
        <v>0.21</v>
      </c>
    </row>
    <row r="16700" spans="1:7">
      <c r="A16700" t="s">
        <v>1297</v>
      </c>
      <c r="B16700" t="s">
        <v>1298</v>
      </c>
      <c r="C16700" t="s">
        <v>1301</v>
      </c>
      <c r="D16700" t="s">
        <v>1484</v>
      </c>
      <c r="E16700" t="s">
        <v>187</v>
      </c>
      <c r="F16700">
        <v>2016</v>
      </c>
      <c r="G16700">
        <v>2.0670000000000002</v>
      </c>
    </row>
    <row r="16701" spans="1:7">
      <c r="A16701" t="s">
        <v>1297</v>
      </c>
      <c r="B16701" t="s">
        <v>1298</v>
      </c>
      <c r="C16701" t="s">
        <v>661</v>
      </c>
      <c r="D16701" t="s">
        <v>1484</v>
      </c>
      <c r="E16701" t="s">
        <v>187</v>
      </c>
      <c r="F16701">
        <v>2016</v>
      </c>
      <c r="G16701">
        <v>72.883111</v>
      </c>
    </row>
    <row r="16702" spans="1:7">
      <c r="A16702" t="s">
        <v>1297</v>
      </c>
      <c r="B16702" t="s">
        <v>1298</v>
      </c>
      <c r="C16702" t="s">
        <v>661</v>
      </c>
      <c r="D16702" t="s">
        <v>1484</v>
      </c>
      <c r="E16702" t="s">
        <v>187</v>
      </c>
      <c r="F16702">
        <v>2020</v>
      </c>
      <c r="G16702">
        <v>72.710401000000005</v>
      </c>
    </row>
    <row r="16703" spans="1:7">
      <c r="A16703" t="s">
        <v>1297</v>
      </c>
      <c r="B16703" t="s">
        <v>1298</v>
      </c>
      <c r="C16703" t="s">
        <v>661</v>
      </c>
      <c r="D16703" t="s">
        <v>1484</v>
      </c>
      <c r="E16703" t="s">
        <v>187</v>
      </c>
      <c r="F16703">
        <v>2005</v>
      </c>
      <c r="G16703">
        <v>44.292999999999999</v>
      </c>
    </row>
    <row r="16704" spans="1:7">
      <c r="A16704" t="s">
        <v>1297</v>
      </c>
      <c r="B16704" t="s">
        <v>1298</v>
      </c>
      <c r="C16704" t="s">
        <v>661</v>
      </c>
      <c r="D16704" t="s">
        <v>1484</v>
      </c>
      <c r="E16704" t="s">
        <v>187</v>
      </c>
      <c r="F16704">
        <v>2010</v>
      </c>
      <c r="G16704">
        <v>52.385617000000003</v>
      </c>
    </row>
    <row r="16705" spans="1:7">
      <c r="A16705" t="s">
        <v>1297</v>
      </c>
      <c r="B16705" t="s">
        <v>1298</v>
      </c>
      <c r="C16705" t="s">
        <v>661</v>
      </c>
      <c r="D16705" t="s">
        <v>1484</v>
      </c>
      <c r="E16705" t="s">
        <v>187</v>
      </c>
      <c r="F16705">
        <v>2012</v>
      </c>
      <c r="G16705">
        <v>67.282588000000004</v>
      </c>
    </row>
    <row r="16706" spans="1:7">
      <c r="A16706" t="s">
        <v>1297</v>
      </c>
      <c r="B16706" t="s">
        <v>1298</v>
      </c>
      <c r="C16706" t="s">
        <v>674</v>
      </c>
      <c r="D16706" t="s">
        <v>1484</v>
      </c>
      <c r="E16706" t="s">
        <v>187</v>
      </c>
      <c r="F16706">
        <v>2005</v>
      </c>
      <c r="G16706">
        <v>20.062000000000001</v>
      </c>
    </row>
    <row r="16707" spans="1:7">
      <c r="A16707" t="s">
        <v>1297</v>
      </c>
      <c r="B16707" t="s">
        <v>1298</v>
      </c>
      <c r="C16707" t="s">
        <v>674</v>
      </c>
      <c r="D16707" t="s">
        <v>1484</v>
      </c>
      <c r="E16707" t="s">
        <v>187</v>
      </c>
      <c r="F16707">
        <v>2010</v>
      </c>
      <c r="G16707">
        <v>20.209</v>
      </c>
    </row>
    <row r="16708" spans="1:7">
      <c r="A16708" t="s">
        <v>1297</v>
      </c>
      <c r="B16708" t="s">
        <v>1298</v>
      </c>
      <c r="C16708" t="s">
        <v>674</v>
      </c>
      <c r="D16708" t="s">
        <v>1484</v>
      </c>
      <c r="E16708" t="s">
        <v>187</v>
      </c>
      <c r="F16708">
        <v>2012</v>
      </c>
      <c r="G16708">
        <v>19.928999999999998</v>
      </c>
    </row>
    <row r="16709" spans="1:7">
      <c r="A16709" t="s">
        <v>1297</v>
      </c>
      <c r="B16709" t="s">
        <v>1298</v>
      </c>
      <c r="C16709" t="s">
        <v>674</v>
      </c>
      <c r="D16709" t="s">
        <v>1484</v>
      </c>
      <c r="E16709" t="s">
        <v>187</v>
      </c>
      <c r="F16709">
        <v>2016</v>
      </c>
      <c r="G16709">
        <v>29.477</v>
      </c>
    </row>
    <row r="16710" spans="1:7">
      <c r="A16710" t="s">
        <v>1297</v>
      </c>
      <c r="B16710" t="s">
        <v>1298</v>
      </c>
      <c r="C16710" t="s">
        <v>654</v>
      </c>
      <c r="D16710" t="s">
        <v>1484</v>
      </c>
      <c r="E16710" t="s">
        <v>187</v>
      </c>
      <c r="F16710">
        <v>2020</v>
      </c>
      <c r="G16710">
        <v>0.217195</v>
      </c>
    </row>
    <row r="16711" spans="1:7">
      <c r="A16711" t="s">
        <v>1297</v>
      </c>
      <c r="B16711" t="s">
        <v>1298</v>
      </c>
      <c r="C16711" t="s">
        <v>679</v>
      </c>
      <c r="D16711" t="s">
        <v>1484</v>
      </c>
      <c r="E16711" t="s">
        <v>187</v>
      </c>
      <c r="F16711">
        <v>2005</v>
      </c>
      <c r="G16711">
        <v>4.6323470000000002</v>
      </c>
    </row>
    <row r="16712" spans="1:7">
      <c r="A16712" t="s">
        <v>1297</v>
      </c>
      <c r="B16712" t="s">
        <v>1298</v>
      </c>
      <c r="C16712" t="s">
        <v>679</v>
      </c>
      <c r="D16712" t="s">
        <v>1484</v>
      </c>
      <c r="E16712" t="s">
        <v>187</v>
      </c>
      <c r="F16712">
        <v>2010</v>
      </c>
      <c r="G16712">
        <v>6.7981170000000004</v>
      </c>
    </row>
    <row r="16713" spans="1:7">
      <c r="A16713" t="s">
        <v>1297</v>
      </c>
      <c r="B16713" t="s">
        <v>1298</v>
      </c>
      <c r="C16713" t="s">
        <v>679</v>
      </c>
      <c r="D16713" t="s">
        <v>1484</v>
      </c>
      <c r="E16713" t="s">
        <v>187</v>
      </c>
      <c r="F16713">
        <v>2012</v>
      </c>
      <c r="G16713">
        <v>8.9356349999999996</v>
      </c>
    </row>
    <row r="16714" spans="1:7">
      <c r="A16714" t="s">
        <v>1297</v>
      </c>
      <c r="B16714" t="s">
        <v>1298</v>
      </c>
      <c r="C16714" t="s">
        <v>679</v>
      </c>
      <c r="D16714" t="s">
        <v>1484</v>
      </c>
      <c r="E16714" t="s">
        <v>187</v>
      </c>
      <c r="F16714">
        <v>2016</v>
      </c>
      <c r="G16714">
        <v>10.685930000000001</v>
      </c>
    </row>
    <row r="16715" spans="1:7">
      <c r="A16715" t="s">
        <v>1297</v>
      </c>
      <c r="B16715" t="s">
        <v>1298</v>
      </c>
      <c r="C16715" t="s">
        <v>679</v>
      </c>
      <c r="D16715" t="s">
        <v>1484</v>
      </c>
      <c r="E16715" t="s">
        <v>187</v>
      </c>
      <c r="F16715">
        <v>2020</v>
      </c>
      <c r="G16715">
        <v>11.142766999999999</v>
      </c>
    </row>
    <row r="16716" spans="1:7">
      <c r="A16716" t="s">
        <v>1297</v>
      </c>
      <c r="B16716" t="s">
        <v>1298</v>
      </c>
      <c r="C16716" t="s">
        <v>658</v>
      </c>
      <c r="D16716" t="s">
        <v>1484</v>
      </c>
      <c r="E16716" t="s">
        <v>187</v>
      </c>
      <c r="F16716">
        <v>2016</v>
      </c>
      <c r="G16716">
        <v>1.6879999999999999</v>
      </c>
    </row>
    <row r="16717" spans="1:7">
      <c r="A16717" t="s">
        <v>1297</v>
      </c>
      <c r="B16717" t="s">
        <v>1298</v>
      </c>
      <c r="C16717" t="s">
        <v>658</v>
      </c>
      <c r="D16717" t="s">
        <v>1484</v>
      </c>
      <c r="E16717" t="s">
        <v>187</v>
      </c>
      <c r="F16717">
        <v>2020</v>
      </c>
      <c r="G16717">
        <v>1.510073</v>
      </c>
    </row>
    <row r="16718" spans="1:7">
      <c r="A16718" t="s">
        <v>1297</v>
      </c>
      <c r="B16718" t="s">
        <v>1298</v>
      </c>
      <c r="C16718" t="s">
        <v>663</v>
      </c>
      <c r="D16718" t="s">
        <v>1484</v>
      </c>
      <c r="E16718" t="s">
        <v>187</v>
      </c>
      <c r="F16718">
        <v>2005</v>
      </c>
      <c r="G16718">
        <v>2.6139999999999999</v>
      </c>
    </row>
    <row r="16719" spans="1:7">
      <c r="A16719" t="s">
        <v>1297</v>
      </c>
      <c r="B16719" t="s">
        <v>1298</v>
      </c>
      <c r="C16719" t="s">
        <v>663</v>
      </c>
      <c r="D16719" t="s">
        <v>1484</v>
      </c>
      <c r="E16719" t="s">
        <v>187</v>
      </c>
      <c r="F16719">
        <v>2010</v>
      </c>
      <c r="G16719">
        <v>3.6779999999999999</v>
      </c>
    </row>
    <row r="16720" spans="1:7">
      <c r="A16720" t="s">
        <v>1297</v>
      </c>
      <c r="B16720" t="s">
        <v>1298</v>
      </c>
      <c r="C16720" t="s">
        <v>663</v>
      </c>
      <c r="D16720" t="s">
        <v>1484</v>
      </c>
      <c r="E16720" t="s">
        <v>187</v>
      </c>
      <c r="F16720">
        <v>2012</v>
      </c>
      <c r="G16720">
        <v>3.6960000000000002</v>
      </c>
    </row>
    <row r="16721" spans="1:7">
      <c r="A16721" t="s">
        <v>1297</v>
      </c>
      <c r="B16721" t="s">
        <v>1298</v>
      </c>
      <c r="C16721" t="s">
        <v>663</v>
      </c>
      <c r="D16721" t="s">
        <v>1484</v>
      </c>
      <c r="E16721" t="s">
        <v>187</v>
      </c>
      <c r="F16721">
        <v>2016</v>
      </c>
      <c r="G16721">
        <v>5.25</v>
      </c>
    </row>
    <row r="16722" spans="1:7">
      <c r="A16722" t="s">
        <v>1297</v>
      </c>
      <c r="B16722" t="s">
        <v>1298</v>
      </c>
      <c r="C16722" t="s">
        <v>663</v>
      </c>
      <c r="D16722" t="s">
        <v>1484</v>
      </c>
      <c r="E16722" t="s">
        <v>187</v>
      </c>
      <c r="F16722">
        <v>2020</v>
      </c>
      <c r="G16722">
        <v>5.9420000000000002</v>
      </c>
    </row>
    <row r="16723" spans="1:7">
      <c r="A16723" t="s">
        <v>1297</v>
      </c>
      <c r="B16723" t="s">
        <v>1298</v>
      </c>
      <c r="C16723" t="s">
        <v>677</v>
      </c>
      <c r="D16723" t="s">
        <v>1484</v>
      </c>
      <c r="E16723" t="s">
        <v>187</v>
      </c>
      <c r="F16723">
        <v>2005</v>
      </c>
      <c r="G16723">
        <v>27.452000000000002</v>
      </c>
    </row>
    <row r="16724" spans="1:7">
      <c r="A16724" t="s">
        <v>1297</v>
      </c>
      <c r="B16724" t="s">
        <v>1298</v>
      </c>
      <c r="C16724" t="s">
        <v>677</v>
      </c>
      <c r="D16724" t="s">
        <v>1484</v>
      </c>
      <c r="E16724" t="s">
        <v>187</v>
      </c>
      <c r="F16724">
        <v>2010</v>
      </c>
      <c r="G16724">
        <v>19.285</v>
      </c>
    </row>
    <row r="16725" spans="1:7">
      <c r="A16725" t="s">
        <v>1297</v>
      </c>
      <c r="B16725" t="s">
        <v>1298</v>
      </c>
      <c r="C16725" t="s">
        <v>677</v>
      </c>
      <c r="D16725" t="s">
        <v>1484</v>
      </c>
      <c r="E16725" t="s">
        <v>187</v>
      </c>
      <c r="F16725">
        <v>2012</v>
      </c>
      <c r="G16725">
        <v>33.399000000000001</v>
      </c>
    </row>
    <row r="16726" spans="1:7">
      <c r="A16726" t="s">
        <v>1297</v>
      </c>
      <c r="B16726" t="s">
        <v>1298</v>
      </c>
      <c r="C16726" t="s">
        <v>677</v>
      </c>
      <c r="D16726" t="s">
        <v>1484</v>
      </c>
      <c r="E16726" t="s">
        <v>187</v>
      </c>
      <c r="F16726">
        <v>2016</v>
      </c>
      <c r="G16726">
        <v>54.936999999999998</v>
      </c>
    </row>
    <row r="16727" spans="1:7">
      <c r="A16727" t="s">
        <v>1297</v>
      </c>
      <c r="B16727" t="s">
        <v>1298</v>
      </c>
      <c r="C16727" t="s">
        <v>677</v>
      </c>
      <c r="D16727" t="s">
        <v>1484</v>
      </c>
      <c r="E16727" t="s">
        <v>187</v>
      </c>
      <c r="F16727">
        <v>2020</v>
      </c>
      <c r="G16727">
        <v>64.11</v>
      </c>
    </row>
    <row r="16728" spans="1:7">
      <c r="A16728" t="s">
        <v>1297</v>
      </c>
      <c r="B16728" t="s">
        <v>1298</v>
      </c>
      <c r="C16728" t="s">
        <v>651</v>
      </c>
      <c r="D16728" t="s">
        <v>1484</v>
      </c>
      <c r="E16728" t="s">
        <v>187</v>
      </c>
      <c r="F16728">
        <v>2005</v>
      </c>
      <c r="G16728">
        <v>16.654107</v>
      </c>
    </row>
    <row r="16729" spans="1:7">
      <c r="A16729" t="s">
        <v>1297</v>
      </c>
      <c r="B16729" t="s">
        <v>1298</v>
      </c>
      <c r="C16729" t="s">
        <v>651</v>
      </c>
      <c r="D16729" t="s">
        <v>1484</v>
      </c>
      <c r="E16729" t="s">
        <v>187</v>
      </c>
      <c r="F16729">
        <v>2010</v>
      </c>
      <c r="G16729">
        <v>25.648734999999999</v>
      </c>
    </row>
    <row r="16730" spans="1:7">
      <c r="A16730" t="s">
        <v>1297</v>
      </c>
      <c r="B16730" t="s">
        <v>1298</v>
      </c>
      <c r="C16730" t="s">
        <v>651</v>
      </c>
      <c r="D16730" t="s">
        <v>1484</v>
      </c>
      <c r="E16730" t="s">
        <v>187</v>
      </c>
      <c r="F16730">
        <v>2012</v>
      </c>
      <c r="G16730">
        <v>27.340554999999998</v>
      </c>
    </row>
    <row r="16731" spans="1:7">
      <c r="A16731" t="s">
        <v>1297</v>
      </c>
      <c r="B16731" t="s">
        <v>1298</v>
      </c>
      <c r="C16731" t="s">
        <v>651</v>
      </c>
      <c r="D16731" t="s">
        <v>1484</v>
      </c>
      <c r="E16731" t="s">
        <v>187</v>
      </c>
      <c r="F16731">
        <v>2016</v>
      </c>
      <c r="G16731">
        <v>29.822845000000001</v>
      </c>
    </row>
    <row r="16732" spans="1:7">
      <c r="A16732" t="s">
        <v>1297</v>
      </c>
      <c r="B16732" t="s">
        <v>1298</v>
      </c>
      <c r="C16732" t="s">
        <v>651</v>
      </c>
      <c r="D16732" t="s">
        <v>1484</v>
      </c>
      <c r="E16732" t="s">
        <v>187</v>
      </c>
      <c r="F16732">
        <v>2020</v>
      </c>
      <c r="G16732">
        <v>28.363047000000002</v>
      </c>
    </row>
    <row r="16733" spans="1:7">
      <c r="A16733" t="s">
        <v>1297</v>
      </c>
      <c r="B16733" t="s">
        <v>1298</v>
      </c>
      <c r="C16733" t="s">
        <v>670</v>
      </c>
      <c r="D16733" t="s">
        <v>1484</v>
      </c>
      <c r="E16733" t="s">
        <v>187</v>
      </c>
      <c r="F16733">
        <v>2005</v>
      </c>
      <c r="G16733">
        <v>30.062000000000001</v>
      </c>
    </row>
    <row r="16734" spans="1:7">
      <c r="A16734" t="s">
        <v>1297</v>
      </c>
      <c r="B16734" t="s">
        <v>1298</v>
      </c>
      <c r="C16734" t="s">
        <v>670</v>
      </c>
      <c r="D16734" t="s">
        <v>1484</v>
      </c>
      <c r="E16734" t="s">
        <v>187</v>
      </c>
      <c r="F16734">
        <v>2010</v>
      </c>
      <c r="G16734">
        <v>30.335000000000001</v>
      </c>
    </row>
    <row r="16735" spans="1:7">
      <c r="A16735" t="s">
        <v>1297</v>
      </c>
      <c r="B16735" t="s">
        <v>1298</v>
      </c>
      <c r="C16735" t="s">
        <v>670</v>
      </c>
      <c r="D16735" t="s">
        <v>1484</v>
      </c>
      <c r="E16735" t="s">
        <v>187</v>
      </c>
      <c r="F16735">
        <v>2012</v>
      </c>
      <c r="G16735">
        <v>28.096</v>
      </c>
    </row>
    <row r="16736" spans="1:7">
      <c r="A16736" t="s">
        <v>1297</v>
      </c>
      <c r="B16736" t="s">
        <v>1298</v>
      </c>
      <c r="C16736" t="s">
        <v>670</v>
      </c>
      <c r="D16736" t="s">
        <v>1484</v>
      </c>
      <c r="E16736" t="s">
        <v>187</v>
      </c>
      <c r="F16736">
        <v>2016</v>
      </c>
      <c r="G16736">
        <v>28.302</v>
      </c>
    </row>
    <row r="16737" spans="1:7">
      <c r="A16737" t="s">
        <v>1297</v>
      </c>
      <c r="B16737" t="s">
        <v>1298</v>
      </c>
      <c r="C16737" t="s">
        <v>670</v>
      </c>
      <c r="D16737" t="s">
        <v>1484</v>
      </c>
      <c r="E16737" t="s">
        <v>187</v>
      </c>
      <c r="F16737">
        <v>2020</v>
      </c>
      <c r="G16737">
        <v>28.513268</v>
      </c>
    </row>
    <row r="16738" spans="1:7">
      <c r="A16738" t="s">
        <v>1297</v>
      </c>
      <c r="B16738" t="s">
        <v>1298</v>
      </c>
      <c r="C16738" t="s">
        <v>676</v>
      </c>
      <c r="D16738" t="s">
        <v>1484</v>
      </c>
      <c r="E16738" t="s">
        <v>187</v>
      </c>
      <c r="F16738">
        <v>2005</v>
      </c>
      <c r="G16738">
        <v>2.1360000000000001</v>
      </c>
    </row>
    <row r="16739" spans="1:7">
      <c r="A16739" t="s">
        <v>1297</v>
      </c>
      <c r="B16739" t="s">
        <v>1298</v>
      </c>
      <c r="C16739" t="s">
        <v>676</v>
      </c>
      <c r="D16739" t="s">
        <v>1484</v>
      </c>
      <c r="E16739" t="s">
        <v>187</v>
      </c>
      <c r="F16739">
        <v>2010</v>
      </c>
      <c r="G16739">
        <v>1.4359999999999999</v>
      </c>
    </row>
    <row r="16740" spans="1:7">
      <c r="A16740" t="s">
        <v>1297</v>
      </c>
      <c r="B16740" t="s">
        <v>1298</v>
      </c>
      <c r="C16740" t="s">
        <v>676</v>
      </c>
      <c r="D16740" t="s">
        <v>1484</v>
      </c>
      <c r="E16740" t="s">
        <v>187</v>
      </c>
      <c r="F16740">
        <v>2012</v>
      </c>
      <c r="G16740">
        <v>1.8049999999999999</v>
      </c>
    </row>
    <row r="16741" spans="1:7">
      <c r="A16741" t="s">
        <v>1297</v>
      </c>
      <c r="B16741" t="s">
        <v>1298</v>
      </c>
      <c r="C16741" t="s">
        <v>676</v>
      </c>
      <c r="D16741" t="s">
        <v>1484</v>
      </c>
      <c r="E16741" t="s">
        <v>187</v>
      </c>
      <c r="F16741">
        <v>2016</v>
      </c>
      <c r="G16741">
        <v>8.298</v>
      </c>
    </row>
    <row r="16742" spans="1:7">
      <c r="A16742" t="s">
        <v>1297</v>
      </c>
      <c r="B16742" t="s">
        <v>1298</v>
      </c>
      <c r="C16742" t="s">
        <v>676</v>
      </c>
      <c r="D16742" t="s">
        <v>1484</v>
      </c>
      <c r="E16742" t="s">
        <v>187</v>
      </c>
      <c r="F16742">
        <v>2020</v>
      </c>
      <c r="G16742">
        <v>8.375</v>
      </c>
    </row>
    <row r="16743" spans="1:7">
      <c r="A16743" t="s">
        <v>1297</v>
      </c>
      <c r="B16743" t="s">
        <v>1298</v>
      </c>
      <c r="C16743" t="s">
        <v>662</v>
      </c>
      <c r="D16743" t="s">
        <v>1484</v>
      </c>
      <c r="E16743" t="s">
        <v>187</v>
      </c>
      <c r="F16743">
        <v>2005</v>
      </c>
      <c r="G16743">
        <v>1.04</v>
      </c>
    </row>
    <row r="16744" spans="1:7">
      <c r="A16744" t="s">
        <v>1297</v>
      </c>
      <c r="B16744" t="s">
        <v>1298</v>
      </c>
      <c r="C16744" t="s">
        <v>662</v>
      </c>
      <c r="D16744" t="s">
        <v>1484</v>
      </c>
      <c r="E16744" t="s">
        <v>187</v>
      </c>
      <c r="F16744">
        <v>2010</v>
      </c>
      <c r="G16744">
        <v>1.341</v>
      </c>
    </row>
    <row r="16745" spans="1:7">
      <c r="A16745" t="s">
        <v>1297</v>
      </c>
      <c r="B16745" t="s">
        <v>1298</v>
      </c>
      <c r="C16745" t="s">
        <v>662</v>
      </c>
      <c r="D16745" t="s">
        <v>1484</v>
      </c>
      <c r="E16745" t="s">
        <v>187</v>
      </c>
      <c r="F16745">
        <v>2012</v>
      </c>
      <c r="G16745">
        <v>0.625</v>
      </c>
    </row>
    <row r="16746" spans="1:7">
      <c r="A16746" t="s">
        <v>1297</v>
      </c>
      <c r="B16746" t="s">
        <v>1298</v>
      </c>
      <c r="C16746" t="s">
        <v>662</v>
      </c>
      <c r="D16746" t="s">
        <v>1484</v>
      </c>
      <c r="E16746" t="s">
        <v>187</v>
      </c>
      <c r="F16746">
        <v>2016</v>
      </c>
      <c r="G16746">
        <v>2.5169999999999999</v>
      </c>
    </row>
    <row r="16747" spans="1:7">
      <c r="A16747" t="s">
        <v>1297</v>
      </c>
      <c r="B16747" t="s">
        <v>1298</v>
      </c>
      <c r="C16747" t="s">
        <v>662</v>
      </c>
      <c r="D16747" t="s">
        <v>1484</v>
      </c>
      <c r="E16747" t="s">
        <v>187</v>
      </c>
      <c r="F16747">
        <v>2020</v>
      </c>
      <c r="G16747">
        <v>1.7575400000000001</v>
      </c>
    </row>
    <row r="16748" spans="1:7">
      <c r="A16748" t="s">
        <v>1297</v>
      </c>
      <c r="B16748" t="s">
        <v>1298</v>
      </c>
      <c r="C16748" t="s">
        <v>667</v>
      </c>
      <c r="D16748" t="s">
        <v>1484</v>
      </c>
      <c r="E16748" t="s">
        <v>187</v>
      </c>
      <c r="F16748">
        <v>2020</v>
      </c>
      <c r="G16748">
        <v>1.5949009999999999</v>
      </c>
    </row>
    <row r="16749" spans="1:7">
      <c r="A16749" t="s">
        <v>1297</v>
      </c>
      <c r="B16749" t="s">
        <v>1298</v>
      </c>
      <c r="C16749" t="s">
        <v>673</v>
      </c>
      <c r="D16749" t="s">
        <v>1484</v>
      </c>
      <c r="E16749" t="s">
        <v>187</v>
      </c>
      <c r="F16749">
        <v>2005</v>
      </c>
      <c r="G16749">
        <v>3.5739999999999998</v>
      </c>
    </row>
    <row r="16750" spans="1:7">
      <c r="A16750" t="s">
        <v>1297</v>
      </c>
      <c r="B16750" t="s">
        <v>1298</v>
      </c>
      <c r="C16750" t="s">
        <v>673</v>
      </c>
      <c r="D16750" t="s">
        <v>1484</v>
      </c>
      <c r="E16750" t="s">
        <v>187</v>
      </c>
      <c r="F16750">
        <v>2010</v>
      </c>
      <c r="G16750">
        <v>1.276</v>
      </c>
    </row>
    <row r="16751" spans="1:7">
      <c r="A16751" t="s">
        <v>1297</v>
      </c>
      <c r="B16751" t="s">
        <v>1298</v>
      </c>
      <c r="C16751" t="s">
        <v>673</v>
      </c>
      <c r="D16751" t="s">
        <v>1484</v>
      </c>
      <c r="E16751" t="s">
        <v>187</v>
      </c>
      <c r="F16751">
        <v>2012</v>
      </c>
      <c r="G16751">
        <v>1.1339999999999999</v>
      </c>
    </row>
    <row r="16752" spans="1:7">
      <c r="A16752" t="s">
        <v>1297</v>
      </c>
      <c r="B16752" t="s">
        <v>1298</v>
      </c>
      <c r="C16752" t="s">
        <v>673</v>
      </c>
      <c r="D16752" t="s">
        <v>1484</v>
      </c>
      <c r="E16752" t="s">
        <v>187</v>
      </c>
      <c r="F16752">
        <v>2016</v>
      </c>
      <c r="G16752">
        <v>3.286</v>
      </c>
    </row>
    <row r="16753" spans="1:7">
      <c r="A16753" t="s">
        <v>1297</v>
      </c>
      <c r="B16753" t="s">
        <v>1298</v>
      </c>
      <c r="C16753" t="s">
        <v>673</v>
      </c>
      <c r="D16753" t="s">
        <v>1484</v>
      </c>
      <c r="E16753" t="s">
        <v>187</v>
      </c>
      <c r="F16753">
        <v>2020</v>
      </c>
      <c r="G16753">
        <v>6.2429800000000002</v>
      </c>
    </row>
    <row r="16754" spans="1:7">
      <c r="A16754" t="s">
        <v>1297</v>
      </c>
      <c r="B16754" t="s">
        <v>1298</v>
      </c>
      <c r="C16754" t="s">
        <v>668</v>
      </c>
      <c r="D16754" t="s">
        <v>1484</v>
      </c>
      <c r="E16754" t="s">
        <v>187</v>
      </c>
      <c r="F16754">
        <v>2005</v>
      </c>
      <c r="G16754">
        <v>0.183</v>
      </c>
    </row>
    <row r="16755" spans="1:7">
      <c r="A16755" t="s">
        <v>1297</v>
      </c>
      <c r="B16755" t="s">
        <v>1298</v>
      </c>
      <c r="C16755" t="s">
        <v>668</v>
      </c>
      <c r="D16755" t="s">
        <v>1484</v>
      </c>
      <c r="E16755" t="s">
        <v>187</v>
      </c>
      <c r="F16755">
        <v>2010</v>
      </c>
      <c r="G16755">
        <v>0.439</v>
      </c>
    </row>
    <row r="16756" spans="1:7">
      <c r="A16756" t="s">
        <v>1297</v>
      </c>
      <c r="B16756" t="s">
        <v>1298</v>
      </c>
      <c r="C16756" t="s">
        <v>668</v>
      </c>
      <c r="D16756" t="s">
        <v>1484</v>
      </c>
      <c r="E16756" t="s">
        <v>187</v>
      </c>
      <c r="F16756">
        <v>2012</v>
      </c>
      <c r="G16756">
        <v>0.13500000000000001</v>
      </c>
    </row>
    <row r="16757" spans="1:7">
      <c r="A16757" t="s">
        <v>1297</v>
      </c>
      <c r="B16757" t="s">
        <v>1298</v>
      </c>
      <c r="C16757" t="s">
        <v>668</v>
      </c>
      <c r="D16757" t="s">
        <v>1484</v>
      </c>
      <c r="E16757" t="s">
        <v>187</v>
      </c>
      <c r="F16757">
        <v>2016</v>
      </c>
      <c r="G16757">
        <v>0.36899999999999999</v>
      </c>
    </row>
    <row r="16758" spans="1:7">
      <c r="A16758" t="s">
        <v>1297</v>
      </c>
      <c r="B16758" t="s">
        <v>1298</v>
      </c>
      <c r="C16758" t="s">
        <v>668</v>
      </c>
      <c r="D16758" t="s">
        <v>1484</v>
      </c>
      <c r="E16758" t="s">
        <v>187</v>
      </c>
      <c r="F16758">
        <v>2020</v>
      </c>
      <c r="G16758">
        <v>0.50282800000000005</v>
      </c>
    </row>
    <row r="16759" spans="1:7">
      <c r="A16759" t="s">
        <v>1297</v>
      </c>
      <c r="B16759" t="s">
        <v>1298</v>
      </c>
      <c r="C16759" t="s">
        <v>666</v>
      </c>
      <c r="D16759" t="s">
        <v>1484</v>
      </c>
      <c r="E16759" t="s">
        <v>187</v>
      </c>
      <c r="F16759">
        <v>2016</v>
      </c>
      <c r="G16759">
        <v>2.069</v>
      </c>
    </row>
    <row r="16760" spans="1:7">
      <c r="A16760" t="s">
        <v>1297</v>
      </c>
      <c r="B16760" t="s">
        <v>1298</v>
      </c>
      <c r="C16760" t="s">
        <v>666</v>
      </c>
      <c r="D16760" t="s">
        <v>1484</v>
      </c>
      <c r="E16760" t="s">
        <v>187</v>
      </c>
      <c r="F16760">
        <v>2020</v>
      </c>
      <c r="G16760">
        <v>1.4570000000000001</v>
      </c>
    </row>
    <row r="16761" spans="1:7">
      <c r="A16761" t="s">
        <v>1297</v>
      </c>
      <c r="B16761" t="s">
        <v>1298</v>
      </c>
      <c r="C16761" t="s">
        <v>659</v>
      </c>
      <c r="D16761" t="s">
        <v>1484</v>
      </c>
      <c r="E16761" t="s">
        <v>187</v>
      </c>
      <c r="F16761">
        <v>2005</v>
      </c>
      <c r="G16761">
        <v>7.9240000000000004</v>
      </c>
    </row>
    <row r="16762" spans="1:7">
      <c r="A16762" t="s">
        <v>1297</v>
      </c>
      <c r="B16762" t="s">
        <v>1298</v>
      </c>
      <c r="C16762" t="s">
        <v>659</v>
      </c>
      <c r="D16762" t="s">
        <v>1484</v>
      </c>
      <c r="E16762" t="s">
        <v>187</v>
      </c>
      <c r="F16762">
        <v>2010</v>
      </c>
      <c r="G16762">
        <v>7.2930000000000001</v>
      </c>
    </row>
    <row r="16763" spans="1:7">
      <c r="A16763" t="s">
        <v>1297</v>
      </c>
      <c r="B16763" t="s">
        <v>1298</v>
      </c>
      <c r="C16763" t="s">
        <v>659</v>
      </c>
      <c r="D16763" t="s">
        <v>1484</v>
      </c>
      <c r="E16763" t="s">
        <v>187</v>
      </c>
      <c r="F16763">
        <v>2012</v>
      </c>
      <c r="G16763">
        <v>7.3550000000000004</v>
      </c>
    </row>
    <row r="16764" spans="1:7">
      <c r="A16764" t="s">
        <v>1297</v>
      </c>
      <c r="B16764" t="s">
        <v>1298</v>
      </c>
      <c r="C16764" t="s">
        <v>659</v>
      </c>
      <c r="D16764" t="s">
        <v>1484</v>
      </c>
      <c r="E16764" t="s">
        <v>187</v>
      </c>
      <c r="F16764">
        <v>2016</v>
      </c>
      <c r="G16764">
        <v>9.8490000000000002</v>
      </c>
    </row>
    <row r="16765" spans="1:7">
      <c r="A16765" t="s">
        <v>1297</v>
      </c>
      <c r="B16765" t="s">
        <v>1298</v>
      </c>
      <c r="C16765" t="s">
        <v>659</v>
      </c>
      <c r="D16765" t="s">
        <v>1484</v>
      </c>
      <c r="E16765" t="s">
        <v>187</v>
      </c>
      <c r="F16765">
        <v>2020</v>
      </c>
      <c r="G16765">
        <v>13.118</v>
      </c>
    </row>
    <row r="16766" spans="1:7">
      <c r="A16766" t="s">
        <v>1297</v>
      </c>
      <c r="B16766" t="s">
        <v>1298</v>
      </c>
      <c r="C16766" t="s">
        <v>675</v>
      </c>
      <c r="D16766" t="s">
        <v>1484</v>
      </c>
      <c r="E16766" t="s">
        <v>187</v>
      </c>
      <c r="F16766">
        <v>2005</v>
      </c>
      <c r="G16766">
        <v>0.44900000000000001</v>
      </c>
    </row>
    <row r="16767" spans="1:7">
      <c r="A16767" t="s">
        <v>1297</v>
      </c>
      <c r="B16767" t="s">
        <v>1298</v>
      </c>
      <c r="C16767" t="s">
        <v>675</v>
      </c>
      <c r="D16767" t="s">
        <v>1484</v>
      </c>
      <c r="E16767" t="s">
        <v>187</v>
      </c>
      <c r="F16767">
        <v>2010</v>
      </c>
      <c r="G16767">
        <v>0.77900000000000003</v>
      </c>
    </row>
    <row r="16768" spans="1:7">
      <c r="A16768" t="s">
        <v>1297</v>
      </c>
      <c r="B16768" t="s">
        <v>1298</v>
      </c>
      <c r="C16768" t="s">
        <v>675</v>
      </c>
      <c r="D16768" t="s">
        <v>1484</v>
      </c>
      <c r="E16768" t="s">
        <v>187</v>
      </c>
      <c r="F16768">
        <v>2012</v>
      </c>
      <c r="G16768">
        <v>0.97899999999999998</v>
      </c>
    </row>
    <row r="16769" spans="1:7">
      <c r="A16769" t="s">
        <v>1297</v>
      </c>
      <c r="B16769" t="s">
        <v>1298</v>
      </c>
      <c r="C16769" t="s">
        <v>675</v>
      </c>
      <c r="D16769" t="s">
        <v>1484</v>
      </c>
      <c r="E16769" t="s">
        <v>187</v>
      </c>
      <c r="F16769">
        <v>2016</v>
      </c>
      <c r="G16769">
        <v>1.6919999999999999</v>
      </c>
    </row>
    <row r="16770" spans="1:7">
      <c r="A16770" t="s">
        <v>1297</v>
      </c>
      <c r="B16770" t="s">
        <v>1298</v>
      </c>
      <c r="C16770" t="s">
        <v>675</v>
      </c>
      <c r="D16770" t="s">
        <v>1484</v>
      </c>
      <c r="E16770" t="s">
        <v>187</v>
      </c>
      <c r="F16770">
        <v>2020</v>
      </c>
      <c r="G16770">
        <v>2.5972059999999999</v>
      </c>
    </row>
    <row r="16771" spans="1:7">
      <c r="A16771" t="s">
        <v>1297</v>
      </c>
      <c r="B16771" t="s">
        <v>1298</v>
      </c>
      <c r="C16771" t="s">
        <v>652</v>
      </c>
      <c r="D16771" t="s">
        <v>1484</v>
      </c>
      <c r="E16771" t="s">
        <v>187</v>
      </c>
      <c r="F16771">
        <v>2005</v>
      </c>
      <c r="G16771">
        <v>21.024000000000001</v>
      </c>
    </row>
    <row r="16772" spans="1:7">
      <c r="A16772" t="s">
        <v>1297</v>
      </c>
      <c r="B16772" t="s">
        <v>1298</v>
      </c>
      <c r="C16772" t="s">
        <v>652</v>
      </c>
      <c r="D16772" t="s">
        <v>1484</v>
      </c>
      <c r="E16772" t="s">
        <v>187</v>
      </c>
      <c r="F16772">
        <v>2010</v>
      </c>
      <c r="G16772">
        <v>29.4145</v>
      </c>
    </row>
    <row r="16773" spans="1:7">
      <c r="A16773" t="s">
        <v>1297</v>
      </c>
      <c r="B16773" t="s">
        <v>1298</v>
      </c>
      <c r="C16773" t="s">
        <v>652</v>
      </c>
      <c r="D16773" t="s">
        <v>1484</v>
      </c>
      <c r="E16773" t="s">
        <v>187</v>
      </c>
      <c r="F16773">
        <v>2012</v>
      </c>
      <c r="G16773">
        <v>29.218499999999999</v>
      </c>
    </row>
    <row r="16774" spans="1:7">
      <c r="A16774" t="s">
        <v>1297</v>
      </c>
      <c r="B16774" t="s">
        <v>1298</v>
      </c>
      <c r="C16774" t="s">
        <v>652</v>
      </c>
      <c r="D16774" t="s">
        <v>1484</v>
      </c>
      <c r="E16774" t="s">
        <v>187</v>
      </c>
      <c r="F16774">
        <v>2016</v>
      </c>
      <c r="G16774">
        <v>28.2136</v>
      </c>
    </row>
    <row r="16775" spans="1:7">
      <c r="A16775" t="s">
        <v>1297</v>
      </c>
      <c r="B16775" t="s">
        <v>1298</v>
      </c>
      <c r="C16775" t="s">
        <v>652</v>
      </c>
      <c r="D16775" t="s">
        <v>1484</v>
      </c>
      <c r="E16775" t="s">
        <v>187</v>
      </c>
      <c r="F16775">
        <v>2020</v>
      </c>
      <c r="G16775">
        <v>27.7728</v>
      </c>
    </row>
    <row r="16776" spans="1:7">
      <c r="A16776" t="s">
        <v>1297</v>
      </c>
      <c r="B16776" t="s">
        <v>1298</v>
      </c>
      <c r="C16776" t="s">
        <v>686</v>
      </c>
      <c r="D16776" t="s">
        <v>1484</v>
      </c>
      <c r="E16776" t="s">
        <v>187</v>
      </c>
      <c r="F16776">
        <v>2010</v>
      </c>
      <c r="G16776">
        <v>0.38800000000000001</v>
      </c>
    </row>
    <row r="16777" spans="1:7">
      <c r="A16777" t="s">
        <v>1297</v>
      </c>
      <c r="B16777" t="s">
        <v>1298</v>
      </c>
      <c r="C16777" t="s">
        <v>686</v>
      </c>
      <c r="D16777" t="s">
        <v>1484</v>
      </c>
      <c r="E16777" t="s">
        <v>187</v>
      </c>
      <c r="F16777">
        <v>2016</v>
      </c>
      <c r="G16777">
        <v>4.4999999999999998E-2</v>
      </c>
    </row>
    <row r="16778" spans="1:7">
      <c r="A16778" t="s">
        <v>1297</v>
      </c>
      <c r="B16778" t="s">
        <v>1298</v>
      </c>
      <c r="C16778" t="s">
        <v>686</v>
      </c>
      <c r="D16778" t="s">
        <v>1484</v>
      </c>
      <c r="E16778" t="s">
        <v>187</v>
      </c>
      <c r="F16778">
        <v>2020</v>
      </c>
      <c r="G16778">
        <v>5.1205000000000001E-2</v>
      </c>
    </row>
    <row r="16779" spans="1:7">
      <c r="A16779" t="s">
        <v>1297</v>
      </c>
      <c r="B16779" t="s">
        <v>1298</v>
      </c>
      <c r="C16779" t="s">
        <v>672</v>
      </c>
      <c r="D16779" t="s">
        <v>1484</v>
      </c>
      <c r="E16779" t="s">
        <v>187</v>
      </c>
      <c r="F16779">
        <v>2005</v>
      </c>
      <c r="G16779">
        <v>5.8639999999999999</v>
      </c>
    </row>
    <row r="16780" spans="1:7">
      <c r="A16780" t="s">
        <v>1297</v>
      </c>
      <c r="B16780" t="s">
        <v>1298</v>
      </c>
      <c r="C16780" t="s">
        <v>672</v>
      </c>
      <c r="D16780" t="s">
        <v>1484</v>
      </c>
      <c r="E16780" t="s">
        <v>187</v>
      </c>
      <c r="F16780">
        <v>2010</v>
      </c>
      <c r="G16780">
        <v>6.6440000000000001</v>
      </c>
    </row>
    <row r="16781" spans="1:7">
      <c r="A16781" t="s">
        <v>1297</v>
      </c>
      <c r="B16781" t="s">
        <v>1298</v>
      </c>
      <c r="C16781" t="s">
        <v>672</v>
      </c>
      <c r="D16781" t="s">
        <v>1484</v>
      </c>
      <c r="E16781" t="s">
        <v>187</v>
      </c>
      <c r="F16781">
        <v>2012</v>
      </c>
      <c r="G16781">
        <v>6.0220000000000002</v>
      </c>
    </row>
    <row r="16782" spans="1:7">
      <c r="A16782" t="s">
        <v>1297</v>
      </c>
      <c r="B16782" t="s">
        <v>1298</v>
      </c>
      <c r="C16782" t="s">
        <v>672</v>
      </c>
      <c r="D16782" t="s">
        <v>1484</v>
      </c>
      <c r="E16782" t="s">
        <v>187</v>
      </c>
      <c r="F16782">
        <v>2016</v>
      </c>
      <c r="G16782">
        <v>7.3010000000000002</v>
      </c>
    </row>
    <row r="16783" spans="1:7">
      <c r="A16783" t="s">
        <v>1297</v>
      </c>
      <c r="B16783" t="s">
        <v>1298</v>
      </c>
      <c r="C16783" t="s">
        <v>672</v>
      </c>
      <c r="D16783" t="s">
        <v>1484</v>
      </c>
      <c r="E16783" t="s">
        <v>187</v>
      </c>
      <c r="F16783">
        <v>2020</v>
      </c>
      <c r="G16783">
        <v>6.7872899999999996</v>
      </c>
    </row>
    <row r="16784" spans="1:7">
      <c r="A16784" t="s">
        <v>1297</v>
      </c>
      <c r="B16784" t="s">
        <v>1298</v>
      </c>
      <c r="C16784" t="s">
        <v>676</v>
      </c>
      <c r="D16784" t="s">
        <v>1485</v>
      </c>
      <c r="E16784" t="s">
        <v>187</v>
      </c>
      <c r="F16784">
        <v>2005</v>
      </c>
      <c r="G16784">
        <v>1.2629999999999999</v>
      </c>
    </row>
    <row r="16785" spans="1:7">
      <c r="A16785" t="s">
        <v>1297</v>
      </c>
      <c r="B16785" t="s">
        <v>1298</v>
      </c>
      <c r="C16785" t="s">
        <v>676</v>
      </c>
      <c r="D16785" t="s">
        <v>1485</v>
      </c>
      <c r="E16785" t="s">
        <v>187</v>
      </c>
      <c r="F16785">
        <v>2010</v>
      </c>
      <c r="G16785">
        <v>0.53700000000000003</v>
      </c>
    </row>
    <row r="16786" spans="1:7">
      <c r="A16786" t="s">
        <v>1297</v>
      </c>
      <c r="B16786" t="s">
        <v>1298</v>
      </c>
      <c r="C16786" t="s">
        <v>676</v>
      </c>
      <c r="D16786" t="s">
        <v>1485</v>
      </c>
      <c r="E16786" t="s">
        <v>187</v>
      </c>
      <c r="F16786">
        <v>2012</v>
      </c>
      <c r="G16786">
        <v>0.67800000000000005</v>
      </c>
    </row>
    <row r="16787" spans="1:7">
      <c r="A16787" t="s">
        <v>1297</v>
      </c>
      <c r="B16787" t="s">
        <v>1298</v>
      </c>
      <c r="C16787" t="s">
        <v>676</v>
      </c>
      <c r="D16787" t="s">
        <v>1485</v>
      </c>
      <c r="E16787" t="s">
        <v>187</v>
      </c>
      <c r="F16787">
        <v>2016</v>
      </c>
      <c r="G16787">
        <v>0.77400000000000002</v>
      </c>
    </row>
    <row r="16788" spans="1:7">
      <c r="A16788" t="s">
        <v>1297</v>
      </c>
      <c r="B16788" t="s">
        <v>1298</v>
      </c>
      <c r="C16788" t="s">
        <v>676</v>
      </c>
      <c r="D16788" t="s">
        <v>1485</v>
      </c>
      <c r="E16788" t="s">
        <v>187</v>
      </c>
      <c r="F16788">
        <v>2020</v>
      </c>
      <c r="G16788">
        <v>0.71299999999999997</v>
      </c>
    </row>
    <row r="16789" spans="1:7">
      <c r="A16789" t="s">
        <v>1297</v>
      </c>
      <c r="B16789" t="s">
        <v>1298</v>
      </c>
      <c r="C16789" t="s">
        <v>675</v>
      </c>
      <c r="D16789" t="s">
        <v>1485</v>
      </c>
      <c r="E16789" t="s">
        <v>187</v>
      </c>
      <c r="F16789">
        <v>2005</v>
      </c>
      <c r="G16789">
        <v>2.5999999999999999E-2</v>
      </c>
    </row>
    <row r="16790" spans="1:7">
      <c r="A16790" t="s">
        <v>1297</v>
      </c>
      <c r="B16790" t="s">
        <v>1298</v>
      </c>
      <c r="C16790" t="s">
        <v>675</v>
      </c>
      <c r="D16790" t="s">
        <v>1485</v>
      </c>
      <c r="E16790" t="s">
        <v>187</v>
      </c>
      <c r="F16790">
        <v>2010</v>
      </c>
      <c r="G16790">
        <v>2.1000000000000001E-2</v>
      </c>
    </row>
    <row r="16791" spans="1:7">
      <c r="A16791" t="s">
        <v>1297</v>
      </c>
      <c r="B16791" t="s">
        <v>1298</v>
      </c>
      <c r="C16791" t="s">
        <v>675</v>
      </c>
      <c r="D16791" t="s">
        <v>1485</v>
      </c>
      <c r="E16791" t="s">
        <v>187</v>
      </c>
      <c r="F16791">
        <v>2012</v>
      </c>
      <c r="G16791">
        <v>0.316</v>
      </c>
    </row>
    <row r="16792" spans="1:7">
      <c r="A16792" t="s">
        <v>1297</v>
      </c>
      <c r="B16792" t="s">
        <v>1298</v>
      </c>
      <c r="C16792" t="s">
        <v>675</v>
      </c>
      <c r="D16792" t="s">
        <v>1485</v>
      </c>
      <c r="E16792" t="s">
        <v>187</v>
      </c>
      <c r="F16792">
        <v>2016</v>
      </c>
      <c r="G16792">
        <v>0.35699999999999998</v>
      </c>
    </row>
    <row r="16793" spans="1:7">
      <c r="A16793" t="s">
        <v>1297</v>
      </c>
      <c r="B16793" t="s">
        <v>1298</v>
      </c>
      <c r="C16793" t="s">
        <v>675</v>
      </c>
      <c r="D16793" t="s">
        <v>1485</v>
      </c>
      <c r="E16793" t="s">
        <v>187</v>
      </c>
      <c r="F16793">
        <v>2020</v>
      </c>
      <c r="G16793">
        <v>0.36379600000000001</v>
      </c>
    </row>
    <row r="16794" spans="1:7">
      <c r="A16794" t="s">
        <v>1297</v>
      </c>
      <c r="B16794" t="s">
        <v>1298</v>
      </c>
      <c r="C16794" t="s">
        <v>663</v>
      </c>
      <c r="D16794" t="s">
        <v>1485</v>
      </c>
      <c r="E16794" t="s">
        <v>187</v>
      </c>
      <c r="F16794">
        <v>2005</v>
      </c>
      <c r="G16794">
        <v>1.536</v>
      </c>
    </row>
    <row r="16795" spans="1:7">
      <c r="A16795" t="s">
        <v>1297</v>
      </c>
      <c r="B16795" t="s">
        <v>1298</v>
      </c>
      <c r="C16795" t="s">
        <v>663</v>
      </c>
      <c r="D16795" t="s">
        <v>1485</v>
      </c>
      <c r="E16795" t="s">
        <v>187</v>
      </c>
      <c r="F16795">
        <v>2010</v>
      </c>
      <c r="G16795">
        <v>2.3439999999999999</v>
      </c>
    </row>
    <row r="16796" spans="1:7">
      <c r="A16796" t="s">
        <v>1297</v>
      </c>
      <c r="B16796" t="s">
        <v>1298</v>
      </c>
      <c r="C16796" t="s">
        <v>663</v>
      </c>
      <c r="D16796" t="s">
        <v>1485</v>
      </c>
      <c r="E16796" t="s">
        <v>187</v>
      </c>
      <c r="F16796">
        <v>2012</v>
      </c>
      <c r="G16796">
        <v>2.262</v>
      </c>
    </row>
    <row r="16797" spans="1:7">
      <c r="A16797" t="s">
        <v>1297</v>
      </c>
      <c r="B16797" t="s">
        <v>1298</v>
      </c>
      <c r="C16797" t="s">
        <v>663</v>
      </c>
      <c r="D16797" t="s">
        <v>1485</v>
      </c>
      <c r="E16797" t="s">
        <v>187</v>
      </c>
      <c r="F16797">
        <v>2016</v>
      </c>
      <c r="G16797">
        <v>3.9340000000000002</v>
      </c>
    </row>
    <row r="16798" spans="1:7">
      <c r="A16798" t="s">
        <v>1297</v>
      </c>
      <c r="B16798" t="s">
        <v>1298</v>
      </c>
      <c r="C16798" t="s">
        <v>663</v>
      </c>
      <c r="D16798" t="s">
        <v>1485</v>
      </c>
      <c r="E16798" t="s">
        <v>187</v>
      </c>
      <c r="F16798">
        <v>2020</v>
      </c>
      <c r="G16798">
        <v>4.1280000000000001</v>
      </c>
    </row>
    <row r="16799" spans="1:7">
      <c r="A16799" t="s">
        <v>1297</v>
      </c>
      <c r="B16799" t="s">
        <v>1298</v>
      </c>
      <c r="C16799" t="s">
        <v>658</v>
      </c>
      <c r="D16799" t="s">
        <v>1485</v>
      </c>
      <c r="E16799" t="s">
        <v>187</v>
      </c>
      <c r="F16799">
        <v>2016</v>
      </c>
      <c r="G16799">
        <v>1.2030000000000001</v>
      </c>
    </row>
    <row r="16800" spans="1:7">
      <c r="A16800" t="s">
        <v>1297</v>
      </c>
      <c r="B16800" t="s">
        <v>1298</v>
      </c>
      <c r="C16800" t="s">
        <v>658</v>
      </c>
      <c r="D16800" t="s">
        <v>1485</v>
      </c>
      <c r="E16800" t="s">
        <v>187</v>
      </c>
      <c r="F16800">
        <v>2020</v>
      </c>
      <c r="G16800">
        <v>1.037191</v>
      </c>
    </row>
    <row r="16801" spans="1:7">
      <c r="A16801" t="s">
        <v>1297</v>
      </c>
      <c r="B16801" t="s">
        <v>1298</v>
      </c>
      <c r="C16801" t="s">
        <v>662</v>
      </c>
      <c r="D16801" t="s">
        <v>1485</v>
      </c>
      <c r="E16801" t="s">
        <v>187</v>
      </c>
      <c r="F16801">
        <v>2005</v>
      </c>
      <c r="G16801">
        <v>1.04</v>
      </c>
    </row>
    <row r="16802" spans="1:7">
      <c r="A16802" t="s">
        <v>1297</v>
      </c>
      <c r="B16802" t="s">
        <v>1298</v>
      </c>
      <c r="C16802" t="s">
        <v>662</v>
      </c>
      <c r="D16802" t="s">
        <v>1485</v>
      </c>
      <c r="E16802" t="s">
        <v>187</v>
      </c>
      <c r="F16802">
        <v>2010</v>
      </c>
      <c r="G16802">
        <v>1.341</v>
      </c>
    </row>
    <row r="16803" spans="1:7">
      <c r="A16803" t="s">
        <v>1297</v>
      </c>
      <c r="B16803" t="s">
        <v>1298</v>
      </c>
      <c r="C16803" t="s">
        <v>662</v>
      </c>
      <c r="D16803" t="s">
        <v>1485</v>
      </c>
      <c r="E16803" t="s">
        <v>187</v>
      </c>
      <c r="F16803">
        <v>2012</v>
      </c>
      <c r="G16803">
        <v>0.625</v>
      </c>
    </row>
    <row r="16804" spans="1:7">
      <c r="A16804" t="s">
        <v>1297</v>
      </c>
      <c r="B16804" t="s">
        <v>1298</v>
      </c>
      <c r="C16804" t="s">
        <v>662</v>
      </c>
      <c r="D16804" t="s">
        <v>1485</v>
      </c>
      <c r="E16804" t="s">
        <v>187</v>
      </c>
      <c r="F16804">
        <v>2016</v>
      </c>
      <c r="G16804">
        <v>1.3640000000000001</v>
      </c>
    </row>
    <row r="16805" spans="1:7">
      <c r="A16805" t="s">
        <v>1297</v>
      </c>
      <c r="B16805" t="s">
        <v>1298</v>
      </c>
      <c r="C16805" t="s">
        <v>662</v>
      </c>
      <c r="D16805" t="s">
        <v>1485</v>
      </c>
      <c r="E16805" t="s">
        <v>187</v>
      </c>
      <c r="F16805">
        <v>2020</v>
      </c>
      <c r="G16805">
        <v>1.7575400000000001</v>
      </c>
    </row>
    <row r="16806" spans="1:7">
      <c r="A16806" t="s">
        <v>1297</v>
      </c>
      <c r="B16806" t="s">
        <v>1298</v>
      </c>
      <c r="C16806" t="s">
        <v>657</v>
      </c>
      <c r="D16806" t="s">
        <v>1485</v>
      </c>
      <c r="E16806" t="s">
        <v>187</v>
      </c>
      <c r="F16806">
        <v>2005</v>
      </c>
      <c r="G16806">
        <v>15.788</v>
      </c>
    </row>
    <row r="16807" spans="1:7">
      <c r="A16807" t="s">
        <v>1297</v>
      </c>
      <c r="B16807" t="s">
        <v>1298</v>
      </c>
      <c r="C16807" t="s">
        <v>657</v>
      </c>
      <c r="D16807" t="s">
        <v>1485</v>
      </c>
      <c r="E16807" t="s">
        <v>187</v>
      </c>
      <c r="F16807">
        <v>2010</v>
      </c>
      <c r="G16807">
        <v>16.207000000000001</v>
      </c>
    </row>
    <row r="16808" spans="1:7">
      <c r="A16808" t="s">
        <v>1297</v>
      </c>
      <c r="B16808" t="s">
        <v>1298</v>
      </c>
      <c r="C16808" t="s">
        <v>657</v>
      </c>
      <c r="D16808" t="s">
        <v>1485</v>
      </c>
      <c r="E16808" t="s">
        <v>187</v>
      </c>
      <c r="F16808">
        <v>2012</v>
      </c>
      <c r="G16808">
        <v>15.907</v>
      </c>
    </row>
    <row r="16809" spans="1:7">
      <c r="A16809" t="s">
        <v>1297</v>
      </c>
      <c r="B16809" t="s">
        <v>1298</v>
      </c>
      <c r="C16809" t="s">
        <v>657</v>
      </c>
      <c r="D16809" t="s">
        <v>1485</v>
      </c>
      <c r="E16809" t="s">
        <v>187</v>
      </c>
      <c r="F16809">
        <v>2016</v>
      </c>
      <c r="G16809">
        <v>16.905902000000001</v>
      </c>
    </row>
    <row r="16810" spans="1:7">
      <c r="A16810" t="s">
        <v>1297</v>
      </c>
      <c r="B16810" t="s">
        <v>1298</v>
      </c>
      <c r="C16810" t="s">
        <v>657</v>
      </c>
      <c r="D16810" t="s">
        <v>1485</v>
      </c>
      <c r="E16810" t="s">
        <v>187</v>
      </c>
      <c r="F16810">
        <v>2020</v>
      </c>
      <c r="G16810">
        <v>16.811489999999999</v>
      </c>
    </row>
    <row r="16811" spans="1:7">
      <c r="A16811" t="s">
        <v>1297</v>
      </c>
      <c r="B16811" t="s">
        <v>1298</v>
      </c>
      <c r="C16811" t="s">
        <v>651</v>
      </c>
      <c r="D16811" t="s">
        <v>1485</v>
      </c>
      <c r="E16811" t="s">
        <v>187</v>
      </c>
      <c r="F16811">
        <v>2005</v>
      </c>
      <c r="G16811">
        <v>8.4123049999999999</v>
      </c>
    </row>
    <row r="16812" spans="1:7">
      <c r="A16812" t="s">
        <v>1297</v>
      </c>
      <c r="B16812" t="s">
        <v>1298</v>
      </c>
      <c r="C16812" t="s">
        <v>651</v>
      </c>
      <c r="D16812" t="s">
        <v>1485</v>
      </c>
      <c r="E16812" t="s">
        <v>187</v>
      </c>
      <c r="F16812">
        <v>2010</v>
      </c>
      <c r="G16812">
        <v>13.772207999999999</v>
      </c>
    </row>
    <row r="16813" spans="1:7">
      <c r="A16813" t="s">
        <v>1297</v>
      </c>
      <c r="B16813" t="s">
        <v>1298</v>
      </c>
      <c r="C16813" t="s">
        <v>651</v>
      </c>
      <c r="D16813" t="s">
        <v>1485</v>
      </c>
      <c r="E16813" t="s">
        <v>187</v>
      </c>
      <c r="F16813">
        <v>2012</v>
      </c>
      <c r="G16813">
        <v>15.492959000000001</v>
      </c>
    </row>
    <row r="16814" spans="1:7">
      <c r="A16814" t="s">
        <v>1297</v>
      </c>
      <c r="B16814" t="s">
        <v>1298</v>
      </c>
      <c r="C16814" t="s">
        <v>651</v>
      </c>
      <c r="D16814" t="s">
        <v>1485</v>
      </c>
      <c r="E16814" t="s">
        <v>187</v>
      </c>
      <c r="F16814">
        <v>2016</v>
      </c>
      <c r="G16814">
        <v>16.809987</v>
      </c>
    </row>
    <row r="16815" spans="1:7">
      <c r="A16815" t="s">
        <v>1297</v>
      </c>
      <c r="B16815" t="s">
        <v>1298</v>
      </c>
      <c r="C16815" t="s">
        <v>651</v>
      </c>
      <c r="D16815" t="s">
        <v>1485</v>
      </c>
      <c r="E16815" t="s">
        <v>187</v>
      </c>
      <c r="F16815">
        <v>2020</v>
      </c>
      <c r="G16815">
        <v>15.073342999999999</v>
      </c>
    </row>
    <row r="16816" spans="1:7">
      <c r="A16816" t="s">
        <v>1297</v>
      </c>
      <c r="B16816" t="s">
        <v>1298</v>
      </c>
      <c r="C16816" t="s">
        <v>679</v>
      </c>
      <c r="D16816" t="s">
        <v>1485</v>
      </c>
      <c r="E16816" t="s">
        <v>187</v>
      </c>
      <c r="F16816">
        <v>2005</v>
      </c>
      <c r="G16816">
        <v>3.3559999999999999</v>
      </c>
    </row>
    <row r="16817" spans="1:7">
      <c r="A16817" t="s">
        <v>1297</v>
      </c>
      <c r="B16817" t="s">
        <v>1298</v>
      </c>
      <c r="C16817" t="s">
        <v>679</v>
      </c>
      <c r="D16817" t="s">
        <v>1485</v>
      </c>
      <c r="E16817" t="s">
        <v>187</v>
      </c>
      <c r="F16817">
        <v>2010</v>
      </c>
      <c r="G16817">
        <v>4.0519999999999996</v>
      </c>
    </row>
    <row r="16818" spans="1:7">
      <c r="A16818" t="s">
        <v>1297</v>
      </c>
      <c r="B16818" t="s">
        <v>1298</v>
      </c>
      <c r="C16818" t="s">
        <v>679</v>
      </c>
      <c r="D16818" t="s">
        <v>1485</v>
      </c>
      <c r="E16818" t="s">
        <v>187</v>
      </c>
      <c r="F16818">
        <v>2012</v>
      </c>
      <c r="G16818">
        <v>5.8019999999999996</v>
      </c>
    </row>
    <row r="16819" spans="1:7">
      <c r="A16819" t="s">
        <v>1297</v>
      </c>
      <c r="B16819" t="s">
        <v>1298</v>
      </c>
      <c r="C16819" t="s">
        <v>679</v>
      </c>
      <c r="D16819" t="s">
        <v>1485</v>
      </c>
      <c r="E16819" t="s">
        <v>187</v>
      </c>
      <c r="F16819">
        <v>2016</v>
      </c>
      <c r="G16819">
        <v>6.7039999999999997</v>
      </c>
    </row>
    <row r="16820" spans="1:7">
      <c r="A16820" t="s">
        <v>1297</v>
      </c>
      <c r="B16820" t="s">
        <v>1298</v>
      </c>
      <c r="C16820" t="s">
        <v>679</v>
      </c>
      <c r="D16820" t="s">
        <v>1485</v>
      </c>
      <c r="E16820" t="s">
        <v>187</v>
      </c>
      <c r="F16820">
        <v>2020</v>
      </c>
      <c r="G16820">
        <v>6.853955</v>
      </c>
    </row>
    <row r="16821" spans="1:7">
      <c r="A16821" t="s">
        <v>1297</v>
      </c>
      <c r="B16821" t="s">
        <v>1298</v>
      </c>
      <c r="C16821" t="s">
        <v>665</v>
      </c>
      <c r="D16821" t="s">
        <v>1485</v>
      </c>
      <c r="E16821" t="s">
        <v>187</v>
      </c>
      <c r="F16821">
        <v>2005</v>
      </c>
      <c r="G16821">
        <v>25.567</v>
      </c>
    </row>
    <row r="16822" spans="1:7">
      <c r="A16822" t="s">
        <v>1297</v>
      </c>
      <c r="B16822" t="s">
        <v>1298</v>
      </c>
      <c r="C16822" t="s">
        <v>665</v>
      </c>
      <c r="D16822" t="s">
        <v>1485</v>
      </c>
      <c r="E16822" t="s">
        <v>187</v>
      </c>
      <c r="F16822">
        <v>2010</v>
      </c>
      <c r="G16822">
        <v>34.262</v>
      </c>
    </row>
    <row r="16823" spans="1:7">
      <c r="A16823" t="s">
        <v>1297</v>
      </c>
      <c r="B16823" t="s">
        <v>1298</v>
      </c>
      <c r="C16823" t="s">
        <v>665</v>
      </c>
      <c r="D16823" t="s">
        <v>1485</v>
      </c>
      <c r="E16823" t="s">
        <v>187</v>
      </c>
      <c r="F16823">
        <v>2012</v>
      </c>
      <c r="G16823">
        <v>35.655000000000001</v>
      </c>
    </row>
    <row r="16824" spans="1:7">
      <c r="A16824" t="s">
        <v>1297</v>
      </c>
      <c r="B16824" t="s">
        <v>1298</v>
      </c>
      <c r="C16824" t="s">
        <v>665</v>
      </c>
      <c r="D16824" t="s">
        <v>1485</v>
      </c>
      <c r="E16824" t="s">
        <v>187</v>
      </c>
      <c r="F16824">
        <v>2016</v>
      </c>
      <c r="G16824">
        <v>37.96</v>
      </c>
    </row>
    <row r="16825" spans="1:7">
      <c r="A16825" t="s">
        <v>1297</v>
      </c>
      <c r="B16825" t="s">
        <v>1298</v>
      </c>
      <c r="C16825" t="s">
        <v>665</v>
      </c>
      <c r="D16825" t="s">
        <v>1485</v>
      </c>
      <c r="E16825" t="s">
        <v>187</v>
      </c>
      <c r="F16825">
        <v>2020</v>
      </c>
      <c r="G16825">
        <v>37.628253000000001</v>
      </c>
    </row>
    <row r="16826" spans="1:7">
      <c r="A16826" t="s">
        <v>1297</v>
      </c>
      <c r="B16826" t="s">
        <v>1298</v>
      </c>
      <c r="C16826" t="s">
        <v>686</v>
      </c>
      <c r="D16826" t="s">
        <v>1485</v>
      </c>
      <c r="E16826" t="s">
        <v>187</v>
      </c>
      <c r="F16826">
        <v>2010</v>
      </c>
      <c r="G16826">
        <v>0.38800000000000001</v>
      </c>
    </row>
    <row r="16827" spans="1:7">
      <c r="A16827" t="s">
        <v>1297</v>
      </c>
      <c r="B16827" t="s">
        <v>1298</v>
      </c>
      <c r="C16827" t="s">
        <v>659</v>
      </c>
      <c r="D16827" t="s">
        <v>1485</v>
      </c>
      <c r="E16827" t="s">
        <v>187</v>
      </c>
      <c r="F16827">
        <v>2020</v>
      </c>
      <c r="G16827">
        <v>12.917</v>
      </c>
    </row>
    <row r="16828" spans="1:7">
      <c r="A16828" t="s">
        <v>1297</v>
      </c>
      <c r="B16828" t="s">
        <v>1298</v>
      </c>
      <c r="C16828" t="s">
        <v>661</v>
      </c>
      <c r="D16828" t="s">
        <v>1485</v>
      </c>
      <c r="E16828" t="s">
        <v>187</v>
      </c>
      <c r="F16828">
        <v>2005</v>
      </c>
      <c r="G16828">
        <v>41.350999999999999</v>
      </c>
    </row>
    <row r="16829" spans="1:7">
      <c r="A16829" t="s">
        <v>1297</v>
      </c>
      <c r="B16829" t="s">
        <v>1298</v>
      </c>
      <c r="C16829" t="s">
        <v>661</v>
      </c>
      <c r="D16829" t="s">
        <v>1485</v>
      </c>
      <c r="E16829" t="s">
        <v>187</v>
      </c>
      <c r="F16829">
        <v>2010</v>
      </c>
      <c r="G16829">
        <v>46.023995999999997</v>
      </c>
    </row>
    <row r="16830" spans="1:7">
      <c r="A16830" t="s">
        <v>1297</v>
      </c>
      <c r="B16830" t="s">
        <v>1298</v>
      </c>
      <c r="C16830" t="s">
        <v>661</v>
      </c>
      <c r="D16830" t="s">
        <v>1485</v>
      </c>
      <c r="E16830" t="s">
        <v>187</v>
      </c>
      <c r="F16830">
        <v>2012</v>
      </c>
      <c r="G16830">
        <v>49.797825000000003</v>
      </c>
    </row>
    <row r="16831" spans="1:7">
      <c r="A16831" t="s">
        <v>1297</v>
      </c>
      <c r="B16831" t="s">
        <v>1298</v>
      </c>
      <c r="C16831" t="s">
        <v>661</v>
      </c>
      <c r="D16831" t="s">
        <v>1485</v>
      </c>
      <c r="E16831" t="s">
        <v>187</v>
      </c>
      <c r="F16831">
        <v>2016</v>
      </c>
      <c r="G16831">
        <v>53.505603000000001</v>
      </c>
    </row>
    <row r="16832" spans="1:7">
      <c r="A16832" t="s">
        <v>1297</v>
      </c>
      <c r="B16832" t="s">
        <v>1298</v>
      </c>
      <c r="C16832" t="s">
        <v>661</v>
      </c>
      <c r="D16832" t="s">
        <v>1485</v>
      </c>
      <c r="E16832" t="s">
        <v>187</v>
      </c>
      <c r="F16832">
        <v>2020</v>
      </c>
      <c r="G16832">
        <v>53.838172</v>
      </c>
    </row>
    <row r="16833" spans="1:7">
      <c r="A16833" t="s">
        <v>1297</v>
      </c>
      <c r="B16833" t="s">
        <v>1298</v>
      </c>
      <c r="C16833" t="s">
        <v>671</v>
      </c>
      <c r="D16833" t="s">
        <v>1485</v>
      </c>
      <c r="E16833" t="s">
        <v>187</v>
      </c>
      <c r="F16833">
        <v>2005</v>
      </c>
      <c r="G16833">
        <v>0.55500000000000005</v>
      </c>
    </row>
    <row r="16834" spans="1:7">
      <c r="A16834" t="s">
        <v>1297</v>
      </c>
      <c r="B16834" t="s">
        <v>1298</v>
      </c>
      <c r="C16834" t="s">
        <v>671</v>
      </c>
      <c r="D16834" t="s">
        <v>1485</v>
      </c>
      <c r="E16834" t="s">
        <v>187</v>
      </c>
      <c r="F16834">
        <v>2010</v>
      </c>
      <c r="G16834">
        <v>0.80900000000000005</v>
      </c>
    </row>
    <row r="16835" spans="1:7">
      <c r="A16835" t="s">
        <v>1297</v>
      </c>
      <c r="B16835" t="s">
        <v>1298</v>
      </c>
      <c r="C16835" t="s">
        <v>671</v>
      </c>
      <c r="D16835" t="s">
        <v>1485</v>
      </c>
      <c r="E16835" t="s">
        <v>187</v>
      </c>
      <c r="F16835">
        <v>2012</v>
      </c>
      <c r="G16835">
        <v>0.79100000000000004</v>
      </c>
    </row>
    <row r="16836" spans="1:7">
      <c r="A16836" t="s">
        <v>1297</v>
      </c>
      <c r="B16836" t="s">
        <v>1298</v>
      </c>
      <c r="C16836" t="s">
        <v>671</v>
      </c>
      <c r="D16836" t="s">
        <v>1485</v>
      </c>
      <c r="E16836" t="s">
        <v>187</v>
      </c>
      <c r="F16836">
        <v>2016</v>
      </c>
      <c r="G16836">
        <v>4.3780000000000001</v>
      </c>
    </row>
    <row r="16837" spans="1:7">
      <c r="A16837" t="s">
        <v>1297</v>
      </c>
      <c r="B16837" t="s">
        <v>1298</v>
      </c>
      <c r="C16837" t="s">
        <v>671</v>
      </c>
      <c r="D16837" t="s">
        <v>1485</v>
      </c>
      <c r="E16837" t="s">
        <v>187</v>
      </c>
      <c r="F16837">
        <v>2020</v>
      </c>
      <c r="G16837">
        <v>10.243187000000001</v>
      </c>
    </row>
    <row r="16838" spans="1:7">
      <c r="A16838" t="s">
        <v>1297</v>
      </c>
      <c r="B16838" t="s">
        <v>1298</v>
      </c>
      <c r="C16838" t="s">
        <v>652</v>
      </c>
      <c r="D16838" t="s">
        <v>1485</v>
      </c>
      <c r="E16838" t="s">
        <v>187</v>
      </c>
      <c r="F16838">
        <v>2005</v>
      </c>
      <c r="G16838">
        <v>15.866</v>
      </c>
    </row>
    <row r="16839" spans="1:7">
      <c r="A16839" t="s">
        <v>1297</v>
      </c>
      <c r="B16839" t="s">
        <v>1298</v>
      </c>
      <c r="C16839" t="s">
        <v>652</v>
      </c>
      <c r="D16839" t="s">
        <v>1485</v>
      </c>
      <c r="E16839" t="s">
        <v>187</v>
      </c>
      <c r="F16839">
        <v>2010</v>
      </c>
      <c r="G16839">
        <v>21.716200000000001</v>
      </c>
    </row>
    <row r="16840" spans="1:7">
      <c r="A16840" t="s">
        <v>1297</v>
      </c>
      <c r="B16840" t="s">
        <v>1298</v>
      </c>
      <c r="C16840" t="s">
        <v>652</v>
      </c>
      <c r="D16840" t="s">
        <v>1485</v>
      </c>
      <c r="E16840" t="s">
        <v>187</v>
      </c>
      <c r="F16840">
        <v>2012</v>
      </c>
      <c r="G16840">
        <v>22.450199999999999</v>
      </c>
    </row>
    <row r="16841" spans="1:7">
      <c r="A16841" t="s">
        <v>1297</v>
      </c>
      <c r="B16841" t="s">
        <v>1298</v>
      </c>
      <c r="C16841" t="s">
        <v>652</v>
      </c>
      <c r="D16841" t="s">
        <v>1485</v>
      </c>
      <c r="E16841" t="s">
        <v>187</v>
      </c>
      <c r="F16841">
        <v>2016</v>
      </c>
      <c r="G16841">
        <v>21.2302</v>
      </c>
    </row>
    <row r="16842" spans="1:7">
      <c r="A16842" t="s">
        <v>1297</v>
      </c>
      <c r="B16842" t="s">
        <v>1298</v>
      </c>
      <c r="C16842" t="s">
        <v>652</v>
      </c>
      <c r="D16842" t="s">
        <v>1485</v>
      </c>
      <c r="E16842" t="s">
        <v>187</v>
      </c>
      <c r="F16842">
        <v>2020</v>
      </c>
      <c r="G16842">
        <v>20.906199999999998</v>
      </c>
    </row>
    <row r="16843" spans="1:7">
      <c r="A16843" t="s">
        <v>1297</v>
      </c>
      <c r="B16843" t="s">
        <v>1298</v>
      </c>
      <c r="C16843" t="s">
        <v>672</v>
      </c>
      <c r="D16843" t="s">
        <v>1485</v>
      </c>
      <c r="E16843" t="s">
        <v>187</v>
      </c>
      <c r="F16843">
        <v>2010</v>
      </c>
      <c r="G16843">
        <v>4.3579999999999997</v>
      </c>
    </row>
    <row r="16844" spans="1:7">
      <c r="A16844" t="s">
        <v>1297</v>
      </c>
      <c r="B16844" t="s">
        <v>1298</v>
      </c>
      <c r="C16844" t="s">
        <v>672</v>
      </c>
      <c r="D16844" t="s">
        <v>1485</v>
      </c>
      <c r="E16844" t="s">
        <v>187</v>
      </c>
      <c r="F16844">
        <v>2012</v>
      </c>
      <c r="G16844">
        <v>3.7250000000000001</v>
      </c>
    </row>
    <row r="16845" spans="1:7">
      <c r="A16845" t="s">
        <v>1297</v>
      </c>
      <c r="B16845" t="s">
        <v>1298</v>
      </c>
      <c r="C16845" t="s">
        <v>672</v>
      </c>
      <c r="D16845" t="s">
        <v>1485</v>
      </c>
      <c r="E16845" t="s">
        <v>187</v>
      </c>
      <c r="F16845">
        <v>2016</v>
      </c>
      <c r="G16845">
        <v>4.92</v>
      </c>
    </row>
    <row r="16846" spans="1:7">
      <c r="A16846" t="s">
        <v>1297</v>
      </c>
      <c r="B16846" t="s">
        <v>1298</v>
      </c>
      <c r="C16846" t="s">
        <v>672</v>
      </c>
      <c r="D16846" t="s">
        <v>1485</v>
      </c>
      <c r="E16846" t="s">
        <v>187</v>
      </c>
      <c r="F16846">
        <v>2020</v>
      </c>
      <c r="G16846">
        <v>4.2271780000000003</v>
      </c>
    </row>
    <row r="16847" spans="1:7">
      <c r="A16847" t="s">
        <v>1297</v>
      </c>
      <c r="B16847" t="s">
        <v>1298</v>
      </c>
      <c r="C16847" t="s">
        <v>680</v>
      </c>
      <c r="D16847" t="s">
        <v>1485</v>
      </c>
      <c r="E16847" t="s">
        <v>187</v>
      </c>
      <c r="F16847">
        <v>2005</v>
      </c>
      <c r="G16847">
        <v>3.5000000000000003E-2</v>
      </c>
    </row>
    <row r="16848" spans="1:7">
      <c r="A16848" t="s">
        <v>1297</v>
      </c>
      <c r="B16848" t="s">
        <v>1298</v>
      </c>
      <c r="C16848" t="s">
        <v>680</v>
      </c>
      <c r="D16848" t="s">
        <v>1485</v>
      </c>
      <c r="E16848" t="s">
        <v>187</v>
      </c>
      <c r="F16848">
        <v>2010</v>
      </c>
      <c r="G16848">
        <v>1.7999999999999999E-2</v>
      </c>
    </row>
    <row r="16849" spans="1:7">
      <c r="A16849" t="s">
        <v>1297</v>
      </c>
      <c r="B16849" t="s">
        <v>1298</v>
      </c>
      <c r="C16849" t="s">
        <v>655</v>
      </c>
      <c r="D16849" t="s">
        <v>1485</v>
      </c>
      <c r="E16849" t="s">
        <v>187</v>
      </c>
      <c r="F16849">
        <v>2005</v>
      </c>
      <c r="G16849">
        <v>1.6819999999999999</v>
      </c>
    </row>
    <row r="16850" spans="1:7">
      <c r="A16850" t="s">
        <v>1297</v>
      </c>
      <c r="B16850" t="s">
        <v>1298</v>
      </c>
      <c r="C16850" t="s">
        <v>655</v>
      </c>
      <c r="D16850" t="s">
        <v>1485</v>
      </c>
      <c r="E16850" t="s">
        <v>187</v>
      </c>
      <c r="F16850">
        <v>2010</v>
      </c>
      <c r="G16850">
        <v>1.66</v>
      </c>
    </row>
    <row r="16851" spans="1:7">
      <c r="A16851" t="s">
        <v>1297</v>
      </c>
      <c r="B16851" t="s">
        <v>1298</v>
      </c>
      <c r="C16851" t="s">
        <v>655</v>
      </c>
      <c r="D16851" t="s">
        <v>1485</v>
      </c>
      <c r="E16851" t="s">
        <v>187</v>
      </c>
      <c r="F16851">
        <v>2012</v>
      </c>
      <c r="G16851">
        <v>2.3570000000000002</v>
      </c>
    </row>
    <row r="16852" spans="1:7">
      <c r="A16852" t="s">
        <v>1297</v>
      </c>
      <c r="B16852" t="s">
        <v>1298</v>
      </c>
      <c r="C16852" t="s">
        <v>655</v>
      </c>
      <c r="D16852" t="s">
        <v>1485</v>
      </c>
      <c r="E16852" t="s">
        <v>187</v>
      </c>
      <c r="F16852">
        <v>2016</v>
      </c>
      <c r="G16852">
        <v>2.4369999999999998</v>
      </c>
    </row>
    <row r="16853" spans="1:7">
      <c r="A16853" t="s">
        <v>1297</v>
      </c>
      <c r="B16853" t="s">
        <v>1298</v>
      </c>
      <c r="C16853" t="s">
        <v>655</v>
      </c>
      <c r="D16853" t="s">
        <v>1485</v>
      </c>
      <c r="E16853" t="s">
        <v>187</v>
      </c>
      <c r="F16853">
        <v>2020</v>
      </c>
      <c r="G16853">
        <v>2.6311770000000001</v>
      </c>
    </row>
    <row r="16854" spans="1:7">
      <c r="A16854" t="s">
        <v>1297</v>
      </c>
      <c r="B16854" t="s">
        <v>1298</v>
      </c>
      <c r="C16854" t="s">
        <v>667</v>
      </c>
      <c r="D16854" t="s">
        <v>1485</v>
      </c>
      <c r="E16854" t="s">
        <v>187</v>
      </c>
      <c r="F16854">
        <v>2005</v>
      </c>
      <c r="G16854">
        <v>0.74694899999999997</v>
      </c>
    </row>
    <row r="16855" spans="1:7">
      <c r="A16855" t="s">
        <v>1297</v>
      </c>
      <c r="B16855" t="s">
        <v>1298</v>
      </c>
      <c r="C16855" t="s">
        <v>667</v>
      </c>
      <c r="D16855" t="s">
        <v>1485</v>
      </c>
      <c r="E16855" t="s">
        <v>187</v>
      </c>
      <c r="F16855">
        <v>2010</v>
      </c>
      <c r="G16855">
        <v>0.69214500000000001</v>
      </c>
    </row>
    <row r="16856" spans="1:7">
      <c r="A16856" t="s">
        <v>1297</v>
      </c>
      <c r="B16856" t="s">
        <v>1298</v>
      </c>
      <c r="C16856" t="s">
        <v>667</v>
      </c>
      <c r="D16856" t="s">
        <v>1485</v>
      </c>
      <c r="E16856" t="s">
        <v>187</v>
      </c>
      <c r="F16856">
        <v>2012</v>
      </c>
      <c r="G16856">
        <v>0.74818899999999999</v>
      </c>
    </row>
    <row r="16857" spans="1:7">
      <c r="A16857" t="s">
        <v>1297</v>
      </c>
      <c r="B16857" t="s">
        <v>1298</v>
      </c>
      <c r="C16857" t="s">
        <v>667</v>
      </c>
      <c r="D16857" t="s">
        <v>1485</v>
      </c>
      <c r="E16857" t="s">
        <v>187</v>
      </c>
      <c r="F16857">
        <v>2016</v>
      </c>
      <c r="G16857">
        <v>0.87107699999999999</v>
      </c>
    </row>
    <row r="16858" spans="1:7">
      <c r="A16858" t="s">
        <v>1297</v>
      </c>
      <c r="B16858" t="s">
        <v>1298</v>
      </c>
      <c r="C16858" t="s">
        <v>667</v>
      </c>
      <c r="D16858" t="s">
        <v>1485</v>
      </c>
      <c r="E16858" t="s">
        <v>187</v>
      </c>
      <c r="F16858">
        <v>2020</v>
      </c>
      <c r="G16858">
        <v>0.97461299999999995</v>
      </c>
    </row>
    <row r="16859" spans="1:7">
      <c r="A16859" t="s">
        <v>1297</v>
      </c>
      <c r="B16859" t="s">
        <v>1298</v>
      </c>
      <c r="C16859" t="s">
        <v>670</v>
      </c>
      <c r="D16859" t="s">
        <v>1485</v>
      </c>
      <c r="E16859" t="s">
        <v>187</v>
      </c>
      <c r="F16859">
        <v>2005</v>
      </c>
      <c r="G16859">
        <v>28.120999999999999</v>
      </c>
    </row>
    <row r="16860" spans="1:7">
      <c r="A16860" t="s">
        <v>1297</v>
      </c>
      <c r="B16860" t="s">
        <v>1298</v>
      </c>
      <c r="C16860" t="s">
        <v>670</v>
      </c>
      <c r="D16860" t="s">
        <v>1485</v>
      </c>
      <c r="E16860" t="s">
        <v>187</v>
      </c>
      <c r="F16860">
        <v>2010</v>
      </c>
      <c r="G16860">
        <v>27.927</v>
      </c>
    </row>
    <row r="16861" spans="1:7">
      <c r="A16861" t="s">
        <v>1297</v>
      </c>
      <c r="B16861" t="s">
        <v>1298</v>
      </c>
      <c r="C16861" t="s">
        <v>670</v>
      </c>
      <c r="D16861" t="s">
        <v>1485</v>
      </c>
      <c r="E16861" t="s">
        <v>187</v>
      </c>
      <c r="F16861">
        <v>2012</v>
      </c>
      <c r="G16861">
        <v>29.56</v>
      </c>
    </row>
    <row r="16862" spans="1:7">
      <c r="A16862" t="s">
        <v>1297</v>
      </c>
      <c r="B16862" t="s">
        <v>1298</v>
      </c>
      <c r="C16862" t="s">
        <v>670</v>
      </c>
      <c r="D16862" t="s">
        <v>1485</v>
      </c>
      <c r="E16862" t="s">
        <v>187</v>
      </c>
      <c r="F16862">
        <v>2016</v>
      </c>
      <c r="G16862">
        <v>34.587000000000003</v>
      </c>
    </row>
    <row r="16863" spans="1:7">
      <c r="A16863" t="s">
        <v>1297</v>
      </c>
      <c r="B16863" t="s">
        <v>1298</v>
      </c>
      <c r="C16863" t="s">
        <v>670</v>
      </c>
      <c r="D16863" t="s">
        <v>1485</v>
      </c>
      <c r="E16863" t="s">
        <v>187</v>
      </c>
      <c r="F16863">
        <v>2020</v>
      </c>
      <c r="G16863">
        <v>32.495102000000003</v>
      </c>
    </row>
    <row r="16864" spans="1:7">
      <c r="A16864" t="s">
        <v>1297</v>
      </c>
      <c r="B16864" t="s">
        <v>1298</v>
      </c>
      <c r="C16864" t="s">
        <v>686</v>
      </c>
      <c r="D16864" t="s">
        <v>1485</v>
      </c>
      <c r="E16864" t="s">
        <v>187</v>
      </c>
      <c r="F16864">
        <v>2016</v>
      </c>
      <c r="G16864">
        <v>2.3E-2</v>
      </c>
    </row>
    <row r="16865" spans="1:7">
      <c r="A16865" t="s">
        <v>1297</v>
      </c>
      <c r="B16865" t="s">
        <v>1298</v>
      </c>
      <c r="C16865" t="s">
        <v>686</v>
      </c>
      <c r="D16865" t="s">
        <v>1485</v>
      </c>
      <c r="E16865" t="s">
        <v>187</v>
      </c>
      <c r="F16865">
        <v>2020</v>
      </c>
      <c r="G16865">
        <v>2.4389999999999998E-2</v>
      </c>
    </row>
    <row r="16866" spans="1:7">
      <c r="A16866" t="s">
        <v>1297</v>
      </c>
      <c r="B16866" t="s">
        <v>1298</v>
      </c>
      <c r="C16866" t="s">
        <v>653</v>
      </c>
      <c r="D16866" t="s">
        <v>1485</v>
      </c>
      <c r="E16866" t="s">
        <v>187</v>
      </c>
      <c r="F16866">
        <v>2005</v>
      </c>
      <c r="G16866">
        <v>0.17100000000000001</v>
      </c>
    </row>
    <row r="16867" spans="1:7">
      <c r="A16867" t="s">
        <v>1297</v>
      </c>
      <c r="B16867" t="s">
        <v>1298</v>
      </c>
      <c r="C16867" t="s">
        <v>653</v>
      </c>
      <c r="D16867" t="s">
        <v>1485</v>
      </c>
      <c r="E16867" t="s">
        <v>187</v>
      </c>
      <c r="F16867">
        <v>2020</v>
      </c>
      <c r="G16867">
        <v>0.38872000000000001</v>
      </c>
    </row>
    <row r="16868" spans="1:7">
      <c r="A16868" t="s">
        <v>1297</v>
      </c>
      <c r="B16868" t="s">
        <v>1298</v>
      </c>
      <c r="C16868" t="s">
        <v>672</v>
      </c>
      <c r="D16868" t="s">
        <v>1485</v>
      </c>
      <c r="E16868" t="s">
        <v>187</v>
      </c>
      <c r="F16868">
        <v>2005</v>
      </c>
      <c r="G16868">
        <v>4.444</v>
      </c>
    </row>
    <row r="16869" spans="1:7">
      <c r="A16869" t="s">
        <v>1297</v>
      </c>
      <c r="B16869" t="s">
        <v>1298</v>
      </c>
      <c r="C16869" t="s">
        <v>666</v>
      </c>
      <c r="D16869" t="s">
        <v>1485</v>
      </c>
      <c r="E16869" t="s">
        <v>187</v>
      </c>
      <c r="F16869">
        <v>2016</v>
      </c>
      <c r="G16869">
        <v>2.0630000000000002</v>
      </c>
    </row>
    <row r="16870" spans="1:7">
      <c r="A16870" t="s">
        <v>1297</v>
      </c>
      <c r="B16870" t="s">
        <v>1298</v>
      </c>
      <c r="C16870" t="s">
        <v>666</v>
      </c>
      <c r="D16870" t="s">
        <v>1485</v>
      </c>
      <c r="E16870" t="s">
        <v>187</v>
      </c>
      <c r="F16870">
        <v>2020</v>
      </c>
      <c r="G16870">
        <v>1.4159999999999999</v>
      </c>
    </row>
    <row r="16871" spans="1:7">
      <c r="A16871" t="s">
        <v>1297</v>
      </c>
      <c r="B16871" t="s">
        <v>1298</v>
      </c>
      <c r="C16871" t="s">
        <v>664</v>
      </c>
      <c r="D16871" t="s">
        <v>1485</v>
      </c>
      <c r="E16871" t="s">
        <v>187</v>
      </c>
      <c r="F16871">
        <v>2012</v>
      </c>
      <c r="G16871">
        <v>0.76866100000000004</v>
      </c>
    </row>
    <row r="16872" spans="1:7">
      <c r="A16872" t="s">
        <v>1297</v>
      </c>
      <c r="B16872" t="s">
        <v>1298</v>
      </c>
      <c r="C16872" t="s">
        <v>664</v>
      </c>
      <c r="D16872" t="s">
        <v>1485</v>
      </c>
      <c r="E16872" t="s">
        <v>187</v>
      </c>
      <c r="F16872">
        <v>2016</v>
      </c>
      <c r="G16872">
        <v>1.04454</v>
      </c>
    </row>
    <row r="16873" spans="1:7">
      <c r="A16873" t="s">
        <v>1297</v>
      </c>
      <c r="B16873" t="s">
        <v>1298</v>
      </c>
      <c r="C16873" t="s">
        <v>664</v>
      </c>
      <c r="D16873" t="s">
        <v>1485</v>
      </c>
      <c r="E16873" t="s">
        <v>187</v>
      </c>
      <c r="F16873">
        <v>2020</v>
      </c>
      <c r="G16873">
        <v>3.7114509999999998</v>
      </c>
    </row>
    <row r="16874" spans="1:7">
      <c r="A16874" t="s">
        <v>1297</v>
      </c>
      <c r="B16874" t="s">
        <v>1298</v>
      </c>
      <c r="C16874" t="s">
        <v>660</v>
      </c>
      <c r="D16874" t="s">
        <v>1485</v>
      </c>
      <c r="E16874" t="s">
        <v>187</v>
      </c>
      <c r="F16874">
        <v>2005</v>
      </c>
      <c r="G16874">
        <v>3.109</v>
      </c>
    </row>
    <row r="16875" spans="1:7">
      <c r="A16875" t="s">
        <v>1297</v>
      </c>
      <c r="B16875" t="s">
        <v>1298</v>
      </c>
      <c r="C16875" t="s">
        <v>660</v>
      </c>
      <c r="D16875" t="s">
        <v>1485</v>
      </c>
      <c r="E16875" t="s">
        <v>187</v>
      </c>
      <c r="F16875">
        <v>2010</v>
      </c>
      <c r="G16875">
        <v>4.6340000000000003</v>
      </c>
    </row>
    <row r="16876" spans="1:7">
      <c r="A16876" t="s">
        <v>1297</v>
      </c>
      <c r="B16876" t="s">
        <v>1298</v>
      </c>
      <c r="C16876" t="s">
        <v>660</v>
      </c>
      <c r="D16876" t="s">
        <v>1485</v>
      </c>
      <c r="E16876" t="s">
        <v>187</v>
      </c>
      <c r="F16876">
        <v>2012</v>
      </c>
      <c r="G16876">
        <v>6.0289999999999999</v>
      </c>
    </row>
    <row r="16877" spans="1:7">
      <c r="A16877" t="s">
        <v>1297</v>
      </c>
      <c r="B16877" t="s">
        <v>1298</v>
      </c>
      <c r="C16877" t="s">
        <v>660</v>
      </c>
      <c r="D16877" t="s">
        <v>1485</v>
      </c>
      <c r="E16877" t="s">
        <v>187</v>
      </c>
      <c r="F16877">
        <v>2016</v>
      </c>
      <c r="G16877">
        <v>8.8819999999999997</v>
      </c>
    </row>
    <row r="16878" spans="1:7">
      <c r="A16878" t="s">
        <v>1297</v>
      </c>
      <c r="B16878" t="s">
        <v>1298</v>
      </c>
      <c r="C16878" t="s">
        <v>660</v>
      </c>
      <c r="D16878" t="s">
        <v>1485</v>
      </c>
      <c r="E16878" t="s">
        <v>187</v>
      </c>
      <c r="F16878">
        <v>2020</v>
      </c>
      <c r="G16878">
        <v>10.321</v>
      </c>
    </row>
    <row r="16879" spans="1:7">
      <c r="A16879" t="s">
        <v>1297</v>
      </c>
      <c r="B16879" t="s">
        <v>1298</v>
      </c>
      <c r="C16879" t="s">
        <v>656</v>
      </c>
      <c r="D16879" t="s">
        <v>1485</v>
      </c>
      <c r="E16879" t="s">
        <v>187</v>
      </c>
      <c r="F16879">
        <v>2005</v>
      </c>
      <c r="G16879">
        <v>65.686000000000007</v>
      </c>
    </row>
    <row r="16880" spans="1:7">
      <c r="A16880" t="s">
        <v>1297</v>
      </c>
      <c r="B16880" t="s">
        <v>1298</v>
      </c>
      <c r="C16880" t="s">
        <v>656</v>
      </c>
      <c r="D16880" t="s">
        <v>1485</v>
      </c>
      <c r="E16880" t="s">
        <v>187</v>
      </c>
      <c r="F16880">
        <v>2010</v>
      </c>
      <c r="G16880">
        <v>123.631</v>
      </c>
    </row>
    <row r="16881" spans="1:7">
      <c r="A16881" t="s">
        <v>1297</v>
      </c>
      <c r="B16881" t="s">
        <v>1298</v>
      </c>
      <c r="C16881" t="s">
        <v>656</v>
      </c>
      <c r="D16881" t="s">
        <v>1485</v>
      </c>
      <c r="E16881" t="s">
        <v>187</v>
      </c>
      <c r="F16881">
        <v>2012</v>
      </c>
      <c r="G16881">
        <v>130.28100000000001</v>
      </c>
    </row>
    <row r="16882" spans="1:7">
      <c r="A16882" t="s">
        <v>1297</v>
      </c>
      <c r="B16882" t="s">
        <v>1298</v>
      </c>
      <c r="C16882" t="s">
        <v>656</v>
      </c>
      <c r="D16882" t="s">
        <v>1485</v>
      </c>
      <c r="E16882" t="s">
        <v>187</v>
      </c>
      <c r="F16882">
        <v>2016</v>
      </c>
      <c r="G16882">
        <v>141.03700000000001</v>
      </c>
    </row>
    <row r="16883" spans="1:7">
      <c r="A16883" t="s">
        <v>1297</v>
      </c>
      <c r="B16883" t="s">
        <v>1298</v>
      </c>
      <c r="C16883" t="s">
        <v>656</v>
      </c>
      <c r="D16883" t="s">
        <v>1485</v>
      </c>
      <c r="E16883" t="s">
        <v>187</v>
      </c>
      <c r="F16883">
        <v>2020</v>
      </c>
      <c r="G16883">
        <v>124.377</v>
      </c>
    </row>
    <row r="16884" spans="1:7">
      <c r="A16884" t="s">
        <v>1297</v>
      </c>
      <c r="B16884" t="s">
        <v>1298</v>
      </c>
      <c r="C16884" t="s">
        <v>1301</v>
      </c>
      <c r="D16884" t="s">
        <v>1485</v>
      </c>
      <c r="E16884" t="s">
        <v>187</v>
      </c>
      <c r="F16884">
        <v>2005</v>
      </c>
      <c r="G16884">
        <v>0.121</v>
      </c>
    </row>
    <row r="16885" spans="1:7">
      <c r="A16885" t="s">
        <v>1297</v>
      </c>
      <c r="B16885" t="s">
        <v>1298</v>
      </c>
      <c r="C16885" t="s">
        <v>1301</v>
      </c>
      <c r="D16885" t="s">
        <v>1485</v>
      </c>
      <c r="E16885" t="s">
        <v>187</v>
      </c>
      <c r="F16885">
        <v>2010</v>
      </c>
      <c r="G16885">
        <v>0.16200000000000001</v>
      </c>
    </row>
    <row r="16886" spans="1:7">
      <c r="A16886" t="s">
        <v>1297</v>
      </c>
      <c r="B16886" t="s">
        <v>1298</v>
      </c>
      <c r="C16886" t="s">
        <v>1301</v>
      </c>
      <c r="D16886" t="s">
        <v>1485</v>
      </c>
      <c r="E16886" t="s">
        <v>187</v>
      </c>
      <c r="F16886">
        <v>2012</v>
      </c>
      <c r="G16886">
        <v>0.21</v>
      </c>
    </row>
    <row r="16887" spans="1:7">
      <c r="A16887" t="s">
        <v>1297</v>
      </c>
      <c r="B16887" t="s">
        <v>1298</v>
      </c>
      <c r="C16887" t="s">
        <v>1301</v>
      </c>
      <c r="D16887" t="s">
        <v>1485</v>
      </c>
      <c r="E16887" t="s">
        <v>187</v>
      </c>
      <c r="F16887">
        <v>2016</v>
      </c>
      <c r="G16887">
        <v>2.0670000000000002</v>
      </c>
    </row>
    <row r="16888" spans="1:7">
      <c r="A16888" t="s">
        <v>1297</v>
      </c>
      <c r="B16888" t="s">
        <v>1298</v>
      </c>
      <c r="C16888" t="s">
        <v>677</v>
      </c>
      <c r="D16888" t="s">
        <v>1485</v>
      </c>
      <c r="E16888" t="s">
        <v>187</v>
      </c>
      <c r="F16888">
        <v>2005</v>
      </c>
      <c r="G16888">
        <v>22.59</v>
      </c>
    </row>
    <row r="16889" spans="1:7">
      <c r="A16889" t="s">
        <v>1297</v>
      </c>
      <c r="B16889" t="s">
        <v>1298</v>
      </c>
      <c r="C16889" t="s">
        <v>677</v>
      </c>
      <c r="D16889" t="s">
        <v>1485</v>
      </c>
      <c r="E16889" t="s">
        <v>187</v>
      </c>
      <c r="F16889">
        <v>2010</v>
      </c>
      <c r="G16889">
        <v>15.53</v>
      </c>
    </row>
    <row r="16890" spans="1:7">
      <c r="A16890" t="s">
        <v>1297</v>
      </c>
      <c r="B16890" t="s">
        <v>1298</v>
      </c>
      <c r="C16890" t="s">
        <v>677</v>
      </c>
      <c r="D16890" t="s">
        <v>1485</v>
      </c>
      <c r="E16890" t="s">
        <v>187</v>
      </c>
      <c r="F16890">
        <v>2012</v>
      </c>
      <c r="G16890">
        <v>30.411000000000001</v>
      </c>
    </row>
    <row r="16891" spans="1:7">
      <c r="A16891" t="s">
        <v>1297</v>
      </c>
      <c r="B16891" t="s">
        <v>1298</v>
      </c>
      <c r="C16891" t="s">
        <v>677</v>
      </c>
      <c r="D16891" t="s">
        <v>1485</v>
      </c>
      <c r="E16891" t="s">
        <v>187</v>
      </c>
      <c r="F16891">
        <v>2016</v>
      </c>
      <c r="G16891">
        <v>50.744999999999997</v>
      </c>
    </row>
    <row r="16892" spans="1:7">
      <c r="A16892" t="s">
        <v>1297</v>
      </c>
      <c r="B16892" t="s">
        <v>1298</v>
      </c>
      <c r="C16892" t="s">
        <v>677</v>
      </c>
      <c r="D16892" t="s">
        <v>1485</v>
      </c>
      <c r="E16892" t="s">
        <v>187</v>
      </c>
      <c r="F16892">
        <v>2020</v>
      </c>
      <c r="G16892">
        <v>58.634999999999998</v>
      </c>
    </row>
    <row r="16893" spans="1:7">
      <c r="A16893" t="s">
        <v>1297</v>
      </c>
      <c r="B16893" t="s">
        <v>1298</v>
      </c>
      <c r="C16893" t="s">
        <v>674</v>
      </c>
      <c r="D16893" t="s">
        <v>1485</v>
      </c>
      <c r="E16893" t="s">
        <v>187</v>
      </c>
      <c r="F16893">
        <v>2005</v>
      </c>
      <c r="G16893">
        <v>20.187999999999999</v>
      </c>
    </row>
    <row r="16894" spans="1:7">
      <c r="A16894" t="s">
        <v>1297</v>
      </c>
      <c r="B16894" t="s">
        <v>1298</v>
      </c>
      <c r="C16894" t="s">
        <v>674</v>
      </c>
      <c r="D16894" t="s">
        <v>1485</v>
      </c>
      <c r="E16894" t="s">
        <v>187</v>
      </c>
      <c r="F16894">
        <v>2010</v>
      </c>
      <c r="G16894">
        <v>21.568000000000001</v>
      </c>
    </row>
    <row r="16895" spans="1:7">
      <c r="A16895" t="s">
        <v>1297</v>
      </c>
      <c r="B16895" t="s">
        <v>1298</v>
      </c>
      <c r="C16895" t="s">
        <v>674</v>
      </c>
      <c r="D16895" t="s">
        <v>1485</v>
      </c>
      <c r="E16895" t="s">
        <v>187</v>
      </c>
      <c r="F16895">
        <v>2012</v>
      </c>
      <c r="G16895">
        <v>22.242999999999999</v>
      </c>
    </row>
    <row r="16896" spans="1:7">
      <c r="A16896" t="s">
        <v>1297</v>
      </c>
      <c r="B16896" t="s">
        <v>1298</v>
      </c>
      <c r="C16896" t="s">
        <v>674</v>
      </c>
      <c r="D16896" t="s">
        <v>1485</v>
      </c>
      <c r="E16896" t="s">
        <v>187</v>
      </c>
      <c r="F16896">
        <v>2016</v>
      </c>
      <c r="G16896">
        <v>32.901000000000003</v>
      </c>
    </row>
    <row r="16897" spans="1:7">
      <c r="A16897" t="s">
        <v>1297</v>
      </c>
      <c r="B16897" t="s">
        <v>1298</v>
      </c>
      <c r="C16897" t="s">
        <v>674</v>
      </c>
      <c r="D16897" t="s">
        <v>1485</v>
      </c>
      <c r="E16897" t="s">
        <v>187</v>
      </c>
      <c r="F16897">
        <v>2020</v>
      </c>
      <c r="G16897">
        <v>34.319000000000003</v>
      </c>
    </row>
    <row r="16898" spans="1:7">
      <c r="A16898" t="s">
        <v>1297</v>
      </c>
      <c r="B16898" t="s">
        <v>1298</v>
      </c>
      <c r="C16898" t="s">
        <v>673</v>
      </c>
      <c r="D16898" t="s">
        <v>1485</v>
      </c>
      <c r="E16898" t="s">
        <v>187</v>
      </c>
      <c r="F16898">
        <v>2005</v>
      </c>
      <c r="G16898">
        <v>0.115</v>
      </c>
    </row>
    <row r="16899" spans="1:7">
      <c r="A16899" t="s">
        <v>1297</v>
      </c>
      <c r="B16899" t="s">
        <v>1298</v>
      </c>
      <c r="C16899" t="s">
        <v>673</v>
      </c>
      <c r="D16899" t="s">
        <v>1485</v>
      </c>
      <c r="E16899" t="s">
        <v>187</v>
      </c>
      <c r="F16899">
        <v>2010</v>
      </c>
      <c r="G16899">
        <v>1.2E-2</v>
      </c>
    </row>
    <row r="16900" spans="1:7">
      <c r="A16900" t="s">
        <v>1297</v>
      </c>
      <c r="B16900" t="s">
        <v>1298</v>
      </c>
      <c r="C16900" t="s">
        <v>673</v>
      </c>
      <c r="D16900" t="s">
        <v>1485</v>
      </c>
      <c r="E16900" t="s">
        <v>187</v>
      </c>
      <c r="F16900">
        <v>2012</v>
      </c>
      <c r="G16900">
        <v>0.01</v>
      </c>
    </row>
    <row r="16901" spans="1:7">
      <c r="A16901" t="s">
        <v>1297</v>
      </c>
      <c r="B16901" t="s">
        <v>1298</v>
      </c>
      <c r="C16901" t="s">
        <v>673</v>
      </c>
      <c r="D16901" t="s">
        <v>1485</v>
      </c>
      <c r="E16901" t="s">
        <v>187</v>
      </c>
      <c r="F16901">
        <v>2016</v>
      </c>
      <c r="G16901">
        <v>4.3999999999999997E-2</v>
      </c>
    </row>
    <row r="16902" spans="1:7">
      <c r="A16902" t="s">
        <v>1297</v>
      </c>
      <c r="B16902" t="s">
        <v>1298</v>
      </c>
      <c r="C16902" t="s">
        <v>673</v>
      </c>
      <c r="D16902" t="s">
        <v>1485</v>
      </c>
      <c r="E16902" t="s">
        <v>187</v>
      </c>
      <c r="F16902">
        <v>2020</v>
      </c>
      <c r="G16902">
        <v>1.8575999999999999E-2</v>
      </c>
    </row>
    <row r="16903" spans="1:7">
      <c r="A16903" t="s">
        <v>1297</v>
      </c>
      <c r="B16903" t="s">
        <v>1298</v>
      </c>
      <c r="C16903" t="s">
        <v>659</v>
      </c>
      <c r="D16903" t="s">
        <v>1485</v>
      </c>
      <c r="E16903" t="s">
        <v>187</v>
      </c>
      <c r="F16903">
        <v>2005</v>
      </c>
      <c r="G16903">
        <v>7.9240000000000004</v>
      </c>
    </row>
    <row r="16904" spans="1:7">
      <c r="A16904" t="s">
        <v>1297</v>
      </c>
      <c r="B16904" t="s">
        <v>1298</v>
      </c>
      <c r="C16904" t="s">
        <v>659</v>
      </c>
      <c r="D16904" t="s">
        <v>1485</v>
      </c>
      <c r="E16904" t="s">
        <v>187</v>
      </c>
      <c r="F16904">
        <v>2010</v>
      </c>
      <c r="G16904">
        <v>7.2930000000000001</v>
      </c>
    </row>
    <row r="16905" spans="1:7">
      <c r="A16905" t="s">
        <v>1297</v>
      </c>
      <c r="B16905" t="s">
        <v>1298</v>
      </c>
      <c r="C16905" t="s">
        <v>659</v>
      </c>
      <c r="D16905" t="s">
        <v>1485</v>
      </c>
      <c r="E16905" t="s">
        <v>187</v>
      </c>
      <c r="F16905">
        <v>2012</v>
      </c>
      <c r="G16905">
        <v>7.3550000000000004</v>
      </c>
    </row>
    <row r="16906" spans="1:7">
      <c r="A16906" t="s">
        <v>1297</v>
      </c>
      <c r="B16906" t="s">
        <v>1298</v>
      </c>
      <c r="C16906" t="s">
        <v>659</v>
      </c>
      <c r="D16906" t="s">
        <v>1485</v>
      </c>
      <c r="E16906" t="s">
        <v>187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9"/>
  <sheetViews>
    <sheetView tabSelected="1" zoomScaleNormal="100" workbookViewId="0">
      <selection activeCell="C11" sqref="C11"/>
    </sheetView>
  </sheetViews>
  <sheetFormatPr defaultRowHeight="14.4"/>
  <cols>
    <col min="1" max="1" width="10.109375" bestFit="1" customWidth="1"/>
    <col min="2" max="2" width="15.109375" bestFit="1" customWidth="1"/>
    <col min="3" max="3" width="7.44140625" bestFit="1" customWidth="1"/>
    <col min="4" max="4" width="8.88671875" bestFit="1" customWidth="1"/>
    <col min="6" max="6" width="2" bestFit="1" customWidth="1"/>
    <col min="7" max="7" width="12.664062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344</v>
      </c>
      <c r="B3" t="s">
        <v>187</v>
      </c>
      <c r="C3" t="s">
        <v>1543</v>
      </c>
      <c r="D3" s="7">
        <f>1/3.6</f>
        <v>0.27777777777777779</v>
      </c>
    </row>
    <row r="4" spans="1:4">
      <c r="A4" t="s">
        <v>344</v>
      </c>
      <c r="B4" t="s">
        <v>1543</v>
      </c>
      <c r="C4" t="s">
        <v>187</v>
      </c>
      <c r="D4" s="7">
        <v>3.6</v>
      </c>
    </row>
    <row r="5" spans="1:4">
      <c r="A5" t="s">
        <v>344</v>
      </c>
      <c r="B5" t="s">
        <v>343</v>
      </c>
      <c r="C5" t="s">
        <v>1543</v>
      </c>
      <c r="D5" s="7">
        <f>1/3.6</f>
        <v>0.27777777777777779</v>
      </c>
    </row>
    <row r="6" spans="1:4">
      <c r="A6" t="s">
        <v>344</v>
      </c>
      <c r="B6" t="s">
        <v>449</v>
      </c>
      <c r="C6" t="s">
        <v>1543</v>
      </c>
      <c r="D6" s="7">
        <f>D5*-1</f>
        <v>-0.27777777777777779</v>
      </c>
    </row>
    <row r="7" spans="1:4">
      <c r="A7" t="s">
        <v>344</v>
      </c>
      <c r="B7" t="s">
        <v>450</v>
      </c>
      <c r="C7" t="s">
        <v>187</v>
      </c>
      <c r="D7" s="7">
        <v>-1</v>
      </c>
    </row>
    <row r="8" spans="1:4">
      <c r="A8" t="s">
        <v>344</v>
      </c>
      <c r="B8" t="s">
        <v>584</v>
      </c>
      <c r="C8" t="s">
        <v>187</v>
      </c>
      <c r="D8">
        <v>2.6800000000000001E-2</v>
      </c>
    </row>
    <row r="9" spans="1:4">
      <c r="A9" t="s">
        <v>344</v>
      </c>
      <c r="B9" t="s">
        <v>585</v>
      </c>
      <c r="C9" t="s">
        <v>187</v>
      </c>
      <c r="D9" s="7">
        <v>3.7400000000000003E-2</v>
      </c>
    </row>
    <row r="10" spans="1:4">
      <c r="A10" t="s">
        <v>344</v>
      </c>
      <c r="B10" t="s">
        <v>589</v>
      </c>
      <c r="C10" t="s">
        <v>187</v>
      </c>
      <c r="D10">
        <f>D8*-1</f>
        <v>-2.6800000000000001E-2</v>
      </c>
    </row>
    <row r="11" spans="1:4">
      <c r="A11" t="s">
        <v>344</v>
      </c>
      <c r="B11" t="s">
        <v>590</v>
      </c>
      <c r="C11" t="s">
        <v>187</v>
      </c>
      <c r="D11">
        <f>D9*-1</f>
        <v>-3.7400000000000003E-2</v>
      </c>
    </row>
    <row r="12" spans="1:4">
      <c r="A12" t="s">
        <v>344</v>
      </c>
      <c r="B12" t="s">
        <v>691</v>
      </c>
      <c r="C12" t="s">
        <v>692</v>
      </c>
      <c r="D12">
        <v>-1000</v>
      </c>
    </row>
    <row r="13" spans="1:4">
      <c r="A13" t="s">
        <v>344</v>
      </c>
      <c r="B13" t="s">
        <v>699</v>
      </c>
      <c r="C13" t="s">
        <v>8</v>
      </c>
      <c r="D13">
        <f>1/31.536</f>
        <v>3.1709791983764585E-2</v>
      </c>
    </row>
    <row r="14" spans="1:4">
      <c r="A14" t="s">
        <v>344</v>
      </c>
      <c r="B14" t="s">
        <v>700</v>
      </c>
      <c r="C14" t="s">
        <v>187</v>
      </c>
      <c r="D14">
        <v>4.3999999999999997E-2</v>
      </c>
    </row>
    <row r="15" spans="1:4">
      <c r="A15" t="s">
        <v>344</v>
      </c>
      <c r="B15" t="s">
        <v>701</v>
      </c>
      <c r="C15" t="s">
        <v>187</v>
      </c>
      <c r="D15">
        <f>D14*-1</f>
        <v>-4.3999999999999997E-2</v>
      </c>
    </row>
    <row r="16" spans="1:4">
      <c r="A16" t="s">
        <v>344</v>
      </c>
      <c r="B16" t="s">
        <v>906</v>
      </c>
      <c r="C16" t="s">
        <v>187</v>
      </c>
      <c r="D16">
        <v>3.6299999999999999E-2</v>
      </c>
    </row>
    <row r="17" spans="1:4">
      <c r="A17" t="s">
        <v>344</v>
      </c>
      <c r="B17" t="s">
        <v>907</v>
      </c>
      <c r="C17" t="s">
        <v>187</v>
      </c>
      <c r="D17">
        <f>D16*-1</f>
        <v>-3.6299999999999999E-2</v>
      </c>
    </row>
    <row r="18" spans="1:4">
      <c r="A18" t="s">
        <v>344</v>
      </c>
      <c r="B18" t="s">
        <v>5</v>
      </c>
      <c r="C18" t="s">
        <v>892</v>
      </c>
      <c r="D18">
        <v>1E-3</v>
      </c>
    </row>
    <row r="19" spans="1:4">
      <c r="A19" t="s">
        <v>344</v>
      </c>
      <c r="B19" t="s">
        <v>502</v>
      </c>
      <c r="C19" t="s">
        <v>892</v>
      </c>
      <c r="D19" s="7">
        <v>-1E-3</v>
      </c>
    </row>
    <row r="20" spans="1:4">
      <c r="A20" t="s">
        <v>344</v>
      </c>
      <c r="B20" t="s">
        <v>1520</v>
      </c>
      <c r="C20" t="s">
        <v>187</v>
      </c>
      <c r="D20">
        <v>0.5</v>
      </c>
    </row>
    <row r="21" spans="1:4">
      <c r="A21" t="s">
        <v>344</v>
      </c>
      <c r="B21" t="s">
        <v>1521</v>
      </c>
      <c r="C21" t="s">
        <v>187</v>
      </c>
      <c r="D21">
        <v>0.5</v>
      </c>
    </row>
    <row r="22" spans="1:4">
      <c r="A22" t="s">
        <v>344</v>
      </c>
      <c r="B22" t="s">
        <v>1522</v>
      </c>
      <c r="C22" t="s">
        <v>187</v>
      </c>
      <c r="D22">
        <v>0.5</v>
      </c>
    </row>
    <row r="23" spans="1:4">
      <c r="A23" t="s">
        <v>344</v>
      </c>
      <c r="B23" t="s">
        <v>1523</v>
      </c>
      <c r="C23" t="s">
        <v>187</v>
      </c>
      <c r="D23">
        <v>0.5</v>
      </c>
    </row>
    <row r="24" spans="1:4">
      <c r="A24" t="s">
        <v>344</v>
      </c>
      <c r="B24" t="s">
        <v>1524</v>
      </c>
      <c r="C24" t="s">
        <v>187</v>
      </c>
      <c r="D24">
        <v>0.5</v>
      </c>
    </row>
    <row r="25" spans="1:4">
      <c r="A25" t="s">
        <v>344</v>
      </c>
      <c r="B25" t="s">
        <v>1525</v>
      </c>
      <c r="C25" t="s">
        <v>187</v>
      </c>
      <c r="D25">
        <v>2</v>
      </c>
    </row>
    <row r="26" spans="1:4">
      <c r="A26" t="s">
        <v>344</v>
      </c>
      <c r="B26" t="s">
        <v>1526</v>
      </c>
      <c r="C26" t="s">
        <v>187</v>
      </c>
      <c r="D26">
        <v>2</v>
      </c>
    </row>
    <row r="27" spans="1:4">
      <c r="A27" t="s">
        <v>344</v>
      </c>
      <c r="B27" t="s">
        <v>1527</v>
      </c>
      <c r="C27" t="s">
        <v>187</v>
      </c>
      <c r="D27">
        <v>2</v>
      </c>
    </row>
    <row r="28" spans="1:4">
      <c r="A28" t="s">
        <v>344</v>
      </c>
      <c r="B28" t="s">
        <v>1528</v>
      </c>
      <c r="C28" t="s">
        <v>187</v>
      </c>
      <c r="D28">
        <v>2</v>
      </c>
    </row>
    <row r="29" spans="1:4">
      <c r="A29" t="s">
        <v>344</v>
      </c>
      <c r="B29" t="s">
        <v>1538</v>
      </c>
      <c r="C29" t="s">
        <v>1540</v>
      </c>
      <c r="D29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912</v>
      </c>
      <c r="C1" t="s">
        <v>913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914</v>
      </c>
      <c r="C2" t="s">
        <v>915</v>
      </c>
      <c r="D2">
        <f>IF(A2=1,"'"&amp;B2&amp;"'",D1)</f>
        <v>0</v>
      </c>
    </row>
    <row r="3" spans="1:7">
      <c r="A3">
        <v>1</v>
      </c>
      <c r="B3" t="s">
        <v>916</v>
      </c>
      <c r="C3" t="s">
        <v>917</v>
      </c>
      <c r="D3" t="str">
        <f>IF(A3=1,"'"&amp;B3&amp;"'",D2)</f>
        <v>'DL'</v>
      </c>
    </row>
    <row r="4" spans="1:7">
      <c r="A4">
        <v>1</v>
      </c>
      <c r="B4" t="s">
        <v>918</v>
      </c>
      <c r="C4" t="s">
        <v>919</v>
      </c>
      <c r="D4" t="str">
        <f t="shared" ref="D4:D67" si="0">IF(A4=1,D3&amp;","&amp;"'"&amp;B4&amp;"'",D3)</f>
        <v>'DL','EXP'</v>
      </c>
    </row>
    <row r="5" spans="1:7">
      <c r="B5" t="s">
        <v>920</v>
      </c>
      <c r="C5" t="s">
        <v>921</v>
      </c>
      <c r="D5" t="str">
        <f t="shared" si="0"/>
        <v>'DL','EXP'</v>
      </c>
    </row>
    <row r="6" spans="1:7">
      <c r="B6" t="s">
        <v>922</v>
      </c>
      <c r="C6" t="s">
        <v>923</v>
      </c>
      <c r="D6" t="str">
        <f t="shared" si="0"/>
        <v>'DL','EXP'</v>
      </c>
    </row>
    <row r="7" spans="1:7">
      <c r="B7" t="s">
        <v>924</v>
      </c>
      <c r="C7" t="s">
        <v>925</v>
      </c>
      <c r="D7" t="str">
        <f t="shared" si="0"/>
        <v>'DL','EXP'</v>
      </c>
    </row>
    <row r="8" spans="1:7">
      <c r="A8">
        <v>1</v>
      </c>
      <c r="B8" t="s">
        <v>926</v>
      </c>
      <c r="C8" t="s">
        <v>927</v>
      </c>
      <c r="D8" t="str">
        <f t="shared" si="0"/>
        <v>'DL','EXP','FC_IND_E'</v>
      </c>
    </row>
    <row r="9" spans="1:7">
      <c r="B9" t="s">
        <v>928</v>
      </c>
      <c r="C9" t="s">
        <v>929</v>
      </c>
      <c r="D9" t="str">
        <f t="shared" si="0"/>
        <v>'DL','EXP','FC_IND_E'</v>
      </c>
    </row>
    <row r="10" spans="1:7">
      <c r="B10" t="s">
        <v>930</v>
      </c>
      <c r="C10" t="s">
        <v>931</v>
      </c>
      <c r="D10" t="str">
        <f t="shared" si="0"/>
        <v>'DL','EXP','FC_IND_E'</v>
      </c>
    </row>
    <row r="11" spans="1:7">
      <c r="B11" t="s">
        <v>932</v>
      </c>
      <c r="C11" t="s">
        <v>933</v>
      </c>
      <c r="D11" t="str">
        <f t="shared" si="0"/>
        <v>'DL','EXP','FC_IND_E'</v>
      </c>
    </row>
    <row r="12" spans="1:7">
      <c r="B12" t="s">
        <v>934</v>
      </c>
      <c r="C12" t="s">
        <v>935</v>
      </c>
      <c r="D12" t="str">
        <f t="shared" si="0"/>
        <v>'DL','EXP','FC_IND_E'</v>
      </c>
    </row>
    <row r="13" spans="1:7">
      <c r="B13" t="s">
        <v>936</v>
      </c>
      <c r="C13" t="s">
        <v>937</v>
      </c>
      <c r="D13" t="str">
        <f t="shared" si="0"/>
        <v>'DL','EXP','FC_IND_E'</v>
      </c>
    </row>
    <row r="14" spans="1:7">
      <c r="B14" t="s">
        <v>938</v>
      </c>
      <c r="C14" t="s">
        <v>939</v>
      </c>
      <c r="D14" t="str">
        <f t="shared" si="0"/>
        <v>'DL','EXP','FC_IND_E'</v>
      </c>
    </row>
    <row r="15" spans="1:7">
      <c r="B15" t="s">
        <v>940</v>
      </c>
      <c r="C15" t="s">
        <v>941</v>
      </c>
      <c r="D15" t="str">
        <f t="shared" si="0"/>
        <v>'DL','EXP','FC_IND_E'</v>
      </c>
    </row>
    <row r="16" spans="1:7">
      <c r="B16" t="s">
        <v>942</v>
      </c>
      <c r="C16" t="s">
        <v>943</v>
      </c>
      <c r="D16" t="str">
        <f t="shared" si="0"/>
        <v>'DL','EXP','FC_IND_E'</v>
      </c>
    </row>
    <row r="17" spans="1:4">
      <c r="B17" t="s">
        <v>944</v>
      </c>
      <c r="C17" t="s">
        <v>945</v>
      </c>
      <c r="D17" t="str">
        <f t="shared" si="0"/>
        <v>'DL','EXP','FC_IND_E'</v>
      </c>
    </row>
    <row r="18" spans="1:4">
      <c r="B18" t="s">
        <v>946</v>
      </c>
      <c r="C18" t="s">
        <v>947</v>
      </c>
      <c r="D18" t="str">
        <f t="shared" si="0"/>
        <v>'DL','EXP','FC_IND_E'</v>
      </c>
    </row>
    <row r="19" spans="1:4">
      <c r="B19" t="s">
        <v>948</v>
      </c>
      <c r="C19" t="s">
        <v>949</v>
      </c>
      <c r="D19" t="str">
        <f t="shared" si="0"/>
        <v>'DL','EXP','FC_IND_E'</v>
      </c>
    </row>
    <row r="20" spans="1:4">
      <c r="B20" t="s">
        <v>950</v>
      </c>
      <c r="C20" t="s">
        <v>951</v>
      </c>
      <c r="D20" t="str">
        <f t="shared" si="0"/>
        <v>'DL','EXP','FC_IND_E'</v>
      </c>
    </row>
    <row r="21" spans="1:4">
      <c r="A21">
        <v>1</v>
      </c>
      <c r="B21" t="s">
        <v>952</v>
      </c>
      <c r="C21" t="s">
        <v>953</v>
      </c>
      <c r="D21" t="str">
        <f t="shared" si="0"/>
        <v>'DL','EXP','FC_IND_E','FC_NE'</v>
      </c>
    </row>
    <row r="22" spans="1:4">
      <c r="A22">
        <v>1</v>
      </c>
      <c r="B22" t="s">
        <v>954</v>
      </c>
      <c r="C22" t="s">
        <v>955</v>
      </c>
      <c r="D22" t="str">
        <f t="shared" si="0"/>
        <v>'DL','EXP','FC_IND_E','FC_NE','FC_OTH_AF_E'</v>
      </c>
    </row>
    <row r="23" spans="1:4">
      <c r="A23">
        <v>1</v>
      </c>
      <c r="B23" t="s">
        <v>956</v>
      </c>
      <c r="C23" t="s">
        <v>957</v>
      </c>
      <c r="D23" t="str">
        <f t="shared" si="0"/>
        <v>'DL','EXP','FC_IND_E','FC_NE','FC_OTH_AF_E','FC_OTH_CP_E'</v>
      </c>
    </row>
    <row r="24" spans="1:4">
      <c r="B24" t="s">
        <v>958</v>
      </c>
      <c r="C24" t="s">
        <v>959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960</v>
      </c>
      <c r="C25" t="s">
        <v>961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962</v>
      </c>
      <c r="C26" t="s">
        <v>963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964</v>
      </c>
      <c r="C27" t="s">
        <v>965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966</v>
      </c>
      <c r="C28" t="s">
        <v>967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968</v>
      </c>
      <c r="C29" t="s">
        <v>969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970</v>
      </c>
      <c r="C30" t="s">
        <v>971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972</v>
      </c>
      <c r="C31" t="s">
        <v>973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974</v>
      </c>
      <c r="C32" t="s">
        <v>975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976</v>
      </c>
      <c r="C33" t="s">
        <v>977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978</v>
      </c>
      <c r="C34" t="s">
        <v>979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980</v>
      </c>
      <c r="C35" t="s">
        <v>981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982</v>
      </c>
      <c r="C36" t="s">
        <v>983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984</v>
      </c>
      <c r="C37" t="s">
        <v>985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986</v>
      </c>
      <c r="C38" t="s">
        <v>987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988</v>
      </c>
      <c r="C39" t="s">
        <v>989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990</v>
      </c>
      <c r="C40" t="s">
        <v>991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992</v>
      </c>
      <c r="C41" t="s">
        <v>993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994</v>
      </c>
      <c r="C42" t="s">
        <v>995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996</v>
      </c>
      <c r="C43" t="s">
        <v>997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998</v>
      </c>
      <c r="C44" t="s">
        <v>999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1000</v>
      </c>
      <c r="C45" t="s">
        <v>1001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1002</v>
      </c>
      <c r="C46" t="s">
        <v>1003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1004</v>
      </c>
      <c r="C47" t="s">
        <v>1005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1006</v>
      </c>
      <c r="C48" t="s">
        <v>1007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1008</v>
      </c>
      <c r="C49" t="s">
        <v>1009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1010</v>
      </c>
      <c r="C50" t="s">
        <v>1011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1012</v>
      </c>
      <c r="C51" t="s">
        <v>1013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1014</v>
      </c>
      <c r="C52" t="s">
        <v>1015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1016</v>
      </c>
      <c r="C53" t="s">
        <v>1017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1018</v>
      </c>
      <c r="C54" t="s">
        <v>1019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1020</v>
      </c>
      <c r="C55" t="s">
        <v>1021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1022</v>
      </c>
      <c r="C56" t="s">
        <v>1023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1024</v>
      </c>
      <c r="C57" t="s">
        <v>1025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1026</v>
      </c>
      <c r="C58" t="s">
        <v>1027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1028</v>
      </c>
      <c r="C59" t="s">
        <v>1029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1030</v>
      </c>
      <c r="C60" t="s">
        <v>1031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1032</v>
      </c>
      <c r="C61" t="s">
        <v>1033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1034</v>
      </c>
      <c r="C62" t="s">
        <v>1035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1036</v>
      </c>
      <c r="C63" t="s">
        <v>1037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1038</v>
      </c>
      <c r="C64" t="s">
        <v>1039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1040</v>
      </c>
      <c r="C65" t="s">
        <v>1041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1042</v>
      </c>
      <c r="C66" t="s">
        <v>1043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1044</v>
      </c>
      <c r="C67" t="s">
        <v>1045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1046</v>
      </c>
      <c r="C68" t="s">
        <v>1047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1048</v>
      </c>
      <c r="C69" t="s">
        <v>1049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1050</v>
      </c>
      <c r="C70" t="s">
        <v>1051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1052</v>
      </c>
      <c r="C71" t="s">
        <v>1053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1054</v>
      </c>
      <c r="C72" t="s">
        <v>1055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1056</v>
      </c>
      <c r="C73" t="s">
        <v>1057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1058</v>
      </c>
      <c r="C74" t="s">
        <v>1059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1060</v>
      </c>
      <c r="C75" t="s">
        <v>1061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1062</v>
      </c>
      <c r="C76" t="s">
        <v>1063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1064</v>
      </c>
      <c r="C77" t="s">
        <v>1065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1066</v>
      </c>
      <c r="C78" t="s">
        <v>1067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1068</v>
      </c>
      <c r="C79" t="s">
        <v>1069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1070</v>
      </c>
      <c r="C80" t="s">
        <v>1071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1072</v>
      </c>
      <c r="C81" t="s">
        <v>1073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1074</v>
      </c>
      <c r="C82" t="s">
        <v>1075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1076</v>
      </c>
      <c r="C83" t="s">
        <v>1077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1078</v>
      </c>
      <c r="C84" t="s">
        <v>1079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1080</v>
      </c>
      <c r="C85" t="s">
        <v>1081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1082</v>
      </c>
      <c r="C86" t="s">
        <v>1083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1084</v>
      </c>
      <c r="C87" t="s">
        <v>1085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1086</v>
      </c>
      <c r="C88" t="s">
        <v>1087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1088</v>
      </c>
      <c r="C89" t="s">
        <v>1089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1090</v>
      </c>
      <c r="C90" t="s">
        <v>1091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1092</v>
      </c>
      <c r="C91" t="s">
        <v>1093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1094</v>
      </c>
      <c r="C92" t="s">
        <v>1095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1096</v>
      </c>
      <c r="C93" t="s">
        <v>1097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1098</v>
      </c>
      <c r="C94" t="s">
        <v>1099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1100</v>
      </c>
      <c r="C95" t="s">
        <v>1101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1102</v>
      </c>
      <c r="C96" t="s">
        <v>1103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1104</v>
      </c>
      <c r="C97" t="s">
        <v>1105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1106</v>
      </c>
      <c r="C98" t="s">
        <v>1107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1108</v>
      </c>
      <c r="C99" t="s">
        <v>1109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1110</v>
      </c>
      <c r="C100" t="s">
        <v>1111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1112</v>
      </c>
      <c r="C101" t="s">
        <v>1113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1114</v>
      </c>
      <c r="C102" t="s">
        <v>1115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1116</v>
      </c>
      <c r="C103" t="s">
        <v>1117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1118</v>
      </c>
      <c r="C104" t="s">
        <v>1119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1120</v>
      </c>
      <c r="C105" t="s">
        <v>1121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1122</v>
      </c>
      <c r="C106" t="s">
        <v>1123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1124</v>
      </c>
      <c r="C107" t="s">
        <v>1125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1126</v>
      </c>
      <c r="C108" t="s">
        <v>1127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1128</v>
      </c>
      <c r="C109" t="s">
        <v>1129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1130</v>
      </c>
      <c r="C110" t="s">
        <v>1131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1132</v>
      </c>
      <c r="C111" t="s">
        <v>1133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1134</v>
      </c>
      <c r="C112" t="s">
        <v>1135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1136</v>
      </c>
      <c r="C113" t="s">
        <v>1137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1138</v>
      </c>
      <c r="C114" t="s">
        <v>1139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1140</v>
      </c>
      <c r="C115" t="s">
        <v>1141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1142</v>
      </c>
      <c r="C116" t="s">
        <v>1143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1144</v>
      </c>
      <c r="C117" t="s">
        <v>1145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1146</v>
      </c>
      <c r="C118" t="s">
        <v>1147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1148</v>
      </c>
      <c r="C119" t="s">
        <v>1149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1150</v>
      </c>
      <c r="C120" t="s">
        <v>1151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1152</v>
      </c>
      <c r="C121" t="s">
        <v>1153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1154</v>
      </c>
      <c r="C122" t="s">
        <v>1155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1156</v>
      </c>
      <c r="C123" t="s">
        <v>1157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1158</v>
      </c>
      <c r="C124" t="s">
        <v>1159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1160</v>
      </c>
      <c r="C125" t="s">
        <v>1161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1162</v>
      </c>
      <c r="C126" t="s">
        <v>1163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1164</v>
      </c>
      <c r="C127" t="s">
        <v>1165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1166</v>
      </c>
      <c r="C128" t="s">
        <v>1167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1168</v>
      </c>
      <c r="C129" t="s">
        <v>1169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1170</v>
      </c>
      <c r="C130" t="s">
        <v>1171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1172</v>
      </c>
      <c r="C131" t="s">
        <v>1173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1174</v>
      </c>
      <c r="C132" t="s">
        <v>1175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1176</v>
      </c>
      <c r="C133" t="s">
        <v>1177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1178</v>
      </c>
      <c r="C134" t="s">
        <v>1179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1180</v>
      </c>
      <c r="C135" t="s">
        <v>1181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1182</v>
      </c>
      <c r="C136" t="s">
        <v>1183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1184</v>
      </c>
      <c r="C137" t="s">
        <v>1185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1186</v>
      </c>
      <c r="C138" t="s">
        <v>1187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1188</v>
      </c>
      <c r="C139" t="s">
        <v>1189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1190</v>
      </c>
      <c r="C1" t="s">
        <v>913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1191</v>
      </c>
      <c r="C2" t="s">
        <v>370</v>
      </c>
      <c r="D2" t="str">
        <f>IF(A2=1,"'"&amp;B2&amp;"'",D1)</f>
        <v>'BIOE'</v>
      </c>
    </row>
    <row r="3" spans="1:7">
      <c r="A3">
        <v>1</v>
      </c>
      <c r="B3" t="s">
        <v>1192</v>
      </c>
      <c r="C3" t="s">
        <v>1193</v>
      </c>
      <c r="D3" t="str">
        <f>IF(A3=1,D2&amp;","&amp;"'"&amp;B3&amp;"'",D2)</f>
        <v>'BIOE','C0000X0350-0370'</v>
      </c>
    </row>
    <row r="4" spans="1:7">
      <c r="B4" t="s">
        <v>1194</v>
      </c>
      <c r="C4" t="s">
        <v>1195</v>
      </c>
      <c r="D4" t="str">
        <f t="shared" ref="D4:D57" si="0">IF(A4=1,D3&amp;","&amp;"'"&amp;B4&amp;"'",D3)</f>
        <v>'BIOE','C0000X0350-0370'</v>
      </c>
    </row>
    <row r="5" spans="1:7">
      <c r="B5" t="s">
        <v>1196</v>
      </c>
      <c r="C5" t="s">
        <v>1197</v>
      </c>
      <c r="D5" t="str">
        <f t="shared" si="0"/>
        <v>'BIOE','C0000X0350-0370'</v>
      </c>
    </row>
    <row r="6" spans="1:7">
      <c r="B6" t="s">
        <v>1198</v>
      </c>
      <c r="C6" t="s">
        <v>1199</v>
      </c>
      <c r="D6" t="str">
        <f t="shared" si="0"/>
        <v>'BIOE','C0000X0350-0370'</v>
      </c>
    </row>
    <row r="7" spans="1:7">
      <c r="B7" t="s">
        <v>1200</v>
      </c>
      <c r="C7" t="s">
        <v>1201</v>
      </c>
      <c r="D7" t="str">
        <f t="shared" si="0"/>
        <v>'BIOE','C0000X0350-0370'</v>
      </c>
    </row>
    <row r="8" spans="1:7">
      <c r="B8" t="s">
        <v>1202</v>
      </c>
      <c r="C8" t="s">
        <v>1203</v>
      </c>
      <c r="D8" t="str">
        <f t="shared" si="0"/>
        <v>'BIOE','C0000X0350-0370'</v>
      </c>
    </row>
    <row r="9" spans="1:7">
      <c r="B9" t="s">
        <v>1204</v>
      </c>
      <c r="C9" t="s">
        <v>1205</v>
      </c>
      <c r="D9" t="str">
        <f t="shared" si="0"/>
        <v>'BIOE','C0000X0350-0370'</v>
      </c>
    </row>
    <row r="10" spans="1:7">
      <c r="B10" t="s">
        <v>1206</v>
      </c>
      <c r="C10" t="s">
        <v>1207</v>
      </c>
      <c r="D10" t="str">
        <f t="shared" si="0"/>
        <v>'BIOE','C0000X0350-0370'</v>
      </c>
    </row>
    <row r="11" spans="1:7">
      <c r="B11" t="s">
        <v>1208</v>
      </c>
      <c r="C11" t="s">
        <v>1209</v>
      </c>
      <c r="D11" t="str">
        <f t="shared" si="0"/>
        <v>'BIOE','C0000X0350-0370'</v>
      </c>
    </row>
    <row r="12" spans="1:7">
      <c r="B12" t="s">
        <v>1210</v>
      </c>
      <c r="C12" t="s">
        <v>1211</v>
      </c>
      <c r="D12" t="str">
        <f t="shared" si="0"/>
        <v>'BIOE','C0000X0350-0370'</v>
      </c>
    </row>
    <row r="13" spans="1:7">
      <c r="B13" t="s">
        <v>1212</v>
      </c>
      <c r="C13" t="s">
        <v>1213</v>
      </c>
      <c r="D13" t="str">
        <f t="shared" si="0"/>
        <v>'BIOE','C0000X0350-0370'</v>
      </c>
    </row>
    <row r="14" spans="1:7">
      <c r="B14" t="s">
        <v>1214</v>
      </c>
      <c r="C14" t="s">
        <v>1215</v>
      </c>
      <c r="D14" t="str">
        <f t="shared" si="0"/>
        <v>'BIOE','C0000X0350-0370'</v>
      </c>
    </row>
    <row r="15" spans="1:7">
      <c r="A15">
        <v>1</v>
      </c>
      <c r="B15" t="s">
        <v>1216</v>
      </c>
      <c r="C15" t="s">
        <v>257</v>
      </c>
      <c r="D15" t="str">
        <f t="shared" si="0"/>
        <v>'BIOE','C0000X0350-0370','E7000'</v>
      </c>
    </row>
    <row r="16" spans="1:7">
      <c r="B16" t="s">
        <v>1217</v>
      </c>
      <c r="C16" t="s">
        <v>1218</v>
      </c>
      <c r="D16" t="str">
        <f t="shared" si="0"/>
        <v>'BIOE','C0000X0350-0370','E7000'</v>
      </c>
    </row>
    <row r="17" spans="1:4">
      <c r="A17">
        <v>1</v>
      </c>
      <c r="B17" t="s">
        <v>1219</v>
      </c>
      <c r="C17" t="s">
        <v>1220</v>
      </c>
      <c r="D17" t="str">
        <f t="shared" si="0"/>
        <v>'BIOE','C0000X0350-0370','E7000','G3000'</v>
      </c>
    </row>
    <row r="18" spans="1:4">
      <c r="A18">
        <v>1</v>
      </c>
      <c r="B18" t="s">
        <v>1221</v>
      </c>
      <c r="C18" t="s">
        <v>368</v>
      </c>
      <c r="D18" t="str">
        <f t="shared" si="0"/>
        <v>'BIOE','C0000X0350-0370','E7000','G3000','H8000'</v>
      </c>
    </row>
    <row r="19" spans="1:4">
      <c r="A19">
        <v>1</v>
      </c>
      <c r="B19" t="s">
        <v>1222</v>
      </c>
      <c r="C19" t="s">
        <v>1223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1224</v>
      </c>
      <c r="C20" t="s">
        <v>1225</v>
      </c>
      <c r="D20" t="str">
        <f t="shared" si="0"/>
        <v>'BIOE','C0000X0350-0370','E7000','G3000','H8000','N900H','O4000XBIO'</v>
      </c>
    </row>
    <row r="21" spans="1:4">
      <c r="B21" t="s">
        <v>1226</v>
      </c>
      <c r="C21" t="s">
        <v>1227</v>
      </c>
      <c r="D21" t="str">
        <f t="shared" si="0"/>
        <v>'BIOE','C0000X0350-0370','E7000','G3000','H8000','N900H','O4000XBIO'</v>
      </c>
    </row>
    <row r="22" spans="1:4">
      <c r="B22" t="s">
        <v>1228</v>
      </c>
      <c r="C22" t="s">
        <v>1229</v>
      </c>
      <c r="D22" t="str">
        <f t="shared" si="0"/>
        <v>'BIOE','C0000X0350-0370','E7000','G3000','H8000','N900H','O4000XBIO'</v>
      </c>
    </row>
    <row r="23" spans="1:4">
      <c r="B23" t="s">
        <v>1230</v>
      </c>
      <c r="C23" t="s">
        <v>1231</v>
      </c>
      <c r="D23" t="str">
        <f t="shared" si="0"/>
        <v>'BIOE','C0000X0350-0370','E7000','G3000','H8000','N900H','O4000XBIO'</v>
      </c>
    </row>
    <row r="24" spans="1:4">
      <c r="B24" t="s">
        <v>1232</v>
      </c>
      <c r="C24" t="s">
        <v>1233</v>
      </c>
      <c r="D24" t="str">
        <f t="shared" si="0"/>
        <v>'BIOE','C0000X0350-0370','E7000','G3000','H8000','N900H','O4000XBIO'</v>
      </c>
    </row>
    <row r="25" spans="1:4">
      <c r="B25" t="s">
        <v>1234</v>
      </c>
      <c r="C25" t="s">
        <v>1235</v>
      </c>
      <c r="D25" t="str">
        <f t="shared" si="0"/>
        <v>'BIOE','C0000X0350-0370','E7000','G3000','H8000','N900H','O4000XBIO'</v>
      </c>
    </row>
    <row r="26" spans="1:4">
      <c r="B26" t="s">
        <v>1236</v>
      </c>
      <c r="C26" t="s">
        <v>1237</v>
      </c>
      <c r="D26" t="str">
        <f t="shared" si="0"/>
        <v>'BIOE','C0000X0350-0370','E7000','G3000','H8000','N900H','O4000XBIO'</v>
      </c>
    </row>
    <row r="27" spans="1:4">
      <c r="B27" t="s">
        <v>1238</v>
      </c>
      <c r="C27" t="s">
        <v>1239</v>
      </c>
      <c r="D27" t="str">
        <f t="shared" si="0"/>
        <v>'BIOE','C0000X0350-0370','E7000','G3000','H8000','N900H','O4000XBIO'</v>
      </c>
    </row>
    <row r="28" spans="1:4">
      <c r="B28" t="s">
        <v>1240</v>
      </c>
      <c r="C28" t="s">
        <v>1241</v>
      </c>
      <c r="D28" t="str">
        <f t="shared" si="0"/>
        <v>'BIOE','C0000X0350-0370','E7000','G3000','H8000','N900H','O4000XBIO'</v>
      </c>
    </row>
    <row r="29" spans="1:4">
      <c r="B29" t="s">
        <v>1242</v>
      </c>
      <c r="C29" t="s">
        <v>1243</v>
      </c>
      <c r="D29" t="str">
        <f t="shared" si="0"/>
        <v>'BIOE','C0000X0350-0370','E7000','G3000','H8000','N900H','O4000XBIO'</v>
      </c>
    </row>
    <row r="30" spans="1:4">
      <c r="B30" t="s">
        <v>1244</v>
      </c>
      <c r="C30" t="s">
        <v>1245</v>
      </c>
      <c r="D30" t="str">
        <f t="shared" si="0"/>
        <v>'BIOE','C0000X0350-0370','E7000','G3000','H8000','N900H','O4000XBIO'</v>
      </c>
    </row>
    <row r="31" spans="1:4">
      <c r="B31" t="s">
        <v>1246</v>
      </c>
      <c r="C31" t="s">
        <v>1247</v>
      </c>
      <c r="D31" t="str">
        <f t="shared" si="0"/>
        <v>'BIOE','C0000X0350-0370','E7000','G3000','H8000','N900H','O4000XBIO'</v>
      </c>
    </row>
    <row r="32" spans="1:4">
      <c r="B32" t="s">
        <v>1248</v>
      </c>
      <c r="C32" t="s">
        <v>1249</v>
      </c>
      <c r="D32" t="str">
        <f t="shared" si="0"/>
        <v>'BIOE','C0000X0350-0370','E7000','G3000','H8000','N900H','O4000XBIO'</v>
      </c>
    </row>
    <row r="33" spans="1:4">
      <c r="B33" t="s">
        <v>1250</v>
      </c>
      <c r="C33" t="s">
        <v>1251</v>
      </c>
      <c r="D33" t="str">
        <f t="shared" si="0"/>
        <v>'BIOE','C0000X0350-0370','E7000','G3000','H8000','N900H','O4000XBIO'</v>
      </c>
    </row>
    <row r="34" spans="1:4">
      <c r="B34" t="s">
        <v>1252</v>
      </c>
      <c r="C34" t="s">
        <v>1253</v>
      </c>
      <c r="D34" t="str">
        <f t="shared" si="0"/>
        <v>'BIOE','C0000X0350-0370','E7000','G3000','H8000','N900H','O4000XBIO'</v>
      </c>
    </row>
    <row r="35" spans="1:4">
      <c r="B35" t="s">
        <v>1254</v>
      </c>
      <c r="C35" t="s">
        <v>1255</v>
      </c>
      <c r="D35" t="str">
        <f t="shared" si="0"/>
        <v>'BIOE','C0000X0350-0370','E7000','G3000','H8000','N900H','O4000XBIO'</v>
      </c>
    </row>
    <row r="36" spans="1:4">
      <c r="B36" t="s">
        <v>1256</v>
      </c>
      <c r="C36" t="s">
        <v>1257</v>
      </c>
      <c r="D36" t="str">
        <f t="shared" si="0"/>
        <v>'BIOE','C0000X0350-0370','E7000','G3000','H8000','N900H','O4000XBIO'</v>
      </c>
    </row>
    <row r="37" spans="1:4">
      <c r="B37" t="s">
        <v>1258</v>
      </c>
      <c r="C37" t="s">
        <v>1259</v>
      </c>
      <c r="D37" t="str">
        <f t="shared" si="0"/>
        <v>'BIOE','C0000X0350-0370','E7000','G3000','H8000','N900H','O4000XBIO'</v>
      </c>
    </row>
    <row r="38" spans="1:4">
      <c r="B38" t="s">
        <v>1260</v>
      </c>
      <c r="C38" t="s">
        <v>1261</v>
      </c>
      <c r="D38" t="str">
        <f t="shared" si="0"/>
        <v>'BIOE','C0000X0350-0370','E7000','G3000','H8000','N900H','O4000XBIO'</v>
      </c>
    </row>
    <row r="39" spans="1:4">
      <c r="B39" t="s">
        <v>1262</v>
      </c>
      <c r="C39" t="s">
        <v>1263</v>
      </c>
      <c r="D39" t="str">
        <f t="shared" si="0"/>
        <v>'BIOE','C0000X0350-0370','E7000','G3000','H8000','N900H','O4000XBIO'</v>
      </c>
    </row>
    <row r="40" spans="1:4">
      <c r="B40" t="s">
        <v>1264</v>
      </c>
      <c r="C40" t="s">
        <v>1265</v>
      </c>
      <c r="D40" t="str">
        <f t="shared" si="0"/>
        <v>'BIOE','C0000X0350-0370','E7000','G3000','H8000','N900H','O4000XBIO'</v>
      </c>
    </row>
    <row r="41" spans="1:4">
      <c r="B41" t="s">
        <v>1266</v>
      </c>
      <c r="C41" t="s">
        <v>1267</v>
      </c>
      <c r="D41" t="str">
        <f t="shared" si="0"/>
        <v>'BIOE','C0000X0350-0370','E7000','G3000','H8000','N900H','O4000XBIO'</v>
      </c>
    </row>
    <row r="42" spans="1:4">
      <c r="B42" t="s">
        <v>1268</v>
      </c>
      <c r="C42" t="s">
        <v>1269</v>
      </c>
      <c r="D42" t="str">
        <f t="shared" si="0"/>
        <v>'BIOE','C0000X0350-0370','E7000','G3000','H8000','N900H','O4000XBIO'</v>
      </c>
    </row>
    <row r="43" spans="1:4">
      <c r="B43" t="s">
        <v>1270</v>
      </c>
      <c r="C43" t="s">
        <v>1271</v>
      </c>
      <c r="D43" t="str">
        <f t="shared" si="0"/>
        <v>'BIOE','C0000X0350-0370','E7000','G3000','H8000','N900H','O4000XBIO'</v>
      </c>
    </row>
    <row r="44" spans="1:4">
      <c r="B44" t="s">
        <v>1272</v>
      </c>
      <c r="C44" t="s">
        <v>1273</v>
      </c>
      <c r="D44" t="str">
        <f t="shared" si="0"/>
        <v>'BIOE','C0000X0350-0370','E7000','G3000','H8000','N900H','O4000XBIO'</v>
      </c>
    </row>
    <row r="45" spans="1:4">
      <c r="B45" t="s">
        <v>1274</v>
      </c>
      <c r="C45" t="s">
        <v>1275</v>
      </c>
      <c r="D45" t="str">
        <f t="shared" si="0"/>
        <v>'BIOE','C0000X0350-0370','E7000','G3000','H8000','N900H','O4000XBIO'</v>
      </c>
    </row>
    <row r="46" spans="1:4">
      <c r="B46" t="s">
        <v>1276</v>
      </c>
      <c r="C46" t="s">
        <v>1277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1278</v>
      </c>
      <c r="C47" t="s">
        <v>177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1279</v>
      </c>
      <c r="C48" t="s">
        <v>175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1280</v>
      </c>
      <c r="C49" t="s">
        <v>375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1281</v>
      </c>
      <c r="C50" t="s">
        <v>1282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1283</v>
      </c>
      <c r="C51" t="s">
        <v>1284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1285</v>
      </c>
      <c r="C52" t="s">
        <v>1286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1287</v>
      </c>
      <c r="C53" t="s">
        <v>1288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1289</v>
      </c>
      <c r="C54" t="s">
        <v>1290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1291</v>
      </c>
      <c r="C55" t="s">
        <v>1292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1293</v>
      </c>
      <c r="C56" t="s">
        <v>1294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1295</v>
      </c>
      <c r="C57" t="s">
        <v>1296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Wouter Nijs</cp:lastModifiedBy>
  <cp:lastPrinted>2013-04-26T17:54:26Z</cp:lastPrinted>
  <dcterms:created xsi:type="dcterms:W3CDTF">2011-02-22T06:05:52Z</dcterms:created>
  <dcterms:modified xsi:type="dcterms:W3CDTF">2022-10-31T11:32:40Z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